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tables/table35.xml" ContentType="application/vnd.openxmlformats-officedocument.spreadsheetml.table+xml"/>
  <Override PartName="/xl/tables/table1.xml" ContentType="application/vnd.openxmlformats-officedocument.spreadsheetml.table+xml"/>
  <Override PartName="/xl/tables/table32.xml" ContentType="application/vnd.openxmlformats-officedocument.spreadsheetml.table+xml"/>
  <Override PartName="/xl/tables/table31.xml" ContentType="application/vnd.openxmlformats-officedocument.spreadsheetml.table+xml"/>
  <Override PartName="/xl/tables/table29.xml" ContentType="application/vnd.openxmlformats-officedocument.spreadsheetml.table+xml"/>
  <Override PartName="/xl/tables/table34.xml" ContentType="application/vnd.openxmlformats-officedocument.spreadsheetml.table+xml"/>
  <Override PartName="/xl/tables/table33.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12.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6.xml" ContentType="application/vnd.openxmlformats-officedocument.spreadsheetml.table+xml"/>
  <Override PartName="/xl/tables/table23.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39.xml" ContentType="application/vnd.openxmlformats-officedocument.spreadsheetml.table+xml"/>
  <Override PartName="/xl/tables/table5.xml" ContentType="application/vnd.openxmlformats-officedocument.spreadsheetml.table+xml"/>
  <Override PartName="/xl/tables/table27.xml" ContentType="application/vnd.openxmlformats-officedocument.spreadsheetml.table+xml"/>
  <Override PartName="/xl/tables/table40.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3.xml" ContentType="application/vnd.openxmlformats-officedocument.spreadsheetml.table+xml"/>
  <Override PartName="/xl/tables/table37.xml" ContentType="application/vnd.openxmlformats-officedocument.spreadsheetml.table+xml"/>
  <Override PartName="/xl/tables/table7.xml" ContentType="application/vnd.openxmlformats-officedocument.spreadsheetml.table+xml"/>
  <Override PartName="/xl/tables/table26.xml" ContentType="application/vnd.openxmlformats-officedocument.spreadsheetml.table+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comments12.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8.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7.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comments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1"/>
  </bookViews>
  <sheets>
    <sheet name="Instructions" sheetId="1" state="visible" r:id="rId3"/>
    <sheet name="Dashboard" sheetId="2" state="visible" r:id="rId4"/>
    <sheet name="Status Report" sheetId="3" state="visible" r:id="rId5"/>
    <sheet name="Schedule Report" sheetId="4" state="visible" r:id="rId6"/>
    <sheet name="Resource Report" sheetId="5" state="visible" r:id="rId7"/>
    <sheet name="Agile Report" sheetId="6" state="visible" r:id="rId8"/>
    <sheet name="RAID" sheetId="7" state="visible" r:id="rId9"/>
    <sheet name="Decisions" sheetId="8" state="visible" r:id="rId10"/>
    <sheet name="Changes" sheetId="9" state="visible" r:id="rId11"/>
    <sheet name="History" sheetId="10" state="visible" r:id="rId12"/>
    <sheet name="Settings" sheetId="11" state="visible" r:id="rId13"/>
    <sheet name="Tasks" sheetId="12" state="visible" r:id="rId14"/>
    <sheet name="Gantt" sheetId="13" state="visible" r:id="rId15"/>
    <sheet name="Resources" sheetId="14" state="visible" r:id="rId16"/>
    <sheet name="Sprints" sheetId="15" state="visible" r:id="rId17"/>
    <sheet name="Holidays" sheetId="16" state="visible" r:id="rId18"/>
    <sheet name="Leave" sheetId="17" state="visible" r:id="rId19"/>
    <sheet name="MSP_Tasks" sheetId="18" state="visible" r:id="rId20"/>
    <sheet name="MSP_Resources" sheetId="19" state="visible" r:id="rId21"/>
    <sheet name="Lists" sheetId="20" state="visible" r:id="rId22"/>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Settings!$C$34</definedName>
    <definedName function="false" hidden="false" name="CurrentSprint" vbProcedure="false">Settings!$C$30</definedName>
    <definedName function="false" hidden="false" name="CurrentSprintEnd" vbProcedure="false">Settings!$C$32</definedName>
    <definedName function="false" hidden="false" name="CurrentSprintStart" vbProcedure="false">Settings!$C$31</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Settings!$C$37</definedName>
    <definedName function="false" hidden="false" name="GanttPeriod" vbProcedure="false">Settings!$C$24</definedName>
    <definedName function="false" hidden="false" name="GanttStart" vbProcedure="false">Settings!$C$23</definedName>
    <definedName function="false" hidden="false" name="gantt_Origin" vbProcedure="false">Gantt!$V$5</definedName>
    <definedName function="false" hidden="false" name="Holidays" vbProcedure="false">HolidayTable[Date]</definedName>
    <definedName function="false" hidden="false" name="HoursPerDay" vbProcedure="false">Settings!$C$13</definedName>
    <definedName function="false" hidden="false" name="leave_Days" vbProcedure="false">{1,2,3,4,5,6,7,8,9,10,11,12,13,14,15,16,17,18,19,20,21,22,23,24,25,26,27,28,29,30,31}</definedName>
    <definedName function="false" hidden="false" name="load_Grid" vbProcedure="false">Sprints!$D$36:$AC$60</definedName>
    <definedName function="false" hidden="false" name="load_Origin" vbProcedure="false">Sprints!$B$34</definedName>
    <definedName function="false" hidden="false" name="LookaheadDays" vbProcedure="false">Settings!$C$38</definedName>
    <definedName function="false" hidden="false" name="LookaheadEnd" vbProcedure="false">Settings!$C$39</definedName>
    <definedName function="false" hidden="false" name="L_ChangeStatus" vbProcedure="false">ListChangeStatus[Change Status]</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Settings!$C$47</definedName>
    <definedName function="false" hidden="false" name="PlannedFinish" vbProcedure="false">Settings!$C$36</definedName>
    <definedName function="false" hidden="false" name="ProjectFinish" vbProcedure="false">Settings!$C$35</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Settings!$C$42</definedName>
    <definedName function="false" hidden="false" name="RAGAmberSlipDays" vbProcedure="false">Settings!$C$40</definedName>
    <definedName function="false" hidden="false" name="RAGRedIndex" vbProcedure="false">Settings!$C$43</definedName>
    <definedName function="false" hidden="false" name="RAGRedSlipDays" vbProcedure="false">Settings!$C$41</definedName>
    <definedName function="false" hidden="false" name="RAIDHighScore" vbProcedure="false">Settings!$C$44</definedName>
    <definedName function="false" hidden="false" name="RAIDMediumScore" vbProcedure="false">Settings!$C$45</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Settings!$C$46</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w_Cum" vbProcedure="false">'Resource Report'!$D$126:$AD$150</definedName>
    <definedName function="false" hidden="false" name="rw_CumOrigin" vbProcedure="false">'Resource Report'!$B$125</definedName>
    <definedName function="false" hidden="false" name="rw_Leave" vbProcedure="false">'Resource Report'!$D$99:$AC$123</definedName>
    <definedName function="false" hidden="false" name="rw_LeaveCol0" vbProcedure="false">'Resource Report'!$D$97:$AC$97</definedName>
    <definedName function="false" hidden="false" name="rw_LeaveCol1" vbProcedure="false">'Resource Report'!$D$98:$AC$98</definedName>
    <definedName function="false" hidden="false" name="rw_LeaveOrigin" vbProcedure="false">'Resource Report'!$B$96</definedName>
    <definedName function="false" hidden="false" name="rw_LeaveRow" vbProcedure="false">'Resource Report'!$C$99:$C$123</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Settings!$C$25</definedName>
    <definedName function="false" hidden="false" name="SprintCount" vbProcedure="false">Settings!$C$27</definedName>
    <definedName function="false" hidden="false" name="SprintLastEnd" vbProcedure="false">Settings!$C$29</definedName>
    <definedName function="false" hidden="false" name="SprintLength" vbProcedure="false">Settings!$C$26</definedName>
    <definedName function="false" hidden="false" name="SprintPrefix" vbProcedure="false">Settings!$C$28</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LeaveCol0" vbProcedure="false">SprintTable[_LeaveCol0]</definedName>
    <definedName function="false" hidden="false" name="spr_LeaveCol1" vbProcedure="false">SprintTable[_LeaveCol1]</definedName>
    <definedName function="false" hidden="false" name="spr_LeaveCol2" vbProcedure="false">SprintTable[_LeaveCol2]</definedName>
    <definedName function="false" hidden="false" name="spr_LeaveGrid" vbProcedure="false">Sprints!$D$95:$AC$119</definedName>
    <definedName function="false" hidden="false" name="spr_LeaveOrigin" vbProcedure="false">Sprints!$B$94</definedName>
    <definedName function="false" hidden="false" name="spr_LeaveRow" vbProcedure="false">Sprints!$C$95:$C$119</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Settings!$C$33</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Tasks[Start No Earlier Than]</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EV" vbProcedure="false">Tasks[_LeafEV]</definedName>
    <definedName function="false" hidden="false" name="tsk_LeafPoints" vbProcedure="false">Tasks[_LeafPoints]</definedName>
    <definedName function="false" hidden="false" name="tsk_LeafPV" vbProcedure="false">Tasks[_LeafPV]</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 (after leave).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Working days of leave in the weeks shown below (Leave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Auto = scheduled from predecessors. Manual = pinned to Start No Earlier Than.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G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H5" authorId="0">
      <text>
        <r>
          <rPr>
            <sz val="10"/>
            <rFont val="Arial"/>
            <family val="2"/>
          </rPr>
          <t xml:space="preserve">UID of the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UID of a second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Auto tasks start no earlier than this. Manual tasks start exactly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Q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U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V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X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Y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Z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A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Explains predecessor links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F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J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K5" authorId="0">
      <text>
        <r>
          <rPr>
            <sz val="10"/>
            <rFont val="Arial"/>
            <family val="2"/>
          </rPr>
          <t xml:space="preserve">Hours = Duration x HoursPerDay x 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M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N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O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Q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S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X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C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D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E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F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G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H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I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 less the leave of the people in the grids below (Leave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5</xdr:row>
                <xdr:rowOff>2</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T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U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V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Name as on the Resources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C4"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D4"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E4"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F4"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G4"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H4"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I4"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J4"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K4"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L4"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M4"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N4"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O4"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P4"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Q4"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R4"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S4"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T4"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U4"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V4"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W4"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X4"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Y4"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Z4"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A4"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B4"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C4"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D4"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E4"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F4"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G4"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H4"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I4"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J4"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K4"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L4"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X1" authorId="0">
      <text>
        <r>
          <rPr>
            <sz val="10"/>
            <rFont val="Arial"/>
            <family val="2"/>
          </rPr>
          <t xml:space="preserve">Sprint, in MS Project's custom field Text1 (rename it Sprint in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 ref="Y1" authorId="0">
      <text>
        <r>
          <rPr>
            <sz val="10"/>
            <rFont val="Arial"/>
            <family val="2"/>
          </rPr>
          <t xml:space="preserve">Story points, in MS Project's custom field Number1.</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List>
</comments>
</file>

<file path=xl/sharedStrings.xml><?xml version="1.0" encoding="utf-8"?>
<sst xmlns="http://schemas.openxmlformats.org/spreadsheetml/2006/main" count="1136" uniqueCount="800">
  <si>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</si>
  <si>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</si>
  <si>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</si>
  <si>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</si>
  <si>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</si>
  <si>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</si>
  <si>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</si>
  <si>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</si>
  <si>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t>
  </si>
  <si>
    <t xml:space="preserve">3. Tasks</t>
  </si>
  <si>
    <t xml:space="preserve">One row per task. Enter Level (1 = phase/summary, 2 = task, 3 = sub-task...), Task Name, Duration in working days (0 = milestone), and up to two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</si>
  <si>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</si>
  <si>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</si>
  <si>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</si>
  <si>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</si>
  <si>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</si>
  <si>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</si>
  <si>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</si>
  <si>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on Settings to scroll or zoom.</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</si>
  <si>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</si>
  <si>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</si>
  <si>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</si>
  <si>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</si>
  <si>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</si>
  <si>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</si>
  <si>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</si>
  <si>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</si>
  <si>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</si>
  <si>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</si>
  <si>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</si>
  <si>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</si>
  <si>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Leave</t>
  </si>
  <si>
    <t xml:space="preserve">Leave sheet: one row per person, one column per month (Jan-26 ... Dec-28; add a month by typing e.g. Jan-29 in the next header cell). Type the days off: '16, 17(0.5)' under Nov-26 = all of 16 November and half of the 17th. Weekends and holidays are ignored. Leave lowers capacity on the Resource Report and Sprints and can make a task Over-allocated; it does not move task dates.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</si>
  <si>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</si>
  <si>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</si>
  <si>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</si>
  <si>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</si>
  <si>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</si>
  <si>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</si>
  <si>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</si>
  <si>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</si>
  <si>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</si>
  <si>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</si>
  <si>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</si>
  <si>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</si>
  <si>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</si>
  <si>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</si>
  <si>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</si>
  <si>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</si>
  <si>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</si>
  <si>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</si>
  <si>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</si>
  <si>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</si>
  <si>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</si>
  <si>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</si>
  <si>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</si>
  <si>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</si>
  <si>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</si>
  <si>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'Start No Earlier Than'. Manual = pinned to the date in 'Start No Earlier Than'.</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</si>
  <si>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</si>
  <si>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</si>
  <si>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</si>
  <si>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Sprints 26, Holidays 100. The Gantt and MSP_Tasks sheets show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</si>
  <si>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</si>
  <si>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</si>
  <si>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</si>
  <si>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</si>
  <si>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</si>
  <si>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</si>
  <si>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</si>
  <si>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Or: Import Wizard</t>
  </si>
  <si>
    <t xml:space="preserve">The MSP_Tasks / MSP_Resources sheets below. Carries less (no calendar or holidays).</t>
  </si>
  <si>
    <t xml:space="preserve">One-time setting</t>
  </si>
  <si>
    <t xml:space="preserve">MS Project &gt; File &gt; Options &gt; Trust Center &gt; Trust Center Settings &gt; Legacy Formats &gt; 'Allow loading files with legacy or non-default file formats'.</t>
  </si>
  <si>
    <t xml:space="preserve">Import</t>
  </si>
  <si>
    <t xml:space="preserve">In MS Project: File &gt; Open &gt; choose this .xlsx &gt; Import Wizard &gt; New map &gt; 'As a new project' &gt; tick Tasks (and Resources) &gt; Tasks source worksheet = MSP_Tasks, Resources = MSP_Resources. Column headers already use MS Project field names, so the wizard maps them automatically. Map 'Predecessors' (by ID) for a new project; 'Unique ID' and 'Unique ID Predecessors' are for merging into an existing one.</t>
  </si>
  <si>
    <t xml:space="preserve">Tip: Start/Finish</t>
  </si>
  <si>
    <t xml:space="preserve">For auto-scheduled tasks map Duration + Predecessors (+ Constraint Type/Date) and set Start/Finish to '(not mapped)' - importing Start/Finish makes MS Project add fixed 'Start No Earlier Than' constraints. Map Baseline Start/Finish to keep the plan, and Actual Start/Finish/% Complete for progress.</t>
  </si>
  <si>
    <t xml:space="preserve">Rows</t>
  </si>
  <si>
    <t xml:space="preserve">Blank MSP_Tasks rows import as blank tasks - delete them in MS Project, or filter the table to non-blank names and copy those rows to a new sheet before importing.</t>
  </si>
  <si>
    <t xml:space="preserve">From MS Project to Excel</t>
  </si>
  <si>
    <t xml:space="preserve">MS Project &gt; File &gt; Save As &gt; Excel Workbook, then paste Name / Outline Level / Duration / Predecessors etc. into the Tasks input columns (split '3FS+2d' into UID, Type, Lag).</t>
  </si>
  <si>
    <t xml:space="preserve">NAMES AND TABLES (Formulas &gt; Name Manager)</t>
  </si>
  <si>
    <t xml:space="preserve">Tables</t>
  </si>
  <si>
    <t xml:space="preserve">Tasks, ResourceTable, SprintTable, HolidayTable, GanttView, MSPTasks, MSPResources,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</si>
  <si>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</si>
  <si>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</si>
  <si>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</si>
  <si>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</si>
  <si>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</si>
  <si>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</si>
  <si>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</si>
  <si>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WORKDAY.INTL(MAX(ProjectStart, [@Start No Earlier Than], predecessor drivers)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</si>
  <si>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</si>
  <si>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</si>
  <si>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</si>
  <si>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</si>
  <si>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</si>
  <si>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</si>
  <si>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</si>
  <si>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</si>
  <si>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</si>
  <si>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</si>
  <si>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</si>
  <si>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</si>
  <si>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</si>
  <si>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</si>
  <si>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</si>
  <si>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</si>
  <si>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</si>
  <si>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</si>
  <si>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</si>
  <si>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</si>
  <si>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</si>
  <si>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</si>
  <si>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</si>
  <si>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</si>
  <si>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</si>
  <si>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</si>
  <si>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</si>
  <si>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</si>
  <si>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</si>
  <si>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</si>
  <si>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Tasks with an over-allocated resource</t>
  </si>
  <si>
    <t xml:space="preserve">Change requests awaiting decision</t>
  </si>
  <si>
    <t xml:space="preserve">Next milestones (forecast)</t>
  </si>
  <si>
    <t xml:space="preserve">Forecast date</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</si>
  <si>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</si>
  <si>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</si>
  <si>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</si>
  <si>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</si>
  <si>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</si>
  <si>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</si>
  <si>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</si>
  <si>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</si>
  <si>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</si>
  <si>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</si>
  <si>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</si>
  <si>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</si>
  <si>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</si>
  <si>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</si>
  <si>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</si>
  <si>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</si>
  <si>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</si>
  <si>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</si>
  <si>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</si>
  <si>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</si>
  <si>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</si>
  <si>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</si>
  <si>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</si>
  <si>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</si>
  <si>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</si>
  <si>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</si>
  <si>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</si>
  <si>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</si>
  <si>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</si>
  <si>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</si>
  <si>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</si>
  <si>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</si>
  <si>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</si>
  <si>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</si>
  <si>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</si>
  <si>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</si>
  <si>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</si>
  <si>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</si>
  <si>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</si>
  <si>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</si>
  <si>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</si>
  <si>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</si>
  <si>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</si>
  <si>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</si>
  <si>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</si>
  <si>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</si>
  <si>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</si>
  <si>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</si>
  <si>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</si>
  <si>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</si>
  <si>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</si>
  <si>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_Task</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</si>
  <si>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</si>
  <si>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</si>
  <si>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</si>
  <si>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</si>
  <si>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</si>
  <si>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</si>
  <si>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</si>
  <si>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</si>
  <si>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</si>
  <si>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</si>
  <si>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</si>
  <si>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</si>
  <si>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</si>
  <si>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</si>
  <si>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</si>
  <si>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</si>
  <si>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</si>
  <si>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</si>
  <si>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</si>
  <si>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</si>
  <si>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</si>
  <si>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</si>
  <si>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</si>
  <si>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</si>
  <si>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</si>
  <si>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</si>
  <si>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</si>
  <si>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</si>
  <si>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Planned Finish</t>
  </si>
  <si>
    <t xml:space="preserve">Forecast Finish</t>
  </si>
  <si>
    <t xml:space="preserve">Finish Var</t>
  </si>
  <si>
    <t xml:space="preserve">Progress</t>
  </si>
  <si>
    <t xml:space="preserve">Budget</t>
  </si>
  <si>
    <t xml:space="preserve">PV</t>
  </si>
  <si>
    <t xml:space="preserve">EV</t>
  </si>
  <si>
    <t xml:space="preserve">AC</t>
  </si>
  <si>
    <t xml:space="preserve">SPI</t>
  </si>
  <si>
    <t xml:space="preserve">CPI</t>
  </si>
  <si>
    <t xml:space="preserve">Open Critical</t>
  </si>
  <si>
    <t xml:space="preserve">Milestone</t>
  </si>
  <si>
    <t xml:space="preserve">Planned</t>
  </si>
  <si>
    <t xml:space="preserve">Forecast</t>
  </si>
  <si>
    <t xml:space="preserve">Deadline</t>
  </si>
  <si>
    <t xml:space="preserve">Deadline Check</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</si>
  <si>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</si>
  <si>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</si>
  <si>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</si>
  <si>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</si>
  <si>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</si>
  <si>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</si>
  <si>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</si>
  <si>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</si>
  <si>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</si>
  <si>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</si>
  <si>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</si>
  <si>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</si>
  <si>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</si>
  <si>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</si>
  <si>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</si>
  <si>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</si>
  <si>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</si>
  <si>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Leave Days</t>
  </si>
  <si>
    <t xml:space="preserve">Weekly hours by resource</t>
  </si>
  <si>
    <t xml:space="preserve">Working days</t>
  </si>
  <si>
    <t xml:space="preserve">Team hours</t>
  </si>
  <si>
    <t xml:space="preserve">Team capacity</t>
  </si>
  <si>
    <t xml:space="preserve">Weekly utilisation by resource (hours / capacity after leave)</t>
  </si>
  <si>
    <t xml:space="preserve">Leave by resource (working days, from the Leave sheet)</t>
  </si>
  <si>
    <t xml:space="preserve">_Leave Row</t>
  </si>
  <si>
    <t xml:space="preserve">_Leave column: week month</t>
  </si>
  <si>
    <t xml:space="preserve">_Leave column: next month</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</si>
  <si>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</si>
  <si>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</si>
  <si>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</si>
  <si>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</si>
  <si>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</si>
  <si>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</si>
  <si>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</si>
  <si>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</si>
  <si>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</si>
  <si>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</si>
  <si>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</si>
  <si>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</si>
  <si>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</si>
  <si>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</si>
  <si>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</si>
  <si>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</si>
  <si>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</si>
  <si>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</si>
  <si>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</si>
  <si>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</si>
  <si>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</si>
  <si>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</si>
  <si>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</si>
  <si>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</si>
  <si>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</si>
  <si>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</si>
  <si>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</si>
  <si>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</si>
  <si>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</si>
  <si>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</si>
  <si>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</si>
  <si>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</si>
  <si>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</si>
  <si>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</si>
  <si>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Risk</t>
  </si>
  <si>
    <t xml:space="preserve">Payment provider certification takes longer than planned</t>
  </si>
  <si>
    <t xml:space="preserve">Jordan Lee</t>
  </si>
  <si>
    <t xml:space="preserve">Open</t>
  </si>
  <si>
    <t xml:space="preserve">Start the certification paperwork now; book the provider's test slot.</t>
  </si>
  <si>
    <t xml:space="preserve">Paperwork submitted 20-Oct.</t>
  </si>
  <si>
    <t xml:space="preserve">UX designer on leave for two weeks in November</t>
  </si>
  <si>
    <t xml:space="preserve">Casey Kim</t>
  </si>
  <si>
    <t xml:space="preserve">Agree cover with the design agency.</t>
  </si>
  <si>
    <t xml:space="preserve">Issue</t>
  </si>
  <si>
    <t xml:space="preserve">Core API endpoints running 6 days behind plan</t>
  </si>
  <si>
    <t xml:space="preserve">Priya Sharma</t>
  </si>
  <si>
    <t xml:space="preserve">Add a second developer for two weeks (change request CR 2).</t>
  </si>
  <si>
    <t xml:space="preserve">Escalated to sponsor.</t>
  </si>
  <si>
    <t xml:space="preserve">Assumption</t>
  </si>
  <si>
    <t xml:space="preserve">Client UAT team available from 7 December</t>
  </si>
  <si>
    <t xml:space="preserve">Morgan Patel</t>
  </si>
  <si>
    <t xml:space="preserve">Confirm names and dates at the November steering committee.</t>
  </si>
  <si>
    <t xml:space="preserve">Dependency</t>
  </si>
  <si>
    <t xml:space="preserve">Test environment delivered by IT operations by 9 November</t>
  </si>
  <si>
    <t xml:space="preserve">Alex Chen</t>
  </si>
  <si>
    <t xml:space="preserve">Weekly check-in with IT operations.</t>
  </si>
  <si>
    <t xml:space="preserve">Hardware ordered.</t>
  </si>
  <si>
    <t xml:space="preserve">Scope creep on the reporting screens</t>
  </si>
  <si>
    <t xml:space="preserve">Closed</t>
  </si>
  <si>
    <t xml:space="preserve">Reporting screens moved to phase 2 (decision D 2).</t>
  </si>
  <si>
    <t xml:space="preserve">Closed 09-Oct.</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</si>
  <si>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</si>
  <si>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</si>
  <si>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</si>
  <si>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</si>
  <si>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</si>
  <si>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</si>
  <si>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</si>
  <si>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</si>
  <si>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Use the existing identity provider for customer log-in</t>
  </si>
  <si>
    <t xml:space="preserve">Options: build our own, buy a new service, reuse. Reuse is cheapest and already security-approved.</t>
  </si>
  <si>
    <t xml:space="preserve">Steering committee</t>
  </si>
  <si>
    <t xml:space="preserve">Approved</t>
  </si>
  <si>
    <t xml:space="preserve">Move the reporting screens to phase 2</t>
  </si>
  <si>
    <t xml:space="preserve">Keeps the Build deadline (06-Nov). Reporting is not needed for go-live.</t>
  </si>
  <si>
    <t xml:space="preserve">Sponsor</t>
  </si>
  <si>
    <t xml:space="preserve">Add a second developer to the core API for two weeks</t>
  </si>
  <si>
    <t xml:space="preserve">Recovers about 4 of the 6 days' slip. Cost in change request CR 2.</t>
  </si>
  <si>
    <t xml:space="preserve">Proposed</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</si>
  <si>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</si>
  <si>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</si>
  <si>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</si>
  <si>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</si>
  <si>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</si>
  <si>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</si>
  <si>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</si>
  <si>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Marketing</t>
  </si>
  <si>
    <t xml:space="preserve">Add a newsletter sign-up to the portal</t>
  </si>
  <si>
    <t xml:space="preserve">Supports the launch campaign.</t>
  </si>
  <si>
    <t xml:space="preserve">Second developer on the core API for two weeks</t>
  </si>
  <si>
    <t xml:space="preserve">Recovers most of the API slip (RAID 3).</t>
  </si>
  <si>
    <t xml:space="preserve">Under Review</t>
  </si>
  <si>
    <t xml:space="preserve">Sales</t>
  </si>
  <si>
    <t xml:space="preserve">Live chat on every page</t>
  </si>
  <si>
    <t xml:space="preserve">Nice to have; not needed for go-live.</t>
  </si>
  <si>
    <t xml:space="preserve">Rejected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</si>
  <si>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</si>
  <si>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</si>
  <si>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</si>
  <si>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</si>
  <si>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</si>
  <si>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</si>
  <si>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</si>
  <si>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</si>
  <si>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</si>
  <si>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</si>
  <si>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</si>
  <si>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</si>
  <si>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</si>
  <si>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Green</t>
  </si>
  <si>
    <t xml:space="preserve">Amber</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</si>
  <si>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</si>
  <si>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</si>
  <si>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</si>
  <si>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</si>
  <si>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</si>
  <si>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Customer Portal Implementation</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</si>
  <si>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</si>
  <si>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</si>
  <si>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</si>
  <si>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</si>
  <si>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</si>
  <si>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</si>
  <si>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</si>
  <si>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</si>
  <si>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</si>
  <si>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</si>
  <si>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</si>
  <si>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</si>
  <si>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</si>
  <si>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</si>
  <si>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</si>
  <si>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</si>
  <si>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</si>
  <si>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</si>
  <si>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</si>
  <si>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</si>
  <si>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</si>
  <si>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</si>
  <si>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</si>
  <si>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</si>
  <si>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</si>
  <si>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</si>
  <si>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</si>
  <si>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</si>
  <si>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</si>
  <si>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</si>
  <si>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</si>
  <si>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</si>
  <si>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</si>
  <si>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</si>
  <si>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</si>
  <si>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</si>
  <si>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</si>
  <si>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</si>
  <si>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</si>
  <si>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</si>
  <si>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</si>
  <si>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</si>
  <si>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</si>
  <si>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</si>
  <si>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</si>
  <si>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</si>
  <si>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</si>
  <si>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</si>
  <si>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</si>
  <si>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</si>
  <si>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</si>
  <si>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</si>
  <si>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timeline.</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</si>
  <si>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</si>
  <si>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</si>
  <si>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</si>
  <si>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</si>
  <si>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</si>
  <si>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</si>
  <si>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</si>
  <si>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</si>
  <si>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</si>
  <si>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</si>
  <si>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</si>
  <si>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</si>
  <si>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</si>
  <si>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</si>
  <si>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</si>
  <si>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</si>
  <si>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</si>
  <si>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</si>
  <si>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</si>
  <si>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</si>
  <si>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</si>
  <si>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</si>
  <si>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</si>
  <si>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</si>
  <si>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</si>
  <si>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</si>
  <si>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</si>
  <si>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</si>
  <si>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</si>
  <si>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</si>
  <si>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</si>
  <si>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</si>
  <si>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</si>
  <si>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</si>
  <si>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</si>
  <si>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</si>
  <si>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</si>
  <si>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</si>
  <si>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</si>
  <si>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</si>
  <si>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</si>
  <si>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</si>
  <si>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</si>
  <si>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</si>
  <si>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</si>
  <si>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</si>
  <si>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</si>
  <si>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</si>
  <si>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</si>
  <si>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</si>
  <si>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</si>
  <si>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</si>
  <si>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</si>
  <si>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</si>
  <si>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</si>
  <si>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</si>
  <si>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</si>
  <si>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</si>
  <si>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</si>
  <si>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</si>
  <si>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</si>
  <si>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</si>
  <si>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</si>
  <si>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</si>
  <si>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</si>
  <si>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</si>
  <si>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</si>
  <si>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</si>
  <si>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</si>
  <si>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</si>
  <si>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</si>
  <si>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</si>
  <si>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</si>
  <si>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</si>
  <si>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</si>
  <si>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</si>
  <si>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</si>
  <si>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</si>
  <si>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</si>
  <si>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Task Name</t>
  </si>
  <si>
    <t xml:space="preserve">Pred1 UID</t>
  </si>
  <si>
    <t xml:space="preserve">Pred1 Type</t>
  </si>
  <si>
    <t xml:space="preserve">Pred1 Lag</t>
  </si>
  <si>
    <t xml:space="preserve">Pred2 UID</t>
  </si>
  <si>
    <t xml:space="preserve">Pred2 Type</t>
  </si>
  <si>
    <t xml:space="preserve">Pred2 Lag</t>
  </si>
  <si>
    <t xml:space="preserve">Start No Earlier Than</t>
  </si>
  <si>
    <t xml:space="preserve">Planned Start</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</si>
  <si>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</si>
  <si>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</si>
  <si>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</si>
  <si>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</si>
  <si>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</si>
  <si>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</si>
  <si>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</si>
  <si>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</si>
  <si>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Over-allocated</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</si>
  <si>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</si>
  <si>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</si>
  <si>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</si>
  <si>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</si>
  <si>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</si>
  <si>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</si>
  <si>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</si>
  <si>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</si>
  <si>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</si>
  <si>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</si>
  <si>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</si>
  <si>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</si>
  <si>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</si>
  <si>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</si>
  <si>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</si>
  <si>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</si>
  <si>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</si>
  <si>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</si>
  <si>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</si>
  <si>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</si>
  <si>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</si>
  <si>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</si>
  <si>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</si>
  <si>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</si>
  <si>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</si>
  <si>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</si>
  <si>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</si>
  <si>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</si>
  <si>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</si>
  <si>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</si>
  <si>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</si>
  <si>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_Pred1FinishKey</t>
  </si>
  <si>
    <t xml:space="preserve">_Pred2FinishKey</t>
  </si>
  <si>
    <t xml:space="preserve">_Pred1SlackKey</t>
  </si>
  <si>
    <t xml:space="preserve">_Pred2SlackKey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</si>
  <si>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</si>
  <si>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</si>
  <si>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</si>
  <si>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</si>
  <si>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</si>
  <si>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</si>
  <si>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_CalcStart</t>
  </si>
  <si>
    <t xml:space="preserve">_CalcFinish</t>
  </si>
  <si>
    <t xml:space="preserve">_Pred1Problem</t>
  </si>
  <si>
    <t xml:space="preserve">_Pred2Problem</t>
  </si>
  <si>
    <t xml:space="preserve">_Pred1PlanDriver</t>
  </si>
  <si>
    <t xml:space="preserve">_Pred2PlanDriver</t>
  </si>
  <si>
    <t xml:space="preserve">_Pred1FcstDriver</t>
  </si>
  <si>
    <t xml:space="preserve">_Pred2FcstDriver</t>
  </si>
  <si>
    <t xml:space="preserve">_StartWorkday</t>
  </si>
  <si>
    <t xml:space="preserve">_FinishWorkday</t>
  </si>
  <si>
    <t xml:space="preserve">_WorkPerWorkday</t>
  </si>
  <si>
    <t xml:space="preserve">_WorkBeforeStart</t>
  </si>
  <si>
    <t xml:space="preserve">_WeightDur</t>
  </si>
  <si>
    <t xml:space="preserve">_WeightDone</t>
  </si>
  <si>
    <t xml:space="preserve">_Pred1IDText</t>
  </si>
  <si>
    <t xml:space="preserve">_Pred2IDText</t>
  </si>
  <si>
    <t xml:space="preserve">_Pred1UIDText</t>
  </si>
  <si>
    <t xml:space="preserve">_Pred2UIDText</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</si>
  <si>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</si>
  <si>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</si>
  <si>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</si>
  <si>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</si>
  <si>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</si>
  <si>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</si>
  <si>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</si>
  <si>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</si>
  <si>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</si>
  <si>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</si>
  <si>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</si>
  <si>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</si>
  <si>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</si>
  <si>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</si>
  <si>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</si>
  <si>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</si>
  <si>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</si>
  <si>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</si>
  <si>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Initiation</t>
  </si>
  <si>
    <t xml:space="preserve">Auto</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</si>
  <si>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</si>
  <si>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</si>
  <si>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</si>
  <si>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</si>
  <si>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FS</t>
  </si>
  <si>
    <t xml:space="preserve">Kickoff complete</t>
  </si>
  <si>
    <t xml:space="preserve">Milestone (Duration 0).</t>
  </si>
  <si>
    <t xml:space="preserve">Requirements &amp; Design</t>
  </si>
  <si>
    <t xml:space="preserve">Requirements gathering</t>
  </si>
  <si>
    <t xml:space="preserve">Solution architecture</t>
  </si>
  <si>
    <t xml:space="preserve">SS</t>
  </si>
  <si>
    <t xml:space="preserve">Start-to-Start + 3 day lag example.</t>
  </si>
  <si>
    <t xml:space="preserve">UX wireframes &amp; prototype</t>
  </si>
  <si>
    <t xml:space="preserve">Design sign-off</t>
  </si>
  <si>
    <t xml:space="preserve">Two predecessors - waits for the later one.</t>
  </si>
  <si>
    <t xml:space="preserve">Build</t>
  </si>
  <si>
    <t xml:space="preserve">Backend</t>
  </si>
  <si>
    <t xml:space="preserve">Level-2 summary with sub-tasks.</t>
  </si>
  <si>
    <t xml:space="preserve">Data model &amp; database setup</t>
  </si>
  <si>
    <t xml:space="preserve">Core API endpoints</t>
  </si>
  <si>
    <t xml:space="preserve">In progress - enter % Complete; forecast finish adjusts.</t>
  </si>
  <si>
    <t xml:space="preserve">Payment gateway integration</t>
  </si>
  <si>
    <t xml:space="preserve">Frontend</t>
  </si>
  <si>
    <t xml:space="preserve">UI component library</t>
  </si>
  <si>
    <t xml:space="preserve">Sam Rivera</t>
  </si>
  <si>
    <t xml:space="preserve">Feature screens</t>
  </si>
  <si>
    <t xml:space="preserve">Accessibility review</t>
  </si>
  <si>
    <t xml:space="preserve">FF</t>
  </si>
  <si>
    <t xml:space="preserve">Finish-to-Finish + 1 day; 50% units.</t>
  </si>
  <si>
    <t xml:space="preserve">Build complete</t>
  </si>
  <si>
    <t xml:space="preserve">Milestone with a deadline of 06-Nov (see Deadline Check).</t>
  </si>
  <si>
    <t xml:space="preserve">Test &amp; Release</t>
  </si>
  <si>
    <t xml:space="preserve">System integration testing</t>
  </si>
  <si>
    <t xml:space="preserve">Taylor Morgan</t>
  </si>
  <si>
    <t xml:space="preserve">User acceptance testing</t>
  </si>
  <si>
    <t xml:space="preserve">Start No Earlier Than 07-Dec (client availability).</t>
  </si>
  <si>
    <t xml:space="preserve">Training &amp; user guides</t>
  </si>
  <si>
    <t xml:space="preserve">Go-live readiness review</t>
  </si>
  <si>
    <t xml:space="preserve">Go-live</t>
  </si>
  <si>
    <t xml:space="preserve">Milestone with a deadline of 18-Dec.</t>
  </si>
  <si>
    <t xml:space="preserve">Hypercare support</t>
  </si>
  <si>
    <t xml:space="preserve">Project Close</t>
  </si>
  <si>
    <t xml:space="preserve">Steering committee update</t>
  </si>
  <si>
    <t xml:space="preserve">Manual</t>
  </si>
  <si>
    <t xml:space="preserve">Manual mode example: fixed on the date in the Start No Earlier Than column.</t>
  </si>
  <si>
    <t xml:space="preserve">Lessons learned</t>
  </si>
  <si>
    <t xml:space="preserve">Project closed</t>
  </si>
  <si>
    <t xml:space="preserve">Planned (outline)</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</si>
  <si>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</si>
  <si>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</si>
  <si>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</si>
  <si>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</si>
  <si>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</si>
  <si>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</si>
  <si>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</si>
  <si>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</si>
  <si>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</si>
  <si>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</si>
  <si>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</si>
  <si>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</si>
  <si>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</si>
  <si>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</si>
  <si>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</si>
  <si>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</si>
  <si>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</si>
  <si>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</si>
  <si>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</si>
  <si>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</si>
  <si>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</si>
  <si>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</si>
  <si>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</si>
  <si>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</si>
  <si>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</si>
  <si>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PS</t>
  </si>
  <si>
    <t xml:space="preserve">Project Manager</t>
  </si>
  <si>
    <t xml:space="preserve">priya@example.com</t>
  </si>
  <si>
    <t xml:space="preserve">MP</t>
  </si>
  <si>
    <t xml:space="preserve">Business Analyst</t>
  </si>
  <si>
    <t xml:space="preserve">morgan@example.com</t>
  </si>
  <si>
    <t xml:space="preserve">Solution Architect</t>
  </si>
  <si>
    <t xml:space="preserve">alex@example.com</t>
  </si>
  <si>
    <t xml:space="preserve">CK</t>
  </si>
  <si>
    <t xml:space="preserve">UX Designer</t>
  </si>
  <si>
    <t xml:space="preserve">casey@example.com</t>
  </si>
  <si>
    <t xml:space="preserve">JL</t>
  </si>
  <si>
    <t xml:space="preserve">Backend Developer</t>
  </si>
  <si>
    <t xml:space="preserve">jordan@example.com</t>
  </si>
  <si>
    <t xml:space="preserve">SR</t>
  </si>
  <si>
    <t xml:space="preserve">Frontend Developer</t>
  </si>
  <si>
    <t xml:space="preserve">sam@example.com</t>
  </si>
  <si>
    <t xml:space="preserve">TM</t>
  </si>
  <si>
    <t xml:space="preserve">QA Engineer</t>
  </si>
  <si>
    <t xml:space="preserve">taylor@example.com</t>
  </si>
  <si>
    <t xml:space="preserve">Sprint calendar from Settings (Sprint1Start, SprintLength, SprintCount); add rows to the table for more sprints. Each task's work is spread evenly over its forecast working days, then summed per sprint.</t>
  </si>
  <si>
    <t xml:space="preserve">Start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</si>
  <si>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</si>
  <si>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</si>
  <si>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</si>
  <si>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</si>
  <si>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</si>
  <si>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</si>
  <si>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</si>
  <si>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</si>
  <si>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</si>
  <si>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</si>
  <si>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</si>
  <si>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</si>
  <si>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</si>
  <si>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_LeaveCol0</t>
  </si>
  <si>
    <t xml:space="preserve">_LeaveCol1</t>
  </si>
  <si>
    <t xml:space="preserve">_LeaveCol2</t>
  </si>
  <si>
    <t xml:space="preserve">Charter &amp; kickoff</t>
  </si>
  <si>
    <t xml:space="preserve">Requirements</t>
  </si>
  <si>
    <t xml:space="preserve">Design &amp; architecture</t>
  </si>
  <si>
    <t xml:space="preserve">Foundations: DB + components</t>
  </si>
  <si>
    <t xml:space="preserve">Core APIs + screens</t>
  </si>
  <si>
    <t xml:space="preserve">Payments + screens</t>
  </si>
  <si>
    <t xml:space="preserve">Feature complete</t>
  </si>
  <si>
    <t xml:space="preserve">System testing</t>
  </si>
  <si>
    <t xml:space="preserve">UAT</t>
  </si>
  <si>
    <t xml:space="preserve">Release &amp; hypercare</t>
  </si>
  <si>
    <t xml:space="preserve">Hypercare</t>
  </si>
  <si>
    <t xml:space="preserve">Close-out</t>
  </si>
  <si>
    <t xml:space="preserve">Resource load by sprint (hours)  -  red = over capacity (Max Units x HoursPerDay x working days, less leave)</t>
  </si>
  <si>
    <t xml:space="preserve">Sprint start</t>
  </si>
  <si>
    <t xml:space="preserve">Resource utilisation by sprint (% of capacity after leave)</t>
  </si>
  <si>
    <t xml:space="preserve">Leave days by sprint (helper for the utilisation grid)</t>
  </si>
  <si>
    <t xml:space="preserve">Holidays &amp; Non-Working Days</t>
  </si>
  <si>
    <t xml:space="preserve">Every date in this table is skipped by all scheduling formulas (named range: Holidays). Add rows to the table as needed.</t>
  </si>
  <si>
    <t xml:space="preserve">Description</t>
  </si>
  <si>
    <t xml:space="preserve">Christmas Eve (example - replace with your calendar)</t>
  </si>
  <si>
    <t xml:space="preserve">Christmas Day (example)</t>
  </si>
  <si>
    <t xml:space="preserve">New Year's Eve (example)</t>
  </si>
  <si>
    <t xml:space="preserve">New Year's Day (example)</t>
  </si>
  <si>
    <t xml:space="preserve">One row per person, one column per month. Type the days off, e.g. "16, 17(0.5)" under Nov-26 = all of 16 November and half of the 17th. Leave lowers capacity (Resource Report, Sprints) but doesn't move tasks. Add a month by typing its name (e.g. "Jan-29") in the header cell after the last month.</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</si>
  <si>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</si>
  <si>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</si>
  <si>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</si>
  <si>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</si>
  <si>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</si>
  <si>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</si>
  <si>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</si>
  <si>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</si>
  <si>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</si>
  <si>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</si>
  <si>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</si>
  <si>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</si>
  <si>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</si>
  <si>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</si>
  <si>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</si>
  <si>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</si>
  <si>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</si>
  <si>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</si>
  <si>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</si>
  <si>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</si>
  <si>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</si>
  <si>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</si>
  <si>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</si>
  <si>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</si>
  <si>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</si>
  <si>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</si>
  <si>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</si>
  <si>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</si>
  <si>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</si>
  <si>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</si>
  <si>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</si>
  <si>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</si>
  <si>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</si>
  <si>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</si>
  <si>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</si>
  <si>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</si>
  <si>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16, 17(0.5), 18, 19, 20, 23, 24, 25, 26, 27</t>
  </si>
  <si>
    <t xml:space="preserve">30</t>
  </si>
  <si>
    <t xml:space="preserve">21, 22, 23(0.5)</t>
  </si>
  <si>
    <t xml:space="preserve">2(0.5)</t>
  </si>
  <si>
    <t xml:space="preserve">28, 29, 30</t>
  </si>
  <si>
    <t xml:space="preserve">Unique ID</t>
  </si>
  <si>
    <t xml:space="preserve">Name</t>
  </si>
  <si>
    <t xml:space="preserve">Outline Level</t>
  </si>
  <si>
    <t xml:space="preserve">Task Mode</t>
  </si>
  <si>
    <t xml:space="preserve">Finish</t>
  </si>
  <si>
    <t xml:space="preserve">Unique ID Predecessors</t>
  </si>
  <si>
    <t xml:space="preserve">Resource Names</t>
  </si>
  <si>
    <t xml:space="preserve">Constraint Type</t>
  </si>
  <si>
    <t xml:space="preserve">Constraint Date</t>
  </si>
  <si>
    <t xml:space="preserve">Text1</t>
  </si>
  <si>
    <t xml:space="preserve">Number1</t>
  </si>
  <si>
    <t xml:space="preserve">Standard Rate</t>
  </si>
  <si>
    <t xml:space="preserve">Email Address</t>
  </si>
  <si>
    <t xml:space="preserve">Link Type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</si>
  <si>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</si>
  <si>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</si>
  <si>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</si>
  <si>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</si>
  <si>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</si>
  <si>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</si>
  <si>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</si>
  <si>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Submitted</t>
  </si>
  <si>
    <t xml:space="preserve">Material</t>
  </si>
  <si>
    <t xml:space="preserve">Red</t>
  </si>
  <si>
    <t xml:space="preserve">SF</t>
  </si>
  <si>
    <t xml:space="preserve">Superseded</t>
  </si>
  <si>
    <t xml:space="preserve">Implemented</t>
  </si>
  <si>
    <t xml:space="preserve">Dropdown sources. Add a value by typing it in the row under a list: the table and its named range grow.</t>
  </si>
</sst>
</file>

<file path=xl/styles.xml><?xml version="1.0" encoding="utf-8"?>
<styleSheet xmlns="http://schemas.openxmlformats.org/spreadsheetml/2006/main">
  <numFmts count="21">
    <numFmt numFmtId="164" formatCode="General"/>
    <numFmt numFmtId="165" formatCode="ddd\ dd\-mmm\-yy"/>
    <numFmt numFmtId="166" formatCode="\+0;\-0;0"/>
    <numFmt numFmtId="167" formatCode="0%"/>
    <numFmt numFmtId="168" formatCode="0"/>
    <numFmt numFmtId="169" formatCode="#,##0"/>
    <numFmt numFmtId="170" formatCode="#,##0.00"/>
    <numFmt numFmtId="171" formatCode="@"/>
    <numFmt numFmtId="172" formatCode="0.00"/>
    <numFmt numFmtId="173" formatCode="General"/>
    <numFmt numFmtId="174" formatCode="dd\-mmm\-yy"/>
    <numFmt numFmtId="175" formatCode="0.#"/>
    <numFmt numFmtId="176" formatCode="dd\-mmm"/>
    <numFmt numFmtId="177" formatCode="#,##0;;\-"/>
    <numFmt numFmtId="178" formatCode="0%;;\-"/>
    <numFmt numFmtId="179" formatCode="0.#;;\-"/>
    <numFmt numFmtId="180" formatCode="0.0"/>
    <numFmt numFmtId="181" formatCode="#,##0.0"/>
    <numFmt numFmtId="182" formatCode="mm/dd/yy"/>
    <numFmt numFmtId="183" formatCode="d"/>
    <numFmt numFmtId="184" formatCode="dd\-mmm;;\-"/>
  </numFmts>
  <fonts count="34">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1F4E78"/>
      <name val="Arial"/>
      <family val="0"/>
      <charset val="1"/>
    </font>
    <font>
      <sz val="10"/>
      <color rgb="FF404040"/>
      <name val="Arial"/>
      <family val="0"/>
      <charset val="1"/>
    </font>
    <font>
      <sz val="10"/>
      <name val="Arial"/>
      <family val="2"/>
    </font>
    <font>
      <b val="true"/>
      <sz val="12"/>
      <color rgb="FF1F4E78"/>
      <name val="Arial"/>
      <family val="0"/>
      <charset val="1"/>
    </font>
    <font>
      <i val="true"/>
      <sz val="9"/>
      <name val="Arial"/>
      <family val="0"/>
      <charset val="1"/>
    </font>
    <font>
      <i val="true"/>
      <sz val="8"/>
      <color rgb="FF7F7F7F"/>
      <name val="Arial"/>
      <family val="0"/>
      <charset val="1"/>
    </font>
    <font>
      <sz val="8"/>
      <color rgb="FF7F7F7F"/>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b val="true"/>
      <sz val="10"/>
      <color rgb="FF404040"/>
      <name val="Arial"/>
      <family val="0"/>
      <charset val="1"/>
    </font>
    <font>
      <sz val="8"/>
      <color rgb="FF404040"/>
      <name val="Arial"/>
      <family val="0"/>
      <charset val="1"/>
    </font>
    <font>
      <b val="true"/>
      <sz val="8"/>
      <color rgb="FF404040"/>
      <name val="Arial"/>
      <family val="0"/>
      <charset val="1"/>
    </font>
    <font>
      <sz val="8"/>
      <color rgb="FFFFFFFF"/>
      <name val="Arial"/>
      <family val="0"/>
      <charset val="1"/>
    </font>
  </fonts>
  <fills count="14">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70AD47"/>
        <bgColor rgb="FF98B855"/>
      </patternFill>
    </fill>
    <fill>
      <patternFill patternType="solid">
        <fgColor rgb="FF9DC3E6"/>
        <bgColor rgb="FFA6A6A6"/>
      </patternFill>
    </fill>
    <fill>
      <patternFill patternType="solid">
        <fgColor rgb="FFF4B183"/>
        <bgColor rgb="FFFFC7CE"/>
      </patternFill>
    </fill>
    <fill>
      <patternFill patternType="solid">
        <fgColor rgb="FFE06666"/>
        <bgColor rgb="FFC0504D"/>
      </patternFill>
    </fill>
    <fill>
      <patternFill patternType="solid">
        <fgColor rgb="FF404040"/>
        <bgColor rgb="FF1F3864"/>
      </patternFill>
    </fill>
    <fill>
      <patternFill patternType="solid">
        <fgColor rgb="FF7030A0"/>
        <bgColor rgb="FF800080"/>
      </patternFill>
    </fill>
    <fill>
      <patternFill patternType="solid">
        <fgColor rgb="FFC00000"/>
        <bgColor rgb="FF9C0006"/>
      </patternFill>
    </fill>
    <fill>
      <patternFill patternType="solid">
        <fgColor rgb="FFEDEDED"/>
        <bgColor rgb="FFF2F2F2"/>
      </patternFill>
    </fill>
  </fills>
  <borders count="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right"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8" fontId="7" fillId="3" borderId="1"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72"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73" fontId="20" fillId="3" borderId="1" xfId="0" applyFont="true" applyBorder="true" applyAlignment="false" applyProtection="false">
      <alignment horizontal="general" vertical="bottom" textRotation="0" wrapText="false" indent="0" shrinkToFit="false"/>
      <protection locked="true" hidden="false"/>
    </xf>
    <xf numFmtId="174" fontId="7" fillId="3" borderId="1" xfId="0" applyFont="true" applyBorder="true" applyAlignment="true" applyProtection="false">
      <alignment horizontal="center"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75" fontId="7" fillId="3" borderId="1" xfId="0" applyFont="true" applyBorder="true" applyAlignment="true" applyProtection="false">
      <alignment horizontal="center"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6" fontId="5" fillId="4"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77" fontId="6" fillId="3" borderId="1" xfId="0" applyFont="true" applyBorder="true" applyAlignment="false" applyProtection="false">
      <alignment horizontal="general" vertical="bottom" textRotation="0" wrapText="false" indent="0" shrinkToFit="false"/>
      <protection locked="true" hidden="false"/>
    </xf>
    <xf numFmtId="178" fontId="7"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79" fontId="7"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5" fontId="7" fillId="3" borderId="1" xfId="0" applyFont="true" applyBorder="true" applyAlignment="true" applyProtection="false">
      <alignment horizontal="right" vertical="bottom" textRotation="0" wrapText="false" indent="0" shrinkToFit="false"/>
      <protection locked="true" hidden="false"/>
    </xf>
    <xf numFmtId="18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79" fontId="7" fillId="3" borderId="1" xfId="0" applyFont="true" applyBorder="true" applyAlignment="true" applyProtection="false">
      <alignment horizontal="center" vertical="bottom" textRotation="0" wrapText="false" indent="0" shrinkToFit="false"/>
      <protection locked="true" hidden="false"/>
    </xf>
    <xf numFmtId="175" fontId="7" fillId="3"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75" fontId="20"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5"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80"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81" fontId="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false" applyProtection="false">
      <alignment horizontal="general" vertical="bottom" textRotation="0" wrapText="false" indent="0" shrinkToFit="false"/>
      <protection locked="true" hidden="false"/>
    </xf>
    <xf numFmtId="173" fontId="20"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82" fontId="20" fillId="3"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83" fontId="33" fillId="4" borderId="0" xfId="0" applyFont="true" applyBorder="false" applyAlignment="true" applyProtection="false">
      <alignment horizontal="center" vertical="center" textRotation="0" wrapText="false" indent="0" shrinkToFit="false"/>
      <protection locked="true" hidden="false"/>
    </xf>
    <xf numFmtId="173" fontId="29" fillId="3" borderId="1" xfId="0" applyFont="true" applyBorder="true" applyAlignment="true" applyProtection="false">
      <alignment horizontal="center" vertical="bottom" textRotation="0" wrapText="false" indent="0" shrinkToFit="false"/>
      <protection locked="true" hidden="false"/>
    </xf>
    <xf numFmtId="164" fontId="29" fillId="3" borderId="1" xfId="0" applyFont="true" applyBorder="true" applyAlignment="false" applyProtection="false">
      <alignment horizontal="general" vertical="bottom" textRotation="0" wrapText="false" indent="0" shrinkToFit="false"/>
      <protection locked="true" hidden="false"/>
    </xf>
    <xf numFmtId="174" fontId="29" fillId="3" borderId="1" xfId="0" applyFont="true" applyBorder="true" applyAlignment="false" applyProtection="false">
      <alignment horizontal="general" vertical="bottom" textRotation="0" wrapText="false" indent="0" shrinkToFit="false"/>
      <protection locked="true" hidden="false"/>
    </xf>
    <xf numFmtId="167" fontId="29" fillId="3" borderId="1" xfId="0" applyFont="true" applyBorder="true" applyAlignment="true" applyProtection="false">
      <alignment horizontal="center" vertical="bottom" textRotation="0" wrapText="false" indent="0" shrinkToFit="false"/>
      <protection locked="true" hidden="false"/>
    </xf>
    <xf numFmtId="164" fontId="29" fillId="3" borderId="1" xfId="0" applyFont="true" applyBorder="true" applyAlignment="true" applyProtection="false">
      <alignment horizontal="center" vertical="bottom" textRotation="0" wrapText="false" indent="0" shrinkToFit="false"/>
      <protection locked="true" hidden="false"/>
    </xf>
    <xf numFmtId="173" fontId="29" fillId="3" borderId="1" xfId="0" applyFont="true" applyBorder="true" applyAlignment="false" applyProtection="false">
      <alignment horizontal="general" vertical="bottom" textRotation="0" wrapText="false" indent="0" shrinkToFit="false"/>
      <protection locked="true" hidden="false"/>
    </xf>
    <xf numFmtId="173" fontId="29" fillId="3" borderId="1" xfId="0" applyFont="true" applyBorder="true" applyAlignment="false" applyProtection="false">
      <alignment horizontal="general" vertical="bottom" textRotation="0" wrapText="false" indent="0" shrinkToFit="false"/>
      <protection locked="true" hidden="false"/>
    </xf>
    <xf numFmtId="184" fontId="29" fillId="3" borderId="1" xfId="0" applyFont="true" applyBorder="true" applyAlignment="false" applyProtection="false">
      <alignment horizontal="general" vertical="bottom" textRotation="0" wrapText="false" indent="0" shrinkToFit="false"/>
      <protection locked="true" hidden="false"/>
    </xf>
    <xf numFmtId="180" fontId="7" fillId="3" borderId="1" xfId="0" applyFont="true" applyBorder="true" applyAlignment="true" applyProtection="false">
      <alignment horizontal="center" vertical="bottom" textRotation="0" wrapText="false" indent="0" shrinkToFit="false"/>
      <protection locked="true" hidden="false"/>
    </xf>
    <xf numFmtId="176" fontId="23" fillId="0" borderId="0" xfId="0" applyFont="true" applyBorder="false" applyAlignment="false" applyProtection="false">
      <alignment horizontal="general" vertical="bottom" textRotation="0" wrapText="false" indent="0" shrinkToFit="false"/>
      <protection locked="true" hidden="false"/>
    </xf>
    <xf numFmtId="174"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6">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FFC7CE"/>
          <bgColor rgb="FF000000"/>
        </patternFill>
      </fill>
    </dxf>
    <dxf>
      <fill>
        <patternFill patternType="solid">
          <fgColor rgb="FF548235"/>
          <bgColor rgb="FF000000"/>
        </patternFill>
      </fill>
    </dxf>
    <dxf>
      <fill>
        <patternFill patternType="solid">
          <fgColor rgb="FF9C0006"/>
          <bgColor rgb="FF000000"/>
        </patternFill>
      </fill>
    </dxf>
    <dxf>
      <fill>
        <patternFill patternType="solid">
          <fgColor rgb="FFC00000"/>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5700"/>
          <bgColor rgb="FF000000"/>
        </patternFill>
      </fill>
    </dxf>
    <dxf>
      <fill>
        <patternFill patternType="solid">
          <fgColor rgb="FFA6A6A6"/>
          <bgColor rgb="FF000000"/>
        </patternFill>
      </fill>
    </dxf>
    <dxf>
      <fill>
        <patternFill patternType="solid">
          <fgColor rgb="FF404040"/>
          <bgColor rgb="FF000000"/>
        </patternFill>
      </fill>
    </dxf>
    <dxf>
      <font>
        <b val="1"/>
        <color rgb="FFC00000"/>
      </font>
    </dxf>
    <dxf>
      <font>
        <b val="1"/>
        <color rgb="FFFFFFFF"/>
      </font>
      <fill>
        <patternFill>
          <bgColor rgb="FFC00000"/>
        </patternFill>
      </fill>
    </dxf>
    <dxf>
      <font>
        <b val="1"/>
        <color rgb="FF9C0006"/>
      </font>
    </dxf>
    <dxf>
      <font>
        <b val="1"/>
        <color rgb="FF7030A0"/>
      </font>
      <fill>
        <patternFill>
          <bgColor rgb="FFE4DFEC"/>
        </patternFill>
      </fill>
    </dxf>
    <dxf>
      <font>
        <color rgb="FFFFFFFF"/>
      </font>
    </dxf>
    <dxf>
      <font>
        <color rgb="FFA6A6A6"/>
      </font>
    </dxf>
    <dxf>
      <font>
        <b val="1"/>
        <color rgb="FFC55A11"/>
      </font>
    </dxf>
    <dxf>
      <font>
        <b val="1"/>
        <color rgb="FFA6A6A6"/>
      </font>
    </dxf>
    <dxf>
      <fill>
        <patternFill>
          <bgColor rgb="FFFFFF00"/>
        </patternFill>
      </fill>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C00000"/>
        </patternFill>
      </fill>
    </dxf>
    <dxf>
      <fill>
        <patternFill>
          <bgColor rgb="FF404040"/>
        </patternFill>
      </fill>
    </dxf>
    <dxf>
      <fill>
        <patternFill>
          <bgColor rgb="FF7030A0"/>
        </patternFill>
      </fill>
    </dxf>
    <dxf>
      <fill>
        <patternFill>
          <bgColor rgb="FF70AD47"/>
        </patternFill>
      </fill>
    </dxf>
    <dxf>
      <fill>
        <patternFill>
          <bgColor rgb="FFE06666"/>
        </patternFill>
      </fill>
    </dxf>
    <dxf>
      <fill>
        <patternFill>
          <bgColor rgb="FFF4B183"/>
        </patternFill>
      </fill>
    </dxf>
    <dxf>
      <fill>
        <patternFill>
          <bgColor rgb="FF9DC3E6"/>
        </patternFill>
      </fill>
    </dxf>
    <dxf>
      <border diagonalUp="false" diagonalDown="false">
        <left/>
        <right/>
        <top style="thin">
          <color rgb="FF1F3864"/>
        </top>
        <bottom style="thin">
          <color rgb="FF1F3864"/>
        </bottom>
        <diagonal/>
      </border>
    </dxf>
    <dxf>
      <border diagonalUp="false" diagonalDown="false">
        <left style="thin">
          <color rgb="FFFF0000"/>
        </left>
        <right style="thin">
          <color rgb="FFFF0000"/>
        </right>
        <top/>
        <bottom/>
        <diagonal/>
      </border>
    </dxf>
    <dxf>
      <fill>
        <patternFill>
          <bgColor rgb="FFEDEDED"/>
        </patternFill>
      </fill>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EDEDED"/>
      <rgbColor rgb="FFBE4B48"/>
      <rgbColor rgb="FFFFF2CC"/>
      <rgbColor rgb="FFDDEBF7"/>
      <rgbColor rgb="FF660066"/>
      <rgbColor rgb="FFE06666"/>
      <rgbColor rgb="FF0066CC"/>
      <rgbColor rgb="FFD9D9D9"/>
      <rgbColor rgb="FF000080"/>
      <rgbColor rgb="FFFF00FF"/>
      <rgbColor rgb="FFF9F9F9"/>
      <rgbColor rgb="FF00FFFF"/>
      <rgbColor rgb="FF800080"/>
      <rgbColor rgb="FFC00000"/>
      <rgbColor rgb="FF008080"/>
      <rgbColor rgb="FF0000FF"/>
      <rgbColor rgb="FF00CCFF"/>
      <rgbColor rgb="FFF2F2F2"/>
      <rgbColor rgb="FFC6EFCE"/>
      <rgbColor rgb="FFFFEB9C"/>
      <rgbColor rgb="FF9DC3E6"/>
      <rgbColor rgb="FFF4B183"/>
      <rgbColor rgb="FFE4DFEC"/>
      <rgbColor rgb="FFFFC7CE"/>
      <rgbColor rgb="FF2F75B5"/>
      <rgbColor rgb="FF70AD47"/>
      <rgbColor rgb="FF98B855"/>
      <rgbColor rgb="FFFFCC00"/>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9</c:v>
                </c:pt>
                <c:pt idx="1">
                  <c:v>0</c:v>
                </c:pt>
                <c:pt idx="2">
                  <c:v>2</c:v>
                </c:pt>
                <c:pt idx="3">
                  <c:v>1</c:v>
                </c:pt>
                <c:pt idx="4">
                  <c:v>11</c:v>
                </c:pt>
              </c:numCache>
            </c:numRef>
          </c:val>
        </c:ser>
        <c:gapWidth val="150"/>
        <c:overlap val="0"/>
        <c:axId val="60291259"/>
        <c:axId val="50843788"/>
      </c:barChart>
      <c:catAx>
        <c:axId val="6029125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843788"/>
        <c:crosses val="autoZero"/>
        <c:auto val="1"/>
        <c:lblAlgn val="ctr"/>
        <c:lblOffset val="100"/>
        <c:noMultiLvlLbl val="0"/>
      </c:catAx>
      <c:valAx>
        <c:axId val="5084378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29125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75.1111111111111</c:v>
                </c:pt>
                <c:pt idx="1">
                  <c:v>103.174603174603</c:v>
                </c:pt>
                <c:pt idx="2">
                  <c:v>115.047619047619</c:v>
                </c:pt>
                <c:pt idx="3">
                  <c:v>135.238095238095</c:v>
                </c:pt>
                <c:pt idx="4">
                  <c:v>127.428571428571</c:v>
                </c:pt>
                <c:pt idx="5">
                  <c:v>52</c:v>
                </c:pt>
                <c:pt idx="6">
                  <c:v>40</c:v>
                </c:pt>
                <c:pt idx="7">
                  <c:v>40</c:v>
                </c:pt>
                <c:pt idx="8">
                  <c:v>32</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480</c:v>
                </c:pt>
                <c:pt idx="1">
                  <c:v>480</c:v>
                </c:pt>
                <c:pt idx="2">
                  <c:v>480</c:v>
                </c:pt>
                <c:pt idx="3">
                  <c:v>472</c:v>
                </c:pt>
                <c:pt idx="4">
                  <c:v>476</c:v>
                </c:pt>
                <c:pt idx="5">
                  <c:v>404</c:v>
                </c:pt>
                <c:pt idx="6">
                  <c:v>480</c:v>
                </c:pt>
                <c:pt idx="7">
                  <c:v>364</c:v>
                </c:pt>
                <c:pt idx="8">
                  <c:v>360</c:v>
                </c:pt>
                <c:pt idx="9">
                  <c:v>480</c:v>
                </c:pt>
                <c:pt idx="10">
                  <c:v>480</c:v>
                </c:pt>
                <c:pt idx="11">
                  <c:v>480</c:v>
                </c:pt>
              </c:numCache>
            </c:numRef>
          </c:val>
        </c:ser>
        <c:gapWidth val="150"/>
        <c:overlap val="0"/>
        <c:axId val="82297172"/>
        <c:axId val="2621067"/>
      </c:barChart>
      <c:catAx>
        <c:axId val="822971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21067"/>
        <c:crosses val="autoZero"/>
        <c:auto val="1"/>
        <c:lblAlgn val="ctr"/>
        <c:lblOffset val="100"/>
        <c:noMultiLvlLbl val="0"/>
      </c:catAx>
      <c:valAx>
        <c:axId val="262106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29717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58040</c:v>
                </c:pt>
                <c:pt idx="1">
                  <c:v>36360</c:v>
                </c:pt>
                <c:pt idx="2">
                  <c:v>28440</c:v>
                </c:pt>
                <c:pt idx="3">
                  <c:v>30440</c:v>
                </c:pt>
              </c:numCache>
            </c:numRef>
          </c:val>
        </c:ser>
        <c:gapWidth val="150"/>
        <c:overlap val="0"/>
        <c:axId val="26466191"/>
        <c:axId val="73566819"/>
      </c:barChart>
      <c:catAx>
        <c:axId val="2646619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566819"/>
        <c:crosses val="autoZero"/>
        <c:auto val="1"/>
        <c:lblAlgn val="ctr"/>
        <c:lblOffset val="100"/>
        <c:noMultiLvlLbl val="0"/>
      </c:catAx>
      <c:valAx>
        <c:axId val="73566819"/>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46619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Report'!$D$61:$AC$61</c:f>
              <c:numCache>
                <c:formatCode>#,##0;;\-</c:formatCode>
                <c:ptCount val="26"/>
                <c:pt idx="0">
                  <c:v>51.7142857142857</c:v>
                </c:pt>
                <c:pt idx="1">
                  <c:v>63.3333333333333</c:v>
                </c:pt>
                <c:pt idx="2">
                  <c:v>67.6190476190477</c:v>
                </c:pt>
                <c:pt idx="3">
                  <c:v>67.6190476190476</c:v>
                </c:pt>
                <c:pt idx="4">
                  <c:v>79.4285714285714</c:v>
                </c:pt>
                <c:pt idx="5">
                  <c:v>48</c:v>
                </c:pt>
                <c:pt idx="6">
                  <c:v>52</c:v>
                </c:pt>
                <c:pt idx="7">
                  <c:v>0</c:v>
                </c:pt>
                <c:pt idx="8">
                  <c:v>0</c:v>
                </c:pt>
                <c:pt idx="9">
                  <c:v>40</c:v>
                </c:pt>
                <c:pt idx="10">
                  <c:v>28</c:v>
                </c:pt>
                <c:pt idx="11">
                  <c:v>12</c:v>
                </c:pt>
                <c:pt idx="12">
                  <c:v>12</c:v>
                </c:pt>
                <c:pt idx="13">
                  <c:v>20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82659437"/>
        <c:axId val="51620340"/>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Report'!$D$62:$AC$62</c:f>
              <c:numCache>
                <c:formatCode>#,##0;;\-</c:formatCode>
                <c:ptCount val="26"/>
                <c:pt idx="0">
                  <c:v>240</c:v>
                </c:pt>
                <c:pt idx="1">
                  <c:v>240</c:v>
                </c:pt>
                <c:pt idx="2">
                  <c:v>240</c:v>
                </c:pt>
                <c:pt idx="3">
                  <c:v>232</c:v>
                </c:pt>
                <c:pt idx="4">
                  <c:v>236</c:v>
                </c:pt>
                <c:pt idx="5">
                  <c:v>240</c:v>
                </c:pt>
                <c:pt idx="6">
                  <c:v>204</c:v>
                </c:pt>
                <c:pt idx="7">
                  <c:v>200</c:v>
                </c:pt>
                <c:pt idx="8">
                  <c:v>240</c:v>
                </c:pt>
                <c:pt idx="9">
                  <c:v>240</c:v>
                </c:pt>
                <c:pt idx="10">
                  <c:v>240</c:v>
                </c:pt>
                <c:pt idx="11">
                  <c:v>124</c:v>
                </c:pt>
                <c:pt idx="12">
                  <c:v>120</c:v>
                </c:pt>
                <c:pt idx="13">
                  <c:v>240</c:v>
                </c:pt>
                <c:pt idx="14">
                  <c:v>240</c:v>
                </c:pt>
                <c:pt idx="15">
                  <c:v>240</c:v>
                </c:pt>
                <c:pt idx="16">
                  <c:v>240</c:v>
                </c:pt>
                <c:pt idx="17">
                  <c:v>240</c:v>
                </c:pt>
                <c:pt idx="18">
                  <c:v>240</c:v>
                </c:pt>
                <c:pt idx="19">
                  <c:v>240</c:v>
                </c:pt>
                <c:pt idx="20">
                  <c:v>240</c:v>
                </c:pt>
                <c:pt idx="21">
                  <c:v>240</c:v>
                </c:pt>
                <c:pt idx="22">
                  <c:v>240</c:v>
                </c:pt>
                <c:pt idx="23">
                  <c:v>240</c:v>
                </c:pt>
                <c:pt idx="24">
                  <c:v>240</c:v>
                </c:pt>
                <c:pt idx="25">
                  <c:v>240</c:v>
                </c:pt>
              </c:numCache>
            </c:numRef>
          </c:val>
          <c:smooth val="0"/>
        </c:ser>
        <c:hiLowLines>
          <c:spPr>
            <a:ln w="0">
              <a:noFill/>
            </a:ln>
          </c:spPr>
        </c:hiLowLines>
        <c:marker val="0"/>
        <c:axId val="82659437"/>
        <c:axId val="51620340"/>
      </c:lineChart>
      <c:catAx>
        <c:axId val="82659437"/>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620340"/>
        <c:crosses val="autoZero"/>
        <c:auto val="1"/>
        <c:lblAlgn val="ctr"/>
        <c:lblOffset val="100"/>
        <c:noMultiLvlLbl val="0"/>
      </c:catAx>
      <c:valAx>
        <c:axId val="5162034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65943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77</c:v>
                </c:pt>
                <c:pt idx="1">
                  <c:v>64</c:v>
                </c:pt>
                <c:pt idx="2">
                  <c:v>49</c:v>
                </c:pt>
                <c:pt idx="3">
                  <c:v>49</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77</c:v>
                </c:pt>
                <c:pt idx="1">
                  <c:v>64</c:v>
                </c:pt>
                <c:pt idx="2">
                  <c:v>49</c:v>
                </c:pt>
                <c:pt idx="3">
                  <c:v>41</c:v>
                </c:pt>
                <c:pt idx="4">
                  <c:v>25</c:v>
                </c:pt>
                <c:pt idx="5">
                  <c:v>13</c:v>
                </c:pt>
                <c:pt idx="6">
                  <c:v>13</c:v>
                </c:pt>
                <c:pt idx="7">
                  <c:v>7</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75.1666666666667</c:v>
                </c:pt>
                <c:pt idx="1">
                  <c:v>68.3333333333333</c:v>
                </c:pt>
                <c:pt idx="2">
                  <c:v>61.5</c:v>
                </c:pt>
                <c:pt idx="3">
                  <c:v>54.6666666666667</c:v>
                </c:pt>
                <c:pt idx="4">
                  <c:v>47.8333333333333</c:v>
                </c:pt>
                <c:pt idx="5">
                  <c:v>41</c:v>
                </c:pt>
                <c:pt idx="6">
                  <c:v>34.1666666666667</c:v>
                </c:pt>
                <c:pt idx="7">
                  <c:v>27.3333333333333</c:v>
                </c:pt>
                <c:pt idx="8">
                  <c:v>20.5</c:v>
                </c:pt>
                <c:pt idx="9">
                  <c:v>13.6666666666667</c:v>
                </c:pt>
                <c:pt idx="10">
                  <c:v>6.83333333333334</c:v>
                </c:pt>
                <c:pt idx="11">
                  <c:v>0</c:v>
                </c:pt>
              </c:numCache>
            </c:numRef>
          </c:val>
          <c:smooth val="0"/>
        </c:ser>
        <c:hiLowLines>
          <c:spPr>
            <a:ln w="0">
              <a:noFill/>
            </a:ln>
          </c:spPr>
        </c:hiLowLines>
        <c:marker val="0"/>
        <c:axId val="68607677"/>
        <c:axId val="73037064"/>
      </c:lineChart>
      <c:catAx>
        <c:axId val="6860767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037064"/>
        <c:crosses val="autoZero"/>
        <c:auto val="1"/>
        <c:lblAlgn val="ctr"/>
        <c:lblOffset val="100"/>
        <c:noMultiLvlLbl val="0"/>
      </c:catAx>
      <c:valAx>
        <c:axId val="7303706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60767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18</c:v>
                </c:pt>
                <c:pt idx="1">
                  <c:v>5</c:v>
                </c:pt>
                <c:pt idx="2">
                  <c:v>18</c:v>
                </c:pt>
                <c:pt idx="3">
                  <c:v>8</c:v>
                </c:pt>
                <c:pt idx="4">
                  <c:v>19</c:v>
                </c:pt>
                <c:pt idx="5">
                  <c:v>1</c:v>
                </c:pt>
                <c:pt idx="6">
                  <c:v>5</c:v>
                </c:pt>
                <c:pt idx="7">
                  <c:v>6</c:v>
                </c:pt>
                <c:pt idx="8">
                  <c:v>2</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5</c:v>
                </c:pt>
                <c:pt idx="1">
                  <c:v>13</c:v>
                </c:pt>
                <c:pt idx="2">
                  <c:v>15</c:v>
                </c:pt>
                <c:pt idx="3">
                  <c:v>0</c:v>
                </c:pt>
              </c:numCache>
            </c:numRef>
          </c:val>
        </c:ser>
        <c:gapWidth val="150"/>
        <c:overlap val="0"/>
        <c:axId val="92045784"/>
        <c:axId val="58099911"/>
      </c:barChart>
      <c:catAx>
        <c:axId val="9204578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099911"/>
        <c:crosses val="autoZero"/>
        <c:auto val="1"/>
        <c:lblAlgn val="ctr"/>
        <c:lblOffset val="100"/>
        <c:noMultiLvlLbl val="0"/>
      </c:catAx>
      <c:valAx>
        <c:axId val="58099911"/>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04578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8</c:v>
                </c:pt>
                <c:pt idx="1">
                  <c:v>8</c:v>
                </c:pt>
                <c:pt idx="2">
                  <c:v>8</c:v>
                </c:pt>
                <c:pt idx="3">
                  <c:v>8</c:v>
                </c:pt>
                <c:pt idx="4">
                  <c:v>8</c:v>
                </c:pt>
                <c:pt idx="5">
                  <c:v>8</c:v>
                </c:pt>
                <c:pt idx="6">
                  <c:v>8</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7.2</c:v>
                </c:pt>
                <c:pt idx="1">
                  <c:v>6.4</c:v>
                </c:pt>
                <c:pt idx="2">
                  <c:v>5.6</c:v>
                </c:pt>
                <c:pt idx="3">
                  <c:v>4.8</c:v>
                </c:pt>
                <c:pt idx="4">
                  <c:v>4</c:v>
                </c:pt>
                <c:pt idx="5">
                  <c:v>4</c:v>
                </c:pt>
                <c:pt idx="6">
                  <c:v>4</c:v>
                </c:pt>
                <c:pt idx="7">
                  <c:v>3.2</c:v>
                </c:pt>
                <c:pt idx="8">
                  <c:v>2.4</c:v>
                </c:pt>
                <c:pt idx="9">
                  <c:v>1.6</c:v>
                </c:pt>
                <c:pt idx="10">
                  <c:v>0.8</c:v>
                </c:pt>
                <c:pt idx="11">
                  <c:v>0</c:v>
                </c:pt>
                <c:pt idx="12">
                  <c:v>0</c:v>
                </c:pt>
                <c:pt idx="13">
                  <c:v>0</c:v>
                </c:pt>
              </c:numCache>
            </c:numRef>
          </c:val>
          <c:smooth val="0"/>
        </c:ser>
        <c:hiLowLines>
          <c:spPr>
            <a:ln w="0">
              <a:noFill/>
            </a:ln>
          </c:spPr>
        </c:hiLowLines>
        <c:marker val="0"/>
        <c:axId val="56222843"/>
        <c:axId val="9545177"/>
      </c:lineChart>
      <c:catAx>
        <c:axId val="5622284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45177"/>
        <c:crosses val="autoZero"/>
        <c:auto val="1"/>
        <c:lblAlgn val="ctr"/>
        <c:lblOffset val="100"/>
        <c:noMultiLvlLbl val="0"/>
      </c:catAx>
      <c:valAx>
        <c:axId val="954517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22284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ddd\ dd\-mmm\-yy</c:formatCode>
                <c:ptCount val="60"/>
                <c:pt idx="0">
                  <c:v>46384</c:v>
                </c:pt>
                <c:pt idx="1">
                  <c:v>46385</c:v>
                </c:pt>
                <c:pt idx="2">
                  <c:v>46387</c:v>
                </c:pt>
                <c:pt idx="3">
                  <c:v>46391</c:v>
                </c:pt>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ddd\ dd\-mmm\-yy</c:formatCode>
                <c:ptCount val="60"/>
                <c:pt idx="0">
                  <c:v>46384</c:v>
                </c:pt>
                <c:pt idx="1">
                  <c:v>46384</c:v>
                </c:pt>
                <c:pt idx="2">
                  <c:v>46384</c:v>
                </c:pt>
                <c:pt idx="3">
                  <c:v>46384</c:v>
                </c:pt>
              </c:numCache>
            </c:numRef>
          </c:val>
          <c:smooth val="0"/>
        </c:ser>
        <c:hiLowLines>
          <c:spPr>
            <a:ln w="0">
              <a:noFill/>
            </a:ln>
          </c:spPr>
        </c:hiLowLines>
        <c:marker val="0"/>
        <c:axId val="12941130"/>
        <c:axId val="53225668"/>
      </c:lineChart>
      <c:catAx>
        <c:axId val="12941130"/>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225668"/>
        <c:crosses val="autoZero"/>
        <c:auto val="1"/>
        <c:lblAlgn val="ctr"/>
        <c:lblOffset val="100"/>
        <c:noMultiLvlLbl val="0"/>
      </c:catAx>
      <c:valAx>
        <c:axId val="53225668"/>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94113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#,##0</c:formatCode>
                <c:ptCount val="60"/>
                <c:pt idx="0">
                  <c:v>11028</c:v>
                </c:pt>
                <c:pt idx="1">
                  <c:v>17992</c:v>
                </c:pt>
                <c:pt idx="2">
                  <c:v>24957</c:v>
                </c:pt>
                <c:pt idx="3">
                  <c:v>31342</c:v>
                </c:pt>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#,##0</c:formatCode>
                <c:ptCount val="60"/>
                <c:pt idx="0">
                  <c:v>9867</c:v>
                </c:pt>
                <c:pt idx="1">
                  <c:v>15671</c:v>
                </c:pt>
                <c:pt idx="2">
                  <c:v>20894</c:v>
                </c:pt>
                <c:pt idx="3">
                  <c:v>25538</c:v>
                </c:pt>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#,##0</c:formatCode>
                <c:ptCount val="60"/>
                <c:pt idx="0">
                  <c:v>10064</c:v>
                </c:pt>
                <c:pt idx="1">
                  <c:v>16298</c:v>
                </c:pt>
                <c:pt idx="2">
                  <c:v>21939</c:v>
                </c:pt>
                <c:pt idx="3">
                  <c:v>27070</c:v>
                </c:pt>
              </c:numCache>
            </c:numRef>
          </c:val>
          <c:smooth val="0"/>
        </c:ser>
        <c:hiLowLines>
          <c:spPr>
            <a:ln w="0">
              <a:noFill/>
            </a:ln>
          </c:spPr>
        </c:hiLowLines>
        <c:marker val="0"/>
        <c:axId val="48997418"/>
        <c:axId val="72819863"/>
      </c:lineChart>
      <c:catAx>
        <c:axId val="48997418"/>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819863"/>
        <c:crosses val="autoZero"/>
        <c:auto val="1"/>
        <c:lblAlgn val="ctr"/>
        <c:lblOffset val="100"/>
        <c:noMultiLvlLbl val="0"/>
      </c:catAx>
      <c:valAx>
        <c:axId val="72819863"/>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99741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0.00</c:formatCode>
                <c:ptCount val="60"/>
                <c:pt idx="0">
                  <c:v>0.89</c:v>
                </c:pt>
                <c:pt idx="1">
                  <c:v>0.87</c:v>
                </c:pt>
                <c:pt idx="2">
                  <c:v>0.84</c:v>
                </c:pt>
                <c:pt idx="3">
                  <c:v>0.81</c:v>
                </c:pt>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0.00</c:formatCode>
                <c:ptCount val="60"/>
                <c:pt idx="0">
                  <c:v>0.98</c:v>
                </c:pt>
                <c:pt idx="1">
                  <c:v>0.96</c:v>
                </c:pt>
                <c:pt idx="2">
                  <c:v>0.95</c:v>
                </c:pt>
                <c:pt idx="3">
                  <c:v>0.94</c:v>
                </c:pt>
              </c:numCache>
            </c:numRef>
          </c:val>
          <c:smooth val="0"/>
        </c:ser>
        <c:hiLowLines>
          <c:spPr>
            <a:ln w="0">
              <a:noFill/>
            </a:ln>
          </c:spPr>
        </c:hiLowLines>
        <c:marker val="0"/>
        <c:axId val="6735341"/>
        <c:axId val="78855461"/>
      </c:lineChart>
      <c:catAx>
        <c:axId val="6735341"/>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855461"/>
        <c:crosses val="autoZero"/>
        <c:auto val="1"/>
        <c:lblAlgn val="ctr"/>
        <c:lblOffset val="100"/>
        <c:noMultiLvlLbl val="0"/>
      </c:catAx>
      <c:valAx>
        <c:axId val="78855461"/>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3534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0.#</c:formatCode>
                <c:ptCount val="60"/>
                <c:pt idx="0">
                  <c:v>5</c:v>
                </c:pt>
                <c:pt idx="1">
                  <c:v>18</c:v>
                </c:pt>
                <c:pt idx="2">
                  <c:v>23</c:v>
                </c:pt>
                <c:pt idx="3">
                  <c:v>33</c:v>
                </c:pt>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0.#</c:formatCode>
                <c:ptCount val="60"/>
                <c:pt idx="0">
                  <c:v>76</c:v>
                </c:pt>
                <c:pt idx="1">
                  <c:v>78</c:v>
                </c:pt>
                <c:pt idx="2">
                  <c:v>82</c:v>
                </c:pt>
                <c:pt idx="3">
                  <c:v>82</c:v>
                </c:pt>
              </c:numCache>
            </c:numRef>
          </c:val>
          <c:smooth val="0"/>
        </c:ser>
        <c:hiLowLines>
          <c:spPr>
            <a:ln w="0">
              <a:noFill/>
            </a:ln>
          </c:spPr>
        </c:hiLowLines>
        <c:marker val="0"/>
        <c:axId val="21625765"/>
        <c:axId val="43644467"/>
      </c:lineChart>
      <c:catAx>
        <c:axId val="21625765"/>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644467"/>
        <c:crosses val="autoZero"/>
        <c:auto val="1"/>
        <c:lblAlgn val="ctr"/>
        <c:lblOffset val="100"/>
        <c:noMultiLvlLbl val="0"/>
      </c:catAx>
      <c:valAx>
        <c:axId val="4364446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62576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36</xdr:row>
      <xdr:rowOff>100800</xdr:rowOff>
    </xdr:from>
    <xdr:to>
      <xdr:col>8</xdr:col>
      <xdr:colOff>70920</xdr:colOff>
      <xdr:row>51</xdr:row>
      <xdr:rowOff>123120</xdr:rowOff>
    </xdr:to>
    <xdr:graphicFrame>
      <xdr:nvGraphicFramePr>
        <xdr:cNvPr id="1" name="Chart 2"/>
        <xdr:cNvGraphicFramePr/>
      </xdr:nvGraphicFramePr>
      <xdr:xfrm>
        <a:off x="211320" y="704844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ChangeControl" displayName="ChangeControl" ref="B45:D52" headerRowCount="1">
  <tableColumns count="3">
    <tableColumn id="1" name="Measure"/>
    <tableColumn id="2" name="Source"/>
    <tableColumn id="3" name="Value"/>
  </tableColumns>
  <tableStyleInfo name="TableStyleLight1" showRowStripes="0"/>
</table>
</file>

<file path=xl/tables/table3.xml><?xml version="1.0" encoding="utf-8"?>
<table xmlns="http://schemas.openxmlformats.org/spreadsheetml/2006/main" id="3"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4.xml><?xml version="1.0" encoding="utf-8"?>
<table xmlns="http://schemas.openxmlformats.org/spreadsheetml/2006/main" id="4"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5.xml><?xml version="1.0" encoding="utf-8"?>
<table xmlns="http://schemas.openxmlformats.org/spreadsheetml/2006/main" id="5"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6.xml><?xml version="1.0" encoding="utf-8"?>
<table xmlns="http://schemas.openxmlformats.org/spreadsheetml/2006/main" id="6"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7.xml><?xml version="1.0" encoding="utf-8"?>
<table xmlns="http://schemas.openxmlformats.org/spreadsheetml/2006/main" id="7" name="EarnedValue" displayName="EarnedValue" ref="B17:D31" headerRowCount="1">
  <tableColumns count="3">
    <tableColumn id="1" name="Measure"/>
    <tableColumn id="2" name="Meaning"/>
    <tableColumn id="3" name="Value"/>
  </tableColumns>
  <tableStyleInfo name="TableStyleLight1" showRowStripes="0"/>
</table>
</file>

<file path=xl/tables/table8.xml><?xml version="1.0" encoding="utf-8"?>
<table xmlns="http://schemas.openxmlformats.org/spreadsheetml/2006/main" id="8" name="GanttView" displayName="GanttView" ref="A5:U205" headerRowCount="1">
  <tableColumns count="21">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Row],[_Row]])="",TRUE()),"",INDEX(tsk_Resource,GanttView[[#This Row],[_Row]])&amp;"")</calculatedColumnFormula>
    </tableColumn>
    <tableColumn id="11" name="Status">
      <calculatedColumnFormula>IF(IFERROR(INDEX(tsk_Name,GanttView[[#This Row],[_Row]])="",TRUE()),"",INDEX(tsk_Status,GanttView[[#This Row],[_Row]]))</calculatedColumnFormula>
    </tableColumn>
    <tableColumn id="12" name="_Row">
      <calculatedColumnFormula>ROW()-ROW(GanttView[[#Headers],[ID]])</calculatedColumnFormula>
    </tableColumn>
    <tableColumn id="13" name="_IsSummary">
      <calculatedColumnFormula>IF(IFERROR(INDEX(tsk_Name,GanttView[[#This Row],[_Row]])="",TRUE()),FALSE(),INDEX(tsk_IsSummary,GanttView[[#This Row],[_Row]]))</calculatedColumnFormula>
    </tableColumn>
    <tableColumn id="14" name="_IsMilestone">
      <calculatedColumnFormula>IF(IFERROR(INDEX(tsk_Name,GanttView[[#This Row],[_Row]])="",TRUE()),FALSE(),AND(INDEX(tsk_IsLeaf,GanttView[[#This Row],[_Row]])=1,N(INDEX(tsk_Duration,GanttView[[#This Row],[_Row]]))=0))</calculatedColumnFormula>
    </tableColumn>
    <tableColumn id="15" name="_DoneFrom">
      <calculatedColumnFormula>IF(IFERROR(INDEX(tsk_Name,GanttView[[#This Row],[_Row]])="",TRUE()),0,IF(AND(INDEX(tsk_IsLeaf,GanttView[[#This Row],[_Row]])=1,NOT(GanttView[[#This Row],[_IsMilestone]]),N(GanttView[[#This Row],[%]])&gt;0),GanttView[[#This Row],[Forecast Start]],0))</calculatedColumnFormula>
    </tableColumn>
    <tableColumn id="16"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7"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8" name="_RemTo">
      <calculatedColumnFormula>IF(GanttView[[#This Row],[_RemFrom]]=0,0,GanttView[[#This Row],[Forecast Finish]])</calculatedColumnFormula>
    </tableColumn>
    <tableColumn id="19" name="_Late">
      <calculatedColumnFormula>IF(IFERROR(INDEX(tsk_Name,GanttView[[#This Row],[_Row]])="",TRUE()),FALSE(),N(INDEX(tsk_Variance,GanttView[[#This Row],[_Row]]))&gt;0)</calculatedColumnFormula>
    </tableColumn>
    <tableColumn id="20" name="_Deadline">
      <calculatedColumnFormula>IF(IFERROR(INDEX(tsk_Name,GanttView[[#This Row],[_Row]])="",TRUE()),0,N(INDEX(tsk_Deadline,GanttView[[#This Row],[_Row]])))</calculatedColumnFormula>
    </tableColumn>
    <tableColumn id="21" name="_Critical">
      <calculatedColumnFormula>IF(IFERROR(INDEX(tsk_Name,GanttView[[#This Row],[_Row]])="",TRUE()),FALSE(),INDEX(tsk_Critical,GanttView[[#This Row],[_Row]])="Yes")</calculatedColumnFormula>
    </tableColumn>
  </tableColumns>
  <tableStyleInfo name="TableStyleLight1" showRowStripes="0"/>
</table>
</file>

<file path=xl/tables/table9.xml><?xml version="1.0" encoding="utf-8"?>
<table xmlns="http://schemas.openxmlformats.org/spreadsheetml/2006/main" id="9" name="HolidayTable" displayName="HolidayTable" ref="B4:C104" headerRowCount="1">
  <autoFilter ref="B4:C104"/>
  <tableColumns count="2">
    <tableColumn id="1" name="Date"/>
    <tableColumn id="2" name="Description"/>
  </tableColumns>
  <tableStyleInfo name="TableStyleLight1" showRowStripes="0"/>
</table>
</file>

<file path=xl/tables/table10.xml><?xml version="1.0" encoding="utf-8"?>
<table xmlns="http://schemas.openxmlformats.org/spreadsheetml/2006/main" id="10" name="KPIs" displayName="KPIs" ref="B4:C27" headerRowCount="1">
  <tableColumns count="2">
    <tableColumn id="1" name="Key indicator"/>
    <tableColumn id="2" name="Value"/>
  </tableColumns>
  <tableStyleInfo name="TableStyleLight1" showRowStripes="0"/>
</table>
</file>

<file path=xl/tables/table11.xml><?xml version="1.0" encoding="utf-8"?>
<table xmlns="http://schemas.openxmlformats.org/spreadsheetml/2006/main" id="11"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2.xml><?xml version="1.0" encoding="utf-8"?>
<table xmlns="http://schemas.openxmlformats.org/spreadsheetml/2006/main" id="12" name="LeaveTable" displayName="LeaveTable" ref="B4:AL54" headerRowCount="1">
  <autoFilter ref="B4:AL54"/>
  <tableColumns count="37">
    <tableColumn id="1" name="Resource"/>
    <tableColumn id="2" name="Jan-26"/>
    <tableColumn id="3" name="Feb-26"/>
    <tableColumn id="4" name="Mar-26"/>
    <tableColumn id="5" name="Apr-26"/>
    <tableColumn id="6" name="May-26"/>
    <tableColumn id="7" name="Jun-26"/>
    <tableColumn id="8" name="Jul-26"/>
    <tableColumn id="9" name="Aug-26"/>
    <tableColumn id="10" name="Sep-26"/>
    <tableColumn id="11" name="Oct-26"/>
    <tableColumn id="12" name="Nov-26"/>
    <tableColumn id="13" name="Dec-26"/>
    <tableColumn id="14" name="Jan-27"/>
    <tableColumn id="15" name="Feb-27"/>
    <tableColumn id="16" name="Mar-27"/>
    <tableColumn id="17" name="Apr-27"/>
    <tableColumn id="18" name="May-27"/>
    <tableColumn id="19" name="Jun-27"/>
    <tableColumn id="20" name="Jul-27"/>
    <tableColumn id="21" name="Aug-27"/>
    <tableColumn id="22" name="Sep-27"/>
    <tableColumn id="23" name="Oct-27"/>
    <tableColumn id="24" name="Nov-27"/>
    <tableColumn id="25" name="Dec-27"/>
    <tableColumn id="26" name="Jan-28"/>
    <tableColumn id="27" name="Feb-28"/>
    <tableColumn id="28" name="Mar-28"/>
    <tableColumn id="29" name="Apr-28"/>
    <tableColumn id="30" name="May-28"/>
    <tableColumn id="31" name="Jun-28"/>
    <tableColumn id="32" name="Jul-28"/>
    <tableColumn id="33" name="Aug-28"/>
    <tableColumn id="34" name="Sep-28"/>
    <tableColumn id="35" name="Oct-28"/>
    <tableColumn id="36" name="Nov-28"/>
    <tableColumn id="37" name="Dec-28"/>
  </tableColumns>
  <tableStyleInfo name="TableStyleLight1" showRowStripes="0"/>
</table>
</file>

<file path=xl/tables/table13.xml><?xml version="1.0" encoding="utf-8"?>
<table xmlns="http://schemas.openxmlformats.org/spreadsheetml/2006/main" id="13" name="ListChangeStatus" displayName="ListChangeStatus" ref="S1:S6" headerRowCount="1">
  <tableColumns count="1">
    <tableColumn id="1" name="Change Status"/>
  </tableColumns>
  <tableStyleInfo name="TableStyleLight1" showRowStripes="0"/>
</table>
</file>

<file path=xl/tables/table14.xml><?xml version="1.0" encoding="utf-8"?>
<table xmlns="http://schemas.openxmlformats.org/spreadsheetml/2006/main" id="14" name="ListDecisionStatus" displayName="ListDecisionStatus" ref="Q1:Q5" headerRowCount="1">
  <tableColumns count="1">
    <tableColumn id="1" name="Decision Status"/>
  </tableColumns>
  <tableStyleInfo name="TableStyleLight1" showRowStripes="0"/>
</table>
</file>

<file path=xl/tables/table15.xml><?xml version="1.0" encoding="utf-8"?>
<table xmlns="http://schemas.openxmlformats.org/spreadsheetml/2006/main" id="15" name="ListDepType" displayName="ListDepType" ref="A1:A5" headerRowCount="1">
  <tableColumns count="1">
    <tableColumn id="1" name="Link Type"/>
  </tableColumns>
  <tableStyleInfo name="TableStyleLight1" showRowStripes="0"/>
</table>
</file>

<file path=xl/tables/table16.xml><?xml version="1.0" encoding="utf-8"?>
<table xmlns="http://schemas.openxmlformats.org/spreadsheetml/2006/main" id="16" name="ListMode" displayName="ListMode" ref="C1:C3" headerRowCount="1">
  <tableColumns count="1">
    <tableColumn id="1" name="Task Mode"/>
  </tableColumns>
  <tableStyleInfo name="TableStyleLight1" showRowStripes="0"/>
</table>
</file>

<file path=xl/tables/table17.xml><?xml version="1.0" encoding="utf-8"?>
<table xmlns="http://schemas.openxmlformats.org/spreadsheetml/2006/main" id="17" name="ListPeriod" displayName="ListPeriod" ref="I1:I3" headerRowCount="1">
  <tableColumns count="1">
    <tableColumn id="1" name="Gantt Days per Column"/>
  </tableColumns>
  <tableStyleInfo name="TableStyleLight1" showRowStripes="0"/>
</table>
</file>

<file path=xl/tables/table18.xml><?xml version="1.0" encoding="utf-8"?>
<table xmlns="http://schemas.openxmlformats.org/spreadsheetml/2006/main" id="18" name="ListRAG" displayName="ListRAG" ref="K1:K4" headerRowCount="1">
  <tableColumns count="1">
    <tableColumn id="1" name="RAG"/>
  </tableColumns>
  <tableStyleInfo name="TableStyleLight1" showRowStripes="0"/>
</table>
</file>

<file path=xl/tables/table19.xml><?xml version="1.0" encoding="utf-8"?>
<table xmlns="http://schemas.openxmlformats.org/spreadsheetml/2006/main" id="19" name="ListRAIDStatus" displayName="ListRAIDStatus" ref="O1:O4" headerRowCount="1">
  <tableColumns count="1">
    <tableColumn id="1" name="RAID Status"/>
  </tableColumns>
  <tableStyleInfo name="TableStyleLight1" showRowStripes="0"/>
</table>
</file>

<file path=xl/tables/table20.xml><?xml version="1.0" encoding="utf-8"?>
<table xmlns="http://schemas.openxmlformats.org/spreadsheetml/2006/main" id="20" name="ListRAIDType" displayName="ListRAIDType" ref="M1:M5" headerRowCount="1">
  <tableColumns count="1">
    <tableColumn id="1" name="RAID Type"/>
  </tableColumns>
  <tableStyleInfo name="TableStyleLight1" showRowStripes="0"/>
</table>
</file>

<file path=xl/tables/table21.xml><?xml version="1.0" encoding="utf-8"?>
<table xmlns="http://schemas.openxmlformats.org/spreadsheetml/2006/main" id="21" name="ListResType" displayName="ListResType" ref="G1:G4" headerRowCount="1">
  <tableColumns count="1">
    <tableColumn id="1" name="Resource Type"/>
  </tableColumns>
  <tableStyleInfo name="TableStyleLight1" showRowStripes="0"/>
</table>
</file>

<file path=xl/tables/table22.xml><?xml version="1.0" encoding="utf-8"?>
<table xmlns="http://schemas.openxmlformats.org/spreadsheetml/2006/main" id="22" name="ListYesNo" displayName="ListYesNo" ref="E1:E3" headerRowCount="1">
  <tableColumns count="1">
    <tableColumn id="1" name="Yes / No"/>
  </tableColumns>
  <tableStyleInfo name="TableStyleLight1" showRowStripes="0"/>
</table>
</file>

<file path=xl/tables/table23.xml><?xml version="1.0" encoding="utf-8"?>
<table xmlns="http://schemas.openxmlformats.org/spreadsheetml/2006/main" id="23"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4.xml><?xml version="1.0" encoding="utf-8"?>
<table xmlns="http://schemas.openxmlformats.org/spreadsheetml/2006/main" id="24" name="MSPResources" displayName="MSPResources" ref="A1:G51" headerRowCount="1">
  <autoFilter ref="A1:G51"/>
  <tableColumns count="7">
    <tableColumn id="1" name="Name">
      <calculatedColumnFormula>IF(IFERROR(INDEX(res_Name,(ROW()-ROW(MSPResources[[#Headers],[Name]])))="",TRUE()),"",INDEX(res_Name,(ROW()-ROW(MSPResources[[#Headers],[Name]])))&amp;"")</calculatedColumnFormula>
    </tableColumn>
    <tableColumn id="2" name="Initials">
      <calculatedColumnFormula>IF(IFERROR(INDEX(res_Name,(ROW()-ROW(MSPResources[[#Headers],[Name]])))="",TRUE()),"",INDEX(res_Initials,(ROW()-ROW(MSPResources[[#Headers],[Name]])))&amp;"")</calculatedColumnFormula>
    </tableColumn>
    <tableColumn id="3" name="Group">
      <calculatedColumnFormula>IF(IFERROR(INDEX(res_Name,(ROW()-ROW(MSPResources[[#Headers],[Name]])))="",TRUE()),"",INDEX(res_Group,(ROW()-ROW(MSPResources[[#Headers],[Name]])))&amp;"")</calculatedColumnFormula>
    </tableColumn>
    <tableColumn id="4" name="Type">
      <calculatedColumnFormula>IF(IFERROR(INDEX(res_Name,(ROW()-ROW(MSPResources[[#Headers],[Name]])))="",TRUE()),"",INDEX(res_Type,(ROW()-ROW(MSPResources[[#Headers],[Name]])))&amp;"")</calculatedColumnFormula>
    </tableColumn>
    <tableColumn id="5" name="Max Units">
      <calculatedColumnFormula>IF(IFERROR(INDEX(res_Name,(ROW()-ROW(MSPResources[[#Headers],[Name]])))="",TRUE()),"",ROUND(INDEX(res_MaxUnits,(ROW()-ROW(MSPResources[[#Headers],[Name]])))*100,0)&amp;"%")</calculatedColumnFormula>
    </tableColumn>
    <tableColumn id="6" name="Standard Rate">
      <calculatedColumnFormula>IF(IFERROR(INDEX(res_Name,(ROW()-ROW(MSPResources[[#Headers],[Name]])))="",TRUE()),"",INDEX(res_Rate,(ROW()-ROW(MSPResources[[#Headers],[Name]])))&amp;"/h")</calculatedColumnFormula>
    </tableColumn>
    <tableColumn id="7" name="Email Address">
      <calculatedColumnFormula>IF(IFERROR(INDEX(res_Name,(ROW()-ROW(MSPResources[[#Headers],[Name]])))="",TRUE()),"",INDEX(res_Email,(ROW()-ROW(MSPResources[[#Headers],[Name]])))&amp;"")</calculatedColumnFormula>
    </tableColumn>
  </tableColumns>
  <tableStyleInfo name="TableStyleLight1" showRowStripes="0"/>
</table>
</file>

<file path=xl/tables/table25.xml><?xml version="1.0" encoding="utf-8"?>
<table xmlns="http://schemas.openxmlformats.org/spreadsheetml/2006/main" id="25" name="MSPTasks" displayName="MSPTasks" ref="A1:Z201" headerRowCount="1">
  <autoFilter ref="A1:Z201"/>
  <tableColumns count="26">
    <tableColumn id="1" name="ID">
      <calculatedColumnFormula>IF(IFERROR(INDEX(tsk_Name,(ROW()-ROW(MSPTasks[[#Headers],[ID]])))="",TRUE()),"",INDEX(tsk_ID,(ROW()-ROW(MSPTasks[[#Headers],[ID]]))))</calculatedColumnFormula>
    </tableColumn>
    <tableColumn id="2" name="Unique ID">
      <calculatedColumnFormula>IF(IFERROR(INDEX(tsk_Name,(ROW()-ROW(MSPTasks[[#Headers],[ID]])))="",TRUE()),"",INDEX(tsk_UID,(ROW()-ROW(MSPTasks[[#Headers],[ID]]))))</calculatedColumnFormula>
    </tableColumn>
    <tableColumn id="3" name="Name">
      <calculatedColumnFormula>IF(IFERROR(INDEX(tsk_Name,(ROW()-ROW(MSPTasks[[#Headers],[ID]])))="",TRUE()),"",INDEX(tsk_Name,(ROW()-ROW(MSPTasks[[#Headers],[ID]]))))</calculatedColumnFormula>
    </tableColumn>
    <tableColumn id="4" name="Outline Level">
      <calculatedColumnFormula>IF(IFERROR(INDEX(tsk_Name,(ROW()-ROW(MSPTasks[[#Headers],[ID]])))="",TRUE()),"",INDEX(tsk_Level,(ROW()-ROW(MSPTasks[[#Headers],[ID]]))))</calculatedColumnFormula>
    </tableColumn>
    <tableColumn id="5" name="Task Mode">
      <calculatedColumnFormula>IF(IFERROR(INDEX(tsk_Name,(ROW()-ROW(MSPTasks[[#Headers],[ID]])))="",TRUE()),"",IF(INDEX(tsk_Mode,(ROW()-ROW(MSPTasks[[#Headers],[ID]])))="Manual","Manually Scheduled","Auto Scheduled"))</calculatedColumnFormula>
    </tableColumn>
    <tableColumn id="6" name="Duration">
      <calculatedColumnFormula>IF(IFERROR(INDEX(tsk_Name,(ROW()-ROW(MSPTasks[[#Headers],[ID]])))="",TRUE()),"",IF(INDEX(tsk_IsSummary,(ROW()-ROW(MSPTasks[[#Headers],[ID]]))),"",N(INDEX(tsk_Duration,(ROW()-ROW(MSPTasks[[#Headers],[ID]]))))&amp;"d"))</calculatedColumnFormula>
    </tableColumn>
    <tableColumn id="7" name="Start">
      <calculatedColumnFormula>IF(IFERROR(INDEX(tsk_Name,(ROW()-ROW(MSPTasks[[#Headers],[ID]])))="",TRUE()),"",INDEX(tsk_FcStart,(ROW()-ROW(MSPTasks[[#Headers],[ID]]))))</calculatedColumnFormula>
    </tableColumn>
    <tableColumn id="8" name="Finish">
      <calculatedColumnFormula>IF(IFERROR(INDEX(tsk_Name,(ROW()-ROW(MSPTasks[[#Headers],[ID]])))="",TRUE()),"",INDEX(tsk_FcFinish,(ROW()-ROW(MSPTasks[[#Headers],[ID]]))))</calculatedColumnFormula>
    </tableColumn>
    <tableColumn id="9" name="Predecessors">
      <calculatedColumnFormula>IF(IFERROR(INDEX(tsk_Name,(ROW()-ROW(MSPTasks[[#Headers],[ID]])))="",TRUE()),"",IF(INDEX(tsk_IsSummary,(ROW()-ROW(MSPTasks[[#Headers],[ID]]))),"",INDEX(tsk_Predecessors,(ROW()-ROW(MSPTasks[[#Headers],[ID]])))))</calculatedColumnFormula>
    </tableColumn>
    <tableColumn id="10" name="Unique ID Predecessors">
      <calculatedColumnFormula>IF(IFERROR(INDEX(tsk_Name,(ROW()-ROW(MSPTasks[[#Headers],[ID]])))="",TRUE()),"",IF(INDEX(tsk_IsSummary,(ROW()-ROW(MSPTasks[[#Headers],[ID]]))),"",INDEX(tsk_UIDPredecessors,(ROW()-ROW(MSPTasks[[#Headers],[ID]])))))</calculatedColumnFormula>
    </tableColumn>
    <tableColumn id="11" name="Resource Names">
      <calculatedColumnFormula>IF(IFERROR(INDEX(tsk_Name,(ROW()-ROW(MSPTasks[[#Headers],[ID]])))="",TRUE()),"",IF(INDEX(tsk_Resource,(ROW()-ROW(MSPTasks[[#Headers],[ID]])))="","",INDEX(tsk_Resource,(ROW()-ROW(MSPTasks[[#Headers],[ID]])))&amp;IF(OR(INDEX(tsk_Units,(ROW()-ROW(MSPTasks[[#Headers],[ID]])))="",INDEX(tsk_Units,(ROW()-ROW(MSPTasks[[#Headers],[ID]])))=1),"","["&amp;ROUND(INDEX(tsk_Units,(ROW()-ROW(MSPTasks[[#Headers],[ID]])))*100,0)&amp;"%]")))</calculatedColumnFormula>
    </tableColumn>
    <tableColumn id="12" name="% Complete">
      <calculatedColumnFormula>IF(IFERROR(INDEX(tsk_Name,(ROW()-ROW(MSPTasks[[#Headers],[ID]])))="",TRUE()),"",IF(INDEX(tsk_IsSummary,(ROW()-ROW(MSPTasks[[#Headers],[ID]]))),"",ROUND(INDEX(tsk_Progress,(ROW()-ROW(MSPTasks[[#Headers],[ID]])))*100,0)))</calculatedColumnFormula>
    </tableColumn>
    <tableColumn id="13" name="Actual Start">
      <calculatedColumnFormula>IF(IFERROR(INDEX(tsk_Name,(ROW()-ROW(MSPTasks[[#Headers],[ID]])))="",TRUE()),"",IF(N(INDEX(tsk_ActStart,(ROW()-ROW(MSPTasks[[#Headers],[ID]]))))=0,"",INDEX(tsk_ActStart,(ROW()-ROW(MSPTasks[[#Headers],[ID]])))))</calculatedColumnFormula>
    </tableColumn>
    <tableColumn id="14" name="Actual Finish">
      <calculatedColumnFormula>IF(IFERROR(INDEX(tsk_Name,(ROW()-ROW(MSPTasks[[#Headers],[ID]])))="",TRUE()),"",IF(N(INDEX(tsk_ActFinish,(ROW()-ROW(MSPTasks[[#Headers],[ID]]))))=0,"",INDEX(tsk_ActFinish,(ROW()-ROW(MSPTasks[[#Headers],[ID]])))))</calculatedColumnFormula>
    </tableColumn>
    <tableColumn id="15" name="Baseline Start">
      <calculatedColumnFormula>IF(IFERROR(INDEX(tsk_Name,(ROW()-ROW(MSPTasks[[#Headers],[ID]])))="",TRUE()),"",INDEX(tsk_PlanStart,(ROW()-ROW(MSPTasks[[#Headers],[ID]]))))</calculatedColumnFormula>
    </tableColumn>
    <tableColumn id="16" name="Baseline Finish">
      <calculatedColumnFormula>IF(IFERROR(INDEX(tsk_Name,(ROW()-ROW(MSPTasks[[#Headers],[ID]])))="",TRUE()),"",INDEX(tsk_PlanFinish,(ROW()-ROW(MSPTasks[[#Headers],[ID]]))))</calculatedColumnFormula>
    </tableColumn>
    <tableColumn id="17" name="Baseline Duration">
      <calculatedColumnFormula>IF(IFERROR(INDEX(tsk_Name,(ROW()-ROW(MSPTasks[[#Headers],[ID]])))="",TRUE()),"",IF(INDEX(tsk_BaseDuration,(ROW()-ROW(MSPTasks[[#Headers],[ID]])))="","",N(INDEX(tsk_BaseDuration,(ROW()-ROW(MSPTasks[[#Headers],[ID]]))))&amp;"d"))</calculatedColumnFormula>
    </tableColumn>
    <tableColumn id="18" name="Baseline Work">
      <calculatedColumnFormula>IF(IFERROR(INDEX(tsk_Name,(ROW()-ROW(MSPTasks[[#Headers],[ID]])))="",TRUE()),"",IF(INDEX(tsk_BaseWork,(ROW()-ROW(MSPTasks[[#Headers],[ID]])))="","",N(INDEX(tsk_BaseWork,(ROW()-ROW(MSPTasks[[#Headers],[ID]]))))&amp;"h"))</calculatedColumnFormula>
    </tableColumn>
    <tableColumn id="19" name="Baseline Cost">
      <calculatedColumnFormula>IF(IFERROR(INDEX(tsk_Name,(ROW()-ROW(MSPTasks[[#Headers],[ID]])))="",TRUE()),"",IF(INDEX(tsk_BaseCost,(ROW()-ROW(MSPTasks[[#Headers],[ID]])))="","",N(INDEX(tsk_BaseCost,(ROW()-ROW(MSPTasks[[#Headers],[ID]]))))))</calculatedColumnFormula>
    </tableColumn>
    <tableColumn id="20" name="Actual Cost">
      <calculatedColumnFormula>IF(IFERROR(INDEX(tsk_Name,(ROW()-ROW(MSPTasks[[#Headers],[ID]])))="",TRUE()),"",IF(INDEX(tsk_IsSummary,(ROW()-ROW(MSPTasks[[#Headers],[ID]]))),"",IF(N(INDEX(tsk_ActCostInput,(ROW()-ROW(MSPTasks[[#Headers],[ID]]))))=0,"",INDEX(tsk_ActCostInput,(ROW()-ROW(MSPTasks[[#Headers],[ID]]))))))</calculatedColumnFormula>
    </tableColumn>
    <tableColumn id="21" name="Constraint Type">
      <calculatedColumnFormula>IF(IFERROR(INDEX(tsk_Name,(ROW()-ROW(MSPTasks[[#Headers],[ID]])))="",TRUE()),"",IF(INDEX(tsk_IsSummary,(ROW()-ROW(MSPTasks[[#Headers],[ID]]))),"",IF(AND(INDEX(tsk_Mode,(ROW()-ROW(MSPTasks[[#Headers],[ID]])))&lt;&gt;"Manual",N(INDEX(tsk_Constraint,(ROW()-ROW(MSPTasks[[#Headers],[ID]]))))&gt;0),"Start No Earlier Than","As Soon As Possible")))</calculatedColumnFormula>
    </tableColumn>
    <tableColumn id="22" name="Constraint Date">
      <calculatedColumnFormula>IF(IFERROR(INDEX(tsk_Name,(ROW()-ROW(MSPTasks[[#Headers],[ID]])))="",TRUE()),"",IF(OR(INDEX(tsk_IsSummary,(ROW()-ROW(MSPTasks[[#Headers],[ID]]))),INDEX(tsk_Mode,(ROW()-ROW(MSPTasks[[#Headers],[ID]])))="Manual"),"",IF(N(INDEX(tsk_Constraint,(ROW()-ROW(MSPTasks[[#Headers],[ID]]))))=0,"",INDEX(tsk_Constraint,(ROW()-ROW(MSPTasks[[#Headers],[ID]]))))))</calculatedColumnFormula>
    </tableColumn>
    <tableColumn id="23" name="Deadline">
      <calculatedColumnFormula>IF(IFERROR(INDEX(tsk_Name,(ROW()-ROW(MSPTasks[[#Headers],[ID]])))="",TRUE()),"",IF(N(INDEX(tsk_Deadline,(ROW()-ROW(MSPTasks[[#Headers],[ID]]))))=0,"",INDEX(tsk_Deadline,(ROW()-ROW(MSPTasks[[#Headers],[ID]])))))</calculatedColumnFormula>
    </tableColumn>
    <tableColumn id="24" name="Text1">
      <calculatedColumnFormula>IF(IFERROR(INDEX(tsk_Name,(ROW()-ROW(MSPTasks[[#Headers],[ID]])))="",TRUE()),"",IF(INDEX(tsk_IsSummary,(ROW()-ROW(MSPTasks[[#Headers],[ID]]))),"",INDEX(tsk_Sprint,(ROW()-ROW(MSPTasks[[#Headers],[ID]])))&amp;""))</calculatedColumnFormula>
    </tableColumn>
    <tableColumn id="25" name="Number1">
      <calculatedColumnFormula>IF(IFERROR(INDEX(tsk_Name,(ROW()-ROW(MSPTasks[[#Headers],[ID]])))="",TRUE()),"",IF(INDEX(tsk_IsSummary,(ROW()-ROW(MSPTasks[[#Headers],[ID]]))),"",IF(N(INDEX(tsk_StoryPoints,(ROW()-ROW(MSPTasks[[#Headers],[ID]]))))=0,"",INDEX(tsk_StoryPoints,(ROW()-ROW(MSPTasks[[#Headers],[ID]]))))))</calculatedColumnFormula>
    </tableColumn>
    <tableColumn id="26" name="Notes">
      <calculatedColumnFormula>IF(IFERROR(INDEX(tsk_Name,(ROW()-ROW(MSPTasks[[#Headers],[ID]])))="",TRUE()),"",INDEX(tsk_Notes,(ROW()-ROW(MSPTasks[[#Headers],[ID]])))&amp;"")</calculatedColumnFormula>
    </tableColumn>
  </tableColumns>
  <tableStyleInfo name="TableStyleLight1" showRowStripes="0"/>
</table>
</file>

<file path=xl/tables/table26.xml><?xml version="1.0" encoding="utf-8"?>
<table xmlns="http://schemas.openxmlformats.org/spreadsheetml/2006/main" id="26" name="NextMilestones" displayName="NextMilestones" ref="B30:C35"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7.xml><?xml version="1.0" encoding="utf-8"?>
<table xmlns="http://schemas.openxmlformats.org/spreadsheetml/2006/main" id="27"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8.xml><?xml version="1.0" encoding="utf-8"?>
<table xmlns="http://schemas.openxmlformats.org/spreadsheetml/2006/main" id="28"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29.xml><?xml version="1.0" encoding="utf-8"?>
<table xmlns="http://schemas.openxmlformats.org/spreadsheetml/2006/main" id="29"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30.xml><?xml version="1.0" encoding="utf-8"?>
<table xmlns="http://schemas.openxmlformats.org/spreadsheetml/2006/main" id="30" name="ResourceSummary" displayName="ResourceSummary" ref="B5:O30" headerRowCount="1">
  <tableColumns count="14">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calculatedColumnFormula>
    </tableColumn>
    <tableColumn id="10" name="Open Critical">
      <calculatedColumnFormula>IF(ResourceSummary[[#This Row],[Resource]]="","",COUNTIFS(tsk_Resource,ResourceSummary[[#This Row],[Resource]],tsk_Critical,"Yes",tsk_IsLeaf,1))</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 id="14" name="Leave Days">
      <calculatedColumnFormula>IF(ResourceSummary[[#This Row],[Resource]]="","",SUM(INDEX(rw_Leave,ROW()-ROW(ResourceSummary[[#Headers],[Resource]]),0)))</calculatedColumnFormula>
    </tableColumn>
  </tableColumns>
  <tableStyleInfo name="TableStyleLight1" showRowStripes="0"/>
</table>
</file>

<file path=xl/tables/table31.xml><?xml version="1.0" encoding="utf-8"?>
<table xmlns="http://schemas.openxmlformats.org/spreadsheetml/2006/main" id="31"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alculatedColumnFormula>
    </tableColumn>
    <tableColumn id="9" name="Work">
      <calculatedColumnFormula>IF(ResourceTable[[#This Row],[Resource Name]]="","",SUMIFS(tsk_Work,tsk_Resource,ResourceTable[[#This Row],[Resource Name]],tsk_IsLeaf,1))</calculatedColumnFormula>
    </tableColumn>
    <tableColumn id="10" name="Cost">
      <calculatedColumnFormula>IF(ResourceTable[[#This Row],[Resource Name]]="","",SUMIFS(tsk_Cost,tsk_Resource,ResourceTable[[#This Row],[Resource Name]],tsk_IsLeaf,1))</calculatedColumnFormula>
    </tableColumn>
    <tableColumn id="11" name="Actual Cost">
      <calculatedColumnFormula>IF(ResourceTable[[#This Row],[Resource Name]]="","",SUMIFS(tsk_LeafAC,tsk_Resource,ResourceTable[[#This Row],[Resource Name]]))</calculatedColumnFormula>
    </tableColumn>
    <tableColumn id="12" name="Notes"/>
  </tableColumns>
  <tableStyleInfo name="TableStyleLight1" showRowStripes="0"/>
</table>
</file>

<file path=xl/tables/table32.xml><?xml version="1.0" encoding="utf-8"?>
<table xmlns="http://schemas.openxmlformats.org/spreadsheetml/2006/main" id="32"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3.xml><?xml version="1.0" encoding="utf-8"?>
<table xmlns="http://schemas.openxmlformats.org/spreadsheetml/2006/main" id="33"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4.xml><?xml version="1.0" encoding="utf-8"?>
<table xmlns="http://schemas.openxmlformats.org/spreadsheetml/2006/main" id="34"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5.xml><?xml version="1.0" encoding="utf-8"?>
<table xmlns="http://schemas.openxmlformats.org/spreadsheetml/2006/main" id="35" name="SprintTable" displayName="SprintTable" ref="A5:V31" headerRowCount="1">
  <tableColumns count="22">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calculatedColumnFormula>
    </tableColumn>
    <tableColumn id="9" name="Capacity">
      <calculatedColumnFormula>IF(SprintTable[[#This Row],[Sprint]]="","",SUMIFS(res_MaxUnits,res_Type,"Work")*HoursPerDay*SprintTable[[#This Row],[Working Days]]-(HoursPerDay*SUMPRODUCT((INDEX(res_Type,1):INDEX(res_Type,ROWS(spr_LeaveGrid))="Work")*INDEX(res_MaxUnits,1):INDEX(res_MaxUnits,ROWS(spr_LeaveGrid))*INDEX(spr_LeaveGrid,0,SprintTable[[#This Row],[No]]))))</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 id="20" name="_LeaveCol0">
      <calculatedColumnFormula>IFERROR(MATCH(MID("JanFebMarAprMayJunJulAugSepOctNovDec",MONTH(DATE(YEAR(SprintTable[[#This Row],[Start]]),MONTH(SprintTable[[#This Row],[Start]])+0,1))*3-2,3)&amp;"-"&amp;RIGHT(YEAR(DATE(YEAR(SprintTable[[#This Row],[Start]]),MONTH(SprintTable[[#This Row],[Start]])+0,1)),2),LeaveTable[#Headers],0),0)</calculatedColumnFormula>
    </tableColumn>
    <tableColumn id="21" name="_LeaveCol1">
      <calculatedColumnFormula>IFERROR(MATCH(MID("JanFebMarAprMayJunJulAugSepOctNovDec",MONTH(DATE(YEAR(SprintTable[[#This Row],[Start]]),MONTH(SprintTable[[#This Row],[Start]])+1,1))*3-2,3)&amp;"-"&amp;RIGHT(YEAR(DATE(YEAR(SprintTable[[#This Row],[Start]]),MONTH(SprintTable[[#This Row],[Start]])+1,1)),2),LeaveTable[#Headers],0),0)</calculatedColumnFormula>
    </tableColumn>
    <tableColumn id="22" name="_LeaveCol2">
      <calculatedColumnFormula>IFERROR(MATCH(MID("JanFebMarAprMayJunJulAugSepOctNovDec",MONTH(DATE(YEAR(SprintTable[[#This Row],[Start]]),MONTH(SprintTable[[#This Row],[Start]])+2,1))*3-2,3)&amp;"-"&amp;RIGHT(YEAR(DATE(YEAR(SprintTable[[#This Row],[Start]]),MONTH(SprintTable[[#This Row],[Start]])+2,1)),2),LeaveTable[#Headers],0),0)</calculatedColumnFormula>
    </tableColumn>
  </tableColumns>
  <tableStyleInfo name="TableStyleLight1" showRowStripes="0"/>
</table>
</file>

<file path=xl/tables/table36.xml><?xml version="1.0" encoding="utf-8"?>
<table xmlns="http://schemas.openxmlformats.org/spreadsheetml/2006/main" id="36"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37.xml><?xml version="1.0" encoding="utf-8"?>
<table xmlns="http://schemas.openxmlformats.org/spreadsheetml/2006/main" id="37"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38.xml><?xml version="1.0" encoding="utf-8"?>
<table xmlns="http://schemas.openxmlformats.org/spreadsheetml/2006/main" id="38" name="StatusNotes" displayName="StatusNotes" ref="B55:C61" headerRowCount="1">
  <tableColumns count="2">
    <tableColumn id="1" name="Section"/>
    <tableColumn id="2" name="Notes"/>
  </tableColumns>
  <tableStyleInfo name="TableStyleLight1" showRowStripes="0"/>
</table>
</file>

<file path=xl/tables/table39.xml><?xml version="1.0" encoding="utf-8"?>
<table xmlns="http://schemas.openxmlformats.org/spreadsheetml/2006/main" id="39"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40.xml><?xml version="1.0" encoding="utf-8"?>
<table xmlns="http://schemas.openxmlformats.org/spreadsheetml/2006/main" id="40"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1.xml><?xml version="1.0" encoding="utf-8"?>
<table xmlns="http://schemas.openxmlformats.org/spreadsheetml/2006/main" id="41" name="Tasks" displayName="Tasks" ref="A5:DS205" headerRowCount="1">
  <autoFilter ref="A5:DS205"/>
  <tableColumns count="123">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Mode"/>
    <tableColumn id="7" name="Duration"/>
    <tableColumn id="8" name="Pred1 UID"/>
    <tableColumn id="9" name="Pred1 Type"/>
    <tableColumn id="10" name="Pred1 Lag"/>
    <tableColumn id="11" name="Pred2 UID"/>
    <tableColumn id="12" name="Pred2 Type"/>
    <tableColumn id="13" name="Pred2 Lag"/>
    <tableColumn id="14" name="Start No Earlier Than"/>
    <tableColumn id="15" name="Deadline"/>
    <tableColumn id="16" name="Planned Start">
      <calculatedColumnFormula>IF(Tasks[[#This Row],[Task Name]]="","",IF(N(Tasks[[#This Row],[Baseline Start]])&gt;0,Tasks[[#This Row],[Baseline Start]],Tasks[[#This Row],[_CalcStart]]))</calculatedColumnFormula>
    </tableColumn>
    <tableColumn id="17" name="Planned Finish">
      <calculatedColumnFormula>IF(Tasks[[#This Row],[Task Name]]="","",IF(N(Tasks[[#This Row],[Baseline Finish]])&gt;0,Tasks[[#This Row],[Baseline Finish]],Tasks[[#This Row],[_CalcFinish]]))</calculatedColumnFormula>
    </tableColumn>
    <tableColumn id="18" name="Actual Start"/>
    <tableColumn id="19" name="Actual Finish"/>
    <tableColumn id="20" name="Forecast Start">
      <calculatedColumnFormula>IF(Tasks[[#This Row],[Task Name]]="","",IF(Tasks[[#This Row],[_IsSummary]],MIN(INDEX(Tasks[_LeafFcstStart],Tasks[[#This Row],[_Row]]+1):INDEX(Tasks[_LeafFcstStart],Tasks[[#This Row],[_Row]]+Tasks[[#This Row],[_Descendants]])),Tasks[[#This Row],[_LeafFcstStart]]))</calculatedColumnFormula>
    </tableColumn>
    <tableColumn id="21" name="Forecast Finish">
      <calculatedColumnFormula>IF(Tasks[[#This Row],[Task Name]]="","",IF(Tasks[[#This Row],[_IsSummary]],MAX(INDEX(Tasks[_LeafFcstFinish],Tasks[[#This Row],[_Row]]+1):INDEX(Tasks[_LeafFcstFinish],Tasks[[#This Row],[_Row]]+Tasks[[#This Row],[_Descendants]])),Tasks[[#This Row],[_LeafFcstFinish]]))</calculatedColumnFormula>
    </tableColumn>
    <tableColumn id="22"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23"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24" name="Late Start">
      <calculatedColumnFormula>IF(Tasks[[#This Row],[Task Name]]="","",IF(Tasks[[#This Row],[_IsSummary]],MIN(INDEX(Tasks[_LeafLateStart],Tasks[[#This Row],[_Row]]+1):INDEX(Tasks[_LeafLateStart],Tasks[[#This Row],[_Row]]+Tasks[[#This Row],[_Descendants]])),Tasks[[#This Row],[_LeafLateStart]]))</calculatedColumnFormula>
    </tableColumn>
    <tableColumn id="25"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26"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27"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calculatedColumnFormula>
    </tableColumn>
    <tableColumn id="28"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29"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0" name="Link Check">
      <calculatedColumnFormula>IF(Tasks[[#This Row],[Task Name]]="","",TRIM(IF(Tasks[[#This Row],[_Pred1Problem]]&lt;&gt;"","Pred 1: "&amp;Tasks[[#This Row],[_Pred1Problem]]&amp;". ","")&amp;IF(Tasks[[#This Row],[_Pred2Problem]]&lt;&gt;"","Pred 2: "&amp;Tasks[[#This Row],[_Pred2Problem]]&amp;".","")))</calculatedColumnFormula>
    </tableColumn>
    <tableColumn id="31" name="% Complete"/>
    <tableColumn id="32"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33"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34" name="Resource"/>
    <tableColumn id="35" name="Units"/>
    <tableColumn id="36" name="Over-allocated">
      <calculatedColumnFormula>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calculatedColumnFormula>
    </tableColumn>
    <tableColumn id="37" name="Work">
      <calculatedColumnFormula>IF(Tasks[[#This Row],[Task Name]]="","",IF(Tasks[[#This Row],[_IsSummary]],SUM(INDEX(Tasks[_LeafWork],Tasks[[#This Row],[_Row]]+1):INDEX(Tasks[_LeafWork],Tasks[[#This Row],[_Row]]+Tasks[[#This Row],[_Descendants]])),Tasks[[#This Row],[_LeafWork]]))</calculatedColumnFormula>
    </tableColumn>
    <tableColumn id="38" name="Cost">
      <calculatedColumnFormula>IF(Tasks[[#This Row],[Task Name]]="","",IF(Tasks[[#This Row],[_IsSummary]],SUM(INDEX(Tasks[_LeafCost],Tasks[[#This Row],[_Row]]+1):INDEX(Tasks[_LeafCost],Tasks[[#This Row],[_Row]]+Tasks[[#This Row],[_Descendants]])),Tasks[[#This Row],[_LeafCost]]))</calculatedColumnFormula>
    </tableColumn>
    <tableColumn id="39" name="Actual Cost"/>
    <tableColumn id="40" name="Planned Sprint"/>
    <tableColumn id="41"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42" name="Story Points"/>
    <tableColumn id="43" name="Predecessors">
      <calculatedColumnFormula>IF(Tasks[[#This Row],[Task Name]]="","",Tasks[[#This Row],[_Pred1IDText]]&amp;IF(AND(Tasks[[#This Row],[_Pred1IDText]]&lt;&gt;"",Tasks[[#This Row],[_Pred2IDText]]&lt;&gt;""),",","")&amp;Tasks[[#This Row],[_Pred2IDText]])</calculatedColumnFormula>
    </tableColumn>
    <tableColumn id="44" name="Notes"/>
    <tableColumn id="45" name="BL Source Start">
      <calculatedColumnFormula>IF(Tasks[[#This Row],[Task Name]]="","",Tasks[[#This Row],[Forecast Start]])</calculatedColumnFormula>
    </tableColumn>
    <tableColumn id="46" name="BL Source Finish">
      <calculatedColumnFormula>IF(Tasks[[#This Row],[Task Name]]="","",Tasks[[#This Row],[Forecast Finish]])</calculatedColumnFormula>
    </tableColumn>
    <tableColumn id="47" name="BL Source Duration">
      <calculatedColumnFormula>IF(Tasks[[#This Row],[Task Name]]="","",IF(Tasks[[#This Row],[_IsSummary]],NETWORKDAYS.INTL(Tasks[[#This Row],[Forecast Start]],Tasks[[#This Row],[Forecast Finish]],WorkWeek,Holidays),N(Tasks[[#This Row],[Duration]])))</calculatedColumnFormula>
    </tableColumn>
    <tableColumn id="48" name="BL Source Work">
      <calculatedColumnFormula>IF(Tasks[[#This Row],[Task Name]]="","",Tasks[[#This Row],[Work]])</calculatedColumnFormula>
    </tableColumn>
    <tableColumn id="49" name="BL Source Cost">
      <calculatedColumnFormula>IF(Tasks[[#This Row],[Task Name]]="","",Tasks[[#This Row],[Cost]])</calculatedColumnFormula>
    </tableColumn>
    <tableColumn id="50" name="Baseline Start"/>
    <tableColumn id="51" name="Baseline Finish"/>
    <tableColumn id="52" name="Baseline Duration"/>
    <tableColumn id="53" name="Baseline Work"/>
    <tableColumn id="54" name="Baseline Cost"/>
    <tableColumn id="55" name="Duration Var">
      <calculatedColumnFormula>IF(OR(Tasks[[#This Row],[Task Name]]="",Tasks[[#This Row],[Baseline Duration]]=""),"",Tasks[[#This Row],[BL Source Duration]]-N(Tasks[[#This Row],[Baseline Duration]]))</calculatedColumnFormula>
    </tableColumn>
    <tableColumn id="56" name="Work Var">
      <calculatedColumnFormula>IF(OR(Tasks[[#This Row],[Task Name]]="",Tasks[[#This Row],[Baseline Work]]=""),"",Tasks[[#This Row],[Work]]-N(Tasks[[#This Row],[Baseline Work]]))</calculatedColumnFormula>
    </tableColumn>
    <tableColumn id="57" name="Cost Var">
      <calculatedColumnFormula>IF(OR(Tasks[[#This Row],[Task Name]]="",Tasks[[#This Row],[Baseline Cost]]=""),"",Tasks[[#This Row],[Cost]]-N(Tasks[[#This Row],[Baseline Cost]]))</calculatedColumnFormula>
    </tableColumn>
    <tableColumn id="58" name="Budget">
      <calculatedColumnFormula>IF(Tasks[[#This Row],[Task Name]]="","",IF(Tasks[[#This Row],[_IsSummary]],SUM(INDEX(Tasks[_LeafBudget],Tasks[[#This Row],[_Row]]+1):INDEX(Tasks[_LeafBudget],Tasks[[#This Row],[_Row]]+Tasks[[#This Row],[_Descendants]])),Tasks[[#This Row],[_LeafBudget]]))</calculatedColumnFormula>
    </tableColumn>
    <tableColumn id="59" name="PV">
      <calculatedColumnFormula>IF(Tasks[[#This Row],[Task Name]]="","",IF(Tasks[[#This Row],[_IsSummary]],SUM(INDEX(Tasks[_LeafPV],Tasks[[#This Row],[_Row]]+1):INDEX(Tasks[_LeafPV],Tasks[[#This Row],[_Row]]+Tasks[[#This Row],[_Descendants]])),Tasks[[#This Row],[_LeafPV]]))</calculatedColumnFormula>
    </tableColumn>
    <tableColumn id="60" name="EV">
      <calculatedColumnFormula>IF(Tasks[[#This Row],[Task Name]]="","",IF(Tasks[[#This Row],[_IsSummary]],SUM(INDEX(Tasks[_LeafEV],Tasks[[#This Row],[_Row]]+1):INDEX(Tasks[_LeafEV],Tasks[[#This Row],[_Row]]+Tasks[[#This Row],[_Descendants]])),Tasks[[#This Row],[_LeafEV]]))</calculatedColumnFormula>
    </tableColumn>
    <tableColumn id="61" name="AC">
      <calculatedColumnFormula>IF(Tasks[[#This Row],[Task Name]]="","",IF(Tasks[[#This Row],[_IsSummary]],SUM(INDEX(Tasks[_LeafAC],Tasks[[#This Row],[_Row]]+1):INDEX(Tasks[_LeafAC],Tasks[[#This Row],[_Row]]+Tasks[[#This Row],[_Descendants]])),Tasks[[#This Row],[_LeafAC]]))</calculatedColumnFormula>
    </tableColumn>
    <tableColumn id="62" name="_Level">
      <calculatedColumnFormula>IF(Tasks[[#This Row],[Task Name]]="","",MAX(1,N(Tasks[[#This Row],[Level]])))</calculatedColumnFormula>
    </tableColumn>
    <tableColumn id="63" name="_Row">
      <calculatedColumnFormula>ROW()-ROW(Tasks[[#Headers],[ID]])</calculatedColumnFormula>
    </tableColumn>
    <tableColumn id="64" name="_ParentRow">
      <calculatedColumnFormula>IF(OR(Tasks[[#This Row],[Task Name]]="",Tasks[[#This Row],[_Level]]&lt;=1),0,IFERROR(LOOKUP(2,1/(Tasks[[#Headers],[_Level]]:Tasks[[#This Row],[_Level]]=Tasks[[#This Row],[_Level]]-1),ROW(Tasks[[#Headers],[_Level]]:Tasks[[#This Row],[_Level]])),0))</calculatedColumnFormula>
    </tableColumn>
    <tableColumn id="65" name="_NextLevel">
      <calculatedColumnFormula>IFERROR(N(INDEX(Tasks[_Level],Tasks[[#This Row],[_Row]]+1)),0)</calculatedColumnFormula>
    </tableColumn>
    <tableColumn id="66" name="_IsSummary">
      <calculatedColumnFormula>AND(Tasks[[#This Row],[Task Name]]&lt;&gt;"",Tasks[[#This Row],[_NextLevel]]&gt;Tasks[[#This Row],[_Level]])</calculatedColumnFormula>
    </tableColumn>
    <tableColumn id="67" name="_Descendants">
      <calculatedColumnFormula>IF(Tasks[[#This Row],[_IsSummary]],COUNTIF(Tasks[WBS],Tasks[[#This Row],[WBS]]&amp;".*"),0)</calculatedColumnFormula>
    </tableColumn>
    <tableColumn id="68" name="_IsLeaf">
      <calculatedColumnFormula>IF(AND(Tasks[[#This Row],[Task Name]]&lt;&gt;"",NOT(Tasks[[#This Row],[_IsSummary]])),1,0)</calculatedColumnFormula>
    </tableColumn>
    <tableColumn id="69" name="_Pred1Pos">
      <calculatedColumnFormula>IF(N(Tasks[[#This Row],[Pred1 UID]])=0,0,IFERROR(MATCH(Tasks[[#This Row],[Pred1 UID]],Tasks[UID],0),-1))</calculatedColumnFormula>
    </tableColumn>
    <tableColumn id="70" name="_Pred2Pos">
      <calculatedColumnFormula>IF(N(Tasks[[#This Row],[Pred2 UID]])=0,0,IFERROR(MATCH(Tasks[[#This Row],[Pred2 UID]],Tasks[UID],0),-1))</calculatedColumnFormula>
    </tableColumn>
    <tableColumn id="71" name="_LeafCalcStart">
      <calculatedColumnFormula>IF(NOT(Tasks[[#This Row],[_IsLeaf]]=1),"",IF(Tasks[[#This Row],[Mode]]="Manual",IF(N(Tasks[[#This Row],[Start No Earlier Than]])&gt;0,Tasks[[#This Row],[Start No Earlier Than]],ProjectStart),WORKDAY.INTL(MAX(ProjectStart,N(Tasks[[#This Row],[Start No Earlier Than]]),Tasks[[#This Row],[_Pred1PlanDriver]],Tasks[[#This Row],[_Pred2PlanDriver]])-1,1,WorkWeek,Holidays)))</calculatedColumnFormula>
    </tableColumn>
    <tableColumn id="72" name="_LeafCalcFinish">
      <calculatedColumnFormula>IF(NOT(Tasks[[#This Row],[_IsLeaf]]=1),"",IF(N(Tasks[[#This Row],[Duration]])&lt;=0,Tasks[[#This Row],[_LeafCalcStart]],WORKDAY.INTL(Tasks[[#This Row],[_LeafCalcStart]],Tasks[[#This Row],[Duration]]-1,WorkWeek,Holidays)))</calculatedColumnFormula>
    </tableColumn>
    <tableColumn id="73" name="_LeafFcstStart">
      <calculatedColumnFormula>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calculatedColumnFormula>
    </tableColumn>
    <tableColumn id="74"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75" name="_LeafProgress">
      <calculatedColumnFormula>IF(NOT(Tasks[[#This Row],[_IsLeaf]]=1),0,IF(N(Tasks[[#This Row],[Actual Finish]])&gt;0,1,MIN(1,N(Tasks[[#This Row],[% Complete]]))))</calculatedColumnFormula>
    </tableColumn>
    <tableColumn id="76" name="_LeafWork">
      <calculatedColumnFormula>IF(OR(NOT(Tasks[[#This Row],[_IsLeaf]]=1),Tasks[[#This Row],[Resource]]=""),0,N(Tasks[[#This Row],[Duration]])*HoursPerDay*IF(Tasks[[#This Row],[Units]]="",DefaultUnits,Tasks[[#This Row],[Units]]))</calculatedColumnFormula>
    </tableColumn>
    <tableColumn id="77" name="_LeafCost">
      <calculatedColumnFormula>IF(Tasks[[#This Row],[_LeafWork]]=0,0,Tasks[[#This Row],[_LeafWork]]*IFERROR(INDEX(res_Rate,MATCH(Tasks[[#This Row],[Resource]],res_Name,0)),0))</calculatedColumnFormula>
    </tableColumn>
    <tableColumn id="78"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79"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80"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81"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82" name="_LastSuccessorRow">
      <calculatedColumnFormula>IF(NOT(Tasks[[#This Row],[_IsLeaf]]=1),0,MAX(_xlfn.MAXIFS(Tasks[_Row],Tasks[Pred1 UID],Tasks[[#This Row],[UID]]),_xlfn.MAXIFS(Tasks[_Row],Tasks[Pred2 UID],Tasks[[#This Row],[UID]])))</calculatedColumnFormula>
    </tableColumn>
    <tableColumn id="83"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calculatedColumnFormula>
    </tableColumn>
    <tableColumn id="84" name="_LeafLateFinish">
      <calculatedColumnFormula>IF(NOT(Tasks[[#This Row],[_IsLeaf]]=1),"",MIN(ProjectFinish,IF(N(Tasks[[#This Row],[Deadline]])&gt;0,Tasks[[#This Row],[Deadline]],2958465),Tasks[[#This Row],[_SuccessorFinishLimit]]))</calculatedColumnFormula>
    </tableColumn>
    <tableColumn id="85" name="_LeafLateStart">
      <calculatedColumnFormula>IF(NOT(Tasks[[#This Row],[_IsLeaf]]=1),"",IF(N(Tasks[[#This Row],[Duration]])&lt;=0,Tasks[[#This Row],[_LeafLateFinish]],WORKDAY.INTL(Tasks[[#This Row],[_LeafLateFinish]],-(Tasks[[#This Row],[Duration]]-1),WorkWeek,Holidays)))</calculatedColumnFormula>
    </tableColumn>
    <tableColumn id="86"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87" name="_LeafCritical">
      <calculatedColumnFormula>AND(Tasks[[#This Row],[_IsLeaf]]=1,Tasks[[#This Row],[_LeafProgress]]&lt;1,N(Tasks[[#This Row],[_LeafTotalSlack]])&lt;=CriticalSlackDays)</calculatedColumnFormula>
    </tableColumn>
    <tableColumn id="88" name="_CalcStart">
      <calculatedColumnFormula>IF(Tasks[[#This Row],[Task Name]]="","",IF(Tasks[[#This Row],[_IsSummary]],MIN(INDEX(Tasks[_LeafCalcStart],Tasks[[#This Row],[_Row]]+1):INDEX(Tasks[_LeafCalcStart],Tasks[[#This Row],[_Row]]+Tasks[[#This Row],[_Descendants]])),Tasks[[#This Row],[_LeafCalcStart]]))</calculatedColumnFormula>
    </tableColumn>
    <tableColumn id="89" name="_CalcFinish">
      <calculatedColumnFormula>IF(Tasks[[#This Row],[Task Name]]="","",IF(Tasks[[#This Row],[_IsSummary]],MAX(INDEX(Tasks[_LeafCalcFinish],Tasks[[#This Row],[_Row]]+1):INDEX(Tasks[_LeafCalcFinish],Tasks[[#This Row],[_Row]]+Tasks[[#This Row],[_Descendants]])),Tasks[[#This Row],[_LeafCalcFinish]]))</calculatedColumnFormula>
    </tableColumn>
    <tableColumn id="90"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91"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92"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93"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94"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95"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96" name="_StartWorkday">
      <calculatedColumnFormula>IF(AND(Tasks[[#This Row],[_IsLeaf]]=1,Tasks[[#This Row],[_LeafWork]]&gt;0),NETWORKDAYS.INTL(ProjectStart,Tasks[[#This Row],[_LeafFcstStart]],WorkWeek,Holidays),0)</calculatedColumnFormula>
    </tableColumn>
    <tableColumn id="97" name="_FinishWorkday">
      <calculatedColumnFormula>IF(AND(Tasks[[#This Row],[_IsLeaf]]=1,Tasks[[#This Row],[_LeafWork]]&gt;0),MAX(Tasks[[#This Row],[_StartWorkday]],NETWORKDAYS.INTL(ProjectStart,Tasks[[#This Row],[_LeafFcstFinish]],WorkWeek,Holidays)),0)</calculatedColumnFormula>
    </tableColumn>
    <tableColumn id="98" name="_WorkPerWorkday">
      <calculatedColumnFormula>IF(AND(Tasks[[#This Row],[_IsLeaf]]=1,Tasks[[#This Row],[_LeafWork]]&gt;0),Tasks[[#This Row],[_LeafWork]]/(Tasks[[#This Row],[_FinishWorkday]]-Tasks[[#This Row],[_StartWorkday]]+1),0)</calculatedColumnFormula>
    </tableColumn>
    <tableColumn id="99" name="_WorkBeforeStart">
      <calculatedColumnFormula>Tasks[[#This Row],[_WorkPerWorkday]]*(Tasks[[#This Row],[_StartWorkday]]-1)</calculatedColumnFormula>
    </tableColumn>
    <tableColumn id="100" name="_WeightDur">
      <calculatedColumnFormula>IF(Tasks[[#This Row],[_IsLeaf]]=1,MAX(N(Tasks[[#This Row],[Duration]]),0.1),0)</calculatedColumnFormula>
    </tableColumn>
    <tableColumn id="101" name="_WeightDone">
      <calculatedColumnFormula>Tasks[[#This Row],[_WeightDur]]*Tasks[[#This Row],[_LeafProgress]]</calculatedColumnFormula>
    </tableColumn>
    <tableColumn id="102" name="_Pred1IDText">
      <calculatedColumnFormula>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calculatedColumnFormula>
    </tableColumn>
    <tableColumn id="103" name="_Pred2IDText">
      <calculatedColumnFormula>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calculatedColumnFormula>
    </tableColumn>
    <tableColumn id="104" name="_Pred1UIDText">
      <calculatedColumnFormula>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calculatedColumnFormula>
    </tableColumn>
    <tableColumn id="105" name="_Pred2UIDText">
      <calculatedColumnFormula>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calculatedColumnFormula>
    </tableColumn>
    <tableColumn id="106" name="_UIDPredecessors">
      <calculatedColumnFormula>IF(Tasks[[#This Row],[Task Name]]="","",Tasks[[#This Row],[_Pred1UIDText]]&amp;IF(AND(Tasks[[#This Row],[_Pred1UIDText]]&lt;&gt;"",Tasks[[#This Row],[_Pred2UIDText]]&lt;&gt;""),",","")&amp;Tasks[[#This Row],[_Pred2UIDText]])</calculatedColumnFormula>
    </tableColumn>
    <tableColumn id="107" name="_MilestoneKey">
      <calculatedColumnFormula>IF(AND(Tasks[[#This Row],[_IsLeaf]]=1,N(Tasks[[#This Row],[Duration]])=0,Tasks[[#This Row],[_LeafProgress]]&lt;1),Tasks[[#This Row],[_LeafFcstFinish]]+Tasks[[#This Row],[_Row]]/100000,"")</calculatedColumnFormula>
    </tableColumn>
    <tableColumn id="108"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09" name="_LeafBudget">
      <calculatedColumnFormula>IF(NOT(Tasks[[#This Row],[_IsLeaf]]=1),0,IF(Tasks[[#This Row],[Baseline Cost]]="",Tasks[[#This Row],[_LeafCost]],N(Tasks[[#This Row],[Baseline Cost]])))</calculatedColumnFormula>
    </tableColumn>
    <tableColumn id="110" name="_LeafPV">
      <calculatedColumnFormula>Tasks[[#This Row],[_LeafBudget]]*Tasks[[#This Row],[_PlannedPct]]</calculatedColumnFormula>
    </tableColumn>
    <tableColumn id="111" name="_LeafEV">
      <calculatedColumnFormula>Tasks[[#This Row],[_LeafBudget]]*Tasks[[#This Row],[_LeafProgress]]</calculatedColumnFormula>
    </tableColumn>
    <tableColumn id="112" name="_LeafAC">
      <calculatedColumnFormula>IF(NOT(Tasks[[#This Row],[_IsLeaf]]=1),0,IF(Tasks[[#This Row],[Actual Cost]]="",Tasks[[#This Row],[_LeafCost]]*Tasks[[#This Row],[_LeafProgress]],N(Tasks[[#This Row],[Actual Cost]])))</calculatedColumnFormula>
    </tableColumn>
    <tableColumn id="113" name="_Phase">
      <calculatedColumnFormula>IF(Tasks[[#This Row],[Task Name]]="","",LEFT(Tasks[[#This Row],[WBS]],FIND(".",Tasks[[#This Row],[WBS]]&amp;".")-1))</calculatedColumnFormula>
    </tableColumn>
    <tableColumn id="114" name="_PhaseKey">
      <calculatedColumnFormula>IF(AND(Tasks[[#This Row],[Task Name]]&lt;&gt;"",Tasks[[#This Row],[_Level]]=1),Tasks[[#This Row],[_Row]],"")</calculatedColumnFormula>
    </tableColumn>
    <tableColumn id="115" name="_MilestoneOrder">
      <calculatedColumnFormula>IF(AND(Tasks[[#This Row],[_IsLeaf]]=1,N(Tasks[[#This Row],[Duration]])=0),Tasks[[#This Row],[Planned Finish]]+Tasks[[#This Row],[_Row]]/100000,"")</calculatedColumnFormula>
    </tableColumn>
    <tableColumn id="116" name="_LateKey">
      <calculatedColumnFormula>IF(AND(Tasks[[#This Row],[_IsLeaf]]=1,Tasks[[#This Row],[_LeafProgress]]&lt;1,OR(N(Tasks[[#This Row],[Finish Var]])&gt;0,Tasks[[#This Row],[Status]]="Late Start")),MAX(0,Tasks[[#This Row],[Finish Var]])+1-Tasks[[#This Row],[_Row]]/1000000,"")</calculatedColumnFormula>
    </tableColumn>
    <tableColumn id="117" name="_StartSoonKey">
      <calculatedColumnFormula>IF(AND(Tasks[[#This Row],[_IsLeaf]]=1,N(Tasks[[#This Row],[Actual Start]])=0,Tasks[[#This Row],[_LeafFcstStart]]&gt;=StatusDate,Tasks[[#This Row],[_LeafFcstStart]]&lt;=LookaheadEnd),Tasks[[#This Row],[_LeafFcstStart]]+Tasks[[#This Row],[_Row]]/100000,"")</calculatedColumnFormula>
    </tableColumn>
    <tableColumn id="118" name="_DueSoonKey">
      <calculatedColumnFormula>IF(AND(Tasks[[#This Row],[_IsLeaf]]=1,Tasks[[#This Row],[_LeafProgress]]&lt;1,Tasks[[#This Row],[_LeafFcstFinish]]&gt;=StatusDate,Tasks[[#This Row],[_LeafFcstFinish]]&lt;=LookaheadEnd),Tasks[[#This Row],[_LeafFcstFinish]]+Tasks[[#This Row],[_Row]]/100000,"")</calculatedColumnFormula>
    </tableColumn>
    <tableColumn id="119" name="_CriticalKey">
      <calculatedColumnFormula>IF(Tasks[[#This Row],[_LeafCritical]],Tasks[[#This Row],[_LeafFcstStart]]+Tasks[[#This Row],[_Row]]/100000,"")</calculatedColumnFormula>
    </tableColumn>
    <tableColumn id="120" name="_LeafWorkDone">
      <calculatedColumnFormula>Tasks[[#This Row],[_LeafWork]]*Tasks[[#This Row],[_LeafProgress]]</calculatedColumnFormula>
    </tableColumn>
    <tableColumn id="121" name="_DoneDate">
      <calculatedColumnFormula>IF(AND(Tasks[[#This Row],[_IsLeaf]]=1,Tasks[[#This Row],[_LeafProgress]]&gt;=1),IF(N(Tasks[[#This Row],[Actual Finish]])&gt;0,Tasks[[#This Row],[Actual Finish]],Tasks[[#This Row],[_LeafFcstFinish]]),"")</calculatedColumnFormula>
    </tableColumn>
    <tableColumn id="122" name="_LeafPoints">
      <calculatedColumnFormula>IF(Tasks[[#This Row],[_IsLeaf]]=1,N(Tasks[[#This Row],[Story Points]]),0)</calculatedColumnFormula>
    </tableColumn>
    <tableColumn id="123" name="_CurrentSprintKey">
      <calculatedColumnFormula>IF(AND(Tasks[[#This Row],[_IsLeaf]]=1,CurrentSprint&lt;&gt;"",Tasks[[#This Row],[Sprint]]=CurrentSprint),Tasks[[#This Row],[_Row]],"")</calculatedColumnFormula>
    </tableColumn>
  </tableColumns>
  <tableStyleInfo name="TableStyleLight1" showRowStripes="0"/>
</table>
</file>

<file path=xl/tables/table42.xml><?xml version="1.0" encoding="utf-8"?>
<table xmlns="http://schemas.openxmlformats.org/spreadsheetml/2006/main" id="42"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0.xml"/><Relationship Id="rId3" Type="http://schemas.openxmlformats.org/officeDocument/2006/relationships/table" Target="../tables/table26.xml"/><Relationship Id="rId4" Type="http://schemas.openxmlformats.org/officeDocument/2006/relationships/table" Target="../tables/table40.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Relationship Id="rId4" Type="http://schemas.openxmlformats.org/officeDocument/2006/relationships/table" Target="../tables/table2.xml"/><Relationship Id="rId5" Type="http://schemas.openxmlformats.org/officeDocument/2006/relationships/table" Target="../tables/table7.xml"/><Relationship Id="rId6" Type="http://schemas.openxmlformats.org/officeDocument/2006/relationships/table" Target="../tables/table27.xml"/><Relationship Id="rId7" Type="http://schemas.openxmlformats.org/officeDocument/2006/relationships/table" Target="../tables/table38.xml"/><Relationship Id="rId8" Type="http://schemas.openxmlformats.org/officeDocument/2006/relationships/table" Target="../tables/table39.xml"/><Relationship Id="rId9" Type="http://schemas.openxmlformats.org/officeDocument/2006/relationships/table" Target="../tables/table42.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Relationship Id="rId3" Type="http://schemas.openxmlformats.org/officeDocument/2006/relationships/table" Target="../tables/table4.xml"/><Relationship Id="rId4" Type="http://schemas.openxmlformats.org/officeDocument/2006/relationships/table" Target="../tables/table6.xml"/><Relationship Id="rId5" Type="http://schemas.openxmlformats.org/officeDocument/2006/relationships/table" Target="../tables/table11.xml"/><Relationship Id="rId6" Type="http://schemas.openxmlformats.org/officeDocument/2006/relationships/table" Target="../tables/table23.xml"/><Relationship Id="rId7" Type="http://schemas.openxmlformats.org/officeDocument/2006/relationships/table" Target="../tables/table28.xml"/><Relationship Id="rId8" Type="http://schemas.openxmlformats.org/officeDocument/2006/relationships/table" Target="../tables/table36.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Relationship Id="rId4"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Relationship Id="rId4" Type="http://schemas.openxmlformats.org/officeDocument/2006/relationships/table" Target="../tables/table1.xml"/><Relationship Id="rId5" Type="http://schemas.openxmlformats.org/officeDocument/2006/relationships/table" Target="../tables/table33.xml"/><Relationship Id="rId6" Type="http://schemas.openxmlformats.org/officeDocument/2006/relationships/table" Target="../tables/table34.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Relationship Id="rId3" Type="http://schemas.openxmlformats.org/officeDocument/2006/relationships/table" Target="../tables/table29.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5.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2.xml"/><Relationship Id="rId3" Type="http://schemas.openxmlformats.org/officeDocument/2006/relationships/table" Target="../tables/table37.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8.vml"/><Relationship Id="rId3" Type="http://schemas.openxmlformats.org/officeDocument/2006/relationships/table" Target="../tables/table41.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Relationship Id="rId3" Type="http://schemas.openxmlformats.org/officeDocument/2006/relationships/table" Target="../tables/table31.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Relationship Id="rId3" Type="http://schemas.openxmlformats.org/officeDocument/2006/relationships/table" Target="../tables/table35.xml"/>
</Relationships>
</file>

<file path=xl/worksheets/_rels/sheet16.xml.rels><?xml version="1.0" encoding="UTF-8"?>
<Relationships xmlns="http://schemas.openxmlformats.org/package/2006/relationships"><Relationship Id="rId1" Type="http://schemas.openxmlformats.org/officeDocument/2006/relationships/table" Target="../tables/table9.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Relationship Id="rId3" Type="http://schemas.openxmlformats.org/officeDocument/2006/relationships/table" Target="../tables/table12.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Relationship Id="rId3" Type="http://schemas.openxmlformats.org/officeDocument/2006/relationships/table" Target="../tables/table25.xml"/>
</Relationships>
</file>

<file path=xl/worksheets/_rels/sheet19.xml.rels><?xml version="1.0" encoding="UTF-8"?>
<Relationships xmlns="http://schemas.openxmlformats.org/package/2006/relationships"><Relationship Id="rId1" Type="http://schemas.openxmlformats.org/officeDocument/2006/relationships/table" Target="../tables/table24.xml"/>
</Relationships>
</file>

<file path=xl/worksheets/_rels/sheet20.xml.rels><?xml version="1.0" encoding="UTF-8"?>
<Relationships xmlns="http://schemas.openxmlformats.org/package/2006/relationships"><Relationship Id="rId1" Type="http://schemas.openxmlformats.org/officeDocument/2006/relationships/table" Target="../tables/table13.xml"/><Relationship Id="rId2" Type="http://schemas.openxmlformats.org/officeDocument/2006/relationships/table" Target="../tables/table14.xml"/><Relationship Id="rId3" Type="http://schemas.openxmlformats.org/officeDocument/2006/relationships/table" Target="../tables/table15.xml"/><Relationship Id="rId4" Type="http://schemas.openxmlformats.org/officeDocument/2006/relationships/table" Target="../tables/table16.xml"/><Relationship Id="rId5" Type="http://schemas.openxmlformats.org/officeDocument/2006/relationships/table" Target="../tables/table17.xml"/><Relationship Id="rId6" Type="http://schemas.openxmlformats.org/officeDocument/2006/relationships/table" Target="../tables/table18.xml"/><Relationship Id="rId7" Type="http://schemas.openxmlformats.org/officeDocument/2006/relationships/table" Target="../tables/table19.xml"/><Relationship Id="rId8" Type="http://schemas.openxmlformats.org/officeDocument/2006/relationships/table" Target="../tables/table20.xml"/><Relationship Id="rId9" Type="http://schemas.openxmlformats.org/officeDocument/2006/relationships/table" Target="../tables/table21.xml"/><Relationship Id="rId10"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1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35.05" hidden="false" customHeight="false" outlineLevel="0" collapsed="false">
      <c r="B14" s="4" t="s">
        <v>17</v>
      </c>
      <c r="C14" s="5" t="s">
        <v>18</v>
      </c>
    </row>
    <row r="15" customFormat="false" ht="46.25" hidden="false" customHeight="false" outlineLevel="0" collapsed="false">
      <c r="B15" s="4" t="s">
        <v>19</v>
      </c>
      <c r="C15" s="5" t="s">
        <v>20</v>
      </c>
    </row>
    <row r="16" customFormat="false" ht="15" hidden="false" customHeight="false" outlineLevel="0" collapsed="false">
      <c r="B16" s="4" t="s">
        <v>21</v>
      </c>
      <c r="C16" s="5" t="s">
        <v>22</v>
      </c>
    </row>
    <row r="17" customFormat="false" ht="35.05" hidden="false" customHeight="false" outlineLevel="0" collapsed="false">
      <c r="B17" s="4" t="s">
        <v>23</v>
      </c>
      <c r="C17" s="5" t="s">
        <v>24</v>
      </c>
    </row>
    <row r="18" customFormat="false" ht="23.8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35.05" hidden="false" customHeight="false" outlineLevel="0" collapsed="false">
      <c r="B21" s="4" t="s">
        <v>31</v>
      </c>
      <c r="C21" s="5" t="s">
        <v>32</v>
      </c>
    </row>
    <row r="22" customFormat="false" ht="35.05" hidden="false" customHeight="false" outlineLevel="0" collapsed="false">
      <c r="B22" s="4" t="s">
        <v>33</v>
      </c>
      <c r="C22" s="5" t="s">
        <v>34</v>
      </c>
    </row>
    <row r="23" customFormat="false" ht="35.05" hidden="false" customHeight="false" outlineLevel="0" collapsed="false">
      <c r="B23" s="4" t="s">
        <v>35</v>
      </c>
      <c r="C23" s="5" t="s">
        <v>36</v>
      </c>
    </row>
    <row r="24" customFormat="false" ht="23.85" hidden="false" customHeight="false" outlineLevel="0" collapsed="false">
      <c r="B24" s="4" t="s">
        <v>37</v>
      </c>
      <c r="C24" s="5" t="s">
        <v>38</v>
      </c>
    </row>
    <row r="25" customFormat="false" ht="35.05" hidden="false" customHeight="false" outlineLevel="0" collapsed="false">
      <c r="B25" s="4" t="s">
        <v>39</v>
      </c>
      <c r="C25" s="5" t="s">
        <v>40</v>
      </c>
    </row>
    <row r="27" customFormat="false" ht="15" hidden="false" customHeight="false" outlineLevel="0" collapsed="false">
      <c r="B27" s="2" t="s">
        <v>41</v>
      </c>
      <c r="C27" s="3"/>
    </row>
    <row r="28" customFormat="false" ht="15" hidden="false" customHeight="false" outlineLevel="0" collapsed="false">
      <c r="B28" s="4" t="s">
        <v>42</v>
      </c>
      <c r="C28" s="6" t="s">
        <v>43</v>
      </c>
    </row>
    <row r="29" customFormat="false" ht="15" hidden="false" customHeight="false" outlineLevel="0" collapsed="false">
      <c r="B29" s="4" t="s">
        <v>44</v>
      </c>
      <c r="C29" s="7" t="s">
        <v>45</v>
      </c>
    </row>
    <row r="30" customFormat="false" ht="15" hidden="false" customHeight="false" outlineLevel="0" collapsed="false">
      <c r="B30" s="4" t="s">
        <v>46</v>
      </c>
      <c r="C30" s="5" t="s">
        <v>47</v>
      </c>
    </row>
    <row r="32" customFormat="false" ht="15" hidden="false" customHeight="false" outlineLevel="0" collapsed="false">
      <c r="B32" s="2" t="s">
        <v>48</v>
      </c>
      <c r="C32" s="3"/>
    </row>
    <row r="33" customFormat="false" ht="23.85" hidden="false" customHeight="false" outlineLevel="0" collapsed="false">
      <c r="B33" s="4" t="s">
        <v>49</v>
      </c>
      <c r="C33" s="5" t="s">
        <v>50</v>
      </c>
    </row>
    <row r="34" customFormat="false" ht="23.85" hidden="false" customHeight="false" outlineLevel="0" collapsed="false">
      <c r="B34" s="4" t="s">
        <v>51</v>
      </c>
      <c r="C34" s="5" t="s">
        <v>52</v>
      </c>
    </row>
    <row r="35" customFormat="false" ht="15" hidden="false" customHeight="false" outlineLevel="0" collapsed="false">
      <c r="B35" s="4" t="s">
        <v>53</v>
      </c>
      <c r="C35" s="5" t="s">
        <v>54</v>
      </c>
    </row>
    <row r="36" customFormat="false" ht="46.25" hidden="false" customHeight="false" outlineLevel="0" collapsed="false">
      <c r="B36" s="4" t="s">
        <v>55</v>
      </c>
      <c r="C36" s="5" t="s">
        <v>56</v>
      </c>
    </row>
    <row r="37" customFormat="false" ht="15" hidden="false" customHeight="false" outlineLevel="0" collapsed="false">
      <c r="B37" s="4" t="s">
        <v>57</v>
      </c>
      <c r="C37" s="5" t="s">
        <v>58</v>
      </c>
    </row>
    <row r="38" customFormat="false" ht="23.85" hidden="false" customHeight="false" outlineLevel="0" collapsed="false">
      <c r="B38" s="4" t="s">
        <v>59</v>
      </c>
      <c r="C38" s="5" t="s">
        <v>60</v>
      </c>
    </row>
    <row r="39" customFormat="false" ht="46.25" hidden="false" customHeight="false" outlineLevel="0" collapsed="false">
      <c r="B39" s="4" t="s">
        <v>61</v>
      </c>
      <c r="C39" s="5" t="s">
        <v>62</v>
      </c>
    </row>
    <row r="40" customFormat="false" ht="35.05" hidden="false" customHeight="false" outlineLevel="0" collapsed="false">
      <c r="B40" s="4" t="s">
        <v>63</v>
      </c>
      <c r="C40" s="5" t="s">
        <v>64</v>
      </c>
    </row>
    <row r="42" customFormat="false" ht="15" hidden="false" customHeight="false" outlineLevel="0" collapsed="false">
      <c r="B42" s="2" t="s">
        <v>65</v>
      </c>
      <c r="C42" s="3"/>
    </row>
    <row r="43" customFormat="false" ht="46.25" hidden="false" customHeight="false" outlineLevel="0" collapsed="false">
      <c r="B43" s="4" t="s">
        <v>66</v>
      </c>
      <c r="C43" s="5" t="s">
        <v>67</v>
      </c>
    </row>
    <row r="44" customFormat="false" ht="35.05" hidden="false" customHeight="false" outlineLevel="0" collapsed="false">
      <c r="B44" s="4" t="s">
        <v>68</v>
      </c>
      <c r="C44" s="5" t="s">
        <v>69</v>
      </c>
    </row>
    <row r="45" customFormat="false" ht="15" hidden="false" customHeight="false" outlineLevel="0" collapsed="false">
      <c r="B45" s="4" t="s">
        <v>70</v>
      </c>
      <c r="C45" s="5" t="s">
        <v>71</v>
      </c>
    </row>
    <row r="46" customFormat="false" ht="23.85" hidden="false" customHeight="false" outlineLevel="0" collapsed="false">
      <c r="B46" s="4" t="s">
        <v>72</v>
      </c>
      <c r="C46" s="5" t="s">
        <v>73</v>
      </c>
    </row>
    <row r="47" customFormat="false" ht="46.25" hidden="false" customHeight="false" outlineLevel="0" collapsed="false">
      <c r="B47" s="4" t="s">
        <v>74</v>
      </c>
      <c r="C47" s="5" t="s">
        <v>75</v>
      </c>
    </row>
    <row r="48" customFormat="false" ht="35.05" hidden="false" customHeight="false" outlineLevel="0" collapsed="false">
      <c r="B48" s="4" t="s">
        <v>76</v>
      </c>
      <c r="C48" s="5" t="s">
        <v>77</v>
      </c>
    </row>
    <row r="49" customFormat="false" ht="23.85" hidden="false" customHeight="false" outlineLevel="0" collapsed="false">
      <c r="B49" s="4" t="s">
        <v>78</v>
      </c>
      <c r="C49" s="5" t="s">
        <v>79</v>
      </c>
    </row>
    <row r="50" customFormat="false" ht="23.85" hidden="false" customHeight="false" outlineLevel="0" collapsed="false">
      <c r="B50" s="4" t="s">
        <v>80</v>
      </c>
      <c r="C50" s="5" t="s">
        <v>81</v>
      </c>
    </row>
    <row r="52" customFormat="false" ht="15" hidden="false" customHeight="false" outlineLevel="0" collapsed="false">
      <c r="B52" s="2" t="s">
        <v>82</v>
      </c>
      <c r="C52" s="3"/>
    </row>
    <row r="53" customFormat="false" ht="46.25" hidden="false" customHeight="false" outlineLevel="0" collapsed="false">
      <c r="B53" s="4" t="s">
        <v>83</v>
      </c>
      <c r="C53" s="5" t="s">
        <v>84</v>
      </c>
    </row>
    <row r="54" customFormat="false" ht="57.45" hidden="false" customHeight="false" outlineLevel="0" collapsed="false">
      <c r="B54" s="4" t="s">
        <v>85</v>
      </c>
      <c r="C54" s="5" t="s">
        <v>86</v>
      </c>
    </row>
    <row r="55" customFormat="false" ht="23.85" hidden="false" customHeight="false" outlineLevel="0" collapsed="false">
      <c r="B55" s="4" t="s">
        <v>87</v>
      </c>
      <c r="C55" s="5" t="s">
        <v>88</v>
      </c>
    </row>
    <row r="56" customFormat="false" ht="15" hidden="false" customHeight="false" outlineLevel="0" collapsed="false">
      <c r="B56" s="4" t="s">
        <v>89</v>
      </c>
      <c r="C56" s="5" t="s">
        <v>90</v>
      </c>
    </row>
    <row r="57" customFormat="false" ht="46.25" hidden="false" customHeight="false" outlineLevel="0" collapsed="false">
      <c r="B57" s="4" t="s">
        <v>91</v>
      </c>
      <c r="C57" s="5"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Customer Portal Implementation  -  Dashboard</v>
      </c>
    </row>
    <row r="2" customFormat="false" ht="15" hidden="false" customHeight="false" outlineLevel="0" collapsed="false">
      <c r="A2" s="8" t="str">
        <f aca="false">"Project manager: "&amp;ProjectManager&amp;"     Status date: "&amp;TEXT(StatusDate,"ddd dd-mmm-yyyy")</f>
        <v>Project manager: Priya Sharma     Status date: Sun 25-Oct-2026</v>
      </c>
    </row>
    <row r="4" customFormat="false" ht="15" hidden="false" customHeight="false" outlineLevel="0" collapsed="false">
      <c r="B4" s="9" t="s">
        <v>93</v>
      </c>
      <c r="C4" s="9" t="s">
        <v>94</v>
      </c>
      <c r="E4" s="9" t="s">
        <v>95</v>
      </c>
      <c r="F4" s="9" t="s">
        <v>96</v>
      </c>
    </row>
    <row r="5" customFormat="false" ht="15" hidden="false" customHeight="false" outlineLevel="0" collapsed="false">
      <c r="B5" s="10" t="s">
        <v>97</v>
      </c>
      <c r="C5" s="11" t="n">
        <f aca="false">MIN(tsk_PlanStart)</f>
        <v>46272</v>
      </c>
      <c r="E5" s="12" t="s">
        <v>98</v>
      </c>
      <c r="F5" s="10" t="n">
        <f aca="false">COUNTIFS(tsk_Status,StatusSummary[[#This Row],[Status]],tsk_IsLeaf,1)</f>
        <v>9</v>
      </c>
    </row>
    <row r="6" customFormat="false" ht="15" hidden="false" customHeight="false" outlineLevel="0" collapsed="false">
      <c r="B6" s="10" t="s">
        <v>99</v>
      </c>
      <c r="C6" s="11" t="n">
        <f aca="false">MAX(tsk_PlanFinish)</f>
        <v>46393</v>
      </c>
      <c r="E6" s="13" t="s">
        <v>100</v>
      </c>
      <c r="F6" s="10" t="n">
        <f aca="false">COUNTIFS(tsk_Status,StatusSummary[[#This Row],[Status]],tsk_IsLeaf,1)</f>
        <v>0</v>
      </c>
    </row>
    <row r="7" customFormat="false" ht="15" hidden="false" customHeight="false" outlineLevel="0" collapsed="false">
      <c r="B7" s="10" t="s">
        <v>101</v>
      </c>
      <c r="C7" s="11" t="n">
        <f aca="false">MAX(tsk_FcFinish)</f>
        <v>46393</v>
      </c>
      <c r="E7" s="14" t="s">
        <v>102</v>
      </c>
      <c r="F7" s="10" t="n">
        <f aca="false">COUNTIFS(tsk_Status,StatusSummary[[#This Row],[Status]],tsk_IsLeaf,1)</f>
        <v>2</v>
      </c>
    </row>
    <row r="8" customFormat="false" ht="15" hidden="false" customHeight="false" outlineLevel="0" collapsed="false">
      <c r="B8" s="10" t="s">
        <v>103</v>
      </c>
      <c r="C8" s="15" t="n">
        <f aca="false">FinishVarianceDays</f>
        <v>0</v>
      </c>
      <c r="E8" s="16" t="s">
        <v>104</v>
      </c>
      <c r="F8" s="10" t="n">
        <f aca="false">COUNTIFS(tsk_Status,StatusSummary[[#This Row],[Status]],tsk_IsLeaf,1)</f>
        <v>1</v>
      </c>
    </row>
    <row r="9" customFormat="false" ht="15" hidden="false" customHeight="false" outlineLevel="0" collapsed="false">
      <c r="B9" s="10" t="s">
        <v>105</v>
      </c>
      <c r="C9" s="17" t="n">
        <f aca="false">IFERROR(SUM(tsk_WtDone)/SUM(tsk_WtDur),0)</f>
        <v>0.434170854271357</v>
      </c>
      <c r="E9" s="18" t="s">
        <v>106</v>
      </c>
      <c r="F9" s="10" t="n">
        <f aca="false">COUNTIFS(tsk_Status,StatusSummary[[#This Row],[Status]],tsk_IsLeaf,1)</f>
        <v>11</v>
      </c>
    </row>
    <row r="10" customFormat="false" ht="15" hidden="false" customHeight="false" outlineLevel="0" collapsed="false">
      <c r="B10" s="10" t="s">
        <v>107</v>
      </c>
      <c r="C10" s="17" t="n">
        <f aca="false">IFERROR(SUMPRODUCT(tsk_WtDur,tsk_PlannedPct)/SUM(tsk_WtDur),0)</f>
        <v>0.554773869346734</v>
      </c>
    </row>
    <row r="11" customFormat="false" ht="15" hidden="false" customHeight="false" outlineLevel="0" collapsed="false">
      <c r="B11" s="10" t="s">
        <v>108</v>
      </c>
      <c r="C11" s="19" t="n">
        <f aca="false">SUM(tsk_IsLeaf)</f>
        <v>23</v>
      </c>
    </row>
    <row r="12" customFormat="false" ht="15" hidden="false" customHeight="false" outlineLevel="0" collapsed="false">
      <c r="B12" s="10" t="s">
        <v>109</v>
      </c>
      <c r="C12" s="19" t="n">
        <f aca="false">SUMPRODUCT(tsk_IsLeaf*(tsk_Duration=0)*(tsk_Name&lt;&gt;""))</f>
        <v>5</v>
      </c>
    </row>
    <row r="13" customFormat="false" ht="15" hidden="false" customHeight="false" outlineLevel="0" collapsed="false">
      <c r="B13" s="10" t="s">
        <v>110</v>
      </c>
      <c r="C13" s="20" t="n">
        <f aca="false">SUMPRODUCT(tsk_Work,tsk_IsLeaf)</f>
        <v>720</v>
      </c>
    </row>
    <row r="14" customFormat="false" ht="15" hidden="false" customHeight="false" outlineLevel="0" collapsed="false">
      <c r="B14" s="10" t="s">
        <v>111</v>
      </c>
      <c r="C14" s="21" t="n">
        <f aca="false">SUMPRODUCT(tsk_Cost,tsk_IsLeaf)</f>
        <v>58040</v>
      </c>
    </row>
    <row r="15" customFormat="false" ht="15" hidden="false" customHeight="false" outlineLevel="0" collapsed="false">
      <c r="B15" s="10" t="s">
        <v>112</v>
      </c>
      <c r="C15" s="22" t="str">
        <f aca="false">IF(CurrentSprint="","(outside sprint range)",CurrentSprint)</f>
        <v>Sprint 4</v>
      </c>
    </row>
    <row r="16" customFormat="false" ht="15" hidden="false" customHeight="false" outlineLevel="0" collapsed="false">
      <c r="B16" s="10" t="s">
        <v>113</v>
      </c>
      <c r="C16" s="22" t="str">
        <f aca="false">IF(COUNT(tsk_BaseStart)=0,"Not set (planned = calculated)","Set on "&amp;COUNT(tsk_BaseStart)&amp;" tasks")</f>
        <v>Not set (planned = calculated)</v>
      </c>
    </row>
    <row r="17" customFormat="false" ht="15" hidden="false" customHeight="false" outlineLevel="0" collapsed="false">
      <c r="B17" s="10" t="s">
        <v>114</v>
      </c>
      <c r="C17" s="19" t="n">
        <f aca="false">COUNTIFS(tsk_Critical,"Yes",tsk_IsLeaf,1)</f>
        <v>11</v>
      </c>
    </row>
    <row r="18" customFormat="false" ht="15" hidden="false" customHeight="false" outlineLevel="0" collapsed="false">
      <c r="B18" s="10" t="s">
        <v>115</v>
      </c>
      <c r="C18" s="19" t="n">
        <f aca="false">COUNTIF(tsk_DeadlineCheck,"Late*")</f>
        <v>1</v>
      </c>
    </row>
    <row r="19" customFormat="false" ht="15" hidden="false" customHeight="false" outlineLevel="0" collapsed="false">
      <c r="B19" s="10" t="s">
        <v>116</v>
      </c>
      <c r="C19" s="19" t="n">
        <f aca="false">COUNTIF(tsk_LinkCheck,"?*")</f>
        <v>0</v>
      </c>
    </row>
    <row r="20" customFormat="false" ht="15" hidden="false" customHeight="false" outlineLevel="0" collapsed="false">
      <c r="B20" s="10" t="s">
        <v>117</v>
      </c>
      <c r="C20" s="22" t="str">
        <f aca="false">ProjectRAG</f>
        <v>Red</v>
      </c>
    </row>
    <row r="21" customFormat="false" ht="15" hidden="false" customHeight="false" outlineLevel="0" collapsed="false">
      <c r="B21" s="10" t="s">
        <v>118</v>
      </c>
      <c r="C21" s="23" t="n">
        <f aca="false">IF(evm_SPI="","-",evm_SPI)</f>
        <v>0.782178217821782</v>
      </c>
    </row>
    <row r="22" customFormat="false" ht="15" hidden="false" customHeight="false" outlineLevel="0" collapsed="false">
      <c r="B22" s="10" t="s">
        <v>119</v>
      </c>
      <c r="C22" s="23" t="n">
        <f aca="false">IF(evm_CPI="","-",evm_CPI)</f>
        <v>0.934296977660972</v>
      </c>
    </row>
    <row r="23" customFormat="false" ht="15" hidden="false" customHeight="false" outlineLevel="0" collapsed="false">
      <c r="B23" s="10" t="s">
        <v>120</v>
      </c>
      <c r="C23" s="21" t="n">
        <f aca="false">evm_EAC</f>
        <v>62121.5752461322</v>
      </c>
    </row>
    <row r="24" customFormat="false" ht="15" hidden="false" customHeight="false" outlineLevel="0" collapsed="false">
      <c r="B24" s="10" t="s">
        <v>121</v>
      </c>
      <c r="C24" s="22" t="str">
        <f aca="false">IF(TotalPoints=0,"-",agl_Done&amp;" / "&amp;TotalPoints)</f>
        <v>33 / 82</v>
      </c>
    </row>
    <row r="25" customFormat="false" ht="15" hidden="false" customHeight="false" outlineLevel="0" collapsed="false">
      <c r="B25" s="10" t="s">
        <v>122</v>
      </c>
      <c r="C25" s="22" t="str">
        <f aca="false">COUNTIFS(raid_Type,"Risk",raid_Status,"&lt;&gt;Closed")&amp;" / "&amp;COUNTIFS(raid_Type,"Issue",raid_Status,"&lt;&gt;Closed")</f>
        <v>2 / 1</v>
      </c>
    </row>
    <row r="26" customFormat="false" ht="15" hidden="false" customHeight="false" outlineLevel="0" collapsed="false">
      <c r="B26" s="10" t="s">
        <v>123</v>
      </c>
      <c r="C26" s="19" t="n">
        <f aca="false">COUNTIF(tsk_OverAllocated,"Yes")</f>
        <v>3</v>
      </c>
    </row>
    <row r="27" customFormat="false" ht="15" hidden="false" customHeight="false" outlineLevel="0" collapsed="false">
      <c r="B27" s="10" t="s">
        <v>124</v>
      </c>
      <c r="C27" s="19" t="n">
        <f aca="false">COUNTIF(chg_Status,"Submitted")+COUNTIF(chg_Status,"Under Review")</f>
        <v>1</v>
      </c>
    </row>
    <row r="30" customFormat="false" ht="15" hidden="false" customHeight="false" outlineLevel="0" collapsed="false">
      <c r="B30" s="9" t="s">
        <v>125</v>
      </c>
      <c r="C30" s="9" t="s">
        <v>126</v>
      </c>
    </row>
    <row r="31" customFormat="false" ht="15" hidden="false" customHeight="false" outlineLevel="0" collapsed="false">
      <c r="B31" s="24" t="str">
        <f aca="false">IFERROR(INDEX(tsk_Name,MATCH(SMALL(tsk_MilestoneKey,(ROW()-ROW(NextMilestones[[#Headers],[Next milestones (forecast)]]))),tsk_MilestoneKey,0)),"")</f>
        <v>Build complete</v>
      </c>
      <c r="C31" s="25" t="n">
        <f aca="false">IFERROR(INDEX(tsk_FcFinish,MATCH(SMALL(tsk_MilestoneKey,(ROW()-ROW(NextMilestones[[#Headers],[Next milestones (forecast)]]))),tsk_MilestoneKey,0)),"")</f>
        <v>46335</v>
      </c>
    </row>
    <row r="32" customFormat="false" ht="15" hidden="false" customHeight="false" outlineLevel="0" collapsed="false">
      <c r="B32" s="24" t="str">
        <f aca="false">IFERROR(INDEX(tsk_Name,MATCH(SMALL(tsk_MilestoneKey,(ROW()-ROW(NextMilestones[[#Headers],[Next milestones (forecast)]]))),tsk_MilestoneKey,0)),"")</f>
        <v>Go-live</v>
      </c>
      <c r="C32" s="25" t="n">
        <f aca="false">IFERROR(INDEX(tsk_FcFinish,MATCH(SMALL(tsk_MilestoneKey,(ROW()-ROW(NextMilestones[[#Headers],[Next milestones (forecast)]]))),tsk_MilestoneKey,0)),"")</f>
        <v>46371</v>
      </c>
    </row>
    <row r="33" customFormat="false" ht="15" hidden="false" customHeight="false" outlineLevel="0" collapsed="false">
      <c r="B33" s="24" t="str">
        <f aca="false">IFERROR(INDEX(tsk_Name,MATCH(SMALL(tsk_MilestoneKey,(ROW()-ROW(NextMilestones[[#Headers],[Next milestones (forecast)]]))),tsk_MilestoneKey,0)),"")</f>
        <v>Project closed</v>
      </c>
      <c r="C33" s="25" t="n">
        <f aca="false">IFERROR(INDEX(tsk_FcFinish,MATCH(SMALL(tsk_MilestoneKey,(ROW()-ROW(NextMilestones[[#Headers],[Next milestones (forecast)]]))),tsk_MilestoneKey,0)),"")</f>
        <v>46393</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row r="35" customFormat="false" ht="15" hidden="false" customHeight="false" outlineLevel="0" collapsed="false">
      <c r="B35" s="24" t="str">
        <f aca="false">IFERROR(INDEX(tsk_Name,MATCH(SMALL(tsk_MilestoneKey,(ROW()-ROW(NextMilestones[[#Headers],[Next milestones (forecast)]]))),tsk_MilestoneKey,0)),"")</f>
        <v/>
      </c>
      <c r="C35"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Customer Portal Implementation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25-Oct-2026   Project manager: Priya Sharma   Forecast finish Wed 06-Jan-2027 (0 working days vs plan)</v>
      </c>
    </row>
    <row r="4" customFormat="false" ht="15" hidden="false" customHeight="false" outlineLevel="0" collapsed="false">
      <c r="B4" s="9" t="s">
        <v>127</v>
      </c>
      <c r="C4" s="9" t="s">
        <v>128</v>
      </c>
      <c r="D4" s="9" t="s">
        <v>94</v>
      </c>
      <c r="E4" s="9" t="s">
        <v>129</v>
      </c>
      <c r="F4" s="27" t="s">
        <v>130</v>
      </c>
      <c r="G4" s="9" t="s">
        <v>131</v>
      </c>
      <c r="H4" s="27" t="s">
        <v>132</v>
      </c>
    </row>
    <row r="5" customFormat="false" ht="15" hidden="false" customHeight="false" outlineLevel="0" collapsed="false">
      <c r="B5" s="10" t="s">
        <v>133</v>
      </c>
      <c r="C5" s="24" t="s">
        <v>134</v>
      </c>
      <c r="D5" s="24" t="str">
        <f aca="false">COUNTIF(StatusRAG[RAG],"Red")&amp;" red, "&amp;COUNTIF(StatusRAG[RAG],"Amber")&amp;" amber"</f>
        <v>2 red, 3 amber</v>
      </c>
      <c r="E5" s="28" t="str">
        <f aca="false">CHOOSE(MAX(IF(COUNTIF(StatusRAG[RAG],"Red")&gt;0,2,0),IF(COUNTIF(StatusRAG[RAG],"Amber")&gt;0,1,0))+1,"Green","Amber","Red")</f>
        <v>Red</v>
      </c>
      <c r="F5" s="29"/>
      <c r="G5" s="28" t="str">
        <f aca="false">IF(OverallStatus[[#This Row],[PM RAG]]&lt;&gt;"",OverallStatus[[#This Row],[PM RAG]],OverallStatus[[#This Row],[Calculated]])</f>
        <v>Red</v>
      </c>
      <c r="H5" s="30"/>
    </row>
    <row r="6" customFormat="false" ht="15" hidden="false" customHeight="false" outlineLevel="0" collapsed="false">
      <c r="B6" s="31"/>
    </row>
    <row r="7" customFormat="false" ht="15" hidden="false" customHeight="false" outlineLevel="0" collapsed="false">
      <c r="B7" s="32" t="s">
        <v>127</v>
      </c>
      <c r="C7" s="9" t="s">
        <v>128</v>
      </c>
      <c r="D7" s="9" t="s">
        <v>94</v>
      </c>
      <c r="E7" s="9" t="s">
        <v>129</v>
      </c>
      <c r="F7" s="27" t="s">
        <v>130</v>
      </c>
      <c r="G7" s="9" t="s">
        <v>131</v>
      </c>
      <c r="H7" s="27" t="s">
        <v>132</v>
      </c>
    </row>
    <row r="8" customFormat="false" ht="15" hidden="false" customHeight="false" outlineLevel="0" collapsed="false">
      <c r="B8" s="10" t="s">
        <v>135</v>
      </c>
      <c r="C8" s="24" t="s">
        <v>136</v>
      </c>
      <c r="D8" s="33" t="n">
        <f aca="false">FinishVarianceDays</f>
        <v>0</v>
      </c>
      <c r="E8" s="28" t="str">
        <f aca="false">CHOOSE(IF(N(StatusRAG[[#This Row],[Value]])&gt;=RAGRedSlipDays,2,IF(N(StatusRAG[[#This Row],[Value]])&gt;=RAGAmberSlipDays,1,0))+1,"Green","Amber","Red")</f>
        <v>Green</v>
      </c>
      <c r="F8" s="29"/>
      <c r="G8" s="28" t="str">
        <f aca="false">IF(StatusRAG[[#This Row],[PM RAG]]&lt;&gt;"",StatusRAG[[#This Row],[PM RAG]],StatusRAG[[#This Row],[Calculated]])</f>
        <v>Green</v>
      </c>
      <c r="H8" s="30"/>
    </row>
    <row r="9" customFormat="false" ht="15" hidden="false" customHeight="false" outlineLevel="0" collapsed="false">
      <c r="B9" s="10" t="s">
        <v>137</v>
      </c>
      <c r="C9" s="24" t="s">
        <v>138</v>
      </c>
      <c r="D9" s="34" t="n">
        <f aca="false">evm_SPI</f>
        <v>0.782178217821782</v>
      </c>
      <c r="E9" s="28" t="str">
        <f aca="false">CHOOSE(IF(ISNUMBER(StatusRAG[[#This Row],[Value]]),IF(StatusRAG[[#This Row],[Value]]&lt;RAGRedIndex,2,IF(StatusRAG[[#This Row],[Value]]&lt;RAGAmberIndex,1,0)),0)+1,"Green","Amber","Red")</f>
        <v>Red</v>
      </c>
      <c r="F9" s="29"/>
      <c r="G9" s="28" t="str">
        <f aca="false">IF(StatusRAG[[#This Row],[PM RAG]]&lt;&gt;"",StatusRAG[[#This Row],[PM RAG]],StatusRAG[[#This Row],[Calculated]])</f>
        <v>Red</v>
      </c>
      <c r="H9" s="30"/>
    </row>
    <row r="10" customFormat="false" ht="15" hidden="false" customHeight="false" outlineLevel="0" collapsed="false">
      <c r="B10" s="10" t="s">
        <v>139</v>
      </c>
      <c r="C10" s="24" t="s">
        <v>140</v>
      </c>
      <c r="D10" s="34" t="n">
        <f aca="false">evm_CPI</f>
        <v>0.934296977660972</v>
      </c>
      <c r="E10" s="28" t="str">
        <f aca="false">CHOOSE(IF(ISNUMBER(StatusRAG[[#This Row],[Value]]),IF(StatusRAG[[#This Row],[Value]]&lt;RAGRedIndex,2,IF(StatusRAG[[#This Row],[Value]]&lt;RAGAmberIndex,1,0)),0)+1,"Green","Amber","Red")</f>
        <v>Amber</v>
      </c>
      <c r="F10" s="29"/>
      <c r="G10" s="28" t="str">
        <f aca="false">IF(StatusRAG[[#This Row],[PM RAG]]&lt;&gt;"",StatusRAG[[#This Row],[PM RAG]],StatusRAG[[#This Row],[Calculated]])</f>
        <v>Amber</v>
      </c>
      <c r="H10" s="30"/>
    </row>
    <row r="11" customFormat="false" ht="15" hidden="false" customHeight="false" outlineLevel="0" collapsed="false">
      <c r="B11" s="10" t="s">
        <v>141</v>
      </c>
      <c r="C11" s="24" t="s">
        <v>142</v>
      </c>
      <c r="D11" s="35" t="n">
        <f aca="false">COUNTIF(tsk_DeadlineCheck,"Late*")</f>
        <v>1</v>
      </c>
      <c r="E11" s="28" t="str">
        <f aca="false">CHOOSE(IF(N(StatusRAG[[#This Row],[Value]])&gt;0,2,0)+1,"Green","Amber","Red")</f>
        <v>Red</v>
      </c>
      <c r="F11" s="29"/>
      <c r="G11" s="28" t="str">
        <f aca="false">IF(StatusRAG[[#This Row],[PM RAG]]&lt;&gt;"",StatusRAG[[#This Row],[PM RAG]],StatusRAG[[#This Row],[Calculated]])</f>
        <v>Red</v>
      </c>
      <c r="H11" s="30"/>
    </row>
    <row r="12" customFormat="false" ht="15" hidden="false" customHeight="false" outlineLevel="0" collapsed="false">
      <c r="B12" s="10" t="s">
        <v>15</v>
      </c>
      <c r="C12" s="24" t="s">
        <v>143</v>
      </c>
      <c r="D12" s="35" t="n">
        <f aca="false">COUNTIFS(tsk_Critical,"Yes",tsk_IsLeaf,1,tsk_Variance,"&gt;0")</f>
        <v>5</v>
      </c>
      <c r="E12" s="28" t="str">
        <f aca="false">CHOOSE(IF(N(StatusRAG[[#This Row],[Value]])&gt;0,1,0)+1,"Green","Amber","Red")</f>
        <v>Amber</v>
      </c>
      <c r="F12" s="29"/>
      <c r="G12" s="28" t="str">
        <f aca="false">IF(StatusRAG[[#This Row],[PM RAG]]&lt;&gt;"",StatusRAG[[#This Row],[PM RAG]],StatusRAG[[#This Row],[Calculated]])</f>
        <v>Amber</v>
      </c>
      <c r="H12" s="30"/>
    </row>
    <row r="13" customFormat="false" ht="15" hidden="false" customHeight="false" outlineLevel="0" collapsed="false">
      <c r="B13" s="10" t="s">
        <v>144</v>
      </c>
      <c r="C13" s="24" t="s">
        <v>145</v>
      </c>
      <c r="D13" s="35" t="n">
        <f aca="false">COUNTIFS(raid_Rating,"High",raid_Status,"&lt;&gt;Closed")</f>
        <v>3</v>
      </c>
      <c r="E13" s="28" t="str">
        <f aca="false">CHOOSE(IF(N(StatusRAG[[#This Row],[Value]])&gt;0,1,0)+1,"Green","Amber","Red")</f>
        <v>Amber</v>
      </c>
      <c r="F13" s="29"/>
      <c r="G13" s="28" t="str">
        <f aca="false">IF(StatusRAG[[#This Row],[PM RAG]]&lt;&gt;"",StatusRAG[[#This Row],[PM RAG]],StatusRAG[[#This Row],[Calculated]])</f>
        <v>Amber</v>
      </c>
      <c r="H13" s="30"/>
    </row>
    <row r="14" customFormat="false" ht="15" hidden="false" customHeight="false" outlineLevel="0" collapsed="false">
      <c r="B14" s="10" t="s">
        <v>146</v>
      </c>
      <c r="C14" s="24" t="s">
        <v>147</v>
      </c>
      <c r="D14" s="35" t="n">
        <f aca="false">COUNTIF(tsk_LinkCheck,"?*")+COUNTIF(tsk_WBS,"~?")</f>
        <v>0</v>
      </c>
      <c r="E14" s="28" t="str">
        <f aca="false">CHOOSE(IF(N(StatusRAG[[#This Row],[Value]])&gt;0,1,0)+1,"Green","Amber","Red")</f>
        <v>Green</v>
      </c>
      <c r="F14" s="29"/>
      <c r="G14" s="28" t="str">
        <f aca="false">IF(StatusRAG[[#This Row],[PM RAG]]&lt;&gt;"",StatusRAG[[#This Row],[PM RAG]],StatusRAG[[#This Row],[Calculated]])</f>
        <v>Green</v>
      </c>
      <c r="H14" s="30"/>
    </row>
    <row r="16" customFormat="false" ht="15" hidden="false" customHeight="false" outlineLevel="0" collapsed="false">
      <c r="B16" s="36" t="s">
        <v>148</v>
      </c>
    </row>
    <row r="17" customFormat="false" ht="15" hidden="false" customHeight="false" outlineLevel="0" collapsed="false">
      <c r="B17" s="9" t="s">
        <v>128</v>
      </c>
      <c r="C17" s="9" t="s">
        <v>149</v>
      </c>
      <c r="D17" s="9" t="s">
        <v>94</v>
      </c>
    </row>
    <row r="18" customFormat="false" ht="15" hidden="false" customHeight="false" outlineLevel="0" collapsed="false">
      <c r="B18" s="24" t="s">
        <v>150</v>
      </c>
      <c r="C18" s="24" t="s">
        <v>151</v>
      </c>
      <c r="D18" s="37" t="n">
        <f aca="false">SUM(tsk_LeafBudget)</f>
        <v>58040</v>
      </c>
    </row>
    <row r="19" customFormat="false" ht="15" hidden="false" customHeight="false" outlineLevel="0" collapsed="false">
      <c r="B19" s="24" t="s">
        <v>152</v>
      </c>
      <c r="C19" s="24" t="s">
        <v>153</v>
      </c>
      <c r="D19" s="37" t="n">
        <f aca="false">SUM(tsk_LeafPV)</f>
        <v>36360</v>
      </c>
    </row>
    <row r="20" customFormat="false" ht="15" hidden="false" customHeight="false" outlineLevel="0" collapsed="false">
      <c r="B20" s="24" t="s">
        <v>154</v>
      </c>
      <c r="C20" s="24" t="s">
        <v>155</v>
      </c>
      <c r="D20" s="37" t="n">
        <f aca="false">SUM(tsk_LeafEV)</f>
        <v>28440</v>
      </c>
    </row>
    <row r="21" customFormat="false" ht="15" hidden="false" customHeight="false" outlineLevel="0" collapsed="false">
      <c r="B21" s="24" t="s">
        <v>156</v>
      </c>
      <c r="C21" s="24" t="s">
        <v>157</v>
      </c>
      <c r="D21" s="37" t="n">
        <f aca="false">SUM(tsk_LeafAC)</f>
        <v>30440</v>
      </c>
    </row>
    <row r="22" customFormat="false" ht="15" hidden="false" customHeight="false" outlineLevel="0" collapsed="false">
      <c r="B22" s="24" t="s">
        <v>158</v>
      </c>
      <c r="C22" s="24" t="s">
        <v>159</v>
      </c>
      <c r="D22" s="37" t="n">
        <f aca="false">evm_EV-evm_PV</f>
        <v>-7920</v>
      </c>
    </row>
    <row r="23" customFormat="false" ht="15" hidden="false" customHeight="false" outlineLevel="0" collapsed="false">
      <c r="B23" s="24" t="s">
        <v>160</v>
      </c>
      <c r="C23" s="24" t="s">
        <v>161</v>
      </c>
      <c r="D23" s="37" t="n">
        <f aca="false">evm_EV-evm_AC</f>
        <v>-2000</v>
      </c>
    </row>
    <row r="24" customFormat="false" ht="15" hidden="false" customHeight="false" outlineLevel="0" collapsed="false">
      <c r="B24" s="24" t="s">
        <v>162</v>
      </c>
      <c r="C24" s="24" t="s">
        <v>163</v>
      </c>
      <c r="D24" s="38" t="n">
        <f aca="false">IF(evm_PV&gt;0,evm_EV/evm_PV,"")</f>
        <v>0.782178217821782</v>
      </c>
    </row>
    <row r="25" customFormat="false" ht="15" hidden="false" customHeight="false" outlineLevel="0" collapsed="false">
      <c r="B25" s="24" t="s">
        <v>164</v>
      </c>
      <c r="C25" s="24" t="s">
        <v>165</v>
      </c>
      <c r="D25" s="38" t="n">
        <f aca="false">IF(evm_AC&gt;0,evm_EV/evm_AC,"")</f>
        <v>0.934296977660972</v>
      </c>
    </row>
    <row r="26" customFormat="false" ht="15" hidden="false" customHeight="false" outlineLevel="0" collapsed="false">
      <c r="B26" s="24" t="s">
        <v>166</v>
      </c>
      <c r="C26" s="24" t="s">
        <v>167</v>
      </c>
      <c r="D26" s="37" t="n">
        <f aca="false">IF(N(evm_CPI)&gt;0,evm_AC+(evm_BAC-evm_EV)/evm_CPI,evm_AC+evm_BAC-evm_EV)</f>
        <v>62121.5752461322</v>
      </c>
    </row>
    <row r="27" customFormat="false" ht="15" hidden="false" customHeight="false" outlineLevel="0" collapsed="false">
      <c r="B27" s="24" t="s">
        <v>168</v>
      </c>
      <c r="C27" s="24" t="s">
        <v>169</v>
      </c>
      <c r="D27" s="37" t="n">
        <f aca="false">evm_EAC-evm_AC</f>
        <v>31681.5752461322</v>
      </c>
    </row>
    <row r="28" customFormat="false" ht="15" hidden="false" customHeight="false" outlineLevel="0" collapsed="false">
      <c r="B28" s="24" t="s">
        <v>170</v>
      </c>
      <c r="C28" s="24" t="s">
        <v>171</v>
      </c>
      <c r="D28" s="37" t="n">
        <f aca="false">evm_BAC-evm_EAC</f>
        <v>-4081.57524613221</v>
      </c>
    </row>
    <row r="29" customFormat="false" ht="15" hidden="false" customHeight="false" outlineLevel="0" collapsed="false">
      <c r="B29" s="24" t="s">
        <v>172</v>
      </c>
      <c r="C29" s="24" t="s">
        <v>173</v>
      </c>
      <c r="D29" s="38" t="n">
        <f aca="false">IF(evm_BAC&gt;evm_AC,(evm_BAC-evm_EV)/(evm_BAC-evm_AC),"")</f>
        <v>1.07246376811594</v>
      </c>
    </row>
    <row r="30" customFormat="false" ht="15" hidden="false" customHeight="false" outlineLevel="0" collapsed="false">
      <c r="B30" s="24" t="s">
        <v>174</v>
      </c>
      <c r="C30" s="24" t="s">
        <v>175</v>
      </c>
      <c r="D30" s="39" t="n">
        <f aca="false">IF(evm_BAC&gt;0,evm_EV/evm_BAC,0)</f>
        <v>0.49000689179876</v>
      </c>
    </row>
    <row r="31" customFormat="false" ht="15" hidden="false" customHeight="false" outlineLevel="0" collapsed="false">
      <c r="B31" s="24" t="s">
        <v>176</v>
      </c>
      <c r="C31" s="24" t="s">
        <v>177</v>
      </c>
      <c r="D31" s="39" t="n">
        <f aca="false">IF(evm_BAC&gt;0,evm_PV/evm_BAC,0)</f>
        <v>0.626464507236389</v>
      </c>
    </row>
    <row r="33" customFormat="false" ht="15" hidden="false" customHeight="false" outlineLevel="0" collapsed="false">
      <c r="B33" s="36" t="str">
        <f aca="false">"TOP OPEN RAID ITEMS (by score)"&amp;": "&amp;COUNT(raid_TopKey)&amp;IF(COUNT(raid_TopKey)&gt;ROWS(TopRAID[_Task])," (showing the first "&amp;ROWS(TopRAID[_Task])&amp;")","")</f>
        <v>TOP OPEN RAID ITEMS (by score): 5</v>
      </c>
    </row>
    <row r="34" customFormat="false" ht="35.05" hidden="false" customHeight="false" outlineLevel="0" collapsed="false">
      <c r="A34" s="40" t="s">
        <v>178</v>
      </c>
      <c r="B34" s="9" t="s">
        <v>179</v>
      </c>
      <c r="C34" s="9" t="s">
        <v>180</v>
      </c>
      <c r="D34" s="9" t="s">
        <v>181</v>
      </c>
      <c r="E34" s="9" t="s">
        <v>182</v>
      </c>
      <c r="F34" s="9" t="s">
        <v>183</v>
      </c>
      <c r="G34" s="9" t="s">
        <v>184</v>
      </c>
      <c r="H34" s="9" t="s">
        <v>185</v>
      </c>
    </row>
    <row r="35" customFormat="false" ht="15" hidden="false" customHeight="false" outlineLevel="0" collapsed="false">
      <c r="A35" s="41" t="n">
        <f aca="false">IFERROR(MATCH(LARGE(raid_TopKey,ROW()-ROW(TopRAID[[#Headers],[_Task]])),raid_TopKey,0),"")</f>
        <v>3</v>
      </c>
      <c r="B35" s="24" t="str">
        <f aca="false">IF(TopRAID[[#This Row],[_Task]]="","",INDEX(raid_Label,TopRAID[[#This Row],[_Task]])&amp;"")</f>
        <v>Issue 3: Core API endpoints running 6 days behind plan</v>
      </c>
      <c r="C35" s="24" t="str">
        <f aca="false">IF(TopRAID[[#This Row],[_Task]]="","",INDEX(raid_Response,TopRAID[[#This Row],[_Task]])&amp;"")</f>
        <v>Add a second developer for two weeks (change request CR 2).</v>
      </c>
      <c r="D35" s="24" t="str">
        <f aca="false">IF(TopRAID[[#This Row],[_Task]]="","",INDEX(raid_Owner,TopRAID[[#This Row],[_Task]])&amp;"")</f>
        <v>Priya Sharma</v>
      </c>
      <c r="E35" s="42" t="n">
        <f aca="false">IF(TopRAID[[#This Row],[_Task]]="","",IF(N(INDEX(raid_Due,TopRAID[[#This Row],[_Task]]))=0,"",INDEX(raid_Due,TopRAID[[#This Row],[_Task]])))</f>
        <v>46318</v>
      </c>
      <c r="F35" s="43" t="n">
        <f aca="false">IF(TopRAID[[#This Row],[_Task]]="","",INDEX(raid_Score,TopRAID[[#This Row],[_Task]]))</f>
        <v>20</v>
      </c>
      <c r="G35" s="24" t="str">
        <f aca="false">IF(TopRAID[[#This Row],[_Task]]="","",INDEX(raid_Rating,TopRAID[[#This Row],[_Task]])&amp;"")</f>
        <v>High</v>
      </c>
      <c r="H35" s="24" t="str">
        <f aca="false">IF(TopRAID[[#This Row],[_Task]]="","",INDEX(raid_Task,TopRAID[[#This Row],[_Task]])&amp;"")</f>
        <v>Core API endpoints</v>
      </c>
    </row>
    <row r="36" customFormat="false" ht="15" hidden="false" customHeight="false" outlineLevel="0" collapsed="false">
      <c r="A36" s="41" t="n">
        <f aca="false">IFERROR(MATCH(LARGE(raid_TopKey,ROW()-ROW(TopRAID[[#Headers],[_Task]])),raid_TopKey,0),"")</f>
        <v>1</v>
      </c>
      <c r="B36" s="24" t="str">
        <f aca="false">IF(TopRAID[[#This Row],[_Task]]="","",INDEX(raid_Label,TopRAID[[#This Row],[_Task]])&amp;"")</f>
        <v>Risk 1: Payment provider certification takes longer than planned</v>
      </c>
      <c r="C36" s="24" t="str">
        <f aca="false">IF(TopRAID[[#This Row],[_Task]]="","",INDEX(raid_Response,TopRAID[[#This Row],[_Task]])&amp;"")</f>
        <v>Start the certification paperwork now; book the provider's test slot.</v>
      </c>
      <c r="D36" s="24" t="str">
        <f aca="false">IF(TopRAID[[#This Row],[_Task]]="","",INDEX(raid_Owner,TopRAID[[#This Row],[_Task]])&amp;"")</f>
        <v>Jordan Lee</v>
      </c>
      <c r="E36" s="42" t="n">
        <f aca="false">IF(TopRAID[[#This Row],[_Task]]="","",IF(N(INDEX(raid_Due,TopRAID[[#This Row],[_Task]]))=0,"",INDEX(raid_Due,TopRAID[[#This Row],[_Task]])))</f>
        <v>46325</v>
      </c>
      <c r="F36" s="43" t="n">
        <f aca="false">IF(TopRAID[[#This Row],[_Task]]="","",INDEX(raid_Score,TopRAID[[#This Row],[_Task]]))</f>
        <v>16</v>
      </c>
      <c r="G36" s="24" t="str">
        <f aca="false">IF(TopRAID[[#This Row],[_Task]]="","",INDEX(raid_Rating,TopRAID[[#This Row],[_Task]])&amp;"")</f>
        <v>High</v>
      </c>
      <c r="H36" s="24" t="str">
        <f aca="false">IF(TopRAID[[#This Row],[_Task]]="","",INDEX(raid_Task,TopRAID[[#This Row],[_Task]])&amp;"")</f>
        <v>Payment gateway integration</v>
      </c>
    </row>
    <row r="37" customFormat="false" ht="15" hidden="false" customHeight="false" outlineLevel="0" collapsed="false">
      <c r="A37" s="41" t="n">
        <f aca="false">IFERROR(MATCH(LARGE(raid_TopKey,ROW()-ROW(TopRAID[[#Headers],[_Task]])),raid_TopKey,0),"")</f>
        <v>5</v>
      </c>
      <c r="B37" s="24" t="str">
        <f aca="false">IF(TopRAID[[#This Row],[_Task]]="","",INDEX(raid_Label,TopRAID[[#This Row],[_Task]])&amp;"")</f>
        <v>Dependency 5: Test environment delivered by IT operations by 9 November</v>
      </c>
      <c r="C37" s="24" t="str">
        <f aca="false">IF(TopRAID[[#This Row],[_Task]]="","",INDEX(raid_Response,TopRAID[[#This Row],[_Task]])&amp;"")</f>
        <v>Weekly check-in with IT operations.</v>
      </c>
      <c r="D37" s="24" t="str">
        <f aca="false">IF(TopRAID[[#This Row],[_Task]]="","",INDEX(raid_Owner,TopRAID[[#This Row],[_Task]])&amp;"")</f>
        <v>Alex Chen</v>
      </c>
      <c r="E37" s="42" t="n">
        <f aca="false">IF(TopRAID[[#This Row],[_Task]]="","",IF(N(INDEX(raid_Due,TopRAID[[#This Row],[_Task]]))=0,"",INDEX(raid_Due,TopRAID[[#This Row],[_Task]])))</f>
        <v>46335</v>
      </c>
      <c r="F37" s="43" t="n">
        <f aca="false">IF(TopRAID[[#This Row],[_Task]]="","",INDEX(raid_Score,TopRAID[[#This Row],[_Task]]))</f>
        <v>15</v>
      </c>
      <c r="G37" s="24" t="str">
        <f aca="false">IF(TopRAID[[#This Row],[_Task]]="","",INDEX(raid_Rating,TopRAID[[#This Row],[_Task]])&amp;"")</f>
        <v>High</v>
      </c>
      <c r="H37" s="24" t="str">
        <f aca="false">IF(TopRAID[[#This Row],[_Task]]="","",INDEX(raid_Task,TopRAID[[#This Row],[_Task]])&amp;"")</f>
        <v>System integration testing</v>
      </c>
    </row>
    <row r="38" customFormat="false" ht="15" hidden="false" customHeight="false" outlineLevel="0" collapsed="false">
      <c r="A38" s="41" t="n">
        <f aca="false">IFERROR(MATCH(LARGE(raid_TopKey,ROW()-ROW(TopRAID[[#Headers],[_Task]])),raid_TopKey,0),"")</f>
        <v>2</v>
      </c>
      <c r="B38" s="24" t="str">
        <f aca="false">IF(TopRAID[[#This Row],[_Task]]="","",INDEX(raid_Label,TopRAID[[#This Row],[_Task]])&amp;"")</f>
        <v>Risk 2: UX designer on leave for two weeks in November</v>
      </c>
      <c r="C38" s="24" t="str">
        <f aca="false">IF(TopRAID[[#This Row],[_Task]]="","",INDEX(raid_Response,TopRAID[[#This Row],[_Task]])&amp;"")</f>
        <v>Agree cover with the design agency.</v>
      </c>
      <c r="D38" s="24" t="str">
        <f aca="false">IF(TopRAID[[#This Row],[_Task]]="","",INDEX(raid_Owner,TopRAID[[#This Row],[_Task]])&amp;"")</f>
        <v>Casey Kim</v>
      </c>
      <c r="E38" s="42" t="n">
        <f aca="false">IF(TopRAID[[#This Row],[_Task]]="","",IF(N(INDEX(raid_Due,TopRAID[[#This Row],[_Task]]))=0,"",INDEX(raid_Due,TopRAID[[#This Row],[_Task]])))</f>
        <v>46328</v>
      </c>
      <c r="F38" s="43" t="n">
        <f aca="false">IF(TopRAID[[#This Row],[_Task]]="","",INDEX(raid_Score,TopRAID[[#This Row],[_Task]]))</f>
        <v>9</v>
      </c>
      <c r="G38" s="24" t="str">
        <f aca="false">IF(TopRAID[[#This Row],[_Task]]="","",INDEX(raid_Rating,TopRAID[[#This Row],[_Task]])&amp;"")</f>
        <v>Medium</v>
      </c>
      <c r="H38" s="24" t="str">
        <f aca="false">IF(TopRAID[[#This Row],[_Task]]="","",INDEX(raid_Task,TopRAID[[#This Row],[_Task]])&amp;"")</f>
        <v>Accessibility review</v>
      </c>
    </row>
    <row r="39" customFormat="false" ht="15" hidden="false" customHeight="false" outlineLevel="0" collapsed="false">
      <c r="A39" s="41" t="n">
        <f aca="false">IFERROR(MATCH(LARGE(raid_TopKey,ROW()-ROW(TopRAID[[#Headers],[_Task]])),raid_TopKey,0),"")</f>
        <v>4</v>
      </c>
      <c r="B39" s="24" t="str">
        <f aca="false">IF(TopRAID[[#This Row],[_Task]]="","",INDEX(raid_Label,TopRAID[[#This Row],[_Task]])&amp;"")</f>
        <v>Assumption 4: Client UAT team available from 7 December</v>
      </c>
      <c r="C39" s="24" t="str">
        <f aca="false">IF(TopRAID[[#This Row],[_Task]]="","",INDEX(raid_Response,TopRAID[[#This Row],[_Task]])&amp;"")</f>
        <v>Confirm names and dates at the November steering committee.</v>
      </c>
      <c r="D39" s="24" t="str">
        <f aca="false">IF(TopRAID[[#This Row],[_Task]]="","",INDEX(raid_Owner,TopRAID[[#This Row],[_Task]])&amp;"")</f>
        <v>Morgan Patel</v>
      </c>
      <c r="E39" s="42" t="n">
        <f aca="false">IF(TopRAID[[#This Row],[_Task]]="","",IF(N(INDEX(raid_Due,TopRAID[[#This Row],[_Task]]))=0,"",INDEX(raid_Due,TopRAID[[#This Row],[_Task]])))</f>
        <v>46346</v>
      </c>
      <c r="F39" s="43" t="n">
        <f aca="false">IF(TopRAID[[#This Row],[_Task]]="","",INDEX(raid_Score,TopRAID[[#This Row],[_Task]]))</f>
        <v>8</v>
      </c>
      <c r="G39" s="24" t="str">
        <f aca="false">IF(TopRAID[[#This Row],[_Task]]="","",INDEX(raid_Rating,TopRAID[[#This Row],[_Task]])&amp;"")</f>
        <v>Medium</v>
      </c>
      <c r="H39" s="24" t="str">
        <f aca="false">IF(TopRAID[[#This Row],[_Task]]="","",INDEX(raid_Task,TopRAID[[#This Row],[_Task]])&amp;"")</f>
        <v>User acceptance testing</v>
      </c>
    </row>
    <row r="40" customFormat="false" ht="15" hidden="false" customHeight="false" outlineLevel="0" collapsed="false">
      <c r="A40" s="41"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42" t="str">
        <f aca="false">IF(TopRAID[[#This Row],[_Task]]="","",IF(N(INDEX(raid_Due,TopRAID[[#This Row],[_Task]]))=0,"",INDEX(raid_Due,TopRAID[[#This Row],[_Task]])))</f>
        <v/>
      </c>
      <c r="F40" s="43"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41"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42" t="str">
        <f aca="false">IF(TopRAID[[#This Row],[_Task]]="","",IF(N(INDEX(raid_Due,TopRAID[[#This Row],[_Task]]))=0,"",INDEX(raid_Due,TopRAID[[#This Row],[_Task]])))</f>
        <v/>
      </c>
      <c r="F41" s="43"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41"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42" t="str">
        <f aca="false">IF(TopRAID[[#This Row],[_Task]]="","",IF(N(INDEX(raid_Due,TopRAID[[#This Row],[_Task]]))=0,"",INDEX(raid_Due,TopRAID[[#This Row],[_Task]])))</f>
        <v/>
      </c>
      <c r="F42" s="43"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6" t="s">
        <v>186</v>
      </c>
    </row>
    <row r="45" customFormat="false" ht="15" hidden="false" customHeight="false" outlineLevel="0" collapsed="false">
      <c r="B45" s="9" t="s">
        <v>128</v>
      </c>
      <c r="C45" s="9" t="s">
        <v>187</v>
      </c>
      <c r="D45" s="9" t="s">
        <v>94</v>
      </c>
    </row>
    <row r="46" customFormat="false" ht="15" hidden="false" customHeight="false" outlineLevel="0" collapsed="false">
      <c r="B46" s="24" t="s">
        <v>124</v>
      </c>
      <c r="C46" s="24" t="s">
        <v>188</v>
      </c>
      <c r="D46" s="44" t="n">
        <f aca="false">COUNTIF(chg_Status,"Submitted")+COUNTIF(chg_Status,"Under Review")</f>
        <v>1</v>
      </c>
    </row>
    <row r="47" customFormat="false" ht="15" hidden="false" customHeight="false" outlineLevel="0" collapsed="false">
      <c r="B47" s="24" t="s">
        <v>189</v>
      </c>
      <c r="C47" s="24" t="s">
        <v>188</v>
      </c>
      <c r="D47" s="44" t="n">
        <f aca="false">COUNTIF(chg_Status,"Approved")+COUNTIF(chg_Status,"Implemented")</f>
        <v>1</v>
      </c>
    </row>
    <row r="48" customFormat="false" ht="15" hidden="false" customHeight="false" outlineLevel="0" collapsed="false">
      <c r="B48" s="24" t="s">
        <v>190</v>
      </c>
      <c r="C48" s="24" t="s">
        <v>188</v>
      </c>
      <c r="D48" s="45" t="n">
        <f aca="false">SUMIFS(chg_Days,chg_Status,"Approved")+SUMIFS(chg_Days,chg_Status,"Implemented")</f>
        <v>2</v>
      </c>
    </row>
    <row r="49" customFormat="false" ht="15" hidden="false" customHeight="false" outlineLevel="0" collapsed="false">
      <c r="B49" s="24" t="s">
        <v>191</v>
      </c>
      <c r="C49" s="24" t="s">
        <v>188</v>
      </c>
      <c r="D49" s="37" t="n">
        <f aca="false">SUMIFS(chg_Cost,chg_Status,"Approved")+SUMIFS(chg_Cost,chg_Status,"Implemented")</f>
        <v>1360</v>
      </c>
    </row>
    <row r="50" customFormat="false" ht="15" hidden="false" customHeight="false" outlineLevel="0" collapsed="false">
      <c r="B50" s="24" t="s">
        <v>192</v>
      </c>
      <c r="C50" s="24" t="s">
        <v>188</v>
      </c>
      <c r="D50" s="37" t="n">
        <f aca="false">SUMIFS(chg_Cost,chg_Status,"Submitted")+SUMIFS(chg_Cost,chg_Status,"Under Review")</f>
        <v>6800</v>
      </c>
    </row>
    <row r="51" customFormat="false" ht="15" hidden="false" customHeight="false" outlineLevel="0" collapsed="false">
      <c r="B51" s="24" t="s">
        <v>193</v>
      </c>
      <c r="C51" s="24" t="s">
        <v>194</v>
      </c>
      <c r="D51" s="44" t="n">
        <f aca="false">COUNTIF(dec_Status,"Proposed")</f>
        <v>1</v>
      </c>
    </row>
    <row r="52" customFormat="false" ht="15" hidden="false" customHeight="false" outlineLevel="0" collapsed="false">
      <c r="B52" s="24" t="s">
        <v>195</v>
      </c>
      <c r="C52" s="24" t="s">
        <v>144</v>
      </c>
      <c r="D52" s="44" t="n">
        <f aca="false">COUNTIF(raid_Overdue,"Overdue")</f>
        <v>1</v>
      </c>
    </row>
    <row r="54" customFormat="false" ht="15" hidden="false" customHeight="false" outlineLevel="0" collapsed="false">
      <c r="B54" s="36" t="s">
        <v>196</v>
      </c>
    </row>
    <row r="55" customFormat="false" ht="15" hidden="false" customHeight="false" outlineLevel="0" collapsed="false">
      <c r="B55" s="9" t="s">
        <v>197</v>
      </c>
      <c r="C55" s="27" t="s">
        <v>198</v>
      </c>
    </row>
    <row r="56" customFormat="false" ht="36" hidden="false" customHeight="true" outlineLevel="0" collapsed="false">
      <c r="B56" s="46" t="s">
        <v>199</v>
      </c>
      <c r="C56" s="47"/>
    </row>
    <row r="57" customFormat="false" ht="36" hidden="false" customHeight="true" outlineLevel="0" collapsed="false">
      <c r="B57" s="46" t="s">
        <v>200</v>
      </c>
      <c r="C57" s="47"/>
    </row>
    <row r="58" customFormat="false" ht="36" hidden="false" customHeight="true" outlineLevel="0" collapsed="false">
      <c r="B58" s="46" t="s">
        <v>201</v>
      </c>
      <c r="C58" s="47"/>
    </row>
    <row r="59" customFormat="false" ht="36" hidden="false" customHeight="true" outlineLevel="0" collapsed="false">
      <c r="B59" s="46" t="s">
        <v>202</v>
      </c>
      <c r="C59" s="47"/>
    </row>
    <row r="60" customFormat="false" ht="36" hidden="false" customHeight="true" outlineLevel="0" collapsed="false">
      <c r="B60" s="46" t="s">
        <v>203</v>
      </c>
      <c r="C60" s="47"/>
    </row>
    <row r="61" customFormat="false" ht="36" hidden="false" customHeight="true" outlineLevel="0" collapsed="false">
      <c r="B61" s="46" t="s">
        <v>204</v>
      </c>
      <c r="C61" s="47"/>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Customer Portal Implementation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25-Oct-2026   Forecast finish Wed 06-Jan-2027 (0 working days vs plan)</v>
      </c>
    </row>
    <row r="4" customFormat="false" ht="15" hidden="false" customHeight="false" outlineLevel="0" collapsed="false">
      <c r="C4" s="36" t="str">
        <f aca="false">"Phases (outline level 1)"&amp;": "&amp;COUNT(tsk_PhaseKey)&amp;IF(COUNT(tsk_PhaseKey)&gt;ROWS(PhaseSummary[_Task])," (showing the first "&amp;ROWS(PhaseSummary[_Task])&amp;")","")</f>
        <v>Phases (outline level 1): 5</v>
      </c>
    </row>
    <row r="5" customFormat="false" ht="23.85" hidden="false" customHeight="false" outlineLevel="0" collapsed="false">
      <c r="B5" s="40" t="s">
        <v>178</v>
      </c>
      <c r="C5" s="9" t="s">
        <v>205</v>
      </c>
      <c r="D5" s="9" t="s">
        <v>206</v>
      </c>
      <c r="E5" s="9" t="s">
        <v>207</v>
      </c>
      <c r="F5" s="9" t="s">
        <v>208</v>
      </c>
      <c r="G5" s="9" t="s">
        <v>209</v>
      </c>
      <c r="H5" s="9" t="s">
        <v>210</v>
      </c>
      <c r="I5" s="9" t="s">
        <v>211</v>
      </c>
      <c r="J5" s="9" t="s">
        <v>212</v>
      </c>
      <c r="K5" s="9" t="s">
        <v>213</v>
      </c>
      <c r="L5" s="9" t="s">
        <v>214</v>
      </c>
      <c r="M5" s="9" t="s">
        <v>215</v>
      </c>
      <c r="N5" s="9" t="s">
        <v>216</v>
      </c>
      <c r="O5" s="9" t="s">
        <v>217</v>
      </c>
      <c r="P5" s="9" t="s">
        <v>131</v>
      </c>
    </row>
    <row r="6" customFormat="false" ht="15" hidden="false" customHeight="false" outlineLevel="0" collapsed="false">
      <c r="B6" s="41" t="n">
        <f aca="false">IFERROR(MATCH(SMALL(tsk_PhaseKey,ROW()-ROW(PhaseSummary[[#Headers],[_Task]])),tsk_PhaseKey,0),"")</f>
        <v>1</v>
      </c>
      <c r="C6" s="24" t="str">
        <f aca="false">IF(PhaseSummary[[#This Row],[_Task]]="","",INDEX(tsk_WBS,PhaseSummary[[#This Row],[_Task]])&amp;"")</f>
        <v>1</v>
      </c>
      <c r="D6" s="24" t="str">
        <f aca="false">IF(PhaseSummary[[#This Row],[_Task]]="","",INDEX(tsk_Name,PhaseSummary[[#This Row],[_Task]])&amp;"")</f>
        <v>Initiation</v>
      </c>
      <c r="E6" s="48" t="n">
        <f aca="false">IF(PhaseSummary[[#This Row],[_Task]]="","",IF(N(INDEX(tsk_PlanFinish,PhaseSummary[[#This Row],[_Task]]))=0,"",INDEX(tsk_PlanFinish,PhaseSummary[[#This Row],[_Task]])))</f>
        <v>46276</v>
      </c>
      <c r="F6" s="48" t="n">
        <f aca="false">IF(PhaseSummary[[#This Row],[_Task]]="","",IF(N(INDEX(tsk_FcFinish,PhaseSummary[[#This Row],[_Task]]))=0,"",INDEX(tsk_FcFinish,PhaseSummary[[#This Row],[_Task]])))</f>
        <v>46279</v>
      </c>
      <c r="G6" s="49" t="n">
        <f aca="false">IF(PhaseSummary[[#This Row],[_Task]]="","",INDEX(tsk_Variance,PhaseSummary[[#This Row],[_Task]]))</f>
        <v>1</v>
      </c>
      <c r="H6" s="50" t="n">
        <f aca="false">IF(PhaseSummary[[#This Row],[_Task]]="","",INDEX(tsk_Progress,PhaseSummary[[#This Row],[_Task]]))</f>
        <v>1</v>
      </c>
      <c r="I6" s="51" t="n">
        <f aca="false">IF(PhaseSummary[[#This Row],[_Task]]="","",INDEX(tsk_Budget,PhaseSummary[[#This Row],[_Task]]))</f>
        <v>3400</v>
      </c>
      <c r="J6" s="51" t="n">
        <f aca="false">IF(PhaseSummary[[#This Row],[_Task]]="","",INDEX(tsk_PV,PhaseSummary[[#This Row],[_Task]]))</f>
        <v>3400</v>
      </c>
      <c r="K6" s="51" t="n">
        <f aca="false">IF(PhaseSummary[[#This Row],[_Task]]="","",INDEX(tsk_EV,PhaseSummary[[#This Row],[_Task]]))</f>
        <v>3400</v>
      </c>
      <c r="L6" s="51" t="n">
        <f aca="false">IF(PhaseSummary[[#This Row],[_Task]]="","",INDEX(tsk_AC,PhaseSummary[[#This Row],[_Task]]))</f>
        <v>4160</v>
      </c>
      <c r="M6" s="52" t="n">
        <f aca="false">IF(PhaseSummary[[#This Row],[_Task]]="","",IF(N(PhaseSummary[[#This Row],[PV]])&gt;0,PhaseSummary[[#This Row],[EV]]/PhaseSummary[[#This Row],[PV]],""))</f>
        <v>1</v>
      </c>
      <c r="N6" s="52" t="n">
        <f aca="false">IF(PhaseSummary[[#This Row],[_Task]]="","",IF(N(PhaseSummary[[#This Row],[AC]])&gt;0,PhaseSummary[[#This Row],[EV]]/PhaseSummary[[#This Row],[AC]],""))</f>
        <v>0.817307692307692</v>
      </c>
      <c r="O6" s="53" t="n">
        <f aca="false">IF(PhaseSummary[[#This Row],[_Task]]="","",COUNTIFS(tsk_Phase,PhaseSummary[[#This Row],[WBS]],tsk_Critical,"Yes",tsk_IsLeaf,1))</f>
        <v>0</v>
      </c>
      <c r="P6"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7" customFormat="false" ht="15" hidden="false" customHeight="false" outlineLevel="0" collapsed="false">
      <c r="B7" s="41" t="n">
        <f aca="false">IFERROR(MATCH(SMALL(tsk_PhaseKey,ROW()-ROW(PhaseSummary[[#Headers],[_Task]])),tsk_PhaseKey,0),"")</f>
        <v>5</v>
      </c>
      <c r="C7" s="24" t="str">
        <f aca="false">IF(PhaseSummary[[#This Row],[_Task]]="","",INDEX(tsk_WBS,PhaseSummary[[#This Row],[_Task]])&amp;"")</f>
        <v>2</v>
      </c>
      <c r="D7" s="24" t="str">
        <f aca="false">IF(PhaseSummary[[#This Row],[_Task]]="","",INDEX(tsk_Name,PhaseSummary[[#This Row],[_Task]])&amp;"")</f>
        <v>Requirements &amp; Design</v>
      </c>
      <c r="E7" s="48" t="n">
        <f aca="false">IF(PhaseSummary[[#This Row],[_Task]]="","",IF(N(INDEX(tsk_PlanFinish,PhaseSummary[[#This Row],[_Task]]))=0,"",INDEX(tsk_PlanFinish,PhaseSummary[[#This Row],[_Task]])))</f>
        <v>46296</v>
      </c>
      <c r="F7" s="48" t="n">
        <f aca="false">IF(PhaseSummary[[#This Row],[_Task]]="","",IF(N(INDEX(tsk_FcFinish,PhaseSummary[[#This Row],[_Task]]))=0,"",INDEX(tsk_FcFinish,PhaseSummary[[#This Row],[_Task]])))</f>
        <v>46301</v>
      </c>
      <c r="G7" s="49" t="n">
        <f aca="false">IF(PhaseSummary[[#This Row],[_Task]]="","",INDEX(tsk_Variance,PhaseSummary[[#This Row],[_Task]]))</f>
        <v>3</v>
      </c>
      <c r="H7" s="50" t="n">
        <f aca="false">IF(PhaseSummary[[#This Row],[_Task]]="","",INDEX(tsk_Progress,PhaseSummary[[#This Row],[_Task]]))</f>
        <v>1</v>
      </c>
      <c r="I7" s="51" t="n">
        <f aca="false">IF(PhaseSummary[[#This Row],[_Task]]="","",INDEX(tsk_Budget,PhaseSummary[[#This Row],[_Task]]))</f>
        <v>12480</v>
      </c>
      <c r="J7" s="51" t="n">
        <f aca="false">IF(PhaseSummary[[#This Row],[_Task]]="","",INDEX(tsk_PV,PhaseSummary[[#This Row],[_Task]]))</f>
        <v>12480</v>
      </c>
      <c r="K7" s="51" t="n">
        <f aca="false">IF(PhaseSummary[[#This Row],[_Task]]="","",INDEX(tsk_EV,PhaseSummary[[#This Row],[_Task]]))</f>
        <v>12480</v>
      </c>
      <c r="L7" s="51" t="n">
        <f aca="false">IF(PhaseSummary[[#This Row],[_Task]]="","",INDEX(tsk_AC,PhaseSummary[[#This Row],[_Task]]))</f>
        <v>13040</v>
      </c>
      <c r="M7" s="52" t="n">
        <f aca="false">IF(PhaseSummary[[#This Row],[_Task]]="","",IF(N(PhaseSummary[[#This Row],[PV]])&gt;0,PhaseSummary[[#This Row],[EV]]/PhaseSummary[[#This Row],[PV]],""))</f>
        <v>1</v>
      </c>
      <c r="N7" s="52" t="n">
        <f aca="false">IF(PhaseSummary[[#This Row],[_Task]]="","",IF(N(PhaseSummary[[#This Row],[AC]])&gt;0,PhaseSummary[[#This Row],[EV]]/PhaseSummary[[#This Row],[AC]],""))</f>
        <v>0.957055214723926</v>
      </c>
      <c r="O7" s="53" t="n">
        <f aca="false">IF(PhaseSummary[[#This Row],[_Task]]="","",COUNTIFS(tsk_Phase,PhaseSummary[[#This Row],[WBS]],tsk_Critical,"Yes",tsk_IsLeaf,1))</f>
        <v>0</v>
      </c>
      <c r="P7"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Amber</v>
      </c>
    </row>
    <row r="8" customFormat="false" ht="15" hidden="false" customHeight="false" outlineLevel="0" collapsed="false">
      <c r="B8" s="41" t="n">
        <f aca="false">IFERROR(MATCH(SMALL(tsk_PhaseKey,ROW()-ROW(PhaseSummary[[#Headers],[_Task]])),tsk_PhaseKey,0),"")</f>
        <v>10</v>
      </c>
      <c r="C8" s="24" t="str">
        <f aca="false">IF(PhaseSummary[[#This Row],[_Task]]="","",INDEX(tsk_WBS,PhaseSummary[[#This Row],[_Task]])&amp;"")</f>
        <v>3</v>
      </c>
      <c r="D8" s="24" t="str">
        <f aca="false">IF(PhaseSummary[[#This Row],[_Task]]="","",INDEX(tsk_Name,PhaseSummary[[#This Row],[_Task]])&amp;"")</f>
        <v>Build</v>
      </c>
      <c r="E8" s="48" t="n">
        <f aca="false">IF(PhaseSummary[[#This Row],[_Task]]="","",IF(N(INDEX(tsk_PlanFinish,PhaseSummary[[#This Row],[_Task]]))=0,"",INDEX(tsk_PlanFinish,PhaseSummary[[#This Row],[_Task]])))</f>
        <v>46325</v>
      </c>
      <c r="F8" s="48" t="n">
        <f aca="false">IF(PhaseSummary[[#This Row],[_Task]]="","",IF(N(INDEX(tsk_FcFinish,PhaseSummary[[#This Row],[_Task]]))=0,"",INDEX(tsk_FcFinish,PhaseSummary[[#This Row],[_Task]])))</f>
        <v>46335</v>
      </c>
      <c r="G8" s="49" t="n">
        <f aca="false">IF(PhaseSummary[[#This Row],[_Task]]="","",INDEX(tsk_Variance,PhaseSummary[[#This Row],[_Task]]))</f>
        <v>6</v>
      </c>
      <c r="H8" s="50" t="n">
        <f aca="false">IF(PhaseSummary[[#This Row],[_Task]]="","",INDEX(tsk_Progress,PhaseSummary[[#This Row],[_Task]]))</f>
        <v>0.451306413301663</v>
      </c>
      <c r="I8" s="51" t="n">
        <f aca="false">IF(PhaseSummary[[#This Row],[_Task]]="","",INDEX(tsk_Budget,PhaseSummary[[#This Row],[_Task]]))</f>
        <v>26700</v>
      </c>
      <c r="J8" s="51" t="n">
        <f aca="false">IF(PhaseSummary[[#This Row],[_Task]]="","",INDEX(tsk_PV,PhaseSummary[[#This Row],[_Task]]))</f>
        <v>20480</v>
      </c>
      <c r="K8" s="51" t="n">
        <f aca="false">IF(PhaseSummary[[#This Row],[_Task]]="","",INDEX(tsk_EV,PhaseSummary[[#This Row],[_Task]]))</f>
        <v>12560</v>
      </c>
      <c r="L8" s="51" t="n">
        <f aca="false">IF(PhaseSummary[[#This Row],[_Task]]="","",INDEX(tsk_AC,PhaseSummary[[#This Row],[_Task]]))</f>
        <v>13240</v>
      </c>
      <c r="M8" s="52" t="n">
        <f aca="false">IF(PhaseSummary[[#This Row],[_Task]]="","",IF(N(PhaseSummary[[#This Row],[PV]])&gt;0,PhaseSummary[[#This Row],[EV]]/PhaseSummary[[#This Row],[PV]],""))</f>
        <v>0.61328125</v>
      </c>
      <c r="N8" s="52" t="n">
        <f aca="false">IF(PhaseSummary[[#This Row],[_Task]]="","",IF(N(PhaseSummary[[#This Row],[AC]])&gt;0,PhaseSummary[[#This Row],[EV]]/PhaseSummary[[#This Row],[AC]],""))</f>
        <v>0.948640483383686</v>
      </c>
      <c r="O8" s="53" t="n">
        <f aca="false">IF(PhaseSummary[[#This Row],[_Task]]="","",COUNTIFS(tsk_Phase,PhaseSummary[[#This Row],[WBS]],tsk_Critical,"Yes",tsk_IsLeaf,1))</f>
        <v>5</v>
      </c>
      <c r="P8"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9" customFormat="false" ht="15" hidden="false" customHeight="false" outlineLevel="0" collapsed="false">
      <c r="B9" s="41" t="n">
        <f aca="false">IFERROR(MATCH(SMALL(tsk_PhaseKey,ROW()-ROW(PhaseSummary[[#Headers],[_Task]])),tsk_PhaseKey,0),"")</f>
        <v>20</v>
      </c>
      <c r="C9" s="24" t="str">
        <f aca="false">IF(PhaseSummary[[#This Row],[_Task]]="","",INDEX(tsk_WBS,PhaseSummary[[#This Row],[_Task]])&amp;"")</f>
        <v>4</v>
      </c>
      <c r="D9" s="24" t="str">
        <f aca="false">IF(PhaseSummary[[#This Row],[_Task]]="","",INDEX(tsk_Name,PhaseSummary[[#This Row],[_Task]])&amp;"")</f>
        <v>Test &amp; Release</v>
      </c>
      <c r="E9" s="48" t="n">
        <f aca="false">IF(PhaseSummary[[#This Row],[_Task]]="","",IF(N(INDEX(tsk_PlanFinish,PhaseSummary[[#This Row],[_Task]]))=0,"",INDEX(tsk_PlanFinish,PhaseSummary[[#This Row],[_Task]])))</f>
        <v>46391</v>
      </c>
      <c r="F9" s="48" t="n">
        <f aca="false">IF(PhaseSummary[[#This Row],[_Task]]="","",IF(N(INDEX(tsk_FcFinish,PhaseSummary[[#This Row],[_Task]]))=0,"",INDEX(tsk_FcFinish,PhaseSummary[[#This Row],[_Task]])))</f>
        <v>46391</v>
      </c>
      <c r="G9" s="49" t="n">
        <f aca="false">IF(PhaseSummary[[#This Row],[_Task]]="","",INDEX(tsk_Variance,PhaseSummary[[#This Row],[_Task]]))</f>
        <v>0</v>
      </c>
      <c r="H9" s="50" t="n">
        <f aca="false">IF(PhaseSummary[[#This Row],[_Task]]="","",INDEX(tsk_Progress,PhaseSummary[[#This Row],[_Task]]))</f>
        <v>0</v>
      </c>
      <c r="I9" s="51" t="n">
        <f aca="false">IF(PhaseSummary[[#This Row],[_Task]]="","",INDEX(tsk_Budget,PhaseSummary[[#This Row],[_Task]]))</f>
        <v>13180</v>
      </c>
      <c r="J9" s="51" t="n">
        <f aca="false">IF(PhaseSummary[[#This Row],[_Task]]="","",INDEX(tsk_PV,PhaseSummary[[#This Row],[_Task]]))</f>
        <v>0</v>
      </c>
      <c r="K9" s="51" t="n">
        <f aca="false">IF(PhaseSummary[[#This Row],[_Task]]="","",INDEX(tsk_EV,PhaseSummary[[#This Row],[_Task]]))</f>
        <v>0</v>
      </c>
      <c r="L9" s="51" t="n">
        <f aca="false">IF(PhaseSummary[[#This Row],[_Task]]="","",INDEX(tsk_AC,PhaseSummary[[#This Row],[_Task]]))</f>
        <v>0</v>
      </c>
      <c r="M9" s="52" t="str">
        <f aca="false">IF(PhaseSummary[[#This Row],[_Task]]="","",IF(N(PhaseSummary[[#This Row],[PV]])&gt;0,PhaseSummary[[#This Row],[EV]]/PhaseSummary[[#This Row],[PV]],""))</f>
        <v/>
      </c>
      <c r="N9" s="52" t="str">
        <f aca="false">IF(PhaseSummary[[#This Row],[_Task]]="","",IF(N(PhaseSummary[[#This Row],[AC]])&gt;0,PhaseSummary[[#This Row],[EV]]/PhaseSummary[[#This Row],[AC]],""))</f>
        <v/>
      </c>
      <c r="O9" s="53" t="n">
        <f aca="false">IF(PhaseSummary[[#This Row],[_Task]]="","",COUNTIFS(tsk_Phase,PhaseSummary[[#This Row],[WBS]],tsk_Critical,"Yes",tsk_IsLeaf,1))</f>
        <v>4</v>
      </c>
      <c r="P9"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0" customFormat="false" ht="15" hidden="false" customHeight="false" outlineLevel="0" collapsed="false">
      <c r="B10" s="41" t="n">
        <f aca="false">IFERROR(MATCH(SMALL(tsk_PhaseKey,ROW()-ROW(PhaseSummary[[#Headers],[_Task]])),tsk_PhaseKey,0),"")</f>
        <v>27</v>
      </c>
      <c r="C10" s="24" t="str">
        <f aca="false">IF(PhaseSummary[[#This Row],[_Task]]="","",INDEX(tsk_WBS,PhaseSummary[[#This Row],[_Task]])&amp;"")</f>
        <v>5</v>
      </c>
      <c r="D10" s="24" t="str">
        <f aca="false">IF(PhaseSummary[[#This Row],[_Task]]="","",INDEX(tsk_Name,PhaseSummary[[#This Row],[_Task]])&amp;"")</f>
        <v>Project Close</v>
      </c>
      <c r="E10" s="48" t="n">
        <f aca="false">IF(PhaseSummary[[#This Row],[_Task]]="","",IF(N(INDEX(tsk_PlanFinish,PhaseSummary[[#This Row],[_Task]]))=0,"",INDEX(tsk_PlanFinish,PhaseSummary[[#This Row],[_Task]])))</f>
        <v>46393</v>
      </c>
      <c r="F10" s="48" t="n">
        <f aca="false">IF(PhaseSummary[[#This Row],[_Task]]="","",IF(N(INDEX(tsk_FcFinish,PhaseSummary[[#This Row],[_Task]]))=0,"",INDEX(tsk_FcFinish,PhaseSummary[[#This Row],[_Task]])))</f>
        <v>46393</v>
      </c>
      <c r="G10" s="49" t="n">
        <f aca="false">IF(PhaseSummary[[#This Row],[_Task]]="","",INDEX(tsk_Variance,PhaseSummary[[#This Row],[_Task]]))</f>
        <v>0</v>
      </c>
      <c r="H10" s="50" t="n">
        <f aca="false">IF(PhaseSummary[[#This Row],[_Task]]="","",INDEX(tsk_Progress,PhaseSummary[[#This Row],[_Task]]))</f>
        <v>0</v>
      </c>
      <c r="I10" s="51" t="n">
        <f aca="false">IF(PhaseSummary[[#This Row],[_Task]]="","",INDEX(tsk_Budget,PhaseSummary[[#This Row],[_Task]]))</f>
        <v>2280</v>
      </c>
      <c r="J10" s="51" t="n">
        <f aca="false">IF(PhaseSummary[[#This Row],[_Task]]="","",INDEX(tsk_PV,PhaseSummary[[#This Row],[_Task]]))</f>
        <v>0</v>
      </c>
      <c r="K10" s="51" t="n">
        <f aca="false">IF(PhaseSummary[[#This Row],[_Task]]="","",INDEX(tsk_EV,PhaseSummary[[#This Row],[_Task]]))</f>
        <v>0</v>
      </c>
      <c r="L10" s="51" t="n">
        <f aca="false">IF(PhaseSummary[[#This Row],[_Task]]="","",INDEX(tsk_AC,PhaseSummary[[#This Row],[_Task]]))</f>
        <v>0</v>
      </c>
      <c r="M10" s="52" t="str">
        <f aca="false">IF(PhaseSummary[[#This Row],[_Task]]="","",IF(N(PhaseSummary[[#This Row],[PV]])&gt;0,PhaseSummary[[#This Row],[EV]]/PhaseSummary[[#This Row],[PV]],""))</f>
        <v/>
      </c>
      <c r="N10" s="52" t="str">
        <f aca="false">IF(PhaseSummary[[#This Row],[_Task]]="","",IF(N(PhaseSummary[[#This Row],[AC]])&gt;0,PhaseSummary[[#This Row],[EV]]/PhaseSummary[[#This Row],[AC]],""))</f>
        <v/>
      </c>
      <c r="O10" s="53" t="n">
        <f aca="false">IF(PhaseSummary[[#This Row],[_Task]]="","",COUNTIFS(tsk_Phase,PhaseSummary[[#This Row],[WBS]],tsk_Critical,"Yes",tsk_IsLeaf,1))</f>
        <v>2</v>
      </c>
      <c r="P10"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1" customFormat="false" ht="15" hidden="false" customHeight="false" outlineLevel="0" collapsed="false">
      <c r="B11" s="41"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48" t="str">
        <f aca="false">IF(PhaseSummary[[#This Row],[_Task]]="","",IF(N(INDEX(tsk_PlanFinish,PhaseSummary[[#This Row],[_Task]]))=0,"",INDEX(tsk_PlanFinish,PhaseSummary[[#This Row],[_Task]])))</f>
        <v/>
      </c>
      <c r="F11" s="48" t="str">
        <f aca="false">IF(PhaseSummary[[#This Row],[_Task]]="","",IF(N(INDEX(tsk_FcFinish,PhaseSummary[[#This Row],[_Task]]))=0,"",INDEX(tsk_FcFinish,PhaseSummary[[#This Row],[_Task]])))</f>
        <v/>
      </c>
      <c r="G11" s="49" t="str">
        <f aca="false">IF(PhaseSummary[[#This Row],[_Task]]="","",INDEX(tsk_Variance,PhaseSummary[[#This Row],[_Task]]))</f>
        <v/>
      </c>
      <c r="H11" s="50" t="str">
        <f aca="false">IF(PhaseSummary[[#This Row],[_Task]]="","",INDEX(tsk_Progress,PhaseSummary[[#This Row],[_Task]]))</f>
        <v/>
      </c>
      <c r="I11" s="51" t="str">
        <f aca="false">IF(PhaseSummary[[#This Row],[_Task]]="","",INDEX(tsk_Budget,PhaseSummary[[#This Row],[_Task]]))</f>
        <v/>
      </c>
      <c r="J11" s="51" t="str">
        <f aca="false">IF(PhaseSummary[[#This Row],[_Task]]="","",INDEX(tsk_PV,PhaseSummary[[#This Row],[_Task]]))</f>
        <v/>
      </c>
      <c r="K11" s="51" t="str">
        <f aca="false">IF(PhaseSummary[[#This Row],[_Task]]="","",INDEX(tsk_EV,PhaseSummary[[#This Row],[_Task]]))</f>
        <v/>
      </c>
      <c r="L11" s="51" t="str">
        <f aca="false">IF(PhaseSummary[[#This Row],[_Task]]="","",INDEX(tsk_AC,PhaseSummary[[#This Row],[_Task]]))</f>
        <v/>
      </c>
      <c r="M11" s="52" t="str">
        <f aca="false">IF(PhaseSummary[[#This Row],[_Task]]="","",IF(N(PhaseSummary[[#This Row],[PV]])&gt;0,PhaseSummary[[#This Row],[EV]]/PhaseSummary[[#This Row],[PV]],""))</f>
        <v/>
      </c>
      <c r="N11" s="52" t="str">
        <f aca="false">IF(PhaseSummary[[#This Row],[_Task]]="","",IF(N(PhaseSummary[[#This Row],[AC]])&gt;0,PhaseSummary[[#This Row],[EV]]/PhaseSummary[[#This Row],[AC]],""))</f>
        <v/>
      </c>
      <c r="O11" s="53" t="str">
        <f aca="false">IF(PhaseSummary[[#This Row],[_Task]]="","",COUNTIFS(tsk_Phase,PhaseSummary[[#This Row],[WBS]],tsk_Critical,"Yes",tsk_IsLeaf,1))</f>
        <v/>
      </c>
      <c r="P11"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41"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48" t="str">
        <f aca="false">IF(PhaseSummary[[#This Row],[_Task]]="","",IF(N(INDEX(tsk_PlanFinish,PhaseSummary[[#This Row],[_Task]]))=0,"",INDEX(tsk_PlanFinish,PhaseSummary[[#This Row],[_Task]])))</f>
        <v/>
      </c>
      <c r="F12" s="48" t="str">
        <f aca="false">IF(PhaseSummary[[#This Row],[_Task]]="","",IF(N(INDEX(tsk_FcFinish,PhaseSummary[[#This Row],[_Task]]))=0,"",INDEX(tsk_FcFinish,PhaseSummary[[#This Row],[_Task]])))</f>
        <v/>
      </c>
      <c r="G12" s="49" t="str">
        <f aca="false">IF(PhaseSummary[[#This Row],[_Task]]="","",INDEX(tsk_Variance,PhaseSummary[[#This Row],[_Task]]))</f>
        <v/>
      </c>
      <c r="H12" s="50" t="str">
        <f aca="false">IF(PhaseSummary[[#This Row],[_Task]]="","",INDEX(tsk_Progress,PhaseSummary[[#This Row],[_Task]]))</f>
        <v/>
      </c>
      <c r="I12" s="51" t="str">
        <f aca="false">IF(PhaseSummary[[#This Row],[_Task]]="","",INDEX(tsk_Budget,PhaseSummary[[#This Row],[_Task]]))</f>
        <v/>
      </c>
      <c r="J12" s="51" t="str">
        <f aca="false">IF(PhaseSummary[[#This Row],[_Task]]="","",INDEX(tsk_PV,PhaseSummary[[#This Row],[_Task]]))</f>
        <v/>
      </c>
      <c r="K12" s="51" t="str">
        <f aca="false">IF(PhaseSummary[[#This Row],[_Task]]="","",INDEX(tsk_EV,PhaseSummary[[#This Row],[_Task]]))</f>
        <v/>
      </c>
      <c r="L12" s="51" t="str">
        <f aca="false">IF(PhaseSummary[[#This Row],[_Task]]="","",INDEX(tsk_AC,PhaseSummary[[#This Row],[_Task]]))</f>
        <v/>
      </c>
      <c r="M12" s="52" t="str">
        <f aca="false">IF(PhaseSummary[[#This Row],[_Task]]="","",IF(N(PhaseSummary[[#This Row],[PV]])&gt;0,PhaseSummary[[#This Row],[EV]]/PhaseSummary[[#This Row],[PV]],""))</f>
        <v/>
      </c>
      <c r="N12" s="52" t="str">
        <f aca="false">IF(PhaseSummary[[#This Row],[_Task]]="","",IF(N(PhaseSummary[[#This Row],[AC]])&gt;0,PhaseSummary[[#This Row],[EV]]/PhaseSummary[[#This Row],[AC]],""))</f>
        <v/>
      </c>
      <c r="O12" s="53" t="str">
        <f aca="false">IF(PhaseSummary[[#This Row],[_Task]]="","",COUNTIFS(tsk_Phase,PhaseSummary[[#This Row],[WBS]],tsk_Critical,"Yes",tsk_IsLeaf,1))</f>
        <v/>
      </c>
      <c r="P12"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41"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48" t="str">
        <f aca="false">IF(PhaseSummary[[#This Row],[_Task]]="","",IF(N(INDEX(tsk_PlanFinish,PhaseSummary[[#This Row],[_Task]]))=0,"",INDEX(tsk_PlanFinish,PhaseSummary[[#This Row],[_Task]])))</f>
        <v/>
      </c>
      <c r="F13" s="48" t="str">
        <f aca="false">IF(PhaseSummary[[#This Row],[_Task]]="","",IF(N(INDEX(tsk_FcFinish,PhaseSummary[[#This Row],[_Task]]))=0,"",INDEX(tsk_FcFinish,PhaseSummary[[#This Row],[_Task]])))</f>
        <v/>
      </c>
      <c r="G13" s="49" t="str">
        <f aca="false">IF(PhaseSummary[[#This Row],[_Task]]="","",INDEX(tsk_Variance,PhaseSummary[[#This Row],[_Task]]))</f>
        <v/>
      </c>
      <c r="H13" s="50" t="str">
        <f aca="false">IF(PhaseSummary[[#This Row],[_Task]]="","",INDEX(tsk_Progress,PhaseSummary[[#This Row],[_Task]]))</f>
        <v/>
      </c>
      <c r="I13" s="51" t="str">
        <f aca="false">IF(PhaseSummary[[#This Row],[_Task]]="","",INDEX(tsk_Budget,PhaseSummary[[#This Row],[_Task]]))</f>
        <v/>
      </c>
      <c r="J13" s="51" t="str">
        <f aca="false">IF(PhaseSummary[[#This Row],[_Task]]="","",INDEX(tsk_PV,PhaseSummary[[#This Row],[_Task]]))</f>
        <v/>
      </c>
      <c r="K13" s="51" t="str">
        <f aca="false">IF(PhaseSummary[[#This Row],[_Task]]="","",INDEX(tsk_EV,PhaseSummary[[#This Row],[_Task]]))</f>
        <v/>
      </c>
      <c r="L13" s="51" t="str">
        <f aca="false">IF(PhaseSummary[[#This Row],[_Task]]="","",INDEX(tsk_AC,PhaseSummary[[#This Row],[_Task]]))</f>
        <v/>
      </c>
      <c r="M13" s="52" t="str">
        <f aca="false">IF(PhaseSummary[[#This Row],[_Task]]="","",IF(N(PhaseSummary[[#This Row],[PV]])&gt;0,PhaseSummary[[#This Row],[EV]]/PhaseSummary[[#This Row],[PV]],""))</f>
        <v/>
      </c>
      <c r="N13" s="52" t="str">
        <f aca="false">IF(PhaseSummary[[#This Row],[_Task]]="","",IF(N(PhaseSummary[[#This Row],[AC]])&gt;0,PhaseSummary[[#This Row],[EV]]/PhaseSummary[[#This Row],[AC]],""))</f>
        <v/>
      </c>
      <c r="O13" s="53" t="str">
        <f aca="false">IF(PhaseSummary[[#This Row],[_Task]]="","",COUNTIFS(tsk_Phase,PhaseSummary[[#This Row],[WBS]],tsk_Critical,"Yes",tsk_IsLeaf,1))</f>
        <v/>
      </c>
      <c r="P13"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41"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48" t="str">
        <f aca="false">IF(PhaseSummary[[#This Row],[_Task]]="","",IF(N(INDEX(tsk_PlanFinish,PhaseSummary[[#This Row],[_Task]]))=0,"",INDEX(tsk_PlanFinish,PhaseSummary[[#This Row],[_Task]])))</f>
        <v/>
      </c>
      <c r="F14" s="48" t="str">
        <f aca="false">IF(PhaseSummary[[#This Row],[_Task]]="","",IF(N(INDEX(tsk_FcFinish,PhaseSummary[[#This Row],[_Task]]))=0,"",INDEX(tsk_FcFinish,PhaseSummary[[#This Row],[_Task]])))</f>
        <v/>
      </c>
      <c r="G14" s="49" t="str">
        <f aca="false">IF(PhaseSummary[[#This Row],[_Task]]="","",INDEX(tsk_Variance,PhaseSummary[[#This Row],[_Task]]))</f>
        <v/>
      </c>
      <c r="H14" s="50" t="str">
        <f aca="false">IF(PhaseSummary[[#This Row],[_Task]]="","",INDEX(tsk_Progress,PhaseSummary[[#This Row],[_Task]]))</f>
        <v/>
      </c>
      <c r="I14" s="51" t="str">
        <f aca="false">IF(PhaseSummary[[#This Row],[_Task]]="","",INDEX(tsk_Budget,PhaseSummary[[#This Row],[_Task]]))</f>
        <v/>
      </c>
      <c r="J14" s="51" t="str">
        <f aca="false">IF(PhaseSummary[[#This Row],[_Task]]="","",INDEX(tsk_PV,PhaseSummary[[#This Row],[_Task]]))</f>
        <v/>
      </c>
      <c r="K14" s="51" t="str">
        <f aca="false">IF(PhaseSummary[[#This Row],[_Task]]="","",INDEX(tsk_EV,PhaseSummary[[#This Row],[_Task]]))</f>
        <v/>
      </c>
      <c r="L14" s="51" t="str">
        <f aca="false">IF(PhaseSummary[[#This Row],[_Task]]="","",INDEX(tsk_AC,PhaseSummary[[#This Row],[_Task]]))</f>
        <v/>
      </c>
      <c r="M14" s="52" t="str">
        <f aca="false">IF(PhaseSummary[[#This Row],[_Task]]="","",IF(N(PhaseSummary[[#This Row],[PV]])&gt;0,PhaseSummary[[#This Row],[EV]]/PhaseSummary[[#This Row],[PV]],""))</f>
        <v/>
      </c>
      <c r="N14" s="52" t="str">
        <f aca="false">IF(PhaseSummary[[#This Row],[_Task]]="","",IF(N(PhaseSummary[[#This Row],[AC]])&gt;0,PhaseSummary[[#This Row],[EV]]/PhaseSummary[[#This Row],[AC]],""))</f>
        <v/>
      </c>
      <c r="O14" s="53" t="str">
        <f aca="false">IF(PhaseSummary[[#This Row],[_Task]]="","",COUNTIFS(tsk_Phase,PhaseSummary[[#This Row],[WBS]],tsk_Critical,"Yes",tsk_IsLeaf,1))</f>
        <v/>
      </c>
      <c r="P14"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41"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48" t="str">
        <f aca="false">IF(PhaseSummary[[#This Row],[_Task]]="","",IF(N(INDEX(tsk_PlanFinish,PhaseSummary[[#This Row],[_Task]]))=0,"",INDEX(tsk_PlanFinish,PhaseSummary[[#This Row],[_Task]])))</f>
        <v/>
      </c>
      <c r="F15" s="48" t="str">
        <f aca="false">IF(PhaseSummary[[#This Row],[_Task]]="","",IF(N(INDEX(tsk_FcFinish,PhaseSummary[[#This Row],[_Task]]))=0,"",INDEX(tsk_FcFinish,PhaseSummary[[#This Row],[_Task]])))</f>
        <v/>
      </c>
      <c r="G15" s="49" t="str">
        <f aca="false">IF(PhaseSummary[[#This Row],[_Task]]="","",INDEX(tsk_Variance,PhaseSummary[[#This Row],[_Task]]))</f>
        <v/>
      </c>
      <c r="H15" s="50" t="str">
        <f aca="false">IF(PhaseSummary[[#This Row],[_Task]]="","",INDEX(tsk_Progress,PhaseSummary[[#This Row],[_Task]]))</f>
        <v/>
      </c>
      <c r="I15" s="51" t="str">
        <f aca="false">IF(PhaseSummary[[#This Row],[_Task]]="","",INDEX(tsk_Budget,PhaseSummary[[#This Row],[_Task]]))</f>
        <v/>
      </c>
      <c r="J15" s="51" t="str">
        <f aca="false">IF(PhaseSummary[[#This Row],[_Task]]="","",INDEX(tsk_PV,PhaseSummary[[#This Row],[_Task]]))</f>
        <v/>
      </c>
      <c r="K15" s="51" t="str">
        <f aca="false">IF(PhaseSummary[[#This Row],[_Task]]="","",INDEX(tsk_EV,PhaseSummary[[#This Row],[_Task]]))</f>
        <v/>
      </c>
      <c r="L15" s="51" t="str">
        <f aca="false">IF(PhaseSummary[[#This Row],[_Task]]="","",INDEX(tsk_AC,PhaseSummary[[#This Row],[_Task]]))</f>
        <v/>
      </c>
      <c r="M15" s="52" t="str">
        <f aca="false">IF(PhaseSummary[[#This Row],[_Task]]="","",IF(N(PhaseSummary[[#This Row],[PV]])&gt;0,PhaseSummary[[#This Row],[EV]]/PhaseSummary[[#This Row],[PV]],""))</f>
        <v/>
      </c>
      <c r="N15" s="52" t="str">
        <f aca="false">IF(PhaseSummary[[#This Row],[_Task]]="","",IF(N(PhaseSummary[[#This Row],[AC]])&gt;0,PhaseSummary[[#This Row],[EV]]/PhaseSummary[[#This Row],[AC]],""))</f>
        <v/>
      </c>
      <c r="O15" s="53" t="str">
        <f aca="false">IF(PhaseSummary[[#This Row],[_Task]]="","",COUNTIFS(tsk_Phase,PhaseSummary[[#This Row],[WBS]],tsk_Critical,"Yes",tsk_IsLeaf,1))</f>
        <v/>
      </c>
      <c r="P15"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6" t="str">
        <f aca="false">"Milestones (in planned order)"&amp;": "&amp;COUNT(tsk_MilestoneOrder)&amp;IF(COUNT(tsk_MilestoneOrder)&gt;ROWS(MilestoneReport[_Task])," (showing the first "&amp;ROWS(MilestoneReport[_Task])&amp;")","")</f>
        <v>Milestones (in planned order): 5</v>
      </c>
    </row>
    <row r="18" customFormat="false" ht="23.85" hidden="false" customHeight="false" outlineLevel="0" collapsed="false">
      <c r="B18" s="40" t="s">
        <v>178</v>
      </c>
      <c r="C18" s="9" t="s">
        <v>205</v>
      </c>
      <c r="D18" s="9" t="s">
        <v>218</v>
      </c>
      <c r="E18" s="9" t="s">
        <v>219</v>
      </c>
      <c r="F18" s="9" t="s">
        <v>220</v>
      </c>
      <c r="G18" s="9" t="s">
        <v>209</v>
      </c>
      <c r="H18" s="9" t="s">
        <v>221</v>
      </c>
      <c r="I18" s="9" t="s">
        <v>222</v>
      </c>
      <c r="J18" s="9" t="s">
        <v>95</v>
      </c>
    </row>
    <row r="19" customFormat="false" ht="15" hidden="false" customHeight="false" outlineLevel="0" collapsed="false">
      <c r="B19" s="41" t="n">
        <f aca="false">IFERROR(MATCH(SMALL(tsk_MilestoneOrder,ROW()-ROW(MilestoneReport[[#Headers],[_Task]])),tsk_MilestoneOrder,0),"")</f>
        <v>4</v>
      </c>
      <c r="C19" s="24" t="str">
        <f aca="false">IF(MilestoneReport[[#This Row],[_Task]]="","",INDEX(tsk_WBS,MilestoneReport[[#This Row],[_Task]])&amp;"")</f>
        <v>1.3</v>
      </c>
      <c r="D19" s="24" t="str">
        <f aca="false">IF(MilestoneReport[[#This Row],[_Task]]="","",INDEX(tsk_Name,MilestoneReport[[#This Row],[_Task]])&amp;"")</f>
        <v>Kickoff complete</v>
      </c>
      <c r="E19" s="48" t="n">
        <f aca="false">IF(MilestoneReport[[#This Row],[_Task]]="","",IF(N(INDEX(tsk_PlanFinish,MilestoneReport[[#This Row],[_Task]]))=0,"",INDEX(tsk_PlanFinish,MilestoneReport[[#This Row],[_Task]])))</f>
        <v>46276</v>
      </c>
      <c r="F19" s="48" t="n">
        <f aca="false">IF(MilestoneReport[[#This Row],[_Task]]="","",IF(N(INDEX(tsk_FcFinish,MilestoneReport[[#This Row],[_Task]]))=0,"",INDEX(tsk_FcFinish,MilestoneReport[[#This Row],[_Task]])))</f>
        <v>46279</v>
      </c>
      <c r="G19" s="49" t="n">
        <f aca="false">IF(MilestoneReport[[#This Row],[_Task]]="","",INDEX(tsk_Variance,MilestoneReport[[#This Row],[_Task]]))</f>
        <v>1</v>
      </c>
      <c r="H19" s="48"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Complete</v>
      </c>
    </row>
    <row r="20" customFormat="false" ht="15" hidden="false" customHeight="false" outlineLevel="0" collapsed="false">
      <c r="B20" s="41" t="n">
        <f aca="false">IFERROR(MATCH(SMALL(tsk_MilestoneOrder,ROW()-ROW(MilestoneReport[[#Headers],[_Task]])),tsk_MilestoneOrder,0),"")</f>
        <v>9</v>
      </c>
      <c r="C20" s="24" t="str">
        <f aca="false">IF(MilestoneReport[[#This Row],[_Task]]="","",INDEX(tsk_WBS,MilestoneReport[[#This Row],[_Task]])&amp;"")</f>
        <v>2.4</v>
      </c>
      <c r="D20" s="24" t="str">
        <f aca="false">IF(MilestoneReport[[#This Row],[_Task]]="","",INDEX(tsk_Name,MilestoneReport[[#This Row],[_Task]])&amp;"")</f>
        <v>Design sign-off</v>
      </c>
      <c r="E20" s="48" t="n">
        <f aca="false">IF(MilestoneReport[[#This Row],[_Task]]="","",IF(N(INDEX(tsk_PlanFinish,MilestoneReport[[#This Row],[_Task]]))=0,"",INDEX(tsk_PlanFinish,MilestoneReport[[#This Row],[_Task]])))</f>
        <v>46296</v>
      </c>
      <c r="F20" s="48" t="n">
        <f aca="false">IF(MilestoneReport[[#This Row],[_Task]]="","",IF(N(INDEX(tsk_FcFinish,MilestoneReport[[#This Row],[_Task]]))=0,"",INDEX(tsk_FcFinish,MilestoneReport[[#This Row],[_Task]])))</f>
        <v>46301</v>
      </c>
      <c r="G20" s="49" t="n">
        <f aca="false">IF(MilestoneReport[[#This Row],[_Task]]="","",INDEX(tsk_Variance,MilestoneReport[[#This Row],[_Task]]))</f>
        <v>3</v>
      </c>
      <c r="H20" s="48"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Complete</v>
      </c>
    </row>
    <row r="21" customFormat="false" ht="15" hidden="false" customHeight="false" outlineLevel="0" collapsed="false">
      <c r="B21" s="41" t="n">
        <f aca="false">IFERROR(MATCH(SMALL(tsk_MilestoneOrder,ROW()-ROW(MilestoneReport[[#Headers],[_Task]])),tsk_MilestoneOrder,0),"")</f>
        <v>19</v>
      </c>
      <c r="C21" s="24" t="str">
        <f aca="false">IF(MilestoneReport[[#This Row],[_Task]]="","",INDEX(tsk_WBS,MilestoneReport[[#This Row],[_Task]])&amp;"")</f>
        <v>3.3</v>
      </c>
      <c r="D21" s="24" t="str">
        <f aca="false">IF(MilestoneReport[[#This Row],[_Task]]="","",INDEX(tsk_Name,MilestoneReport[[#This Row],[_Task]])&amp;"")</f>
        <v>Build complete</v>
      </c>
      <c r="E21" s="48" t="n">
        <f aca="false">IF(MilestoneReport[[#This Row],[_Task]]="","",IF(N(INDEX(tsk_PlanFinish,MilestoneReport[[#This Row],[_Task]]))=0,"",INDEX(tsk_PlanFinish,MilestoneReport[[#This Row],[_Task]])))</f>
        <v>46325</v>
      </c>
      <c r="F21" s="48" t="n">
        <f aca="false">IF(MilestoneReport[[#This Row],[_Task]]="","",IF(N(INDEX(tsk_FcFinish,MilestoneReport[[#This Row],[_Task]]))=0,"",INDEX(tsk_FcFinish,MilestoneReport[[#This Row],[_Task]])))</f>
        <v>46335</v>
      </c>
      <c r="G21" s="49" t="n">
        <f aca="false">IF(MilestoneReport[[#This Row],[_Task]]="","",INDEX(tsk_Variance,MilestoneReport[[#This Row],[_Task]]))</f>
        <v>6</v>
      </c>
      <c r="H21" s="48" t="n">
        <f aca="false">IF(MilestoneReport[[#This Row],[_Task]]="","",IF(N(INDEX(tsk_Deadline,MilestoneReport[[#This Row],[_Task]]))=0,"",INDEX(tsk_Deadline,MilestoneReport[[#This Row],[_Task]])))</f>
        <v>46332</v>
      </c>
      <c r="I21" s="24" t="str">
        <f aca="false">IF(MilestoneReport[[#This Row],[_Task]]="","",INDEX(tsk_DeadlineCheck,MilestoneReport[[#This Row],[_Task]])&amp;"")</f>
        <v>Late by 1d</v>
      </c>
      <c r="J21" s="24" t="str">
        <f aca="false">IF(MilestoneReport[[#This Row],[_Task]]="","",INDEX(tsk_Status,MilestoneReport[[#This Row],[_Task]])&amp;"")</f>
        <v>Not Started</v>
      </c>
    </row>
    <row r="22" customFormat="false" ht="15" hidden="false" customHeight="false" outlineLevel="0" collapsed="false">
      <c r="B22" s="41" t="n">
        <f aca="false">IFERROR(MATCH(SMALL(tsk_MilestoneOrder,ROW()-ROW(MilestoneReport[[#Headers],[_Task]])),tsk_MilestoneOrder,0),"")</f>
        <v>25</v>
      </c>
      <c r="C22" s="24" t="str">
        <f aca="false">IF(MilestoneReport[[#This Row],[_Task]]="","",INDEX(tsk_WBS,MilestoneReport[[#This Row],[_Task]])&amp;"")</f>
        <v>4.5</v>
      </c>
      <c r="D22" s="24" t="str">
        <f aca="false">IF(MilestoneReport[[#This Row],[_Task]]="","",INDEX(tsk_Name,MilestoneReport[[#This Row],[_Task]])&amp;"")</f>
        <v>Go-live</v>
      </c>
      <c r="E22" s="48" t="n">
        <f aca="false">IF(MilestoneReport[[#This Row],[_Task]]="","",IF(N(INDEX(tsk_PlanFinish,MilestoneReport[[#This Row],[_Task]]))=0,"",INDEX(tsk_PlanFinish,MilestoneReport[[#This Row],[_Task]])))</f>
        <v>46371</v>
      </c>
      <c r="F22" s="48" t="n">
        <f aca="false">IF(MilestoneReport[[#This Row],[_Task]]="","",IF(N(INDEX(tsk_FcFinish,MilestoneReport[[#This Row],[_Task]]))=0,"",INDEX(tsk_FcFinish,MilestoneReport[[#This Row],[_Task]])))</f>
        <v>46371</v>
      </c>
      <c r="G22" s="49" t="n">
        <f aca="false">IF(MilestoneReport[[#This Row],[_Task]]="","",INDEX(tsk_Variance,MilestoneReport[[#This Row],[_Task]]))</f>
        <v>0</v>
      </c>
      <c r="H22" s="48" t="n">
        <f aca="false">IF(MilestoneReport[[#This Row],[_Task]]="","",IF(N(INDEX(tsk_Deadline,MilestoneReport[[#This Row],[_Task]]))=0,"",INDEX(tsk_Deadline,MilestoneReport[[#This Row],[_Task]])))</f>
        <v>46374</v>
      </c>
      <c r="I22" s="24" t="str">
        <f aca="false">IF(MilestoneReport[[#This Row],[_Task]]="","",INDEX(tsk_DeadlineCheck,MilestoneReport[[#This Row],[_Task]])&amp;"")</f>
        <v>OK</v>
      </c>
      <c r="J22" s="24" t="str">
        <f aca="false">IF(MilestoneReport[[#This Row],[_Task]]="","",INDEX(tsk_Status,MilestoneReport[[#This Row],[_Task]])&amp;"")</f>
        <v>Not Started</v>
      </c>
    </row>
    <row r="23" customFormat="false" ht="15" hidden="false" customHeight="false" outlineLevel="0" collapsed="false">
      <c r="B23" s="41" t="n">
        <f aca="false">IFERROR(MATCH(SMALL(tsk_MilestoneOrder,ROW()-ROW(MilestoneReport[[#Headers],[_Task]])),tsk_MilestoneOrder,0),"")</f>
        <v>30</v>
      </c>
      <c r="C23" s="24" t="str">
        <f aca="false">IF(MilestoneReport[[#This Row],[_Task]]="","",INDEX(tsk_WBS,MilestoneReport[[#This Row],[_Task]])&amp;"")</f>
        <v>5.3</v>
      </c>
      <c r="D23" s="24" t="str">
        <f aca="false">IF(MilestoneReport[[#This Row],[_Task]]="","",INDEX(tsk_Name,MilestoneReport[[#This Row],[_Task]])&amp;"")</f>
        <v>Project closed</v>
      </c>
      <c r="E23" s="48" t="n">
        <f aca="false">IF(MilestoneReport[[#This Row],[_Task]]="","",IF(N(INDEX(tsk_PlanFinish,MilestoneReport[[#This Row],[_Task]]))=0,"",INDEX(tsk_PlanFinish,MilestoneReport[[#This Row],[_Task]])))</f>
        <v>46393</v>
      </c>
      <c r="F23" s="48" t="n">
        <f aca="false">IF(MilestoneReport[[#This Row],[_Task]]="","",IF(N(INDEX(tsk_FcFinish,MilestoneReport[[#This Row],[_Task]]))=0,"",INDEX(tsk_FcFinish,MilestoneReport[[#This Row],[_Task]])))</f>
        <v>46393</v>
      </c>
      <c r="G23" s="49" t="n">
        <f aca="false">IF(MilestoneReport[[#This Row],[_Task]]="","",INDEX(tsk_Variance,MilestoneReport[[#This Row],[_Task]]))</f>
        <v>0</v>
      </c>
      <c r="H23" s="48"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Not Started</v>
      </c>
    </row>
    <row r="24" customFormat="false" ht="15" hidden="false" customHeight="false" outlineLevel="0" collapsed="false">
      <c r="B24" s="41"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48" t="str">
        <f aca="false">IF(MilestoneReport[[#This Row],[_Task]]="","",IF(N(INDEX(tsk_PlanFinish,MilestoneReport[[#This Row],[_Task]]))=0,"",INDEX(tsk_PlanFinish,MilestoneReport[[#This Row],[_Task]])))</f>
        <v/>
      </c>
      <c r="F24" s="48" t="str">
        <f aca="false">IF(MilestoneReport[[#This Row],[_Task]]="","",IF(N(INDEX(tsk_FcFinish,MilestoneReport[[#This Row],[_Task]]))=0,"",INDEX(tsk_FcFinish,MilestoneReport[[#This Row],[_Task]])))</f>
        <v/>
      </c>
      <c r="G24" s="49" t="str">
        <f aca="false">IF(MilestoneReport[[#This Row],[_Task]]="","",INDEX(tsk_Variance,MilestoneReport[[#This Row],[_Task]]))</f>
        <v/>
      </c>
      <c r="H24" s="48"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41"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48" t="str">
        <f aca="false">IF(MilestoneReport[[#This Row],[_Task]]="","",IF(N(INDEX(tsk_PlanFinish,MilestoneReport[[#This Row],[_Task]]))=0,"",INDEX(tsk_PlanFinish,MilestoneReport[[#This Row],[_Task]])))</f>
        <v/>
      </c>
      <c r="F25" s="48" t="str">
        <f aca="false">IF(MilestoneReport[[#This Row],[_Task]]="","",IF(N(INDEX(tsk_FcFinish,MilestoneReport[[#This Row],[_Task]]))=0,"",INDEX(tsk_FcFinish,MilestoneReport[[#This Row],[_Task]])))</f>
        <v/>
      </c>
      <c r="G25" s="49" t="str">
        <f aca="false">IF(MilestoneReport[[#This Row],[_Task]]="","",INDEX(tsk_Variance,MilestoneReport[[#This Row],[_Task]]))</f>
        <v/>
      </c>
      <c r="H25" s="48"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41"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48" t="str">
        <f aca="false">IF(MilestoneReport[[#This Row],[_Task]]="","",IF(N(INDEX(tsk_PlanFinish,MilestoneReport[[#This Row],[_Task]]))=0,"",INDEX(tsk_PlanFinish,MilestoneReport[[#This Row],[_Task]])))</f>
        <v/>
      </c>
      <c r="F26" s="48" t="str">
        <f aca="false">IF(MilestoneReport[[#This Row],[_Task]]="","",IF(N(INDEX(tsk_FcFinish,MilestoneReport[[#This Row],[_Task]]))=0,"",INDEX(tsk_FcFinish,MilestoneReport[[#This Row],[_Task]])))</f>
        <v/>
      </c>
      <c r="G26" s="49" t="str">
        <f aca="false">IF(MilestoneReport[[#This Row],[_Task]]="","",INDEX(tsk_Variance,MilestoneReport[[#This Row],[_Task]]))</f>
        <v/>
      </c>
      <c r="H26" s="48"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41"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48" t="str">
        <f aca="false">IF(MilestoneReport[[#This Row],[_Task]]="","",IF(N(INDEX(tsk_PlanFinish,MilestoneReport[[#This Row],[_Task]]))=0,"",INDEX(tsk_PlanFinish,MilestoneReport[[#This Row],[_Task]])))</f>
        <v/>
      </c>
      <c r="F27" s="48" t="str">
        <f aca="false">IF(MilestoneReport[[#This Row],[_Task]]="","",IF(N(INDEX(tsk_FcFinish,MilestoneReport[[#This Row],[_Task]]))=0,"",INDEX(tsk_FcFinish,MilestoneReport[[#This Row],[_Task]])))</f>
        <v/>
      </c>
      <c r="G27" s="49" t="str">
        <f aca="false">IF(MilestoneReport[[#This Row],[_Task]]="","",INDEX(tsk_Variance,MilestoneReport[[#This Row],[_Task]]))</f>
        <v/>
      </c>
      <c r="H27" s="48"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41"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48" t="str">
        <f aca="false">IF(MilestoneReport[[#This Row],[_Task]]="","",IF(N(INDEX(tsk_PlanFinish,MilestoneReport[[#This Row],[_Task]]))=0,"",INDEX(tsk_PlanFinish,MilestoneReport[[#This Row],[_Task]])))</f>
        <v/>
      </c>
      <c r="F28" s="48" t="str">
        <f aca="false">IF(MilestoneReport[[#This Row],[_Task]]="","",IF(N(INDEX(tsk_FcFinish,MilestoneReport[[#This Row],[_Task]]))=0,"",INDEX(tsk_FcFinish,MilestoneReport[[#This Row],[_Task]])))</f>
        <v/>
      </c>
      <c r="G28" s="49" t="str">
        <f aca="false">IF(MilestoneReport[[#This Row],[_Task]]="","",INDEX(tsk_Variance,MilestoneReport[[#This Row],[_Task]]))</f>
        <v/>
      </c>
      <c r="H28" s="48"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41"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48" t="str">
        <f aca="false">IF(MilestoneReport[[#This Row],[_Task]]="","",IF(N(INDEX(tsk_PlanFinish,MilestoneReport[[#This Row],[_Task]]))=0,"",INDEX(tsk_PlanFinish,MilestoneReport[[#This Row],[_Task]])))</f>
        <v/>
      </c>
      <c r="F29" s="48" t="str">
        <f aca="false">IF(MilestoneReport[[#This Row],[_Task]]="","",IF(N(INDEX(tsk_FcFinish,MilestoneReport[[#This Row],[_Task]]))=0,"",INDEX(tsk_FcFinish,MilestoneReport[[#This Row],[_Task]])))</f>
        <v/>
      </c>
      <c r="G29" s="49" t="str">
        <f aca="false">IF(MilestoneReport[[#This Row],[_Task]]="","",INDEX(tsk_Variance,MilestoneReport[[#This Row],[_Task]]))</f>
        <v/>
      </c>
      <c r="H29" s="48"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41"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48" t="str">
        <f aca="false">IF(MilestoneReport[[#This Row],[_Task]]="","",IF(N(INDEX(tsk_PlanFinish,MilestoneReport[[#This Row],[_Task]]))=0,"",INDEX(tsk_PlanFinish,MilestoneReport[[#This Row],[_Task]])))</f>
        <v/>
      </c>
      <c r="F30" s="48" t="str">
        <f aca="false">IF(MilestoneReport[[#This Row],[_Task]]="","",IF(N(INDEX(tsk_FcFinish,MilestoneReport[[#This Row],[_Task]]))=0,"",INDEX(tsk_FcFinish,MilestoneReport[[#This Row],[_Task]])))</f>
        <v/>
      </c>
      <c r="G30" s="49" t="str">
        <f aca="false">IF(MilestoneReport[[#This Row],[_Task]]="","",INDEX(tsk_Variance,MilestoneReport[[#This Row],[_Task]]))</f>
        <v/>
      </c>
      <c r="H30" s="48"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41"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48" t="str">
        <f aca="false">IF(MilestoneReport[[#This Row],[_Task]]="","",IF(N(INDEX(tsk_PlanFinish,MilestoneReport[[#This Row],[_Task]]))=0,"",INDEX(tsk_PlanFinish,MilestoneReport[[#This Row],[_Task]])))</f>
        <v/>
      </c>
      <c r="F31" s="48" t="str">
        <f aca="false">IF(MilestoneReport[[#This Row],[_Task]]="","",IF(N(INDEX(tsk_FcFinish,MilestoneReport[[#This Row],[_Task]]))=0,"",INDEX(tsk_FcFinish,MilestoneReport[[#This Row],[_Task]])))</f>
        <v/>
      </c>
      <c r="G31" s="49" t="str">
        <f aca="false">IF(MilestoneReport[[#This Row],[_Task]]="","",INDEX(tsk_Variance,MilestoneReport[[#This Row],[_Task]]))</f>
        <v/>
      </c>
      <c r="H31" s="48"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41"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48" t="str">
        <f aca="false">IF(MilestoneReport[[#This Row],[_Task]]="","",IF(N(INDEX(tsk_PlanFinish,MilestoneReport[[#This Row],[_Task]]))=0,"",INDEX(tsk_PlanFinish,MilestoneReport[[#This Row],[_Task]])))</f>
        <v/>
      </c>
      <c r="F32" s="48" t="str">
        <f aca="false">IF(MilestoneReport[[#This Row],[_Task]]="","",IF(N(INDEX(tsk_FcFinish,MilestoneReport[[#This Row],[_Task]]))=0,"",INDEX(tsk_FcFinish,MilestoneReport[[#This Row],[_Task]])))</f>
        <v/>
      </c>
      <c r="G32" s="49" t="str">
        <f aca="false">IF(MilestoneReport[[#This Row],[_Task]]="","",INDEX(tsk_Variance,MilestoneReport[[#This Row],[_Task]]))</f>
        <v/>
      </c>
      <c r="H32" s="48"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41"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48" t="str">
        <f aca="false">IF(MilestoneReport[[#This Row],[_Task]]="","",IF(N(INDEX(tsk_PlanFinish,MilestoneReport[[#This Row],[_Task]]))=0,"",INDEX(tsk_PlanFinish,MilestoneReport[[#This Row],[_Task]])))</f>
        <v/>
      </c>
      <c r="F33" s="48" t="str">
        <f aca="false">IF(MilestoneReport[[#This Row],[_Task]]="","",IF(N(INDEX(tsk_FcFinish,MilestoneReport[[#This Row],[_Task]]))=0,"",INDEX(tsk_FcFinish,MilestoneReport[[#This Row],[_Task]])))</f>
        <v/>
      </c>
      <c r="G33" s="49" t="str">
        <f aca="false">IF(MilestoneReport[[#This Row],[_Task]]="","",INDEX(tsk_Variance,MilestoneReport[[#This Row],[_Task]]))</f>
        <v/>
      </c>
      <c r="H33" s="48"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6" t="str">
        <f aca="false">"Late tasks (most days late first)"&amp;": "&amp;COUNT(tsk_LateKey)&amp;IF(COUNT(tsk_LateKey)&gt;ROWS(LateTasks[_Task])," (showing the first "&amp;ROWS(LateTasks[_Task])&amp;")","")</f>
        <v>Late tasks (most days late first): 7</v>
      </c>
    </row>
    <row r="36" customFormat="false" ht="23.85" hidden="false" customHeight="false" outlineLevel="0" collapsed="false">
      <c r="B36" s="40" t="s">
        <v>178</v>
      </c>
      <c r="C36" s="9" t="s">
        <v>205</v>
      </c>
      <c r="D36" s="9" t="s">
        <v>185</v>
      </c>
      <c r="E36" s="9" t="s">
        <v>223</v>
      </c>
      <c r="F36" s="9" t="s">
        <v>207</v>
      </c>
      <c r="G36" s="9" t="s">
        <v>208</v>
      </c>
      <c r="H36" s="9" t="s">
        <v>209</v>
      </c>
      <c r="I36" s="9" t="s">
        <v>95</v>
      </c>
      <c r="J36" s="9" t="s">
        <v>224</v>
      </c>
    </row>
    <row r="37" customFormat="false" ht="15" hidden="false" customHeight="false" outlineLevel="0" collapsed="false">
      <c r="B37" s="41" t="n">
        <f aca="false">IFERROR(MATCH(LARGE(tsk_LateKey,ROW()-ROW(LateTasks[[#Headers],[_Task]])),tsk_LateKey,0),"")</f>
        <v>13</v>
      </c>
      <c r="C37" s="24" t="str">
        <f aca="false">IF(LateTasks[[#This Row],[_Task]]="","",INDEX(tsk_WBS,LateTasks[[#This Row],[_Task]])&amp;"")</f>
        <v>3.1.2</v>
      </c>
      <c r="D37" s="24" t="str">
        <f aca="false">IF(LateTasks[[#This Row],[_Task]]="","",INDEX(tsk_Name,LateTasks[[#This Row],[_Task]])&amp;"")</f>
        <v>Core API endpoints</v>
      </c>
      <c r="E37" s="24" t="str">
        <f aca="false">IF(LateTasks[[#This Row],[_Task]]="","",INDEX(tsk_Resource,LateTasks[[#This Row],[_Task]])&amp;"")</f>
        <v>Jordan Lee</v>
      </c>
      <c r="F37" s="48" t="n">
        <f aca="false">IF(LateTasks[[#This Row],[_Task]]="","",IF(N(INDEX(tsk_PlanFinish,LateTasks[[#This Row],[_Task]]))=0,"",INDEX(tsk_PlanFinish,LateTasks[[#This Row],[_Task]])))</f>
        <v>46317</v>
      </c>
      <c r="G37" s="48" t="n">
        <f aca="false">IF(LateTasks[[#This Row],[_Task]]="","",IF(N(INDEX(tsk_FcFinish,LateTasks[[#This Row],[_Task]]))=0,"",INDEX(tsk_FcFinish,LateTasks[[#This Row],[_Task]])))</f>
        <v>46325</v>
      </c>
      <c r="H37" s="49" t="n">
        <f aca="false">IF(LateTasks[[#This Row],[_Task]]="","",INDEX(tsk_Variance,LateTasks[[#This Row],[_Task]]))</f>
        <v>6</v>
      </c>
      <c r="I37" s="24" t="str">
        <f aca="false">IF(LateTasks[[#This Row],[_Task]]="","",INDEX(tsk_Status,LateTasks[[#This Row],[_Task]])&amp;"")</f>
        <v>Behind</v>
      </c>
      <c r="J37" s="24" t="str">
        <f aca="false">IF(LateTasks[[#This Row],[_Task]]="","",INDEX(tsk_Critical,LateTasks[[#This Row],[_Task]])&amp;"")</f>
        <v>Yes</v>
      </c>
    </row>
    <row r="38" customFormat="false" ht="15" hidden="false" customHeight="false" outlineLevel="0" collapsed="false">
      <c r="B38" s="41" t="n">
        <f aca="false">IFERROR(MATCH(LARGE(tsk_LateKey,ROW()-ROW(LateTasks[[#Headers],[_Task]])),tsk_LateKey,0),"")</f>
        <v>14</v>
      </c>
      <c r="C38" s="24" t="str">
        <f aca="false">IF(LateTasks[[#This Row],[_Task]]="","",INDEX(tsk_WBS,LateTasks[[#This Row],[_Task]])&amp;"")</f>
        <v>3.1.3</v>
      </c>
      <c r="D38" s="24" t="str">
        <f aca="false">IF(LateTasks[[#This Row],[_Task]]="","",INDEX(tsk_Name,LateTasks[[#This Row],[_Task]])&amp;"")</f>
        <v>Payment gateway integration</v>
      </c>
      <c r="E38" s="24" t="str">
        <f aca="false">IF(LateTasks[[#This Row],[_Task]]="","",INDEX(tsk_Resource,LateTasks[[#This Row],[_Task]])&amp;"")</f>
        <v>Jordan Lee</v>
      </c>
      <c r="F38" s="48" t="n">
        <f aca="false">IF(LateTasks[[#This Row],[_Task]]="","",IF(N(INDEX(tsk_PlanFinish,LateTasks[[#This Row],[_Task]]))=0,"",INDEX(tsk_PlanFinish,LateTasks[[#This Row],[_Task]])))</f>
        <v>46325</v>
      </c>
      <c r="G38" s="48" t="n">
        <f aca="false">IF(LateTasks[[#This Row],[_Task]]="","",IF(N(INDEX(tsk_FcFinish,LateTasks[[#This Row],[_Task]]))=0,"",INDEX(tsk_FcFinish,LateTasks[[#This Row],[_Task]])))</f>
        <v>46335</v>
      </c>
      <c r="H38" s="49" t="n">
        <f aca="false">IF(LateTasks[[#This Row],[_Task]]="","",INDEX(tsk_Variance,LateTasks[[#This Row],[_Task]]))</f>
        <v>6</v>
      </c>
      <c r="I38" s="24" t="str">
        <f aca="false">IF(LateTasks[[#This Row],[_Task]]="","",INDEX(tsk_Status,LateTasks[[#This Row],[_Task]])&amp;"")</f>
        <v>Late Start</v>
      </c>
      <c r="J38" s="24" t="str">
        <f aca="false">IF(LateTasks[[#This Row],[_Task]]="","",INDEX(tsk_Critical,LateTasks[[#This Row],[_Task]])&amp;"")</f>
        <v>Yes</v>
      </c>
    </row>
    <row r="39" customFormat="false" ht="15" hidden="false" customHeight="false" outlineLevel="0" collapsed="false">
      <c r="B39" s="41" t="n">
        <f aca="false">IFERROR(MATCH(LARGE(tsk_LateKey,ROW()-ROW(LateTasks[[#Headers],[_Task]])),tsk_LateKey,0),"")</f>
        <v>17</v>
      </c>
      <c r="C39" s="24" t="str">
        <f aca="false">IF(LateTasks[[#This Row],[_Task]]="","",INDEX(tsk_WBS,LateTasks[[#This Row],[_Task]])&amp;"")</f>
        <v>3.2.2</v>
      </c>
      <c r="D39" s="24" t="str">
        <f aca="false">IF(LateTasks[[#This Row],[_Task]]="","",INDEX(tsk_Name,LateTasks[[#This Row],[_Task]])&amp;"")</f>
        <v>Feature screens</v>
      </c>
      <c r="E39" s="24" t="str">
        <f aca="false">IF(LateTasks[[#This Row],[_Task]]="","",INDEX(tsk_Resource,LateTasks[[#This Row],[_Task]])&amp;"")</f>
        <v>Sam Rivera</v>
      </c>
      <c r="F39" s="48" t="n">
        <f aca="false">IF(LateTasks[[#This Row],[_Task]]="","",IF(N(INDEX(tsk_PlanFinish,LateTasks[[#This Row],[_Task]]))=0,"",INDEX(tsk_PlanFinish,LateTasks[[#This Row],[_Task]])))</f>
        <v>46323</v>
      </c>
      <c r="G39" s="48" t="n">
        <f aca="false">IF(LateTasks[[#This Row],[_Task]]="","",IF(N(INDEX(tsk_FcFinish,LateTasks[[#This Row],[_Task]]))=0,"",INDEX(tsk_FcFinish,LateTasks[[#This Row],[_Task]])))</f>
        <v>46331</v>
      </c>
      <c r="H39" s="49" t="n">
        <f aca="false">IF(LateTasks[[#This Row],[_Task]]="","",INDEX(tsk_Variance,LateTasks[[#This Row],[_Task]]))</f>
        <v>6</v>
      </c>
      <c r="I39" s="24" t="str">
        <f aca="false">IF(LateTasks[[#This Row],[_Task]]="","",INDEX(tsk_Status,LateTasks[[#This Row],[_Task]])&amp;"")</f>
        <v>Behind</v>
      </c>
      <c r="J39" s="24" t="str">
        <f aca="false">IF(LateTasks[[#This Row],[_Task]]="","",INDEX(tsk_Critical,LateTasks[[#This Row],[_Task]])&amp;"")</f>
        <v>Yes</v>
      </c>
    </row>
    <row r="40" customFormat="false" ht="15" hidden="false" customHeight="false" outlineLevel="0" collapsed="false">
      <c r="B40" s="41" t="n">
        <f aca="false">IFERROR(MATCH(LARGE(tsk_LateKey,ROW()-ROW(LateTasks[[#Headers],[_Task]])),tsk_LateKey,0),"")</f>
        <v>18</v>
      </c>
      <c r="C40" s="24" t="str">
        <f aca="false">IF(LateTasks[[#This Row],[_Task]]="","",INDEX(tsk_WBS,LateTasks[[#This Row],[_Task]])&amp;"")</f>
        <v>3.2.3</v>
      </c>
      <c r="D40" s="24" t="str">
        <f aca="false">IF(LateTasks[[#This Row],[_Task]]="","",INDEX(tsk_Name,LateTasks[[#This Row],[_Task]])&amp;"")</f>
        <v>Accessibility review</v>
      </c>
      <c r="E40" s="24" t="str">
        <f aca="false">IF(LateTasks[[#This Row],[_Task]]="","",INDEX(tsk_Resource,LateTasks[[#This Row],[_Task]])&amp;"")</f>
        <v>Casey Kim</v>
      </c>
      <c r="F40" s="48" t="n">
        <f aca="false">IF(LateTasks[[#This Row],[_Task]]="","",IF(N(INDEX(tsk_PlanFinish,LateTasks[[#This Row],[_Task]]))=0,"",INDEX(tsk_PlanFinish,LateTasks[[#This Row],[_Task]])))</f>
        <v>46324</v>
      </c>
      <c r="G40" s="48" t="n">
        <f aca="false">IF(LateTasks[[#This Row],[_Task]]="","",IF(N(INDEX(tsk_FcFinish,LateTasks[[#This Row],[_Task]]))=0,"",INDEX(tsk_FcFinish,LateTasks[[#This Row],[_Task]])))</f>
        <v>46332</v>
      </c>
      <c r="H40" s="49" t="n">
        <f aca="false">IF(LateTasks[[#This Row],[_Task]]="","",INDEX(tsk_Variance,LateTasks[[#This Row],[_Task]]))</f>
        <v>6</v>
      </c>
      <c r="I40" s="24" t="str">
        <f aca="false">IF(LateTasks[[#This Row],[_Task]]="","",INDEX(tsk_Status,LateTasks[[#This Row],[_Task]])&amp;"")</f>
        <v>Not Started</v>
      </c>
      <c r="J40" s="24" t="str">
        <f aca="false">IF(LateTasks[[#This Row],[_Task]]="","",INDEX(tsk_Critical,LateTasks[[#This Row],[_Task]])&amp;"")</f>
        <v>Yes</v>
      </c>
    </row>
    <row r="41" customFormat="false" ht="15" hidden="false" customHeight="false" outlineLevel="0" collapsed="false">
      <c r="B41" s="41" t="n">
        <f aca="false">IFERROR(MATCH(LARGE(tsk_LateKey,ROW()-ROW(LateTasks[[#Headers],[_Task]])),tsk_LateKey,0),"")</f>
        <v>19</v>
      </c>
      <c r="C41" s="24" t="str">
        <f aca="false">IF(LateTasks[[#This Row],[_Task]]="","",INDEX(tsk_WBS,LateTasks[[#This Row],[_Task]])&amp;"")</f>
        <v>3.3</v>
      </c>
      <c r="D41" s="24" t="str">
        <f aca="false">IF(LateTasks[[#This Row],[_Task]]="","",INDEX(tsk_Name,LateTasks[[#This Row],[_Task]])&amp;"")</f>
        <v>Build complete</v>
      </c>
      <c r="E41" s="24" t="str">
        <f aca="false">IF(LateTasks[[#This Row],[_Task]]="","",INDEX(tsk_Resource,LateTasks[[#This Row],[_Task]])&amp;"")</f>
        <v/>
      </c>
      <c r="F41" s="48" t="n">
        <f aca="false">IF(LateTasks[[#This Row],[_Task]]="","",IF(N(INDEX(tsk_PlanFinish,LateTasks[[#This Row],[_Task]]))=0,"",INDEX(tsk_PlanFinish,LateTasks[[#This Row],[_Task]])))</f>
        <v>46325</v>
      </c>
      <c r="G41" s="48" t="n">
        <f aca="false">IF(LateTasks[[#This Row],[_Task]]="","",IF(N(INDEX(tsk_FcFinish,LateTasks[[#This Row],[_Task]]))=0,"",INDEX(tsk_FcFinish,LateTasks[[#This Row],[_Task]])))</f>
        <v>46335</v>
      </c>
      <c r="H41" s="49" t="n">
        <f aca="false">IF(LateTasks[[#This Row],[_Task]]="","",INDEX(tsk_Variance,LateTasks[[#This Row],[_Task]]))</f>
        <v>6</v>
      </c>
      <c r="I41" s="24" t="str">
        <f aca="false">IF(LateTasks[[#This Row],[_Task]]="","",INDEX(tsk_Status,LateTasks[[#This Row],[_Task]])&amp;"")</f>
        <v>Not Started</v>
      </c>
      <c r="J41" s="24" t="str">
        <f aca="false">IF(LateTasks[[#This Row],[_Task]]="","",INDEX(tsk_Critical,LateTasks[[#This Row],[_Task]])&amp;"")</f>
        <v>Yes</v>
      </c>
    </row>
    <row r="42" customFormat="false" ht="15" hidden="false" customHeight="false" outlineLevel="0" collapsed="false">
      <c r="B42" s="41" t="n">
        <f aca="false">IFERROR(MATCH(LARGE(tsk_LateKey,ROW()-ROW(LateTasks[[#Headers],[_Task]])),tsk_LateKey,0),"")</f>
        <v>21</v>
      </c>
      <c r="C42" s="24" t="str">
        <f aca="false">IF(LateTasks[[#This Row],[_Task]]="","",INDEX(tsk_WBS,LateTasks[[#This Row],[_Task]])&amp;"")</f>
        <v>4.1</v>
      </c>
      <c r="D42" s="24" t="str">
        <f aca="false">IF(LateTasks[[#This Row],[_Task]]="","",INDEX(tsk_Name,LateTasks[[#This Row],[_Task]])&amp;"")</f>
        <v>System integration testing</v>
      </c>
      <c r="E42" s="24" t="str">
        <f aca="false">IF(LateTasks[[#This Row],[_Task]]="","",INDEX(tsk_Resource,LateTasks[[#This Row],[_Task]])&amp;"")</f>
        <v>Taylor Morgan</v>
      </c>
      <c r="F42" s="48" t="n">
        <f aca="false">IF(LateTasks[[#This Row],[_Task]]="","",IF(N(INDEX(tsk_PlanFinish,LateTasks[[#This Row],[_Task]]))=0,"",INDEX(tsk_PlanFinish,LateTasks[[#This Row],[_Task]])))</f>
        <v>46337</v>
      </c>
      <c r="G42" s="48" t="n">
        <f aca="false">IF(LateTasks[[#This Row],[_Task]]="","",IF(N(INDEX(tsk_FcFinish,LateTasks[[#This Row],[_Task]]))=0,"",INDEX(tsk_FcFinish,LateTasks[[#This Row],[_Task]])))</f>
        <v>46345</v>
      </c>
      <c r="H42" s="49" t="n">
        <f aca="false">IF(LateTasks[[#This Row],[_Task]]="","",INDEX(tsk_Variance,LateTasks[[#This Row],[_Task]]))</f>
        <v>6</v>
      </c>
      <c r="I42" s="24" t="str">
        <f aca="false">IF(LateTasks[[#This Row],[_Task]]="","",INDEX(tsk_Status,LateTasks[[#This Row],[_Task]])&amp;"")</f>
        <v>Not Started</v>
      </c>
      <c r="J42" s="24" t="str">
        <f aca="false">IF(LateTasks[[#This Row],[_Task]]="","",INDEX(tsk_Critical,LateTasks[[#This Row],[_Task]])&amp;"")</f>
        <v/>
      </c>
    </row>
    <row r="43" customFormat="false" ht="15" hidden="false" customHeight="false" outlineLevel="0" collapsed="false">
      <c r="B43" s="41" t="n">
        <f aca="false">IFERROR(MATCH(LARGE(tsk_LateKey,ROW()-ROW(LateTasks[[#Headers],[_Task]])),tsk_LateKey,0),"")</f>
        <v>23</v>
      </c>
      <c r="C43" s="24" t="str">
        <f aca="false">IF(LateTasks[[#This Row],[_Task]]="","",INDEX(tsk_WBS,LateTasks[[#This Row],[_Task]])&amp;"")</f>
        <v>4.3</v>
      </c>
      <c r="D43" s="24" t="str">
        <f aca="false">IF(LateTasks[[#This Row],[_Task]]="","",INDEX(tsk_Name,LateTasks[[#This Row],[_Task]])&amp;"")</f>
        <v>Training &amp; user guides</v>
      </c>
      <c r="E43" s="24" t="str">
        <f aca="false">IF(LateTasks[[#This Row],[_Task]]="","",INDEX(tsk_Resource,LateTasks[[#This Row],[_Task]])&amp;"")</f>
        <v>Casey Kim</v>
      </c>
      <c r="F43" s="48" t="n">
        <f aca="false">IF(LateTasks[[#This Row],[_Task]]="","",IF(N(INDEX(tsk_PlanFinish,LateTasks[[#This Row],[_Task]]))=0,"",INDEX(tsk_PlanFinish,LateTasks[[#This Row],[_Task]])))</f>
        <v>46336</v>
      </c>
      <c r="G43" s="48" t="n">
        <f aca="false">IF(LateTasks[[#This Row],[_Task]]="","",IF(N(INDEX(tsk_FcFinish,LateTasks[[#This Row],[_Task]]))=0,"",INDEX(tsk_FcFinish,LateTasks[[#This Row],[_Task]])))</f>
        <v>46344</v>
      </c>
      <c r="H43" s="49" t="n">
        <f aca="false">IF(LateTasks[[#This Row],[_Task]]="","",INDEX(tsk_Variance,LateTasks[[#This Row],[_Task]]))</f>
        <v>6</v>
      </c>
      <c r="I43" s="24" t="str">
        <f aca="false">IF(LateTasks[[#This Row],[_Task]]="","",INDEX(tsk_Status,LateTasks[[#This Row],[_Task]])&amp;"")</f>
        <v>Not Started</v>
      </c>
      <c r="J43" s="24" t="str">
        <f aca="false">IF(LateTasks[[#This Row],[_Task]]="","",INDEX(tsk_Critical,LateTasks[[#This Row],[_Task]])&amp;"")</f>
        <v/>
      </c>
    </row>
    <row r="44" customFormat="false" ht="15" hidden="false" customHeight="false" outlineLevel="0" collapsed="false">
      <c r="B44" s="41"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Row],[_Task]]="","",INDEX(tsk_Resource,LateTasks[[#This Row],[_Task]])&amp;"")</f>
        <v/>
      </c>
      <c r="F44" s="48" t="str">
        <f aca="false">IF(LateTasks[[#This Row],[_Task]]="","",IF(N(INDEX(tsk_PlanFinish,LateTasks[[#This Row],[_Task]]))=0,"",INDEX(tsk_PlanFinish,LateTasks[[#This Row],[_Task]])))</f>
        <v/>
      </c>
      <c r="G44" s="48" t="str">
        <f aca="false">IF(LateTasks[[#This Row],[_Task]]="","",IF(N(INDEX(tsk_FcFinish,LateTasks[[#This Row],[_Task]]))=0,"",INDEX(tsk_FcFinish,LateTasks[[#This Row],[_Task]])))</f>
        <v/>
      </c>
      <c r="H44" s="49"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41"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Row],[_Task]]="","",INDEX(tsk_Resource,LateTasks[[#This Row],[_Task]])&amp;"")</f>
        <v/>
      </c>
      <c r="F45" s="48" t="str">
        <f aca="false">IF(LateTasks[[#This Row],[_Task]]="","",IF(N(INDEX(tsk_PlanFinish,LateTasks[[#This Row],[_Task]]))=0,"",INDEX(tsk_PlanFinish,LateTasks[[#This Row],[_Task]])))</f>
        <v/>
      </c>
      <c r="G45" s="48" t="str">
        <f aca="false">IF(LateTasks[[#This Row],[_Task]]="","",IF(N(INDEX(tsk_FcFinish,LateTasks[[#This Row],[_Task]]))=0,"",INDEX(tsk_FcFinish,LateTasks[[#This Row],[_Task]])))</f>
        <v/>
      </c>
      <c r="H45" s="49"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41"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Row],[_Task]]="","",INDEX(tsk_Resource,LateTasks[[#This Row],[_Task]])&amp;"")</f>
        <v/>
      </c>
      <c r="F46" s="48" t="str">
        <f aca="false">IF(LateTasks[[#This Row],[_Task]]="","",IF(N(INDEX(tsk_PlanFinish,LateTasks[[#This Row],[_Task]]))=0,"",INDEX(tsk_PlanFinish,LateTasks[[#This Row],[_Task]])))</f>
        <v/>
      </c>
      <c r="G46" s="48" t="str">
        <f aca="false">IF(LateTasks[[#This Row],[_Task]]="","",IF(N(INDEX(tsk_FcFinish,LateTasks[[#This Row],[_Task]]))=0,"",INDEX(tsk_FcFinish,LateTasks[[#This Row],[_Task]])))</f>
        <v/>
      </c>
      <c r="H46" s="49"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41"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Row],[_Task]]="","",INDEX(tsk_Resource,LateTasks[[#This Row],[_Task]])&amp;"")</f>
        <v/>
      </c>
      <c r="F47" s="48" t="str">
        <f aca="false">IF(LateTasks[[#This Row],[_Task]]="","",IF(N(INDEX(tsk_PlanFinish,LateTasks[[#This Row],[_Task]]))=0,"",INDEX(tsk_PlanFinish,LateTasks[[#This Row],[_Task]])))</f>
        <v/>
      </c>
      <c r="G47" s="48" t="str">
        <f aca="false">IF(LateTasks[[#This Row],[_Task]]="","",IF(N(INDEX(tsk_FcFinish,LateTasks[[#This Row],[_Task]]))=0,"",INDEX(tsk_FcFinish,LateTasks[[#This Row],[_Task]])))</f>
        <v/>
      </c>
      <c r="H47" s="49"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41"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Row],[_Task]]="","",INDEX(tsk_Resource,LateTasks[[#This Row],[_Task]])&amp;"")</f>
        <v/>
      </c>
      <c r="F48" s="48" t="str">
        <f aca="false">IF(LateTasks[[#This Row],[_Task]]="","",IF(N(INDEX(tsk_PlanFinish,LateTasks[[#This Row],[_Task]]))=0,"",INDEX(tsk_PlanFinish,LateTasks[[#This Row],[_Task]])))</f>
        <v/>
      </c>
      <c r="G48" s="48" t="str">
        <f aca="false">IF(LateTasks[[#This Row],[_Task]]="","",IF(N(INDEX(tsk_FcFinish,LateTasks[[#This Row],[_Task]]))=0,"",INDEX(tsk_FcFinish,LateTasks[[#This Row],[_Task]])))</f>
        <v/>
      </c>
      <c r="H48" s="49"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41"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Row],[_Task]]="","",INDEX(tsk_Resource,LateTasks[[#This Row],[_Task]])&amp;"")</f>
        <v/>
      </c>
      <c r="F49" s="48" t="str">
        <f aca="false">IF(LateTasks[[#This Row],[_Task]]="","",IF(N(INDEX(tsk_PlanFinish,LateTasks[[#This Row],[_Task]]))=0,"",INDEX(tsk_PlanFinish,LateTasks[[#This Row],[_Task]])))</f>
        <v/>
      </c>
      <c r="G49" s="48" t="str">
        <f aca="false">IF(LateTasks[[#This Row],[_Task]]="","",IF(N(INDEX(tsk_FcFinish,LateTasks[[#This Row],[_Task]]))=0,"",INDEX(tsk_FcFinish,LateTasks[[#This Row],[_Task]])))</f>
        <v/>
      </c>
      <c r="H49" s="49"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41"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Row],[_Task]]="","",INDEX(tsk_Resource,LateTasks[[#This Row],[_Task]])&amp;"")</f>
        <v/>
      </c>
      <c r="F50" s="48" t="str">
        <f aca="false">IF(LateTasks[[#This Row],[_Task]]="","",IF(N(INDEX(tsk_PlanFinish,LateTasks[[#This Row],[_Task]]))=0,"",INDEX(tsk_PlanFinish,LateTasks[[#This Row],[_Task]])))</f>
        <v/>
      </c>
      <c r="G50" s="48" t="str">
        <f aca="false">IF(LateTasks[[#This Row],[_Task]]="","",IF(N(INDEX(tsk_FcFinish,LateTasks[[#This Row],[_Task]]))=0,"",INDEX(tsk_FcFinish,LateTasks[[#This Row],[_Task]])))</f>
        <v/>
      </c>
      <c r="H50" s="49"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41"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Row],[_Task]]="","",INDEX(tsk_Resource,LateTasks[[#This Row],[_Task]])&amp;"")</f>
        <v/>
      </c>
      <c r="F51" s="48" t="str">
        <f aca="false">IF(LateTasks[[#This Row],[_Task]]="","",IF(N(INDEX(tsk_PlanFinish,LateTasks[[#This Row],[_Task]]))=0,"",INDEX(tsk_PlanFinish,LateTasks[[#This Row],[_Task]])))</f>
        <v/>
      </c>
      <c r="G51" s="48" t="str">
        <f aca="false">IF(LateTasks[[#This Row],[_Task]]="","",IF(N(INDEX(tsk_FcFinish,LateTasks[[#This Row],[_Task]]))=0,"",INDEX(tsk_FcFinish,LateTasks[[#This Row],[_Task]])))</f>
        <v/>
      </c>
      <c r="H51" s="49"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6" t="str">
        <f aca="false">"Starting by "&amp;TEXT(LookaheadEnd,"ddd dd-mmm")&amp;" (look-ahead "&amp;LookaheadDays&amp;" working days)"&amp;": "&amp;COUNT(tsk_StartSoonKey)&amp;IF(COUNT(tsk_StartSoonKey)&gt;ROWS(StartingSoon[_Task])," (showing the first "&amp;ROWS(StartingSoon[_Task])&amp;")","")</f>
        <v>Starting by Fri 06-Nov (look-ahead 10 working days): 2</v>
      </c>
    </row>
    <row r="54" customFormat="false" ht="23.85" hidden="false" customHeight="false" outlineLevel="0" collapsed="false">
      <c r="B54" s="40" t="s">
        <v>178</v>
      </c>
      <c r="C54" s="9" t="s">
        <v>205</v>
      </c>
      <c r="D54" s="9" t="s">
        <v>185</v>
      </c>
      <c r="E54" s="9" t="s">
        <v>223</v>
      </c>
      <c r="F54" s="9" t="s">
        <v>225</v>
      </c>
      <c r="G54" s="9" t="s">
        <v>208</v>
      </c>
      <c r="H54" s="9" t="s">
        <v>226</v>
      </c>
      <c r="I54" s="9" t="s">
        <v>55</v>
      </c>
      <c r="J54" s="9" t="s">
        <v>224</v>
      </c>
    </row>
    <row r="55" customFormat="false" ht="15" hidden="false" customHeight="false" outlineLevel="0" collapsed="false">
      <c r="B55" s="41" t="n">
        <f aca="false">IFERROR(MATCH(SMALL(tsk_StartSoonKey,ROW()-ROW(StartingSoon[[#Headers],[_Task]])),tsk_StartSoonKey,0),"")</f>
        <v>14</v>
      </c>
      <c r="C55" s="24" t="str">
        <f aca="false">IF(StartingSoon[[#This Row],[_Task]]="","",INDEX(tsk_WBS,StartingSoon[[#This Row],[_Task]])&amp;"")</f>
        <v>3.1.3</v>
      </c>
      <c r="D55" s="24" t="str">
        <f aca="false">IF(StartingSoon[[#This Row],[_Task]]="","",INDEX(tsk_Name,StartingSoon[[#This Row],[_Task]])&amp;"")</f>
        <v>Payment gateway integration</v>
      </c>
      <c r="E55" s="24" t="str">
        <f aca="false">IF(StartingSoon[[#This Row],[_Task]]="","",INDEX(tsk_Resource,StartingSoon[[#This Row],[_Task]])&amp;"")</f>
        <v>Jordan Lee</v>
      </c>
      <c r="F55" s="48" t="n">
        <f aca="false">IF(StartingSoon[[#This Row],[_Task]]="","",IF(N(INDEX(tsk_FcStart,StartingSoon[[#This Row],[_Task]]))=0,"",INDEX(tsk_FcStart,StartingSoon[[#This Row],[_Task]])))</f>
        <v>46328</v>
      </c>
      <c r="G55" s="48" t="n">
        <f aca="false">IF(StartingSoon[[#This Row],[_Task]]="","",IF(N(INDEX(tsk_FcFinish,StartingSoon[[#This Row],[_Task]]))=0,"",INDEX(tsk_FcFinish,StartingSoon[[#This Row],[_Task]])))</f>
        <v>46335</v>
      </c>
      <c r="H55" s="43" t="n">
        <f aca="false">IF(StartingSoon[[#This Row],[_Task]]="","",INDEX(tsk_Duration,StartingSoon[[#This Row],[_Task]]))</f>
        <v>6</v>
      </c>
      <c r="I55" s="24" t="str">
        <f aca="false">IF(StartingSoon[[#This Row],[_Task]]="","",INDEX(tsk_Predecessors,StartingSoon[[#This Row],[_Task]])&amp;"")</f>
        <v>13</v>
      </c>
      <c r="J55" s="24" t="str">
        <f aca="false">IF(StartingSoon[[#This Row],[_Task]]="","",INDEX(tsk_Critical,StartingSoon[[#This Row],[_Task]])&amp;"")</f>
        <v>Yes</v>
      </c>
    </row>
    <row r="56" customFormat="false" ht="15" hidden="false" customHeight="false" outlineLevel="0" collapsed="false">
      <c r="B56" s="41" t="n">
        <f aca="false">IFERROR(MATCH(SMALL(tsk_StartSoonKey,ROW()-ROW(StartingSoon[[#Headers],[_Task]])),tsk_StartSoonKey,0),"")</f>
        <v>18</v>
      </c>
      <c r="C56" s="24" t="str">
        <f aca="false">IF(StartingSoon[[#This Row],[_Task]]="","",INDEX(tsk_WBS,StartingSoon[[#This Row],[_Task]])&amp;"")</f>
        <v>3.2.3</v>
      </c>
      <c r="D56" s="24" t="str">
        <f aca="false">IF(StartingSoon[[#This Row],[_Task]]="","",INDEX(tsk_Name,StartingSoon[[#This Row],[_Task]])&amp;"")</f>
        <v>Accessibility review</v>
      </c>
      <c r="E56" s="24" t="str">
        <f aca="false">IF(StartingSoon[[#This Row],[_Task]]="","",INDEX(tsk_Resource,StartingSoon[[#This Row],[_Task]])&amp;"")</f>
        <v>Casey Kim</v>
      </c>
      <c r="F56" s="48" t="n">
        <f aca="false">IF(StartingSoon[[#This Row],[_Task]]="","",IF(N(INDEX(tsk_FcStart,StartingSoon[[#This Row],[_Task]]))=0,"",INDEX(tsk_FcStart,StartingSoon[[#This Row],[_Task]])))</f>
        <v>46330</v>
      </c>
      <c r="G56" s="48" t="n">
        <f aca="false">IF(StartingSoon[[#This Row],[_Task]]="","",IF(N(INDEX(tsk_FcFinish,StartingSoon[[#This Row],[_Task]]))=0,"",INDEX(tsk_FcFinish,StartingSoon[[#This Row],[_Task]])))</f>
        <v>46332</v>
      </c>
      <c r="H56" s="43" t="n">
        <f aca="false">IF(StartingSoon[[#This Row],[_Task]]="","",INDEX(tsk_Duration,StartingSoon[[#This Row],[_Task]]))</f>
        <v>3</v>
      </c>
      <c r="I56" s="24" t="str">
        <f aca="false">IF(StartingSoon[[#This Row],[_Task]]="","",INDEX(tsk_Predecessors,StartingSoon[[#This Row],[_Task]])&amp;"")</f>
        <v>17FF+1d</v>
      </c>
      <c r="J56" s="24" t="str">
        <f aca="false">IF(StartingSoon[[#This Row],[_Task]]="","",INDEX(tsk_Critical,StartingSoon[[#This Row],[_Task]])&amp;"")</f>
        <v>Yes</v>
      </c>
    </row>
    <row r="57" customFormat="false" ht="15" hidden="false" customHeight="false" outlineLevel="0" collapsed="false">
      <c r="B57" s="41"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Row],[_Task]]="","",INDEX(tsk_Resource,StartingSoon[[#This Row],[_Task]])&amp;"")</f>
        <v/>
      </c>
      <c r="F57" s="48" t="str">
        <f aca="false">IF(StartingSoon[[#This Row],[_Task]]="","",IF(N(INDEX(tsk_FcStart,StartingSoon[[#This Row],[_Task]]))=0,"",INDEX(tsk_FcStart,StartingSoon[[#This Row],[_Task]])))</f>
        <v/>
      </c>
      <c r="G57" s="48" t="str">
        <f aca="false">IF(StartingSoon[[#This Row],[_Task]]="","",IF(N(INDEX(tsk_FcFinish,StartingSoon[[#This Row],[_Task]]))=0,"",INDEX(tsk_FcFinish,StartingSoon[[#This Row],[_Task]])))</f>
        <v/>
      </c>
      <c r="H57" s="43"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41"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Row],[_Task]]="","",INDEX(tsk_Resource,StartingSoon[[#This Row],[_Task]])&amp;"")</f>
        <v/>
      </c>
      <c r="F58" s="48" t="str">
        <f aca="false">IF(StartingSoon[[#This Row],[_Task]]="","",IF(N(INDEX(tsk_FcStart,StartingSoon[[#This Row],[_Task]]))=0,"",INDEX(tsk_FcStart,StartingSoon[[#This Row],[_Task]])))</f>
        <v/>
      </c>
      <c r="G58" s="48" t="str">
        <f aca="false">IF(StartingSoon[[#This Row],[_Task]]="","",IF(N(INDEX(tsk_FcFinish,StartingSoon[[#This Row],[_Task]]))=0,"",INDEX(tsk_FcFinish,StartingSoon[[#This Row],[_Task]])))</f>
        <v/>
      </c>
      <c r="H58" s="43"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41"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Row],[_Task]]="","",INDEX(tsk_Resource,StartingSoon[[#This Row],[_Task]])&amp;"")</f>
        <v/>
      </c>
      <c r="F59" s="48" t="str">
        <f aca="false">IF(StartingSoon[[#This Row],[_Task]]="","",IF(N(INDEX(tsk_FcStart,StartingSoon[[#This Row],[_Task]]))=0,"",INDEX(tsk_FcStart,StartingSoon[[#This Row],[_Task]])))</f>
        <v/>
      </c>
      <c r="G59" s="48" t="str">
        <f aca="false">IF(StartingSoon[[#This Row],[_Task]]="","",IF(N(INDEX(tsk_FcFinish,StartingSoon[[#This Row],[_Task]]))=0,"",INDEX(tsk_FcFinish,StartingSoon[[#This Row],[_Task]])))</f>
        <v/>
      </c>
      <c r="H59" s="43"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41"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Row],[_Task]]="","",INDEX(tsk_Resource,StartingSoon[[#This Row],[_Task]])&amp;"")</f>
        <v/>
      </c>
      <c r="F60" s="48" t="str">
        <f aca="false">IF(StartingSoon[[#This Row],[_Task]]="","",IF(N(INDEX(tsk_FcStart,StartingSoon[[#This Row],[_Task]]))=0,"",INDEX(tsk_FcStart,StartingSoon[[#This Row],[_Task]])))</f>
        <v/>
      </c>
      <c r="G60" s="48" t="str">
        <f aca="false">IF(StartingSoon[[#This Row],[_Task]]="","",IF(N(INDEX(tsk_FcFinish,StartingSoon[[#This Row],[_Task]]))=0,"",INDEX(tsk_FcFinish,StartingSoon[[#This Row],[_Task]])))</f>
        <v/>
      </c>
      <c r="H60" s="43"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41"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Row],[_Task]]="","",INDEX(tsk_Resource,StartingSoon[[#This Row],[_Task]])&amp;"")</f>
        <v/>
      </c>
      <c r="F61" s="48" t="str">
        <f aca="false">IF(StartingSoon[[#This Row],[_Task]]="","",IF(N(INDEX(tsk_FcStart,StartingSoon[[#This Row],[_Task]]))=0,"",INDEX(tsk_FcStart,StartingSoon[[#This Row],[_Task]])))</f>
        <v/>
      </c>
      <c r="G61" s="48" t="str">
        <f aca="false">IF(StartingSoon[[#This Row],[_Task]]="","",IF(N(INDEX(tsk_FcFinish,StartingSoon[[#This Row],[_Task]]))=0,"",INDEX(tsk_FcFinish,StartingSoon[[#This Row],[_Task]])))</f>
        <v/>
      </c>
      <c r="H61" s="43"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41"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Row],[_Task]]="","",INDEX(tsk_Resource,StartingSoon[[#This Row],[_Task]])&amp;"")</f>
        <v/>
      </c>
      <c r="F62" s="48" t="str">
        <f aca="false">IF(StartingSoon[[#This Row],[_Task]]="","",IF(N(INDEX(tsk_FcStart,StartingSoon[[#This Row],[_Task]]))=0,"",INDEX(tsk_FcStart,StartingSoon[[#This Row],[_Task]])))</f>
        <v/>
      </c>
      <c r="G62" s="48" t="str">
        <f aca="false">IF(StartingSoon[[#This Row],[_Task]]="","",IF(N(INDEX(tsk_FcFinish,StartingSoon[[#This Row],[_Task]]))=0,"",INDEX(tsk_FcFinish,StartingSoon[[#This Row],[_Task]])))</f>
        <v/>
      </c>
      <c r="H62" s="43"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41"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Row],[_Task]]="","",INDEX(tsk_Resource,StartingSoon[[#This Row],[_Task]])&amp;"")</f>
        <v/>
      </c>
      <c r="F63" s="48" t="str">
        <f aca="false">IF(StartingSoon[[#This Row],[_Task]]="","",IF(N(INDEX(tsk_FcStart,StartingSoon[[#This Row],[_Task]]))=0,"",INDEX(tsk_FcStart,StartingSoon[[#This Row],[_Task]])))</f>
        <v/>
      </c>
      <c r="G63" s="48" t="str">
        <f aca="false">IF(StartingSoon[[#This Row],[_Task]]="","",IF(N(INDEX(tsk_FcFinish,StartingSoon[[#This Row],[_Task]]))=0,"",INDEX(tsk_FcFinish,StartingSoon[[#This Row],[_Task]])))</f>
        <v/>
      </c>
      <c r="H63" s="43"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41"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Row],[_Task]]="","",INDEX(tsk_Resource,StartingSoon[[#This Row],[_Task]])&amp;"")</f>
        <v/>
      </c>
      <c r="F64" s="48" t="str">
        <f aca="false">IF(StartingSoon[[#This Row],[_Task]]="","",IF(N(INDEX(tsk_FcStart,StartingSoon[[#This Row],[_Task]]))=0,"",INDEX(tsk_FcStart,StartingSoon[[#This Row],[_Task]])))</f>
        <v/>
      </c>
      <c r="G64" s="48" t="str">
        <f aca="false">IF(StartingSoon[[#This Row],[_Task]]="","",IF(N(INDEX(tsk_FcFinish,StartingSoon[[#This Row],[_Task]]))=0,"",INDEX(tsk_FcFinish,StartingSoon[[#This Row],[_Task]])))</f>
        <v/>
      </c>
      <c r="H64" s="43"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41"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Row],[_Task]]="","",INDEX(tsk_Resource,StartingSoon[[#This Row],[_Task]])&amp;"")</f>
        <v/>
      </c>
      <c r="F65" s="48" t="str">
        <f aca="false">IF(StartingSoon[[#This Row],[_Task]]="","",IF(N(INDEX(tsk_FcStart,StartingSoon[[#This Row],[_Task]]))=0,"",INDEX(tsk_FcStart,StartingSoon[[#This Row],[_Task]])))</f>
        <v/>
      </c>
      <c r="G65" s="48" t="str">
        <f aca="false">IF(StartingSoon[[#This Row],[_Task]]="","",IF(N(INDEX(tsk_FcFinish,StartingSoon[[#This Row],[_Task]]))=0,"",INDEX(tsk_FcFinish,StartingSoon[[#This Row],[_Task]])))</f>
        <v/>
      </c>
      <c r="H65" s="43"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41"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Row],[_Task]]="","",INDEX(tsk_Resource,StartingSoon[[#This Row],[_Task]])&amp;"")</f>
        <v/>
      </c>
      <c r="F66" s="48" t="str">
        <f aca="false">IF(StartingSoon[[#This Row],[_Task]]="","",IF(N(INDEX(tsk_FcStart,StartingSoon[[#This Row],[_Task]]))=0,"",INDEX(tsk_FcStart,StartingSoon[[#This Row],[_Task]])))</f>
        <v/>
      </c>
      <c r="G66" s="48" t="str">
        <f aca="false">IF(StartingSoon[[#This Row],[_Task]]="","",IF(N(INDEX(tsk_FcFinish,StartingSoon[[#This Row],[_Task]]))=0,"",INDEX(tsk_FcFinish,StartingSoon[[#This Row],[_Task]])))</f>
        <v/>
      </c>
      <c r="H66" s="43"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41"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Row],[_Task]]="","",INDEX(tsk_Resource,StartingSoon[[#This Row],[_Task]])&amp;"")</f>
        <v/>
      </c>
      <c r="F67" s="48" t="str">
        <f aca="false">IF(StartingSoon[[#This Row],[_Task]]="","",IF(N(INDEX(tsk_FcStart,StartingSoon[[#This Row],[_Task]]))=0,"",INDEX(tsk_FcStart,StartingSoon[[#This Row],[_Task]])))</f>
        <v/>
      </c>
      <c r="G67" s="48" t="str">
        <f aca="false">IF(StartingSoon[[#This Row],[_Task]]="","",IF(N(INDEX(tsk_FcFinish,StartingSoon[[#This Row],[_Task]]))=0,"",INDEX(tsk_FcFinish,StartingSoon[[#This Row],[_Task]])))</f>
        <v/>
      </c>
      <c r="H67" s="43"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41"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Row],[_Task]]="","",INDEX(tsk_Resource,StartingSoon[[#This Row],[_Task]])&amp;"")</f>
        <v/>
      </c>
      <c r="F68" s="48" t="str">
        <f aca="false">IF(StartingSoon[[#This Row],[_Task]]="","",IF(N(INDEX(tsk_FcStart,StartingSoon[[#This Row],[_Task]]))=0,"",INDEX(tsk_FcStart,StartingSoon[[#This Row],[_Task]])))</f>
        <v/>
      </c>
      <c r="G68" s="48" t="str">
        <f aca="false">IF(StartingSoon[[#This Row],[_Task]]="","",IF(N(INDEX(tsk_FcFinish,StartingSoon[[#This Row],[_Task]]))=0,"",INDEX(tsk_FcFinish,StartingSoon[[#This Row],[_Task]])))</f>
        <v/>
      </c>
      <c r="H68" s="43"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41"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Row],[_Task]]="","",INDEX(tsk_Resource,StartingSoon[[#This Row],[_Task]])&amp;"")</f>
        <v/>
      </c>
      <c r="F69" s="48" t="str">
        <f aca="false">IF(StartingSoon[[#This Row],[_Task]]="","",IF(N(INDEX(tsk_FcStart,StartingSoon[[#This Row],[_Task]]))=0,"",INDEX(tsk_FcStart,StartingSoon[[#This Row],[_Task]])))</f>
        <v/>
      </c>
      <c r="G69" s="48" t="str">
        <f aca="false">IF(StartingSoon[[#This Row],[_Task]]="","",IF(N(INDEX(tsk_FcFinish,StartingSoon[[#This Row],[_Task]]))=0,"",INDEX(tsk_FcFinish,StartingSoon[[#This Row],[_Task]])))</f>
        <v/>
      </c>
      <c r="H69" s="43"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6" t="str">
        <f aca="false">"Due by "&amp;TEXT(LookaheadEnd,"ddd dd-mmm")&amp;": "&amp;COUNT(tsk_DueSoonKey)&amp;IF(COUNT(tsk_DueSoonKey)&gt;ROWS(DueSoon[_Task])," (showing the first "&amp;ROWS(DueSoon[_Task])&amp;")","")</f>
        <v>Due by Fri 06-Nov: 3</v>
      </c>
    </row>
    <row r="72" customFormat="false" ht="23.85" hidden="false" customHeight="false" outlineLevel="0" collapsed="false">
      <c r="B72" s="40" t="s">
        <v>178</v>
      </c>
      <c r="C72" s="9" t="s">
        <v>205</v>
      </c>
      <c r="D72" s="9" t="s">
        <v>185</v>
      </c>
      <c r="E72" s="9" t="s">
        <v>223</v>
      </c>
      <c r="F72" s="9" t="s">
        <v>208</v>
      </c>
      <c r="G72" s="9" t="s">
        <v>210</v>
      </c>
      <c r="H72" s="9" t="s">
        <v>222</v>
      </c>
      <c r="I72" s="9" t="s">
        <v>95</v>
      </c>
      <c r="J72" s="9" t="s">
        <v>224</v>
      </c>
    </row>
    <row r="73" customFormat="false" ht="15" hidden="false" customHeight="false" outlineLevel="0" collapsed="false">
      <c r="B73" s="41" t="n">
        <f aca="false">IFERROR(MATCH(SMALL(tsk_DueSoonKey,ROW()-ROW(DueSoon[[#Headers],[_Task]])),tsk_DueSoonKey,0),"")</f>
        <v>13</v>
      </c>
      <c r="C73" s="24" t="str">
        <f aca="false">IF(DueSoon[[#This Row],[_Task]]="","",INDEX(tsk_WBS,DueSoon[[#This Row],[_Task]])&amp;"")</f>
        <v>3.1.2</v>
      </c>
      <c r="D73" s="24" t="str">
        <f aca="false">IF(DueSoon[[#This Row],[_Task]]="","",INDEX(tsk_Name,DueSoon[[#This Row],[_Task]])&amp;"")</f>
        <v>Core API endpoints</v>
      </c>
      <c r="E73" s="24" t="str">
        <f aca="false">IF(DueSoon[[#This Row],[_Task]]="","",INDEX(tsk_Resource,DueSoon[[#This Row],[_Task]])&amp;"")</f>
        <v>Jordan Lee</v>
      </c>
      <c r="F73" s="48" t="n">
        <f aca="false">IF(DueSoon[[#This Row],[_Task]]="","",IF(N(INDEX(tsk_FcFinish,DueSoon[[#This Row],[_Task]]))=0,"",INDEX(tsk_FcFinish,DueSoon[[#This Row],[_Task]])))</f>
        <v>46325</v>
      </c>
      <c r="G73" s="50" t="n">
        <f aca="false">IF(DueSoon[[#This Row],[_Task]]="","",INDEX(tsk_Progress,DueSoon[[#This Row],[_Task]]))</f>
        <v>0.5</v>
      </c>
      <c r="H73" s="24" t="str">
        <f aca="false">IF(DueSoon[[#This Row],[_Task]]="","",INDEX(tsk_DeadlineCheck,DueSoon[[#This Row],[_Task]])&amp;"")</f>
        <v/>
      </c>
      <c r="I73" s="24" t="str">
        <f aca="false">IF(DueSoon[[#This Row],[_Task]]="","",INDEX(tsk_Status,DueSoon[[#This Row],[_Task]])&amp;"")</f>
        <v>Behind</v>
      </c>
      <c r="J73" s="24" t="str">
        <f aca="false">IF(DueSoon[[#This Row],[_Task]]="","",INDEX(tsk_Critical,DueSoon[[#This Row],[_Task]])&amp;"")</f>
        <v>Yes</v>
      </c>
    </row>
    <row r="74" customFormat="false" ht="15" hidden="false" customHeight="false" outlineLevel="0" collapsed="false">
      <c r="B74" s="41" t="n">
        <f aca="false">IFERROR(MATCH(SMALL(tsk_DueSoonKey,ROW()-ROW(DueSoon[[#Headers],[_Task]])),tsk_DueSoonKey,0),"")</f>
        <v>17</v>
      </c>
      <c r="C74" s="24" t="str">
        <f aca="false">IF(DueSoon[[#This Row],[_Task]]="","",INDEX(tsk_WBS,DueSoon[[#This Row],[_Task]])&amp;"")</f>
        <v>3.2.2</v>
      </c>
      <c r="D74" s="24" t="str">
        <f aca="false">IF(DueSoon[[#This Row],[_Task]]="","",INDEX(tsk_Name,DueSoon[[#This Row],[_Task]])&amp;"")</f>
        <v>Feature screens</v>
      </c>
      <c r="E74" s="24" t="str">
        <f aca="false">IF(DueSoon[[#This Row],[_Task]]="","",INDEX(tsk_Resource,DueSoon[[#This Row],[_Task]])&amp;"")</f>
        <v>Sam Rivera</v>
      </c>
      <c r="F74" s="48" t="n">
        <f aca="false">IF(DueSoon[[#This Row],[_Task]]="","",IF(N(INDEX(tsk_FcFinish,DueSoon[[#This Row],[_Task]]))=0,"",INDEX(tsk_FcFinish,DueSoon[[#This Row],[_Task]])))</f>
        <v>46331</v>
      </c>
      <c r="G74" s="50" t="n">
        <f aca="false">IF(DueSoon[[#This Row],[_Task]]="","",INDEX(tsk_Progress,DueSoon[[#This Row],[_Task]]))</f>
        <v>0.25</v>
      </c>
      <c r="H74" s="24" t="str">
        <f aca="false">IF(DueSoon[[#This Row],[_Task]]="","",INDEX(tsk_DeadlineCheck,DueSoon[[#This Row],[_Task]])&amp;"")</f>
        <v/>
      </c>
      <c r="I74" s="24" t="str">
        <f aca="false">IF(DueSoon[[#This Row],[_Task]]="","",INDEX(tsk_Status,DueSoon[[#This Row],[_Task]])&amp;"")</f>
        <v>Behind</v>
      </c>
      <c r="J74" s="24" t="str">
        <f aca="false">IF(DueSoon[[#This Row],[_Task]]="","",INDEX(tsk_Critical,DueSoon[[#This Row],[_Task]])&amp;"")</f>
        <v>Yes</v>
      </c>
    </row>
    <row r="75" customFormat="false" ht="15" hidden="false" customHeight="false" outlineLevel="0" collapsed="false">
      <c r="B75" s="41" t="n">
        <f aca="false">IFERROR(MATCH(SMALL(tsk_DueSoonKey,ROW()-ROW(DueSoon[[#Headers],[_Task]])),tsk_DueSoonKey,0),"")</f>
        <v>18</v>
      </c>
      <c r="C75" s="24" t="str">
        <f aca="false">IF(DueSoon[[#This Row],[_Task]]="","",INDEX(tsk_WBS,DueSoon[[#This Row],[_Task]])&amp;"")</f>
        <v>3.2.3</v>
      </c>
      <c r="D75" s="24" t="str">
        <f aca="false">IF(DueSoon[[#This Row],[_Task]]="","",INDEX(tsk_Name,DueSoon[[#This Row],[_Task]])&amp;"")</f>
        <v>Accessibility review</v>
      </c>
      <c r="E75" s="24" t="str">
        <f aca="false">IF(DueSoon[[#This Row],[_Task]]="","",INDEX(tsk_Resource,DueSoon[[#This Row],[_Task]])&amp;"")</f>
        <v>Casey Kim</v>
      </c>
      <c r="F75" s="48" t="n">
        <f aca="false">IF(DueSoon[[#This Row],[_Task]]="","",IF(N(INDEX(tsk_FcFinish,DueSoon[[#This Row],[_Task]]))=0,"",INDEX(tsk_FcFinish,DueSoon[[#This Row],[_Task]])))</f>
        <v>46332</v>
      </c>
      <c r="G75" s="50" t="n">
        <f aca="false">IF(DueSoon[[#This Row],[_Task]]="","",INDEX(tsk_Progress,DueSoon[[#This Row],[_Task]]))</f>
        <v>0</v>
      </c>
      <c r="H75" s="24" t="str">
        <f aca="false">IF(DueSoon[[#This Row],[_Task]]="","",INDEX(tsk_DeadlineCheck,DueSoon[[#This Row],[_Task]])&amp;"")</f>
        <v/>
      </c>
      <c r="I75" s="24" t="str">
        <f aca="false">IF(DueSoon[[#This Row],[_Task]]="","",INDEX(tsk_Status,DueSoon[[#This Row],[_Task]])&amp;"")</f>
        <v>Not Started</v>
      </c>
      <c r="J75" s="24" t="str">
        <f aca="false">IF(DueSoon[[#This Row],[_Task]]="","",INDEX(tsk_Critical,DueSoon[[#This Row],[_Task]])&amp;"")</f>
        <v>Yes</v>
      </c>
    </row>
    <row r="76" customFormat="false" ht="15" hidden="false" customHeight="false" outlineLevel="0" collapsed="false">
      <c r="B76" s="41"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Row],[_Task]]="","",INDEX(tsk_Resource,DueSoon[[#This Row],[_Task]])&amp;"")</f>
        <v/>
      </c>
      <c r="F76" s="48" t="str">
        <f aca="false">IF(DueSoon[[#This Row],[_Task]]="","",IF(N(INDEX(tsk_FcFinish,DueSoon[[#This Row],[_Task]]))=0,"",INDEX(tsk_FcFinish,DueSoon[[#This Row],[_Task]])))</f>
        <v/>
      </c>
      <c r="G76" s="50"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41"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Row],[_Task]]="","",INDEX(tsk_Resource,DueSoon[[#This Row],[_Task]])&amp;"")</f>
        <v/>
      </c>
      <c r="F77" s="48" t="str">
        <f aca="false">IF(DueSoon[[#This Row],[_Task]]="","",IF(N(INDEX(tsk_FcFinish,DueSoon[[#This Row],[_Task]]))=0,"",INDEX(tsk_FcFinish,DueSoon[[#This Row],[_Task]])))</f>
        <v/>
      </c>
      <c r="G77" s="50"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41"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Row],[_Task]]="","",INDEX(tsk_Resource,DueSoon[[#This Row],[_Task]])&amp;"")</f>
        <v/>
      </c>
      <c r="F78" s="48" t="str">
        <f aca="false">IF(DueSoon[[#This Row],[_Task]]="","",IF(N(INDEX(tsk_FcFinish,DueSoon[[#This Row],[_Task]]))=0,"",INDEX(tsk_FcFinish,DueSoon[[#This Row],[_Task]])))</f>
        <v/>
      </c>
      <c r="G78" s="50"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41"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Row],[_Task]]="","",INDEX(tsk_Resource,DueSoon[[#This Row],[_Task]])&amp;"")</f>
        <v/>
      </c>
      <c r="F79" s="48" t="str">
        <f aca="false">IF(DueSoon[[#This Row],[_Task]]="","",IF(N(INDEX(tsk_FcFinish,DueSoon[[#This Row],[_Task]]))=0,"",INDEX(tsk_FcFinish,DueSoon[[#This Row],[_Task]])))</f>
        <v/>
      </c>
      <c r="G79" s="50"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41"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Row],[_Task]]="","",INDEX(tsk_Resource,DueSoon[[#This Row],[_Task]])&amp;"")</f>
        <v/>
      </c>
      <c r="F80" s="48" t="str">
        <f aca="false">IF(DueSoon[[#This Row],[_Task]]="","",IF(N(INDEX(tsk_FcFinish,DueSoon[[#This Row],[_Task]]))=0,"",INDEX(tsk_FcFinish,DueSoon[[#This Row],[_Task]])))</f>
        <v/>
      </c>
      <c r="G80" s="50"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41"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Row],[_Task]]="","",INDEX(tsk_Resource,DueSoon[[#This Row],[_Task]])&amp;"")</f>
        <v/>
      </c>
      <c r="F81" s="48" t="str">
        <f aca="false">IF(DueSoon[[#This Row],[_Task]]="","",IF(N(INDEX(tsk_FcFinish,DueSoon[[#This Row],[_Task]]))=0,"",INDEX(tsk_FcFinish,DueSoon[[#This Row],[_Task]])))</f>
        <v/>
      </c>
      <c r="G81" s="50"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41"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Row],[_Task]]="","",INDEX(tsk_Resource,DueSoon[[#This Row],[_Task]])&amp;"")</f>
        <v/>
      </c>
      <c r="F82" s="48" t="str">
        <f aca="false">IF(DueSoon[[#This Row],[_Task]]="","",IF(N(INDEX(tsk_FcFinish,DueSoon[[#This Row],[_Task]]))=0,"",INDEX(tsk_FcFinish,DueSoon[[#This Row],[_Task]])))</f>
        <v/>
      </c>
      <c r="G82" s="50"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41"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Row],[_Task]]="","",INDEX(tsk_Resource,DueSoon[[#This Row],[_Task]])&amp;"")</f>
        <v/>
      </c>
      <c r="F83" s="48" t="str">
        <f aca="false">IF(DueSoon[[#This Row],[_Task]]="","",IF(N(INDEX(tsk_FcFinish,DueSoon[[#This Row],[_Task]]))=0,"",INDEX(tsk_FcFinish,DueSoon[[#This Row],[_Task]])))</f>
        <v/>
      </c>
      <c r="G83" s="50"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41"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Row],[_Task]]="","",INDEX(tsk_Resource,DueSoon[[#This Row],[_Task]])&amp;"")</f>
        <v/>
      </c>
      <c r="F84" s="48" t="str">
        <f aca="false">IF(DueSoon[[#This Row],[_Task]]="","",IF(N(INDEX(tsk_FcFinish,DueSoon[[#This Row],[_Task]]))=0,"",INDEX(tsk_FcFinish,DueSoon[[#This Row],[_Task]])))</f>
        <v/>
      </c>
      <c r="G84" s="50"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41"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Row],[_Task]]="","",INDEX(tsk_Resource,DueSoon[[#This Row],[_Task]])&amp;"")</f>
        <v/>
      </c>
      <c r="F85" s="48" t="str">
        <f aca="false">IF(DueSoon[[#This Row],[_Task]]="","",IF(N(INDEX(tsk_FcFinish,DueSoon[[#This Row],[_Task]]))=0,"",INDEX(tsk_FcFinish,DueSoon[[#This Row],[_Task]])))</f>
        <v/>
      </c>
      <c r="G85" s="50"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41"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Row],[_Task]]="","",INDEX(tsk_Resource,DueSoon[[#This Row],[_Task]])&amp;"")</f>
        <v/>
      </c>
      <c r="F86" s="48" t="str">
        <f aca="false">IF(DueSoon[[#This Row],[_Task]]="","",IF(N(INDEX(tsk_FcFinish,DueSoon[[#This Row],[_Task]]))=0,"",INDEX(tsk_FcFinish,DueSoon[[#This Row],[_Task]])))</f>
        <v/>
      </c>
      <c r="G86" s="50"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41"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Row],[_Task]]="","",INDEX(tsk_Resource,DueSoon[[#This Row],[_Task]])&amp;"")</f>
        <v/>
      </c>
      <c r="F87" s="48" t="str">
        <f aca="false">IF(DueSoon[[#This Row],[_Task]]="","",IF(N(INDEX(tsk_FcFinish,DueSoon[[#This Row],[_Task]]))=0,"",INDEX(tsk_FcFinish,DueSoon[[#This Row],[_Task]])))</f>
        <v/>
      </c>
      <c r="G87" s="50"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6" t="str">
        <f aca="false">"Open critical tasks (by forecast start)"&amp;": "&amp;COUNT(tsk_CriticalKey)&amp;IF(COUNT(tsk_CriticalKey)&gt;ROWS(CriticalTasks[_Task])," (showing the first "&amp;ROWS(CriticalTasks[_Task])&amp;")","")</f>
        <v>Open critical tasks (by forecast start): 11</v>
      </c>
    </row>
    <row r="90" customFormat="false" ht="23.85" hidden="false" customHeight="false" outlineLevel="0" collapsed="false">
      <c r="B90" s="40" t="s">
        <v>178</v>
      </c>
      <c r="C90" s="9" t="s">
        <v>205</v>
      </c>
      <c r="D90" s="9" t="s">
        <v>185</v>
      </c>
      <c r="E90" s="9" t="s">
        <v>223</v>
      </c>
      <c r="F90" s="9" t="s">
        <v>225</v>
      </c>
      <c r="G90" s="9" t="s">
        <v>208</v>
      </c>
      <c r="H90" s="9" t="s">
        <v>227</v>
      </c>
      <c r="I90" s="9" t="s">
        <v>222</v>
      </c>
      <c r="J90" s="9" t="s">
        <v>95</v>
      </c>
    </row>
    <row r="91" customFormat="false" ht="15" hidden="false" customHeight="false" outlineLevel="0" collapsed="false">
      <c r="B91" s="41" t="n">
        <f aca="false">IFERROR(MATCH(SMALL(tsk_CriticalKey,ROW()-ROW(CriticalTasks[[#Headers],[_Task]])),tsk_CriticalKey,0),"")</f>
        <v>13</v>
      </c>
      <c r="C91" s="24" t="str">
        <f aca="false">IF(CriticalTasks[[#This Row],[_Task]]="","",INDEX(tsk_WBS,CriticalTasks[[#This Row],[_Task]])&amp;"")</f>
        <v>3.1.2</v>
      </c>
      <c r="D91" s="24" t="str">
        <f aca="false">IF(CriticalTasks[[#This Row],[_Task]]="","",INDEX(tsk_Name,CriticalTasks[[#This Row],[_Task]])&amp;"")</f>
        <v>Core API endpoints</v>
      </c>
      <c r="E91" s="24" t="str">
        <f aca="false">IF(CriticalTasks[[#This Row],[_Task]]="","",INDEX(tsk_Resource,CriticalTasks[[#This Row],[_Task]])&amp;"")</f>
        <v>Jordan Lee</v>
      </c>
      <c r="F91" s="48" t="n">
        <f aca="false">IF(CriticalTasks[[#This Row],[_Task]]="","",IF(N(INDEX(tsk_FcStart,CriticalTasks[[#This Row],[_Task]]))=0,"",INDEX(tsk_FcStart,CriticalTasks[[#This Row],[_Task]])))</f>
        <v>46310</v>
      </c>
      <c r="G91" s="48" t="n">
        <f aca="false">IF(CriticalTasks[[#This Row],[_Task]]="","",IF(N(INDEX(tsk_FcFinish,CriticalTasks[[#This Row],[_Task]]))=0,"",INDEX(tsk_FcFinish,CriticalTasks[[#This Row],[_Task]])))</f>
        <v>46325</v>
      </c>
      <c r="H91" s="43" t="n">
        <f aca="false">IF(CriticalTasks[[#This Row],[_Task]]="","",INDEX(tsk_TotalSlack,CriticalTasks[[#This Row],[_Task]]))</f>
        <v>-1</v>
      </c>
      <c r="I91" s="24" t="str">
        <f aca="false">IF(CriticalTasks[[#This Row],[_Task]]="","",INDEX(tsk_DeadlineCheck,CriticalTasks[[#This Row],[_Task]])&amp;"")</f>
        <v/>
      </c>
      <c r="J91" s="24" t="str">
        <f aca="false">IF(CriticalTasks[[#This Row],[_Task]]="","",INDEX(tsk_Status,CriticalTasks[[#This Row],[_Task]])&amp;"")</f>
        <v>Behind</v>
      </c>
    </row>
    <row r="92" customFormat="false" ht="15" hidden="false" customHeight="false" outlineLevel="0" collapsed="false">
      <c r="B92" s="41" t="n">
        <f aca="false">IFERROR(MATCH(SMALL(tsk_CriticalKey,ROW()-ROW(CriticalTasks[[#Headers],[_Task]])),tsk_CriticalKey,0),"")</f>
        <v>17</v>
      </c>
      <c r="C92" s="24" t="str">
        <f aca="false">IF(CriticalTasks[[#This Row],[_Task]]="","",INDEX(tsk_WBS,CriticalTasks[[#This Row],[_Task]])&amp;"")</f>
        <v>3.2.2</v>
      </c>
      <c r="D92" s="24" t="str">
        <f aca="false">IF(CriticalTasks[[#This Row],[_Task]]="","",INDEX(tsk_Name,CriticalTasks[[#This Row],[_Task]])&amp;"")</f>
        <v>Feature screens</v>
      </c>
      <c r="E92" s="24" t="str">
        <f aca="false">IF(CriticalTasks[[#This Row],[_Task]]="","",INDEX(tsk_Resource,CriticalTasks[[#This Row],[_Task]])&amp;"")</f>
        <v>Sam Rivera</v>
      </c>
      <c r="F92" s="48" t="n">
        <f aca="false">IF(CriticalTasks[[#This Row],[_Task]]="","",IF(N(INDEX(tsk_FcStart,CriticalTasks[[#This Row],[_Task]]))=0,"",INDEX(tsk_FcStart,CriticalTasks[[#This Row],[_Task]])))</f>
        <v>46314</v>
      </c>
      <c r="G92" s="48" t="n">
        <f aca="false">IF(CriticalTasks[[#This Row],[_Task]]="","",IF(N(INDEX(tsk_FcFinish,CriticalTasks[[#This Row],[_Task]]))=0,"",INDEX(tsk_FcFinish,CriticalTasks[[#This Row],[_Task]])))</f>
        <v>46331</v>
      </c>
      <c r="H92" s="43" t="n">
        <f aca="false">IF(CriticalTasks[[#This Row],[_Task]]="","",INDEX(tsk_TotalSlack,CriticalTasks[[#This Row],[_Task]]))</f>
        <v>0</v>
      </c>
      <c r="I92" s="24" t="str">
        <f aca="false">IF(CriticalTasks[[#This Row],[_Task]]="","",INDEX(tsk_DeadlineCheck,CriticalTasks[[#This Row],[_Task]])&amp;"")</f>
        <v/>
      </c>
      <c r="J92" s="24" t="str">
        <f aca="false">IF(CriticalTasks[[#This Row],[_Task]]="","",INDEX(tsk_Status,CriticalTasks[[#This Row],[_Task]])&amp;"")</f>
        <v>Behind</v>
      </c>
    </row>
    <row r="93" customFormat="false" ht="15" hidden="false" customHeight="false" outlineLevel="0" collapsed="false">
      <c r="B93" s="41" t="n">
        <f aca="false">IFERROR(MATCH(SMALL(tsk_CriticalKey,ROW()-ROW(CriticalTasks[[#Headers],[_Task]])),tsk_CriticalKey,0),"")</f>
        <v>14</v>
      </c>
      <c r="C93" s="24" t="str">
        <f aca="false">IF(CriticalTasks[[#This Row],[_Task]]="","",INDEX(tsk_WBS,CriticalTasks[[#This Row],[_Task]])&amp;"")</f>
        <v>3.1.3</v>
      </c>
      <c r="D93" s="24" t="str">
        <f aca="false">IF(CriticalTasks[[#This Row],[_Task]]="","",INDEX(tsk_Name,CriticalTasks[[#This Row],[_Task]])&amp;"")</f>
        <v>Payment gateway integration</v>
      </c>
      <c r="E93" s="24" t="str">
        <f aca="false">IF(CriticalTasks[[#This Row],[_Task]]="","",INDEX(tsk_Resource,CriticalTasks[[#This Row],[_Task]])&amp;"")</f>
        <v>Jordan Lee</v>
      </c>
      <c r="F93" s="48" t="n">
        <f aca="false">IF(CriticalTasks[[#This Row],[_Task]]="","",IF(N(INDEX(tsk_FcStart,CriticalTasks[[#This Row],[_Task]]))=0,"",INDEX(tsk_FcStart,CriticalTasks[[#This Row],[_Task]])))</f>
        <v>46328</v>
      </c>
      <c r="G93" s="48" t="n">
        <f aca="false">IF(CriticalTasks[[#This Row],[_Task]]="","",IF(N(INDEX(tsk_FcFinish,CriticalTasks[[#This Row],[_Task]]))=0,"",INDEX(tsk_FcFinish,CriticalTasks[[#This Row],[_Task]])))</f>
        <v>46335</v>
      </c>
      <c r="H93" s="43" t="n">
        <f aca="false">IF(CriticalTasks[[#This Row],[_Task]]="","",INDEX(tsk_TotalSlack,CriticalTasks[[#This Row],[_Task]]))</f>
        <v>-1</v>
      </c>
      <c r="I93" s="24" t="str">
        <f aca="false">IF(CriticalTasks[[#This Row],[_Task]]="","",INDEX(tsk_DeadlineCheck,CriticalTasks[[#This Row],[_Task]])&amp;"")</f>
        <v/>
      </c>
      <c r="J93" s="24" t="str">
        <f aca="false">IF(CriticalTasks[[#This Row],[_Task]]="","",INDEX(tsk_Status,CriticalTasks[[#This Row],[_Task]])&amp;"")</f>
        <v>Late Start</v>
      </c>
    </row>
    <row r="94" customFormat="false" ht="15" hidden="false" customHeight="false" outlineLevel="0" collapsed="false">
      <c r="B94" s="41" t="n">
        <f aca="false">IFERROR(MATCH(SMALL(tsk_CriticalKey,ROW()-ROW(CriticalTasks[[#Headers],[_Task]])),tsk_CriticalKey,0),"")</f>
        <v>18</v>
      </c>
      <c r="C94" s="24" t="str">
        <f aca="false">IF(CriticalTasks[[#This Row],[_Task]]="","",INDEX(tsk_WBS,CriticalTasks[[#This Row],[_Task]])&amp;"")</f>
        <v>3.2.3</v>
      </c>
      <c r="D94" s="24" t="str">
        <f aca="false">IF(CriticalTasks[[#This Row],[_Task]]="","",INDEX(tsk_Name,CriticalTasks[[#This Row],[_Task]])&amp;"")</f>
        <v>Accessibility review</v>
      </c>
      <c r="E94" s="24" t="str">
        <f aca="false">IF(CriticalTasks[[#This Row],[_Task]]="","",INDEX(tsk_Resource,CriticalTasks[[#This Row],[_Task]])&amp;"")</f>
        <v>Casey Kim</v>
      </c>
      <c r="F94" s="48" t="n">
        <f aca="false">IF(CriticalTasks[[#This Row],[_Task]]="","",IF(N(INDEX(tsk_FcStart,CriticalTasks[[#This Row],[_Task]]))=0,"",INDEX(tsk_FcStart,CriticalTasks[[#This Row],[_Task]])))</f>
        <v>46330</v>
      </c>
      <c r="G94" s="48" t="n">
        <f aca="false">IF(CriticalTasks[[#This Row],[_Task]]="","",IF(N(INDEX(tsk_FcFinish,CriticalTasks[[#This Row],[_Task]]))=0,"",INDEX(tsk_FcFinish,CriticalTasks[[#This Row],[_Task]])))</f>
        <v>46332</v>
      </c>
      <c r="H94" s="43" t="n">
        <f aca="false">IF(CriticalTasks[[#This Row],[_Task]]="","",INDEX(tsk_TotalSlack,CriticalTasks[[#This Row],[_Task]]))</f>
        <v>0</v>
      </c>
      <c r="I94" s="24" t="str">
        <f aca="false">IF(CriticalTasks[[#This Row],[_Task]]="","",INDEX(tsk_DeadlineCheck,CriticalTasks[[#This Row],[_Task]])&amp;"")</f>
        <v/>
      </c>
      <c r="J94" s="24" t="str">
        <f aca="false">IF(CriticalTasks[[#This Row],[_Task]]="","",INDEX(tsk_Status,CriticalTasks[[#This Row],[_Task]])&amp;"")</f>
        <v>Not Started</v>
      </c>
    </row>
    <row r="95" customFormat="false" ht="15" hidden="false" customHeight="false" outlineLevel="0" collapsed="false">
      <c r="B95" s="41" t="n">
        <f aca="false">IFERROR(MATCH(SMALL(tsk_CriticalKey,ROW()-ROW(CriticalTasks[[#Headers],[_Task]])),tsk_CriticalKey,0),"")</f>
        <v>19</v>
      </c>
      <c r="C95" s="24" t="str">
        <f aca="false">IF(CriticalTasks[[#This Row],[_Task]]="","",INDEX(tsk_WBS,CriticalTasks[[#This Row],[_Task]])&amp;"")</f>
        <v>3.3</v>
      </c>
      <c r="D95" s="24" t="str">
        <f aca="false">IF(CriticalTasks[[#This Row],[_Task]]="","",INDEX(tsk_Name,CriticalTasks[[#This Row],[_Task]])&amp;"")</f>
        <v>Build complete</v>
      </c>
      <c r="E95" s="24" t="str">
        <f aca="false">IF(CriticalTasks[[#This Row],[_Task]]="","",INDEX(tsk_Resource,CriticalTasks[[#This Row],[_Task]])&amp;"")</f>
        <v/>
      </c>
      <c r="F95" s="48" t="n">
        <f aca="false">IF(CriticalTasks[[#This Row],[_Task]]="","",IF(N(INDEX(tsk_FcStart,CriticalTasks[[#This Row],[_Task]]))=0,"",INDEX(tsk_FcStart,CriticalTasks[[#This Row],[_Task]])))</f>
        <v>46335</v>
      </c>
      <c r="G95" s="48" t="n">
        <f aca="false">IF(CriticalTasks[[#This Row],[_Task]]="","",IF(N(INDEX(tsk_FcFinish,CriticalTasks[[#This Row],[_Task]]))=0,"",INDEX(tsk_FcFinish,CriticalTasks[[#This Row],[_Task]])))</f>
        <v>46335</v>
      </c>
      <c r="H95" s="43" t="n">
        <f aca="false">IF(CriticalTasks[[#This Row],[_Task]]="","",INDEX(tsk_TotalSlack,CriticalTasks[[#This Row],[_Task]]))</f>
        <v>-1</v>
      </c>
      <c r="I95" s="24" t="str">
        <f aca="false">IF(CriticalTasks[[#This Row],[_Task]]="","",INDEX(tsk_DeadlineCheck,CriticalTasks[[#This Row],[_Task]])&amp;"")</f>
        <v>Late by 1d</v>
      </c>
      <c r="J95" s="24" t="str">
        <f aca="false">IF(CriticalTasks[[#This Row],[_Task]]="","",INDEX(tsk_Status,CriticalTasks[[#This Row],[_Task]])&amp;"")</f>
        <v>Not Started</v>
      </c>
    </row>
    <row r="96" customFormat="false" ht="15" hidden="false" customHeight="false" outlineLevel="0" collapsed="false">
      <c r="B96" s="41" t="n">
        <f aca="false">IFERROR(MATCH(SMALL(tsk_CriticalKey,ROW()-ROW(CriticalTasks[[#Headers],[_Task]])),tsk_CriticalKey,0),"")</f>
        <v>22</v>
      </c>
      <c r="C96" s="24" t="str">
        <f aca="false">IF(CriticalTasks[[#This Row],[_Task]]="","",INDEX(tsk_WBS,CriticalTasks[[#This Row],[_Task]])&amp;"")</f>
        <v>4.2</v>
      </c>
      <c r="D96" s="24" t="str">
        <f aca="false">IF(CriticalTasks[[#This Row],[_Task]]="","",INDEX(tsk_Name,CriticalTasks[[#This Row],[_Task]])&amp;"")</f>
        <v>User acceptance testing</v>
      </c>
      <c r="E96" s="24" t="str">
        <f aca="false">IF(CriticalTasks[[#This Row],[_Task]]="","",INDEX(tsk_Resource,CriticalTasks[[#This Row],[_Task]])&amp;"")</f>
        <v>Morgan Patel</v>
      </c>
      <c r="F96" s="48" t="n">
        <f aca="false">IF(CriticalTasks[[#This Row],[_Task]]="","",IF(N(INDEX(tsk_FcStart,CriticalTasks[[#This Row],[_Task]]))=0,"",INDEX(tsk_FcStart,CriticalTasks[[#This Row],[_Task]])))</f>
        <v>46363</v>
      </c>
      <c r="G96" s="48" t="n">
        <f aca="false">IF(CriticalTasks[[#This Row],[_Task]]="","",IF(N(INDEX(tsk_FcFinish,CriticalTasks[[#This Row],[_Task]]))=0,"",INDEX(tsk_FcFinish,CriticalTasks[[#This Row],[_Task]])))</f>
        <v>46370</v>
      </c>
      <c r="H96" s="43" t="n">
        <f aca="false">IF(CriticalTasks[[#This Row],[_Task]]="","",INDEX(tsk_TotalSlack,CriticalTasks[[#This Row],[_Task]]))</f>
        <v>0</v>
      </c>
      <c r="I96" s="24" t="str">
        <f aca="false">IF(CriticalTasks[[#This Row],[_Task]]="","",INDEX(tsk_DeadlineCheck,CriticalTasks[[#This Row],[_Task]])&amp;"")</f>
        <v/>
      </c>
      <c r="J96" s="24" t="str">
        <f aca="false">IF(CriticalTasks[[#This Row],[_Task]]="","",INDEX(tsk_Status,CriticalTasks[[#This Row],[_Task]])&amp;"")</f>
        <v>Not Started</v>
      </c>
    </row>
    <row r="97" customFormat="false" ht="15" hidden="false" customHeight="false" outlineLevel="0" collapsed="false">
      <c r="B97" s="41" t="n">
        <f aca="false">IFERROR(MATCH(SMALL(tsk_CriticalKey,ROW()-ROW(CriticalTasks[[#Headers],[_Task]])),tsk_CriticalKey,0),"")</f>
        <v>24</v>
      </c>
      <c r="C97" s="24" t="str">
        <f aca="false">IF(CriticalTasks[[#This Row],[_Task]]="","",INDEX(tsk_WBS,CriticalTasks[[#This Row],[_Task]])&amp;"")</f>
        <v>4.4</v>
      </c>
      <c r="D97" s="24" t="str">
        <f aca="false">IF(CriticalTasks[[#This Row],[_Task]]="","",INDEX(tsk_Name,CriticalTasks[[#This Row],[_Task]])&amp;"")</f>
        <v>Go-live readiness review</v>
      </c>
      <c r="E97" s="24" t="str">
        <f aca="false">IF(CriticalTasks[[#This Row],[_Task]]="","",INDEX(tsk_Resource,CriticalTasks[[#This Row],[_Task]])&amp;"")</f>
        <v>Priya Sharma</v>
      </c>
      <c r="F97" s="48" t="n">
        <f aca="false">IF(CriticalTasks[[#This Row],[_Task]]="","",IF(N(INDEX(tsk_FcStart,CriticalTasks[[#This Row],[_Task]]))=0,"",INDEX(tsk_FcStart,CriticalTasks[[#This Row],[_Task]])))</f>
        <v>46371</v>
      </c>
      <c r="G97" s="48" t="n">
        <f aca="false">IF(CriticalTasks[[#This Row],[_Task]]="","",IF(N(INDEX(tsk_FcFinish,CriticalTasks[[#This Row],[_Task]]))=0,"",INDEX(tsk_FcFinish,CriticalTasks[[#This Row],[_Task]])))</f>
        <v>46371</v>
      </c>
      <c r="H97" s="43" t="n">
        <f aca="false">IF(CriticalTasks[[#This Row],[_Task]]="","",INDEX(tsk_TotalSlack,CriticalTasks[[#This Row],[_Task]]))</f>
        <v>0</v>
      </c>
      <c r="I97" s="24" t="str">
        <f aca="false">IF(CriticalTasks[[#This Row],[_Task]]="","",INDEX(tsk_DeadlineCheck,CriticalTasks[[#This Row],[_Task]])&amp;"")</f>
        <v/>
      </c>
      <c r="J97" s="24" t="str">
        <f aca="false">IF(CriticalTasks[[#This Row],[_Task]]="","",INDEX(tsk_Status,CriticalTasks[[#This Row],[_Task]])&amp;"")</f>
        <v>Not Started</v>
      </c>
    </row>
    <row r="98" customFormat="false" ht="15" hidden="false" customHeight="false" outlineLevel="0" collapsed="false">
      <c r="B98" s="41" t="n">
        <f aca="false">IFERROR(MATCH(SMALL(tsk_CriticalKey,ROW()-ROW(CriticalTasks[[#Headers],[_Task]])),tsk_CriticalKey,0),"")</f>
        <v>25</v>
      </c>
      <c r="C98" s="24" t="str">
        <f aca="false">IF(CriticalTasks[[#This Row],[_Task]]="","",INDEX(tsk_WBS,CriticalTasks[[#This Row],[_Task]])&amp;"")</f>
        <v>4.5</v>
      </c>
      <c r="D98" s="24" t="str">
        <f aca="false">IF(CriticalTasks[[#This Row],[_Task]]="","",INDEX(tsk_Name,CriticalTasks[[#This Row],[_Task]])&amp;"")</f>
        <v>Go-live</v>
      </c>
      <c r="E98" s="24" t="str">
        <f aca="false">IF(CriticalTasks[[#This Row],[_Task]]="","",INDEX(tsk_Resource,CriticalTasks[[#This Row],[_Task]])&amp;"")</f>
        <v/>
      </c>
      <c r="F98" s="48" t="n">
        <f aca="false">IF(CriticalTasks[[#This Row],[_Task]]="","",IF(N(INDEX(tsk_FcStart,CriticalTasks[[#This Row],[_Task]]))=0,"",INDEX(tsk_FcStart,CriticalTasks[[#This Row],[_Task]])))</f>
        <v>46371</v>
      </c>
      <c r="G98" s="48" t="n">
        <f aca="false">IF(CriticalTasks[[#This Row],[_Task]]="","",IF(N(INDEX(tsk_FcFinish,CriticalTasks[[#This Row],[_Task]]))=0,"",INDEX(tsk_FcFinish,CriticalTasks[[#This Row],[_Task]])))</f>
        <v>46371</v>
      </c>
      <c r="H98" s="43" t="n">
        <f aca="false">IF(CriticalTasks[[#This Row],[_Task]]="","",INDEX(tsk_TotalSlack,CriticalTasks[[#This Row],[_Task]]))</f>
        <v>0</v>
      </c>
      <c r="I98" s="24" t="str">
        <f aca="false">IF(CriticalTasks[[#This Row],[_Task]]="","",INDEX(tsk_DeadlineCheck,CriticalTasks[[#This Row],[_Task]])&amp;"")</f>
        <v>OK</v>
      </c>
      <c r="J98" s="24" t="str">
        <f aca="false">IF(CriticalTasks[[#This Row],[_Task]]="","",INDEX(tsk_Status,CriticalTasks[[#This Row],[_Task]])&amp;"")</f>
        <v>Not Started</v>
      </c>
    </row>
    <row r="99" customFormat="false" ht="15" hidden="false" customHeight="false" outlineLevel="0" collapsed="false">
      <c r="B99" s="41" t="n">
        <f aca="false">IFERROR(MATCH(SMALL(tsk_CriticalKey,ROW()-ROW(CriticalTasks[[#Headers],[_Task]])),tsk_CriticalKey,0),"")</f>
        <v>26</v>
      </c>
      <c r="C99" s="24" t="str">
        <f aca="false">IF(CriticalTasks[[#This Row],[_Task]]="","",INDEX(tsk_WBS,CriticalTasks[[#This Row],[_Task]])&amp;"")</f>
        <v>4.6</v>
      </c>
      <c r="D99" s="24" t="str">
        <f aca="false">IF(CriticalTasks[[#This Row],[_Task]]="","",INDEX(tsk_Name,CriticalTasks[[#This Row],[_Task]])&amp;"")</f>
        <v>Hypercare support</v>
      </c>
      <c r="E99" s="24" t="str">
        <f aca="false">IF(CriticalTasks[[#This Row],[_Task]]="","",INDEX(tsk_Resource,CriticalTasks[[#This Row],[_Task]])&amp;"")</f>
        <v>Jordan Lee</v>
      </c>
      <c r="F99" s="48" t="n">
        <f aca="false">IF(CriticalTasks[[#This Row],[_Task]]="","",IF(N(INDEX(tsk_FcStart,CriticalTasks[[#This Row],[_Task]]))=0,"",INDEX(tsk_FcStart,CriticalTasks[[#This Row],[_Task]])))</f>
        <v>46372</v>
      </c>
      <c r="G99" s="48" t="n">
        <f aca="false">IF(CriticalTasks[[#This Row],[_Task]]="","",IF(N(INDEX(tsk_FcFinish,CriticalTasks[[#This Row],[_Task]]))=0,"",INDEX(tsk_FcFinish,CriticalTasks[[#This Row],[_Task]])))</f>
        <v>46391</v>
      </c>
      <c r="H99" s="43" t="n">
        <f aca="false">IF(CriticalTasks[[#This Row],[_Task]]="","",INDEX(tsk_TotalSlack,CriticalTasks[[#This Row],[_Task]]))</f>
        <v>0</v>
      </c>
      <c r="I99" s="24" t="str">
        <f aca="false">IF(CriticalTasks[[#This Row],[_Task]]="","",INDEX(tsk_DeadlineCheck,CriticalTasks[[#This Row],[_Task]])&amp;"")</f>
        <v/>
      </c>
      <c r="J99" s="24" t="str">
        <f aca="false">IF(CriticalTasks[[#This Row],[_Task]]="","",INDEX(tsk_Status,CriticalTasks[[#This Row],[_Task]])&amp;"")</f>
        <v>Not Started</v>
      </c>
    </row>
    <row r="100" customFormat="false" ht="15" hidden="false" customHeight="false" outlineLevel="0" collapsed="false">
      <c r="B100" s="41" t="n">
        <f aca="false">IFERROR(MATCH(SMALL(tsk_CriticalKey,ROW()-ROW(CriticalTasks[[#Headers],[_Task]])),tsk_CriticalKey,0),"")</f>
        <v>29</v>
      </c>
      <c r="C100" s="24" t="str">
        <f aca="false">IF(CriticalTasks[[#This Row],[_Task]]="","",INDEX(tsk_WBS,CriticalTasks[[#This Row],[_Task]])&amp;"")</f>
        <v>5.2</v>
      </c>
      <c r="D100" s="24" t="str">
        <f aca="false">IF(CriticalTasks[[#This Row],[_Task]]="","",INDEX(tsk_Name,CriticalTasks[[#This Row],[_Task]])&amp;"")</f>
        <v>Lessons learned</v>
      </c>
      <c r="E100" s="24" t="str">
        <f aca="false">IF(CriticalTasks[[#This Row],[_Task]]="","",INDEX(tsk_Resource,CriticalTasks[[#This Row],[_Task]])&amp;"")</f>
        <v>Priya Sharma</v>
      </c>
      <c r="F100" s="48" t="n">
        <f aca="false">IF(CriticalTasks[[#This Row],[_Task]]="","",IF(N(INDEX(tsk_FcStart,CriticalTasks[[#This Row],[_Task]]))=0,"",INDEX(tsk_FcStart,CriticalTasks[[#This Row],[_Task]])))</f>
        <v>46392</v>
      </c>
      <c r="G100" s="48" t="n">
        <f aca="false">IF(CriticalTasks[[#This Row],[_Task]]="","",IF(N(INDEX(tsk_FcFinish,CriticalTasks[[#This Row],[_Task]]))=0,"",INDEX(tsk_FcFinish,CriticalTasks[[#This Row],[_Task]])))</f>
        <v>46393</v>
      </c>
      <c r="H100" s="43" t="n">
        <f aca="false">IF(CriticalTasks[[#This Row],[_Task]]="","",INDEX(tsk_TotalSlack,CriticalTasks[[#This Row],[_Task]]))</f>
        <v>0</v>
      </c>
      <c r="I100" s="24" t="str">
        <f aca="false">IF(CriticalTasks[[#This Row],[_Task]]="","",INDEX(tsk_DeadlineCheck,CriticalTasks[[#This Row],[_Task]])&amp;"")</f>
        <v/>
      </c>
      <c r="J100" s="24" t="str">
        <f aca="false">IF(CriticalTasks[[#This Row],[_Task]]="","",INDEX(tsk_Status,CriticalTasks[[#This Row],[_Task]])&amp;"")</f>
        <v>Not Started</v>
      </c>
    </row>
    <row r="101" customFormat="false" ht="15" hidden="false" customHeight="false" outlineLevel="0" collapsed="false">
      <c r="B101" s="41" t="n">
        <f aca="false">IFERROR(MATCH(SMALL(tsk_CriticalKey,ROW()-ROW(CriticalTasks[[#Headers],[_Task]])),tsk_CriticalKey,0),"")</f>
        <v>30</v>
      </c>
      <c r="C101" s="24" t="str">
        <f aca="false">IF(CriticalTasks[[#This Row],[_Task]]="","",INDEX(tsk_WBS,CriticalTasks[[#This Row],[_Task]])&amp;"")</f>
        <v>5.3</v>
      </c>
      <c r="D101" s="24" t="str">
        <f aca="false">IF(CriticalTasks[[#This Row],[_Task]]="","",INDEX(tsk_Name,CriticalTasks[[#This Row],[_Task]])&amp;"")</f>
        <v>Project closed</v>
      </c>
      <c r="E101" s="24" t="str">
        <f aca="false">IF(CriticalTasks[[#This Row],[_Task]]="","",INDEX(tsk_Resource,CriticalTasks[[#This Row],[_Task]])&amp;"")</f>
        <v/>
      </c>
      <c r="F101" s="48" t="n">
        <f aca="false">IF(CriticalTasks[[#This Row],[_Task]]="","",IF(N(INDEX(tsk_FcStart,CriticalTasks[[#This Row],[_Task]]))=0,"",INDEX(tsk_FcStart,CriticalTasks[[#This Row],[_Task]])))</f>
        <v>46393</v>
      </c>
      <c r="G101" s="48" t="n">
        <f aca="false">IF(CriticalTasks[[#This Row],[_Task]]="","",IF(N(INDEX(tsk_FcFinish,CriticalTasks[[#This Row],[_Task]]))=0,"",INDEX(tsk_FcFinish,CriticalTasks[[#This Row],[_Task]])))</f>
        <v>46393</v>
      </c>
      <c r="H101" s="43" t="n">
        <f aca="false">IF(CriticalTasks[[#This Row],[_Task]]="","",INDEX(tsk_TotalSlack,CriticalTasks[[#This Row],[_Task]]))</f>
        <v>0</v>
      </c>
      <c r="I101" s="24" t="str">
        <f aca="false">IF(CriticalTasks[[#This Row],[_Task]]="","",INDEX(tsk_DeadlineCheck,CriticalTasks[[#This Row],[_Task]])&amp;"")</f>
        <v/>
      </c>
      <c r="J101" s="24" t="str">
        <f aca="false">IF(CriticalTasks[[#This Row],[_Task]]="","",INDEX(tsk_Status,CriticalTasks[[#This Row],[_Task]])&amp;"")</f>
        <v>Not Started</v>
      </c>
    </row>
    <row r="102" customFormat="false" ht="15" hidden="false" customHeight="false" outlineLevel="0" collapsed="false">
      <c r="B102" s="41"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Row],[_Task]]="","",INDEX(tsk_Resource,CriticalTasks[[#This Row],[_Task]])&amp;"")</f>
        <v/>
      </c>
      <c r="F102" s="48" t="str">
        <f aca="false">IF(CriticalTasks[[#This Row],[_Task]]="","",IF(N(INDEX(tsk_FcStart,CriticalTasks[[#This Row],[_Task]]))=0,"",INDEX(tsk_FcStart,CriticalTasks[[#This Row],[_Task]])))</f>
        <v/>
      </c>
      <c r="G102" s="48" t="str">
        <f aca="false">IF(CriticalTasks[[#This Row],[_Task]]="","",IF(N(INDEX(tsk_FcFinish,CriticalTasks[[#This Row],[_Task]]))=0,"",INDEX(tsk_FcFinish,CriticalTasks[[#This Row],[_Task]])))</f>
        <v/>
      </c>
      <c r="H102" s="43"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41"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Row],[_Task]]="","",INDEX(tsk_Resource,CriticalTasks[[#This Row],[_Task]])&amp;"")</f>
        <v/>
      </c>
      <c r="F103" s="48" t="str">
        <f aca="false">IF(CriticalTasks[[#This Row],[_Task]]="","",IF(N(INDEX(tsk_FcStart,CriticalTasks[[#This Row],[_Task]]))=0,"",INDEX(tsk_FcStart,CriticalTasks[[#This Row],[_Task]])))</f>
        <v/>
      </c>
      <c r="G103" s="48" t="str">
        <f aca="false">IF(CriticalTasks[[#This Row],[_Task]]="","",IF(N(INDEX(tsk_FcFinish,CriticalTasks[[#This Row],[_Task]]))=0,"",INDEX(tsk_FcFinish,CriticalTasks[[#This Row],[_Task]])))</f>
        <v/>
      </c>
      <c r="H103" s="43"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41"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Row],[_Task]]="","",INDEX(tsk_Resource,CriticalTasks[[#This Row],[_Task]])&amp;"")</f>
        <v/>
      </c>
      <c r="F104" s="48" t="str">
        <f aca="false">IF(CriticalTasks[[#This Row],[_Task]]="","",IF(N(INDEX(tsk_FcStart,CriticalTasks[[#This Row],[_Task]]))=0,"",INDEX(tsk_FcStart,CriticalTasks[[#This Row],[_Task]])))</f>
        <v/>
      </c>
      <c r="G104" s="48" t="str">
        <f aca="false">IF(CriticalTasks[[#This Row],[_Task]]="","",IF(N(INDEX(tsk_FcFinish,CriticalTasks[[#This Row],[_Task]]))=0,"",INDEX(tsk_FcFinish,CriticalTasks[[#This Row],[_Task]])))</f>
        <v/>
      </c>
      <c r="H104" s="43"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41"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Row],[_Task]]="","",INDEX(tsk_Resource,CriticalTasks[[#This Row],[_Task]])&amp;"")</f>
        <v/>
      </c>
      <c r="F105" s="48" t="str">
        <f aca="false">IF(CriticalTasks[[#This Row],[_Task]]="","",IF(N(INDEX(tsk_FcStart,CriticalTasks[[#This Row],[_Task]]))=0,"",INDEX(tsk_FcStart,CriticalTasks[[#This Row],[_Task]])))</f>
        <v/>
      </c>
      <c r="G105" s="48" t="str">
        <f aca="false">IF(CriticalTasks[[#This Row],[_Task]]="","",IF(N(INDEX(tsk_FcFinish,CriticalTasks[[#This Row],[_Task]]))=0,"",INDEX(tsk_FcFinish,CriticalTasks[[#This Row],[_Task]])))</f>
        <v/>
      </c>
      <c r="H105" s="43"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41"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Row],[_Task]]="","",INDEX(tsk_Resource,CriticalTasks[[#This Row],[_Task]])&amp;"")</f>
        <v/>
      </c>
      <c r="F106" s="48" t="str">
        <f aca="false">IF(CriticalTasks[[#This Row],[_Task]]="","",IF(N(INDEX(tsk_FcStart,CriticalTasks[[#This Row],[_Task]]))=0,"",INDEX(tsk_FcStart,CriticalTasks[[#This Row],[_Task]])))</f>
        <v/>
      </c>
      <c r="G106" s="48" t="str">
        <f aca="false">IF(CriticalTasks[[#This Row],[_Task]]="","",IF(N(INDEX(tsk_FcFinish,CriticalTasks[[#This Row],[_Task]]))=0,"",INDEX(tsk_FcFinish,CriticalTasks[[#This Row],[_Task]])))</f>
        <v/>
      </c>
      <c r="H106" s="43"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41"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Row],[_Task]]="","",INDEX(tsk_Resource,CriticalTasks[[#This Row],[_Task]])&amp;"")</f>
        <v/>
      </c>
      <c r="F107" s="48" t="str">
        <f aca="false">IF(CriticalTasks[[#This Row],[_Task]]="","",IF(N(INDEX(tsk_FcStart,CriticalTasks[[#This Row],[_Task]]))=0,"",INDEX(tsk_FcStart,CriticalTasks[[#This Row],[_Task]])))</f>
        <v/>
      </c>
      <c r="G107" s="48" t="str">
        <f aca="false">IF(CriticalTasks[[#This Row],[_Task]]="","",IF(N(INDEX(tsk_FcFinish,CriticalTasks[[#This Row],[_Task]]))=0,"",INDEX(tsk_FcFinish,CriticalTasks[[#This Row],[_Task]])))</f>
        <v/>
      </c>
      <c r="H107" s="43"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41"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Row],[_Task]]="","",INDEX(tsk_Resource,CriticalTasks[[#This Row],[_Task]])&amp;"")</f>
        <v/>
      </c>
      <c r="F108" s="48" t="str">
        <f aca="false">IF(CriticalTasks[[#This Row],[_Task]]="","",IF(N(INDEX(tsk_FcStart,CriticalTasks[[#This Row],[_Task]]))=0,"",INDEX(tsk_FcStart,CriticalTasks[[#This Row],[_Task]])))</f>
        <v/>
      </c>
      <c r="G108" s="48" t="str">
        <f aca="false">IF(CriticalTasks[[#This Row],[_Task]]="","",IF(N(INDEX(tsk_FcFinish,CriticalTasks[[#This Row],[_Task]]))=0,"",INDEX(tsk_FcFinish,CriticalTasks[[#This Row],[_Task]])))</f>
        <v/>
      </c>
      <c r="H108" s="43"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41"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Row],[_Task]]="","",INDEX(tsk_Resource,CriticalTasks[[#This Row],[_Task]])&amp;"")</f>
        <v/>
      </c>
      <c r="F109" s="48" t="str">
        <f aca="false">IF(CriticalTasks[[#This Row],[_Task]]="","",IF(N(INDEX(tsk_FcStart,CriticalTasks[[#This Row],[_Task]]))=0,"",INDEX(tsk_FcStart,CriticalTasks[[#This Row],[_Task]])))</f>
        <v/>
      </c>
      <c r="G109" s="48" t="str">
        <f aca="false">IF(CriticalTasks[[#This Row],[_Task]]="","",IF(N(INDEX(tsk_FcFinish,CriticalTasks[[#This Row],[_Task]]))=0,"",INDEX(tsk_FcFinish,CriticalTasks[[#This Row],[_Task]])))</f>
        <v/>
      </c>
      <c r="H109" s="43"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41"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Row],[_Task]]="","",INDEX(tsk_Resource,CriticalTasks[[#This Row],[_Task]])&amp;"")</f>
        <v/>
      </c>
      <c r="F110" s="48" t="str">
        <f aca="false">IF(CriticalTasks[[#This Row],[_Task]]="","",IF(N(INDEX(tsk_FcStart,CriticalTasks[[#This Row],[_Task]]))=0,"",INDEX(tsk_FcStart,CriticalTasks[[#This Row],[_Task]])))</f>
        <v/>
      </c>
      <c r="G110" s="48" t="str">
        <f aca="false">IF(CriticalTasks[[#This Row],[_Task]]="","",IF(N(INDEX(tsk_FcFinish,CriticalTasks[[#This Row],[_Task]]))=0,"",INDEX(tsk_FcFinish,CriticalTasks[[#This Row],[_Task]])))</f>
        <v/>
      </c>
      <c r="H110" s="43"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4">
      <formula>AND(ISNUMBER(G6),G6&gt;0)</formula>
    </cfRule>
  </conditionalFormatting>
  <conditionalFormatting sqref="G19:G33">
    <cfRule type="expression" priority="6" aboveAverage="0" equalAverage="0" bottom="0" percent="0" rank="0" text="" dxfId="24">
      <formula>AND(ISNUMBER(G19),G19&gt;0)</formula>
    </cfRule>
  </conditionalFormatting>
  <conditionalFormatting sqref="I19:I33">
    <cfRule type="expression" priority="7" aboveAverage="0" equalAverage="0" bottom="0" percent="0" rank="0" text="" dxfId="24">
      <formula>LEFT(I19,4)="Late"</formula>
    </cfRule>
  </conditionalFormatting>
  <conditionalFormatting sqref="H37:H51">
    <cfRule type="expression" priority="8" aboveAverage="0" equalAverage="0" bottom="0" percent="0" rank="0" text="" dxfId="24">
      <formula>AND(ISNUMBER(H37),H37&gt;0)</formula>
    </cfRule>
  </conditionalFormatting>
  <conditionalFormatting sqref="J37:J51">
    <cfRule type="expression" priority="9" aboveAverage="0" equalAverage="0" bottom="0" percent="0" rank="0" text="" dxfId="25">
      <formula>J37="Yes"</formula>
    </cfRule>
  </conditionalFormatting>
  <conditionalFormatting sqref="J55:J69">
    <cfRule type="expression" priority="10" aboveAverage="0" equalAverage="0" bottom="0" percent="0" rank="0" text="" dxfId="25">
      <formula>J55="Yes"</formula>
    </cfRule>
  </conditionalFormatting>
  <conditionalFormatting sqref="J73:J87">
    <cfRule type="expression" priority="11" aboveAverage="0" equalAverage="0" bottom="0" percent="0" rank="0" text="" dxfId="25">
      <formula>J73="Yes"</formula>
    </cfRule>
  </conditionalFormatting>
  <conditionalFormatting sqref="H73:H87">
    <cfRule type="expression" priority="12" aboveAverage="0" equalAverage="0" bottom="0" percent="0" rank="0" text="" dxfId="24">
      <formula>LEFT(H73,4)="Late"</formula>
    </cfRule>
  </conditionalFormatting>
  <conditionalFormatting sqref="I91:I110">
    <cfRule type="expression" priority="13" aboveAverage="0" equalAverage="0" bottom="0" percent="0" rank="0" text="" dxfId="24">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Customer Portal Implementation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 less leave (Leave sheet)."</f>
        <v>Weeks from Mon 05-Oct-2026 (Settings &gt; ResourceWeekStart). Hours are each task's work spread over its forecast working days; red = more than Max Units x HoursPerDay x working days in the week, less leave (Leave sheet).</v>
      </c>
    </row>
    <row r="4" customFormat="false" ht="15" hidden="false" customHeight="false" outlineLevel="0" collapsed="false">
      <c r="B4" s="36" t="s">
        <v>228</v>
      </c>
    </row>
    <row r="5" customFormat="false" ht="23.85" hidden="false" customHeight="false" outlineLevel="0" collapsed="false">
      <c r="B5" s="9" t="s">
        <v>223</v>
      </c>
      <c r="C5" s="9" t="s">
        <v>229</v>
      </c>
      <c r="D5" s="9" t="s">
        <v>230</v>
      </c>
      <c r="E5" s="9" t="s">
        <v>231</v>
      </c>
      <c r="F5" s="9" t="s">
        <v>232</v>
      </c>
      <c r="G5" s="9" t="s">
        <v>233</v>
      </c>
      <c r="H5" s="9" t="s">
        <v>234</v>
      </c>
      <c r="I5" s="9" t="s">
        <v>235</v>
      </c>
      <c r="J5" s="9" t="s">
        <v>236</v>
      </c>
      <c r="K5" s="9" t="s">
        <v>217</v>
      </c>
      <c r="L5" s="9" t="s">
        <v>237</v>
      </c>
      <c r="M5" s="9" t="s">
        <v>238</v>
      </c>
      <c r="N5" s="9" t="s">
        <v>239</v>
      </c>
      <c r="O5" s="9" t="s">
        <v>240</v>
      </c>
    </row>
    <row r="6" customFormat="false" ht="15" hidden="false" customHeight="false" outlineLevel="0" collapsed="false">
      <c r="B6" s="24" t="str">
        <f aca="false">IFERROR(INDEX(res_Name,ROW()-ROW(ResourceSummary[[#Headers],[Resource]]))&amp;"","")</f>
        <v>Priya Sharma</v>
      </c>
      <c r="C6" s="50" t="n">
        <f aca="false">IF(ResourceSummary[[#This Row],[Resource]]="","",INDEX(ResourceTable[Max Units],ROW()-ROW(ResourceSummary[[#Headers],[Resource]])))</f>
        <v>0.5</v>
      </c>
      <c r="D6" s="53" t="n">
        <f aca="false">IF(ResourceSummary[[#This Row],[Resource]]="","",INDEX(ResourceTable[Tasks],ROW()-ROW(ResourceSummary[[#Headers],[Resource]])))</f>
        <v>4</v>
      </c>
      <c r="E6" s="54" t="n">
        <f aca="false">IF(ResourceSummary[[#This Row],[Resource]]="","",INDEX(ResourceTable[Work],ROW()-ROW(ResourceSummary[[#Headers],[Resource]])))</f>
        <v>56</v>
      </c>
      <c r="F6" s="54" t="n">
        <f aca="false">IF(ResourceSummary[[#This Row],[Resource]]="","",SUMIFS(tsk_LeafWorkDone,tsk_Resource,ResourceSummary[[#This Row],[Resource]]))</f>
        <v>24</v>
      </c>
      <c r="G6" s="54" t="n">
        <f aca="false">IF(ResourceSummary[[#This Row],[Resource]]="","",ResourceSummary[[#This Row],[Work]]-ResourceSummary[[#This Row],[Work Done]])</f>
        <v>32</v>
      </c>
      <c r="H6" s="54" t="n">
        <f aca="false">IF(ResourceSummary[[#This Row],[Resource]]="","",INDEX(ResourceTable[Cost],ROW()-ROW(ResourceSummary[[#Headers],[Resource]])))</f>
        <v>5320</v>
      </c>
      <c r="I6" s="54" t="n">
        <f aca="false">IF(ResourceSummary[[#This Row],[Resource]]="","",INDEX(ResourceTable[Actual Cost],ROW()-ROW(ResourceSummary[[#Headers],[Resource]])))</f>
        <v>3040</v>
      </c>
      <c r="J6" s="53" t="n">
        <f aca="false">IF(ResourceSummary[[#This Row],[Resource]]="","",COUNTIFS(tsk_Resource,ResourceSummary[[#This Row],[Resource]],tsk_LateKey,"&gt;0"))</f>
        <v>0</v>
      </c>
      <c r="K6" s="53" t="n">
        <f aca="false">IF(ResourceSummary[[#This Row],[Resource]]="","",COUNTIFS(tsk_Resource,ResourceSummary[[#This Row],[Resource]],tsk_Critical,"Yes",tsk_IsLeaf,1))</f>
        <v>2</v>
      </c>
      <c r="L6" s="51" t="n">
        <f aca="false">IF(ResourceSummary[[#This Row],[Resource]]="","",MAX(INDEX(rw_Load,ROW()-ROW(ResourceSummary[[#Headers],[Resource]]),0)))</f>
        <v>16</v>
      </c>
      <c r="M6" s="50" t="n">
        <f aca="false">IF(ResourceSummary[[#This Row],[Resource]]="","",MAX(INDEX(rw_Util,ROW()-ROW(ResourceSummary[[#Headers],[Resource]]),0)))</f>
        <v>0.8</v>
      </c>
      <c r="N6" s="53" t="n">
        <f aca="false">IF(ResourceSummary[[#This Row],[Resource]]="","",COUNTIF(INDEX(rw_Util,ROW()-ROW(ResourceSummary[[#Headers],[Resource]]),0),"&gt;1"))</f>
        <v>0</v>
      </c>
      <c r="O6" s="55" t="n">
        <f aca="false">IF(ResourceSummary[[#This Row],[Resource]]="","",SUM(INDEX(rw_Leave,ROW()-ROW(ResourceSummary[[#Headers],[Resource]]),0)))</f>
        <v>0</v>
      </c>
    </row>
    <row r="7" customFormat="false" ht="15" hidden="false" customHeight="false" outlineLevel="0" collapsed="false">
      <c r="B7" s="24" t="str">
        <f aca="false">IFERROR(INDEX(res_Name,ROW()-ROW(ResourceSummary[[#Headers],[Resource]]))&amp;"","")</f>
        <v>Morgan Patel</v>
      </c>
      <c r="C7" s="50" t="n">
        <f aca="false">IF(ResourceSummary[[#This Row],[Resource]]="","",INDEX(ResourceTable[Max Units],ROW()-ROW(ResourceSummary[[#Headers],[Resource]])))</f>
        <v>1</v>
      </c>
      <c r="D7" s="53" t="n">
        <f aca="false">IF(ResourceSummary[[#This Row],[Resource]]="","",INDEX(ResourceTable[Tasks],ROW()-ROW(ResourceSummary[[#Headers],[Resource]])))</f>
        <v>3</v>
      </c>
      <c r="E7" s="54" t="n">
        <f aca="false">IF(ResourceSummary[[#This Row],[Resource]]="","",INDEX(ResourceTable[Work],ROW()-ROW(ResourceSummary[[#Headers],[Resource]])))</f>
        <v>128</v>
      </c>
      <c r="F7" s="54" t="n">
        <f aca="false">IF(ResourceSummary[[#This Row],[Resource]]="","",SUMIFS(tsk_LeafWorkDone,tsk_Resource,ResourceSummary[[#This Row],[Resource]]))</f>
        <v>80</v>
      </c>
      <c r="G7" s="54" t="n">
        <f aca="false">IF(ResourceSummary[[#This Row],[Resource]]="","",ResourceSummary[[#This Row],[Work]]-ResourceSummary[[#This Row],[Work Done]])</f>
        <v>48</v>
      </c>
      <c r="H7" s="54" t="n">
        <f aca="false">IF(ResourceSummary[[#This Row],[Resource]]="","",INDEX(ResourceTable[Cost],ROW()-ROW(ResourceSummary[[#Headers],[Resource]])))</f>
        <v>8960</v>
      </c>
      <c r="I7" s="54" t="n">
        <f aca="false">IF(ResourceSummary[[#This Row],[Resource]]="","",INDEX(ResourceTable[Actual Cost],ROW()-ROW(ResourceSummary[[#Headers],[Resource]])))</f>
        <v>6160</v>
      </c>
      <c r="J7" s="53" t="n">
        <f aca="false">IF(ResourceSummary[[#This Row],[Resource]]="","",COUNTIFS(tsk_Resource,ResourceSummary[[#This Row],[Resource]],tsk_LateKey,"&gt;0"))</f>
        <v>0</v>
      </c>
      <c r="K7" s="53" t="n">
        <f aca="false">IF(ResourceSummary[[#This Row],[Resource]]="","",COUNTIFS(tsk_Resource,ResourceSummary[[#This Row],[Resource]],tsk_Critical,"Yes",tsk_IsLeaf,1))</f>
        <v>1</v>
      </c>
      <c r="L7" s="51" t="n">
        <f aca="false">IF(ResourceSummary[[#This Row],[Resource]]="","",MAX(INDEX(rw_Load,ROW()-ROW(ResourceSummary[[#Headers],[Resource]]),0)))</f>
        <v>40</v>
      </c>
      <c r="M7" s="50" t="n">
        <f aca="false">IF(ResourceSummary[[#This Row],[Resource]]="","",MAX(INDEX(rw_Util,ROW()-ROW(ResourceSummary[[#Headers],[Resource]]),0)))</f>
        <v>1</v>
      </c>
      <c r="N7" s="53" t="n">
        <f aca="false">IF(ResourceSummary[[#This Row],[Resource]]="","",COUNTIF(INDEX(rw_Util,ROW()-ROW(ResourceSummary[[#Headers],[Resource]]),0),"&gt;1"))</f>
        <v>0</v>
      </c>
      <c r="O7" s="55" t="n">
        <f aca="false">IF(ResourceSummary[[#This Row],[Resource]]="","",SUM(INDEX(rw_Leave,ROW()-ROW(ResourceSummary[[#Headers],[Resource]]),0)))</f>
        <v>3</v>
      </c>
    </row>
    <row r="8" customFormat="false" ht="15" hidden="false" customHeight="false" outlineLevel="0" collapsed="false">
      <c r="B8" s="24" t="str">
        <f aca="false">IFERROR(INDEX(res_Name,ROW()-ROW(ResourceSummary[[#Headers],[Resource]]))&amp;"","")</f>
        <v>Alex Chen</v>
      </c>
      <c r="C8" s="50" t="n">
        <f aca="false">IF(ResourceSummary[[#This Row],[Resource]]="","",INDEX(ResourceTable[Max Units],ROW()-ROW(ResourceSummary[[#Headers],[Resource]])))</f>
        <v>0.5</v>
      </c>
      <c r="D8" s="53" t="n">
        <f aca="false">IF(ResourceSummary[[#This Row],[Resource]]="","",INDEX(ResourceTable[Tasks],ROW()-ROW(ResourceSummary[[#Headers],[Resource]])))</f>
        <v>1</v>
      </c>
      <c r="E8" s="54" t="n">
        <f aca="false">IF(ResourceSummary[[#This Row],[Resource]]="","",INDEX(ResourceTable[Work],ROW()-ROW(ResourceSummary[[#Headers],[Resource]])))</f>
        <v>40</v>
      </c>
      <c r="F8" s="54" t="n">
        <f aca="false">IF(ResourceSummary[[#This Row],[Resource]]="","",SUMIFS(tsk_LeafWorkDone,tsk_Resource,ResourceSummary[[#This Row],[Resource]]))</f>
        <v>40</v>
      </c>
      <c r="G8" s="54" t="n">
        <f aca="false">IF(ResourceSummary[[#This Row],[Resource]]="","",ResourceSummary[[#This Row],[Work]]-ResourceSummary[[#This Row],[Work Done]])</f>
        <v>0</v>
      </c>
      <c r="H8" s="54" t="n">
        <f aca="false">IF(ResourceSummary[[#This Row],[Resource]]="","",INDEX(ResourceTable[Cost],ROW()-ROW(ResourceSummary[[#Headers],[Resource]])))</f>
        <v>4400</v>
      </c>
      <c r="I8" s="54" t="n">
        <f aca="false">IF(ResourceSummary[[#This Row],[Resource]]="","",INDEX(ResourceTable[Actual Cost],ROW()-ROW(ResourceSummary[[#Headers],[Resource]])))</f>
        <v>4400</v>
      </c>
      <c r="J8" s="53" t="n">
        <f aca="false">IF(ResourceSummary[[#This Row],[Resource]]="","",COUNTIFS(tsk_Resource,ResourceSummary[[#This Row],[Resource]],tsk_LateKey,"&gt;0"))</f>
        <v>0</v>
      </c>
      <c r="K8" s="53" t="n">
        <f aca="false">IF(ResourceSummary[[#This Row],[Resource]]="","",COUNTIFS(tsk_Resource,ResourceSummary[[#This Row],[Resource]],tsk_Critical,"Yes",tsk_IsLeaf,1))</f>
        <v>0</v>
      </c>
      <c r="L8" s="51" t="n">
        <f aca="false">IF(ResourceSummary[[#This Row],[Resource]]="","",MAX(INDEX(rw_Load,ROW()-ROW(ResourceSummary[[#Headers],[Resource]]),0)))</f>
        <v>0</v>
      </c>
      <c r="M8" s="50" t="n">
        <f aca="false">IF(ResourceSummary[[#This Row],[Resource]]="","",MAX(INDEX(rw_Util,ROW()-ROW(ResourceSummary[[#Headers],[Resource]]),0)))</f>
        <v>0</v>
      </c>
      <c r="N8" s="53" t="n">
        <f aca="false">IF(ResourceSummary[[#This Row],[Resource]]="","",COUNTIF(INDEX(rw_Util,ROW()-ROW(ResourceSummary[[#Headers],[Resource]]),0),"&gt;1"))</f>
        <v>0</v>
      </c>
      <c r="O8" s="55" t="n">
        <f aca="false">IF(ResourceSummary[[#This Row],[Resource]]="","",SUM(INDEX(rw_Leave,ROW()-ROW(ResourceSummary[[#Headers],[Resource]]),0)))</f>
        <v>0</v>
      </c>
    </row>
    <row r="9" customFormat="false" ht="15" hidden="false" customHeight="false" outlineLevel="0" collapsed="false">
      <c r="B9" s="24" t="str">
        <f aca="false">IFERROR(INDEX(res_Name,ROW()-ROW(ResourceSummary[[#Headers],[Resource]]))&amp;"","")</f>
        <v>Casey Kim</v>
      </c>
      <c r="C9" s="50" t="n">
        <f aca="false">IF(ResourceSummary[[#This Row],[Resource]]="","",INDEX(ResourceTable[Max Units],ROW()-ROW(ResourceSummary[[#Headers],[Resource]])))</f>
        <v>1</v>
      </c>
      <c r="D9" s="53" t="n">
        <f aca="false">IF(ResourceSummary[[#This Row],[Resource]]="","",INDEX(ResourceTable[Tasks],ROW()-ROW(ResourceSummary[[#Headers],[Resource]])))</f>
        <v>3</v>
      </c>
      <c r="E9" s="54" t="n">
        <f aca="false">IF(ResourceSummary[[#This Row],[Resource]]="","",INDEX(ResourceTable[Work],ROW()-ROW(ResourceSummary[[#Headers],[Resource]])))</f>
        <v>80</v>
      </c>
      <c r="F9" s="54" t="n">
        <f aca="false">IF(ResourceSummary[[#This Row],[Resource]]="","",SUMIFS(tsk_LeafWorkDone,tsk_Resource,ResourceSummary[[#This Row],[Resource]]))</f>
        <v>48</v>
      </c>
      <c r="G9" s="54" t="n">
        <f aca="false">IF(ResourceSummary[[#This Row],[Resource]]="","",ResourceSummary[[#This Row],[Work]]-ResourceSummary[[#This Row],[Work Done]])</f>
        <v>32</v>
      </c>
      <c r="H9" s="54" t="n">
        <f aca="false">IF(ResourceSummary[[#This Row],[Resource]]="","",INDEX(ResourceTable[Cost],ROW()-ROW(ResourceSummary[[#Headers],[Resource]])))</f>
        <v>6000</v>
      </c>
      <c r="I9" s="54" t="n">
        <f aca="false">IF(ResourceSummary[[#This Row],[Resource]]="","",INDEX(ResourceTable[Actual Cost],ROW()-ROW(ResourceSummary[[#Headers],[Resource]])))</f>
        <v>3600</v>
      </c>
      <c r="J9" s="53" t="n">
        <f aca="false">IF(ResourceSummary[[#This Row],[Resource]]="","",COUNTIFS(tsk_Resource,ResourceSummary[[#This Row],[Resource]],tsk_LateKey,"&gt;0"))</f>
        <v>2</v>
      </c>
      <c r="K9" s="53" t="n">
        <f aca="false">IF(ResourceSummary[[#This Row],[Resource]]="","",COUNTIFS(tsk_Resource,ResourceSummary[[#This Row],[Resource]],tsk_Critical,"Yes",tsk_IsLeaf,1))</f>
        <v>1</v>
      </c>
      <c r="L9" s="51" t="n">
        <f aca="false">IF(ResourceSummary[[#This Row],[Resource]]="","",MAX(INDEX(rw_Load,ROW()-ROW(ResourceSummary[[#Headers],[Resource]]),0)))</f>
        <v>13.7142857142857</v>
      </c>
      <c r="M9" s="50" t="n">
        <f aca="false">IF(ResourceSummary[[#This Row],[Resource]]="","",MAX(INDEX(rw_Util,ROW()-ROW(ResourceSummary[[#Headers],[Resource]]),0)))</f>
        <v>3</v>
      </c>
      <c r="N9" s="53" t="n">
        <f aca="false">IF(ResourceSummary[[#This Row],[Resource]]="","",COUNTIF(INDEX(rw_Util,ROW()-ROW(ResourceSummary[[#Headers],[Resource]]),0),"&gt;1"))</f>
        <v>1</v>
      </c>
      <c r="O9" s="55" t="n">
        <f aca="false">IF(ResourceSummary[[#This Row],[Resource]]="","",SUM(INDEX(rw_Leave,ROW()-ROW(ResourceSummary[[#Headers],[Resource]]),0)))</f>
        <v>9.5</v>
      </c>
    </row>
    <row r="10" customFormat="false" ht="15" hidden="false" customHeight="false" outlineLevel="0" collapsed="false">
      <c r="B10" s="24" t="str">
        <f aca="false">IFERROR(INDEX(res_Name,ROW()-ROW(ResourceSummary[[#Headers],[Resource]]))&amp;"","")</f>
        <v>Jordan Lee</v>
      </c>
      <c r="C10" s="50" t="n">
        <f aca="false">IF(ResourceSummary[[#This Row],[Resource]]="","",INDEX(ResourceTable[Max Units],ROW()-ROW(ResourceSummary[[#Headers],[Resource]])))</f>
        <v>1</v>
      </c>
      <c r="D10" s="53" t="n">
        <f aca="false">IF(ResourceSummary[[#This Row],[Resource]]="","",INDEX(ResourceTable[Tasks],ROW()-ROW(ResourceSummary[[#Headers],[Resource]])))</f>
        <v>4</v>
      </c>
      <c r="E10" s="54" t="n">
        <f aca="false">IF(ResourceSummary[[#This Row],[Resource]]="","",INDEX(ResourceTable[Work],ROW()-ROW(ResourceSummary[[#Headers],[Resource]])))</f>
        <v>208</v>
      </c>
      <c r="F10" s="54" t="n">
        <f aca="false">IF(ResourceSummary[[#This Row],[Resource]]="","",SUMIFS(tsk_LeafWorkDone,tsk_Resource,ResourceSummary[[#This Row],[Resource]]))</f>
        <v>80</v>
      </c>
      <c r="G10" s="54" t="n">
        <f aca="false">IF(ResourceSummary[[#This Row],[Resource]]="","",ResourceSummary[[#This Row],[Work]]-ResourceSummary[[#This Row],[Work Done]])</f>
        <v>128</v>
      </c>
      <c r="H10" s="54" t="n">
        <f aca="false">IF(ResourceSummary[[#This Row],[Resource]]="","",INDEX(ResourceTable[Cost],ROW()-ROW(ResourceSummary[[#Headers],[Resource]])))</f>
        <v>17680</v>
      </c>
      <c r="I10" s="54" t="n">
        <f aca="false">IF(ResourceSummary[[#This Row],[Resource]]="","",INDEX(ResourceTable[Actual Cost],ROW()-ROW(ResourceSummary[[#Headers],[Resource]])))</f>
        <v>7480</v>
      </c>
      <c r="J10" s="53" t="n">
        <f aca="false">IF(ResourceSummary[[#This Row],[Resource]]="","",COUNTIFS(tsk_Resource,ResourceSummary[[#This Row],[Resource]],tsk_LateKey,"&gt;0"))</f>
        <v>2</v>
      </c>
      <c r="K10" s="53" t="n">
        <f aca="false">IF(ResourceSummary[[#This Row],[Resource]]="","",COUNTIFS(tsk_Resource,ResourceSummary[[#This Row],[Resource]],tsk_Critical,"Yes",tsk_IsLeaf,1))</f>
        <v>3</v>
      </c>
      <c r="L10" s="51" t="n">
        <f aca="false">IF(ResourceSummary[[#This Row],[Resource]]="","",MAX(INDEX(rw_Load,ROW()-ROW(ResourceSummary[[#Headers],[Resource]]),0)))</f>
        <v>40</v>
      </c>
      <c r="M10" s="50" t="n">
        <f aca="false">IF(ResourceSummary[[#This Row],[Resource]]="","",MAX(INDEX(rw_Util,ROW()-ROW(ResourceSummary[[#Headers],[Resource]]),0)))</f>
        <v>3</v>
      </c>
      <c r="N10" s="53" t="n">
        <f aca="false">IF(ResourceSummary[[#This Row],[Resource]]="","",COUNTIF(INDEX(rw_Util,ROW()-ROW(ResourceSummary[[#Headers],[Resource]]),0),"&gt;1"))</f>
        <v>2</v>
      </c>
      <c r="O10" s="55" t="n">
        <f aca="false">IF(ResourceSummary[[#This Row],[Resource]]="","",SUM(INDEX(rw_Leave,ROW()-ROW(ResourceSummary[[#Headers],[Resource]]),0)))</f>
        <v>3.5</v>
      </c>
    </row>
    <row r="11" customFormat="false" ht="15" hidden="false" customHeight="false" outlineLevel="0" collapsed="false">
      <c r="B11" s="24" t="str">
        <f aca="false">IFERROR(INDEX(res_Name,ROW()-ROW(ResourceSummary[[#Headers],[Resource]]))&amp;"","")</f>
        <v>Sam Rivera</v>
      </c>
      <c r="C11" s="50" t="n">
        <f aca="false">IF(ResourceSummary[[#This Row],[Resource]]="","",INDEX(ResourceTable[Max Units],ROW()-ROW(ResourceSummary[[#Headers],[Resource]])))</f>
        <v>1</v>
      </c>
      <c r="D11" s="53" t="n">
        <f aca="false">IF(ResourceSummary[[#This Row],[Resource]]="","",INDEX(ResourceTable[Tasks],ROW()-ROW(ResourceSummary[[#Headers],[Resource]])))</f>
        <v>2</v>
      </c>
      <c r="E11" s="54" t="n">
        <f aca="false">IF(ResourceSummary[[#This Row],[Resource]]="","",INDEX(ResourceTable[Work],ROW()-ROW(ResourceSummary[[#Headers],[Resource]])))</f>
        <v>144</v>
      </c>
      <c r="F11" s="54" t="n">
        <f aca="false">IF(ResourceSummary[[#This Row],[Resource]]="","",SUMIFS(tsk_LeafWorkDone,tsk_Resource,ResourceSummary[[#This Row],[Resource]]))</f>
        <v>72</v>
      </c>
      <c r="G11" s="54" t="n">
        <f aca="false">IF(ResourceSummary[[#This Row],[Resource]]="","",ResourceSummary[[#This Row],[Work]]-ResourceSummary[[#This Row],[Work Done]])</f>
        <v>72</v>
      </c>
      <c r="H11" s="54" t="n">
        <f aca="false">IF(ResourceSummary[[#This Row],[Resource]]="","",INDEX(ResourceTable[Cost],ROW()-ROW(ResourceSummary[[#Headers],[Resource]])))</f>
        <v>11520</v>
      </c>
      <c r="I11" s="54" t="n">
        <f aca="false">IF(ResourceSummary[[#This Row],[Resource]]="","",INDEX(ResourceTable[Actual Cost],ROW()-ROW(ResourceSummary[[#Headers],[Resource]])))</f>
        <v>5760</v>
      </c>
      <c r="J11" s="53" t="n">
        <f aca="false">IF(ResourceSummary[[#This Row],[Resource]]="","",COUNTIFS(tsk_Resource,ResourceSummary[[#This Row],[Resource]],tsk_LateKey,"&gt;0"))</f>
        <v>1</v>
      </c>
      <c r="K11" s="53" t="n">
        <f aca="false">IF(ResourceSummary[[#This Row],[Resource]]="","",COUNTIFS(tsk_Resource,ResourceSummary[[#This Row],[Resource]],tsk_Critical,"Yes",tsk_IsLeaf,1))</f>
        <v>1</v>
      </c>
      <c r="L11" s="51" t="n">
        <f aca="false">IF(ResourceSummary[[#This Row],[Resource]]="","",MAX(INDEX(rw_Load,ROW()-ROW(ResourceSummary[[#Headers],[Resource]]),0)))</f>
        <v>34.2857142857143</v>
      </c>
      <c r="M11" s="50" t="n">
        <f aca="false">IF(ResourceSummary[[#This Row],[Resource]]="","",MAX(INDEX(rw_Util,ROW()-ROW(ResourceSummary[[#Headers],[Resource]]),0)))</f>
        <v>0.857142857142858</v>
      </c>
      <c r="N11" s="53" t="n">
        <f aca="false">IF(ResourceSummary[[#This Row],[Resource]]="","",COUNTIF(INDEX(rw_Util,ROW()-ROW(ResourceSummary[[#Headers],[Resource]]),0),"&gt;1"))</f>
        <v>0</v>
      </c>
      <c r="O11" s="55" t="n">
        <f aca="false">IF(ResourceSummary[[#This Row],[Resource]]="","",SUM(INDEX(rw_Leave,ROW()-ROW(ResourceSummary[[#Headers],[Resource]]),0)))</f>
        <v>0.5</v>
      </c>
    </row>
    <row r="12" customFormat="false" ht="15" hidden="false" customHeight="false" outlineLevel="0" collapsed="false">
      <c r="B12" s="24" t="str">
        <f aca="false">IFERROR(INDEX(res_Name,ROW()-ROW(ResourceSummary[[#Headers],[Resource]]))&amp;"","")</f>
        <v>Taylor Morgan</v>
      </c>
      <c r="C12" s="50" t="n">
        <f aca="false">IF(ResourceSummary[[#This Row],[Resource]]="","",INDEX(ResourceTable[Max Units],ROW()-ROW(ResourceSummary[[#Headers],[Resource]])))</f>
        <v>1</v>
      </c>
      <c r="D12" s="53" t="n">
        <f aca="false">IF(ResourceSummary[[#This Row],[Resource]]="","",INDEX(ResourceTable[Tasks],ROW()-ROW(ResourceSummary[[#Headers],[Resource]])))</f>
        <v>1</v>
      </c>
      <c r="E12" s="54" t="n">
        <f aca="false">IF(ResourceSummary[[#This Row],[Resource]]="","",INDEX(ResourceTable[Work],ROW()-ROW(ResourceSummary[[#Headers],[Resource]])))</f>
        <v>64</v>
      </c>
      <c r="F12" s="54" t="n">
        <f aca="false">IF(ResourceSummary[[#This Row],[Resource]]="","",SUMIFS(tsk_LeafWorkDone,tsk_Resource,ResourceSummary[[#This Row],[Resource]]))</f>
        <v>0</v>
      </c>
      <c r="G12" s="54" t="n">
        <f aca="false">IF(ResourceSummary[[#This Row],[Resource]]="","",ResourceSummary[[#This Row],[Work]]-ResourceSummary[[#This Row],[Work Done]])</f>
        <v>64</v>
      </c>
      <c r="H12" s="54" t="n">
        <f aca="false">IF(ResourceSummary[[#This Row],[Resource]]="","",INDEX(ResourceTable[Cost],ROW()-ROW(ResourceSummary[[#Headers],[Resource]])))</f>
        <v>4160</v>
      </c>
      <c r="I12" s="54" t="n">
        <f aca="false">IF(ResourceSummary[[#This Row],[Resource]]="","",INDEX(ResourceTable[Actual Cost],ROW()-ROW(ResourceSummary[[#Headers],[Resource]])))</f>
        <v>0</v>
      </c>
      <c r="J12" s="53" t="n">
        <f aca="false">IF(ResourceSummary[[#This Row],[Resource]]="","",COUNTIFS(tsk_Resource,ResourceSummary[[#This Row],[Resource]],tsk_LateKey,"&gt;0"))</f>
        <v>1</v>
      </c>
      <c r="K12" s="53" t="n">
        <f aca="false">IF(ResourceSummary[[#This Row],[Resource]]="","",COUNTIFS(tsk_Resource,ResourceSummary[[#This Row],[Resource]],tsk_Critical,"Yes",tsk_IsLeaf,1))</f>
        <v>0</v>
      </c>
      <c r="L12" s="51" t="n">
        <f aca="false">IF(ResourceSummary[[#This Row],[Resource]]="","",MAX(INDEX(rw_Load,ROW()-ROW(ResourceSummary[[#Headers],[Resource]]),0)))</f>
        <v>32</v>
      </c>
      <c r="M12" s="50" t="n">
        <f aca="false">IF(ResourceSummary[[#This Row],[Resource]]="","",MAX(INDEX(rw_Util,ROW()-ROW(ResourceSummary[[#Headers],[Resource]]),0)))</f>
        <v>0.8</v>
      </c>
      <c r="N12" s="53" t="n">
        <f aca="false">IF(ResourceSummary[[#This Row],[Resource]]="","",COUNTIF(INDEX(rw_Util,ROW()-ROW(ResourceSummary[[#Headers],[Resource]]),0),"&gt;1"))</f>
        <v>0</v>
      </c>
      <c r="O12" s="55" t="n">
        <f aca="false">IF(ResourceSummary[[#This Row],[Resource]]="","",SUM(INDEX(rw_Leave,ROW()-ROW(ResourceSummary[[#Headers],[Resource]]),0)))</f>
        <v>0</v>
      </c>
    </row>
    <row r="13" customFormat="false" ht="15" hidden="false" customHeight="false" outlineLevel="0" collapsed="false">
      <c r="B13" s="24" t="str">
        <f aca="false">IFERROR(INDEX(res_Name,ROW()-ROW(ResourceSummary[[#Headers],[Resource]]))&amp;"","")</f>
        <v/>
      </c>
      <c r="C13" s="50" t="str">
        <f aca="false">IF(ResourceSummary[[#This Row],[Resource]]="","",INDEX(ResourceTable[Max Units],ROW()-ROW(ResourceSummary[[#Headers],[Resource]])))</f>
        <v/>
      </c>
      <c r="D13" s="53" t="str">
        <f aca="false">IF(ResourceSummary[[#This Row],[Resource]]="","",INDEX(ResourceTable[Tasks],ROW()-ROW(ResourceSummary[[#Headers],[Resource]])))</f>
        <v/>
      </c>
      <c r="E13" s="54" t="str">
        <f aca="false">IF(ResourceSummary[[#This Row],[Resource]]="","",INDEX(ResourceTable[Work],ROW()-ROW(ResourceSummary[[#Headers],[Resource]])))</f>
        <v/>
      </c>
      <c r="F13" s="54" t="str">
        <f aca="false">IF(ResourceSummary[[#This Row],[Resource]]="","",SUMIFS(tsk_LeafWorkDone,tsk_Resource,ResourceSummary[[#This Row],[Resource]]))</f>
        <v/>
      </c>
      <c r="G13" s="54" t="str">
        <f aca="false">IF(ResourceSummary[[#This Row],[Resource]]="","",ResourceSummary[[#This Row],[Work]]-ResourceSummary[[#This Row],[Work Done]])</f>
        <v/>
      </c>
      <c r="H13" s="54" t="str">
        <f aca="false">IF(ResourceSummary[[#This Row],[Resource]]="","",INDEX(ResourceTable[Cost],ROW()-ROW(ResourceSummary[[#Headers],[Resource]])))</f>
        <v/>
      </c>
      <c r="I13" s="54" t="str">
        <f aca="false">IF(ResourceSummary[[#This Row],[Resource]]="","",INDEX(ResourceTable[Actual Cost],ROW()-ROW(ResourceSummary[[#Headers],[Resource]])))</f>
        <v/>
      </c>
      <c r="J13" s="53" t="str">
        <f aca="false">IF(ResourceSummary[[#This Row],[Resource]]="","",COUNTIFS(tsk_Resource,ResourceSummary[[#This Row],[Resource]],tsk_LateKey,"&gt;0"))</f>
        <v/>
      </c>
      <c r="K13" s="53" t="str">
        <f aca="false">IF(ResourceSummary[[#This Row],[Resource]]="","",COUNTIFS(tsk_Resource,ResourceSummary[[#This Row],[Resource]],tsk_Critical,"Yes",tsk_IsLeaf,1))</f>
        <v/>
      </c>
      <c r="L13" s="51" t="str">
        <f aca="false">IF(ResourceSummary[[#This Row],[Resource]]="","",MAX(INDEX(rw_Load,ROW()-ROW(ResourceSummary[[#Headers],[Resource]]),0)))</f>
        <v/>
      </c>
      <c r="M13" s="50" t="str">
        <f aca="false">IF(ResourceSummary[[#This Row],[Resource]]="","",MAX(INDEX(rw_Util,ROW()-ROW(ResourceSummary[[#Headers],[Resource]]),0)))</f>
        <v/>
      </c>
      <c r="N13" s="53" t="str">
        <f aca="false">IF(ResourceSummary[[#This Row],[Resource]]="","",COUNTIF(INDEX(rw_Util,ROW()-ROW(ResourceSummary[[#Headers],[Resource]]),0),"&gt;1"))</f>
        <v/>
      </c>
      <c r="O13" s="55" t="str">
        <f aca="false">IF(ResourceSummary[[#This Row],[Resource]]="","",SUM(INDEX(rw_Leave,ROW()-ROW(ResourceSummary[[#Headers],[Resource]]),0)))</f>
        <v/>
      </c>
    </row>
    <row r="14" customFormat="false" ht="15" hidden="false" customHeight="false" outlineLevel="0" collapsed="false">
      <c r="B14" s="24" t="str">
        <f aca="false">IFERROR(INDEX(res_Name,ROW()-ROW(ResourceSummary[[#Headers],[Resource]]))&amp;"","")</f>
        <v/>
      </c>
      <c r="C14" s="50" t="str">
        <f aca="false">IF(ResourceSummary[[#This Row],[Resource]]="","",INDEX(ResourceTable[Max Units],ROW()-ROW(ResourceSummary[[#Headers],[Resource]])))</f>
        <v/>
      </c>
      <c r="D14" s="53" t="str">
        <f aca="false">IF(ResourceSummary[[#This Row],[Resource]]="","",INDEX(ResourceTable[Tasks],ROW()-ROW(ResourceSummary[[#Headers],[Resource]])))</f>
        <v/>
      </c>
      <c r="E14" s="54" t="str">
        <f aca="false">IF(ResourceSummary[[#This Row],[Resource]]="","",INDEX(ResourceTable[Work],ROW()-ROW(ResourceSummary[[#Headers],[Resource]])))</f>
        <v/>
      </c>
      <c r="F14" s="54" t="str">
        <f aca="false">IF(ResourceSummary[[#This Row],[Resource]]="","",SUMIFS(tsk_LeafWorkDone,tsk_Resource,ResourceSummary[[#This Row],[Resource]]))</f>
        <v/>
      </c>
      <c r="G14" s="54" t="str">
        <f aca="false">IF(ResourceSummary[[#This Row],[Resource]]="","",ResourceSummary[[#This Row],[Work]]-ResourceSummary[[#This Row],[Work Done]])</f>
        <v/>
      </c>
      <c r="H14" s="54" t="str">
        <f aca="false">IF(ResourceSummary[[#This Row],[Resource]]="","",INDEX(ResourceTable[Cost],ROW()-ROW(ResourceSummary[[#Headers],[Resource]])))</f>
        <v/>
      </c>
      <c r="I14" s="54" t="str">
        <f aca="false">IF(ResourceSummary[[#This Row],[Resource]]="","",INDEX(ResourceTable[Actual Cost],ROW()-ROW(ResourceSummary[[#Headers],[Resource]])))</f>
        <v/>
      </c>
      <c r="J14" s="53" t="str">
        <f aca="false">IF(ResourceSummary[[#This Row],[Resource]]="","",COUNTIFS(tsk_Resource,ResourceSummary[[#This Row],[Resource]],tsk_LateKey,"&gt;0"))</f>
        <v/>
      </c>
      <c r="K14" s="53" t="str">
        <f aca="false">IF(ResourceSummary[[#This Row],[Resource]]="","",COUNTIFS(tsk_Resource,ResourceSummary[[#This Row],[Resource]],tsk_Critical,"Yes",tsk_IsLeaf,1))</f>
        <v/>
      </c>
      <c r="L14" s="51" t="str">
        <f aca="false">IF(ResourceSummary[[#This Row],[Resource]]="","",MAX(INDEX(rw_Load,ROW()-ROW(ResourceSummary[[#Headers],[Resource]]),0)))</f>
        <v/>
      </c>
      <c r="M14" s="50" t="str">
        <f aca="false">IF(ResourceSummary[[#This Row],[Resource]]="","",MAX(INDEX(rw_Util,ROW()-ROW(ResourceSummary[[#Headers],[Resource]]),0)))</f>
        <v/>
      </c>
      <c r="N14" s="53" t="str">
        <f aca="false">IF(ResourceSummary[[#This Row],[Resource]]="","",COUNTIF(INDEX(rw_Util,ROW()-ROW(ResourceSummary[[#Headers],[Resource]]),0),"&gt;1"))</f>
        <v/>
      </c>
      <c r="O14" s="55" t="str">
        <f aca="false">IF(ResourceSummary[[#This Row],[Resource]]="","",SUM(INDEX(rw_Leave,ROW()-ROW(ResourceSummary[[#Headers],[Resource]]),0)))</f>
        <v/>
      </c>
    </row>
    <row r="15" customFormat="false" ht="15" hidden="false" customHeight="false" outlineLevel="0" collapsed="false">
      <c r="B15" s="24" t="str">
        <f aca="false">IFERROR(INDEX(res_Name,ROW()-ROW(ResourceSummary[[#Headers],[Resource]]))&amp;"","")</f>
        <v/>
      </c>
      <c r="C15" s="50" t="str">
        <f aca="false">IF(ResourceSummary[[#This Row],[Resource]]="","",INDEX(ResourceTable[Max Units],ROW()-ROW(ResourceSummary[[#Headers],[Resource]])))</f>
        <v/>
      </c>
      <c r="D15" s="53" t="str">
        <f aca="false">IF(ResourceSummary[[#This Row],[Resource]]="","",INDEX(ResourceTable[Tasks],ROW()-ROW(ResourceSummary[[#Headers],[Resource]])))</f>
        <v/>
      </c>
      <c r="E15" s="54" t="str">
        <f aca="false">IF(ResourceSummary[[#This Row],[Resource]]="","",INDEX(ResourceTable[Work],ROW()-ROW(ResourceSummary[[#Headers],[Resource]])))</f>
        <v/>
      </c>
      <c r="F15" s="54" t="str">
        <f aca="false">IF(ResourceSummary[[#This Row],[Resource]]="","",SUMIFS(tsk_LeafWorkDone,tsk_Resource,ResourceSummary[[#This Row],[Resource]]))</f>
        <v/>
      </c>
      <c r="G15" s="54" t="str">
        <f aca="false">IF(ResourceSummary[[#This Row],[Resource]]="","",ResourceSummary[[#This Row],[Work]]-ResourceSummary[[#This Row],[Work Done]])</f>
        <v/>
      </c>
      <c r="H15" s="54" t="str">
        <f aca="false">IF(ResourceSummary[[#This Row],[Resource]]="","",INDEX(ResourceTable[Cost],ROW()-ROW(ResourceSummary[[#Headers],[Resource]])))</f>
        <v/>
      </c>
      <c r="I15" s="54" t="str">
        <f aca="false">IF(ResourceSummary[[#This Row],[Resource]]="","",INDEX(ResourceTable[Actual Cost],ROW()-ROW(ResourceSummary[[#Headers],[Resource]])))</f>
        <v/>
      </c>
      <c r="J15" s="53" t="str">
        <f aca="false">IF(ResourceSummary[[#This Row],[Resource]]="","",COUNTIFS(tsk_Resource,ResourceSummary[[#This Row],[Resource]],tsk_LateKey,"&gt;0"))</f>
        <v/>
      </c>
      <c r="K15" s="53" t="str">
        <f aca="false">IF(ResourceSummary[[#This Row],[Resource]]="","",COUNTIFS(tsk_Resource,ResourceSummary[[#This Row],[Resource]],tsk_Critical,"Yes",tsk_IsLeaf,1))</f>
        <v/>
      </c>
      <c r="L15" s="51" t="str">
        <f aca="false">IF(ResourceSummary[[#This Row],[Resource]]="","",MAX(INDEX(rw_Load,ROW()-ROW(ResourceSummary[[#Headers],[Resource]]),0)))</f>
        <v/>
      </c>
      <c r="M15" s="50" t="str">
        <f aca="false">IF(ResourceSummary[[#This Row],[Resource]]="","",MAX(INDEX(rw_Util,ROW()-ROW(ResourceSummary[[#Headers],[Resource]]),0)))</f>
        <v/>
      </c>
      <c r="N15" s="53" t="str">
        <f aca="false">IF(ResourceSummary[[#This Row],[Resource]]="","",COUNTIF(INDEX(rw_Util,ROW()-ROW(ResourceSummary[[#Headers],[Resource]]),0),"&gt;1"))</f>
        <v/>
      </c>
      <c r="O15" s="55" t="str">
        <f aca="false">IF(ResourceSummary[[#This Row],[Resource]]="","",SUM(INDEX(rw_Leave,ROW()-ROW(ResourceSummary[[#Headers],[Resource]]),0)))</f>
        <v/>
      </c>
    </row>
    <row r="16" customFormat="false" ht="15" hidden="false" customHeight="false" outlineLevel="0" collapsed="false">
      <c r="B16" s="24" t="str">
        <f aca="false">IFERROR(INDEX(res_Name,ROW()-ROW(ResourceSummary[[#Headers],[Resource]]))&amp;"","")</f>
        <v/>
      </c>
      <c r="C16" s="50" t="str">
        <f aca="false">IF(ResourceSummary[[#This Row],[Resource]]="","",INDEX(ResourceTable[Max Units],ROW()-ROW(ResourceSummary[[#Headers],[Resource]])))</f>
        <v/>
      </c>
      <c r="D16" s="53" t="str">
        <f aca="false">IF(ResourceSummary[[#This Row],[Resource]]="","",INDEX(ResourceTable[Tasks],ROW()-ROW(ResourceSummary[[#Headers],[Resource]])))</f>
        <v/>
      </c>
      <c r="E16" s="54" t="str">
        <f aca="false">IF(ResourceSummary[[#This Row],[Resource]]="","",INDEX(ResourceTable[Work],ROW()-ROW(ResourceSummary[[#Headers],[Resource]])))</f>
        <v/>
      </c>
      <c r="F16" s="54" t="str">
        <f aca="false">IF(ResourceSummary[[#This Row],[Resource]]="","",SUMIFS(tsk_LeafWorkDone,tsk_Resource,ResourceSummary[[#This Row],[Resource]]))</f>
        <v/>
      </c>
      <c r="G16" s="54" t="str">
        <f aca="false">IF(ResourceSummary[[#This Row],[Resource]]="","",ResourceSummary[[#This Row],[Work]]-ResourceSummary[[#This Row],[Work Done]])</f>
        <v/>
      </c>
      <c r="H16" s="54" t="str">
        <f aca="false">IF(ResourceSummary[[#This Row],[Resource]]="","",INDEX(ResourceTable[Cost],ROW()-ROW(ResourceSummary[[#Headers],[Resource]])))</f>
        <v/>
      </c>
      <c r="I16" s="54" t="str">
        <f aca="false">IF(ResourceSummary[[#This Row],[Resource]]="","",INDEX(ResourceTable[Actual Cost],ROW()-ROW(ResourceSummary[[#Headers],[Resource]])))</f>
        <v/>
      </c>
      <c r="J16" s="53" t="str">
        <f aca="false">IF(ResourceSummary[[#This Row],[Resource]]="","",COUNTIFS(tsk_Resource,ResourceSummary[[#This Row],[Resource]],tsk_LateKey,"&gt;0"))</f>
        <v/>
      </c>
      <c r="K16" s="53" t="str">
        <f aca="false">IF(ResourceSummary[[#This Row],[Resource]]="","",COUNTIFS(tsk_Resource,ResourceSummary[[#This Row],[Resource]],tsk_Critical,"Yes",tsk_IsLeaf,1))</f>
        <v/>
      </c>
      <c r="L16" s="51" t="str">
        <f aca="false">IF(ResourceSummary[[#This Row],[Resource]]="","",MAX(INDEX(rw_Load,ROW()-ROW(ResourceSummary[[#Headers],[Resource]]),0)))</f>
        <v/>
      </c>
      <c r="M16" s="50" t="str">
        <f aca="false">IF(ResourceSummary[[#This Row],[Resource]]="","",MAX(INDEX(rw_Util,ROW()-ROW(ResourceSummary[[#Headers],[Resource]]),0)))</f>
        <v/>
      </c>
      <c r="N16" s="53" t="str">
        <f aca="false">IF(ResourceSummary[[#This Row],[Resource]]="","",COUNTIF(INDEX(rw_Util,ROW()-ROW(ResourceSummary[[#Headers],[Resource]]),0),"&gt;1"))</f>
        <v/>
      </c>
      <c r="O16" s="55" t="str">
        <f aca="false">IF(ResourceSummary[[#This Row],[Resource]]="","",SUM(INDEX(rw_Leave,ROW()-ROW(ResourceSummary[[#Headers],[Resource]]),0)))</f>
        <v/>
      </c>
    </row>
    <row r="17" customFormat="false" ht="15" hidden="false" customHeight="false" outlineLevel="0" collapsed="false">
      <c r="B17" s="24" t="str">
        <f aca="false">IFERROR(INDEX(res_Name,ROW()-ROW(ResourceSummary[[#Headers],[Resource]]))&amp;"","")</f>
        <v/>
      </c>
      <c r="C17" s="50" t="str">
        <f aca="false">IF(ResourceSummary[[#This Row],[Resource]]="","",INDEX(ResourceTable[Max Units],ROW()-ROW(ResourceSummary[[#Headers],[Resource]])))</f>
        <v/>
      </c>
      <c r="D17" s="53" t="str">
        <f aca="false">IF(ResourceSummary[[#This Row],[Resource]]="","",INDEX(ResourceTable[Tasks],ROW()-ROW(ResourceSummary[[#Headers],[Resource]])))</f>
        <v/>
      </c>
      <c r="E17" s="54" t="str">
        <f aca="false">IF(ResourceSummary[[#This Row],[Resource]]="","",INDEX(ResourceTable[Work],ROW()-ROW(ResourceSummary[[#Headers],[Resource]])))</f>
        <v/>
      </c>
      <c r="F17" s="54" t="str">
        <f aca="false">IF(ResourceSummary[[#This Row],[Resource]]="","",SUMIFS(tsk_LeafWorkDone,tsk_Resource,ResourceSummary[[#This Row],[Resource]]))</f>
        <v/>
      </c>
      <c r="G17" s="54" t="str">
        <f aca="false">IF(ResourceSummary[[#This Row],[Resource]]="","",ResourceSummary[[#This Row],[Work]]-ResourceSummary[[#This Row],[Work Done]])</f>
        <v/>
      </c>
      <c r="H17" s="54" t="str">
        <f aca="false">IF(ResourceSummary[[#This Row],[Resource]]="","",INDEX(ResourceTable[Cost],ROW()-ROW(ResourceSummary[[#Headers],[Resource]])))</f>
        <v/>
      </c>
      <c r="I17" s="54" t="str">
        <f aca="false">IF(ResourceSummary[[#This Row],[Resource]]="","",INDEX(ResourceTable[Actual Cost],ROW()-ROW(ResourceSummary[[#Headers],[Resource]])))</f>
        <v/>
      </c>
      <c r="J17" s="53" t="str">
        <f aca="false">IF(ResourceSummary[[#This Row],[Resource]]="","",COUNTIFS(tsk_Resource,ResourceSummary[[#This Row],[Resource]],tsk_LateKey,"&gt;0"))</f>
        <v/>
      </c>
      <c r="K17" s="53" t="str">
        <f aca="false">IF(ResourceSummary[[#This Row],[Resource]]="","",COUNTIFS(tsk_Resource,ResourceSummary[[#This Row],[Resource]],tsk_Critical,"Yes",tsk_IsLeaf,1))</f>
        <v/>
      </c>
      <c r="L17" s="51" t="str">
        <f aca="false">IF(ResourceSummary[[#This Row],[Resource]]="","",MAX(INDEX(rw_Load,ROW()-ROW(ResourceSummary[[#Headers],[Resource]]),0)))</f>
        <v/>
      </c>
      <c r="M17" s="50" t="str">
        <f aca="false">IF(ResourceSummary[[#This Row],[Resource]]="","",MAX(INDEX(rw_Util,ROW()-ROW(ResourceSummary[[#Headers],[Resource]]),0)))</f>
        <v/>
      </c>
      <c r="N17" s="53" t="str">
        <f aca="false">IF(ResourceSummary[[#This Row],[Resource]]="","",COUNTIF(INDEX(rw_Util,ROW()-ROW(ResourceSummary[[#Headers],[Resource]]),0),"&gt;1"))</f>
        <v/>
      </c>
      <c r="O17" s="55" t="str">
        <f aca="false">IF(ResourceSummary[[#This Row],[Resource]]="","",SUM(INDEX(rw_Leave,ROW()-ROW(ResourceSummary[[#Headers],[Resource]]),0)))</f>
        <v/>
      </c>
    </row>
    <row r="18" customFormat="false" ht="15" hidden="false" customHeight="false" outlineLevel="0" collapsed="false">
      <c r="B18" s="24" t="str">
        <f aca="false">IFERROR(INDEX(res_Name,ROW()-ROW(ResourceSummary[[#Headers],[Resource]]))&amp;"","")</f>
        <v/>
      </c>
      <c r="C18" s="50" t="str">
        <f aca="false">IF(ResourceSummary[[#This Row],[Resource]]="","",INDEX(ResourceTable[Max Units],ROW()-ROW(ResourceSummary[[#Headers],[Resource]])))</f>
        <v/>
      </c>
      <c r="D18" s="53" t="str">
        <f aca="false">IF(ResourceSummary[[#This Row],[Resource]]="","",INDEX(ResourceTable[Tasks],ROW()-ROW(ResourceSummary[[#Headers],[Resource]])))</f>
        <v/>
      </c>
      <c r="E18" s="54" t="str">
        <f aca="false">IF(ResourceSummary[[#This Row],[Resource]]="","",INDEX(ResourceTable[Work],ROW()-ROW(ResourceSummary[[#Headers],[Resource]])))</f>
        <v/>
      </c>
      <c r="F18" s="54" t="str">
        <f aca="false">IF(ResourceSummary[[#This Row],[Resource]]="","",SUMIFS(tsk_LeafWorkDone,tsk_Resource,ResourceSummary[[#This Row],[Resource]]))</f>
        <v/>
      </c>
      <c r="G18" s="54" t="str">
        <f aca="false">IF(ResourceSummary[[#This Row],[Resource]]="","",ResourceSummary[[#This Row],[Work]]-ResourceSummary[[#This Row],[Work Done]])</f>
        <v/>
      </c>
      <c r="H18" s="54" t="str">
        <f aca="false">IF(ResourceSummary[[#This Row],[Resource]]="","",INDEX(ResourceTable[Cost],ROW()-ROW(ResourceSummary[[#Headers],[Resource]])))</f>
        <v/>
      </c>
      <c r="I18" s="54" t="str">
        <f aca="false">IF(ResourceSummary[[#This Row],[Resource]]="","",INDEX(ResourceTable[Actual Cost],ROW()-ROW(ResourceSummary[[#Headers],[Resource]])))</f>
        <v/>
      </c>
      <c r="J18" s="53" t="str">
        <f aca="false">IF(ResourceSummary[[#This Row],[Resource]]="","",COUNTIFS(tsk_Resource,ResourceSummary[[#This Row],[Resource]],tsk_LateKey,"&gt;0"))</f>
        <v/>
      </c>
      <c r="K18" s="53" t="str">
        <f aca="false">IF(ResourceSummary[[#This Row],[Resource]]="","",COUNTIFS(tsk_Resource,ResourceSummary[[#This Row],[Resource]],tsk_Critical,"Yes",tsk_IsLeaf,1))</f>
        <v/>
      </c>
      <c r="L18" s="51" t="str">
        <f aca="false">IF(ResourceSummary[[#This Row],[Resource]]="","",MAX(INDEX(rw_Load,ROW()-ROW(ResourceSummary[[#Headers],[Resource]]),0)))</f>
        <v/>
      </c>
      <c r="M18" s="50" t="str">
        <f aca="false">IF(ResourceSummary[[#This Row],[Resource]]="","",MAX(INDEX(rw_Util,ROW()-ROW(ResourceSummary[[#Headers],[Resource]]),0)))</f>
        <v/>
      </c>
      <c r="N18" s="53" t="str">
        <f aca="false">IF(ResourceSummary[[#This Row],[Resource]]="","",COUNTIF(INDEX(rw_Util,ROW()-ROW(ResourceSummary[[#Headers],[Resource]]),0),"&gt;1"))</f>
        <v/>
      </c>
      <c r="O18" s="55" t="str">
        <f aca="false">IF(ResourceSummary[[#This Row],[Resource]]="","",SUM(INDEX(rw_Leave,ROW()-ROW(ResourceSummary[[#Headers],[Resource]]),0)))</f>
        <v/>
      </c>
    </row>
    <row r="19" customFormat="false" ht="15" hidden="false" customHeight="false" outlineLevel="0" collapsed="false">
      <c r="B19" s="24" t="str">
        <f aca="false">IFERROR(INDEX(res_Name,ROW()-ROW(ResourceSummary[[#Headers],[Resource]]))&amp;"","")</f>
        <v/>
      </c>
      <c r="C19" s="50" t="str">
        <f aca="false">IF(ResourceSummary[[#This Row],[Resource]]="","",INDEX(ResourceTable[Max Units],ROW()-ROW(ResourceSummary[[#Headers],[Resource]])))</f>
        <v/>
      </c>
      <c r="D19" s="53" t="str">
        <f aca="false">IF(ResourceSummary[[#This Row],[Resource]]="","",INDEX(ResourceTable[Tasks],ROW()-ROW(ResourceSummary[[#Headers],[Resource]])))</f>
        <v/>
      </c>
      <c r="E19" s="54" t="str">
        <f aca="false">IF(ResourceSummary[[#This Row],[Resource]]="","",INDEX(ResourceTable[Work],ROW()-ROW(ResourceSummary[[#Headers],[Resource]])))</f>
        <v/>
      </c>
      <c r="F19" s="54" t="str">
        <f aca="false">IF(ResourceSummary[[#This Row],[Resource]]="","",SUMIFS(tsk_LeafWorkDone,tsk_Resource,ResourceSummary[[#This Row],[Resource]]))</f>
        <v/>
      </c>
      <c r="G19" s="54" t="str">
        <f aca="false">IF(ResourceSummary[[#This Row],[Resource]]="","",ResourceSummary[[#This Row],[Work]]-ResourceSummary[[#This Row],[Work Done]])</f>
        <v/>
      </c>
      <c r="H19" s="54" t="str">
        <f aca="false">IF(ResourceSummary[[#This Row],[Resource]]="","",INDEX(ResourceTable[Cost],ROW()-ROW(ResourceSummary[[#Headers],[Resource]])))</f>
        <v/>
      </c>
      <c r="I19" s="54" t="str">
        <f aca="false">IF(ResourceSummary[[#This Row],[Resource]]="","",INDEX(ResourceTable[Actual Cost],ROW()-ROW(ResourceSummary[[#Headers],[Resource]])))</f>
        <v/>
      </c>
      <c r="J19" s="53" t="str">
        <f aca="false">IF(ResourceSummary[[#This Row],[Resource]]="","",COUNTIFS(tsk_Resource,ResourceSummary[[#This Row],[Resource]],tsk_LateKey,"&gt;0"))</f>
        <v/>
      </c>
      <c r="K19" s="53" t="str">
        <f aca="false">IF(ResourceSummary[[#This Row],[Resource]]="","",COUNTIFS(tsk_Resource,ResourceSummary[[#This Row],[Resource]],tsk_Critical,"Yes",tsk_IsLeaf,1))</f>
        <v/>
      </c>
      <c r="L19" s="51" t="str">
        <f aca="false">IF(ResourceSummary[[#This Row],[Resource]]="","",MAX(INDEX(rw_Load,ROW()-ROW(ResourceSummary[[#Headers],[Resource]]),0)))</f>
        <v/>
      </c>
      <c r="M19" s="50" t="str">
        <f aca="false">IF(ResourceSummary[[#This Row],[Resource]]="","",MAX(INDEX(rw_Util,ROW()-ROW(ResourceSummary[[#Headers],[Resource]]),0)))</f>
        <v/>
      </c>
      <c r="N19" s="53" t="str">
        <f aca="false">IF(ResourceSummary[[#This Row],[Resource]]="","",COUNTIF(INDEX(rw_Util,ROW()-ROW(ResourceSummary[[#Headers],[Resource]]),0),"&gt;1"))</f>
        <v/>
      </c>
      <c r="O19" s="55" t="str">
        <f aca="false">IF(ResourceSummary[[#This Row],[Resource]]="","",SUM(INDEX(rw_Leave,ROW()-ROW(ResourceSummary[[#Headers],[Resource]]),0)))</f>
        <v/>
      </c>
    </row>
    <row r="20" customFormat="false" ht="15" hidden="false" customHeight="false" outlineLevel="0" collapsed="false">
      <c r="B20" s="24" t="str">
        <f aca="false">IFERROR(INDEX(res_Name,ROW()-ROW(ResourceSummary[[#Headers],[Resource]]))&amp;"","")</f>
        <v/>
      </c>
      <c r="C20" s="50" t="str">
        <f aca="false">IF(ResourceSummary[[#This Row],[Resource]]="","",INDEX(ResourceTable[Max Units],ROW()-ROW(ResourceSummary[[#Headers],[Resource]])))</f>
        <v/>
      </c>
      <c r="D20" s="53" t="str">
        <f aca="false">IF(ResourceSummary[[#This Row],[Resource]]="","",INDEX(ResourceTable[Tasks],ROW()-ROW(ResourceSummary[[#Headers],[Resource]])))</f>
        <v/>
      </c>
      <c r="E20" s="54" t="str">
        <f aca="false">IF(ResourceSummary[[#This Row],[Resource]]="","",INDEX(ResourceTable[Work],ROW()-ROW(ResourceSummary[[#Headers],[Resource]])))</f>
        <v/>
      </c>
      <c r="F20" s="54" t="str">
        <f aca="false">IF(ResourceSummary[[#This Row],[Resource]]="","",SUMIFS(tsk_LeafWorkDone,tsk_Resource,ResourceSummary[[#This Row],[Resource]]))</f>
        <v/>
      </c>
      <c r="G20" s="54" t="str">
        <f aca="false">IF(ResourceSummary[[#This Row],[Resource]]="","",ResourceSummary[[#This Row],[Work]]-ResourceSummary[[#This Row],[Work Done]])</f>
        <v/>
      </c>
      <c r="H20" s="54" t="str">
        <f aca="false">IF(ResourceSummary[[#This Row],[Resource]]="","",INDEX(ResourceTable[Cost],ROW()-ROW(ResourceSummary[[#Headers],[Resource]])))</f>
        <v/>
      </c>
      <c r="I20" s="54" t="str">
        <f aca="false">IF(ResourceSummary[[#This Row],[Resource]]="","",INDEX(ResourceTable[Actual Cost],ROW()-ROW(ResourceSummary[[#Headers],[Resource]])))</f>
        <v/>
      </c>
      <c r="J20" s="53" t="str">
        <f aca="false">IF(ResourceSummary[[#This Row],[Resource]]="","",COUNTIFS(tsk_Resource,ResourceSummary[[#This Row],[Resource]],tsk_LateKey,"&gt;0"))</f>
        <v/>
      </c>
      <c r="K20" s="53" t="str">
        <f aca="false">IF(ResourceSummary[[#This Row],[Resource]]="","",COUNTIFS(tsk_Resource,ResourceSummary[[#This Row],[Resource]],tsk_Critical,"Yes",tsk_IsLeaf,1))</f>
        <v/>
      </c>
      <c r="L20" s="51" t="str">
        <f aca="false">IF(ResourceSummary[[#This Row],[Resource]]="","",MAX(INDEX(rw_Load,ROW()-ROW(ResourceSummary[[#Headers],[Resource]]),0)))</f>
        <v/>
      </c>
      <c r="M20" s="50" t="str">
        <f aca="false">IF(ResourceSummary[[#This Row],[Resource]]="","",MAX(INDEX(rw_Util,ROW()-ROW(ResourceSummary[[#Headers],[Resource]]),0)))</f>
        <v/>
      </c>
      <c r="N20" s="53" t="str">
        <f aca="false">IF(ResourceSummary[[#This Row],[Resource]]="","",COUNTIF(INDEX(rw_Util,ROW()-ROW(ResourceSummary[[#Headers],[Resource]]),0),"&gt;1"))</f>
        <v/>
      </c>
      <c r="O20" s="55" t="str">
        <f aca="false">IF(ResourceSummary[[#This Row],[Resource]]="","",SUM(INDEX(rw_Leave,ROW()-ROW(ResourceSummary[[#Headers],[Resource]]),0)))</f>
        <v/>
      </c>
    </row>
    <row r="21" customFormat="false" ht="15" hidden="false" customHeight="false" outlineLevel="0" collapsed="false">
      <c r="B21" s="24" t="str">
        <f aca="false">IFERROR(INDEX(res_Name,ROW()-ROW(ResourceSummary[[#Headers],[Resource]]))&amp;"","")</f>
        <v/>
      </c>
      <c r="C21" s="50" t="str">
        <f aca="false">IF(ResourceSummary[[#This Row],[Resource]]="","",INDEX(ResourceTable[Max Units],ROW()-ROW(ResourceSummary[[#Headers],[Resource]])))</f>
        <v/>
      </c>
      <c r="D21" s="53" t="str">
        <f aca="false">IF(ResourceSummary[[#This Row],[Resource]]="","",INDEX(ResourceTable[Tasks],ROW()-ROW(ResourceSummary[[#Headers],[Resource]])))</f>
        <v/>
      </c>
      <c r="E21" s="54" t="str">
        <f aca="false">IF(ResourceSummary[[#This Row],[Resource]]="","",INDEX(ResourceTable[Work],ROW()-ROW(ResourceSummary[[#Headers],[Resource]])))</f>
        <v/>
      </c>
      <c r="F21" s="54" t="str">
        <f aca="false">IF(ResourceSummary[[#This Row],[Resource]]="","",SUMIFS(tsk_LeafWorkDone,tsk_Resource,ResourceSummary[[#This Row],[Resource]]))</f>
        <v/>
      </c>
      <c r="G21" s="54" t="str">
        <f aca="false">IF(ResourceSummary[[#This Row],[Resource]]="","",ResourceSummary[[#This Row],[Work]]-ResourceSummary[[#This Row],[Work Done]])</f>
        <v/>
      </c>
      <c r="H21" s="54" t="str">
        <f aca="false">IF(ResourceSummary[[#This Row],[Resource]]="","",INDEX(ResourceTable[Cost],ROW()-ROW(ResourceSummary[[#Headers],[Resource]])))</f>
        <v/>
      </c>
      <c r="I21" s="54" t="str">
        <f aca="false">IF(ResourceSummary[[#This Row],[Resource]]="","",INDEX(ResourceTable[Actual Cost],ROW()-ROW(ResourceSummary[[#Headers],[Resource]])))</f>
        <v/>
      </c>
      <c r="J21" s="53" t="str">
        <f aca="false">IF(ResourceSummary[[#This Row],[Resource]]="","",COUNTIFS(tsk_Resource,ResourceSummary[[#This Row],[Resource]],tsk_LateKey,"&gt;0"))</f>
        <v/>
      </c>
      <c r="K21" s="53" t="str">
        <f aca="false">IF(ResourceSummary[[#This Row],[Resource]]="","",COUNTIFS(tsk_Resource,ResourceSummary[[#This Row],[Resource]],tsk_Critical,"Yes",tsk_IsLeaf,1))</f>
        <v/>
      </c>
      <c r="L21" s="51" t="str">
        <f aca="false">IF(ResourceSummary[[#This Row],[Resource]]="","",MAX(INDEX(rw_Load,ROW()-ROW(ResourceSummary[[#Headers],[Resource]]),0)))</f>
        <v/>
      </c>
      <c r="M21" s="50" t="str">
        <f aca="false">IF(ResourceSummary[[#This Row],[Resource]]="","",MAX(INDEX(rw_Util,ROW()-ROW(ResourceSummary[[#Headers],[Resource]]),0)))</f>
        <v/>
      </c>
      <c r="N21" s="53" t="str">
        <f aca="false">IF(ResourceSummary[[#This Row],[Resource]]="","",COUNTIF(INDEX(rw_Util,ROW()-ROW(ResourceSummary[[#Headers],[Resource]]),0),"&gt;1"))</f>
        <v/>
      </c>
      <c r="O21" s="55" t="str">
        <f aca="false">IF(ResourceSummary[[#This Row],[Resource]]="","",SUM(INDEX(rw_Leave,ROW()-ROW(ResourceSummary[[#Headers],[Resource]]),0)))</f>
        <v/>
      </c>
    </row>
    <row r="22" customFormat="false" ht="15" hidden="false" customHeight="false" outlineLevel="0" collapsed="false">
      <c r="B22" s="24" t="str">
        <f aca="false">IFERROR(INDEX(res_Name,ROW()-ROW(ResourceSummary[[#Headers],[Resource]]))&amp;"","")</f>
        <v/>
      </c>
      <c r="C22" s="50" t="str">
        <f aca="false">IF(ResourceSummary[[#This Row],[Resource]]="","",INDEX(ResourceTable[Max Units],ROW()-ROW(ResourceSummary[[#Headers],[Resource]])))</f>
        <v/>
      </c>
      <c r="D22" s="53" t="str">
        <f aca="false">IF(ResourceSummary[[#This Row],[Resource]]="","",INDEX(ResourceTable[Tasks],ROW()-ROW(ResourceSummary[[#Headers],[Resource]])))</f>
        <v/>
      </c>
      <c r="E22" s="54" t="str">
        <f aca="false">IF(ResourceSummary[[#This Row],[Resource]]="","",INDEX(ResourceTable[Work],ROW()-ROW(ResourceSummary[[#Headers],[Resource]])))</f>
        <v/>
      </c>
      <c r="F22" s="54" t="str">
        <f aca="false">IF(ResourceSummary[[#This Row],[Resource]]="","",SUMIFS(tsk_LeafWorkDone,tsk_Resource,ResourceSummary[[#This Row],[Resource]]))</f>
        <v/>
      </c>
      <c r="G22" s="54" t="str">
        <f aca="false">IF(ResourceSummary[[#This Row],[Resource]]="","",ResourceSummary[[#This Row],[Work]]-ResourceSummary[[#This Row],[Work Done]])</f>
        <v/>
      </c>
      <c r="H22" s="54" t="str">
        <f aca="false">IF(ResourceSummary[[#This Row],[Resource]]="","",INDEX(ResourceTable[Cost],ROW()-ROW(ResourceSummary[[#Headers],[Resource]])))</f>
        <v/>
      </c>
      <c r="I22" s="54" t="str">
        <f aca="false">IF(ResourceSummary[[#This Row],[Resource]]="","",INDEX(ResourceTable[Actual Cost],ROW()-ROW(ResourceSummary[[#Headers],[Resource]])))</f>
        <v/>
      </c>
      <c r="J22" s="53" t="str">
        <f aca="false">IF(ResourceSummary[[#This Row],[Resource]]="","",COUNTIFS(tsk_Resource,ResourceSummary[[#This Row],[Resource]],tsk_LateKey,"&gt;0"))</f>
        <v/>
      </c>
      <c r="K22" s="53" t="str">
        <f aca="false">IF(ResourceSummary[[#This Row],[Resource]]="","",COUNTIFS(tsk_Resource,ResourceSummary[[#This Row],[Resource]],tsk_Critical,"Yes",tsk_IsLeaf,1))</f>
        <v/>
      </c>
      <c r="L22" s="51" t="str">
        <f aca="false">IF(ResourceSummary[[#This Row],[Resource]]="","",MAX(INDEX(rw_Load,ROW()-ROW(ResourceSummary[[#Headers],[Resource]]),0)))</f>
        <v/>
      </c>
      <c r="M22" s="50" t="str">
        <f aca="false">IF(ResourceSummary[[#This Row],[Resource]]="","",MAX(INDEX(rw_Util,ROW()-ROW(ResourceSummary[[#Headers],[Resource]]),0)))</f>
        <v/>
      </c>
      <c r="N22" s="53" t="str">
        <f aca="false">IF(ResourceSummary[[#This Row],[Resource]]="","",COUNTIF(INDEX(rw_Util,ROW()-ROW(ResourceSummary[[#Headers],[Resource]]),0),"&gt;1"))</f>
        <v/>
      </c>
      <c r="O22" s="55" t="str">
        <f aca="false">IF(ResourceSummary[[#This Row],[Resource]]="","",SUM(INDEX(rw_Leave,ROW()-ROW(ResourceSummary[[#Headers],[Resource]]),0)))</f>
        <v/>
      </c>
    </row>
    <row r="23" customFormat="false" ht="15" hidden="false" customHeight="false" outlineLevel="0" collapsed="false">
      <c r="B23" s="24" t="str">
        <f aca="false">IFERROR(INDEX(res_Name,ROW()-ROW(ResourceSummary[[#Headers],[Resource]]))&amp;"","")</f>
        <v/>
      </c>
      <c r="C23" s="50" t="str">
        <f aca="false">IF(ResourceSummary[[#This Row],[Resource]]="","",INDEX(ResourceTable[Max Units],ROW()-ROW(ResourceSummary[[#Headers],[Resource]])))</f>
        <v/>
      </c>
      <c r="D23" s="53" t="str">
        <f aca="false">IF(ResourceSummary[[#This Row],[Resource]]="","",INDEX(ResourceTable[Tasks],ROW()-ROW(ResourceSummary[[#Headers],[Resource]])))</f>
        <v/>
      </c>
      <c r="E23" s="54" t="str">
        <f aca="false">IF(ResourceSummary[[#This Row],[Resource]]="","",INDEX(ResourceTable[Work],ROW()-ROW(ResourceSummary[[#Headers],[Resource]])))</f>
        <v/>
      </c>
      <c r="F23" s="54" t="str">
        <f aca="false">IF(ResourceSummary[[#This Row],[Resource]]="","",SUMIFS(tsk_LeafWorkDone,tsk_Resource,ResourceSummary[[#This Row],[Resource]]))</f>
        <v/>
      </c>
      <c r="G23" s="54" t="str">
        <f aca="false">IF(ResourceSummary[[#This Row],[Resource]]="","",ResourceSummary[[#This Row],[Work]]-ResourceSummary[[#This Row],[Work Done]])</f>
        <v/>
      </c>
      <c r="H23" s="54" t="str">
        <f aca="false">IF(ResourceSummary[[#This Row],[Resource]]="","",INDEX(ResourceTable[Cost],ROW()-ROW(ResourceSummary[[#Headers],[Resource]])))</f>
        <v/>
      </c>
      <c r="I23" s="54" t="str">
        <f aca="false">IF(ResourceSummary[[#This Row],[Resource]]="","",INDEX(ResourceTable[Actual Cost],ROW()-ROW(ResourceSummary[[#Headers],[Resource]])))</f>
        <v/>
      </c>
      <c r="J23" s="53" t="str">
        <f aca="false">IF(ResourceSummary[[#This Row],[Resource]]="","",COUNTIFS(tsk_Resource,ResourceSummary[[#This Row],[Resource]],tsk_LateKey,"&gt;0"))</f>
        <v/>
      </c>
      <c r="K23" s="53" t="str">
        <f aca="false">IF(ResourceSummary[[#This Row],[Resource]]="","",COUNTIFS(tsk_Resource,ResourceSummary[[#This Row],[Resource]],tsk_Critical,"Yes",tsk_IsLeaf,1))</f>
        <v/>
      </c>
      <c r="L23" s="51" t="str">
        <f aca="false">IF(ResourceSummary[[#This Row],[Resource]]="","",MAX(INDEX(rw_Load,ROW()-ROW(ResourceSummary[[#Headers],[Resource]]),0)))</f>
        <v/>
      </c>
      <c r="M23" s="50" t="str">
        <f aca="false">IF(ResourceSummary[[#This Row],[Resource]]="","",MAX(INDEX(rw_Util,ROW()-ROW(ResourceSummary[[#Headers],[Resource]]),0)))</f>
        <v/>
      </c>
      <c r="N23" s="53" t="str">
        <f aca="false">IF(ResourceSummary[[#This Row],[Resource]]="","",COUNTIF(INDEX(rw_Util,ROW()-ROW(ResourceSummary[[#Headers],[Resource]]),0),"&gt;1"))</f>
        <v/>
      </c>
      <c r="O23" s="55" t="str">
        <f aca="false">IF(ResourceSummary[[#This Row],[Resource]]="","",SUM(INDEX(rw_Leave,ROW()-ROW(ResourceSummary[[#Headers],[Resource]]),0)))</f>
        <v/>
      </c>
    </row>
    <row r="24" customFormat="false" ht="15" hidden="false" customHeight="false" outlineLevel="0" collapsed="false">
      <c r="B24" s="24" t="str">
        <f aca="false">IFERROR(INDEX(res_Name,ROW()-ROW(ResourceSummary[[#Headers],[Resource]]))&amp;"","")</f>
        <v/>
      </c>
      <c r="C24" s="50" t="str">
        <f aca="false">IF(ResourceSummary[[#This Row],[Resource]]="","",INDEX(ResourceTable[Max Units],ROW()-ROW(ResourceSummary[[#Headers],[Resource]])))</f>
        <v/>
      </c>
      <c r="D24" s="53" t="str">
        <f aca="false">IF(ResourceSummary[[#This Row],[Resource]]="","",INDEX(ResourceTable[Tasks],ROW()-ROW(ResourceSummary[[#Headers],[Resource]])))</f>
        <v/>
      </c>
      <c r="E24" s="54" t="str">
        <f aca="false">IF(ResourceSummary[[#This Row],[Resource]]="","",INDEX(ResourceTable[Work],ROW()-ROW(ResourceSummary[[#Headers],[Resource]])))</f>
        <v/>
      </c>
      <c r="F24" s="54" t="str">
        <f aca="false">IF(ResourceSummary[[#This Row],[Resource]]="","",SUMIFS(tsk_LeafWorkDone,tsk_Resource,ResourceSummary[[#This Row],[Resource]]))</f>
        <v/>
      </c>
      <c r="G24" s="54" t="str">
        <f aca="false">IF(ResourceSummary[[#This Row],[Resource]]="","",ResourceSummary[[#This Row],[Work]]-ResourceSummary[[#This Row],[Work Done]])</f>
        <v/>
      </c>
      <c r="H24" s="54" t="str">
        <f aca="false">IF(ResourceSummary[[#This Row],[Resource]]="","",INDEX(ResourceTable[Cost],ROW()-ROW(ResourceSummary[[#Headers],[Resource]])))</f>
        <v/>
      </c>
      <c r="I24" s="54" t="str">
        <f aca="false">IF(ResourceSummary[[#This Row],[Resource]]="","",INDEX(ResourceTable[Actual Cost],ROW()-ROW(ResourceSummary[[#Headers],[Resource]])))</f>
        <v/>
      </c>
      <c r="J24" s="53" t="str">
        <f aca="false">IF(ResourceSummary[[#This Row],[Resource]]="","",COUNTIFS(tsk_Resource,ResourceSummary[[#This Row],[Resource]],tsk_LateKey,"&gt;0"))</f>
        <v/>
      </c>
      <c r="K24" s="53" t="str">
        <f aca="false">IF(ResourceSummary[[#This Row],[Resource]]="","",COUNTIFS(tsk_Resource,ResourceSummary[[#This Row],[Resource]],tsk_Critical,"Yes",tsk_IsLeaf,1))</f>
        <v/>
      </c>
      <c r="L24" s="51" t="str">
        <f aca="false">IF(ResourceSummary[[#This Row],[Resource]]="","",MAX(INDEX(rw_Load,ROW()-ROW(ResourceSummary[[#Headers],[Resource]]),0)))</f>
        <v/>
      </c>
      <c r="M24" s="50" t="str">
        <f aca="false">IF(ResourceSummary[[#This Row],[Resource]]="","",MAX(INDEX(rw_Util,ROW()-ROW(ResourceSummary[[#Headers],[Resource]]),0)))</f>
        <v/>
      </c>
      <c r="N24" s="53" t="str">
        <f aca="false">IF(ResourceSummary[[#This Row],[Resource]]="","",COUNTIF(INDEX(rw_Util,ROW()-ROW(ResourceSummary[[#Headers],[Resource]]),0),"&gt;1"))</f>
        <v/>
      </c>
      <c r="O24" s="55" t="str">
        <f aca="false">IF(ResourceSummary[[#This Row],[Resource]]="","",SUM(INDEX(rw_Leave,ROW()-ROW(ResourceSummary[[#Headers],[Resource]]),0)))</f>
        <v/>
      </c>
    </row>
    <row r="25" customFormat="false" ht="15" hidden="false" customHeight="false" outlineLevel="0" collapsed="false">
      <c r="B25" s="24" t="str">
        <f aca="false">IFERROR(INDEX(res_Name,ROW()-ROW(ResourceSummary[[#Headers],[Resource]]))&amp;"","")</f>
        <v/>
      </c>
      <c r="C25" s="50" t="str">
        <f aca="false">IF(ResourceSummary[[#This Row],[Resource]]="","",INDEX(ResourceTable[Max Units],ROW()-ROW(ResourceSummary[[#Headers],[Resource]])))</f>
        <v/>
      </c>
      <c r="D25" s="53" t="str">
        <f aca="false">IF(ResourceSummary[[#This Row],[Resource]]="","",INDEX(ResourceTable[Tasks],ROW()-ROW(ResourceSummary[[#Headers],[Resource]])))</f>
        <v/>
      </c>
      <c r="E25" s="54" t="str">
        <f aca="false">IF(ResourceSummary[[#This Row],[Resource]]="","",INDEX(ResourceTable[Work],ROW()-ROW(ResourceSummary[[#Headers],[Resource]])))</f>
        <v/>
      </c>
      <c r="F25" s="54" t="str">
        <f aca="false">IF(ResourceSummary[[#This Row],[Resource]]="","",SUMIFS(tsk_LeafWorkDone,tsk_Resource,ResourceSummary[[#This Row],[Resource]]))</f>
        <v/>
      </c>
      <c r="G25" s="54" t="str">
        <f aca="false">IF(ResourceSummary[[#This Row],[Resource]]="","",ResourceSummary[[#This Row],[Work]]-ResourceSummary[[#This Row],[Work Done]])</f>
        <v/>
      </c>
      <c r="H25" s="54" t="str">
        <f aca="false">IF(ResourceSummary[[#This Row],[Resource]]="","",INDEX(ResourceTable[Cost],ROW()-ROW(ResourceSummary[[#Headers],[Resource]])))</f>
        <v/>
      </c>
      <c r="I25" s="54" t="str">
        <f aca="false">IF(ResourceSummary[[#This Row],[Resource]]="","",INDEX(ResourceTable[Actual Cost],ROW()-ROW(ResourceSummary[[#Headers],[Resource]])))</f>
        <v/>
      </c>
      <c r="J25" s="53" t="str">
        <f aca="false">IF(ResourceSummary[[#This Row],[Resource]]="","",COUNTIFS(tsk_Resource,ResourceSummary[[#This Row],[Resource]],tsk_LateKey,"&gt;0"))</f>
        <v/>
      </c>
      <c r="K25" s="53" t="str">
        <f aca="false">IF(ResourceSummary[[#This Row],[Resource]]="","",COUNTIFS(tsk_Resource,ResourceSummary[[#This Row],[Resource]],tsk_Critical,"Yes",tsk_IsLeaf,1))</f>
        <v/>
      </c>
      <c r="L25" s="51" t="str">
        <f aca="false">IF(ResourceSummary[[#This Row],[Resource]]="","",MAX(INDEX(rw_Load,ROW()-ROW(ResourceSummary[[#Headers],[Resource]]),0)))</f>
        <v/>
      </c>
      <c r="M25" s="50" t="str">
        <f aca="false">IF(ResourceSummary[[#This Row],[Resource]]="","",MAX(INDEX(rw_Util,ROW()-ROW(ResourceSummary[[#Headers],[Resource]]),0)))</f>
        <v/>
      </c>
      <c r="N25" s="53" t="str">
        <f aca="false">IF(ResourceSummary[[#This Row],[Resource]]="","",COUNTIF(INDEX(rw_Util,ROW()-ROW(ResourceSummary[[#Headers],[Resource]]),0),"&gt;1"))</f>
        <v/>
      </c>
      <c r="O25" s="55" t="str">
        <f aca="false">IF(ResourceSummary[[#This Row],[Resource]]="","",SUM(INDEX(rw_Leave,ROW()-ROW(ResourceSummary[[#Headers],[Resource]]),0)))</f>
        <v/>
      </c>
    </row>
    <row r="26" customFormat="false" ht="15" hidden="false" customHeight="false" outlineLevel="0" collapsed="false">
      <c r="B26" s="24" t="str">
        <f aca="false">IFERROR(INDEX(res_Name,ROW()-ROW(ResourceSummary[[#Headers],[Resource]]))&amp;"","")</f>
        <v/>
      </c>
      <c r="C26" s="50" t="str">
        <f aca="false">IF(ResourceSummary[[#This Row],[Resource]]="","",INDEX(ResourceTable[Max Units],ROW()-ROW(ResourceSummary[[#Headers],[Resource]])))</f>
        <v/>
      </c>
      <c r="D26" s="53" t="str">
        <f aca="false">IF(ResourceSummary[[#This Row],[Resource]]="","",INDEX(ResourceTable[Tasks],ROW()-ROW(ResourceSummary[[#Headers],[Resource]])))</f>
        <v/>
      </c>
      <c r="E26" s="54" t="str">
        <f aca="false">IF(ResourceSummary[[#This Row],[Resource]]="","",INDEX(ResourceTable[Work],ROW()-ROW(ResourceSummary[[#Headers],[Resource]])))</f>
        <v/>
      </c>
      <c r="F26" s="54" t="str">
        <f aca="false">IF(ResourceSummary[[#This Row],[Resource]]="","",SUMIFS(tsk_LeafWorkDone,tsk_Resource,ResourceSummary[[#This Row],[Resource]]))</f>
        <v/>
      </c>
      <c r="G26" s="54" t="str">
        <f aca="false">IF(ResourceSummary[[#This Row],[Resource]]="","",ResourceSummary[[#This Row],[Work]]-ResourceSummary[[#This Row],[Work Done]])</f>
        <v/>
      </c>
      <c r="H26" s="54" t="str">
        <f aca="false">IF(ResourceSummary[[#This Row],[Resource]]="","",INDEX(ResourceTable[Cost],ROW()-ROW(ResourceSummary[[#Headers],[Resource]])))</f>
        <v/>
      </c>
      <c r="I26" s="54" t="str">
        <f aca="false">IF(ResourceSummary[[#This Row],[Resource]]="","",INDEX(ResourceTable[Actual Cost],ROW()-ROW(ResourceSummary[[#Headers],[Resource]])))</f>
        <v/>
      </c>
      <c r="J26" s="53" t="str">
        <f aca="false">IF(ResourceSummary[[#This Row],[Resource]]="","",COUNTIFS(tsk_Resource,ResourceSummary[[#This Row],[Resource]],tsk_LateKey,"&gt;0"))</f>
        <v/>
      </c>
      <c r="K26" s="53" t="str">
        <f aca="false">IF(ResourceSummary[[#This Row],[Resource]]="","",COUNTIFS(tsk_Resource,ResourceSummary[[#This Row],[Resource]],tsk_Critical,"Yes",tsk_IsLeaf,1))</f>
        <v/>
      </c>
      <c r="L26" s="51" t="str">
        <f aca="false">IF(ResourceSummary[[#This Row],[Resource]]="","",MAX(INDEX(rw_Load,ROW()-ROW(ResourceSummary[[#Headers],[Resource]]),0)))</f>
        <v/>
      </c>
      <c r="M26" s="50" t="str">
        <f aca="false">IF(ResourceSummary[[#This Row],[Resource]]="","",MAX(INDEX(rw_Util,ROW()-ROW(ResourceSummary[[#Headers],[Resource]]),0)))</f>
        <v/>
      </c>
      <c r="N26" s="53" t="str">
        <f aca="false">IF(ResourceSummary[[#This Row],[Resource]]="","",COUNTIF(INDEX(rw_Util,ROW()-ROW(ResourceSummary[[#Headers],[Resource]]),0),"&gt;1"))</f>
        <v/>
      </c>
      <c r="O26" s="55" t="str">
        <f aca="false">IF(ResourceSummary[[#This Row],[Resource]]="","",SUM(INDEX(rw_Leave,ROW()-ROW(ResourceSummary[[#Headers],[Resource]]),0)))</f>
        <v/>
      </c>
    </row>
    <row r="27" customFormat="false" ht="15" hidden="false" customHeight="false" outlineLevel="0" collapsed="false">
      <c r="B27" s="24" t="str">
        <f aca="false">IFERROR(INDEX(res_Name,ROW()-ROW(ResourceSummary[[#Headers],[Resource]]))&amp;"","")</f>
        <v/>
      </c>
      <c r="C27" s="50" t="str">
        <f aca="false">IF(ResourceSummary[[#This Row],[Resource]]="","",INDEX(ResourceTable[Max Units],ROW()-ROW(ResourceSummary[[#Headers],[Resource]])))</f>
        <v/>
      </c>
      <c r="D27" s="53" t="str">
        <f aca="false">IF(ResourceSummary[[#This Row],[Resource]]="","",INDEX(ResourceTable[Tasks],ROW()-ROW(ResourceSummary[[#Headers],[Resource]])))</f>
        <v/>
      </c>
      <c r="E27" s="54" t="str">
        <f aca="false">IF(ResourceSummary[[#This Row],[Resource]]="","",INDEX(ResourceTable[Work],ROW()-ROW(ResourceSummary[[#Headers],[Resource]])))</f>
        <v/>
      </c>
      <c r="F27" s="54" t="str">
        <f aca="false">IF(ResourceSummary[[#This Row],[Resource]]="","",SUMIFS(tsk_LeafWorkDone,tsk_Resource,ResourceSummary[[#This Row],[Resource]]))</f>
        <v/>
      </c>
      <c r="G27" s="54" t="str">
        <f aca="false">IF(ResourceSummary[[#This Row],[Resource]]="","",ResourceSummary[[#This Row],[Work]]-ResourceSummary[[#This Row],[Work Done]])</f>
        <v/>
      </c>
      <c r="H27" s="54" t="str">
        <f aca="false">IF(ResourceSummary[[#This Row],[Resource]]="","",INDEX(ResourceTable[Cost],ROW()-ROW(ResourceSummary[[#Headers],[Resource]])))</f>
        <v/>
      </c>
      <c r="I27" s="54" t="str">
        <f aca="false">IF(ResourceSummary[[#This Row],[Resource]]="","",INDEX(ResourceTable[Actual Cost],ROW()-ROW(ResourceSummary[[#Headers],[Resource]])))</f>
        <v/>
      </c>
      <c r="J27" s="53" t="str">
        <f aca="false">IF(ResourceSummary[[#This Row],[Resource]]="","",COUNTIFS(tsk_Resource,ResourceSummary[[#This Row],[Resource]],tsk_LateKey,"&gt;0"))</f>
        <v/>
      </c>
      <c r="K27" s="53" t="str">
        <f aca="false">IF(ResourceSummary[[#This Row],[Resource]]="","",COUNTIFS(tsk_Resource,ResourceSummary[[#This Row],[Resource]],tsk_Critical,"Yes",tsk_IsLeaf,1))</f>
        <v/>
      </c>
      <c r="L27" s="51" t="str">
        <f aca="false">IF(ResourceSummary[[#This Row],[Resource]]="","",MAX(INDEX(rw_Load,ROW()-ROW(ResourceSummary[[#Headers],[Resource]]),0)))</f>
        <v/>
      </c>
      <c r="M27" s="50" t="str">
        <f aca="false">IF(ResourceSummary[[#This Row],[Resource]]="","",MAX(INDEX(rw_Util,ROW()-ROW(ResourceSummary[[#Headers],[Resource]]),0)))</f>
        <v/>
      </c>
      <c r="N27" s="53" t="str">
        <f aca="false">IF(ResourceSummary[[#This Row],[Resource]]="","",COUNTIF(INDEX(rw_Util,ROW()-ROW(ResourceSummary[[#Headers],[Resource]]),0),"&gt;1"))</f>
        <v/>
      </c>
      <c r="O27" s="55" t="str">
        <f aca="false">IF(ResourceSummary[[#This Row],[Resource]]="","",SUM(INDEX(rw_Leave,ROW()-ROW(ResourceSummary[[#Headers],[Resource]]),0)))</f>
        <v/>
      </c>
    </row>
    <row r="28" customFormat="false" ht="15" hidden="false" customHeight="false" outlineLevel="0" collapsed="false">
      <c r="B28" s="24" t="str">
        <f aca="false">IFERROR(INDEX(res_Name,ROW()-ROW(ResourceSummary[[#Headers],[Resource]]))&amp;"","")</f>
        <v/>
      </c>
      <c r="C28" s="50" t="str">
        <f aca="false">IF(ResourceSummary[[#This Row],[Resource]]="","",INDEX(ResourceTable[Max Units],ROW()-ROW(ResourceSummary[[#Headers],[Resource]])))</f>
        <v/>
      </c>
      <c r="D28" s="53" t="str">
        <f aca="false">IF(ResourceSummary[[#This Row],[Resource]]="","",INDEX(ResourceTable[Tasks],ROW()-ROW(ResourceSummary[[#Headers],[Resource]])))</f>
        <v/>
      </c>
      <c r="E28" s="54" t="str">
        <f aca="false">IF(ResourceSummary[[#This Row],[Resource]]="","",INDEX(ResourceTable[Work],ROW()-ROW(ResourceSummary[[#Headers],[Resource]])))</f>
        <v/>
      </c>
      <c r="F28" s="54" t="str">
        <f aca="false">IF(ResourceSummary[[#This Row],[Resource]]="","",SUMIFS(tsk_LeafWorkDone,tsk_Resource,ResourceSummary[[#This Row],[Resource]]))</f>
        <v/>
      </c>
      <c r="G28" s="54" t="str">
        <f aca="false">IF(ResourceSummary[[#This Row],[Resource]]="","",ResourceSummary[[#This Row],[Work]]-ResourceSummary[[#This Row],[Work Done]])</f>
        <v/>
      </c>
      <c r="H28" s="54" t="str">
        <f aca="false">IF(ResourceSummary[[#This Row],[Resource]]="","",INDEX(ResourceTable[Cost],ROW()-ROW(ResourceSummary[[#Headers],[Resource]])))</f>
        <v/>
      </c>
      <c r="I28" s="54" t="str">
        <f aca="false">IF(ResourceSummary[[#This Row],[Resource]]="","",INDEX(ResourceTable[Actual Cost],ROW()-ROW(ResourceSummary[[#Headers],[Resource]])))</f>
        <v/>
      </c>
      <c r="J28" s="53" t="str">
        <f aca="false">IF(ResourceSummary[[#This Row],[Resource]]="","",COUNTIFS(tsk_Resource,ResourceSummary[[#This Row],[Resource]],tsk_LateKey,"&gt;0"))</f>
        <v/>
      </c>
      <c r="K28" s="53" t="str">
        <f aca="false">IF(ResourceSummary[[#This Row],[Resource]]="","",COUNTIFS(tsk_Resource,ResourceSummary[[#This Row],[Resource]],tsk_Critical,"Yes",tsk_IsLeaf,1))</f>
        <v/>
      </c>
      <c r="L28" s="51" t="str">
        <f aca="false">IF(ResourceSummary[[#This Row],[Resource]]="","",MAX(INDEX(rw_Load,ROW()-ROW(ResourceSummary[[#Headers],[Resource]]),0)))</f>
        <v/>
      </c>
      <c r="M28" s="50" t="str">
        <f aca="false">IF(ResourceSummary[[#This Row],[Resource]]="","",MAX(INDEX(rw_Util,ROW()-ROW(ResourceSummary[[#Headers],[Resource]]),0)))</f>
        <v/>
      </c>
      <c r="N28" s="53" t="str">
        <f aca="false">IF(ResourceSummary[[#This Row],[Resource]]="","",COUNTIF(INDEX(rw_Util,ROW()-ROW(ResourceSummary[[#Headers],[Resource]]),0),"&gt;1"))</f>
        <v/>
      </c>
      <c r="O28" s="55" t="str">
        <f aca="false">IF(ResourceSummary[[#This Row],[Resource]]="","",SUM(INDEX(rw_Leave,ROW()-ROW(ResourceSummary[[#Headers],[Resource]]),0)))</f>
        <v/>
      </c>
    </row>
    <row r="29" customFormat="false" ht="15" hidden="false" customHeight="false" outlineLevel="0" collapsed="false">
      <c r="B29" s="24" t="str">
        <f aca="false">IFERROR(INDEX(res_Name,ROW()-ROW(ResourceSummary[[#Headers],[Resource]]))&amp;"","")</f>
        <v/>
      </c>
      <c r="C29" s="50" t="str">
        <f aca="false">IF(ResourceSummary[[#This Row],[Resource]]="","",INDEX(ResourceTable[Max Units],ROW()-ROW(ResourceSummary[[#Headers],[Resource]])))</f>
        <v/>
      </c>
      <c r="D29" s="53" t="str">
        <f aca="false">IF(ResourceSummary[[#This Row],[Resource]]="","",INDEX(ResourceTable[Tasks],ROW()-ROW(ResourceSummary[[#Headers],[Resource]])))</f>
        <v/>
      </c>
      <c r="E29" s="54" t="str">
        <f aca="false">IF(ResourceSummary[[#This Row],[Resource]]="","",INDEX(ResourceTable[Work],ROW()-ROW(ResourceSummary[[#Headers],[Resource]])))</f>
        <v/>
      </c>
      <c r="F29" s="54" t="str">
        <f aca="false">IF(ResourceSummary[[#This Row],[Resource]]="","",SUMIFS(tsk_LeafWorkDone,tsk_Resource,ResourceSummary[[#This Row],[Resource]]))</f>
        <v/>
      </c>
      <c r="G29" s="54" t="str">
        <f aca="false">IF(ResourceSummary[[#This Row],[Resource]]="","",ResourceSummary[[#This Row],[Work]]-ResourceSummary[[#This Row],[Work Done]])</f>
        <v/>
      </c>
      <c r="H29" s="54" t="str">
        <f aca="false">IF(ResourceSummary[[#This Row],[Resource]]="","",INDEX(ResourceTable[Cost],ROW()-ROW(ResourceSummary[[#Headers],[Resource]])))</f>
        <v/>
      </c>
      <c r="I29" s="54" t="str">
        <f aca="false">IF(ResourceSummary[[#This Row],[Resource]]="","",INDEX(ResourceTable[Actual Cost],ROW()-ROW(ResourceSummary[[#Headers],[Resource]])))</f>
        <v/>
      </c>
      <c r="J29" s="53" t="str">
        <f aca="false">IF(ResourceSummary[[#This Row],[Resource]]="","",COUNTIFS(tsk_Resource,ResourceSummary[[#This Row],[Resource]],tsk_LateKey,"&gt;0"))</f>
        <v/>
      </c>
      <c r="K29" s="53" t="str">
        <f aca="false">IF(ResourceSummary[[#This Row],[Resource]]="","",COUNTIFS(tsk_Resource,ResourceSummary[[#This Row],[Resource]],tsk_Critical,"Yes",tsk_IsLeaf,1))</f>
        <v/>
      </c>
      <c r="L29" s="51" t="str">
        <f aca="false">IF(ResourceSummary[[#This Row],[Resource]]="","",MAX(INDEX(rw_Load,ROW()-ROW(ResourceSummary[[#Headers],[Resource]]),0)))</f>
        <v/>
      </c>
      <c r="M29" s="50" t="str">
        <f aca="false">IF(ResourceSummary[[#This Row],[Resource]]="","",MAX(INDEX(rw_Util,ROW()-ROW(ResourceSummary[[#Headers],[Resource]]),0)))</f>
        <v/>
      </c>
      <c r="N29" s="53" t="str">
        <f aca="false">IF(ResourceSummary[[#This Row],[Resource]]="","",COUNTIF(INDEX(rw_Util,ROW()-ROW(ResourceSummary[[#Headers],[Resource]]),0),"&gt;1"))</f>
        <v/>
      </c>
      <c r="O29" s="55" t="str">
        <f aca="false">IF(ResourceSummary[[#This Row],[Resource]]="","",SUM(INDEX(rw_Leave,ROW()-ROW(ResourceSummary[[#Headers],[Resource]]),0)))</f>
        <v/>
      </c>
    </row>
    <row r="30" customFormat="false" ht="15" hidden="false" customHeight="false" outlineLevel="0" collapsed="false">
      <c r="B30" s="24" t="str">
        <f aca="false">IFERROR(INDEX(res_Name,ROW()-ROW(ResourceSummary[[#Headers],[Resource]]))&amp;"","")</f>
        <v/>
      </c>
      <c r="C30" s="50" t="str">
        <f aca="false">IF(ResourceSummary[[#This Row],[Resource]]="","",INDEX(ResourceTable[Max Units],ROW()-ROW(ResourceSummary[[#Headers],[Resource]])))</f>
        <v/>
      </c>
      <c r="D30" s="53" t="str">
        <f aca="false">IF(ResourceSummary[[#This Row],[Resource]]="","",INDEX(ResourceTable[Tasks],ROW()-ROW(ResourceSummary[[#Headers],[Resource]])))</f>
        <v/>
      </c>
      <c r="E30" s="54" t="str">
        <f aca="false">IF(ResourceSummary[[#This Row],[Resource]]="","",INDEX(ResourceTable[Work],ROW()-ROW(ResourceSummary[[#Headers],[Resource]])))</f>
        <v/>
      </c>
      <c r="F30" s="54" t="str">
        <f aca="false">IF(ResourceSummary[[#This Row],[Resource]]="","",SUMIFS(tsk_LeafWorkDone,tsk_Resource,ResourceSummary[[#This Row],[Resource]]))</f>
        <v/>
      </c>
      <c r="G30" s="54" t="str">
        <f aca="false">IF(ResourceSummary[[#This Row],[Resource]]="","",ResourceSummary[[#This Row],[Work]]-ResourceSummary[[#This Row],[Work Done]])</f>
        <v/>
      </c>
      <c r="H30" s="54" t="str">
        <f aca="false">IF(ResourceSummary[[#This Row],[Resource]]="","",INDEX(ResourceTable[Cost],ROW()-ROW(ResourceSummary[[#Headers],[Resource]])))</f>
        <v/>
      </c>
      <c r="I30" s="54" t="str">
        <f aca="false">IF(ResourceSummary[[#This Row],[Resource]]="","",INDEX(ResourceTable[Actual Cost],ROW()-ROW(ResourceSummary[[#Headers],[Resource]])))</f>
        <v/>
      </c>
      <c r="J30" s="53" t="str">
        <f aca="false">IF(ResourceSummary[[#This Row],[Resource]]="","",COUNTIFS(tsk_Resource,ResourceSummary[[#This Row],[Resource]],tsk_LateKey,"&gt;0"))</f>
        <v/>
      </c>
      <c r="K30" s="53" t="str">
        <f aca="false">IF(ResourceSummary[[#This Row],[Resource]]="","",COUNTIFS(tsk_Resource,ResourceSummary[[#This Row],[Resource]],tsk_Critical,"Yes",tsk_IsLeaf,1))</f>
        <v/>
      </c>
      <c r="L30" s="51" t="str">
        <f aca="false">IF(ResourceSummary[[#This Row],[Resource]]="","",MAX(INDEX(rw_Load,ROW()-ROW(ResourceSummary[[#Headers],[Resource]]),0)))</f>
        <v/>
      </c>
      <c r="M30" s="50" t="str">
        <f aca="false">IF(ResourceSummary[[#This Row],[Resource]]="","",MAX(INDEX(rw_Util,ROW()-ROW(ResourceSummary[[#Headers],[Resource]]),0)))</f>
        <v/>
      </c>
      <c r="N30" s="53" t="str">
        <f aca="false">IF(ResourceSummary[[#This Row],[Resource]]="","",COUNTIF(INDEX(rw_Util,ROW()-ROW(ResourceSummary[[#Headers],[Resource]]),0),"&gt;1"))</f>
        <v/>
      </c>
      <c r="O30" s="55" t="str">
        <f aca="false">IF(ResourceSummary[[#This Row],[Resource]]="","",SUM(INDEX(rw_Leave,ROW()-ROW(ResourceSummary[[#Headers],[Resource]]),0)))</f>
        <v/>
      </c>
    </row>
    <row r="32" customFormat="false" ht="15" hidden="false" customHeight="false" outlineLevel="0" collapsed="false">
      <c r="B32" s="56" t="s">
        <v>241</v>
      </c>
    </row>
    <row r="34" customFormat="false" ht="15" hidden="false" customHeight="false" outlineLevel="0" collapsed="false">
      <c r="B34" s="9" t="s">
        <v>223</v>
      </c>
      <c r="C34" s="9" t="s">
        <v>229</v>
      </c>
      <c r="D34" s="57" t="n">
        <f aca="false">(ResourceWeekStart+7*((COLUMN()-COLUMN(rw_LoadOrigin)-1)-1))</f>
        <v>46300</v>
      </c>
      <c r="E34" s="57" t="n">
        <f aca="false">(ResourceWeekStart+7*((COLUMN()-COLUMN(rw_LoadOrigin)-1)-1))</f>
        <v>46307</v>
      </c>
      <c r="F34" s="57" t="n">
        <f aca="false">(ResourceWeekStart+7*((COLUMN()-COLUMN(rw_LoadOrigin)-1)-1))</f>
        <v>46314</v>
      </c>
      <c r="G34" s="57" t="n">
        <f aca="false">(ResourceWeekStart+7*((COLUMN()-COLUMN(rw_LoadOrigin)-1)-1))</f>
        <v>46321</v>
      </c>
      <c r="H34" s="57" t="n">
        <f aca="false">(ResourceWeekStart+7*((COLUMN()-COLUMN(rw_LoadOrigin)-1)-1))</f>
        <v>46328</v>
      </c>
      <c r="I34" s="57" t="n">
        <f aca="false">(ResourceWeekStart+7*((COLUMN()-COLUMN(rw_LoadOrigin)-1)-1))</f>
        <v>46335</v>
      </c>
      <c r="J34" s="57" t="n">
        <f aca="false">(ResourceWeekStart+7*((COLUMN()-COLUMN(rw_LoadOrigin)-1)-1))</f>
        <v>46342</v>
      </c>
      <c r="K34" s="57" t="n">
        <f aca="false">(ResourceWeekStart+7*((COLUMN()-COLUMN(rw_LoadOrigin)-1)-1))</f>
        <v>46349</v>
      </c>
      <c r="L34" s="57" t="n">
        <f aca="false">(ResourceWeekStart+7*((COLUMN()-COLUMN(rw_LoadOrigin)-1)-1))</f>
        <v>46356</v>
      </c>
      <c r="M34" s="57" t="n">
        <f aca="false">(ResourceWeekStart+7*((COLUMN()-COLUMN(rw_LoadOrigin)-1)-1))</f>
        <v>46363</v>
      </c>
      <c r="N34" s="57" t="n">
        <f aca="false">(ResourceWeekStart+7*((COLUMN()-COLUMN(rw_LoadOrigin)-1)-1))</f>
        <v>46370</v>
      </c>
      <c r="O34" s="57" t="n">
        <f aca="false">(ResourceWeekStart+7*((COLUMN()-COLUMN(rw_LoadOrigin)-1)-1))</f>
        <v>46377</v>
      </c>
      <c r="P34" s="57" t="n">
        <f aca="false">(ResourceWeekStart+7*((COLUMN()-COLUMN(rw_LoadOrigin)-1)-1))</f>
        <v>46384</v>
      </c>
      <c r="Q34" s="57" t="n">
        <f aca="false">(ResourceWeekStart+7*((COLUMN()-COLUMN(rw_LoadOrigin)-1)-1))</f>
        <v>46391</v>
      </c>
      <c r="R34" s="57" t="n">
        <f aca="false">(ResourceWeekStart+7*((COLUMN()-COLUMN(rw_LoadOrigin)-1)-1))</f>
        <v>46398</v>
      </c>
      <c r="S34" s="57" t="n">
        <f aca="false">(ResourceWeekStart+7*((COLUMN()-COLUMN(rw_LoadOrigin)-1)-1))</f>
        <v>46405</v>
      </c>
      <c r="T34" s="57" t="n">
        <f aca="false">(ResourceWeekStart+7*((COLUMN()-COLUMN(rw_LoadOrigin)-1)-1))</f>
        <v>46412</v>
      </c>
      <c r="U34" s="57" t="n">
        <f aca="false">(ResourceWeekStart+7*((COLUMN()-COLUMN(rw_LoadOrigin)-1)-1))</f>
        <v>46419</v>
      </c>
      <c r="V34" s="57" t="n">
        <f aca="false">(ResourceWeekStart+7*((COLUMN()-COLUMN(rw_LoadOrigin)-1)-1))</f>
        <v>46426</v>
      </c>
      <c r="W34" s="57" t="n">
        <f aca="false">(ResourceWeekStart+7*((COLUMN()-COLUMN(rw_LoadOrigin)-1)-1))</f>
        <v>46433</v>
      </c>
      <c r="X34" s="57" t="n">
        <f aca="false">(ResourceWeekStart+7*((COLUMN()-COLUMN(rw_LoadOrigin)-1)-1))</f>
        <v>46440</v>
      </c>
      <c r="Y34" s="57" t="n">
        <f aca="false">(ResourceWeekStart+7*((COLUMN()-COLUMN(rw_LoadOrigin)-1)-1))</f>
        <v>46447</v>
      </c>
      <c r="Z34" s="57" t="n">
        <f aca="false">(ResourceWeekStart+7*((COLUMN()-COLUMN(rw_LoadOrigin)-1)-1))</f>
        <v>46454</v>
      </c>
      <c r="AA34" s="57" t="n">
        <f aca="false">(ResourceWeekStart+7*((COLUMN()-COLUMN(rw_LoadOrigin)-1)-1))</f>
        <v>46461</v>
      </c>
      <c r="AB34" s="57" t="n">
        <f aca="false">(ResourceWeekStart+7*((COLUMN()-COLUMN(rw_LoadOrigin)-1)-1))</f>
        <v>46468</v>
      </c>
      <c r="AC34" s="57" t="n">
        <f aca="false">(ResourceWeekStart+7*((COLUMN()-COLUMN(rw_LoadOrigin)-1)-1))</f>
        <v>46475</v>
      </c>
    </row>
    <row r="35" customFormat="false" ht="15" hidden="false" customHeight="false" outlineLevel="0" collapsed="false">
      <c r="B35" s="58" t="s">
        <v>242</v>
      </c>
      <c r="D35" s="59" t="n">
        <f aca="false">NETWORKDAYS.INTL((ResourceWeekStart+7*((COLUMN()-COLUMN(rw_LoadOrigin)-1)-1)),(ResourceWeekStart+7*((COLUMN()-COLUMN(rw_LoadOrigin)-1)-1))+6,WorkWeek,Holidays)</f>
        <v>5</v>
      </c>
      <c r="E35" s="59" t="n">
        <f aca="false">NETWORKDAYS.INTL((ResourceWeekStart+7*((COLUMN()-COLUMN(rw_LoadOrigin)-1)-1)),(ResourceWeekStart+7*((COLUMN()-COLUMN(rw_LoadOrigin)-1)-1))+6,WorkWeek,Holidays)</f>
        <v>5</v>
      </c>
      <c r="F35" s="59" t="n">
        <f aca="false">NETWORKDAYS.INTL((ResourceWeekStart+7*((COLUMN()-COLUMN(rw_LoadOrigin)-1)-1)),(ResourceWeekStart+7*((COLUMN()-COLUMN(rw_LoadOrigin)-1)-1))+6,WorkWeek,Holidays)</f>
        <v>5</v>
      </c>
      <c r="G35" s="59" t="n">
        <f aca="false">NETWORKDAYS.INTL((ResourceWeekStart+7*((COLUMN()-COLUMN(rw_LoadOrigin)-1)-1)),(ResourceWeekStart+7*((COLUMN()-COLUMN(rw_LoadOrigin)-1)-1))+6,WorkWeek,Holidays)</f>
        <v>5</v>
      </c>
      <c r="H35" s="59" t="n">
        <f aca="false">NETWORKDAYS.INTL((ResourceWeekStart+7*((COLUMN()-COLUMN(rw_LoadOrigin)-1)-1)),(ResourceWeekStart+7*((COLUMN()-COLUMN(rw_LoadOrigin)-1)-1))+6,WorkWeek,Holidays)</f>
        <v>5</v>
      </c>
      <c r="I35" s="59" t="n">
        <f aca="false">NETWORKDAYS.INTL((ResourceWeekStart+7*((COLUMN()-COLUMN(rw_LoadOrigin)-1)-1)),(ResourceWeekStart+7*((COLUMN()-COLUMN(rw_LoadOrigin)-1)-1))+6,WorkWeek,Holidays)</f>
        <v>5</v>
      </c>
      <c r="J35" s="59" t="n">
        <f aca="false">NETWORKDAYS.INTL((ResourceWeekStart+7*((COLUMN()-COLUMN(rw_LoadOrigin)-1)-1)),(ResourceWeekStart+7*((COLUMN()-COLUMN(rw_LoadOrigin)-1)-1))+6,WorkWeek,Holidays)</f>
        <v>5</v>
      </c>
      <c r="K35" s="59" t="n">
        <f aca="false">NETWORKDAYS.INTL((ResourceWeekStart+7*((COLUMN()-COLUMN(rw_LoadOrigin)-1)-1)),(ResourceWeekStart+7*((COLUMN()-COLUMN(rw_LoadOrigin)-1)-1))+6,WorkWeek,Holidays)</f>
        <v>5</v>
      </c>
      <c r="L35" s="59" t="n">
        <f aca="false">NETWORKDAYS.INTL((ResourceWeekStart+7*((COLUMN()-COLUMN(rw_LoadOrigin)-1)-1)),(ResourceWeekStart+7*((COLUMN()-COLUMN(rw_LoadOrigin)-1)-1))+6,WorkWeek,Holidays)</f>
        <v>5</v>
      </c>
      <c r="M35" s="59" t="n">
        <f aca="false">NETWORKDAYS.INTL((ResourceWeekStart+7*((COLUMN()-COLUMN(rw_LoadOrigin)-1)-1)),(ResourceWeekStart+7*((COLUMN()-COLUMN(rw_LoadOrigin)-1)-1))+6,WorkWeek,Holidays)</f>
        <v>5</v>
      </c>
      <c r="N35" s="59" t="n">
        <f aca="false">NETWORKDAYS.INTL((ResourceWeekStart+7*((COLUMN()-COLUMN(rw_LoadOrigin)-1)-1)),(ResourceWeekStart+7*((COLUMN()-COLUMN(rw_LoadOrigin)-1)-1))+6,WorkWeek,Holidays)</f>
        <v>5</v>
      </c>
      <c r="O35" s="59" t="n">
        <f aca="false">NETWORKDAYS.INTL((ResourceWeekStart+7*((COLUMN()-COLUMN(rw_LoadOrigin)-1)-1)),(ResourceWeekStart+7*((COLUMN()-COLUMN(rw_LoadOrigin)-1)-1))+6,WorkWeek,Holidays)</f>
        <v>3</v>
      </c>
      <c r="P35" s="59" t="n">
        <f aca="false">NETWORKDAYS.INTL((ResourceWeekStart+7*((COLUMN()-COLUMN(rw_LoadOrigin)-1)-1)),(ResourceWeekStart+7*((COLUMN()-COLUMN(rw_LoadOrigin)-1)-1))+6,WorkWeek,Holidays)</f>
        <v>3</v>
      </c>
      <c r="Q35" s="59" t="n">
        <f aca="false">NETWORKDAYS.INTL((ResourceWeekStart+7*((COLUMN()-COLUMN(rw_LoadOrigin)-1)-1)),(ResourceWeekStart+7*((COLUMN()-COLUMN(rw_LoadOrigin)-1)-1))+6,WorkWeek,Holidays)</f>
        <v>5</v>
      </c>
      <c r="R35" s="59" t="n">
        <f aca="false">NETWORKDAYS.INTL((ResourceWeekStart+7*((COLUMN()-COLUMN(rw_LoadOrigin)-1)-1)),(ResourceWeekStart+7*((COLUMN()-COLUMN(rw_LoadOrigin)-1)-1))+6,WorkWeek,Holidays)</f>
        <v>5</v>
      </c>
      <c r="S35" s="59" t="n">
        <f aca="false">NETWORKDAYS.INTL((ResourceWeekStart+7*((COLUMN()-COLUMN(rw_LoadOrigin)-1)-1)),(ResourceWeekStart+7*((COLUMN()-COLUMN(rw_LoadOrigin)-1)-1))+6,WorkWeek,Holidays)</f>
        <v>5</v>
      </c>
      <c r="T35" s="59" t="n">
        <f aca="false">NETWORKDAYS.INTL((ResourceWeekStart+7*((COLUMN()-COLUMN(rw_LoadOrigin)-1)-1)),(ResourceWeekStart+7*((COLUMN()-COLUMN(rw_LoadOrigin)-1)-1))+6,WorkWeek,Holidays)</f>
        <v>5</v>
      </c>
      <c r="U35" s="59" t="n">
        <f aca="false">NETWORKDAYS.INTL((ResourceWeekStart+7*((COLUMN()-COLUMN(rw_LoadOrigin)-1)-1)),(ResourceWeekStart+7*((COLUMN()-COLUMN(rw_LoadOrigin)-1)-1))+6,WorkWeek,Holidays)</f>
        <v>5</v>
      </c>
      <c r="V35" s="59" t="n">
        <f aca="false">NETWORKDAYS.INTL((ResourceWeekStart+7*((COLUMN()-COLUMN(rw_LoadOrigin)-1)-1)),(ResourceWeekStart+7*((COLUMN()-COLUMN(rw_LoadOrigin)-1)-1))+6,WorkWeek,Holidays)</f>
        <v>5</v>
      </c>
      <c r="W35" s="59" t="n">
        <f aca="false">NETWORKDAYS.INTL((ResourceWeekStart+7*((COLUMN()-COLUMN(rw_LoadOrigin)-1)-1)),(ResourceWeekStart+7*((COLUMN()-COLUMN(rw_LoadOrigin)-1)-1))+6,WorkWeek,Holidays)</f>
        <v>5</v>
      </c>
      <c r="X35" s="59" t="n">
        <f aca="false">NETWORKDAYS.INTL((ResourceWeekStart+7*((COLUMN()-COLUMN(rw_LoadOrigin)-1)-1)),(ResourceWeekStart+7*((COLUMN()-COLUMN(rw_LoadOrigin)-1)-1))+6,WorkWeek,Holidays)</f>
        <v>5</v>
      </c>
      <c r="Y35" s="59" t="n">
        <f aca="false">NETWORKDAYS.INTL((ResourceWeekStart+7*((COLUMN()-COLUMN(rw_LoadOrigin)-1)-1)),(ResourceWeekStart+7*((COLUMN()-COLUMN(rw_LoadOrigin)-1)-1))+6,WorkWeek,Holidays)</f>
        <v>5</v>
      </c>
      <c r="Z35" s="59" t="n">
        <f aca="false">NETWORKDAYS.INTL((ResourceWeekStart+7*((COLUMN()-COLUMN(rw_LoadOrigin)-1)-1)),(ResourceWeekStart+7*((COLUMN()-COLUMN(rw_LoadOrigin)-1)-1))+6,WorkWeek,Holidays)</f>
        <v>5</v>
      </c>
      <c r="AA35" s="59" t="n">
        <f aca="false">NETWORKDAYS.INTL((ResourceWeekStart+7*((COLUMN()-COLUMN(rw_LoadOrigin)-1)-1)),(ResourceWeekStart+7*((COLUMN()-COLUMN(rw_LoadOrigin)-1)-1))+6,WorkWeek,Holidays)</f>
        <v>5</v>
      </c>
      <c r="AB35" s="59" t="n">
        <f aca="false">NETWORKDAYS.INTL((ResourceWeekStart+7*((COLUMN()-COLUMN(rw_LoadOrigin)-1)-1)),(ResourceWeekStart+7*((COLUMN()-COLUMN(rw_LoadOrigin)-1)-1))+6,WorkWeek,Holidays)</f>
        <v>5</v>
      </c>
      <c r="AC35" s="59" t="n">
        <f aca="false">NETWORKDAYS.INTL((ResourceWeekStart+7*((COLUMN()-COLUMN(rw_LoadOrigin)-1)-1)),(ResourceWeekStart+7*((COLUMN()-COLUMN(rw_LoadOrigin)-1)-1))+6,WorkWeek,Holidays)</f>
        <v>5</v>
      </c>
    </row>
    <row r="36" customFormat="false" ht="15" hidden="false" customHeight="false" outlineLevel="0" collapsed="false">
      <c r="B36" s="31" t="str">
        <f aca="false">IFERROR(INDEX(res_Name,(ROW()-ROW(rw_LoadOrigin)-1))&amp;"","")</f>
        <v>Priya Sharma</v>
      </c>
      <c r="C36" s="60" t="n">
        <f aca="false">IFERROR(IF(INDEX(res_Name,(ROW()-ROW(rw_LoadOrigin)-1))="","",INDEX(res_MaxUnits,(ROW()-ROW(rw_LoadOrigin)-1))),"")</f>
        <v>0.5</v>
      </c>
      <c r="D36" s="61" t="n">
        <f aca="false">IFERROR(IF(INDEX(res_Name,(ROW()-ROW(rw_LoadOrigin)-1))="","",INDEX(rw_Cum,(ROW()-ROW(rw_LoadOrigin)-1),(COLUMN()-COLUMN(rw_LoadOrigin)-1)+1)-INDEX(rw_Cum,(ROW()-ROW(rw_LoadOrigin)-1),(COLUMN()-COLUMN(rw_LoadOrigin)-1))),"")</f>
        <v>0</v>
      </c>
      <c r="E36" s="61" t="n">
        <f aca="false">IFERROR(IF(INDEX(res_Name,(ROW()-ROW(rw_LoadOrigin)-1))="","",INDEX(rw_Cum,(ROW()-ROW(rw_LoadOrigin)-1),(COLUMN()-COLUMN(rw_LoadOrigin)-1)+1)-INDEX(rw_Cum,(ROW()-ROW(rw_LoadOrigin)-1),(COLUMN()-COLUMN(rw_LoadOrigin)-1))),"")</f>
        <v>0</v>
      </c>
      <c r="F36" s="61" t="n">
        <f aca="false">IFERROR(IF(INDEX(res_Name,(ROW()-ROW(rw_LoadOrigin)-1))="","",INDEX(rw_Cum,(ROW()-ROW(rw_LoadOrigin)-1),(COLUMN()-COLUMN(rw_LoadOrigin)-1)+1)-INDEX(rw_Cum,(ROW()-ROW(rw_LoadOrigin)-1),(COLUMN()-COLUMN(rw_LoadOrigin)-1))),"")</f>
        <v>0</v>
      </c>
      <c r="G36" s="61" t="n">
        <f aca="false">IFERROR(IF(INDEX(res_Name,(ROW()-ROW(rw_LoadOrigin)-1))="","",INDEX(rw_Cum,(ROW()-ROW(rw_LoadOrigin)-1),(COLUMN()-COLUMN(rw_LoadOrigin)-1)+1)-INDEX(rw_Cum,(ROW()-ROW(rw_LoadOrigin)-1),(COLUMN()-COLUMN(rw_LoadOrigin)-1))),"")</f>
        <v>0</v>
      </c>
      <c r="H36" s="61" t="n">
        <f aca="false">IFERROR(IF(INDEX(res_Name,(ROW()-ROW(rw_LoadOrigin)-1))="","",INDEX(rw_Cum,(ROW()-ROW(rw_LoadOrigin)-1),(COLUMN()-COLUMN(rw_LoadOrigin)-1)+1)-INDEX(rw_Cum,(ROW()-ROW(rw_LoadOrigin)-1),(COLUMN()-COLUMN(rw_LoadOrigin)-1))),"")</f>
        <v>0</v>
      </c>
      <c r="I36" s="61" t="n">
        <f aca="false">IFERROR(IF(INDEX(res_Name,(ROW()-ROW(rw_LoadOrigin)-1))="","",INDEX(rw_Cum,(ROW()-ROW(rw_LoadOrigin)-1),(COLUMN()-COLUMN(rw_LoadOrigin)-1)+1)-INDEX(rw_Cum,(ROW()-ROW(rw_LoadOrigin)-1),(COLUMN()-COLUMN(rw_LoadOrigin)-1))),"")</f>
        <v>0</v>
      </c>
      <c r="J36" s="61" t="n">
        <f aca="false">IFERROR(IF(INDEX(res_Name,(ROW()-ROW(rw_LoadOrigin)-1))="","",INDEX(rw_Cum,(ROW()-ROW(rw_LoadOrigin)-1),(COLUMN()-COLUMN(rw_LoadOrigin)-1)+1)-INDEX(rw_Cum,(ROW()-ROW(rw_LoadOrigin)-1),(COLUMN()-COLUMN(rw_LoadOrigin)-1))),"")</f>
        <v>8</v>
      </c>
      <c r="K36" s="61" t="n">
        <f aca="false">IFERROR(IF(INDEX(res_Name,(ROW()-ROW(rw_LoadOrigin)-1))="","",INDEX(rw_Cum,(ROW()-ROW(rw_LoadOrigin)-1),(COLUMN()-COLUMN(rw_LoadOrigin)-1)+1)-INDEX(rw_Cum,(ROW()-ROW(rw_LoadOrigin)-1),(COLUMN()-COLUMN(rw_LoadOrigin)-1))),"")</f>
        <v>0</v>
      </c>
      <c r="L36" s="61" t="n">
        <f aca="false">IFERROR(IF(INDEX(res_Name,(ROW()-ROW(rw_LoadOrigin)-1))="","",INDEX(rw_Cum,(ROW()-ROW(rw_LoadOrigin)-1),(COLUMN()-COLUMN(rw_LoadOrigin)-1)+1)-INDEX(rw_Cum,(ROW()-ROW(rw_LoadOrigin)-1),(COLUMN()-COLUMN(rw_LoadOrigin)-1))),"")</f>
        <v>0</v>
      </c>
      <c r="M36" s="61" t="n">
        <f aca="false">IFERROR(IF(INDEX(res_Name,(ROW()-ROW(rw_LoadOrigin)-1))="","",INDEX(rw_Cum,(ROW()-ROW(rw_LoadOrigin)-1),(COLUMN()-COLUMN(rw_LoadOrigin)-1)+1)-INDEX(rw_Cum,(ROW()-ROW(rw_LoadOrigin)-1),(COLUMN()-COLUMN(rw_LoadOrigin)-1))),"")</f>
        <v>0</v>
      </c>
      <c r="N36" s="61" t="n">
        <f aca="false">IFERROR(IF(INDEX(res_Name,(ROW()-ROW(rw_LoadOrigin)-1))="","",INDEX(rw_Cum,(ROW()-ROW(rw_LoadOrigin)-1),(COLUMN()-COLUMN(rw_LoadOrigin)-1)+1)-INDEX(rw_Cum,(ROW()-ROW(rw_LoadOrigin)-1),(COLUMN()-COLUMN(rw_LoadOrigin)-1))),"")</f>
        <v>8</v>
      </c>
      <c r="O36" s="61" t="n">
        <f aca="false">IFERROR(IF(INDEX(res_Name,(ROW()-ROW(rw_LoadOrigin)-1))="","",INDEX(rw_Cum,(ROW()-ROW(rw_LoadOrigin)-1),(COLUMN()-COLUMN(rw_LoadOrigin)-1)+1)-INDEX(rw_Cum,(ROW()-ROW(rw_LoadOrigin)-1),(COLUMN()-COLUMN(rw_LoadOrigin)-1))),"")</f>
        <v>0</v>
      </c>
      <c r="P36" s="61" t="n">
        <f aca="false">IFERROR(IF(INDEX(res_Name,(ROW()-ROW(rw_LoadOrigin)-1))="","",INDEX(rw_Cum,(ROW()-ROW(rw_LoadOrigin)-1),(COLUMN()-COLUMN(rw_LoadOrigin)-1)+1)-INDEX(rw_Cum,(ROW()-ROW(rw_LoadOrigin)-1),(COLUMN()-COLUMN(rw_LoadOrigin)-1))),"")</f>
        <v>0</v>
      </c>
      <c r="Q36" s="61" t="n">
        <f aca="false">IFERROR(IF(INDEX(res_Name,(ROW()-ROW(rw_LoadOrigin)-1))="","",INDEX(rw_Cum,(ROW()-ROW(rw_LoadOrigin)-1),(COLUMN()-COLUMN(rw_LoadOrigin)-1)+1)-INDEX(rw_Cum,(ROW()-ROW(rw_LoadOrigin)-1),(COLUMN()-COLUMN(rw_LoadOrigin)-1))),"")</f>
        <v>16</v>
      </c>
      <c r="R36" s="61" t="n">
        <f aca="false">IFERROR(IF(INDEX(res_Name,(ROW()-ROW(rw_LoadOrigin)-1))="","",INDEX(rw_Cum,(ROW()-ROW(rw_LoadOrigin)-1),(COLUMN()-COLUMN(rw_LoadOrigin)-1)+1)-INDEX(rw_Cum,(ROW()-ROW(rw_LoadOrigin)-1),(COLUMN()-COLUMN(rw_LoadOrigin)-1))),"")</f>
        <v>0</v>
      </c>
      <c r="S36" s="61" t="n">
        <f aca="false">IFERROR(IF(INDEX(res_Name,(ROW()-ROW(rw_LoadOrigin)-1))="","",INDEX(rw_Cum,(ROW()-ROW(rw_LoadOrigin)-1),(COLUMN()-COLUMN(rw_LoadOrigin)-1)+1)-INDEX(rw_Cum,(ROW()-ROW(rw_LoadOrigin)-1),(COLUMN()-COLUMN(rw_LoadOrigin)-1))),"")</f>
        <v>0</v>
      </c>
      <c r="T36" s="61" t="n">
        <f aca="false">IFERROR(IF(INDEX(res_Name,(ROW()-ROW(rw_LoadOrigin)-1))="","",INDEX(rw_Cum,(ROW()-ROW(rw_LoadOrigin)-1),(COLUMN()-COLUMN(rw_LoadOrigin)-1)+1)-INDEX(rw_Cum,(ROW()-ROW(rw_LoadOrigin)-1),(COLUMN()-COLUMN(rw_LoadOrigin)-1))),"")</f>
        <v>0</v>
      </c>
      <c r="U36" s="61" t="n">
        <f aca="false">IFERROR(IF(INDEX(res_Name,(ROW()-ROW(rw_LoadOrigin)-1))="","",INDEX(rw_Cum,(ROW()-ROW(rw_LoadOrigin)-1),(COLUMN()-COLUMN(rw_LoadOrigin)-1)+1)-INDEX(rw_Cum,(ROW()-ROW(rw_LoadOrigin)-1),(COLUMN()-COLUMN(rw_LoadOrigin)-1))),"")</f>
        <v>0</v>
      </c>
      <c r="V36" s="61" t="n">
        <f aca="false">IFERROR(IF(INDEX(res_Name,(ROW()-ROW(rw_LoadOrigin)-1))="","",INDEX(rw_Cum,(ROW()-ROW(rw_LoadOrigin)-1),(COLUMN()-COLUMN(rw_LoadOrigin)-1)+1)-INDEX(rw_Cum,(ROW()-ROW(rw_LoadOrigin)-1),(COLUMN()-COLUMN(rw_LoadOrigin)-1))),"")</f>
        <v>0</v>
      </c>
      <c r="W36" s="61" t="n">
        <f aca="false">IFERROR(IF(INDEX(res_Name,(ROW()-ROW(rw_LoadOrigin)-1))="","",INDEX(rw_Cum,(ROW()-ROW(rw_LoadOrigin)-1),(COLUMN()-COLUMN(rw_LoadOrigin)-1)+1)-INDEX(rw_Cum,(ROW()-ROW(rw_LoadOrigin)-1),(COLUMN()-COLUMN(rw_LoadOrigin)-1))),"")</f>
        <v>0</v>
      </c>
      <c r="X36" s="61" t="n">
        <f aca="false">IFERROR(IF(INDEX(res_Name,(ROW()-ROW(rw_LoadOrigin)-1))="","",INDEX(rw_Cum,(ROW()-ROW(rw_LoadOrigin)-1),(COLUMN()-COLUMN(rw_LoadOrigin)-1)+1)-INDEX(rw_Cum,(ROW()-ROW(rw_LoadOrigin)-1),(COLUMN()-COLUMN(rw_LoadOrigin)-1))),"")</f>
        <v>0</v>
      </c>
      <c r="Y36" s="61" t="n">
        <f aca="false">IFERROR(IF(INDEX(res_Name,(ROW()-ROW(rw_LoadOrigin)-1))="","",INDEX(rw_Cum,(ROW()-ROW(rw_LoadOrigin)-1),(COLUMN()-COLUMN(rw_LoadOrigin)-1)+1)-INDEX(rw_Cum,(ROW()-ROW(rw_LoadOrigin)-1),(COLUMN()-COLUMN(rw_LoadOrigin)-1))),"")</f>
        <v>0</v>
      </c>
      <c r="Z36" s="61" t="n">
        <f aca="false">IFERROR(IF(INDEX(res_Name,(ROW()-ROW(rw_LoadOrigin)-1))="","",INDEX(rw_Cum,(ROW()-ROW(rw_LoadOrigin)-1),(COLUMN()-COLUMN(rw_LoadOrigin)-1)+1)-INDEX(rw_Cum,(ROW()-ROW(rw_LoadOrigin)-1),(COLUMN()-COLUMN(rw_LoadOrigin)-1))),"")</f>
        <v>0</v>
      </c>
      <c r="AA36" s="61" t="n">
        <f aca="false">IFERROR(IF(INDEX(res_Name,(ROW()-ROW(rw_LoadOrigin)-1))="","",INDEX(rw_Cum,(ROW()-ROW(rw_LoadOrigin)-1),(COLUMN()-COLUMN(rw_LoadOrigin)-1)+1)-INDEX(rw_Cum,(ROW()-ROW(rw_LoadOrigin)-1),(COLUMN()-COLUMN(rw_LoadOrigin)-1))),"")</f>
        <v>0</v>
      </c>
      <c r="AB36" s="61" t="n">
        <f aca="false">IFERROR(IF(INDEX(res_Name,(ROW()-ROW(rw_LoadOrigin)-1))="","",INDEX(rw_Cum,(ROW()-ROW(rw_LoadOrigin)-1),(COLUMN()-COLUMN(rw_LoadOrigin)-1)+1)-INDEX(rw_Cum,(ROW()-ROW(rw_LoadOrigin)-1),(COLUMN()-COLUMN(rw_LoadOrigin)-1))),"")</f>
        <v>0</v>
      </c>
      <c r="AC36" s="61" t="n">
        <f aca="false">IFERROR(IF(INDEX(res_Name,(ROW()-ROW(rw_LoadOrigin)-1))="","",INDEX(rw_Cum,(ROW()-ROW(rw_LoadOrigin)-1),(COLUMN()-COLUMN(rw_LoadOrigin)-1)+1)-INDEX(rw_Cum,(ROW()-ROW(rw_LoadOrigin)-1),(COLUMN()-COLUMN(rw_LoadOrigin)-1))),"")</f>
        <v>0</v>
      </c>
    </row>
    <row r="37" customFormat="false" ht="15" hidden="false" customHeight="false" outlineLevel="0" collapsed="false">
      <c r="B37" s="31" t="str">
        <f aca="false">IFERROR(INDEX(res_Name,(ROW()-ROW(rw_LoadOrigin)-1))&amp;"","")</f>
        <v>Morgan Patel</v>
      </c>
      <c r="C37" s="60" t="n">
        <f aca="false">IFERROR(IF(INDEX(res_Name,(ROW()-ROW(rw_LoadOrigin)-1))="","",INDEX(res_MaxUnits,(ROW()-ROW(rw_LoadOrigin)-1))),"")</f>
        <v>1</v>
      </c>
      <c r="D37" s="61" t="n">
        <f aca="false">IFERROR(IF(INDEX(res_Name,(ROW()-ROW(rw_LoadOrigin)-1))="","",INDEX(rw_Cum,(ROW()-ROW(rw_LoadOrigin)-1),(COLUMN()-COLUMN(rw_LoadOrigin)-1)+1)-INDEX(rw_Cum,(ROW()-ROW(rw_LoadOrigin)-1),(COLUMN()-COLUMN(rw_LoadOrigin)-1))),"")</f>
        <v>0</v>
      </c>
      <c r="E37" s="61" t="n">
        <f aca="false">IFERROR(IF(INDEX(res_Name,(ROW()-ROW(rw_LoadOrigin)-1))="","",INDEX(rw_Cum,(ROW()-ROW(rw_LoadOrigin)-1),(COLUMN()-COLUMN(rw_LoadOrigin)-1)+1)-INDEX(rw_Cum,(ROW()-ROW(rw_LoadOrigin)-1),(COLUMN()-COLUMN(rw_LoadOrigin)-1))),"")</f>
        <v>0</v>
      </c>
      <c r="F37" s="61" t="n">
        <f aca="false">IFERROR(IF(INDEX(res_Name,(ROW()-ROW(rw_LoadOrigin)-1))="","",INDEX(rw_Cum,(ROW()-ROW(rw_LoadOrigin)-1),(COLUMN()-COLUMN(rw_LoadOrigin)-1)+1)-INDEX(rw_Cum,(ROW()-ROW(rw_LoadOrigin)-1),(COLUMN()-COLUMN(rw_LoadOrigin)-1))),"")</f>
        <v>0</v>
      </c>
      <c r="G37" s="61" t="n">
        <f aca="false">IFERROR(IF(INDEX(res_Name,(ROW()-ROW(rw_LoadOrigin)-1))="","",INDEX(rw_Cum,(ROW()-ROW(rw_LoadOrigin)-1),(COLUMN()-COLUMN(rw_LoadOrigin)-1)+1)-INDEX(rw_Cum,(ROW()-ROW(rw_LoadOrigin)-1),(COLUMN()-COLUMN(rw_LoadOrigin)-1))),"")</f>
        <v>0</v>
      </c>
      <c r="H37" s="61" t="n">
        <f aca="false">IFERROR(IF(INDEX(res_Name,(ROW()-ROW(rw_LoadOrigin)-1))="","",INDEX(rw_Cum,(ROW()-ROW(rw_LoadOrigin)-1),(COLUMN()-COLUMN(rw_LoadOrigin)-1)+1)-INDEX(rw_Cum,(ROW()-ROW(rw_LoadOrigin)-1),(COLUMN()-COLUMN(rw_LoadOrigin)-1))),"")</f>
        <v>0</v>
      </c>
      <c r="I37" s="61" t="n">
        <f aca="false">IFERROR(IF(INDEX(res_Name,(ROW()-ROW(rw_LoadOrigin)-1))="","",INDEX(rw_Cum,(ROW()-ROW(rw_LoadOrigin)-1),(COLUMN()-COLUMN(rw_LoadOrigin)-1)+1)-INDEX(rw_Cum,(ROW()-ROW(rw_LoadOrigin)-1),(COLUMN()-COLUMN(rw_LoadOrigin)-1))),"")</f>
        <v>0</v>
      </c>
      <c r="J37" s="61" t="n">
        <f aca="false">IFERROR(IF(INDEX(res_Name,(ROW()-ROW(rw_LoadOrigin)-1))="","",INDEX(rw_Cum,(ROW()-ROW(rw_LoadOrigin)-1),(COLUMN()-COLUMN(rw_LoadOrigin)-1)+1)-INDEX(rw_Cum,(ROW()-ROW(rw_LoadOrigin)-1),(COLUMN()-COLUMN(rw_LoadOrigin)-1))),"")</f>
        <v>0</v>
      </c>
      <c r="K37" s="61" t="n">
        <f aca="false">IFERROR(IF(INDEX(res_Name,(ROW()-ROW(rw_LoadOrigin)-1))="","",INDEX(rw_Cum,(ROW()-ROW(rw_LoadOrigin)-1),(COLUMN()-COLUMN(rw_LoadOrigin)-1)+1)-INDEX(rw_Cum,(ROW()-ROW(rw_LoadOrigin)-1),(COLUMN()-COLUMN(rw_LoadOrigin)-1))),"")</f>
        <v>0</v>
      </c>
      <c r="L37" s="61" t="n">
        <f aca="false">IFERROR(IF(INDEX(res_Name,(ROW()-ROW(rw_LoadOrigin)-1))="","",INDEX(rw_Cum,(ROW()-ROW(rw_LoadOrigin)-1),(COLUMN()-COLUMN(rw_LoadOrigin)-1)+1)-INDEX(rw_Cum,(ROW()-ROW(rw_LoadOrigin)-1),(COLUMN()-COLUMN(rw_LoadOrigin)-1))),"")</f>
        <v>0</v>
      </c>
      <c r="M37" s="61" t="n">
        <f aca="false">IFERROR(IF(INDEX(res_Name,(ROW()-ROW(rw_LoadOrigin)-1))="","",INDEX(rw_Cum,(ROW()-ROW(rw_LoadOrigin)-1),(COLUMN()-COLUMN(rw_LoadOrigin)-1)+1)-INDEX(rw_Cum,(ROW()-ROW(rw_LoadOrigin)-1),(COLUMN()-COLUMN(rw_LoadOrigin)-1))),"")</f>
        <v>40</v>
      </c>
      <c r="N37" s="61" t="n">
        <f aca="false">IFERROR(IF(INDEX(res_Name,(ROW()-ROW(rw_LoadOrigin)-1))="","",INDEX(rw_Cum,(ROW()-ROW(rw_LoadOrigin)-1),(COLUMN()-COLUMN(rw_LoadOrigin)-1)+1)-INDEX(rw_Cum,(ROW()-ROW(rw_LoadOrigin)-1),(COLUMN()-COLUMN(rw_LoadOrigin)-1))),"")</f>
        <v>8</v>
      </c>
      <c r="O37" s="61" t="n">
        <f aca="false">IFERROR(IF(INDEX(res_Name,(ROW()-ROW(rw_LoadOrigin)-1))="","",INDEX(rw_Cum,(ROW()-ROW(rw_LoadOrigin)-1),(COLUMN()-COLUMN(rw_LoadOrigin)-1)+1)-INDEX(rw_Cum,(ROW()-ROW(rw_LoadOrigin)-1),(COLUMN()-COLUMN(rw_LoadOrigin)-1))),"")</f>
        <v>0</v>
      </c>
      <c r="P37" s="61" t="n">
        <f aca="false">IFERROR(IF(INDEX(res_Name,(ROW()-ROW(rw_LoadOrigin)-1))="","",INDEX(rw_Cum,(ROW()-ROW(rw_LoadOrigin)-1),(COLUMN()-COLUMN(rw_LoadOrigin)-1)+1)-INDEX(rw_Cum,(ROW()-ROW(rw_LoadOrigin)-1),(COLUMN()-COLUMN(rw_LoadOrigin)-1))),"")</f>
        <v>0</v>
      </c>
      <c r="Q37" s="61" t="n">
        <f aca="false">IFERROR(IF(INDEX(res_Name,(ROW()-ROW(rw_LoadOrigin)-1))="","",INDEX(rw_Cum,(ROW()-ROW(rw_LoadOrigin)-1),(COLUMN()-COLUMN(rw_LoadOrigin)-1)+1)-INDEX(rw_Cum,(ROW()-ROW(rw_LoadOrigin)-1),(COLUMN()-COLUMN(rw_LoadOrigin)-1))),"")</f>
        <v>0</v>
      </c>
      <c r="R37" s="61" t="n">
        <f aca="false">IFERROR(IF(INDEX(res_Name,(ROW()-ROW(rw_LoadOrigin)-1))="","",INDEX(rw_Cum,(ROW()-ROW(rw_LoadOrigin)-1),(COLUMN()-COLUMN(rw_LoadOrigin)-1)+1)-INDEX(rw_Cum,(ROW()-ROW(rw_LoadOrigin)-1),(COLUMN()-COLUMN(rw_LoadOrigin)-1))),"")</f>
        <v>0</v>
      </c>
      <c r="S37" s="61" t="n">
        <f aca="false">IFERROR(IF(INDEX(res_Name,(ROW()-ROW(rw_LoadOrigin)-1))="","",INDEX(rw_Cum,(ROW()-ROW(rw_LoadOrigin)-1),(COLUMN()-COLUMN(rw_LoadOrigin)-1)+1)-INDEX(rw_Cum,(ROW()-ROW(rw_LoadOrigin)-1),(COLUMN()-COLUMN(rw_LoadOrigin)-1))),"")</f>
        <v>0</v>
      </c>
      <c r="T37" s="61" t="n">
        <f aca="false">IFERROR(IF(INDEX(res_Name,(ROW()-ROW(rw_LoadOrigin)-1))="","",INDEX(rw_Cum,(ROW()-ROW(rw_LoadOrigin)-1),(COLUMN()-COLUMN(rw_LoadOrigin)-1)+1)-INDEX(rw_Cum,(ROW()-ROW(rw_LoadOrigin)-1),(COLUMN()-COLUMN(rw_LoadOrigin)-1))),"")</f>
        <v>0</v>
      </c>
      <c r="U37" s="61" t="n">
        <f aca="false">IFERROR(IF(INDEX(res_Name,(ROW()-ROW(rw_LoadOrigin)-1))="","",INDEX(rw_Cum,(ROW()-ROW(rw_LoadOrigin)-1),(COLUMN()-COLUMN(rw_LoadOrigin)-1)+1)-INDEX(rw_Cum,(ROW()-ROW(rw_LoadOrigin)-1),(COLUMN()-COLUMN(rw_LoadOrigin)-1))),"")</f>
        <v>0</v>
      </c>
      <c r="V37" s="61" t="n">
        <f aca="false">IFERROR(IF(INDEX(res_Name,(ROW()-ROW(rw_LoadOrigin)-1))="","",INDEX(rw_Cum,(ROW()-ROW(rw_LoadOrigin)-1),(COLUMN()-COLUMN(rw_LoadOrigin)-1)+1)-INDEX(rw_Cum,(ROW()-ROW(rw_LoadOrigin)-1),(COLUMN()-COLUMN(rw_LoadOrigin)-1))),"")</f>
        <v>0</v>
      </c>
      <c r="W37" s="61" t="n">
        <f aca="false">IFERROR(IF(INDEX(res_Name,(ROW()-ROW(rw_LoadOrigin)-1))="","",INDEX(rw_Cum,(ROW()-ROW(rw_LoadOrigin)-1),(COLUMN()-COLUMN(rw_LoadOrigin)-1)+1)-INDEX(rw_Cum,(ROW()-ROW(rw_LoadOrigin)-1),(COLUMN()-COLUMN(rw_LoadOrigin)-1))),"")</f>
        <v>0</v>
      </c>
      <c r="X37" s="61" t="n">
        <f aca="false">IFERROR(IF(INDEX(res_Name,(ROW()-ROW(rw_LoadOrigin)-1))="","",INDEX(rw_Cum,(ROW()-ROW(rw_LoadOrigin)-1),(COLUMN()-COLUMN(rw_LoadOrigin)-1)+1)-INDEX(rw_Cum,(ROW()-ROW(rw_LoadOrigin)-1),(COLUMN()-COLUMN(rw_LoadOrigin)-1))),"")</f>
        <v>0</v>
      </c>
      <c r="Y37" s="61" t="n">
        <f aca="false">IFERROR(IF(INDEX(res_Name,(ROW()-ROW(rw_LoadOrigin)-1))="","",INDEX(rw_Cum,(ROW()-ROW(rw_LoadOrigin)-1),(COLUMN()-COLUMN(rw_LoadOrigin)-1)+1)-INDEX(rw_Cum,(ROW()-ROW(rw_LoadOrigin)-1),(COLUMN()-COLUMN(rw_LoadOrigin)-1))),"")</f>
        <v>0</v>
      </c>
      <c r="Z37" s="61" t="n">
        <f aca="false">IFERROR(IF(INDEX(res_Name,(ROW()-ROW(rw_LoadOrigin)-1))="","",INDEX(rw_Cum,(ROW()-ROW(rw_LoadOrigin)-1),(COLUMN()-COLUMN(rw_LoadOrigin)-1)+1)-INDEX(rw_Cum,(ROW()-ROW(rw_LoadOrigin)-1),(COLUMN()-COLUMN(rw_LoadOrigin)-1))),"")</f>
        <v>0</v>
      </c>
      <c r="AA37" s="61" t="n">
        <f aca="false">IFERROR(IF(INDEX(res_Name,(ROW()-ROW(rw_LoadOrigin)-1))="","",INDEX(rw_Cum,(ROW()-ROW(rw_LoadOrigin)-1),(COLUMN()-COLUMN(rw_LoadOrigin)-1)+1)-INDEX(rw_Cum,(ROW()-ROW(rw_LoadOrigin)-1),(COLUMN()-COLUMN(rw_LoadOrigin)-1))),"")</f>
        <v>0</v>
      </c>
      <c r="AB37" s="61" t="n">
        <f aca="false">IFERROR(IF(INDEX(res_Name,(ROW()-ROW(rw_LoadOrigin)-1))="","",INDEX(rw_Cum,(ROW()-ROW(rw_LoadOrigin)-1),(COLUMN()-COLUMN(rw_LoadOrigin)-1)+1)-INDEX(rw_Cum,(ROW()-ROW(rw_LoadOrigin)-1),(COLUMN()-COLUMN(rw_LoadOrigin)-1))),"")</f>
        <v>0</v>
      </c>
      <c r="AC37" s="61" t="n">
        <f aca="false">IFERROR(IF(INDEX(res_Name,(ROW()-ROW(rw_LoadOrigin)-1))="","",INDEX(rw_Cum,(ROW()-ROW(rw_LoadOrigin)-1),(COLUMN()-COLUMN(rw_LoadOrigin)-1)+1)-INDEX(rw_Cum,(ROW()-ROW(rw_LoadOrigin)-1),(COLUMN()-COLUMN(rw_LoadOrigin)-1))),"")</f>
        <v>0</v>
      </c>
    </row>
    <row r="38" customFormat="false" ht="15" hidden="false" customHeight="false" outlineLevel="0" collapsed="false">
      <c r="B38" s="31" t="str">
        <f aca="false">IFERROR(INDEX(res_Name,(ROW()-ROW(rw_LoadOrigin)-1))&amp;"","")</f>
        <v>Alex Chen</v>
      </c>
      <c r="C38" s="60" t="n">
        <f aca="false">IFERROR(IF(INDEX(res_Name,(ROW()-ROW(rw_LoadOrigin)-1))="","",INDEX(res_MaxUnits,(ROW()-ROW(rw_LoadOrigin)-1))),"")</f>
        <v>0.5</v>
      </c>
      <c r="D38" s="61" t="n">
        <f aca="false">IFERROR(IF(INDEX(res_Name,(ROW()-ROW(rw_LoadOrigin)-1))="","",INDEX(rw_Cum,(ROW()-ROW(rw_LoadOrigin)-1),(COLUMN()-COLUMN(rw_LoadOrigin)-1)+1)-INDEX(rw_Cum,(ROW()-ROW(rw_LoadOrigin)-1),(COLUMN()-COLUMN(rw_LoadOrigin)-1))),"")</f>
        <v>0</v>
      </c>
      <c r="E38" s="61" t="n">
        <f aca="false">IFERROR(IF(INDEX(res_Name,(ROW()-ROW(rw_LoadOrigin)-1))="","",INDEX(rw_Cum,(ROW()-ROW(rw_LoadOrigin)-1),(COLUMN()-COLUMN(rw_LoadOrigin)-1)+1)-INDEX(rw_Cum,(ROW()-ROW(rw_LoadOrigin)-1),(COLUMN()-COLUMN(rw_LoadOrigin)-1))),"")</f>
        <v>0</v>
      </c>
      <c r="F38" s="61" t="n">
        <f aca="false">IFERROR(IF(INDEX(res_Name,(ROW()-ROW(rw_LoadOrigin)-1))="","",INDEX(rw_Cum,(ROW()-ROW(rw_LoadOrigin)-1),(COLUMN()-COLUMN(rw_LoadOrigin)-1)+1)-INDEX(rw_Cum,(ROW()-ROW(rw_LoadOrigin)-1),(COLUMN()-COLUMN(rw_LoadOrigin)-1))),"")</f>
        <v>0</v>
      </c>
      <c r="G38" s="61" t="n">
        <f aca="false">IFERROR(IF(INDEX(res_Name,(ROW()-ROW(rw_LoadOrigin)-1))="","",INDEX(rw_Cum,(ROW()-ROW(rw_LoadOrigin)-1),(COLUMN()-COLUMN(rw_LoadOrigin)-1)+1)-INDEX(rw_Cum,(ROW()-ROW(rw_LoadOrigin)-1),(COLUMN()-COLUMN(rw_LoadOrigin)-1))),"")</f>
        <v>0</v>
      </c>
      <c r="H38" s="61" t="n">
        <f aca="false">IFERROR(IF(INDEX(res_Name,(ROW()-ROW(rw_LoadOrigin)-1))="","",INDEX(rw_Cum,(ROW()-ROW(rw_LoadOrigin)-1),(COLUMN()-COLUMN(rw_LoadOrigin)-1)+1)-INDEX(rw_Cum,(ROW()-ROW(rw_LoadOrigin)-1),(COLUMN()-COLUMN(rw_LoadOrigin)-1))),"")</f>
        <v>0</v>
      </c>
      <c r="I38" s="61" t="n">
        <f aca="false">IFERROR(IF(INDEX(res_Name,(ROW()-ROW(rw_LoadOrigin)-1))="","",INDEX(rw_Cum,(ROW()-ROW(rw_LoadOrigin)-1),(COLUMN()-COLUMN(rw_LoadOrigin)-1)+1)-INDEX(rw_Cum,(ROW()-ROW(rw_LoadOrigin)-1),(COLUMN()-COLUMN(rw_LoadOrigin)-1))),"")</f>
        <v>0</v>
      </c>
      <c r="J38" s="61" t="n">
        <f aca="false">IFERROR(IF(INDEX(res_Name,(ROW()-ROW(rw_LoadOrigin)-1))="","",INDEX(rw_Cum,(ROW()-ROW(rw_LoadOrigin)-1),(COLUMN()-COLUMN(rw_LoadOrigin)-1)+1)-INDEX(rw_Cum,(ROW()-ROW(rw_LoadOrigin)-1),(COLUMN()-COLUMN(rw_LoadOrigin)-1))),"")</f>
        <v>0</v>
      </c>
      <c r="K38" s="61" t="n">
        <f aca="false">IFERROR(IF(INDEX(res_Name,(ROW()-ROW(rw_LoadOrigin)-1))="","",INDEX(rw_Cum,(ROW()-ROW(rw_LoadOrigin)-1),(COLUMN()-COLUMN(rw_LoadOrigin)-1)+1)-INDEX(rw_Cum,(ROW()-ROW(rw_LoadOrigin)-1),(COLUMN()-COLUMN(rw_LoadOrigin)-1))),"")</f>
        <v>0</v>
      </c>
      <c r="L38" s="61" t="n">
        <f aca="false">IFERROR(IF(INDEX(res_Name,(ROW()-ROW(rw_LoadOrigin)-1))="","",INDEX(rw_Cum,(ROW()-ROW(rw_LoadOrigin)-1),(COLUMN()-COLUMN(rw_LoadOrigin)-1)+1)-INDEX(rw_Cum,(ROW()-ROW(rw_LoadOrigin)-1),(COLUMN()-COLUMN(rw_LoadOrigin)-1))),"")</f>
        <v>0</v>
      </c>
      <c r="M38" s="61" t="n">
        <f aca="false">IFERROR(IF(INDEX(res_Name,(ROW()-ROW(rw_LoadOrigin)-1))="","",INDEX(rw_Cum,(ROW()-ROW(rw_LoadOrigin)-1),(COLUMN()-COLUMN(rw_LoadOrigin)-1)+1)-INDEX(rw_Cum,(ROW()-ROW(rw_LoadOrigin)-1),(COLUMN()-COLUMN(rw_LoadOrigin)-1))),"")</f>
        <v>0</v>
      </c>
      <c r="N38" s="61" t="n">
        <f aca="false">IFERROR(IF(INDEX(res_Name,(ROW()-ROW(rw_LoadOrigin)-1))="","",INDEX(rw_Cum,(ROW()-ROW(rw_LoadOrigin)-1),(COLUMN()-COLUMN(rw_LoadOrigin)-1)+1)-INDEX(rw_Cum,(ROW()-ROW(rw_LoadOrigin)-1),(COLUMN()-COLUMN(rw_LoadOrigin)-1))),"")</f>
        <v>0</v>
      </c>
      <c r="O38" s="61" t="n">
        <f aca="false">IFERROR(IF(INDEX(res_Name,(ROW()-ROW(rw_LoadOrigin)-1))="","",INDEX(rw_Cum,(ROW()-ROW(rw_LoadOrigin)-1),(COLUMN()-COLUMN(rw_LoadOrigin)-1)+1)-INDEX(rw_Cum,(ROW()-ROW(rw_LoadOrigin)-1),(COLUMN()-COLUMN(rw_LoadOrigin)-1))),"")</f>
        <v>0</v>
      </c>
      <c r="P38" s="61" t="n">
        <f aca="false">IFERROR(IF(INDEX(res_Name,(ROW()-ROW(rw_LoadOrigin)-1))="","",INDEX(rw_Cum,(ROW()-ROW(rw_LoadOrigin)-1),(COLUMN()-COLUMN(rw_LoadOrigin)-1)+1)-INDEX(rw_Cum,(ROW()-ROW(rw_LoadOrigin)-1),(COLUMN()-COLUMN(rw_LoadOrigin)-1))),"")</f>
        <v>0</v>
      </c>
      <c r="Q38" s="61" t="n">
        <f aca="false">IFERROR(IF(INDEX(res_Name,(ROW()-ROW(rw_LoadOrigin)-1))="","",INDEX(rw_Cum,(ROW()-ROW(rw_LoadOrigin)-1),(COLUMN()-COLUMN(rw_LoadOrigin)-1)+1)-INDEX(rw_Cum,(ROW()-ROW(rw_LoadOrigin)-1),(COLUMN()-COLUMN(rw_LoadOrigin)-1))),"")</f>
        <v>0</v>
      </c>
      <c r="R38" s="61" t="n">
        <f aca="false">IFERROR(IF(INDEX(res_Name,(ROW()-ROW(rw_LoadOrigin)-1))="","",INDEX(rw_Cum,(ROW()-ROW(rw_LoadOrigin)-1),(COLUMN()-COLUMN(rw_LoadOrigin)-1)+1)-INDEX(rw_Cum,(ROW()-ROW(rw_LoadOrigin)-1),(COLUMN()-COLUMN(rw_LoadOrigin)-1))),"")</f>
        <v>0</v>
      </c>
      <c r="S38" s="61" t="n">
        <f aca="false">IFERROR(IF(INDEX(res_Name,(ROW()-ROW(rw_LoadOrigin)-1))="","",INDEX(rw_Cum,(ROW()-ROW(rw_LoadOrigin)-1),(COLUMN()-COLUMN(rw_LoadOrigin)-1)+1)-INDEX(rw_Cum,(ROW()-ROW(rw_LoadOrigin)-1),(COLUMN()-COLUMN(rw_LoadOrigin)-1))),"")</f>
        <v>0</v>
      </c>
      <c r="T38" s="61" t="n">
        <f aca="false">IFERROR(IF(INDEX(res_Name,(ROW()-ROW(rw_LoadOrigin)-1))="","",INDEX(rw_Cum,(ROW()-ROW(rw_LoadOrigin)-1),(COLUMN()-COLUMN(rw_LoadOrigin)-1)+1)-INDEX(rw_Cum,(ROW()-ROW(rw_LoadOrigin)-1),(COLUMN()-COLUMN(rw_LoadOrigin)-1))),"")</f>
        <v>0</v>
      </c>
      <c r="U38" s="61" t="n">
        <f aca="false">IFERROR(IF(INDEX(res_Name,(ROW()-ROW(rw_LoadOrigin)-1))="","",INDEX(rw_Cum,(ROW()-ROW(rw_LoadOrigin)-1),(COLUMN()-COLUMN(rw_LoadOrigin)-1)+1)-INDEX(rw_Cum,(ROW()-ROW(rw_LoadOrigin)-1),(COLUMN()-COLUMN(rw_LoadOrigin)-1))),"")</f>
        <v>0</v>
      </c>
      <c r="V38" s="61" t="n">
        <f aca="false">IFERROR(IF(INDEX(res_Name,(ROW()-ROW(rw_LoadOrigin)-1))="","",INDEX(rw_Cum,(ROW()-ROW(rw_LoadOrigin)-1),(COLUMN()-COLUMN(rw_LoadOrigin)-1)+1)-INDEX(rw_Cum,(ROW()-ROW(rw_LoadOrigin)-1),(COLUMN()-COLUMN(rw_LoadOrigin)-1))),"")</f>
        <v>0</v>
      </c>
      <c r="W38" s="61" t="n">
        <f aca="false">IFERROR(IF(INDEX(res_Name,(ROW()-ROW(rw_LoadOrigin)-1))="","",INDEX(rw_Cum,(ROW()-ROW(rw_LoadOrigin)-1),(COLUMN()-COLUMN(rw_LoadOrigin)-1)+1)-INDEX(rw_Cum,(ROW()-ROW(rw_LoadOrigin)-1),(COLUMN()-COLUMN(rw_LoadOrigin)-1))),"")</f>
        <v>0</v>
      </c>
      <c r="X38" s="61" t="n">
        <f aca="false">IFERROR(IF(INDEX(res_Name,(ROW()-ROW(rw_LoadOrigin)-1))="","",INDEX(rw_Cum,(ROW()-ROW(rw_LoadOrigin)-1),(COLUMN()-COLUMN(rw_LoadOrigin)-1)+1)-INDEX(rw_Cum,(ROW()-ROW(rw_LoadOrigin)-1),(COLUMN()-COLUMN(rw_LoadOrigin)-1))),"")</f>
        <v>0</v>
      </c>
      <c r="Y38" s="61" t="n">
        <f aca="false">IFERROR(IF(INDEX(res_Name,(ROW()-ROW(rw_LoadOrigin)-1))="","",INDEX(rw_Cum,(ROW()-ROW(rw_LoadOrigin)-1),(COLUMN()-COLUMN(rw_LoadOrigin)-1)+1)-INDEX(rw_Cum,(ROW()-ROW(rw_LoadOrigin)-1),(COLUMN()-COLUMN(rw_LoadOrigin)-1))),"")</f>
        <v>0</v>
      </c>
      <c r="Z38" s="61" t="n">
        <f aca="false">IFERROR(IF(INDEX(res_Name,(ROW()-ROW(rw_LoadOrigin)-1))="","",INDEX(rw_Cum,(ROW()-ROW(rw_LoadOrigin)-1),(COLUMN()-COLUMN(rw_LoadOrigin)-1)+1)-INDEX(rw_Cum,(ROW()-ROW(rw_LoadOrigin)-1),(COLUMN()-COLUMN(rw_LoadOrigin)-1))),"")</f>
        <v>0</v>
      </c>
      <c r="AA38" s="61" t="n">
        <f aca="false">IFERROR(IF(INDEX(res_Name,(ROW()-ROW(rw_LoadOrigin)-1))="","",INDEX(rw_Cum,(ROW()-ROW(rw_LoadOrigin)-1),(COLUMN()-COLUMN(rw_LoadOrigin)-1)+1)-INDEX(rw_Cum,(ROW()-ROW(rw_LoadOrigin)-1),(COLUMN()-COLUMN(rw_LoadOrigin)-1))),"")</f>
        <v>0</v>
      </c>
      <c r="AB38" s="61" t="n">
        <f aca="false">IFERROR(IF(INDEX(res_Name,(ROW()-ROW(rw_LoadOrigin)-1))="","",INDEX(rw_Cum,(ROW()-ROW(rw_LoadOrigin)-1),(COLUMN()-COLUMN(rw_LoadOrigin)-1)+1)-INDEX(rw_Cum,(ROW()-ROW(rw_LoadOrigin)-1),(COLUMN()-COLUMN(rw_LoadOrigin)-1))),"")</f>
        <v>0</v>
      </c>
      <c r="AC38" s="61" t="n">
        <f aca="false">IFERROR(IF(INDEX(res_Name,(ROW()-ROW(rw_LoadOrigin)-1))="","",INDEX(rw_Cum,(ROW()-ROW(rw_LoadOrigin)-1),(COLUMN()-COLUMN(rw_LoadOrigin)-1)+1)-INDEX(rw_Cum,(ROW()-ROW(rw_LoadOrigin)-1),(COLUMN()-COLUMN(rw_LoadOrigin)-1))),"")</f>
        <v>0</v>
      </c>
    </row>
    <row r="39" customFormat="false" ht="15" hidden="false" customHeight="false" outlineLevel="0" collapsed="false">
      <c r="B39" s="31" t="str">
        <f aca="false">IFERROR(INDEX(res_Name,(ROW()-ROW(rw_LoadOrigin)-1))&amp;"","")</f>
        <v>Casey Kim</v>
      </c>
      <c r="C39" s="60" t="n">
        <f aca="false">IFERROR(IF(INDEX(res_Name,(ROW()-ROW(rw_LoadOrigin)-1))="","",INDEX(res_MaxUnits,(ROW()-ROW(rw_LoadOrigin)-1))),"")</f>
        <v>1</v>
      </c>
      <c r="D39" s="61" t="n">
        <f aca="false">IFERROR(IF(INDEX(res_Name,(ROW()-ROW(rw_LoadOrigin)-1))="","",INDEX(rw_Cum,(ROW()-ROW(rw_LoadOrigin)-1),(COLUMN()-COLUMN(rw_LoadOrigin)-1)+1)-INDEX(rw_Cum,(ROW()-ROW(rw_LoadOrigin)-1),(COLUMN()-COLUMN(rw_LoadOrigin)-1))),"")</f>
        <v>13.7142857142857</v>
      </c>
      <c r="E39" s="61" t="n">
        <f aca="false">IFERROR(IF(INDEX(res_Name,(ROW()-ROW(rw_LoadOrigin)-1))="","",INDEX(rw_Cum,(ROW()-ROW(rw_LoadOrigin)-1),(COLUMN()-COLUMN(rw_LoadOrigin)-1)+1)-INDEX(rw_Cum,(ROW()-ROW(rw_LoadOrigin)-1),(COLUMN()-COLUMN(rw_LoadOrigin)-1))),"")</f>
        <v>0</v>
      </c>
      <c r="F39" s="61" t="n">
        <f aca="false">IFERROR(IF(INDEX(res_Name,(ROW()-ROW(rw_LoadOrigin)-1))="","",INDEX(rw_Cum,(ROW()-ROW(rw_LoadOrigin)-1),(COLUMN()-COLUMN(rw_LoadOrigin)-1)+1)-INDEX(rw_Cum,(ROW()-ROW(rw_LoadOrigin)-1),(COLUMN()-COLUMN(rw_LoadOrigin)-1))),"")</f>
        <v>0</v>
      </c>
      <c r="G39" s="61" t="n">
        <f aca="false">IFERROR(IF(INDEX(res_Name,(ROW()-ROW(rw_LoadOrigin)-1))="","",INDEX(rw_Cum,(ROW()-ROW(rw_LoadOrigin)-1),(COLUMN()-COLUMN(rw_LoadOrigin)-1)+1)-INDEX(rw_Cum,(ROW()-ROW(rw_LoadOrigin)-1),(COLUMN()-COLUMN(rw_LoadOrigin)-1))),"")</f>
        <v>0</v>
      </c>
      <c r="H39" s="61" t="n">
        <f aca="false">IFERROR(IF(INDEX(res_Name,(ROW()-ROW(rw_LoadOrigin)-1))="","",INDEX(rw_Cum,(ROW()-ROW(rw_LoadOrigin)-1),(COLUMN()-COLUMN(rw_LoadOrigin)-1)+1)-INDEX(rw_Cum,(ROW()-ROW(rw_LoadOrigin)-1),(COLUMN()-COLUMN(rw_LoadOrigin)-1))),"")</f>
        <v>12</v>
      </c>
      <c r="I39" s="61" t="n">
        <f aca="false">IFERROR(IF(INDEX(res_Name,(ROW()-ROW(rw_LoadOrigin)-1))="","",INDEX(rw_Cum,(ROW()-ROW(rw_LoadOrigin)-1),(COLUMN()-COLUMN(rw_LoadOrigin)-1)+1)-INDEX(rw_Cum,(ROW()-ROW(rw_LoadOrigin)-1),(COLUMN()-COLUMN(rw_LoadOrigin)-1))),"")</f>
        <v>8</v>
      </c>
      <c r="J39" s="61" t="n">
        <f aca="false">IFERROR(IF(INDEX(res_Name,(ROW()-ROW(rw_LoadOrigin)-1))="","",INDEX(rw_Cum,(ROW()-ROW(rw_LoadOrigin)-1),(COLUMN()-COLUMN(rw_LoadOrigin)-1)+1)-INDEX(rw_Cum,(ROW()-ROW(rw_LoadOrigin)-1),(COLUMN()-COLUMN(rw_LoadOrigin)-1))),"")</f>
        <v>12</v>
      </c>
      <c r="K39" s="61" t="n">
        <f aca="false">IFERROR(IF(INDEX(res_Name,(ROW()-ROW(rw_LoadOrigin)-1))="","",INDEX(rw_Cum,(ROW()-ROW(rw_LoadOrigin)-1),(COLUMN()-COLUMN(rw_LoadOrigin)-1)+1)-INDEX(rw_Cum,(ROW()-ROW(rw_LoadOrigin)-1),(COLUMN()-COLUMN(rw_LoadOrigin)-1))),"")</f>
        <v>0</v>
      </c>
      <c r="L39" s="61" t="n">
        <f aca="false">IFERROR(IF(INDEX(res_Name,(ROW()-ROW(rw_LoadOrigin)-1))="","",INDEX(rw_Cum,(ROW()-ROW(rw_LoadOrigin)-1),(COLUMN()-COLUMN(rw_LoadOrigin)-1)+1)-INDEX(rw_Cum,(ROW()-ROW(rw_LoadOrigin)-1),(COLUMN()-COLUMN(rw_LoadOrigin)-1))),"")</f>
        <v>0</v>
      </c>
      <c r="M39" s="61" t="n">
        <f aca="false">IFERROR(IF(INDEX(res_Name,(ROW()-ROW(rw_LoadOrigin)-1))="","",INDEX(rw_Cum,(ROW()-ROW(rw_LoadOrigin)-1),(COLUMN()-COLUMN(rw_LoadOrigin)-1)+1)-INDEX(rw_Cum,(ROW()-ROW(rw_LoadOrigin)-1),(COLUMN()-COLUMN(rw_LoadOrigin)-1))),"")</f>
        <v>0</v>
      </c>
      <c r="N39" s="61" t="n">
        <f aca="false">IFERROR(IF(INDEX(res_Name,(ROW()-ROW(rw_LoadOrigin)-1))="","",INDEX(rw_Cum,(ROW()-ROW(rw_LoadOrigin)-1),(COLUMN()-COLUMN(rw_LoadOrigin)-1)+1)-INDEX(rw_Cum,(ROW()-ROW(rw_LoadOrigin)-1),(COLUMN()-COLUMN(rw_LoadOrigin)-1))),"")</f>
        <v>0</v>
      </c>
      <c r="O39" s="61" t="n">
        <f aca="false">IFERROR(IF(INDEX(res_Name,(ROW()-ROW(rw_LoadOrigin)-1))="","",INDEX(rw_Cum,(ROW()-ROW(rw_LoadOrigin)-1),(COLUMN()-COLUMN(rw_LoadOrigin)-1)+1)-INDEX(rw_Cum,(ROW()-ROW(rw_LoadOrigin)-1),(COLUMN()-COLUMN(rw_LoadOrigin)-1))),"")</f>
        <v>0</v>
      </c>
      <c r="P39" s="61" t="n">
        <f aca="false">IFERROR(IF(INDEX(res_Name,(ROW()-ROW(rw_LoadOrigin)-1))="","",INDEX(rw_Cum,(ROW()-ROW(rw_LoadOrigin)-1),(COLUMN()-COLUMN(rw_LoadOrigin)-1)+1)-INDEX(rw_Cum,(ROW()-ROW(rw_LoadOrigin)-1),(COLUMN()-COLUMN(rw_LoadOrigin)-1))),"")</f>
        <v>0</v>
      </c>
      <c r="Q39" s="61" t="n">
        <f aca="false">IFERROR(IF(INDEX(res_Name,(ROW()-ROW(rw_LoadOrigin)-1))="","",INDEX(rw_Cum,(ROW()-ROW(rw_LoadOrigin)-1),(COLUMN()-COLUMN(rw_LoadOrigin)-1)+1)-INDEX(rw_Cum,(ROW()-ROW(rw_LoadOrigin)-1),(COLUMN()-COLUMN(rw_LoadOrigin)-1))),"")</f>
        <v>0</v>
      </c>
      <c r="R39" s="61" t="n">
        <f aca="false">IFERROR(IF(INDEX(res_Name,(ROW()-ROW(rw_LoadOrigin)-1))="","",INDEX(rw_Cum,(ROW()-ROW(rw_LoadOrigin)-1),(COLUMN()-COLUMN(rw_LoadOrigin)-1)+1)-INDEX(rw_Cum,(ROW()-ROW(rw_LoadOrigin)-1),(COLUMN()-COLUMN(rw_LoadOrigin)-1))),"")</f>
        <v>0</v>
      </c>
      <c r="S39" s="61" t="n">
        <f aca="false">IFERROR(IF(INDEX(res_Name,(ROW()-ROW(rw_LoadOrigin)-1))="","",INDEX(rw_Cum,(ROW()-ROW(rw_LoadOrigin)-1),(COLUMN()-COLUMN(rw_LoadOrigin)-1)+1)-INDEX(rw_Cum,(ROW()-ROW(rw_LoadOrigin)-1),(COLUMN()-COLUMN(rw_LoadOrigin)-1))),"")</f>
        <v>0</v>
      </c>
      <c r="T39" s="61" t="n">
        <f aca="false">IFERROR(IF(INDEX(res_Name,(ROW()-ROW(rw_LoadOrigin)-1))="","",INDEX(rw_Cum,(ROW()-ROW(rw_LoadOrigin)-1),(COLUMN()-COLUMN(rw_LoadOrigin)-1)+1)-INDEX(rw_Cum,(ROW()-ROW(rw_LoadOrigin)-1),(COLUMN()-COLUMN(rw_LoadOrigin)-1))),"")</f>
        <v>0</v>
      </c>
      <c r="U39" s="61" t="n">
        <f aca="false">IFERROR(IF(INDEX(res_Name,(ROW()-ROW(rw_LoadOrigin)-1))="","",INDEX(rw_Cum,(ROW()-ROW(rw_LoadOrigin)-1),(COLUMN()-COLUMN(rw_LoadOrigin)-1)+1)-INDEX(rw_Cum,(ROW()-ROW(rw_LoadOrigin)-1),(COLUMN()-COLUMN(rw_LoadOrigin)-1))),"")</f>
        <v>0</v>
      </c>
      <c r="V39" s="61" t="n">
        <f aca="false">IFERROR(IF(INDEX(res_Name,(ROW()-ROW(rw_LoadOrigin)-1))="","",INDEX(rw_Cum,(ROW()-ROW(rw_LoadOrigin)-1),(COLUMN()-COLUMN(rw_LoadOrigin)-1)+1)-INDEX(rw_Cum,(ROW()-ROW(rw_LoadOrigin)-1),(COLUMN()-COLUMN(rw_LoadOrigin)-1))),"")</f>
        <v>0</v>
      </c>
      <c r="W39" s="61" t="n">
        <f aca="false">IFERROR(IF(INDEX(res_Name,(ROW()-ROW(rw_LoadOrigin)-1))="","",INDEX(rw_Cum,(ROW()-ROW(rw_LoadOrigin)-1),(COLUMN()-COLUMN(rw_LoadOrigin)-1)+1)-INDEX(rw_Cum,(ROW()-ROW(rw_LoadOrigin)-1),(COLUMN()-COLUMN(rw_LoadOrigin)-1))),"")</f>
        <v>0</v>
      </c>
      <c r="X39" s="61" t="n">
        <f aca="false">IFERROR(IF(INDEX(res_Name,(ROW()-ROW(rw_LoadOrigin)-1))="","",INDEX(rw_Cum,(ROW()-ROW(rw_LoadOrigin)-1),(COLUMN()-COLUMN(rw_LoadOrigin)-1)+1)-INDEX(rw_Cum,(ROW()-ROW(rw_LoadOrigin)-1),(COLUMN()-COLUMN(rw_LoadOrigin)-1))),"")</f>
        <v>0</v>
      </c>
      <c r="Y39" s="61" t="n">
        <f aca="false">IFERROR(IF(INDEX(res_Name,(ROW()-ROW(rw_LoadOrigin)-1))="","",INDEX(rw_Cum,(ROW()-ROW(rw_LoadOrigin)-1),(COLUMN()-COLUMN(rw_LoadOrigin)-1)+1)-INDEX(rw_Cum,(ROW()-ROW(rw_LoadOrigin)-1),(COLUMN()-COLUMN(rw_LoadOrigin)-1))),"")</f>
        <v>0</v>
      </c>
      <c r="Z39" s="61" t="n">
        <f aca="false">IFERROR(IF(INDEX(res_Name,(ROW()-ROW(rw_LoadOrigin)-1))="","",INDEX(rw_Cum,(ROW()-ROW(rw_LoadOrigin)-1),(COLUMN()-COLUMN(rw_LoadOrigin)-1)+1)-INDEX(rw_Cum,(ROW()-ROW(rw_LoadOrigin)-1),(COLUMN()-COLUMN(rw_LoadOrigin)-1))),"")</f>
        <v>0</v>
      </c>
      <c r="AA39" s="61" t="n">
        <f aca="false">IFERROR(IF(INDEX(res_Name,(ROW()-ROW(rw_LoadOrigin)-1))="","",INDEX(rw_Cum,(ROW()-ROW(rw_LoadOrigin)-1),(COLUMN()-COLUMN(rw_LoadOrigin)-1)+1)-INDEX(rw_Cum,(ROW()-ROW(rw_LoadOrigin)-1),(COLUMN()-COLUMN(rw_LoadOrigin)-1))),"")</f>
        <v>0</v>
      </c>
      <c r="AB39" s="61" t="n">
        <f aca="false">IFERROR(IF(INDEX(res_Name,(ROW()-ROW(rw_LoadOrigin)-1))="","",INDEX(rw_Cum,(ROW()-ROW(rw_LoadOrigin)-1),(COLUMN()-COLUMN(rw_LoadOrigin)-1)+1)-INDEX(rw_Cum,(ROW()-ROW(rw_LoadOrigin)-1),(COLUMN()-COLUMN(rw_LoadOrigin)-1))),"")</f>
        <v>0</v>
      </c>
      <c r="AC39" s="61" t="n">
        <f aca="false">IFERROR(IF(INDEX(res_Name,(ROW()-ROW(rw_LoadOrigin)-1))="","",INDEX(rw_Cum,(ROW()-ROW(rw_LoadOrigin)-1),(COLUMN()-COLUMN(rw_LoadOrigin)-1)+1)-INDEX(rw_Cum,(ROW()-ROW(rw_LoadOrigin)-1),(COLUMN()-COLUMN(rw_LoadOrigin)-1))),"")</f>
        <v>0</v>
      </c>
    </row>
    <row r="40" customFormat="false" ht="15" hidden="false" customHeight="false" outlineLevel="0" collapsed="false">
      <c r="B40" s="31" t="str">
        <f aca="false">IFERROR(INDEX(res_Name,(ROW()-ROW(rw_LoadOrigin)-1))&amp;"","")</f>
        <v>Jordan Lee</v>
      </c>
      <c r="C40" s="60" t="n">
        <f aca="false">IFERROR(IF(INDEX(res_Name,(ROW()-ROW(rw_LoadOrigin)-1))="","",INDEX(res_MaxUnits,(ROW()-ROW(rw_LoadOrigin)-1))),"")</f>
        <v>1</v>
      </c>
      <c r="D40" s="61" t="n">
        <f aca="false">IFERROR(IF(INDEX(res_Name,(ROW()-ROW(rw_LoadOrigin)-1))="","",INDEX(rw_Cum,(ROW()-ROW(rw_LoadOrigin)-1),(COLUMN()-COLUMN(rw_LoadOrigin)-1)+1)-INDEX(rw_Cum,(ROW()-ROW(rw_LoadOrigin)-1),(COLUMN()-COLUMN(rw_LoadOrigin)-1))),"")</f>
        <v>20</v>
      </c>
      <c r="E40" s="61" t="n">
        <f aca="false">IFERROR(IF(INDEX(res_Name,(ROW()-ROW(rw_LoadOrigin)-1))="","",INDEX(rw_Cum,(ROW()-ROW(rw_LoadOrigin)-1),(COLUMN()-COLUMN(rw_LoadOrigin)-1)+1)-INDEX(rw_Cum,(ROW()-ROW(rw_LoadOrigin)-1),(COLUMN()-COLUMN(rw_LoadOrigin)-1))),"")</f>
        <v>33.3333333333333</v>
      </c>
      <c r="F40" s="61" t="n">
        <f aca="false">IFERROR(IF(INDEX(res_Name,(ROW()-ROW(rw_LoadOrigin)-1))="","",INDEX(rw_Cum,(ROW()-ROW(rw_LoadOrigin)-1),(COLUMN()-COLUMN(rw_LoadOrigin)-1)+1)-INDEX(rw_Cum,(ROW()-ROW(rw_LoadOrigin)-1),(COLUMN()-COLUMN(rw_LoadOrigin)-1))),"")</f>
        <v>33.3333333333334</v>
      </c>
      <c r="G40" s="61" t="n">
        <f aca="false">IFERROR(IF(INDEX(res_Name,(ROW()-ROW(rw_LoadOrigin)-1))="","",INDEX(rw_Cum,(ROW()-ROW(rw_LoadOrigin)-1),(COLUMN()-COLUMN(rw_LoadOrigin)-1)+1)-INDEX(rw_Cum,(ROW()-ROW(rw_LoadOrigin)-1),(COLUMN()-COLUMN(rw_LoadOrigin)-1))),"")</f>
        <v>33.3333333333333</v>
      </c>
      <c r="H40" s="61" t="n">
        <f aca="false">IFERROR(IF(INDEX(res_Name,(ROW()-ROW(rw_LoadOrigin)-1))="","",INDEX(rw_Cum,(ROW()-ROW(rw_LoadOrigin)-1),(COLUMN()-COLUMN(rw_LoadOrigin)-1)+1)-INDEX(rw_Cum,(ROW()-ROW(rw_LoadOrigin)-1),(COLUMN()-COLUMN(rw_LoadOrigin)-1))),"")</f>
        <v>40</v>
      </c>
      <c r="I40" s="61" t="n">
        <f aca="false">IFERROR(IF(INDEX(res_Name,(ROW()-ROW(rw_LoadOrigin)-1))="","",INDEX(rw_Cum,(ROW()-ROW(rw_LoadOrigin)-1),(COLUMN()-COLUMN(rw_LoadOrigin)-1)+1)-INDEX(rw_Cum,(ROW()-ROW(rw_LoadOrigin)-1),(COLUMN()-COLUMN(rw_LoadOrigin)-1))),"")</f>
        <v>8</v>
      </c>
      <c r="J40" s="61" t="n">
        <f aca="false">IFERROR(IF(INDEX(res_Name,(ROW()-ROW(rw_LoadOrigin)-1))="","",INDEX(rw_Cum,(ROW()-ROW(rw_LoadOrigin)-1),(COLUMN()-COLUMN(rw_LoadOrigin)-1)+1)-INDEX(rw_Cum,(ROW()-ROW(rw_LoadOrigin)-1),(COLUMN()-COLUMN(rw_LoadOrigin)-1))),"")</f>
        <v>0</v>
      </c>
      <c r="K40" s="61" t="n">
        <f aca="false">IFERROR(IF(INDEX(res_Name,(ROW()-ROW(rw_LoadOrigin)-1))="","",INDEX(rw_Cum,(ROW()-ROW(rw_LoadOrigin)-1),(COLUMN()-COLUMN(rw_LoadOrigin)-1)+1)-INDEX(rw_Cum,(ROW()-ROW(rw_LoadOrigin)-1),(COLUMN()-COLUMN(rw_LoadOrigin)-1))),"")</f>
        <v>0</v>
      </c>
      <c r="L40" s="61" t="n">
        <f aca="false">IFERROR(IF(INDEX(res_Name,(ROW()-ROW(rw_LoadOrigin)-1))="","",INDEX(rw_Cum,(ROW()-ROW(rw_LoadOrigin)-1),(COLUMN()-COLUMN(rw_LoadOrigin)-1)+1)-INDEX(rw_Cum,(ROW()-ROW(rw_LoadOrigin)-1),(COLUMN()-COLUMN(rw_LoadOrigin)-1))),"")</f>
        <v>0</v>
      </c>
      <c r="M40" s="61" t="n">
        <f aca="false">IFERROR(IF(INDEX(res_Name,(ROW()-ROW(rw_LoadOrigin)-1))="","",INDEX(rw_Cum,(ROW()-ROW(rw_LoadOrigin)-1),(COLUMN()-COLUMN(rw_LoadOrigin)-1)+1)-INDEX(rw_Cum,(ROW()-ROW(rw_LoadOrigin)-1),(COLUMN()-COLUMN(rw_LoadOrigin)-1))),"")</f>
        <v>0</v>
      </c>
      <c r="N40" s="61" t="n">
        <f aca="false">IFERROR(IF(INDEX(res_Name,(ROW()-ROW(rw_LoadOrigin)-1))="","",INDEX(rw_Cum,(ROW()-ROW(rw_LoadOrigin)-1),(COLUMN()-COLUMN(rw_LoadOrigin)-1)+1)-INDEX(rw_Cum,(ROW()-ROW(rw_LoadOrigin)-1),(COLUMN()-COLUMN(rw_LoadOrigin)-1))),"")</f>
        <v>12</v>
      </c>
      <c r="O40" s="61" t="n">
        <f aca="false">IFERROR(IF(INDEX(res_Name,(ROW()-ROW(rw_LoadOrigin)-1))="","",INDEX(rw_Cum,(ROW()-ROW(rw_LoadOrigin)-1),(COLUMN()-COLUMN(rw_LoadOrigin)-1)+1)-INDEX(rw_Cum,(ROW()-ROW(rw_LoadOrigin)-1),(COLUMN()-COLUMN(rw_LoadOrigin)-1))),"")</f>
        <v>12</v>
      </c>
      <c r="P40" s="61" t="n">
        <f aca="false">IFERROR(IF(INDEX(res_Name,(ROW()-ROW(rw_LoadOrigin)-1))="","",INDEX(rw_Cum,(ROW()-ROW(rw_LoadOrigin)-1),(COLUMN()-COLUMN(rw_LoadOrigin)-1)+1)-INDEX(rw_Cum,(ROW()-ROW(rw_LoadOrigin)-1),(COLUMN()-COLUMN(rw_LoadOrigin)-1))),"")</f>
        <v>12</v>
      </c>
      <c r="Q40" s="61" t="n">
        <f aca="false">IFERROR(IF(INDEX(res_Name,(ROW()-ROW(rw_LoadOrigin)-1))="","",INDEX(rw_Cum,(ROW()-ROW(rw_LoadOrigin)-1),(COLUMN()-COLUMN(rw_LoadOrigin)-1)+1)-INDEX(rw_Cum,(ROW()-ROW(rw_LoadOrigin)-1),(COLUMN()-COLUMN(rw_LoadOrigin)-1))),"")</f>
        <v>4</v>
      </c>
      <c r="R40" s="61" t="n">
        <f aca="false">IFERROR(IF(INDEX(res_Name,(ROW()-ROW(rw_LoadOrigin)-1))="","",INDEX(rw_Cum,(ROW()-ROW(rw_LoadOrigin)-1),(COLUMN()-COLUMN(rw_LoadOrigin)-1)+1)-INDEX(rw_Cum,(ROW()-ROW(rw_LoadOrigin)-1),(COLUMN()-COLUMN(rw_LoadOrigin)-1))),"")</f>
        <v>0</v>
      </c>
      <c r="S40" s="61" t="n">
        <f aca="false">IFERROR(IF(INDEX(res_Name,(ROW()-ROW(rw_LoadOrigin)-1))="","",INDEX(rw_Cum,(ROW()-ROW(rw_LoadOrigin)-1),(COLUMN()-COLUMN(rw_LoadOrigin)-1)+1)-INDEX(rw_Cum,(ROW()-ROW(rw_LoadOrigin)-1),(COLUMN()-COLUMN(rw_LoadOrigin)-1))),"")</f>
        <v>0</v>
      </c>
      <c r="T40" s="61" t="n">
        <f aca="false">IFERROR(IF(INDEX(res_Name,(ROW()-ROW(rw_LoadOrigin)-1))="","",INDEX(rw_Cum,(ROW()-ROW(rw_LoadOrigin)-1),(COLUMN()-COLUMN(rw_LoadOrigin)-1)+1)-INDEX(rw_Cum,(ROW()-ROW(rw_LoadOrigin)-1),(COLUMN()-COLUMN(rw_LoadOrigin)-1))),"")</f>
        <v>0</v>
      </c>
      <c r="U40" s="61" t="n">
        <f aca="false">IFERROR(IF(INDEX(res_Name,(ROW()-ROW(rw_LoadOrigin)-1))="","",INDEX(rw_Cum,(ROW()-ROW(rw_LoadOrigin)-1),(COLUMN()-COLUMN(rw_LoadOrigin)-1)+1)-INDEX(rw_Cum,(ROW()-ROW(rw_LoadOrigin)-1),(COLUMN()-COLUMN(rw_LoadOrigin)-1))),"")</f>
        <v>0</v>
      </c>
      <c r="V40" s="61" t="n">
        <f aca="false">IFERROR(IF(INDEX(res_Name,(ROW()-ROW(rw_LoadOrigin)-1))="","",INDEX(rw_Cum,(ROW()-ROW(rw_LoadOrigin)-1),(COLUMN()-COLUMN(rw_LoadOrigin)-1)+1)-INDEX(rw_Cum,(ROW()-ROW(rw_LoadOrigin)-1),(COLUMN()-COLUMN(rw_LoadOrigin)-1))),"")</f>
        <v>0</v>
      </c>
      <c r="W40" s="61" t="n">
        <f aca="false">IFERROR(IF(INDEX(res_Name,(ROW()-ROW(rw_LoadOrigin)-1))="","",INDEX(rw_Cum,(ROW()-ROW(rw_LoadOrigin)-1),(COLUMN()-COLUMN(rw_LoadOrigin)-1)+1)-INDEX(rw_Cum,(ROW()-ROW(rw_LoadOrigin)-1),(COLUMN()-COLUMN(rw_LoadOrigin)-1))),"")</f>
        <v>0</v>
      </c>
      <c r="X40" s="61" t="n">
        <f aca="false">IFERROR(IF(INDEX(res_Name,(ROW()-ROW(rw_LoadOrigin)-1))="","",INDEX(rw_Cum,(ROW()-ROW(rw_LoadOrigin)-1),(COLUMN()-COLUMN(rw_LoadOrigin)-1)+1)-INDEX(rw_Cum,(ROW()-ROW(rw_LoadOrigin)-1),(COLUMN()-COLUMN(rw_LoadOrigin)-1))),"")</f>
        <v>0</v>
      </c>
      <c r="Y40" s="61" t="n">
        <f aca="false">IFERROR(IF(INDEX(res_Name,(ROW()-ROW(rw_LoadOrigin)-1))="","",INDEX(rw_Cum,(ROW()-ROW(rw_LoadOrigin)-1),(COLUMN()-COLUMN(rw_LoadOrigin)-1)+1)-INDEX(rw_Cum,(ROW()-ROW(rw_LoadOrigin)-1),(COLUMN()-COLUMN(rw_LoadOrigin)-1))),"")</f>
        <v>0</v>
      </c>
      <c r="Z40" s="61" t="n">
        <f aca="false">IFERROR(IF(INDEX(res_Name,(ROW()-ROW(rw_LoadOrigin)-1))="","",INDEX(rw_Cum,(ROW()-ROW(rw_LoadOrigin)-1),(COLUMN()-COLUMN(rw_LoadOrigin)-1)+1)-INDEX(rw_Cum,(ROW()-ROW(rw_LoadOrigin)-1),(COLUMN()-COLUMN(rw_LoadOrigin)-1))),"")</f>
        <v>0</v>
      </c>
      <c r="AA40" s="61" t="n">
        <f aca="false">IFERROR(IF(INDEX(res_Name,(ROW()-ROW(rw_LoadOrigin)-1))="","",INDEX(rw_Cum,(ROW()-ROW(rw_LoadOrigin)-1),(COLUMN()-COLUMN(rw_LoadOrigin)-1)+1)-INDEX(rw_Cum,(ROW()-ROW(rw_LoadOrigin)-1),(COLUMN()-COLUMN(rw_LoadOrigin)-1))),"")</f>
        <v>0</v>
      </c>
      <c r="AB40" s="61" t="n">
        <f aca="false">IFERROR(IF(INDEX(res_Name,(ROW()-ROW(rw_LoadOrigin)-1))="","",INDEX(rw_Cum,(ROW()-ROW(rw_LoadOrigin)-1),(COLUMN()-COLUMN(rw_LoadOrigin)-1)+1)-INDEX(rw_Cum,(ROW()-ROW(rw_LoadOrigin)-1),(COLUMN()-COLUMN(rw_LoadOrigin)-1))),"")</f>
        <v>0</v>
      </c>
      <c r="AC40" s="61" t="n">
        <f aca="false">IFERROR(IF(INDEX(res_Name,(ROW()-ROW(rw_LoadOrigin)-1))="","",INDEX(rw_Cum,(ROW()-ROW(rw_LoadOrigin)-1),(COLUMN()-COLUMN(rw_LoadOrigin)-1)+1)-INDEX(rw_Cum,(ROW()-ROW(rw_LoadOrigin)-1),(COLUMN()-COLUMN(rw_LoadOrigin)-1))),"")</f>
        <v>0</v>
      </c>
    </row>
    <row r="41" customFormat="false" ht="15" hidden="false" customHeight="false" outlineLevel="0" collapsed="false">
      <c r="B41" s="31" t="str">
        <f aca="false">IFERROR(INDEX(res_Name,(ROW()-ROW(rw_LoadOrigin)-1))&amp;"","")</f>
        <v>Sam Rivera</v>
      </c>
      <c r="C41" s="60" t="n">
        <f aca="false">IFERROR(IF(INDEX(res_Name,(ROW()-ROW(rw_LoadOrigin)-1))="","",INDEX(res_MaxUnits,(ROW()-ROW(rw_LoadOrigin)-1))),"")</f>
        <v>1</v>
      </c>
      <c r="D41" s="61" t="n">
        <f aca="false">IFERROR(IF(INDEX(res_Name,(ROW()-ROW(rw_LoadOrigin)-1))="","",INDEX(rw_Cum,(ROW()-ROW(rw_LoadOrigin)-1),(COLUMN()-COLUMN(rw_LoadOrigin)-1)+1)-INDEX(rw_Cum,(ROW()-ROW(rw_LoadOrigin)-1),(COLUMN()-COLUMN(rw_LoadOrigin)-1))),"")</f>
        <v>18</v>
      </c>
      <c r="E41" s="61" t="n">
        <f aca="false">IFERROR(IF(INDEX(res_Name,(ROW()-ROW(rw_LoadOrigin)-1))="","",INDEX(rw_Cum,(ROW()-ROW(rw_LoadOrigin)-1),(COLUMN()-COLUMN(rw_LoadOrigin)-1)+1)-INDEX(rw_Cum,(ROW()-ROW(rw_LoadOrigin)-1),(COLUMN()-COLUMN(rw_LoadOrigin)-1))),"")</f>
        <v>30</v>
      </c>
      <c r="F41" s="61" t="n">
        <f aca="false">IFERROR(IF(INDEX(res_Name,(ROW()-ROW(rw_LoadOrigin)-1))="","",INDEX(rw_Cum,(ROW()-ROW(rw_LoadOrigin)-1),(COLUMN()-COLUMN(rw_LoadOrigin)-1)+1)-INDEX(rw_Cum,(ROW()-ROW(rw_LoadOrigin)-1),(COLUMN()-COLUMN(rw_LoadOrigin)-1))),"")</f>
        <v>34.2857142857143</v>
      </c>
      <c r="G41" s="61" t="n">
        <f aca="false">IFERROR(IF(INDEX(res_Name,(ROW()-ROW(rw_LoadOrigin)-1))="","",INDEX(rw_Cum,(ROW()-ROW(rw_LoadOrigin)-1),(COLUMN()-COLUMN(rw_LoadOrigin)-1)+1)-INDEX(rw_Cum,(ROW()-ROW(rw_LoadOrigin)-1),(COLUMN()-COLUMN(rw_LoadOrigin)-1))),"")</f>
        <v>34.2857142857143</v>
      </c>
      <c r="H41" s="61" t="n">
        <f aca="false">IFERROR(IF(INDEX(res_Name,(ROW()-ROW(rw_LoadOrigin)-1))="","",INDEX(rw_Cum,(ROW()-ROW(rw_LoadOrigin)-1),(COLUMN()-COLUMN(rw_LoadOrigin)-1)+1)-INDEX(rw_Cum,(ROW()-ROW(rw_LoadOrigin)-1),(COLUMN()-COLUMN(rw_LoadOrigin)-1))),"")</f>
        <v>27.4285714285714</v>
      </c>
      <c r="I41" s="61" t="n">
        <f aca="false">IFERROR(IF(INDEX(res_Name,(ROW()-ROW(rw_LoadOrigin)-1))="","",INDEX(rw_Cum,(ROW()-ROW(rw_LoadOrigin)-1),(COLUMN()-COLUMN(rw_LoadOrigin)-1)+1)-INDEX(rw_Cum,(ROW()-ROW(rw_LoadOrigin)-1),(COLUMN()-COLUMN(rw_LoadOrigin)-1))),"")</f>
        <v>0</v>
      </c>
      <c r="J41" s="61" t="n">
        <f aca="false">IFERROR(IF(INDEX(res_Name,(ROW()-ROW(rw_LoadOrigin)-1))="","",INDEX(rw_Cum,(ROW()-ROW(rw_LoadOrigin)-1),(COLUMN()-COLUMN(rw_LoadOrigin)-1)+1)-INDEX(rw_Cum,(ROW()-ROW(rw_LoadOrigin)-1),(COLUMN()-COLUMN(rw_LoadOrigin)-1))),"")</f>
        <v>0</v>
      </c>
      <c r="K41" s="61" t="n">
        <f aca="false">IFERROR(IF(INDEX(res_Name,(ROW()-ROW(rw_LoadOrigin)-1))="","",INDEX(rw_Cum,(ROW()-ROW(rw_LoadOrigin)-1),(COLUMN()-COLUMN(rw_LoadOrigin)-1)+1)-INDEX(rw_Cum,(ROW()-ROW(rw_LoadOrigin)-1),(COLUMN()-COLUMN(rw_LoadOrigin)-1))),"")</f>
        <v>0</v>
      </c>
      <c r="L41" s="61" t="n">
        <f aca="false">IFERROR(IF(INDEX(res_Name,(ROW()-ROW(rw_LoadOrigin)-1))="","",INDEX(rw_Cum,(ROW()-ROW(rw_LoadOrigin)-1),(COLUMN()-COLUMN(rw_LoadOrigin)-1)+1)-INDEX(rw_Cum,(ROW()-ROW(rw_LoadOrigin)-1),(COLUMN()-COLUMN(rw_LoadOrigin)-1))),"")</f>
        <v>0</v>
      </c>
      <c r="M41" s="61" t="n">
        <f aca="false">IFERROR(IF(INDEX(res_Name,(ROW()-ROW(rw_LoadOrigin)-1))="","",INDEX(rw_Cum,(ROW()-ROW(rw_LoadOrigin)-1),(COLUMN()-COLUMN(rw_LoadOrigin)-1)+1)-INDEX(rw_Cum,(ROW()-ROW(rw_LoadOrigin)-1),(COLUMN()-COLUMN(rw_LoadOrigin)-1))),"")</f>
        <v>0</v>
      </c>
      <c r="N41" s="61" t="n">
        <f aca="false">IFERROR(IF(INDEX(res_Name,(ROW()-ROW(rw_LoadOrigin)-1))="","",INDEX(rw_Cum,(ROW()-ROW(rw_LoadOrigin)-1),(COLUMN()-COLUMN(rw_LoadOrigin)-1)+1)-INDEX(rw_Cum,(ROW()-ROW(rw_LoadOrigin)-1),(COLUMN()-COLUMN(rw_LoadOrigin)-1))),"")</f>
        <v>0</v>
      </c>
      <c r="O41" s="61" t="n">
        <f aca="false">IFERROR(IF(INDEX(res_Name,(ROW()-ROW(rw_LoadOrigin)-1))="","",INDEX(rw_Cum,(ROW()-ROW(rw_LoadOrigin)-1),(COLUMN()-COLUMN(rw_LoadOrigin)-1)+1)-INDEX(rw_Cum,(ROW()-ROW(rw_LoadOrigin)-1),(COLUMN()-COLUMN(rw_LoadOrigin)-1))),"")</f>
        <v>0</v>
      </c>
      <c r="P41" s="61" t="n">
        <f aca="false">IFERROR(IF(INDEX(res_Name,(ROW()-ROW(rw_LoadOrigin)-1))="","",INDEX(rw_Cum,(ROW()-ROW(rw_LoadOrigin)-1),(COLUMN()-COLUMN(rw_LoadOrigin)-1)+1)-INDEX(rw_Cum,(ROW()-ROW(rw_LoadOrigin)-1),(COLUMN()-COLUMN(rw_LoadOrigin)-1))),"")</f>
        <v>0</v>
      </c>
      <c r="Q41" s="61" t="n">
        <f aca="false">IFERROR(IF(INDEX(res_Name,(ROW()-ROW(rw_LoadOrigin)-1))="","",INDEX(rw_Cum,(ROW()-ROW(rw_LoadOrigin)-1),(COLUMN()-COLUMN(rw_LoadOrigin)-1)+1)-INDEX(rw_Cum,(ROW()-ROW(rw_LoadOrigin)-1),(COLUMN()-COLUMN(rw_LoadOrigin)-1))),"")</f>
        <v>0</v>
      </c>
      <c r="R41" s="61" t="n">
        <f aca="false">IFERROR(IF(INDEX(res_Name,(ROW()-ROW(rw_LoadOrigin)-1))="","",INDEX(rw_Cum,(ROW()-ROW(rw_LoadOrigin)-1),(COLUMN()-COLUMN(rw_LoadOrigin)-1)+1)-INDEX(rw_Cum,(ROW()-ROW(rw_LoadOrigin)-1),(COLUMN()-COLUMN(rw_LoadOrigin)-1))),"")</f>
        <v>0</v>
      </c>
      <c r="S41" s="61" t="n">
        <f aca="false">IFERROR(IF(INDEX(res_Name,(ROW()-ROW(rw_LoadOrigin)-1))="","",INDEX(rw_Cum,(ROW()-ROW(rw_LoadOrigin)-1),(COLUMN()-COLUMN(rw_LoadOrigin)-1)+1)-INDEX(rw_Cum,(ROW()-ROW(rw_LoadOrigin)-1),(COLUMN()-COLUMN(rw_LoadOrigin)-1))),"")</f>
        <v>0</v>
      </c>
      <c r="T41" s="61" t="n">
        <f aca="false">IFERROR(IF(INDEX(res_Name,(ROW()-ROW(rw_LoadOrigin)-1))="","",INDEX(rw_Cum,(ROW()-ROW(rw_LoadOrigin)-1),(COLUMN()-COLUMN(rw_LoadOrigin)-1)+1)-INDEX(rw_Cum,(ROW()-ROW(rw_LoadOrigin)-1),(COLUMN()-COLUMN(rw_LoadOrigin)-1))),"")</f>
        <v>0</v>
      </c>
      <c r="U41" s="61" t="n">
        <f aca="false">IFERROR(IF(INDEX(res_Name,(ROW()-ROW(rw_LoadOrigin)-1))="","",INDEX(rw_Cum,(ROW()-ROW(rw_LoadOrigin)-1),(COLUMN()-COLUMN(rw_LoadOrigin)-1)+1)-INDEX(rw_Cum,(ROW()-ROW(rw_LoadOrigin)-1),(COLUMN()-COLUMN(rw_LoadOrigin)-1))),"")</f>
        <v>0</v>
      </c>
      <c r="V41" s="61" t="n">
        <f aca="false">IFERROR(IF(INDEX(res_Name,(ROW()-ROW(rw_LoadOrigin)-1))="","",INDEX(rw_Cum,(ROW()-ROW(rw_LoadOrigin)-1),(COLUMN()-COLUMN(rw_LoadOrigin)-1)+1)-INDEX(rw_Cum,(ROW()-ROW(rw_LoadOrigin)-1),(COLUMN()-COLUMN(rw_LoadOrigin)-1))),"")</f>
        <v>0</v>
      </c>
      <c r="W41" s="61" t="n">
        <f aca="false">IFERROR(IF(INDEX(res_Name,(ROW()-ROW(rw_LoadOrigin)-1))="","",INDEX(rw_Cum,(ROW()-ROW(rw_LoadOrigin)-1),(COLUMN()-COLUMN(rw_LoadOrigin)-1)+1)-INDEX(rw_Cum,(ROW()-ROW(rw_LoadOrigin)-1),(COLUMN()-COLUMN(rw_LoadOrigin)-1))),"")</f>
        <v>0</v>
      </c>
      <c r="X41" s="61" t="n">
        <f aca="false">IFERROR(IF(INDEX(res_Name,(ROW()-ROW(rw_LoadOrigin)-1))="","",INDEX(rw_Cum,(ROW()-ROW(rw_LoadOrigin)-1),(COLUMN()-COLUMN(rw_LoadOrigin)-1)+1)-INDEX(rw_Cum,(ROW()-ROW(rw_LoadOrigin)-1),(COLUMN()-COLUMN(rw_LoadOrigin)-1))),"")</f>
        <v>0</v>
      </c>
      <c r="Y41" s="61" t="n">
        <f aca="false">IFERROR(IF(INDEX(res_Name,(ROW()-ROW(rw_LoadOrigin)-1))="","",INDEX(rw_Cum,(ROW()-ROW(rw_LoadOrigin)-1),(COLUMN()-COLUMN(rw_LoadOrigin)-1)+1)-INDEX(rw_Cum,(ROW()-ROW(rw_LoadOrigin)-1),(COLUMN()-COLUMN(rw_LoadOrigin)-1))),"")</f>
        <v>0</v>
      </c>
      <c r="Z41" s="61" t="n">
        <f aca="false">IFERROR(IF(INDEX(res_Name,(ROW()-ROW(rw_LoadOrigin)-1))="","",INDEX(rw_Cum,(ROW()-ROW(rw_LoadOrigin)-1),(COLUMN()-COLUMN(rw_LoadOrigin)-1)+1)-INDEX(rw_Cum,(ROW()-ROW(rw_LoadOrigin)-1),(COLUMN()-COLUMN(rw_LoadOrigin)-1))),"")</f>
        <v>0</v>
      </c>
      <c r="AA41" s="61" t="n">
        <f aca="false">IFERROR(IF(INDEX(res_Name,(ROW()-ROW(rw_LoadOrigin)-1))="","",INDEX(rw_Cum,(ROW()-ROW(rw_LoadOrigin)-1),(COLUMN()-COLUMN(rw_LoadOrigin)-1)+1)-INDEX(rw_Cum,(ROW()-ROW(rw_LoadOrigin)-1),(COLUMN()-COLUMN(rw_LoadOrigin)-1))),"")</f>
        <v>0</v>
      </c>
      <c r="AB41" s="61" t="n">
        <f aca="false">IFERROR(IF(INDEX(res_Name,(ROW()-ROW(rw_LoadOrigin)-1))="","",INDEX(rw_Cum,(ROW()-ROW(rw_LoadOrigin)-1),(COLUMN()-COLUMN(rw_LoadOrigin)-1)+1)-INDEX(rw_Cum,(ROW()-ROW(rw_LoadOrigin)-1),(COLUMN()-COLUMN(rw_LoadOrigin)-1))),"")</f>
        <v>0</v>
      </c>
      <c r="AC41" s="61" t="n">
        <f aca="false">IFERROR(IF(INDEX(res_Name,(ROW()-ROW(rw_LoadOrigin)-1))="","",INDEX(rw_Cum,(ROW()-ROW(rw_LoadOrigin)-1),(COLUMN()-COLUMN(rw_LoadOrigin)-1)+1)-INDEX(rw_Cum,(ROW()-ROW(rw_LoadOrigin)-1),(COLUMN()-COLUMN(rw_LoadOrigin)-1))),"")</f>
        <v>0</v>
      </c>
    </row>
    <row r="42" customFormat="false" ht="15" hidden="false" customHeight="false" outlineLevel="0" collapsed="false">
      <c r="B42" s="31" t="str">
        <f aca="false">IFERROR(INDEX(res_Name,(ROW()-ROW(rw_LoadOrigin)-1))&amp;"","")</f>
        <v>Taylor Morgan</v>
      </c>
      <c r="C42" s="60" t="n">
        <f aca="false">IFERROR(IF(INDEX(res_Name,(ROW()-ROW(rw_LoadOrigin)-1))="","",INDEX(res_MaxUnits,(ROW()-ROW(rw_LoadOrigin)-1))),"")</f>
        <v>1</v>
      </c>
      <c r="D42" s="61" t="n">
        <f aca="false">IFERROR(IF(INDEX(res_Name,(ROW()-ROW(rw_LoadOrigin)-1))="","",INDEX(rw_Cum,(ROW()-ROW(rw_LoadOrigin)-1),(COLUMN()-COLUMN(rw_LoadOrigin)-1)+1)-INDEX(rw_Cum,(ROW()-ROW(rw_LoadOrigin)-1),(COLUMN()-COLUMN(rw_LoadOrigin)-1))),"")</f>
        <v>0</v>
      </c>
      <c r="E42" s="61" t="n">
        <f aca="false">IFERROR(IF(INDEX(res_Name,(ROW()-ROW(rw_LoadOrigin)-1))="","",INDEX(rw_Cum,(ROW()-ROW(rw_LoadOrigin)-1),(COLUMN()-COLUMN(rw_LoadOrigin)-1)+1)-INDEX(rw_Cum,(ROW()-ROW(rw_LoadOrigin)-1),(COLUMN()-COLUMN(rw_LoadOrigin)-1))),"")</f>
        <v>0</v>
      </c>
      <c r="F42" s="61" t="n">
        <f aca="false">IFERROR(IF(INDEX(res_Name,(ROW()-ROW(rw_LoadOrigin)-1))="","",INDEX(rw_Cum,(ROW()-ROW(rw_LoadOrigin)-1),(COLUMN()-COLUMN(rw_LoadOrigin)-1)+1)-INDEX(rw_Cum,(ROW()-ROW(rw_LoadOrigin)-1),(COLUMN()-COLUMN(rw_LoadOrigin)-1))),"")</f>
        <v>0</v>
      </c>
      <c r="G42" s="61" t="n">
        <f aca="false">IFERROR(IF(INDEX(res_Name,(ROW()-ROW(rw_LoadOrigin)-1))="","",INDEX(rw_Cum,(ROW()-ROW(rw_LoadOrigin)-1),(COLUMN()-COLUMN(rw_LoadOrigin)-1)+1)-INDEX(rw_Cum,(ROW()-ROW(rw_LoadOrigin)-1),(COLUMN()-COLUMN(rw_LoadOrigin)-1))),"")</f>
        <v>0</v>
      </c>
      <c r="H42" s="61" t="n">
        <f aca="false">IFERROR(IF(INDEX(res_Name,(ROW()-ROW(rw_LoadOrigin)-1))="","",INDEX(rw_Cum,(ROW()-ROW(rw_LoadOrigin)-1),(COLUMN()-COLUMN(rw_LoadOrigin)-1)+1)-INDEX(rw_Cum,(ROW()-ROW(rw_LoadOrigin)-1),(COLUMN()-COLUMN(rw_LoadOrigin)-1))),"")</f>
        <v>0</v>
      </c>
      <c r="I42" s="61" t="n">
        <f aca="false">IFERROR(IF(INDEX(res_Name,(ROW()-ROW(rw_LoadOrigin)-1))="","",INDEX(rw_Cum,(ROW()-ROW(rw_LoadOrigin)-1),(COLUMN()-COLUMN(rw_LoadOrigin)-1)+1)-INDEX(rw_Cum,(ROW()-ROW(rw_LoadOrigin)-1),(COLUMN()-COLUMN(rw_LoadOrigin)-1))),"")</f>
        <v>32</v>
      </c>
      <c r="J42" s="61" t="n">
        <f aca="false">IFERROR(IF(INDEX(res_Name,(ROW()-ROW(rw_LoadOrigin)-1))="","",INDEX(rw_Cum,(ROW()-ROW(rw_LoadOrigin)-1),(COLUMN()-COLUMN(rw_LoadOrigin)-1)+1)-INDEX(rw_Cum,(ROW()-ROW(rw_LoadOrigin)-1),(COLUMN()-COLUMN(rw_LoadOrigin)-1))),"")</f>
        <v>32</v>
      </c>
      <c r="K42" s="61" t="n">
        <f aca="false">IFERROR(IF(INDEX(res_Name,(ROW()-ROW(rw_LoadOrigin)-1))="","",INDEX(rw_Cum,(ROW()-ROW(rw_LoadOrigin)-1),(COLUMN()-COLUMN(rw_LoadOrigin)-1)+1)-INDEX(rw_Cum,(ROW()-ROW(rw_LoadOrigin)-1),(COLUMN()-COLUMN(rw_LoadOrigin)-1))),"")</f>
        <v>0</v>
      </c>
      <c r="L42" s="61" t="n">
        <f aca="false">IFERROR(IF(INDEX(res_Name,(ROW()-ROW(rw_LoadOrigin)-1))="","",INDEX(rw_Cum,(ROW()-ROW(rw_LoadOrigin)-1),(COLUMN()-COLUMN(rw_LoadOrigin)-1)+1)-INDEX(rw_Cum,(ROW()-ROW(rw_LoadOrigin)-1),(COLUMN()-COLUMN(rw_LoadOrigin)-1))),"")</f>
        <v>0</v>
      </c>
      <c r="M42" s="61" t="n">
        <f aca="false">IFERROR(IF(INDEX(res_Name,(ROW()-ROW(rw_LoadOrigin)-1))="","",INDEX(rw_Cum,(ROW()-ROW(rw_LoadOrigin)-1),(COLUMN()-COLUMN(rw_LoadOrigin)-1)+1)-INDEX(rw_Cum,(ROW()-ROW(rw_LoadOrigin)-1),(COLUMN()-COLUMN(rw_LoadOrigin)-1))),"")</f>
        <v>0</v>
      </c>
      <c r="N42" s="61" t="n">
        <f aca="false">IFERROR(IF(INDEX(res_Name,(ROW()-ROW(rw_LoadOrigin)-1))="","",INDEX(rw_Cum,(ROW()-ROW(rw_LoadOrigin)-1),(COLUMN()-COLUMN(rw_LoadOrigin)-1)+1)-INDEX(rw_Cum,(ROW()-ROW(rw_LoadOrigin)-1),(COLUMN()-COLUMN(rw_LoadOrigin)-1))),"")</f>
        <v>0</v>
      </c>
      <c r="O42" s="61" t="n">
        <f aca="false">IFERROR(IF(INDEX(res_Name,(ROW()-ROW(rw_LoadOrigin)-1))="","",INDEX(rw_Cum,(ROW()-ROW(rw_LoadOrigin)-1),(COLUMN()-COLUMN(rw_LoadOrigin)-1)+1)-INDEX(rw_Cum,(ROW()-ROW(rw_LoadOrigin)-1),(COLUMN()-COLUMN(rw_LoadOrigin)-1))),"")</f>
        <v>0</v>
      </c>
      <c r="P42" s="61" t="n">
        <f aca="false">IFERROR(IF(INDEX(res_Name,(ROW()-ROW(rw_LoadOrigin)-1))="","",INDEX(rw_Cum,(ROW()-ROW(rw_LoadOrigin)-1),(COLUMN()-COLUMN(rw_LoadOrigin)-1)+1)-INDEX(rw_Cum,(ROW()-ROW(rw_LoadOrigin)-1),(COLUMN()-COLUMN(rw_LoadOrigin)-1))),"")</f>
        <v>0</v>
      </c>
      <c r="Q42" s="61" t="n">
        <f aca="false">IFERROR(IF(INDEX(res_Name,(ROW()-ROW(rw_LoadOrigin)-1))="","",INDEX(rw_Cum,(ROW()-ROW(rw_LoadOrigin)-1),(COLUMN()-COLUMN(rw_LoadOrigin)-1)+1)-INDEX(rw_Cum,(ROW()-ROW(rw_LoadOrigin)-1),(COLUMN()-COLUMN(rw_LoadOrigin)-1))),"")</f>
        <v>0</v>
      </c>
      <c r="R42" s="61" t="n">
        <f aca="false">IFERROR(IF(INDEX(res_Name,(ROW()-ROW(rw_LoadOrigin)-1))="","",INDEX(rw_Cum,(ROW()-ROW(rw_LoadOrigin)-1),(COLUMN()-COLUMN(rw_LoadOrigin)-1)+1)-INDEX(rw_Cum,(ROW()-ROW(rw_LoadOrigin)-1),(COLUMN()-COLUMN(rw_LoadOrigin)-1))),"")</f>
        <v>0</v>
      </c>
      <c r="S42" s="61" t="n">
        <f aca="false">IFERROR(IF(INDEX(res_Name,(ROW()-ROW(rw_LoadOrigin)-1))="","",INDEX(rw_Cum,(ROW()-ROW(rw_LoadOrigin)-1),(COLUMN()-COLUMN(rw_LoadOrigin)-1)+1)-INDEX(rw_Cum,(ROW()-ROW(rw_LoadOrigin)-1),(COLUMN()-COLUMN(rw_LoadOrigin)-1))),"")</f>
        <v>0</v>
      </c>
      <c r="T42" s="61" t="n">
        <f aca="false">IFERROR(IF(INDEX(res_Name,(ROW()-ROW(rw_LoadOrigin)-1))="","",INDEX(rw_Cum,(ROW()-ROW(rw_LoadOrigin)-1),(COLUMN()-COLUMN(rw_LoadOrigin)-1)+1)-INDEX(rw_Cum,(ROW()-ROW(rw_LoadOrigin)-1),(COLUMN()-COLUMN(rw_LoadOrigin)-1))),"")</f>
        <v>0</v>
      </c>
      <c r="U42" s="61" t="n">
        <f aca="false">IFERROR(IF(INDEX(res_Name,(ROW()-ROW(rw_LoadOrigin)-1))="","",INDEX(rw_Cum,(ROW()-ROW(rw_LoadOrigin)-1),(COLUMN()-COLUMN(rw_LoadOrigin)-1)+1)-INDEX(rw_Cum,(ROW()-ROW(rw_LoadOrigin)-1),(COLUMN()-COLUMN(rw_LoadOrigin)-1))),"")</f>
        <v>0</v>
      </c>
      <c r="V42" s="61" t="n">
        <f aca="false">IFERROR(IF(INDEX(res_Name,(ROW()-ROW(rw_LoadOrigin)-1))="","",INDEX(rw_Cum,(ROW()-ROW(rw_LoadOrigin)-1),(COLUMN()-COLUMN(rw_LoadOrigin)-1)+1)-INDEX(rw_Cum,(ROW()-ROW(rw_LoadOrigin)-1),(COLUMN()-COLUMN(rw_LoadOrigin)-1))),"")</f>
        <v>0</v>
      </c>
      <c r="W42" s="61" t="n">
        <f aca="false">IFERROR(IF(INDEX(res_Name,(ROW()-ROW(rw_LoadOrigin)-1))="","",INDEX(rw_Cum,(ROW()-ROW(rw_LoadOrigin)-1),(COLUMN()-COLUMN(rw_LoadOrigin)-1)+1)-INDEX(rw_Cum,(ROW()-ROW(rw_LoadOrigin)-1),(COLUMN()-COLUMN(rw_LoadOrigin)-1))),"")</f>
        <v>0</v>
      </c>
      <c r="X42" s="61" t="n">
        <f aca="false">IFERROR(IF(INDEX(res_Name,(ROW()-ROW(rw_LoadOrigin)-1))="","",INDEX(rw_Cum,(ROW()-ROW(rw_LoadOrigin)-1),(COLUMN()-COLUMN(rw_LoadOrigin)-1)+1)-INDEX(rw_Cum,(ROW()-ROW(rw_LoadOrigin)-1),(COLUMN()-COLUMN(rw_LoadOrigin)-1))),"")</f>
        <v>0</v>
      </c>
      <c r="Y42" s="61" t="n">
        <f aca="false">IFERROR(IF(INDEX(res_Name,(ROW()-ROW(rw_LoadOrigin)-1))="","",INDEX(rw_Cum,(ROW()-ROW(rw_LoadOrigin)-1),(COLUMN()-COLUMN(rw_LoadOrigin)-1)+1)-INDEX(rw_Cum,(ROW()-ROW(rw_LoadOrigin)-1),(COLUMN()-COLUMN(rw_LoadOrigin)-1))),"")</f>
        <v>0</v>
      </c>
      <c r="Z42" s="61" t="n">
        <f aca="false">IFERROR(IF(INDEX(res_Name,(ROW()-ROW(rw_LoadOrigin)-1))="","",INDEX(rw_Cum,(ROW()-ROW(rw_LoadOrigin)-1),(COLUMN()-COLUMN(rw_LoadOrigin)-1)+1)-INDEX(rw_Cum,(ROW()-ROW(rw_LoadOrigin)-1),(COLUMN()-COLUMN(rw_LoadOrigin)-1))),"")</f>
        <v>0</v>
      </c>
      <c r="AA42" s="61" t="n">
        <f aca="false">IFERROR(IF(INDEX(res_Name,(ROW()-ROW(rw_LoadOrigin)-1))="","",INDEX(rw_Cum,(ROW()-ROW(rw_LoadOrigin)-1),(COLUMN()-COLUMN(rw_LoadOrigin)-1)+1)-INDEX(rw_Cum,(ROW()-ROW(rw_LoadOrigin)-1),(COLUMN()-COLUMN(rw_LoadOrigin)-1))),"")</f>
        <v>0</v>
      </c>
      <c r="AB42" s="61" t="n">
        <f aca="false">IFERROR(IF(INDEX(res_Name,(ROW()-ROW(rw_LoadOrigin)-1))="","",INDEX(rw_Cum,(ROW()-ROW(rw_LoadOrigin)-1),(COLUMN()-COLUMN(rw_LoadOrigin)-1)+1)-INDEX(rw_Cum,(ROW()-ROW(rw_LoadOrigin)-1),(COLUMN()-COLUMN(rw_LoadOrigin)-1))),"")</f>
        <v>0</v>
      </c>
      <c r="AC42" s="61" t="n">
        <f aca="false">IFERROR(IF(INDEX(res_Name,(ROW()-ROW(rw_LoadOrigin)-1))="","",INDEX(rw_Cum,(ROW()-ROW(rw_LoadOrigin)-1),(COLUMN()-COLUMN(rw_LoadOrigin)-1)+1)-INDEX(rw_Cum,(ROW()-ROW(rw_LoadOrigin)-1),(COLUMN()-COLUMN(rw_LoadOrigin)-1))),"")</f>
        <v>0</v>
      </c>
    </row>
    <row r="43" customFormat="false" ht="15" hidden="false" customHeight="false" outlineLevel="0" collapsed="false">
      <c r="B43" s="31" t="str">
        <f aca="false">IFERROR(INDEX(res_Name,(ROW()-ROW(rw_LoadOrigin)-1))&amp;"","")</f>
        <v/>
      </c>
      <c r="C43" s="60" t="str">
        <f aca="false">IFERROR(IF(INDEX(res_Name,(ROW()-ROW(rw_LoadOrigin)-1))="","",INDEX(res_MaxUnits,(ROW()-ROW(rw_LoadOrigin)-1))),"")</f>
        <v/>
      </c>
      <c r="D43" s="61" t="str">
        <f aca="false">IFERROR(IF(INDEX(res_Name,(ROW()-ROW(rw_LoadOrigin)-1))="","",INDEX(rw_Cum,(ROW()-ROW(rw_LoadOrigin)-1),(COLUMN()-COLUMN(rw_LoadOrigin)-1)+1)-INDEX(rw_Cum,(ROW()-ROW(rw_LoadOrigin)-1),(COLUMN()-COLUMN(rw_LoadOrigin)-1))),"")</f>
        <v/>
      </c>
      <c r="E43" s="61" t="str">
        <f aca="false">IFERROR(IF(INDEX(res_Name,(ROW()-ROW(rw_LoadOrigin)-1))="","",INDEX(rw_Cum,(ROW()-ROW(rw_LoadOrigin)-1),(COLUMN()-COLUMN(rw_LoadOrigin)-1)+1)-INDEX(rw_Cum,(ROW()-ROW(rw_LoadOrigin)-1),(COLUMN()-COLUMN(rw_LoadOrigin)-1))),"")</f>
        <v/>
      </c>
      <c r="F43" s="61" t="str">
        <f aca="false">IFERROR(IF(INDEX(res_Name,(ROW()-ROW(rw_LoadOrigin)-1))="","",INDEX(rw_Cum,(ROW()-ROW(rw_LoadOrigin)-1),(COLUMN()-COLUMN(rw_LoadOrigin)-1)+1)-INDEX(rw_Cum,(ROW()-ROW(rw_LoadOrigin)-1),(COLUMN()-COLUMN(rw_LoadOrigin)-1))),"")</f>
        <v/>
      </c>
      <c r="G43" s="61" t="str">
        <f aca="false">IFERROR(IF(INDEX(res_Name,(ROW()-ROW(rw_LoadOrigin)-1))="","",INDEX(rw_Cum,(ROW()-ROW(rw_LoadOrigin)-1),(COLUMN()-COLUMN(rw_LoadOrigin)-1)+1)-INDEX(rw_Cum,(ROW()-ROW(rw_LoadOrigin)-1),(COLUMN()-COLUMN(rw_LoadOrigin)-1))),"")</f>
        <v/>
      </c>
      <c r="H43" s="61" t="str">
        <f aca="false">IFERROR(IF(INDEX(res_Name,(ROW()-ROW(rw_LoadOrigin)-1))="","",INDEX(rw_Cum,(ROW()-ROW(rw_LoadOrigin)-1),(COLUMN()-COLUMN(rw_LoadOrigin)-1)+1)-INDEX(rw_Cum,(ROW()-ROW(rw_LoadOrigin)-1),(COLUMN()-COLUMN(rw_LoadOrigin)-1))),"")</f>
        <v/>
      </c>
      <c r="I43" s="61" t="str">
        <f aca="false">IFERROR(IF(INDEX(res_Name,(ROW()-ROW(rw_LoadOrigin)-1))="","",INDEX(rw_Cum,(ROW()-ROW(rw_LoadOrigin)-1),(COLUMN()-COLUMN(rw_LoadOrigin)-1)+1)-INDEX(rw_Cum,(ROW()-ROW(rw_LoadOrigin)-1),(COLUMN()-COLUMN(rw_LoadOrigin)-1))),"")</f>
        <v/>
      </c>
      <c r="J43" s="61" t="str">
        <f aca="false">IFERROR(IF(INDEX(res_Name,(ROW()-ROW(rw_LoadOrigin)-1))="","",INDEX(rw_Cum,(ROW()-ROW(rw_LoadOrigin)-1),(COLUMN()-COLUMN(rw_LoadOrigin)-1)+1)-INDEX(rw_Cum,(ROW()-ROW(rw_LoadOrigin)-1),(COLUMN()-COLUMN(rw_LoadOrigin)-1))),"")</f>
        <v/>
      </c>
      <c r="K43" s="61" t="str">
        <f aca="false">IFERROR(IF(INDEX(res_Name,(ROW()-ROW(rw_LoadOrigin)-1))="","",INDEX(rw_Cum,(ROW()-ROW(rw_LoadOrigin)-1),(COLUMN()-COLUMN(rw_LoadOrigin)-1)+1)-INDEX(rw_Cum,(ROW()-ROW(rw_LoadOrigin)-1),(COLUMN()-COLUMN(rw_LoadOrigin)-1))),"")</f>
        <v/>
      </c>
      <c r="L43" s="61" t="str">
        <f aca="false">IFERROR(IF(INDEX(res_Name,(ROW()-ROW(rw_LoadOrigin)-1))="","",INDEX(rw_Cum,(ROW()-ROW(rw_LoadOrigin)-1),(COLUMN()-COLUMN(rw_LoadOrigin)-1)+1)-INDEX(rw_Cum,(ROW()-ROW(rw_LoadOrigin)-1),(COLUMN()-COLUMN(rw_LoadOrigin)-1))),"")</f>
        <v/>
      </c>
      <c r="M43" s="61" t="str">
        <f aca="false">IFERROR(IF(INDEX(res_Name,(ROW()-ROW(rw_LoadOrigin)-1))="","",INDEX(rw_Cum,(ROW()-ROW(rw_LoadOrigin)-1),(COLUMN()-COLUMN(rw_LoadOrigin)-1)+1)-INDEX(rw_Cum,(ROW()-ROW(rw_LoadOrigin)-1),(COLUMN()-COLUMN(rw_LoadOrigin)-1))),"")</f>
        <v/>
      </c>
      <c r="N43" s="61" t="str">
        <f aca="false">IFERROR(IF(INDEX(res_Name,(ROW()-ROW(rw_LoadOrigin)-1))="","",INDEX(rw_Cum,(ROW()-ROW(rw_LoadOrigin)-1),(COLUMN()-COLUMN(rw_LoadOrigin)-1)+1)-INDEX(rw_Cum,(ROW()-ROW(rw_LoadOrigin)-1),(COLUMN()-COLUMN(rw_LoadOrigin)-1))),"")</f>
        <v/>
      </c>
      <c r="O43" s="61" t="str">
        <f aca="false">IFERROR(IF(INDEX(res_Name,(ROW()-ROW(rw_LoadOrigin)-1))="","",INDEX(rw_Cum,(ROW()-ROW(rw_LoadOrigin)-1),(COLUMN()-COLUMN(rw_LoadOrigin)-1)+1)-INDEX(rw_Cum,(ROW()-ROW(rw_LoadOrigin)-1),(COLUMN()-COLUMN(rw_LoadOrigin)-1))),"")</f>
        <v/>
      </c>
      <c r="P43" s="61" t="str">
        <f aca="false">IFERROR(IF(INDEX(res_Name,(ROW()-ROW(rw_LoadOrigin)-1))="","",INDEX(rw_Cum,(ROW()-ROW(rw_LoadOrigin)-1),(COLUMN()-COLUMN(rw_LoadOrigin)-1)+1)-INDEX(rw_Cum,(ROW()-ROW(rw_LoadOrigin)-1),(COLUMN()-COLUMN(rw_LoadOrigin)-1))),"")</f>
        <v/>
      </c>
      <c r="Q43" s="61" t="str">
        <f aca="false">IFERROR(IF(INDEX(res_Name,(ROW()-ROW(rw_LoadOrigin)-1))="","",INDEX(rw_Cum,(ROW()-ROW(rw_LoadOrigin)-1),(COLUMN()-COLUMN(rw_LoadOrigin)-1)+1)-INDEX(rw_Cum,(ROW()-ROW(rw_LoadOrigin)-1),(COLUMN()-COLUMN(rw_LoadOrigin)-1))),"")</f>
        <v/>
      </c>
      <c r="R43" s="61" t="str">
        <f aca="false">IFERROR(IF(INDEX(res_Name,(ROW()-ROW(rw_LoadOrigin)-1))="","",INDEX(rw_Cum,(ROW()-ROW(rw_LoadOrigin)-1),(COLUMN()-COLUMN(rw_LoadOrigin)-1)+1)-INDEX(rw_Cum,(ROW()-ROW(rw_LoadOrigin)-1),(COLUMN()-COLUMN(rw_LoadOrigin)-1))),"")</f>
        <v/>
      </c>
      <c r="S43" s="61" t="str">
        <f aca="false">IFERROR(IF(INDEX(res_Name,(ROW()-ROW(rw_LoadOrigin)-1))="","",INDEX(rw_Cum,(ROW()-ROW(rw_LoadOrigin)-1),(COLUMN()-COLUMN(rw_LoadOrigin)-1)+1)-INDEX(rw_Cum,(ROW()-ROW(rw_LoadOrigin)-1),(COLUMN()-COLUMN(rw_LoadOrigin)-1))),"")</f>
        <v/>
      </c>
      <c r="T43" s="61" t="str">
        <f aca="false">IFERROR(IF(INDEX(res_Name,(ROW()-ROW(rw_LoadOrigin)-1))="","",INDEX(rw_Cum,(ROW()-ROW(rw_LoadOrigin)-1),(COLUMN()-COLUMN(rw_LoadOrigin)-1)+1)-INDEX(rw_Cum,(ROW()-ROW(rw_LoadOrigin)-1),(COLUMN()-COLUMN(rw_LoadOrigin)-1))),"")</f>
        <v/>
      </c>
      <c r="U43" s="61" t="str">
        <f aca="false">IFERROR(IF(INDEX(res_Name,(ROW()-ROW(rw_LoadOrigin)-1))="","",INDEX(rw_Cum,(ROW()-ROW(rw_LoadOrigin)-1),(COLUMN()-COLUMN(rw_LoadOrigin)-1)+1)-INDEX(rw_Cum,(ROW()-ROW(rw_LoadOrigin)-1),(COLUMN()-COLUMN(rw_LoadOrigin)-1))),"")</f>
        <v/>
      </c>
      <c r="V43" s="61" t="str">
        <f aca="false">IFERROR(IF(INDEX(res_Name,(ROW()-ROW(rw_LoadOrigin)-1))="","",INDEX(rw_Cum,(ROW()-ROW(rw_LoadOrigin)-1),(COLUMN()-COLUMN(rw_LoadOrigin)-1)+1)-INDEX(rw_Cum,(ROW()-ROW(rw_LoadOrigin)-1),(COLUMN()-COLUMN(rw_LoadOrigin)-1))),"")</f>
        <v/>
      </c>
      <c r="W43" s="61" t="str">
        <f aca="false">IFERROR(IF(INDEX(res_Name,(ROW()-ROW(rw_LoadOrigin)-1))="","",INDEX(rw_Cum,(ROW()-ROW(rw_LoadOrigin)-1),(COLUMN()-COLUMN(rw_LoadOrigin)-1)+1)-INDEX(rw_Cum,(ROW()-ROW(rw_LoadOrigin)-1),(COLUMN()-COLUMN(rw_LoadOrigin)-1))),"")</f>
        <v/>
      </c>
      <c r="X43" s="61" t="str">
        <f aca="false">IFERROR(IF(INDEX(res_Name,(ROW()-ROW(rw_LoadOrigin)-1))="","",INDEX(rw_Cum,(ROW()-ROW(rw_LoadOrigin)-1),(COLUMN()-COLUMN(rw_LoadOrigin)-1)+1)-INDEX(rw_Cum,(ROW()-ROW(rw_LoadOrigin)-1),(COLUMN()-COLUMN(rw_LoadOrigin)-1))),"")</f>
        <v/>
      </c>
      <c r="Y43" s="61" t="str">
        <f aca="false">IFERROR(IF(INDEX(res_Name,(ROW()-ROW(rw_LoadOrigin)-1))="","",INDEX(rw_Cum,(ROW()-ROW(rw_LoadOrigin)-1),(COLUMN()-COLUMN(rw_LoadOrigin)-1)+1)-INDEX(rw_Cum,(ROW()-ROW(rw_LoadOrigin)-1),(COLUMN()-COLUMN(rw_LoadOrigin)-1))),"")</f>
        <v/>
      </c>
      <c r="Z43" s="61" t="str">
        <f aca="false">IFERROR(IF(INDEX(res_Name,(ROW()-ROW(rw_LoadOrigin)-1))="","",INDEX(rw_Cum,(ROW()-ROW(rw_LoadOrigin)-1),(COLUMN()-COLUMN(rw_LoadOrigin)-1)+1)-INDEX(rw_Cum,(ROW()-ROW(rw_LoadOrigin)-1),(COLUMN()-COLUMN(rw_LoadOrigin)-1))),"")</f>
        <v/>
      </c>
      <c r="AA43" s="61" t="str">
        <f aca="false">IFERROR(IF(INDEX(res_Name,(ROW()-ROW(rw_LoadOrigin)-1))="","",INDEX(rw_Cum,(ROW()-ROW(rw_LoadOrigin)-1),(COLUMN()-COLUMN(rw_LoadOrigin)-1)+1)-INDEX(rw_Cum,(ROW()-ROW(rw_LoadOrigin)-1),(COLUMN()-COLUMN(rw_LoadOrigin)-1))),"")</f>
        <v/>
      </c>
      <c r="AB43" s="61" t="str">
        <f aca="false">IFERROR(IF(INDEX(res_Name,(ROW()-ROW(rw_LoadOrigin)-1))="","",INDEX(rw_Cum,(ROW()-ROW(rw_LoadOrigin)-1),(COLUMN()-COLUMN(rw_LoadOrigin)-1)+1)-INDEX(rw_Cum,(ROW()-ROW(rw_LoadOrigin)-1),(COLUMN()-COLUMN(rw_LoadOrigin)-1))),"")</f>
        <v/>
      </c>
      <c r="AC43" s="61"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31" t="str">
        <f aca="false">IFERROR(INDEX(res_Name,(ROW()-ROW(rw_LoadOrigin)-1))&amp;"","")</f>
        <v/>
      </c>
      <c r="C44" s="60" t="str">
        <f aca="false">IFERROR(IF(INDEX(res_Name,(ROW()-ROW(rw_LoadOrigin)-1))="","",INDEX(res_MaxUnits,(ROW()-ROW(rw_LoadOrigin)-1))),"")</f>
        <v/>
      </c>
      <c r="D44" s="61" t="str">
        <f aca="false">IFERROR(IF(INDEX(res_Name,(ROW()-ROW(rw_LoadOrigin)-1))="","",INDEX(rw_Cum,(ROW()-ROW(rw_LoadOrigin)-1),(COLUMN()-COLUMN(rw_LoadOrigin)-1)+1)-INDEX(rw_Cum,(ROW()-ROW(rw_LoadOrigin)-1),(COLUMN()-COLUMN(rw_LoadOrigin)-1))),"")</f>
        <v/>
      </c>
      <c r="E44" s="61" t="str">
        <f aca="false">IFERROR(IF(INDEX(res_Name,(ROW()-ROW(rw_LoadOrigin)-1))="","",INDEX(rw_Cum,(ROW()-ROW(rw_LoadOrigin)-1),(COLUMN()-COLUMN(rw_LoadOrigin)-1)+1)-INDEX(rw_Cum,(ROW()-ROW(rw_LoadOrigin)-1),(COLUMN()-COLUMN(rw_LoadOrigin)-1))),"")</f>
        <v/>
      </c>
      <c r="F44" s="61" t="str">
        <f aca="false">IFERROR(IF(INDEX(res_Name,(ROW()-ROW(rw_LoadOrigin)-1))="","",INDEX(rw_Cum,(ROW()-ROW(rw_LoadOrigin)-1),(COLUMN()-COLUMN(rw_LoadOrigin)-1)+1)-INDEX(rw_Cum,(ROW()-ROW(rw_LoadOrigin)-1),(COLUMN()-COLUMN(rw_LoadOrigin)-1))),"")</f>
        <v/>
      </c>
      <c r="G44" s="61" t="str">
        <f aca="false">IFERROR(IF(INDEX(res_Name,(ROW()-ROW(rw_LoadOrigin)-1))="","",INDEX(rw_Cum,(ROW()-ROW(rw_LoadOrigin)-1),(COLUMN()-COLUMN(rw_LoadOrigin)-1)+1)-INDEX(rw_Cum,(ROW()-ROW(rw_LoadOrigin)-1),(COLUMN()-COLUMN(rw_LoadOrigin)-1))),"")</f>
        <v/>
      </c>
      <c r="H44" s="61" t="str">
        <f aca="false">IFERROR(IF(INDEX(res_Name,(ROW()-ROW(rw_LoadOrigin)-1))="","",INDEX(rw_Cum,(ROW()-ROW(rw_LoadOrigin)-1),(COLUMN()-COLUMN(rw_LoadOrigin)-1)+1)-INDEX(rw_Cum,(ROW()-ROW(rw_LoadOrigin)-1),(COLUMN()-COLUMN(rw_LoadOrigin)-1))),"")</f>
        <v/>
      </c>
      <c r="I44" s="61" t="str">
        <f aca="false">IFERROR(IF(INDEX(res_Name,(ROW()-ROW(rw_LoadOrigin)-1))="","",INDEX(rw_Cum,(ROW()-ROW(rw_LoadOrigin)-1),(COLUMN()-COLUMN(rw_LoadOrigin)-1)+1)-INDEX(rw_Cum,(ROW()-ROW(rw_LoadOrigin)-1),(COLUMN()-COLUMN(rw_LoadOrigin)-1))),"")</f>
        <v/>
      </c>
      <c r="J44" s="61" t="str">
        <f aca="false">IFERROR(IF(INDEX(res_Name,(ROW()-ROW(rw_LoadOrigin)-1))="","",INDEX(rw_Cum,(ROW()-ROW(rw_LoadOrigin)-1),(COLUMN()-COLUMN(rw_LoadOrigin)-1)+1)-INDEX(rw_Cum,(ROW()-ROW(rw_LoadOrigin)-1),(COLUMN()-COLUMN(rw_LoadOrigin)-1))),"")</f>
        <v/>
      </c>
      <c r="K44" s="61" t="str">
        <f aca="false">IFERROR(IF(INDEX(res_Name,(ROW()-ROW(rw_LoadOrigin)-1))="","",INDEX(rw_Cum,(ROW()-ROW(rw_LoadOrigin)-1),(COLUMN()-COLUMN(rw_LoadOrigin)-1)+1)-INDEX(rw_Cum,(ROW()-ROW(rw_LoadOrigin)-1),(COLUMN()-COLUMN(rw_LoadOrigin)-1))),"")</f>
        <v/>
      </c>
      <c r="L44" s="61" t="str">
        <f aca="false">IFERROR(IF(INDEX(res_Name,(ROW()-ROW(rw_LoadOrigin)-1))="","",INDEX(rw_Cum,(ROW()-ROW(rw_LoadOrigin)-1),(COLUMN()-COLUMN(rw_LoadOrigin)-1)+1)-INDEX(rw_Cum,(ROW()-ROW(rw_LoadOrigin)-1),(COLUMN()-COLUMN(rw_LoadOrigin)-1))),"")</f>
        <v/>
      </c>
      <c r="M44" s="61" t="str">
        <f aca="false">IFERROR(IF(INDEX(res_Name,(ROW()-ROW(rw_LoadOrigin)-1))="","",INDEX(rw_Cum,(ROW()-ROW(rw_LoadOrigin)-1),(COLUMN()-COLUMN(rw_LoadOrigin)-1)+1)-INDEX(rw_Cum,(ROW()-ROW(rw_LoadOrigin)-1),(COLUMN()-COLUMN(rw_LoadOrigin)-1))),"")</f>
        <v/>
      </c>
      <c r="N44" s="61" t="str">
        <f aca="false">IFERROR(IF(INDEX(res_Name,(ROW()-ROW(rw_LoadOrigin)-1))="","",INDEX(rw_Cum,(ROW()-ROW(rw_LoadOrigin)-1),(COLUMN()-COLUMN(rw_LoadOrigin)-1)+1)-INDEX(rw_Cum,(ROW()-ROW(rw_LoadOrigin)-1),(COLUMN()-COLUMN(rw_LoadOrigin)-1))),"")</f>
        <v/>
      </c>
      <c r="O44" s="61" t="str">
        <f aca="false">IFERROR(IF(INDEX(res_Name,(ROW()-ROW(rw_LoadOrigin)-1))="","",INDEX(rw_Cum,(ROW()-ROW(rw_LoadOrigin)-1),(COLUMN()-COLUMN(rw_LoadOrigin)-1)+1)-INDEX(rw_Cum,(ROW()-ROW(rw_LoadOrigin)-1),(COLUMN()-COLUMN(rw_LoadOrigin)-1))),"")</f>
        <v/>
      </c>
      <c r="P44" s="61" t="str">
        <f aca="false">IFERROR(IF(INDEX(res_Name,(ROW()-ROW(rw_LoadOrigin)-1))="","",INDEX(rw_Cum,(ROW()-ROW(rw_LoadOrigin)-1),(COLUMN()-COLUMN(rw_LoadOrigin)-1)+1)-INDEX(rw_Cum,(ROW()-ROW(rw_LoadOrigin)-1),(COLUMN()-COLUMN(rw_LoadOrigin)-1))),"")</f>
        <v/>
      </c>
      <c r="Q44" s="61" t="str">
        <f aca="false">IFERROR(IF(INDEX(res_Name,(ROW()-ROW(rw_LoadOrigin)-1))="","",INDEX(rw_Cum,(ROW()-ROW(rw_LoadOrigin)-1),(COLUMN()-COLUMN(rw_LoadOrigin)-1)+1)-INDEX(rw_Cum,(ROW()-ROW(rw_LoadOrigin)-1),(COLUMN()-COLUMN(rw_LoadOrigin)-1))),"")</f>
        <v/>
      </c>
      <c r="R44" s="61" t="str">
        <f aca="false">IFERROR(IF(INDEX(res_Name,(ROW()-ROW(rw_LoadOrigin)-1))="","",INDEX(rw_Cum,(ROW()-ROW(rw_LoadOrigin)-1),(COLUMN()-COLUMN(rw_LoadOrigin)-1)+1)-INDEX(rw_Cum,(ROW()-ROW(rw_LoadOrigin)-1),(COLUMN()-COLUMN(rw_LoadOrigin)-1))),"")</f>
        <v/>
      </c>
      <c r="S44" s="61" t="str">
        <f aca="false">IFERROR(IF(INDEX(res_Name,(ROW()-ROW(rw_LoadOrigin)-1))="","",INDEX(rw_Cum,(ROW()-ROW(rw_LoadOrigin)-1),(COLUMN()-COLUMN(rw_LoadOrigin)-1)+1)-INDEX(rw_Cum,(ROW()-ROW(rw_LoadOrigin)-1),(COLUMN()-COLUMN(rw_LoadOrigin)-1))),"")</f>
        <v/>
      </c>
      <c r="T44" s="61" t="str">
        <f aca="false">IFERROR(IF(INDEX(res_Name,(ROW()-ROW(rw_LoadOrigin)-1))="","",INDEX(rw_Cum,(ROW()-ROW(rw_LoadOrigin)-1),(COLUMN()-COLUMN(rw_LoadOrigin)-1)+1)-INDEX(rw_Cum,(ROW()-ROW(rw_LoadOrigin)-1),(COLUMN()-COLUMN(rw_LoadOrigin)-1))),"")</f>
        <v/>
      </c>
      <c r="U44" s="61" t="str">
        <f aca="false">IFERROR(IF(INDEX(res_Name,(ROW()-ROW(rw_LoadOrigin)-1))="","",INDEX(rw_Cum,(ROW()-ROW(rw_LoadOrigin)-1),(COLUMN()-COLUMN(rw_LoadOrigin)-1)+1)-INDEX(rw_Cum,(ROW()-ROW(rw_LoadOrigin)-1),(COLUMN()-COLUMN(rw_LoadOrigin)-1))),"")</f>
        <v/>
      </c>
      <c r="V44" s="61" t="str">
        <f aca="false">IFERROR(IF(INDEX(res_Name,(ROW()-ROW(rw_LoadOrigin)-1))="","",INDEX(rw_Cum,(ROW()-ROW(rw_LoadOrigin)-1),(COLUMN()-COLUMN(rw_LoadOrigin)-1)+1)-INDEX(rw_Cum,(ROW()-ROW(rw_LoadOrigin)-1),(COLUMN()-COLUMN(rw_LoadOrigin)-1))),"")</f>
        <v/>
      </c>
      <c r="W44" s="61" t="str">
        <f aca="false">IFERROR(IF(INDEX(res_Name,(ROW()-ROW(rw_LoadOrigin)-1))="","",INDEX(rw_Cum,(ROW()-ROW(rw_LoadOrigin)-1),(COLUMN()-COLUMN(rw_LoadOrigin)-1)+1)-INDEX(rw_Cum,(ROW()-ROW(rw_LoadOrigin)-1),(COLUMN()-COLUMN(rw_LoadOrigin)-1))),"")</f>
        <v/>
      </c>
      <c r="X44" s="61" t="str">
        <f aca="false">IFERROR(IF(INDEX(res_Name,(ROW()-ROW(rw_LoadOrigin)-1))="","",INDEX(rw_Cum,(ROW()-ROW(rw_LoadOrigin)-1),(COLUMN()-COLUMN(rw_LoadOrigin)-1)+1)-INDEX(rw_Cum,(ROW()-ROW(rw_LoadOrigin)-1),(COLUMN()-COLUMN(rw_LoadOrigin)-1))),"")</f>
        <v/>
      </c>
      <c r="Y44" s="61" t="str">
        <f aca="false">IFERROR(IF(INDEX(res_Name,(ROW()-ROW(rw_LoadOrigin)-1))="","",INDEX(rw_Cum,(ROW()-ROW(rw_LoadOrigin)-1),(COLUMN()-COLUMN(rw_LoadOrigin)-1)+1)-INDEX(rw_Cum,(ROW()-ROW(rw_LoadOrigin)-1),(COLUMN()-COLUMN(rw_LoadOrigin)-1))),"")</f>
        <v/>
      </c>
      <c r="Z44" s="61" t="str">
        <f aca="false">IFERROR(IF(INDEX(res_Name,(ROW()-ROW(rw_LoadOrigin)-1))="","",INDEX(rw_Cum,(ROW()-ROW(rw_LoadOrigin)-1),(COLUMN()-COLUMN(rw_LoadOrigin)-1)+1)-INDEX(rw_Cum,(ROW()-ROW(rw_LoadOrigin)-1),(COLUMN()-COLUMN(rw_LoadOrigin)-1))),"")</f>
        <v/>
      </c>
      <c r="AA44" s="61" t="str">
        <f aca="false">IFERROR(IF(INDEX(res_Name,(ROW()-ROW(rw_LoadOrigin)-1))="","",INDEX(rw_Cum,(ROW()-ROW(rw_LoadOrigin)-1),(COLUMN()-COLUMN(rw_LoadOrigin)-1)+1)-INDEX(rw_Cum,(ROW()-ROW(rw_LoadOrigin)-1),(COLUMN()-COLUMN(rw_LoadOrigin)-1))),"")</f>
        <v/>
      </c>
      <c r="AB44" s="61" t="str">
        <f aca="false">IFERROR(IF(INDEX(res_Name,(ROW()-ROW(rw_LoadOrigin)-1))="","",INDEX(rw_Cum,(ROW()-ROW(rw_LoadOrigin)-1),(COLUMN()-COLUMN(rw_LoadOrigin)-1)+1)-INDEX(rw_Cum,(ROW()-ROW(rw_LoadOrigin)-1),(COLUMN()-COLUMN(rw_LoadOrigin)-1))),"")</f>
        <v/>
      </c>
      <c r="AC44" s="61"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31" t="str">
        <f aca="false">IFERROR(INDEX(res_Name,(ROW()-ROW(rw_LoadOrigin)-1))&amp;"","")</f>
        <v/>
      </c>
      <c r="C45" s="60" t="str">
        <f aca="false">IFERROR(IF(INDEX(res_Name,(ROW()-ROW(rw_LoadOrigin)-1))="","",INDEX(res_MaxUnits,(ROW()-ROW(rw_LoadOrigin)-1))),"")</f>
        <v/>
      </c>
      <c r="D45" s="61" t="str">
        <f aca="false">IFERROR(IF(INDEX(res_Name,(ROW()-ROW(rw_LoadOrigin)-1))="","",INDEX(rw_Cum,(ROW()-ROW(rw_LoadOrigin)-1),(COLUMN()-COLUMN(rw_LoadOrigin)-1)+1)-INDEX(rw_Cum,(ROW()-ROW(rw_LoadOrigin)-1),(COLUMN()-COLUMN(rw_LoadOrigin)-1))),"")</f>
        <v/>
      </c>
      <c r="E45" s="61" t="str">
        <f aca="false">IFERROR(IF(INDEX(res_Name,(ROW()-ROW(rw_LoadOrigin)-1))="","",INDEX(rw_Cum,(ROW()-ROW(rw_LoadOrigin)-1),(COLUMN()-COLUMN(rw_LoadOrigin)-1)+1)-INDEX(rw_Cum,(ROW()-ROW(rw_LoadOrigin)-1),(COLUMN()-COLUMN(rw_LoadOrigin)-1))),"")</f>
        <v/>
      </c>
      <c r="F45" s="61" t="str">
        <f aca="false">IFERROR(IF(INDEX(res_Name,(ROW()-ROW(rw_LoadOrigin)-1))="","",INDEX(rw_Cum,(ROW()-ROW(rw_LoadOrigin)-1),(COLUMN()-COLUMN(rw_LoadOrigin)-1)+1)-INDEX(rw_Cum,(ROW()-ROW(rw_LoadOrigin)-1),(COLUMN()-COLUMN(rw_LoadOrigin)-1))),"")</f>
        <v/>
      </c>
      <c r="G45" s="61" t="str">
        <f aca="false">IFERROR(IF(INDEX(res_Name,(ROW()-ROW(rw_LoadOrigin)-1))="","",INDEX(rw_Cum,(ROW()-ROW(rw_LoadOrigin)-1),(COLUMN()-COLUMN(rw_LoadOrigin)-1)+1)-INDEX(rw_Cum,(ROW()-ROW(rw_LoadOrigin)-1),(COLUMN()-COLUMN(rw_LoadOrigin)-1))),"")</f>
        <v/>
      </c>
      <c r="H45" s="61" t="str">
        <f aca="false">IFERROR(IF(INDEX(res_Name,(ROW()-ROW(rw_LoadOrigin)-1))="","",INDEX(rw_Cum,(ROW()-ROW(rw_LoadOrigin)-1),(COLUMN()-COLUMN(rw_LoadOrigin)-1)+1)-INDEX(rw_Cum,(ROW()-ROW(rw_LoadOrigin)-1),(COLUMN()-COLUMN(rw_LoadOrigin)-1))),"")</f>
        <v/>
      </c>
      <c r="I45" s="61" t="str">
        <f aca="false">IFERROR(IF(INDEX(res_Name,(ROW()-ROW(rw_LoadOrigin)-1))="","",INDEX(rw_Cum,(ROW()-ROW(rw_LoadOrigin)-1),(COLUMN()-COLUMN(rw_LoadOrigin)-1)+1)-INDEX(rw_Cum,(ROW()-ROW(rw_LoadOrigin)-1),(COLUMN()-COLUMN(rw_LoadOrigin)-1))),"")</f>
        <v/>
      </c>
      <c r="J45" s="61" t="str">
        <f aca="false">IFERROR(IF(INDEX(res_Name,(ROW()-ROW(rw_LoadOrigin)-1))="","",INDEX(rw_Cum,(ROW()-ROW(rw_LoadOrigin)-1),(COLUMN()-COLUMN(rw_LoadOrigin)-1)+1)-INDEX(rw_Cum,(ROW()-ROW(rw_LoadOrigin)-1),(COLUMN()-COLUMN(rw_LoadOrigin)-1))),"")</f>
        <v/>
      </c>
      <c r="K45" s="61" t="str">
        <f aca="false">IFERROR(IF(INDEX(res_Name,(ROW()-ROW(rw_LoadOrigin)-1))="","",INDEX(rw_Cum,(ROW()-ROW(rw_LoadOrigin)-1),(COLUMN()-COLUMN(rw_LoadOrigin)-1)+1)-INDEX(rw_Cum,(ROW()-ROW(rw_LoadOrigin)-1),(COLUMN()-COLUMN(rw_LoadOrigin)-1))),"")</f>
        <v/>
      </c>
      <c r="L45" s="61" t="str">
        <f aca="false">IFERROR(IF(INDEX(res_Name,(ROW()-ROW(rw_LoadOrigin)-1))="","",INDEX(rw_Cum,(ROW()-ROW(rw_LoadOrigin)-1),(COLUMN()-COLUMN(rw_LoadOrigin)-1)+1)-INDEX(rw_Cum,(ROW()-ROW(rw_LoadOrigin)-1),(COLUMN()-COLUMN(rw_LoadOrigin)-1))),"")</f>
        <v/>
      </c>
      <c r="M45" s="61" t="str">
        <f aca="false">IFERROR(IF(INDEX(res_Name,(ROW()-ROW(rw_LoadOrigin)-1))="","",INDEX(rw_Cum,(ROW()-ROW(rw_LoadOrigin)-1),(COLUMN()-COLUMN(rw_LoadOrigin)-1)+1)-INDEX(rw_Cum,(ROW()-ROW(rw_LoadOrigin)-1),(COLUMN()-COLUMN(rw_LoadOrigin)-1))),"")</f>
        <v/>
      </c>
      <c r="N45" s="61" t="str">
        <f aca="false">IFERROR(IF(INDEX(res_Name,(ROW()-ROW(rw_LoadOrigin)-1))="","",INDEX(rw_Cum,(ROW()-ROW(rw_LoadOrigin)-1),(COLUMN()-COLUMN(rw_LoadOrigin)-1)+1)-INDEX(rw_Cum,(ROW()-ROW(rw_LoadOrigin)-1),(COLUMN()-COLUMN(rw_LoadOrigin)-1))),"")</f>
        <v/>
      </c>
      <c r="O45" s="61" t="str">
        <f aca="false">IFERROR(IF(INDEX(res_Name,(ROW()-ROW(rw_LoadOrigin)-1))="","",INDEX(rw_Cum,(ROW()-ROW(rw_LoadOrigin)-1),(COLUMN()-COLUMN(rw_LoadOrigin)-1)+1)-INDEX(rw_Cum,(ROW()-ROW(rw_LoadOrigin)-1),(COLUMN()-COLUMN(rw_LoadOrigin)-1))),"")</f>
        <v/>
      </c>
      <c r="P45" s="61" t="str">
        <f aca="false">IFERROR(IF(INDEX(res_Name,(ROW()-ROW(rw_LoadOrigin)-1))="","",INDEX(rw_Cum,(ROW()-ROW(rw_LoadOrigin)-1),(COLUMN()-COLUMN(rw_LoadOrigin)-1)+1)-INDEX(rw_Cum,(ROW()-ROW(rw_LoadOrigin)-1),(COLUMN()-COLUMN(rw_LoadOrigin)-1))),"")</f>
        <v/>
      </c>
      <c r="Q45" s="61" t="str">
        <f aca="false">IFERROR(IF(INDEX(res_Name,(ROW()-ROW(rw_LoadOrigin)-1))="","",INDEX(rw_Cum,(ROW()-ROW(rw_LoadOrigin)-1),(COLUMN()-COLUMN(rw_LoadOrigin)-1)+1)-INDEX(rw_Cum,(ROW()-ROW(rw_LoadOrigin)-1),(COLUMN()-COLUMN(rw_LoadOrigin)-1))),"")</f>
        <v/>
      </c>
      <c r="R45" s="61" t="str">
        <f aca="false">IFERROR(IF(INDEX(res_Name,(ROW()-ROW(rw_LoadOrigin)-1))="","",INDEX(rw_Cum,(ROW()-ROW(rw_LoadOrigin)-1),(COLUMN()-COLUMN(rw_LoadOrigin)-1)+1)-INDEX(rw_Cum,(ROW()-ROW(rw_LoadOrigin)-1),(COLUMN()-COLUMN(rw_LoadOrigin)-1))),"")</f>
        <v/>
      </c>
      <c r="S45" s="61" t="str">
        <f aca="false">IFERROR(IF(INDEX(res_Name,(ROW()-ROW(rw_LoadOrigin)-1))="","",INDEX(rw_Cum,(ROW()-ROW(rw_LoadOrigin)-1),(COLUMN()-COLUMN(rw_LoadOrigin)-1)+1)-INDEX(rw_Cum,(ROW()-ROW(rw_LoadOrigin)-1),(COLUMN()-COLUMN(rw_LoadOrigin)-1))),"")</f>
        <v/>
      </c>
      <c r="T45" s="61" t="str">
        <f aca="false">IFERROR(IF(INDEX(res_Name,(ROW()-ROW(rw_LoadOrigin)-1))="","",INDEX(rw_Cum,(ROW()-ROW(rw_LoadOrigin)-1),(COLUMN()-COLUMN(rw_LoadOrigin)-1)+1)-INDEX(rw_Cum,(ROW()-ROW(rw_LoadOrigin)-1),(COLUMN()-COLUMN(rw_LoadOrigin)-1))),"")</f>
        <v/>
      </c>
      <c r="U45" s="61" t="str">
        <f aca="false">IFERROR(IF(INDEX(res_Name,(ROW()-ROW(rw_LoadOrigin)-1))="","",INDEX(rw_Cum,(ROW()-ROW(rw_LoadOrigin)-1),(COLUMN()-COLUMN(rw_LoadOrigin)-1)+1)-INDEX(rw_Cum,(ROW()-ROW(rw_LoadOrigin)-1),(COLUMN()-COLUMN(rw_LoadOrigin)-1))),"")</f>
        <v/>
      </c>
      <c r="V45" s="61" t="str">
        <f aca="false">IFERROR(IF(INDEX(res_Name,(ROW()-ROW(rw_LoadOrigin)-1))="","",INDEX(rw_Cum,(ROW()-ROW(rw_LoadOrigin)-1),(COLUMN()-COLUMN(rw_LoadOrigin)-1)+1)-INDEX(rw_Cum,(ROW()-ROW(rw_LoadOrigin)-1),(COLUMN()-COLUMN(rw_LoadOrigin)-1))),"")</f>
        <v/>
      </c>
      <c r="W45" s="61" t="str">
        <f aca="false">IFERROR(IF(INDEX(res_Name,(ROW()-ROW(rw_LoadOrigin)-1))="","",INDEX(rw_Cum,(ROW()-ROW(rw_LoadOrigin)-1),(COLUMN()-COLUMN(rw_LoadOrigin)-1)+1)-INDEX(rw_Cum,(ROW()-ROW(rw_LoadOrigin)-1),(COLUMN()-COLUMN(rw_LoadOrigin)-1))),"")</f>
        <v/>
      </c>
      <c r="X45" s="61" t="str">
        <f aca="false">IFERROR(IF(INDEX(res_Name,(ROW()-ROW(rw_LoadOrigin)-1))="","",INDEX(rw_Cum,(ROW()-ROW(rw_LoadOrigin)-1),(COLUMN()-COLUMN(rw_LoadOrigin)-1)+1)-INDEX(rw_Cum,(ROW()-ROW(rw_LoadOrigin)-1),(COLUMN()-COLUMN(rw_LoadOrigin)-1))),"")</f>
        <v/>
      </c>
      <c r="Y45" s="61" t="str">
        <f aca="false">IFERROR(IF(INDEX(res_Name,(ROW()-ROW(rw_LoadOrigin)-1))="","",INDEX(rw_Cum,(ROW()-ROW(rw_LoadOrigin)-1),(COLUMN()-COLUMN(rw_LoadOrigin)-1)+1)-INDEX(rw_Cum,(ROW()-ROW(rw_LoadOrigin)-1),(COLUMN()-COLUMN(rw_LoadOrigin)-1))),"")</f>
        <v/>
      </c>
      <c r="Z45" s="61" t="str">
        <f aca="false">IFERROR(IF(INDEX(res_Name,(ROW()-ROW(rw_LoadOrigin)-1))="","",INDEX(rw_Cum,(ROW()-ROW(rw_LoadOrigin)-1),(COLUMN()-COLUMN(rw_LoadOrigin)-1)+1)-INDEX(rw_Cum,(ROW()-ROW(rw_LoadOrigin)-1),(COLUMN()-COLUMN(rw_LoadOrigin)-1))),"")</f>
        <v/>
      </c>
      <c r="AA45" s="61" t="str">
        <f aca="false">IFERROR(IF(INDEX(res_Name,(ROW()-ROW(rw_LoadOrigin)-1))="","",INDEX(rw_Cum,(ROW()-ROW(rw_LoadOrigin)-1),(COLUMN()-COLUMN(rw_LoadOrigin)-1)+1)-INDEX(rw_Cum,(ROW()-ROW(rw_LoadOrigin)-1),(COLUMN()-COLUMN(rw_LoadOrigin)-1))),"")</f>
        <v/>
      </c>
      <c r="AB45" s="61" t="str">
        <f aca="false">IFERROR(IF(INDEX(res_Name,(ROW()-ROW(rw_LoadOrigin)-1))="","",INDEX(rw_Cum,(ROW()-ROW(rw_LoadOrigin)-1),(COLUMN()-COLUMN(rw_LoadOrigin)-1)+1)-INDEX(rw_Cum,(ROW()-ROW(rw_LoadOrigin)-1),(COLUMN()-COLUMN(rw_LoadOrigin)-1))),"")</f>
        <v/>
      </c>
      <c r="AC45" s="61"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31" t="str">
        <f aca="false">IFERROR(INDEX(res_Name,(ROW()-ROW(rw_LoadOrigin)-1))&amp;"","")</f>
        <v/>
      </c>
      <c r="C46" s="60" t="str">
        <f aca="false">IFERROR(IF(INDEX(res_Name,(ROW()-ROW(rw_LoadOrigin)-1))="","",INDEX(res_MaxUnits,(ROW()-ROW(rw_LoadOrigin)-1))),"")</f>
        <v/>
      </c>
      <c r="D46" s="61" t="str">
        <f aca="false">IFERROR(IF(INDEX(res_Name,(ROW()-ROW(rw_LoadOrigin)-1))="","",INDEX(rw_Cum,(ROW()-ROW(rw_LoadOrigin)-1),(COLUMN()-COLUMN(rw_LoadOrigin)-1)+1)-INDEX(rw_Cum,(ROW()-ROW(rw_LoadOrigin)-1),(COLUMN()-COLUMN(rw_LoadOrigin)-1))),"")</f>
        <v/>
      </c>
      <c r="E46" s="61" t="str">
        <f aca="false">IFERROR(IF(INDEX(res_Name,(ROW()-ROW(rw_LoadOrigin)-1))="","",INDEX(rw_Cum,(ROW()-ROW(rw_LoadOrigin)-1),(COLUMN()-COLUMN(rw_LoadOrigin)-1)+1)-INDEX(rw_Cum,(ROW()-ROW(rw_LoadOrigin)-1),(COLUMN()-COLUMN(rw_LoadOrigin)-1))),"")</f>
        <v/>
      </c>
      <c r="F46" s="61" t="str">
        <f aca="false">IFERROR(IF(INDEX(res_Name,(ROW()-ROW(rw_LoadOrigin)-1))="","",INDEX(rw_Cum,(ROW()-ROW(rw_LoadOrigin)-1),(COLUMN()-COLUMN(rw_LoadOrigin)-1)+1)-INDEX(rw_Cum,(ROW()-ROW(rw_LoadOrigin)-1),(COLUMN()-COLUMN(rw_LoadOrigin)-1))),"")</f>
        <v/>
      </c>
      <c r="G46" s="61" t="str">
        <f aca="false">IFERROR(IF(INDEX(res_Name,(ROW()-ROW(rw_LoadOrigin)-1))="","",INDEX(rw_Cum,(ROW()-ROW(rw_LoadOrigin)-1),(COLUMN()-COLUMN(rw_LoadOrigin)-1)+1)-INDEX(rw_Cum,(ROW()-ROW(rw_LoadOrigin)-1),(COLUMN()-COLUMN(rw_LoadOrigin)-1))),"")</f>
        <v/>
      </c>
      <c r="H46" s="61" t="str">
        <f aca="false">IFERROR(IF(INDEX(res_Name,(ROW()-ROW(rw_LoadOrigin)-1))="","",INDEX(rw_Cum,(ROW()-ROW(rw_LoadOrigin)-1),(COLUMN()-COLUMN(rw_LoadOrigin)-1)+1)-INDEX(rw_Cum,(ROW()-ROW(rw_LoadOrigin)-1),(COLUMN()-COLUMN(rw_LoadOrigin)-1))),"")</f>
        <v/>
      </c>
      <c r="I46" s="61" t="str">
        <f aca="false">IFERROR(IF(INDEX(res_Name,(ROW()-ROW(rw_LoadOrigin)-1))="","",INDEX(rw_Cum,(ROW()-ROW(rw_LoadOrigin)-1),(COLUMN()-COLUMN(rw_LoadOrigin)-1)+1)-INDEX(rw_Cum,(ROW()-ROW(rw_LoadOrigin)-1),(COLUMN()-COLUMN(rw_LoadOrigin)-1))),"")</f>
        <v/>
      </c>
      <c r="J46" s="61" t="str">
        <f aca="false">IFERROR(IF(INDEX(res_Name,(ROW()-ROW(rw_LoadOrigin)-1))="","",INDEX(rw_Cum,(ROW()-ROW(rw_LoadOrigin)-1),(COLUMN()-COLUMN(rw_LoadOrigin)-1)+1)-INDEX(rw_Cum,(ROW()-ROW(rw_LoadOrigin)-1),(COLUMN()-COLUMN(rw_LoadOrigin)-1))),"")</f>
        <v/>
      </c>
      <c r="K46" s="61" t="str">
        <f aca="false">IFERROR(IF(INDEX(res_Name,(ROW()-ROW(rw_LoadOrigin)-1))="","",INDEX(rw_Cum,(ROW()-ROW(rw_LoadOrigin)-1),(COLUMN()-COLUMN(rw_LoadOrigin)-1)+1)-INDEX(rw_Cum,(ROW()-ROW(rw_LoadOrigin)-1),(COLUMN()-COLUMN(rw_LoadOrigin)-1))),"")</f>
        <v/>
      </c>
      <c r="L46" s="61" t="str">
        <f aca="false">IFERROR(IF(INDEX(res_Name,(ROW()-ROW(rw_LoadOrigin)-1))="","",INDEX(rw_Cum,(ROW()-ROW(rw_LoadOrigin)-1),(COLUMN()-COLUMN(rw_LoadOrigin)-1)+1)-INDEX(rw_Cum,(ROW()-ROW(rw_LoadOrigin)-1),(COLUMN()-COLUMN(rw_LoadOrigin)-1))),"")</f>
        <v/>
      </c>
      <c r="M46" s="61" t="str">
        <f aca="false">IFERROR(IF(INDEX(res_Name,(ROW()-ROW(rw_LoadOrigin)-1))="","",INDEX(rw_Cum,(ROW()-ROW(rw_LoadOrigin)-1),(COLUMN()-COLUMN(rw_LoadOrigin)-1)+1)-INDEX(rw_Cum,(ROW()-ROW(rw_LoadOrigin)-1),(COLUMN()-COLUMN(rw_LoadOrigin)-1))),"")</f>
        <v/>
      </c>
      <c r="N46" s="61" t="str">
        <f aca="false">IFERROR(IF(INDEX(res_Name,(ROW()-ROW(rw_LoadOrigin)-1))="","",INDEX(rw_Cum,(ROW()-ROW(rw_LoadOrigin)-1),(COLUMN()-COLUMN(rw_LoadOrigin)-1)+1)-INDEX(rw_Cum,(ROW()-ROW(rw_LoadOrigin)-1),(COLUMN()-COLUMN(rw_LoadOrigin)-1))),"")</f>
        <v/>
      </c>
      <c r="O46" s="61" t="str">
        <f aca="false">IFERROR(IF(INDEX(res_Name,(ROW()-ROW(rw_LoadOrigin)-1))="","",INDEX(rw_Cum,(ROW()-ROW(rw_LoadOrigin)-1),(COLUMN()-COLUMN(rw_LoadOrigin)-1)+1)-INDEX(rw_Cum,(ROW()-ROW(rw_LoadOrigin)-1),(COLUMN()-COLUMN(rw_LoadOrigin)-1))),"")</f>
        <v/>
      </c>
      <c r="P46" s="61" t="str">
        <f aca="false">IFERROR(IF(INDEX(res_Name,(ROW()-ROW(rw_LoadOrigin)-1))="","",INDEX(rw_Cum,(ROW()-ROW(rw_LoadOrigin)-1),(COLUMN()-COLUMN(rw_LoadOrigin)-1)+1)-INDEX(rw_Cum,(ROW()-ROW(rw_LoadOrigin)-1),(COLUMN()-COLUMN(rw_LoadOrigin)-1))),"")</f>
        <v/>
      </c>
      <c r="Q46" s="61" t="str">
        <f aca="false">IFERROR(IF(INDEX(res_Name,(ROW()-ROW(rw_LoadOrigin)-1))="","",INDEX(rw_Cum,(ROW()-ROW(rw_LoadOrigin)-1),(COLUMN()-COLUMN(rw_LoadOrigin)-1)+1)-INDEX(rw_Cum,(ROW()-ROW(rw_LoadOrigin)-1),(COLUMN()-COLUMN(rw_LoadOrigin)-1))),"")</f>
        <v/>
      </c>
      <c r="R46" s="61" t="str">
        <f aca="false">IFERROR(IF(INDEX(res_Name,(ROW()-ROW(rw_LoadOrigin)-1))="","",INDEX(rw_Cum,(ROW()-ROW(rw_LoadOrigin)-1),(COLUMN()-COLUMN(rw_LoadOrigin)-1)+1)-INDEX(rw_Cum,(ROW()-ROW(rw_LoadOrigin)-1),(COLUMN()-COLUMN(rw_LoadOrigin)-1))),"")</f>
        <v/>
      </c>
      <c r="S46" s="61" t="str">
        <f aca="false">IFERROR(IF(INDEX(res_Name,(ROW()-ROW(rw_LoadOrigin)-1))="","",INDEX(rw_Cum,(ROW()-ROW(rw_LoadOrigin)-1),(COLUMN()-COLUMN(rw_LoadOrigin)-1)+1)-INDEX(rw_Cum,(ROW()-ROW(rw_LoadOrigin)-1),(COLUMN()-COLUMN(rw_LoadOrigin)-1))),"")</f>
        <v/>
      </c>
      <c r="T46" s="61" t="str">
        <f aca="false">IFERROR(IF(INDEX(res_Name,(ROW()-ROW(rw_LoadOrigin)-1))="","",INDEX(rw_Cum,(ROW()-ROW(rw_LoadOrigin)-1),(COLUMN()-COLUMN(rw_LoadOrigin)-1)+1)-INDEX(rw_Cum,(ROW()-ROW(rw_LoadOrigin)-1),(COLUMN()-COLUMN(rw_LoadOrigin)-1))),"")</f>
        <v/>
      </c>
      <c r="U46" s="61" t="str">
        <f aca="false">IFERROR(IF(INDEX(res_Name,(ROW()-ROW(rw_LoadOrigin)-1))="","",INDEX(rw_Cum,(ROW()-ROW(rw_LoadOrigin)-1),(COLUMN()-COLUMN(rw_LoadOrigin)-1)+1)-INDEX(rw_Cum,(ROW()-ROW(rw_LoadOrigin)-1),(COLUMN()-COLUMN(rw_LoadOrigin)-1))),"")</f>
        <v/>
      </c>
      <c r="V46" s="61" t="str">
        <f aca="false">IFERROR(IF(INDEX(res_Name,(ROW()-ROW(rw_LoadOrigin)-1))="","",INDEX(rw_Cum,(ROW()-ROW(rw_LoadOrigin)-1),(COLUMN()-COLUMN(rw_LoadOrigin)-1)+1)-INDEX(rw_Cum,(ROW()-ROW(rw_LoadOrigin)-1),(COLUMN()-COLUMN(rw_LoadOrigin)-1))),"")</f>
        <v/>
      </c>
      <c r="W46" s="61" t="str">
        <f aca="false">IFERROR(IF(INDEX(res_Name,(ROW()-ROW(rw_LoadOrigin)-1))="","",INDEX(rw_Cum,(ROW()-ROW(rw_LoadOrigin)-1),(COLUMN()-COLUMN(rw_LoadOrigin)-1)+1)-INDEX(rw_Cum,(ROW()-ROW(rw_LoadOrigin)-1),(COLUMN()-COLUMN(rw_LoadOrigin)-1))),"")</f>
        <v/>
      </c>
      <c r="X46" s="61" t="str">
        <f aca="false">IFERROR(IF(INDEX(res_Name,(ROW()-ROW(rw_LoadOrigin)-1))="","",INDEX(rw_Cum,(ROW()-ROW(rw_LoadOrigin)-1),(COLUMN()-COLUMN(rw_LoadOrigin)-1)+1)-INDEX(rw_Cum,(ROW()-ROW(rw_LoadOrigin)-1),(COLUMN()-COLUMN(rw_LoadOrigin)-1))),"")</f>
        <v/>
      </c>
      <c r="Y46" s="61" t="str">
        <f aca="false">IFERROR(IF(INDEX(res_Name,(ROW()-ROW(rw_LoadOrigin)-1))="","",INDEX(rw_Cum,(ROW()-ROW(rw_LoadOrigin)-1),(COLUMN()-COLUMN(rw_LoadOrigin)-1)+1)-INDEX(rw_Cum,(ROW()-ROW(rw_LoadOrigin)-1),(COLUMN()-COLUMN(rw_LoadOrigin)-1))),"")</f>
        <v/>
      </c>
      <c r="Z46" s="61" t="str">
        <f aca="false">IFERROR(IF(INDEX(res_Name,(ROW()-ROW(rw_LoadOrigin)-1))="","",INDEX(rw_Cum,(ROW()-ROW(rw_LoadOrigin)-1),(COLUMN()-COLUMN(rw_LoadOrigin)-1)+1)-INDEX(rw_Cum,(ROW()-ROW(rw_LoadOrigin)-1),(COLUMN()-COLUMN(rw_LoadOrigin)-1))),"")</f>
        <v/>
      </c>
      <c r="AA46" s="61" t="str">
        <f aca="false">IFERROR(IF(INDEX(res_Name,(ROW()-ROW(rw_LoadOrigin)-1))="","",INDEX(rw_Cum,(ROW()-ROW(rw_LoadOrigin)-1),(COLUMN()-COLUMN(rw_LoadOrigin)-1)+1)-INDEX(rw_Cum,(ROW()-ROW(rw_LoadOrigin)-1),(COLUMN()-COLUMN(rw_LoadOrigin)-1))),"")</f>
        <v/>
      </c>
      <c r="AB46" s="61" t="str">
        <f aca="false">IFERROR(IF(INDEX(res_Name,(ROW()-ROW(rw_LoadOrigin)-1))="","",INDEX(rw_Cum,(ROW()-ROW(rw_LoadOrigin)-1),(COLUMN()-COLUMN(rw_LoadOrigin)-1)+1)-INDEX(rw_Cum,(ROW()-ROW(rw_LoadOrigin)-1),(COLUMN()-COLUMN(rw_LoadOrigin)-1))),"")</f>
        <v/>
      </c>
      <c r="AC46" s="61"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31" t="str">
        <f aca="false">IFERROR(INDEX(res_Name,(ROW()-ROW(rw_LoadOrigin)-1))&amp;"","")</f>
        <v/>
      </c>
      <c r="C47" s="60" t="str">
        <f aca="false">IFERROR(IF(INDEX(res_Name,(ROW()-ROW(rw_LoadOrigin)-1))="","",INDEX(res_MaxUnits,(ROW()-ROW(rw_LoadOrigin)-1))),"")</f>
        <v/>
      </c>
      <c r="D47" s="61" t="str">
        <f aca="false">IFERROR(IF(INDEX(res_Name,(ROW()-ROW(rw_LoadOrigin)-1))="","",INDEX(rw_Cum,(ROW()-ROW(rw_LoadOrigin)-1),(COLUMN()-COLUMN(rw_LoadOrigin)-1)+1)-INDEX(rw_Cum,(ROW()-ROW(rw_LoadOrigin)-1),(COLUMN()-COLUMN(rw_LoadOrigin)-1))),"")</f>
        <v/>
      </c>
      <c r="E47" s="61" t="str">
        <f aca="false">IFERROR(IF(INDEX(res_Name,(ROW()-ROW(rw_LoadOrigin)-1))="","",INDEX(rw_Cum,(ROW()-ROW(rw_LoadOrigin)-1),(COLUMN()-COLUMN(rw_LoadOrigin)-1)+1)-INDEX(rw_Cum,(ROW()-ROW(rw_LoadOrigin)-1),(COLUMN()-COLUMN(rw_LoadOrigin)-1))),"")</f>
        <v/>
      </c>
      <c r="F47" s="61" t="str">
        <f aca="false">IFERROR(IF(INDEX(res_Name,(ROW()-ROW(rw_LoadOrigin)-1))="","",INDEX(rw_Cum,(ROW()-ROW(rw_LoadOrigin)-1),(COLUMN()-COLUMN(rw_LoadOrigin)-1)+1)-INDEX(rw_Cum,(ROW()-ROW(rw_LoadOrigin)-1),(COLUMN()-COLUMN(rw_LoadOrigin)-1))),"")</f>
        <v/>
      </c>
      <c r="G47" s="61" t="str">
        <f aca="false">IFERROR(IF(INDEX(res_Name,(ROW()-ROW(rw_LoadOrigin)-1))="","",INDEX(rw_Cum,(ROW()-ROW(rw_LoadOrigin)-1),(COLUMN()-COLUMN(rw_LoadOrigin)-1)+1)-INDEX(rw_Cum,(ROW()-ROW(rw_LoadOrigin)-1),(COLUMN()-COLUMN(rw_LoadOrigin)-1))),"")</f>
        <v/>
      </c>
      <c r="H47" s="61" t="str">
        <f aca="false">IFERROR(IF(INDEX(res_Name,(ROW()-ROW(rw_LoadOrigin)-1))="","",INDEX(rw_Cum,(ROW()-ROW(rw_LoadOrigin)-1),(COLUMN()-COLUMN(rw_LoadOrigin)-1)+1)-INDEX(rw_Cum,(ROW()-ROW(rw_LoadOrigin)-1),(COLUMN()-COLUMN(rw_LoadOrigin)-1))),"")</f>
        <v/>
      </c>
      <c r="I47" s="61" t="str">
        <f aca="false">IFERROR(IF(INDEX(res_Name,(ROW()-ROW(rw_LoadOrigin)-1))="","",INDEX(rw_Cum,(ROW()-ROW(rw_LoadOrigin)-1),(COLUMN()-COLUMN(rw_LoadOrigin)-1)+1)-INDEX(rw_Cum,(ROW()-ROW(rw_LoadOrigin)-1),(COLUMN()-COLUMN(rw_LoadOrigin)-1))),"")</f>
        <v/>
      </c>
      <c r="J47" s="61" t="str">
        <f aca="false">IFERROR(IF(INDEX(res_Name,(ROW()-ROW(rw_LoadOrigin)-1))="","",INDEX(rw_Cum,(ROW()-ROW(rw_LoadOrigin)-1),(COLUMN()-COLUMN(rw_LoadOrigin)-1)+1)-INDEX(rw_Cum,(ROW()-ROW(rw_LoadOrigin)-1),(COLUMN()-COLUMN(rw_LoadOrigin)-1))),"")</f>
        <v/>
      </c>
      <c r="K47" s="61" t="str">
        <f aca="false">IFERROR(IF(INDEX(res_Name,(ROW()-ROW(rw_LoadOrigin)-1))="","",INDEX(rw_Cum,(ROW()-ROW(rw_LoadOrigin)-1),(COLUMN()-COLUMN(rw_LoadOrigin)-1)+1)-INDEX(rw_Cum,(ROW()-ROW(rw_LoadOrigin)-1),(COLUMN()-COLUMN(rw_LoadOrigin)-1))),"")</f>
        <v/>
      </c>
      <c r="L47" s="61" t="str">
        <f aca="false">IFERROR(IF(INDEX(res_Name,(ROW()-ROW(rw_LoadOrigin)-1))="","",INDEX(rw_Cum,(ROW()-ROW(rw_LoadOrigin)-1),(COLUMN()-COLUMN(rw_LoadOrigin)-1)+1)-INDEX(rw_Cum,(ROW()-ROW(rw_LoadOrigin)-1),(COLUMN()-COLUMN(rw_LoadOrigin)-1))),"")</f>
        <v/>
      </c>
      <c r="M47" s="61" t="str">
        <f aca="false">IFERROR(IF(INDEX(res_Name,(ROW()-ROW(rw_LoadOrigin)-1))="","",INDEX(rw_Cum,(ROW()-ROW(rw_LoadOrigin)-1),(COLUMN()-COLUMN(rw_LoadOrigin)-1)+1)-INDEX(rw_Cum,(ROW()-ROW(rw_LoadOrigin)-1),(COLUMN()-COLUMN(rw_LoadOrigin)-1))),"")</f>
        <v/>
      </c>
      <c r="N47" s="61" t="str">
        <f aca="false">IFERROR(IF(INDEX(res_Name,(ROW()-ROW(rw_LoadOrigin)-1))="","",INDEX(rw_Cum,(ROW()-ROW(rw_LoadOrigin)-1),(COLUMN()-COLUMN(rw_LoadOrigin)-1)+1)-INDEX(rw_Cum,(ROW()-ROW(rw_LoadOrigin)-1),(COLUMN()-COLUMN(rw_LoadOrigin)-1))),"")</f>
        <v/>
      </c>
      <c r="O47" s="61" t="str">
        <f aca="false">IFERROR(IF(INDEX(res_Name,(ROW()-ROW(rw_LoadOrigin)-1))="","",INDEX(rw_Cum,(ROW()-ROW(rw_LoadOrigin)-1),(COLUMN()-COLUMN(rw_LoadOrigin)-1)+1)-INDEX(rw_Cum,(ROW()-ROW(rw_LoadOrigin)-1),(COLUMN()-COLUMN(rw_LoadOrigin)-1))),"")</f>
        <v/>
      </c>
      <c r="P47" s="61" t="str">
        <f aca="false">IFERROR(IF(INDEX(res_Name,(ROW()-ROW(rw_LoadOrigin)-1))="","",INDEX(rw_Cum,(ROW()-ROW(rw_LoadOrigin)-1),(COLUMN()-COLUMN(rw_LoadOrigin)-1)+1)-INDEX(rw_Cum,(ROW()-ROW(rw_LoadOrigin)-1),(COLUMN()-COLUMN(rw_LoadOrigin)-1))),"")</f>
        <v/>
      </c>
      <c r="Q47" s="61" t="str">
        <f aca="false">IFERROR(IF(INDEX(res_Name,(ROW()-ROW(rw_LoadOrigin)-1))="","",INDEX(rw_Cum,(ROW()-ROW(rw_LoadOrigin)-1),(COLUMN()-COLUMN(rw_LoadOrigin)-1)+1)-INDEX(rw_Cum,(ROW()-ROW(rw_LoadOrigin)-1),(COLUMN()-COLUMN(rw_LoadOrigin)-1))),"")</f>
        <v/>
      </c>
      <c r="R47" s="61" t="str">
        <f aca="false">IFERROR(IF(INDEX(res_Name,(ROW()-ROW(rw_LoadOrigin)-1))="","",INDEX(rw_Cum,(ROW()-ROW(rw_LoadOrigin)-1),(COLUMN()-COLUMN(rw_LoadOrigin)-1)+1)-INDEX(rw_Cum,(ROW()-ROW(rw_LoadOrigin)-1),(COLUMN()-COLUMN(rw_LoadOrigin)-1))),"")</f>
        <v/>
      </c>
      <c r="S47" s="61" t="str">
        <f aca="false">IFERROR(IF(INDEX(res_Name,(ROW()-ROW(rw_LoadOrigin)-1))="","",INDEX(rw_Cum,(ROW()-ROW(rw_LoadOrigin)-1),(COLUMN()-COLUMN(rw_LoadOrigin)-1)+1)-INDEX(rw_Cum,(ROW()-ROW(rw_LoadOrigin)-1),(COLUMN()-COLUMN(rw_LoadOrigin)-1))),"")</f>
        <v/>
      </c>
      <c r="T47" s="61" t="str">
        <f aca="false">IFERROR(IF(INDEX(res_Name,(ROW()-ROW(rw_LoadOrigin)-1))="","",INDEX(rw_Cum,(ROW()-ROW(rw_LoadOrigin)-1),(COLUMN()-COLUMN(rw_LoadOrigin)-1)+1)-INDEX(rw_Cum,(ROW()-ROW(rw_LoadOrigin)-1),(COLUMN()-COLUMN(rw_LoadOrigin)-1))),"")</f>
        <v/>
      </c>
      <c r="U47" s="61" t="str">
        <f aca="false">IFERROR(IF(INDEX(res_Name,(ROW()-ROW(rw_LoadOrigin)-1))="","",INDEX(rw_Cum,(ROW()-ROW(rw_LoadOrigin)-1),(COLUMN()-COLUMN(rw_LoadOrigin)-1)+1)-INDEX(rw_Cum,(ROW()-ROW(rw_LoadOrigin)-1),(COLUMN()-COLUMN(rw_LoadOrigin)-1))),"")</f>
        <v/>
      </c>
      <c r="V47" s="61" t="str">
        <f aca="false">IFERROR(IF(INDEX(res_Name,(ROW()-ROW(rw_LoadOrigin)-1))="","",INDEX(rw_Cum,(ROW()-ROW(rw_LoadOrigin)-1),(COLUMN()-COLUMN(rw_LoadOrigin)-1)+1)-INDEX(rw_Cum,(ROW()-ROW(rw_LoadOrigin)-1),(COLUMN()-COLUMN(rw_LoadOrigin)-1))),"")</f>
        <v/>
      </c>
      <c r="W47" s="61" t="str">
        <f aca="false">IFERROR(IF(INDEX(res_Name,(ROW()-ROW(rw_LoadOrigin)-1))="","",INDEX(rw_Cum,(ROW()-ROW(rw_LoadOrigin)-1),(COLUMN()-COLUMN(rw_LoadOrigin)-1)+1)-INDEX(rw_Cum,(ROW()-ROW(rw_LoadOrigin)-1),(COLUMN()-COLUMN(rw_LoadOrigin)-1))),"")</f>
        <v/>
      </c>
      <c r="X47" s="61" t="str">
        <f aca="false">IFERROR(IF(INDEX(res_Name,(ROW()-ROW(rw_LoadOrigin)-1))="","",INDEX(rw_Cum,(ROW()-ROW(rw_LoadOrigin)-1),(COLUMN()-COLUMN(rw_LoadOrigin)-1)+1)-INDEX(rw_Cum,(ROW()-ROW(rw_LoadOrigin)-1),(COLUMN()-COLUMN(rw_LoadOrigin)-1))),"")</f>
        <v/>
      </c>
      <c r="Y47" s="61" t="str">
        <f aca="false">IFERROR(IF(INDEX(res_Name,(ROW()-ROW(rw_LoadOrigin)-1))="","",INDEX(rw_Cum,(ROW()-ROW(rw_LoadOrigin)-1),(COLUMN()-COLUMN(rw_LoadOrigin)-1)+1)-INDEX(rw_Cum,(ROW()-ROW(rw_LoadOrigin)-1),(COLUMN()-COLUMN(rw_LoadOrigin)-1))),"")</f>
        <v/>
      </c>
      <c r="Z47" s="61" t="str">
        <f aca="false">IFERROR(IF(INDEX(res_Name,(ROW()-ROW(rw_LoadOrigin)-1))="","",INDEX(rw_Cum,(ROW()-ROW(rw_LoadOrigin)-1),(COLUMN()-COLUMN(rw_LoadOrigin)-1)+1)-INDEX(rw_Cum,(ROW()-ROW(rw_LoadOrigin)-1),(COLUMN()-COLUMN(rw_LoadOrigin)-1))),"")</f>
        <v/>
      </c>
      <c r="AA47" s="61" t="str">
        <f aca="false">IFERROR(IF(INDEX(res_Name,(ROW()-ROW(rw_LoadOrigin)-1))="","",INDEX(rw_Cum,(ROW()-ROW(rw_LoadOrigin)-1),(COLUMN()-COLUMN(rw_LoadOrigin)-1)+1)-INDEX(rw_Cum,(ROW()-ROW(rw_LoadOrigin)-1),(COLUMN()-COLUMN(rw_LoadOrigin)-1))),"")</f>
        <v/>
      </c>
      <c r="AB47" s="61" t="str">
        <f aca="false">IFERROR(IF(INDEX(res_Name,(ROW()-ROW(rw_LoadOrigin)-1))="","",INDEX(rw_Cum,(ROW()-ROW(rw_LoadOrigin)-1),(COLUMN()-COLUMN(rw_LoadOrigin)-1)+1)-INDEX(rw_Cum,(ROW()-ROW(rw_LoadOrigin)-1),(COLUMN()-COLUMN(rw_LoadOrigin)-1))),"")</f>
        <v/>
      </c>
      <c r="AC47" s="61"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31" t="str">
        <f aca="false">IFERROR(INDEX(res_Name,(ROW()-ROW(rw_LoadOrigin)-1))&amp;"","")</f>
        <v/>
      </c>
      <c r="C48" s="60" t="str">
        <f aca="false">IFERROR(IF(INDEX(res_Name,(ROW()-ROW(rw_LoadOrigin)-1))="","",INDEX(res_MaxUnits,(ROW()-ROW(rw_LoadOrigin)-1))),"")</f>
        <v/>
      </c>
      <c r="D48" s="61" t="str">
        <f aca="false">IFERROR(IF(INDEX(res_Name,(ROW()-ROW(rw_LoadOrigin)-1))="","",INDEX(rw_Cum,(ROW()-ROW(rw_LoadOrigin)-1),(COLUMN()-COLUMN(rw_LoadOrigin)-1)+1)-INDEX(rw_Cum,(ROW()-ROW(rw_LoadOrigin)-1),(COLUMN()-COLUMN(rw_LoadOrigin)-1))),"")</f>
        <v/>
      </c>
      <c r="E48" s="61" t="str">
        <f aca="false">IFERROR(IF(INDEX(res_Name,(ROW()-ROW(rw_LoadOrigin)-1))="","",INDEX(rw_Cum,(ROW()-ROW(rw_LoadOrigin)-1),(COLUMN()-COLUMN(rw_LoadOrigin)-1)+1)-INDEX(rw_Cum,(ROW()-ROW(rw_LoadOrigin)-1),(COLUMN()-COLUMN(rw_LoadOrigin)-1))),"")</f>
        <v/>
      </c>
      <c r="F48" s="61" t="str">
        <f aca="false">IFERROR(IF(INDEX(res_Name,(ROW()-ROW(rw_LoadOrigin)-1))="","",INDEX(rw_Cum,(ROW()-ROW(rw_LoadOrigin)-1),(COLUMN()-COLUMN(rw_LoadOrigin)-1)+1)-INDEX(rw_Cum,(ROW()-ROW(rw_LoadOrigin)-1),(COLUMN()-COLUMN(rw_LoadOrigin)-1))),"")</f>
        <v/>
      </c>
      <c r="G48" s="61" t="str">
        <f aca="false">IFERROR(IF(INDEX(res_Name,(ROW()-ROW(rw_LoadOrigin)-1))="","",INDEX(rw_Cum,(ROW()-ROW(rw_LoadOrigin)-1),(COLUMN()-COLUMN(rw_LoadOrigin)-1)+1)-INDEX(rw_Cum,(ROW()-ROW(rw_LoadOrigin)-1),(COLUMN()-COLUMN(rw_LoadOrigin)-1))),"")</f>
        <v/>
      </c>
      <c r="H48" s="61" t="str">
        <f aca="false">IFERROR(IF(INDEX(res_Name,(ROW()-ROW(rw_LoadOrigin)-1))="","",INDEX(rw_Cum,(ROW()-ROW(rw_LoadOrigin)-1),(COLUMN()-COLUMN(rw_LoadOrigin)-1)+1)-INDEX(rw_Cum,(ROW()-ROW(rw_LoadOrigin)-1),(COLUMN()-COLUMN(rw_LoadOrigin)-1))),"")</f>
        <v/>
      </c>
      <c r="I48" s="61" t="str">
        <f aca="false">IFERROR(IF(INDEX(res_Name,(ROW()-ROW(rw_LoadOrigin)-1))="","",INDEX(rw_Cum,(ROW()-ROW(rw_LoadOrigin)-1),(COLUMN()-COLUMN(rw_LoadOrigin)-1)+1)-INDEX(rw_Cum,(ROW()-ROW(rw_LoadOrigin)-1),(COLUMN()-COLUMN(rw_LoadOrigin)-1))),"")</f>
        <v/>
      </c>
      <c r="J48" s="61" t="str">
        <f aca="false">IFERROR(IF(INDEX(res_Name,(ROW()-ROW(rw_LoadOrigin)-1))="","",INDEX(rw_Cum,(ROW()-ROW(rw_LoadOrigin)-1),(COLUMN()-COLUMN(rw_LoadOrigin)-1)+1)-INDEX(rw_Cum,(ROW()-ROW(rw_LoadOrigin)-1),(COLUMN()-COLUMN(rw_LoadOrigin)-1))),"")</f>
        <v/>
      </c>
      <c r="K48" s="61" t="str">
        <f aca="false">IFERROR(IF(INDEX(res_Name,(ROW()-ROW(rw_LoadOrigin)-1))="","",INDEX(rw_Cum,(ROW()-ROW(rw_LoadOrigin)-1),(COLUMN()-COLUMN(rw_LoadOrigin)-1)+1)-INDEX(rw_Cum,(ROW()-ROW(rw_LoadOrigin)-1),(COLUMN()-COLUMN(rw_LoadOrigin)-1))),"")</f>
        <v/>
      </c>
      <c r="L48" s="61" t="str">
        <f aca="false">IFERROR(IF(INDEX(res_Name,(ROW()-ROW(rw_LoadOrigin)-1))="","",INDEX(rw_Cum,(ROW()-ROW(rw_LoadOrigin)-1),(COLUMN()-COLUMN(rw_LoadOrigin)-1)+1)-INDEX(rw_Cum,(ROW()-ROW(rw_LoadOrigin)-1),(COLUMN()-COLUMN(rw_LoadOrigin)-1))),"")</f>
        <v/>
      </c>
      <c r="M48" s="61" t="str">
        <f aca="false">IFERROR(IF(INDEX(res_Name,(ROW()-ROW(rw_LoadOrigin)-1))="","",INDEX(rw_Cum,(ROW()-ROW(rw_LoadOrigin)-1),(COLUMN()-COLUMN(rw_LoadOrigin)-1)+1)-INDEX(rw_Cum,(ROW()-ROW(rw_LoadOrigin)-1),(COLUMN()-COLUMN(rw_LoadOrigin)-1))),"")</f>
        <v/>
      </c>
      <c r="N48" s="61" t="str">
        <f aca="false">IFERROR(IF(INDEX(res_Name,(ROW()-ROW(rw_LoadOrigin)-1))="","",INDEX(rw_Cum,(ROW()-ROW(rw_LoadOrigin)-1),(COLUMN()-COLUMN(rw_LoadOrigin)-1)+1)-INDEX(rw_Cum,(ROW()-ROW(rw_LoadOrigin)-1),(COLUMN()-COLUMN(rw_LoadOrigin)-1))),"")</f>
        <v/>
      </c>
      <c r="O48" s="61" t="str">
        <f aca="false">IFERROR(IF(INDEX(res_Name,(ROW()-ROW(rw_LoadOrigin)-1))="","",INDEX(rw_Cum,(ROW()-ROW(rw_LoadOrigin)-1),(COLUMN()-COLUMN(rw_LoadOrigin)-1)+1)-INDEX(rw_Cum,(ROW()-ROW(rw_LoadOrigin)-1),(COLUMN()-COLUMN(rw_LoadOrigin)-1))),"")</f>
        <v/>
      </c>
      <c r="P48" s="61" t="str">
        <f aca="false">IFERROR(IF(INDEX(res_Name,(ROW()-ROW(rw_LoadOrigin)-1))="","",INDEX(rw_Cum,(ROW()-ROW(rw_LoadOrigin)-1),(COLUMN()-COLUMN(rw_LoadOrigin)-1)+1)-INDEX(rw_Cum,(ROW()-ROW(rw_LoadOrigin)-1),(COLUMN()-COLUMN(rw_LoadOrigin)-1))),"")</f>
        <v/>
      </c>
      <c r="Q48" s="61" t="str">
        <f aca="false">IFERROR(IF(INDEX(res_Name,(ROW()-ROW(rw_LoadOrigin)-1))="","",INDEX(rw_Cum,(ROW()-ROW(rw_LoadOrigin)-1),(COLUMN()-COLUMN(rw_LoadOrigin)-1)+1)-INDEX(rw_Cum,(ROW()-ROW(rw_LoadOrigin)-1),(COLUMN()-COLUMN(rw_LoadOrigin)-1))),"")</f>
        <v/>
      </c>
      <c r="R48" s="61" t="str">
        <f aca="false">IFERROR(IF(INDEX(res_Name,(ROW()-ROW(rw_LoadOrigin)-1))="","",INDEX(rw_Cum,(ROW()-ROW(rw_LoadOrigin)-1),(COLUMN()-COLUMN(rw_LoadOrigin)-1)+1)-INDEX(rw_Cum,(ROW()-ROW(rw_LoadOrigin)-1),(COLUMN()-COLUMN(rw_LoadOrigin)-1))),"")</f>
        <v/>
      </c>
      <c r="S48" s="61" t="str">
        <f aca="false">IFERROR(IF(INDEX(res_Name,(ROW()-ROW(rw_LoadOrigin)-1))="","",INDEX(rw_Cum,(ROW()-ROW(rw_LoadOrigin)-1),(COLUMN()-COLUMN(rw_LoadOrigin)-1)+1)-INDEX(rw_Cum,(ROW()-ROW(rw_LoadOrigin)-1),(COLUMN()-COLUMN(rw_LoadOrigin)-1))),"")</f>
        <v/>
      </c>
      <c r="T48" s="61" t="str">
        <f aca="false">IFERROR(IF(INDEX(res_Name,(ROW()-ROW(rw_LoadOrigin)-1))="","",INDEX(rw_Cum,(ROW()-ROW(rw_LoadOrigin)-1),(COLUMN()-COLUMN(rw_LoadOrigin)-1)+1)-INDEX(rw_Cum,(ROW()-ROW(rw_LoadOrigin)-1),(COLUMN()-COLUMN(rw_LoadOrigin)-1))),"")</f>
        <v/>
      </c>
      <c r="U48" s="61" t="str">
        <f aca="false">IFERROR(IF(INDEX(res_Name,(ROW()-ROW(rw_LoadOrigin)-1))="","",INDEX(rw_Cum,(ROW()-ROW(rw_LoadOrigin)-1),(COLUMN()-COLUMN(rw_LoadOrigin)-1)+1)-INDEX(rw_Cum,(ROW()-ROW(rw_LoadOrigin)-1),(COLUMN()-COLUMN(rw_LoadOrigin)-1))),"")</f>
        <v/>
      </c>
      <c r="V48" s="61" t="str">
        <f aca="false">IFERROR(IF(INDEX(res_Name,(ROW()-ROW(rw_LoadOrigin)-1))="","",INDEX(rw_Cum,(ROW()-ROW(rw_LoadOrigin)-1),(COLUMN()-COLUMN(rw_LoadOrigin)-1)+1)-INDEX(rw_Cum,(ROW()-ROW(rw_LoadOrigin)-1),(COLUMN()-COLUMN(rw_LoadOrigin)-1))),"")</f>
        <v/>
      </c>
      <c r="W48" s="61" t="str">
        <f aca="false">IFERROR(IF(INDEX(res_Name,(ROW()-ROW(rw_LoadOrigin)-1))="","",INDEX(rw_Cum,(ROW()-ROW(rw_LoadOrigin)-1),(COLUMN()-COLUMN(rw_LoadOrigin)-1)+1)-INDEX(rw_Cum,(ROW()-ROW(rw_LoadOrigin)-1),(COLUMN()-COLUMN(rw_LoadOrigin)-1))),"")</f>
        <v/>
      </c>
      <c r="X48" s="61" t="str">
        <f aca="false">IFERROR(IF(INDEX(res_Name,(ROW()-ROW(rw_LoadOrigin)-1))="","",INDEX(rw_Cum,(ROW()-ROW(rw_LoadOrigin)-1),(COLUMN()-COLUMN(rw_LoadOrigin)-1)+1)-INDEX(rw_Cum,(ROW()-ROW(rw_LoadOrigin)-1),(COLUMN()-COLUMN(rw_LoadOrigin)-1))),"")</f>
        <v/>
      </c>
      <c r="Y48" s="61" t="str">
        <f aca="false">IFERROR(IF(INDEX(res_Name,(ROW()-ROW(rw_LoadOrigin)-1))="","",INDEX(rw_Cum,(ROW()-ROW(rw_LoadOrigin)-1),(COLUMN()-COLUMN(rw_LoadOrigin)-1)+1)-INDEX(rw_Cum,(ROW()-ROW(rw_LoadOrigin)-1),(COLUMN()-COLUMN(rw_LoadOrigin)-1))),"")</f>
        <v/>
      </c>
      <c r="Z48" s="61" t="str">
        <f aca="false">IFERROR(IF(INDEX(res_Name,(ROW()-ROW(rw_LoadOrigin)-1))="","",INDEX(rw_Cum,(ROW()-ROW(rw_LoadOrigin)-1),(COLUMN()-COLUMN(rw_LoadOrigin)-1)+1)-INDEX(rw_Cum,(ROW()-ROW(rw_LoadOrigin)-1),(COLUMN()-COLUMN(rw_LoadOrigin)-1))),"")</f>
        <v/>
      </c>
      <c r="AA48" s="61" t="str">
        <f aca="false">IFERROR(IF(INDEX(res_Name,(ROW()-ROW(rw_LoadOrigin)-1))="","",INDEX(rw_Cum,(ROW()-ROW(rw_LoadOrigin)-1),(COLUMN()-COLUMN(rw_LoadOrigin)-1)+1)-INDEX(rw_Cum,(ROW()-ROW(rw_LoadOrigin)-1),(COLUMN()-COLUMN(rw_LoadOrigin)-1))),"")</f>
        <v/>
      </c>
      <c r="AB48" s="61" t="str">
        <f aca="false">IFERROR(IF(INDEX(res_Name,(ROW()-ROW(rw_LoadOrigin)-1))="","",INDEX(rw_Cum,(ROW()-ROW(rw_LoadOrigin)-1),(COLUMN()-COLUMN(rw_LoadOrigin)-1)+1)-INDEX(rw_Cum,(ROW()-ROW(rw_LoadOrigin)-1),(COLUMN()-COLUMN(rw_LoadOrigin)-1))),"")</f>
        <v/>
      </c>
      <c r="AC48" s="61"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31" t="str">
        <f aca="false">IFERROR(INDEX(res_Name,(ROW()-ROW(rw_LoadOrigin)-1))&amp;"","")</f>
        <v/>
      </c>
      <c r="C49" s="60" t="str">
        <f aca="false">IFERROR(IF(INDEX(res_Name,(ROW()-ROW(rw_LoadOrigin)-1))="","",INDEX(res_MaxUnits,(ROW()-ROW(rw_LoadOrigin)-1))),"")</f>
        <v/>
      </c>
      <c r="D49" s="61" t="str">
        <f aca="false">IFERROR(IF(INDEX(res_Name,(ROW()-ROW(rw_LoadOrigin)-1))="","",INDEX(rw_Cum,(ROW()-ROW(rw_LoadOrigin)-1),(COLUMN()-COLUMN(rw_LoadOrigin)-1)+1)-INDEX(rw_Cum,(ROW()-ROW(rw_LoadOrigin)-1),(COLUMN()-COLUMN(rw_LoadOrigin)-1))),"")</f>
        <v/>
      </c>
      <c r="E49" s="61" t="str">
        <f aca="false">IFERROR(IF(INDEX(res_Name,(ROW()-ROW(rw_LoadOrigin)-1))="","",INDEX(rw_Cum,(ROW()-ROW(rw_LoadOrigin)-1),(COLUMN()-COLUMN(rw_LoadOrigin)-1)+1)-INDEX(rw_Cum,(ROW()-ROW(rw_LoadOrigin)-1),(COLUMN()-COLUMN(rw_LoadOrigin)-1))),"")</f>
        <v/>
      </c>
      <c r="F49" s="61" t="str">
        <f aca="false">IFERROR(IF(INDEX(res_Name,(ROW()-ROW(rw_LoadOrigin)-1))="","",INDEX(rw_Cum,(ROW()-ROW(rw_LoadOrigin)-1),(COLUMN()-COLUMN(rw_LoadOrigin)-1)+1)-INDEX(rw_Cum,(ROW()-ROW(rw_LoadOrigin)-1),(COLUMN()-COLUMN(rw_LoadOrigin)-1))),"")</f>
        <v/>
      </c>
      <c r="G49" s="61" t="str">
        <f aca="false">IFERROR(IF(INDEX(res_Name,(ROW()-ROW(rw_LoadOrigin)-1))="","",INDEX(rw_Cum,(ROW()-ROW(rw_LoadOrigin)-1),(COLUMN()-COLUMN(rw_LoadOrigin)-1)+1)-INDEX(rw_Cum,(ROW()-ROW(rw_LoadOrigin)-1),(COLUMN()-COLUMN(rw_LoadOrigin)-1))),"")</f>
        <v/>
      </c>
      <c r="H49" s="61" t="str">
        <f aca="false">IFERROR(IF(INDEX(res_Name,(ROW()-ROW(rw_LoadOrigin)-1))="","",INDEX(rw_Cum,(ROW()-ROW(rw_LoadOrigin)-1),(COLUMN()-COLUMN(rw_LoadOrigin)-1)+1)-INDEX(rw_Cum,(ROW()-ROW(rw_LoadOrigin)-1),(COLUMN()-COLUMN(rw_LoadOrigin)-1))),"")</f>
        <v/>
      </c>
      <c r="I49" s="61" t="str">
        <f aca="false">IFERROR(IF(INDEX(res_Name,(ROW()-ROW(rw_LoadOrigin)-1))="","",INDEX(rw_Cum,(ROW()-ROW(rw_LoadOrigin)-1),(COLUMN()-COLUMN(rw_LoadOrigin)-1)+1)-INDEX(rw_Cum,(ROW()-ROW(rw_LoadOrigin)-1),(COLUMN()-COLUMN(rw_LoadOrigin)-1))),"")</f>
        <v/>
      </c>
      <c r="J49" s="61" t="str">
        <f aca="false">IFERROR(IF(INDEX(res_Name,(ROW()-ROW(rw_LoadOrigin)-1))="","",INDEX(rw_Cum,(ROW()-ROW(rw_LoadOrigin)-1),(COLUMN()-COLUMN(rw_LoadOrigin)-1)+1)-INDEX(rw_Cum,(ROW()-ROW(rw_LoadOrigin)-1),(COLUMN()-COLUMN(rw_LoadOrigin)-1))),"")</f>
        <v/>
      </c>
      <c r="K49" s="61" t="str">
        <f aca="false">IFERROR(IF(INDEX(res_Name,(ROW()-ROW(rw_LoadOrigin)-1))="","",INDEX(rw_Cum,(ROW()-ROW(rw_LoadOrigin)-1),(COLUMN()-COLUMN(rw_LoadOrigin)-1)+1)-INDEX(rw_Cum,(ROW()-ROW(rw_LoadOrigin)-1),(COLUMN()-COLUMN(rw_LoadOrigin)-1))),"")</f>
        <v/>
      </c>
      <c r="L49" s="61" t="str">
        <f aca="false">IFERROR(IF(INDEX(res_Name,(ROW()-ROW(rw_LoadOrigin)-1))="","",INDEX(rw_Cum,(ROW()-ROW(rw_LoadOrigin)-1),(COLUMN()-COLUMN(rw_LoadOrigin)-1)+1)-INDEX(rw_Cum,(ROW()-ROW(rw_LoadOrigin)-1),(COLUMN()-COLUMN(rw_LoadOrigin)-1))),"")</f>
        <v/>
      </c>
      <c r="M49" s="61" t="str">
        <f aca="false">IFERROR(IF(INDEX(res_Name,(ROW()-ROW(rw_LoadOrigin)-1))="","",INDEX(rw_Cum,(ROW()-ROW(rw_LoadOrigin)-1),(COLUMN()-COLUMN(rw_LoadOrigin)-1)+1)-INDEX(rw_Cum,(ROW()-ROW(rw_LoadOrigin)-1),(COLUMN()-COLUMN(rw_LoadOrigin)-1))),"")</f>
        <v/>
      </c>
      <c r="N49" s="61" t="str">
        <f aca="false">IFERROR(IF(INDEX(res_Name,(ROW()-ROW(rw_LoadOrigin)-1))="","",INDEX(rw_Cum,(ROW()-ROW(rw_LoadOrigin)-1),(COLUMN()-COLUMN(rw_LoadOrigin)-1)+1)-INDEX(rw_Cum,(ROW()-ROW(rw_LoadOrigin)-1),(COLUMN()-COLUMN(rw_LoadOrigin)-1))),"")</f>
        <v/>
      </c>
      <c r="O49" s="61" t="str">
        <f aca="false">IFERROR(IF(INDEX(res_Name,(ROW()-ROW(rw_LoadOrigin)-1))="","",INDEX(rw_Cum,(ROW()-ROW(rw_LoadOrigin)-1),(COLUMN()-COLUMN(rw_LoadOrigin)-1)+1)-INDEX(rw_Cum,(ROW()-ROW(rw_LoadOrigin)-1),(COLUMN()-COLUMN(rw_LoadOrigin)-1))),"")</f>
        <v/>
      </c>
      <c r="P49" s="61" t="str">
        <f aca="false">IFERROR(IF(INDEX(res_Name,(ROW()-ROW(rw_LoadOrigin)-1))="","",INDEX(rw_Cum,(ROW()-ROW(rw_LoadOrigin)-1),(COLUMN()-COLUMN(rw_LoadOrigin)-1)+1)-INDEX(rw_Cum,(ROW()-ROW(rw_LoadOrigin)-1),(COLUMN()-COLUMN(rw_LoadOrigin)-1))),"")</f>
        <v/>
      </c>
      <c r="Q49" s="61" t="str">
        <f aca="false">IFERROR(IF(INDEX(res_Name,(ROW()-ROW(rw_LoadOrigin)-1))="","",INDEX(rw_Cum,(ROW()-ROW(rw_LoadOrigin)-1),(COLUMN()-COLUMN(rw_LoadOrigin)-1)+1)-INDEX(rw_Cum,(ROW()-ROW(rw_LoadOrigin)-1),(COLUMN()-COLUMN(rw_LoadOrigin)-1))),"")</f>
        <v/>
      </c>
      <c r="R49" s="61" t="str">
        <f aca="false">IFERROR(IF(INDEX(res_Name,(ROW()-ROW(rw_LoadOrigin)-1))="","",INDEX(rw_Cum,(ROW()-ROW(rw_LoadOrigin)-1),(COLUMN()-COLUMN(rw_LoadOrigin)-1)+1)-INDEX(rw_Cum,(ROW()-ROW(rw_LoadOrigin)-1),(COLUMN()-COLUMN(rw_LoadOrigin)-1))),"")</f>
        <v/>
      </c>
      <c r="S49" s="61" t="str">
        <f aca="false">IFERROR(IF(INDEX(res_Name,(ROW()-ROW(rw_LoadOrigin)-1))="","",INDEX(rw_Cum,(ROW()-ROW(rw_LoadOrigin)-1),(COLUMN()-COLUMN(rw_LoadOrigin)-1)+1)-INDEX(rw_Cum,(ROW()-ROW(rw_LoadOrigin)-1),(COLUMN()-COLUMN(rw_LoadOrigin)-1))),"")</f>
        <v/>
      </c>
      <c r="T49" s="61" t="str">
        <f aca="false">IFERROR(IF(INDEX(res_Name,(ROW()-ROW(rw_LoadOrigin)-1))="","",INDEX(rw_Cum,(ROW()-ROW(rw_LoadOrigin)-1),(COLUMN()-COLUMN(rw_LoadOrigin)-1)+1)-INDEX(rw_Cum,(ROW()-ROW(rw_LoadOrigin)-1),(COLUMN()-COLUMN(rw_LoadOrigin)-1))),"")</f>
        <v/>
      </c>
      <c r="U49" s="61" t="str">
        <f aca="false">IFERROR(IF(INDEX(res_Name,(ROW()-ROW(rw_LoadOrigin)-1))="","",INDEX(rw_Cum,(ROW()-ROW(rw_LoadOrigin)-1),(COLUMN()-COLUMN(rw_LoadOrigin)-1)+1)-INDEX(rw_Cum,(ROW()-ROW(rw_LoadOrigin)-1),(COLUMN()-COLUMN(rw_LoadOrigin)-1))),"")</f>
        <v/>
      </c>
      <c r="V49" s="61" t="str">
        <f aca="false">IFERROR(IF(INDEX(res_Name,(ROW()-ROW(rw_LoadOrigin)-1))="","",INDEX(rw_Cum,(ROW()-ROW(rw_LoadOrigin)-1),(COLUMN()-COLUMN(rw_LoadOrigin)-1)+1)-INDEX(rw_Cum,(ROW()-ROW(rw_LoadOrigin)-1),(COLUMN()-COLUMN(rw_LoadOrigin)-1))),"")</f>
        <v/>
      </c>
      <c r="W49" s="61" t="str">
        <f aca="false">IFERROR(IF(INDEX(res_Name,(ROW()-ROW(rw_LoadOrigin)-1))="","",INDEX(rw_Cum,(ROW()-ROW(rw_LoadOrigin)-1),(COLUMN()-COLUMN(rw_LoadOrigin)-1)+1)-INDEX(rw_Cum,(ROW()-ROW(rw_LoadOrigin)-1),(COLUMN()-COLUMN(rw_LoadOrigin)-1))),"")</f>
        <v/>
      </c>
      <c r="X49" s="61" t="str">
        <f aca="false">IFERROR(IF(INDEX(res_Name,(ROW()-ROW(rw_LoadOrigin)-1))="","",INDEX(rw_Cum,(ROW()-ROW(rw_LoadOrigin)-1),(COLUMN()-COLUMN(rw_LoadOrigin)-1)+1)-INDEX(rw_Cum,(ROW()-ROW(rw_LoadOrigin)-1),(COLUMN()-COLUMN(rw_LoadOrigin)-1))),"")</f>
        <v/>
      </c>
      <c r="Y49" s="61" t="str">
        <f aca="false">IFERROR(IF(INDEX(res_Name,(ROW()-ROW(rw_LoadOrigin)-1))="","",INDEX(rw_Cum,(ROW()-ROW(rw_LoadOrigin)-1),(COLUMN()-COLUMN(rw_LoadOrigin)-1)+1)-INDEX(rw_Cum,(ROW()-ROW(rw_LoadOrigin)-1),(COLUMN()-COLUMN(rw_LoadOrigin)-1))),"")</f>
        <v/>
      </c>
      <c r="Z49" s="61" t="str">
        <f aca="false">IFERROR(IF(INDEX(res_Name,(ROW()-ROW(rw_LoadOrigin)-1))="","",INDEX(rw_Cum,(ROW()-ROW(rw_LoadOrigin)-1),(COLUMN()-COLUMN(rw_LoadOrigin)-1)+1)-INDEX(rw_Cum,(ROW()-ROW(rw_LoadOrigin)-1),(COLUMN()-COLUMN(rw_LoadOrigin)-1))),"")</f>
        <v/>
      </c>
      <c r="AA49" s="61" t="str">
        <f aca="false">IFERROR(IF(INDEX(res_Name,(ROW()-ROW(rw_LoadOrigin)-1))="","",INDEX(rw_Cum,(ROW()-ROW(rw_LoadOrigin)-1),(COLUMN()-COLUMN(rw_LoadOrigin)-1)+1)-INDEX(rw_Cum,(ROW()-ROW(rw_LoadOrigin)-1),(COLUMN()-COLUMN(rw_LoadOrigin)-1))),"")</f>
        <v/>
      </c>
      <c r="AB49" s="61" t="str">
        <f aca="false">IFERROR(IF(INDEX(res_Name,(ROW()-ROW(rw_LoadOrigin)-1))="","",INDEX(rw_Cum,(ROW()-ROW(rw_LoadOrigin)-1),(COLUMN()-COLUMN(rw_LoadOrigin)-1)+1)-INDEX(rw_Cum,(ROW()-ROW(rw_LoadOrigin)-1),(COLUMN()-COLUMN(rw_LoadOrigin)-1))),"")</f>
        <v/>
      </c>
      <c r="AC49" s="61"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31" t="str">
        <f aca="false">IFERROR(INDEX(res_Name,(ROW()-ROW(rw_LoadOrigin)-1))&amp;"","")</f>
        <v/>
      </c>
      <c r="C50" s="60" t="str">
        <f aca="false">IFERROR(IF(INDEX(res_Name,(ROW()-ROW(rw_LoadOrigin)-1))="","",INDEX(res_MaxUnits,(ROW()-ROW(rw_LoadOrigin)-1))),"")</f>
        <v/>
      </c>
      <c r="D50" s="61" t="str">
        <f aca="false">IFERROR(IF(INDEX(res_Name,(ROW()-ROW(rw_LoadOrigin)-1))="","",INDEX(rw_Cum,(ROW()-ROW(rw_LoadOrigin)-1),(COLUMN()-COLUMN(rw_LoadOrigin)-1)+1)-INDEX(rw_Cum,(ROW()-ROW(rw_LoadOrigin)-1),(COLUMN()-COLUMN(rw_LoadOrigin)-1))),"")</f>
        <v/>
      </c>
      <c r="E50" s="61" t="str">
        <f aca="false">IFERROR(IF(INDEX(res_Name,(ROW()-ROW(rw_LoadOrigin)-1))="","",INDEX(rw_Cum,(ROW()-ROW(rw_LoadOrigin)-1),(COLUMN()-COLUMN(rw_LoadOrigin)-1)+1)-INDEX(rw_Cum,(ROW()-ROW(rw_LoadOrigin)-1),(COLUMN()-COLUMN(rw_LoadOrigin)-1))),"")</f>
        <v/>
      </c>
      <c r="F50" s="61" t="str">
        <f aca="false">IFERROR(IF(INDEX(res_Name,(ROW()-ROW(rw_LoadOrigin)-1))="","",INDEX(rw_Cum,(ROW()-ROW(rw_LoadOrigin)-1),(COLUMN()-COLUMN(rw_LoadOrigin)-1)+1)-INDEX(rw_Cum,(ROW()-ROW(rw_LoadOrigin)-1),(COLUMN()-COLUMN(rw_LoadOrigin)-1))),"")</f>
        <v/>
      </c>
      <c r="G50" s="61" t="str">
        <f aca="false">IFERROR(IF(INDEX(res_Name,(ROW()-ROW(rw_LoadOrigin)-1))="","",INDEX(rw_Cum,(ROW()-ROW(rw_LoadOrigin)-1),(COLUMN()-COLUMN(rw_LoadOrigin)-1)+1)-INDEX(rw_Cum,(ROW()-ROW(rw_LoadOrigin)-1),(COLUMN()-COLUMN(rw_LoadOrigin)-1))),"")</f>
        <v/>
      </c>
      <c r="H50" s="61" t="str">
        <f aca="false">IFERROR(IF(INDEX(res_Name,(ROW()-ROW(rw_LoadOrigin)-1))="","",INDEX(rw_Cum,(ROW()-ROW(rw_LoadOrigin)-1),(COLUMN()-COLUMN(rw_LoadOrigin)-1)+1)-INDEX(rw_Cum,(ROW()-ROW(rw_LoadOrigin)-1),(COLUMN()-COLUMN(rw_LoadOrigin)-1))),"")</f>
        <v/>
      </c>
      <c r="I50" s="61" t="str">
        <f aca="false">IFERROR(IF(INDEX(res_Name,(ROW()-ROW(rw_LoadOrigin)-1))="","",INDEX(rw_Cum,(ROW()-ROW(rw_LoadOrigin)-1),(COLUMN()-COLUMN(rw_LoadOrigin)-1)+1)-INDEX(rw_Cum,(ROW()-ROW(rw_LoadOrigin)-1),(COLUMN()-COLUMN(rw_LoadOrigin)-1))),"")</f>
        <v/>
      </c>
      <c r="J50" s="61" t="str">
        <f aca="false">IFERROR(IF(INDEX(res_Name,(ROW()-ROW(rw_LoadOrigin)-1))="","",INDEX(rw_Cum,(ROW()-ROW(rw_LoadOrigin)-1),(COLUMN()-COLUMN(rw_LoadOrigin)-1)+1)-INDEX(rw_Cum,(ROW()-ROW(rw_LoadOrigin)-1),(COLUMN()-COLUMN(rw_LoadOrigin)-1))),"")</f>
        <v/>
      </c>
      <c r="K50" s="61" t="str">
        <f aca="false">IFERROR(IF(INDEX(res_Name,(ROW()-ROW(rw_LoadOrigin)-1))="","",INDEX(rw_Cum,(ROW()-ROW(rw_LoadOrigin)-1),(COLUMN()-COLUMN(rw_LoadOrigin)-1)+1)-INDEX(rw_Cum,(ROW()-ROW(rw_LoadOrigin)-1),(COLUMN()-COLUMN(rw_LoadOrigin)-1))),"")</f>
        <v/>
      </c>
      <c r="L50" s="61" t="str">
        <f aca="false">IFERROR(IF(INDEX(res_Name,(ROW()-ROW(rw_LoadOrigin)-1))="","",INDEX(rw_Cum,(ROW()-ROW(rw_LoadOrigin)-1),(COLUMN()-COLUMN(rw_LoadOrigin)-1)+1)-INDEX(rw_Cum,(ROW()-ROW(rw_LoadOrigin)-1),(COLUMN()-COLUMN(rw_LoadOrigin)-1))),"")</f>
        <v/>
      </c>
      <c r="M50" s="61" t="str">
        <f aca="false">IFERROR(IF(INDEX(res_Name,(ROW()-ROW(rw_LoadOrigin)-1))="","",INDEX(rw_Cum,(ROW()-ROW(rw_LoadOrigin)-1),(COLUMN()-COLUMN(rw_LoadOrigin)-1)+1)-INDEX(rw_Cum,(ROW()-ROW(rw_LoadOrigin)-1),(COLUMN()-COLUMN(rw_LoadOrigin)-1))),"")</f>
        <v/>
      </c>
      <c r="N50" s="61" t="str">
        <f aca="false">IFERROR(IF(INDEX(res_Name,(ROW()-ROW(rw_LoadOrigin)-1))="","",INDEX(rw_Cum,(ROW()-ROW(rw_LoadOrigin)-1),(COLUMN()-COLUMN(rw_LoadOrigin)-1)+1)-INDEX(rw_Cum,(ROW()-ROW(rw_LoadOrigin)-1),(COLUMN()-COLUMN(rw_LoadOrigin)-1))),"")</f>
        <v/>
      </c>
      <c r="O50" s="61" t="str">
        <f aca="false">IFERROR(IF(INDEX(res_Name,(ROW()-ROW(rw_LoadOrigin)-1))="","",INDEX(rw_Cum,(ROW()-ROW(rw_LoadOrigin)-1),(COLUMN()-COLUMN(rw_LoadOrigin)-1)+1)-INDEX(rw_Cum,(ROW()-ROW(rw_LoadOrigin)-1),(COLUMN()-COLUMN(rw_LoadOrigin)-1))),"")</f>
        <v/>
      </c>
      <c r="P50" s="61" t="str">
        <f aca="false">IFERROR(IF(INDEX(res_Name,(ROW()-ROW(rw_LoadOrigin)-1))="","",INDEX(rw_Cum,(ROW()-ROW(rw_LoadOrigin)-1),(COLUMN()-COLUMN(rw_LoadOrigin)-1)+1)-INDEX(rw_Cum,(ROW()-ROW(rw_LoadOrigin)-1),(COLUMN()-COLUMN(rw_LoadOrigin)-1))),"")</f>
        <v/>
      </c>
      <c r="Q50" s="61" t="str">
        <f aca="false">IFERROR(IF(INDEX(res_Name,(ROW()-ROW(rw_LoadOrigin)-1))="","",INDEX(rw_Cum,(ROW()-ROW(rw_LoadOrigin)-1),(COLUMN()-COLUMN(rw_LoadOrigin)-1)+1)-INDEX(rw_Cum,(ROW()-ROW(rw_LoadOrigin)-1),(COLUMN()-COLUMN(rw_LoadOrigin)-1))),"")</f>
        <v/>
      </c>
      <c r="R50" s="61" t="str">
        <f aca="false">IFERROR(IF(INDEX(res_Name,(ROW()-ROW(rw_LoadOrigin)-1))="","",INDEX(rw_Cum,(ROW()-ROW(rw_LoadOrigin)-1),(COLUMN()-COLUMN(rw_LoadOrigin)-1)+1)-INDEX(rw_Cum,(ROW()-ROW(rw_LoadOrigin)-1),(COLUMN()-COLUMN(rw_LoadOrigin)-1))),"")</f>
        <v/>
      </c>
      <c r="S50" s="61" t="str">
        <f aca="false">IFERROR(IF(INDEX(res_Name,(ROW()-ROW(rw_LoadOrigin)-1))="","",INDEX(rw_Cum,(ROW()-ROW(rw_LoadOrigin)-1),(COLUMN()-COLUMN(rw_LoadOrigin)-1)+1)-INDEX(rw_Cum,(ROW()-ROW(rw_LoadOrigin)-1),(COLUMN()-COLUMN(rw_LoadOrigin)-1))),"")</f>
        <v/>
      </c>
      <c r="T50" s="61" t="str">
        <f aca="false">IFERROR(IF(INDEX(res_Name,(ROW()-ROW(rw_LoadOrigin)-1))="","",INDEX(rw_Cum,(ROW()-ROW(rw_LoadOrigin)-1),(COLUMN()-COLUMN(rw_LoadOrigin)-1)+1)-INDEX(rw_Cum,(ROW()-ROW(rw_LoadOrigin)-1),(COLUMN()-COLUMN(rw_LoadOrigin)-1))),"")</f>
        <v/>
      </c>
      <c r="U50" s="61" t="str">
        <f aca="false">IFERROR(IF(INDEX(res_Name,(ROW()-ROW(rw_LoadOrigin)-1))="","",INDEX(rw_Cum,(ROW()-ROW(rw_LoadOrigin)-1),(COLUMN()-COLUMN(rw_LoadOrigin)-1)+1)-INDEX(rw_Cum,(ROW()-ROW(rw_LoadOrigin)-1),(COLUMN()-COLUMN(rw_LoadOrigin)-1))),"")</f>
        <v/>
      </c>
      <c r="V50" s="61" t="str">
        <f aca="false">IFERROR(IF(INDEX(res_Name,(ROW()-ROW(rw_LoadOrigin)-1))="","",INDEX(rw_Cum,(ROW()-ROW(rw_LoadOrigin)-1),(COLUMN()-COLUMN(rw_LoadOrigin)-1)+1)-INDEX(rw_Cum,(ROW()-ROW(rw_LoadOrigin)-1),(COLUMN()-COLUMN(rw_LoadOrigin)-1))),"")</f>
        <v/>
      </c>
      <c r="W50" s="61" t="str">
        <f aca="false">IFERROR(IF(INDEX(res_Name,(ROW()-ROW(rw_LoadOrigin)-1))="","",INDEX(rw_Cum,(ROW()-ROW(rw_LoadOrigin)-1),(COLUMN()-COLUMN(rw_LoadOrigin)-1)+1)-INDEX(rw_Cum,(ROW()-ROW(rw_LoadOrigin)-1),(COLUMN()-COLUMN(rw_LoadOrigin)-1))),"")</f>
        <v/>
      </c>
      <c r="X50" s="61" t="str">
        <f aca="false">IFERROR(IF(INDEX(res_Name,(ROW()-ROW(rw_LoadOrigin)-1))="","",INDEX(rw_Cum,(ROW()-ROW(rw_LoadOrigin)-1),(COLUMN()-COLUMN(rw_LoadOrigin)-1)+1)-INDEX(rw_Cum,(ROW()-ROW(rw_LoadOrigin)-1),(COLUMN()-COLUMN(rw_LoadOrigin)-1))),"")</f>
        <v/>
      </c>
      <c r="Y50" s="61" t="str">
        <f aca="false">IFERROR(IF(INDEX(res_Name,(ROW()-ROW(rw_LoadOrigin)-1))="","",INDEX(rw_Cum,(ROW()-ROW(rw_LoadOrigin)-1),(COLUMN()-COLUMN(rw_LoadOrigin)-1)+1)-INDEX(rw_Cum,(ROW()-ROW(rw_LoadOrigin)-1),(COLUMN()-COLUMN(rw_LoadOrigin)-1))),"")</f>
        <v/>
      </c>
      <c r="Z50" s="61" t="str">
        <f aca="false">IFERROR(IF(INDEX(res_Name,(ROW()-ROW(rw_LoadOrigin)-1))="","",INDEX(rw_Cum,(ROW()-ROW(rw_LoadOrigin)-1),(COLUMN()-COLUMN(rw_LoadOrigin)-1)+1)-INDEX(rw_Cum,(ROW()-ROW(rw_LoadOrigin)-1),(COLUMN()-COLUMN(rw_LoadOrigin)-1))),"")</f>
        <v/>
      </c>
      <c r="AA50" s="61" t="str">
        <f aca="false">IFERROR(IF(INDEX(res_Name,(ROW()-ROW(rw_LoadOrigin)-1))="","",INDEX(rw_Cum,(ROW()-ROW(rw_LoadOrigin)-1),(COLUMN()-COLUMN(rw_LoadOrigin)-1)+1)-INDEX(rw_Cum,(ROW()-ROW(rw_LoadOrigin)-1),(COLUMN()-COLUMN(rw_LoadOrigin)-1))),"")</f>
        <v/>
      </c>
      <c r="AB50" s="61" t="str">
        <f aca="false">IFERROR(IF(INDEX(res_Name,(ROW()-ROW(rw_LoadOrigin)-1))="","",INDEX(rw_Cum,(ROW()-ROW(rw_LoadOrigin)-1),(COLUMN()-COLUMN(rw_LoadOrigin)-1)+1)-INDEX(rw_Cum,(ROW()-ROW(rw_LoadOrigin)-1),(COLUMN()-COLUMN(rw_LoadOrigin)-1))),"")</f>
        <v/>
      </c>
      <c r="AC50" s="61"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31" t="str">
        <f aca="false">IFERROR(INDEX(res_Name,(ROW()-ROW(rw_LoadOrigin)-1))&amp;"","")</f>
        <v/>
      </c>
      <c r="C51" s="60" t="str">
        <f aca="false">IFERROR(IF(INDEX(res_Name,(ROW()-ROW(rw_LoadOrigin)-1))="","",INDEX(res_MaxUnits,(ROW()-ROW(rw_LoadOrigin)-1))),"")</f>
        <v/>
      </c>
      <c r="D51" s="61" t="str">
        <f aca="false">IFERROR(IF(INDEX(res_Name,(ROW()-ROW(rw_LoadOrigin)-1))="","",INDEX(rw_Cum,(ROW()-ROW(rw_LoadOrigin)-1),(COLUMN()-COLUMN(rw_LoadOrigin)-1)+1)-INDEX(rw_Cum,(ROW()-ROW(rw_LoadOrigin)-1),(COLUMN()-COLUMN(rw_LoadOrigin)-1))),"")</f>
        <v/>
      </c>
      <c r="E51" s="61" t="str">
        <f aca="false">IFERROR(IF(INDEX(res_Name,(ROW()-ROW(rw_LoadOrigin)-1))="","",INDEX(rw_Cum,(ROW()-ROW(rw_LoadOrigin)-1),(COLUMN()-COLUMN(rw_LoadOrigin)-1)+1)-INDEX(rw_Cum,(ROW()-ROW(rw_LoadOrigin)-1),(COLUMN()-COLUMN(rw_LoadOrigin)-1))),"")</f>
        <v/>
      </c>
      <c r="F51" s="61" t="str">
        <f aca="false">IFERROR(IF(INDEX(res_Name,(ROW()-ROW(rw_LoadOrigin)-1))="","",INDEX(rw_Cum,(ROW()-ROW(rw_LoadOrigin)-1),(COLUMN()-COLUMN(rw_LoadOrigin)-1)+1)-INDEX(rw_Cum,(ROW()-ROW(rw_LoadOrigin)-1),(COLUMN()-COLUMN(rw_LoadOrigin)-1))),"")</f>
        <v/>
      </c>
      <c r="G51" s="61" t="str">
        <f aca="false">IFERROR(IF(INDEX(res_Name,(ROW()-ROW(rw_LoadOrigin)-1))="","",INDEX(rw_Cum,(ROW()-ROW(rw_LoadOrigin)-1),(COLUMN()-COLUMN(rw_LoadOrigin)-1)+1)-INDEX(rw_Cum,(ROW()-ROW(rw_LoadOrigin)-1),(COLUMN()-COLUMN(rw_LoadOrigin)-1))),"")</f>
        <v/>
      </c>
      <c r="H51" s="61" t="str">
        <f aca="false">IFERROR(IF(INDEX(res_Name,(ROW()-ROW(rw_LoadOrigin)-1))="","",INDEX(rw_Cum,(ROW()-ROW(rw_LoadOrigin)-1),(COLUMN()-COLUMN(rw_LoadOrigin)-1)+1)-INDEX(rw_Cum,(ROW()-ROW(rw_LoadOrigin)-1),(COLUMN()-COLUMN(rw_LoadOrigin)-1))),"")</f>
        <v/>
      </c>
      <c r="I51" s="61" t="str">
        <f aca="false">IFERROR(IF(INDEX(res_Name,(ROW()-ROW(rw_LoadOrigin)-1))="","",INDEX(rw_Cum,(ROW()-ROW(rw_LoadOrigin)-1),(COLUMN()-COLUMN(rw_LoadOrigin)-1)+1)-INDEX(rw_Cum,(ROW()-ROW(rw_LoadOrigin)-1),(COLUMN()-COLUMN(rw_LoadOrigin)-1))),"")</f>
        <v/>
      </c>
      <c r="J51" s="61" t="str">
        <f aca="false">IFERROR(IF(INDEX(res_Name,(ROW()-ROW(rw_LoadOrigin)-1))="","",INDEX(rw_Cum,(ROW()-ROW(rw_LoadOrigin)-1),(COLUMN()-COLUMN(rw_LoadOrigin)-1)+1)-INDEX(rw_Cum,(ROW()-ROW(rw_LoadOrigin)-1),(COLUMN()-COLUMN(rw_LoadOrigin)-1))),"")</f>
        <v/>
      </c>
      <c r="K51" s="61" t="str">
        <f aca="false">IFERROR(IF(INDEX(res_Name,(ROW()-ROW(rw_LoadOrigin)-1))="","",INDEX(rw_Cum,(ROW()-ROW(rw_LoadOrigin)-1),(COLUMN()-COLUMN(rw_LoadOrigin)-1)+1)-INDEX(rw_Cum,(ROW()-ROW(rw_LoadOrigin)-1),(COLUMN()-COLUMN(rw_LoadOrigin)-1))),"")</f>
        <v/>
      </c>
      <c r="L51" s="61" t="str">
        <f aca="false">IFERROR(IF(INDEX(res_Name,(ROW()-ROW(rw_LoadOrigin)-1))="","",INDEX(rw_Cum,(ROW()-ROW(rw_LoadOrigin)-1),(COLUMN()-COLUMN(rw_LoadOrigin)-1)+1)-INDEX(rw_Cum,(ROW()-ROW(rw_LoadOrigin)-1),(COLUMN()-COLUMN(rw_LoadOrigin)-1))),"")</f>
        <v/>
      </c>
      <c r="M51" s="61" t="str">
        <f aca="false">IFERROR(IF(INDEX(res_Name,(ROW()-ROW(rw_LoadOrigin)-1))="","",INDEX(rw_Cum,(ROW()-ROW(rw_LoadOrigin)-1),(COLUMN()-COLUMN(rw_LoadOrigin)-1)+1)-INDEX(rw_Cum,(ROW()-ROW(rw_LoadOrigin)-1),(COLUMN()-COLUMN(rw_LoadOrigin)-1))),"")</f>
        <v/>
      </c>
      <c r="N51" s="61" t="str">
        <f aca="false">IFERROR(IF(INDEX(res_Name,(ROW()-ROW(rw_LoadOrigin)-1))="","",INDEX(rw_Cum,(ROW()-ROW(rw_LoadOrigin)-1),(COLUMN()-COLUMN(rw_LoadOrigin)-1)+1)-INDEX(rw_Cum,(ROW()-ROW(rw_LoadOrigin)-1),(COLUMN()-COLUMN(rw_LoadOrigin)-1))),"")</f>
        <v/>
      </c>
      <c r="O51" s="61" t="str">
        <f aca="false">IFERROR(IF(INDEX(res_Name,(ROW()-ROW(rw_LoadOrigin)-1))="","",INDEX(rw_Cum,(ROW()-ROW(rw_LoadOrigin)-1),(COLUMN()-COLUMN(rw_LoadOrigin)-1)+1)-INDEX(rw_Cum,(ROW()-ROW(rw_LoadOrigin)-1),(COLUMN()-COLUMN(rw_LoadOrigin)-1))),"")</f>
        <v/>
      </c>
      <c r="P51" s="61" t="str">
        <f aca="false">IFERROR(IF(INDEX(res_Name,(ROW()-ROW(rw_LoadOrigin)-1))="","",INDEX(rw_Cum,(ROW()-ROW(rw_LoadOrigin)-1),(COLUMN()-COLUMN(rw_LoadOrigin)-1)+1)-INDEX(rw_Cum,(ROW()-ROW(rw_LoadOrigin)-1),(COLUMN()-COLUMN(rw_LoadOrigin)-1))),"")</f>
        <v/>
      </c>
      <c r="Q51" s="61" t="str">
        <f aca="false">IFERROR(IF(INDEX(res_Name,(ROW()-ROW(rw_LoadOrigin)-1))="","",INDEX(rw_Cum,(ROW()-ROW(rw_LoadOrigin)-1),(COLUMN()-COLUMN(rw_LoadOrigin)-1)+1)-INDEX(rw_Cum,(ROW()-ROW(rw_LoadOrigin)-1),(COLUMN()-COLUMN(rw_LoadOrigin)-1))),"")</f>
        <v/>
      </c>
      <c r="R51" s="61" t="str">
        <f aca="false">IFERROR(IF(INDEX(res_Name,(ROW()-ROW(rw_LoadOrigin)-1))="","",INDEX(rw_Cum,(ROW()-ROW(rw_LoadOrigin)-1),(COLUMN()-COLUMN(rw_LoadOrigin)-1)+1)-INDEX(rw_Cum,(ROW()-ROW(rw_LoadOrigin)-1),(COLUMN()-COLUMN(rw_LoadOrigin)-1))),"")</f>
        <v/>
      </c>
      <c r="S51" s="61" t="str">
        <f aca="false">IFERROR(IF(INDEX(res_Name,(ROW()-ROW(rw_LoadOrigin)-1))="","",INDEX(rw_Cum,(ROW()-ROW(rw_LoadOrigin)-1),(COLUMN()-COLUMN(rw_LoadOrigin)-1)+1)-INDEX(rw_Cum,(ROW()-ROW(rw_LoadOrigin)-1),(COLUMN()-COLUMN(rw_LoadOrigin)-1))),"")</f>
        <v/>
      </c>
      <c r="T51" s="61" t="str">
        <f aca="false">IFERROR(IF(INDEX(res_Name,(ROW()-ROW(rw_LoadOrigin)-1))="","",INDEX(rw_Cum,(ROW()-ROW(rw_LoadOrigin)-1),(COLUMN()-COLUMN(rw_LoadOrigin)-1)+1)-INDEX(rw_Cum,(ROW()-ROW(rw_LoadOrigin)-1),(COLUMN()-COLUMN(rw_LoadOrigin)-1))),"")</f>
        <v/>
      </c>
      <c r="U51" s="61" t="str">
        <f aca="false">IFERROR(IF(INDEX(res_Name,(ROW()-ROW(rw_LoadOrigin)-1))="","",INDEX(rw_Cum,(ROW()-ROW(rw_LoadOrigin)-1),(COLUMN()-COLUMN(rw_LoadOrigin)-1)+1)-INDEX(rw_Cum,(ROW()-ROW(rw_LoadOrigin)-1),(COLUMN()-COLUMN(rw_LoadOrigin)-1))),"")</f>
        <v/>
      </c>
      <c r="V51" s="61" t="str">
        <f aca="false">IFERROR(IF(INDEX(res_Name,(ROW()-ROW(rw_LoadOrigin)-1))="","",INDEX(rw_Cum,(ROW()-ROW(rw_LoadOrigin)-1),(COLUMN()-COLUMN(rw_LoadOrigin)-1)+1)-INDEX(rw_Cum,(ROW()-ROW(rw_LoadOrigin)-1),(COLUMN()-COLUMN(rw_LoadOrigin)-1))),"")</f>
        <v/>
      </c>
      <c r="W51" s="61" t="str">
        <f aca="false">IFERROR(IF(INDEX(res_Name,(ROW()-ROW(rw_LoadOrigin)-1))="","",INDEX(rw_Cum,(ROW()-ROW(rw_LoadOrigin)-1),(COLUMN()-COLUMN(rw_LoadOrigin)-1)+1)-INDEX(rw_Cum,(ROW()-ROW(rw_LoadOrigin)-1),(COLUMN()-COLUMN(rw_LoadOrigin)-1))),"")</f>
        <v/>
      </c>
      <c r="X51" s="61" t="str">
        <f aca="false">IFERROR(IF(INDEX(res_Name,(ROW()-ROW(rw_LoadOrigin)-1))="","",INDEX(rw_Cum,(ROW()-ROW(rw_LoadOrigin)-1),(COLUMN()-COLUMN(rw_LoadOrigin)-1)+1)-INDEX(rw_Cum,(ROW()-ROW(rw_LoadOrigin)-1),(COLUMN()-COLUMN(rw_LoadOrigin)-1))),"")</f>
        <v/>
      </c>
      <c r="Y51" s="61" t="str">
        <f aca="false">IFERROR(IF(INDEX(res_Name,(ROW()-ROW(rw_LoadOrigin)-1))="","",INDEX(rw_Cum,(ROW()-ROW(rw_LoadOrigin)-1),(COLUMN()-COLUMN(rw_LoadOrigin)-1)+1)-INDEX(rw_Cum,(ROW()-ROW(rw_LoadOrigin)-1),(COLUMN()-COLUMN(rw_LoadOrigin)-1))),"")</f>
        <v/>
      </c>
      <c r="Z51" s="61" t="str">
        <f aca="false">IFERROR(IF(INDEX(res_Name,(ROW()-ROW(rw_LoadOrigin)-1))="","",INDEX(rw_Cum,(ROW()-ROW(rw_LoadOrigin)-1),(COLUMN()-COLUMN(rw_LoadOrigin)-1)+1)-INDEX(rw_Cum,(ROW()-ROW(rw_LoadOrigin)-1),(COLUMN()-COLUMN(rw_LoadOrigin)-1))),"")</f>
        <v/>
      </c>
      <c r="AA51" s="61" t="str">
        <f aca="false">IFERROR(IF(INDEX(res_Name,(ROW()-ROW(rw_LoadOrigin)-1))="","",INDEX(rw_Cum,(ROW()-ROW(rw_LoadOrigin)-1),(COLUMN()-COLUMN(rw_LoadOrigin)-1)+1)-INDEX(rw_Cum,(ROW()-ROW(rw_LoadOrigin)-1),(COLUMN()-COLUMN(rw_LoadOrigin)-1))),"")</f>
        <v/>
      </c>
      <c r="AB51" s="61" t="str">
        <f aca="false">IFERROR(IF(INDEX(res_Name,(ROW()-ROW(rw_LoadOrigin)-1))="","",INDEX(rw_Cum,(ROW()-ROW(rw_LoadOrigin)-1),(COLUMN()-COLUMN(rw_LoadOrigin)-1)+1)-INDEX(rw_Cum,(ROW()-ROW(rw_LoadOrigin)-1),(COLUMN()-COLUMN(rw_LoadOrigin)-1))),"")</f>
        <v/>
      </c>
      <c r="AC51" s="61"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31" t="str">
        <f aca="false">IFERROR(INDEX(res_Name,(ROW()-ROW(rw_LoadOrigin)-1))&amp;"","")</f>
        <v/>
      </c>
      <c r="C52" s="60" t="str">
        <f aca="false">IFERROR(IF(INDEX(res_Name,(ROW()-ROW(rw_LoadOrigin)-1))="","",INDEX(res_MaxUnits,(ROW()-ROW(rw_LoadOrigin)-1))),"")</f>
        <v/>
      </c>
      <c r="D52" s="61" t="str">
        <f aca="false">IFERROR(IF(INDEX(res_Name,(ROW()-ROW(rw_LoadOrigin)-1))="","",INDEX(rw_Cum,(ROW()-ROW(rw_LoadOrigin)-1),(COLUMN()-COLUMN(rw_LoadOrigin)-1)+1)-INDEX(rw_Cum,(ROW()-ROW(rw_LoadOrigin)-1),(COLUMN()-COLUMN(rw_LoadOrigin)-1))),"")</f>
        <v/>
      </c>
      <c r="E52" s="61" t="str">
        <f aca="false">IFERROR(IF(INDEX(res_Name,(ROW()-ROW(rw_LoadOrigin)-1))="","",INDEX(rw_Cum,(ROW()-ROW(rw_LoadOrigin)-1),(COLUMN()-COLUMN(rw_LoadOrigin)-1)+1)-INDEX(rw_Cum,(ROW()-ROW(rw_LoadOrigin)-1),(COLUMN()-COLUMN(rw_LoadOrigin)-1))),"")</f>
        <v/>
      </c>
      <c r="F52" s="61" t="str">
        <f aca="false">IFERROR(IF(INDEX(res_Name,(ROW()-ROW(rw_LoadOrigin)-1))="","",INDEX(rw_Cum,(ROW()-ROW(rw_LoadOrigin)-1),(COLUMN()-COLUMN(rw_LoadOrigin)-1)+1)-INDEX(rw_Cum,(ROW()-ROW(rw_LoadOrigin)-1),(COLUMN()-COLUMN(rw_LoadOrigin)-1))),"")</f>
        <v/>
      </c>
      <c r="G52" s="61" t="str">
        <f aca="false">IFERROR(IF(INDEX(res_Name,(ROW()-ROW(rw_LoadOrigin)-1))="","",INDEX(rw_Cum,(ROW()-ROW(rw_LoadOrigin)-1),(COLUMN()-COLUMN(rw_LoadOrigin)-1)+1)-INDEX(rw_Cum,(ROW()-ROW(rw_LoadOrigin)-1),(COLUMN()-COLUMN(rw_LoadOrigin)-1))),"")</f>
        <v/>
      </c>
      <c r="H52" s="61" t="str">
        <f aca="false">IFERROR(IF(INDEX(res_Name,(ROW()-ROW(rw_LoadOrigin)-1))="","",INDEX(rw_Cum,(ROW()-ROW(rw_LoadOrigin)-1),(COLUMN()-COLUMN(rw_LoadOrigin)-1)+1)-INDEX(rw_Cum,(ROW()-ROW(rw_LoadOrigin)-1),(COLUMN()-COLUMN(rw_LoadOrigin)-1))),"")</f>
        <v/>
      </c>
      <c r="I52" s="61" t="str">
        <f aca="false">IFERROR(IF(INDEX(res_Name,(ROW()-ROW(rw_LoadOrigin)-1))="","",INDEX(rw_Cum,(ROW()-ROW(rw_LoadOrigin)-1),(COLUMN()-COLUMN(rw_LoadOrigin)-1)+1)-INDEX(rw_Cum,(ROW()-ROW(rw_LoadOrigin)-1),(COLUMN()-COLUMN(rw_LoadOrigin)-1))),"")</f>
        <v/>
      </c>
      <c r="J52" s="61" t="str">
        <f aca="false">IFERROR(IF(INDEX(res_Name,(ROW()-ROW(rw_LoadOrigin)-1))="","",INDEX(rw_Cum,(ROW()-ROW(rw_LoadOrigin)-1),(COLUMN()-COLUMN(rw_LoadOrigin)-1)+1)-INDEX(rw_Cum,(ROW()-ROW(rw_LoadOrigin)-1),(COLUMN()-COLUMN(rw_LoadOrigin)-1))),"")</f>
        <v/>
      </c>
      <c r="K52" s="61" t="str">
        <f aca="false">IFERROR(IF(INDEX(res_Name,(ROW()-ROW(rw_LoadOrigin)-1))="","",INDEX(rw_Cum,(ROW()-ROW(rw_LoadOrigin)-1),(COLUMN()-COLUMN(rw_LoadOrigin)-1)+1)-INDEX(rw_Cum,(ROW()-ROW(rw_LoadOrigin)-1),(COLUMN()-COLUMN(rw_LoadOrigin)-1))),"")</f>
        <v/>
      </c>
      <c r="L52" s="61" t="str">
        <f aca="false">IFERROR(IF(INDEX(res_Name,(ROW()-ROW(rw_LoadOrigin)-1))="","",INDEX(rw_Cum,(ROW()-ROW(rw_LoadOrigin)-1),(COLUMN()-COLUMN(rw_LoadOrigin)-1)+1)-INDEX(rw_Cum,(ROW()-ROW(rw_LoadOrigin)-1),(COLUMN()-COLUMN(rw_LoadOrigin)-1))),"")</f>
        <v/>
      </c>
      <c r="M52" s="61" t="str">
        <f aca="false">IFERROR(IF(INDEX(res_Name,(ROW()-ROW(rw_LoadOrigin)-1))="","",INDEX(rw_Cum,(ROW()-ROW(rw_LoadOrigin)-1),(COLUMN()-COLUMN(rw_LoadOrigin)-1)+1)-INDEX(rw_Cum,(ROW()-ROW(rw_LoadOrigin)-1),(COLUMN()-COLUMN(rw_LoadOrigin)-1))),"")</f>
        <v/>
      </c>
      <c r="N52" s="61" t="str">
        <f aca="false">IFERROR(IF(INDEX(res_Name,(ROW()-ROW(rw_LoadOrigin)-1))="","",INDEX(rw_Cum,(ROW()-ROW(rw_LoadOrigin)-1),(COLUMN()-COLUMN(rw_LoadOrigin)-1)+1)-INDEX(rw_Cum,(ROW()-ROW(rw_LoadOrigin)-1),(COLUMN()-COLUMN(rw_LoadOrigin)-1))),"")</f>
        <v/>
      </c>
      <c r="O52" s="61" t="str">
        <f aca="false">IFERROR(IF(INDEX(res_Name,(ROW()-ROW(rw_LoadOrigin)-1))="","",INDEX(rw_Cum,(ROW()-ROW(rw_LoadOrigin)-1),(COLUMN()-COLUMN(rw_LoadOrigin)-1)+1)-INDEX(rw_Cum,(ROW()-ROW(rw_LoadOrigin)-1),(COLUMN()-COLUMN(rw_LoadOrigin)-1))),"")</f>
        <v/>
      </c>
      <c r="P52" s="61" t="str">
        <f aca="false">IFERROR(IF(INDEX(res_Name,(ROW()-ROW(rw_LoadOrigin)-1))="","",INDEX(rw_Cum,(ROW()-ROW(rw_LoadOrigin)-1),(COLUMN()-COLUMN(rw_LoadOrigin)-1)+1)-INDEX(rw_Cum,(ROW()-ROW(rw_LoadOrigin)-1),(COLUMN()-COLUMN(rw_LoadOrigin)-1))),"")</f>
        <v/>
      </c>
      <c r="Q52" s="61" t="str">
        <f aca="false">IFERROR(IF(INDEX(res_Name,(ROW()-ROW(rw_LoadOrigin)-1))="","",INDEX(rw_Cum,(ROW()-ROW(rw_LoadOrigin)-1),(COLUMN()-COLUMN(rw_LoadOrigin)-1)+1)-INDEX(rw_Cum,(ROW()-ROW(rw_LoadOrigin)-1),(COLUMN()-COLUMN(rw_LoadOrigin)-1))),"")</f>
        <v/>
      </c>
      <c r="R52" s="61" t="str">
        <f aca="false">IFERROR(IF(INDEX(res_Name,(ROW()-ROW(rw_LoadOrigin)-1))="","",INDEX(rw_Cum,(ROW()-ROW(rw_LoadOrigin)-1),(COLUMN()-COLUMN(rw_LoadOrigin)-1)+1)-INDEX(rw_Cum,(ROW()-ROW(rw_LoadOrigin)-1),(COLUMN()-COLUMN(rw_LoadOrigin)-1))),"")</f>
        <v/>
      </c>
      <c r="S52" s="61" t="str">
        <f aca="false">IFERROR(IF(INDEX(res_Name,(ROW()-ROW(rw_LoadOrigin)-1))="","",INDEX(rw_Cum,(ROW()-ROW(rw_LoadOrigin)-1),(COLUMN()-COLUMN(rw_LoadOrigin)-1)+1)-INDEX(rw_Cum,(ROW()-ROW(rw_LoadOrigin)-1),(COLUMN()-COLUMN(rw_LoadOrigin)-1))),"")</f>
        <v/>
      </c>
      <c r="T52" s="61" t="str">
        <f aca="false">IFERROR(IF(INDEX(res_Name,(ROW()-ROW(rw_LoadOrigin)-1))="","",INDEX(rw_Cum,(ROW()-ROW(rw_LoadOrigin)-1),(COLUMN()-COLUMN(rw_LoadOrigin)-1)+1)-INDEX(rw_Cum,(ROW()-ROW(rw_LoadOrigin)-1),(COLUMN()-COLUMN(rw_LoadOrigin)-1))),"")</f>
        <v/>
      </c>
      <c r="U52" s="61" t="str">
        <f aca="false">IFERROR(IF(INDEX(res_Name,(ROW()-ROW(rw_LoadOrigin)-1))="","",INDEX(rw_Cum,(ROW()-ROW(rw_LoadOrigin)-1),(COLUMN()-COLUMN(rw_LoadOrigin)-1)+1)-INDEX(rw_Cum,(ROW()-ROW(rw_LoadOrigin)-1),(COLUMN()-COLUMN(rw_LoadOrigin)-1))),"")</f>
        <v/>
      </c>
      <c r="V52" s="61" t="str">
        <f aca="false">IFERROR(IF(INDEX(res_Name,(ROW()-ROW(rw_LoadOrigin)-1))="","",INDEX(rw_Cum,(ROW()-ROW(rw_LoadOrigin)-1),(COLUMN()-COLUMN(rw_LoadOrigin)-1)+1)-INDEX(rw_Cum,(ROW()-ROW(rw_LoadOrigin)-1),(COLUMN()-COLUMN(rw_LoadOrigin)-1))),"")</f>
        <v/>
      </c>
      <c r="W52" s="61" t="str">
        <f aca="false">IFERROR(IF(INDEX(res_Name,(ROW()-ROW(rw_LoadOrigin)-1))="","",INDEX(rw_Cum,(ROW()-ROW(rw_LoadOrigin)-1),(COLUMN()-COLUMN(rw_LoadOrigin)-1)+1)-INDEX(rw_Cum,(ROW()-ROW(rw_LoadOrigin)-1),(COLUMN()-COLUMN(rw_LoadOrigin)-1))),"")</f>
        <v/>
      </c>
      <c r="X52" s="61" t="str">
        <f aca="false">IFERROR(IF(INDEX(res_Name,(ROW()-ROW(rw_LoadOrigin)-1))="","",INDEX(rw_Cum,(ROW()-ROW(rw_LoadOrigin)-1),(COLUMN()-COLUMN(rw_LoadOrigin)-1)+1)-INDEX(rw_Cum,(ROW()-ROW(rw_LoadOrigin)-1),(COLUMN()-COLUMN(rw_LoadOrigin)-1))),"")</f>
        <v/>
      </c>
      <c r="Y52" s="61" t="str">
        <f aca="false">IFERROR(IF(INDEX(res_Name,(ROW()-ROW(rw_LoadOrigin)-1))="","",INDEX(rw_Cum,(ROW()-ROW(rw_LoadOrigin)-1),(COLUMN()-COLUMN(rw_LoadOrigin)-1)+1)-INDEX(rw_Cum,(ROW()-ROW(rw_LoadOrigin)-1),(COLUMN()-COLUMN(rw_LoadOrigin)-1))),"")</f>
        <v/>
      </c>
      <c r="Z52" s="61" t="str">
        <f aca="false">IFERROR(IF(INDEX(res_Name,(ROW()-ROW(rw_LoadOrigin)-1))="","",INDEX(rw_Cum,(ROW()-ROW(rw_LoadOrigin)-1),(COLUMN()-COLUMN(rw_LoadOrigin)-1)+1)-INDEX(rw_Cum,(ROW()-ROW(rw_LoadOrigin)-1),(COLUMN()-COLUMN(rw_LoadOrigin)-1))),"")</f>
        <v/>
      </c>
      <c r="AA52" s="61" t="str">
        <f aca="false">IFERROR(IF(INDEX(res_Name,(ROW()-ROW(rw_LoadOrigin)-1))="","",INDEX(rw_Cum,(ROW()-ROW(rw_LoadOrigin)-1),(COLUMN()-COLUMN(rw_LoadOrigin)-1)+1)-INDEX(rw_Cum,(ROW()-ROW(rw_LoadOrigin)-1),(COLUMN()-COLUMN(rw_LoadOrigin)-1))),"")</f>
        <v/>
      </c>
      <c r="AB52" s="61" t="str">
        <f aca="false">IFERROR(IF(INDEX(res_Name,(ROW()-ROW(rw_LoadOrigin)-1))="","",INDEX(rw_Cum,(ROW()-ROW(rw_LoadOrigin)-1),(COLUMN()-COLUMN(rw_LoadOrigin)-1)+1)-INDEX(rw_Cum,(ROW()-ROW(rw_LoadOrigin)-1),(COLUMN()-COLUMN(rw_LoadOrigin)-1))),"")</f>
        <v/>
      </c>
      <c r="AC52" s="61"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31" t="str">
        <f aca="false">IFERROR(INDEX(res_Name,(ROW()-ROW(rw_LoadOrigin)-1))&amp;"","")</f>
        <v/>
      </c>
      <c r="C53" s="60" t="str">
        <f aca="false">IFERROR(IF(INDEX(res_Name,(ROW()-ROW(rw_LoadOrigin)-1))="","",INDEX(res_MaxUnits,(ROW()-ROW(rw_LoadOrigin)-1))),"")</f>
        <v/>
      </c>
      <c r="D53" s="61" t="str">
        <f aca="false">IFERROR(IF(INDEX(res_Name,(ROW()-ROW(rw_LoadOrigin)-1))="","",INDEX(rw_Cum,(ROW()-ROW(rw_LoadOrigin)-1),(COLUMN()-COLUMN(rw_LoadOrigin)-1)+1)-INDEX(rw_Cum,(ROW()-ROW(rw_LoadOrigin)-1),(COLUMN()-COLUMN(rw_LoadOrigin)-1))),"")</f>
        <v/>
      </c>
      <c r="E53" s="61" t="str">
        <f aca="false">IFERROR(IF(INDEX(res_Name,(ROW()-ROW(rw_LoadOrigin)-1))="","",INDEX(rw_Cum,(ROW()-ROW(rw_LoadOrigin)-1),(COLUMN()-COLUMN(rw_LoadOrigin)-1)+1)-INDEX(rw_Cum,(ROW()-ROW(rw_LoadOrigin)-1),(COLUMN()-COLUMN(rw_LoadOrigin)-1))),"")</f>
        <v/>
      </c>
      <c r="F53" s="61" t="str">
        <f aca="false">IFERROR(IF(INDEX(res_Name,(ROW()-ROW(rw_LoadOrigin)-1))="","",INDEX(rw_Cum,(ROW()-ROW(rw_LoadOrigin)-1),(COLUMN()-COLUMN(rw_LoadOrigin)-1)+1)-INDEX(rw_Cum,(ROW()-ROW(rw_LoadOrigin)-1),(COLUMN()-COLUMN(rw_LoadOrigin)-1))),"")</f>
        <v/>
      </c>
      <c r="G53" s="61" t="str">
        <f aca="false">IFERROR(IF(INDEX(res_Name,(ROW()-ROW(rw_LoadOrigin)-1))="","",INDEX(rw_Cum,(ROW()-ROW(rw_LoadOrigin)-1),(COLUMN()-COLUMN(rw_LoadOrigin)-1)+1)-INDEX(rw_Cum,(ROW()-ROW(rw_LoadOrigin)-1),(COLUMN()-COLUMN(rw_LoadOrigin)-1))),"")</f>
        <v/>
      </c>
      <c r="H53" s="61" t="str">
        <f aca="false">IFERROR(IF(INDEX(res_Name,(ROW()-ROW(rw_LoadOrigin)-1))="","",INDEX(rw_Cum,(ROW()-ROW(rw_LoadOrigin)-1),(COLUMN()-COLUMN(rw_LoadOrigin)-1)+1)-INDEX(rw_Cum,(ROW()-ROW(rw_LoadOrigin)-1),(COLUMN()-COLUMN(rw_LoadOrigin)-1))),"")</f>
        <v/>
      </c>
      <c r="I53" s="61" t="str">
        <f aca="false">IFERROR(IF(INDEX(res_Name,(ROW()-ROW(rw_LoadOrigin)-1))="","",INDEX(rw_Cum,(ROW()-ROW(rw_LoadOrigin)-1),(COLUMN()-COLUMN(rw_LoadOrigin)-1)+1)-INDEX(rw_Cum,(ROW()-ROW(rw_LoadOrigin)-1),(COLUMN()-COLUMN(rw_LoadOrigin)-1))),"")</f>
        <v/>
      </c>
      <c r="J53" s="61" t="str">
        <f aca="false">IFERROR(IF(INDEX(res_Name,(ROW()-ROW(rw_LoadOrigin)-1))="","",INDEX(rw_Cum,(ROW()-ROW(rw_LoadOrigin)-1),(COLUMN()-COLUMN(rw_LoadOrigin)-1)+1)-INDEX(rw_Cum,(ROW()-ROW(rw_LoadOrigin)-1),(COLUMN()-COLUMN(rw_LoadOrigin)-1))),"")</f>
        <v/>
      </c>
      <c r="K53" s="61" t="str">
        <f aca="false">IFERROR(IF(INDEX(res_Name,(ROW()-ROW(rw_LoadOrigin)-1))="","",INDEX(rw_Cum,(ROW()-ROW(rw_LoadOrigin)-1),(COLUMN()-COLUMN(rw_LoadOrigin)-1)+1)-INDEX(rw_Cum,(ROW()-ROW(rw_LoadOrigin)-1),(COLUMN()-COLUMN(rw_LoadOrigin)-1))),"")</f>
        <v/>
      </c>
      <c r="L53" s="61" t="str">
        <f aca="false">IFERROR(IF(INDEX(res_Name,(ROW()-ROW(rw_LoadOrigin)-1))="","",INDEX(rw_Cum,(ROW()-ROW(rw_LoadOrigin)-1),(COLUMN()-COLUMN(rw_LoadOrigin)-1)+1)-INDEX(rw_Cum,(ROW()-ROW(rw_LoadOrigin)-1),(COLUMN()-COLUMN(rw_LoadOrigin)-1))),"")</f>
        <v/>
      </c>
      <c r="M53" s="61" t="str">
        <f aca="false">IFERROR(IF(INDEX(res_Name,(ROW()-ROW(rw_LoadOrigin)-1))="","",INDEX(rw_Cum,(ROW()-ROW(rw_LoadOrigin)-1),(COLUMN()-COLUMN(rw_LoadOrigin)-1)+1)-INDEX(rw_Cum,(ROW()-ROW(rw_LoadOrigin)-1),(COLUMN()-COLUMN(rw_LoadOrigin)-1))),"")</f>
        <v/>
      </c>
      <c r="N53" s="61" t="str">
        <f aca="false">IFERROR(IF(INDEX(res_Name,(ROW()-ROW(rw_LoadOrigin)-1))="","",INDEX(rw_Cum,(ROW()-ROW(rw_LoadOrigin)-1),(COLUMN()-COLUMN(rw_LoadOrigin)-1)+1)-INDEX(rw_Cum,(ROW()-ROW(rw_LoadOrigin)-1),(COLUMN()-COLUMN(rw_LoadOrigin)-1))),"")</f>
        <v/>
      </c>
      <c r="O53" s="61" t="str">
        <f aca="false">IFERROR(IF(INDEX(res_Name,(ROW()-ROW(rw_LoadOrigin)-1))="","",INDEX(rw_Cum,(ROW()-ROW(rw_LoadOrigin)-1),(COLUMN()-COLUMN(rw_LoadOrigin)-1)+1)-INDEX(rw_Cum,(ROW()-ROW(rw_LoadOrigin)-1),(COLUMN()-COLUMN(rw_LoadOrigin)-1))),"")</f>
        <v/>
      </c>
      <c r="P53" s="61" t="str">
        <f aca="false">IFERROR(IF(INDEX(res_Name,(ROW()-ROW(rw_LoadOrigin)-1))="","",INDEX(rw_Cum,(ROW()-ROW(rw_LoadOrigin)-1),(COLUMN()-COLUMN(rw_LoadOrigin)-1)+1)-INDEX(rw_Cum,(ROW()-ROW(rw_LoadOrigin)-1),(COLUMN()-COLUMN(rw_LoadOrigin)-1))),"")</f>
        <v/>
      </c>
      <c r="Q53" s="61" t="str">
        <f aca="false">IFERROR(IF(INDEX(res_Name,(ROW()-ROW(rw_LoadOrigin)-1))="","",INDEX(rw_Cum,(ROW()-ROW(rw_LoadOrigin)-1),(COLUMN()-COLUMN(rw_LoadOrigin)-1)+1)-INDEX(rw_Cum,(ROW()-ROW(rw_LoadOrigin)-1),(COLUMN()-COLUMN(rw_LoadOrigin)-1))),"")</f>
        <v/>
      </c>
      <c r="R53" s="61" t="str">
        <f aca="false">IFERROR(IF(INDEX(res_Name,(ROW()-ROW(rw_LoadOrigin)-1))="","",INDEX(rw_Cum,(ROW()-ROW(rw_LoadOrigin)-1),(COLUMN()-COLUMN(rw_LoadOrigin)-1)+1)-INDEX(rw_Cum,(ROW()-ROW(rw_LoadOrigin)-1),(COLUMN()-COLUMN(rw_LoadOrigin)-1))),"")</f>
        <v/>
      </c>
      <c r="S53" s="61" t="str">
        <f aca="false">IFERROR(IF(INDEX(res_Name,(ROW()-ROW(rw_LoadOrigin)-1))="","",INDEX(rw_Cum,(ROW()-ROW(rw_LoadOrigin)-1),(COLUMN()-COLUMN(rw_LoadOrigin)-1)+1)-INDEX(rw_Cum,(ROW()-ROW(rw_LoadOrigin)-1),(COLUMN()-COLUMN(rw_LoadOrigin)-1))),"")</f>
        <v/>
      </c>
      <c r="T53" s="61" t="str">
        <f aca="false">IFERROR(IF(INDEX(res_Name,(ROW()-ROW(rw_LoadOrigin)-1))="","",INDEX(rw_Cum,(ROW()-ROW(rw_LoadOrigin)-1),(COLUMN()-COLUMN(rw_LoadOrigin)-1)+1)-INDEX(rw_Cum,(ROW()-ROW(rw_LoadOrigin)-1),(COLUMN()-COLUMN(rw_LoadOrigin)-1))),"")</f>
        <v/>
      </c>
      <c r="U53" s="61" t="str">
        <f aca="false">IFERROR(IF(INDEX(res_Name,(ROW()-ROW(rw_LoadOrigin)-1))="","",INDEX(rw_Cum,(ROW()-ROW(rw_LoadOrigin)-1),(COLUMN()-COLUMN(rw_LoadOrigin)-1)+1)-INDEX(rw_Cum,(ROW()-ROW(rw_LoadOrigin)-1),(COLUMN()-COLUMN(rw_LoadOrigin)-1))),"")</f>
        <v/>
      </c>
      <c r="V53" s="61" t="str">
        <f aca="false">IFERROR(IF(INDEX(res_Name,(ROW()-ROW(rw_LoadOrigin)-1))="","",INDEX(rw_Cum,(ROW()-ROW(rw_LoadOrigin)-1),(COLUMN()-COLUMN(rw_LoadOrigin)-1)+1)-INDEX(rw_Cum,(ROW()-ROW(rw_LoadOrigin)-1),(COLUMN()-COLUMN(rw_LoadOrigin)-1))),"")</f>
        <v/>
      </c>
      <c r="W53" s="61" t="str">
        <f aca="false">IFERROR(IF(INDEX(res_Name,(ROW()-ROW(rw_LoadOrigin)-1))="","",INDEX(rw_Cum,(ROW()-ROW(rw_LoadOrigin)-1),(COLUMN()-COLUMN(rw_LoadOrigin)-1)+1)-INDEX(rw_Cum,(ROW()-ROW(rw_LoadOrigin)-1),(COLUMN()-COLUMN(rw_LoadOrigin)-1))),"")</f>
        <v/>
      </c>
      <c r="X53" s="61" t="str">
        <f aca="false">IFERROR(IF(INDEX(res_Name,(ROW()-ROW(rw_LoadOrigin)-1))="","",INDEX(rw_Cum,(ROW()-ROW(rw_LoadOrigin)-1),(COLUMN()-COLUMN(rw_LoadOrigin)-1)+1)-INDEX(rw_Cum,(ROW()-ROW(rw_LoadOrigin)-1),(COLUMN()-COLUMN(rw_LoadOrigin)-1))),"")</f>
        <v/>
      </c>
      <c r="Y53" s="61" t="str">
        <f aca="false">IFERROR(IF(INDEX(res_Name,(ROW()-ROW(rw_LoadOrigin)-1))="","",INDEX(rw_Cum,(ROW()-ROW(rw_LoadOrigin)-1),(COLUMN()-COLUMN(rw_LoadOrigin)-1)+1)-INDEX(rw_Cum,(ROW()-ROW(rw_LoadOrigin)-1),(COLUMN()-COLUMN(rw_LoadOrigin)-1))),"")</f>
        <v/>
      </c>
      <c r="Z53" s="61" t="str">
        <f aca="false">IFERROR(IF(INDEX(res_Name,(ROW()-ROW(rw_LoadOrigin)-1))="","",INDEX(rw_Cum,(ROW()-ROW(rw_LoadOrigin)-1),(COLUMN()-COLUMN(rw_LoadOrigin)-1)+1)-INDEX(rw_Cum,(ROW()-ROW(rw_LoadOrigin)-1),(COLUMN()-COLUMN(rw_LoadOrigin)-1))),"")</f>
        <v/>
      </c>
      <c r="AA53" s="61" t="str">
        <f aca="false">IFERROR(IF(INDEX(res_Name,(ROW()-ROW(rw_LoadOrigin)-1))="","",INDEX(rw_Cum,(ROW()-ROW(rw_LoadOrigin)-1),(COLUMN()-COLUMN(rw_LoadOrigin)-1)+1)-INDEX(rw_Cum,(ROW()-ROW(rw_LoadOrigin)-1),(COLUMN()-COLUMN(rw_LoadOrigin)-1))),"")</f>
        <v/>
      </c>
      <c r="AB53" s="61" t="str">
        <f aca="false">IFERROR(IF(INDEX(res_Name,(ROW()-ROW(rw_LoadOrigin)-1))="","",INDEX(rw_Cum,(ROW()-ROW(rw_LoadOrigin)-1),(COLUMN()-COLUMN(rw_LoadOrigin)-1)+1)-INDEX(rw_Cum,(ROW()-ROW(rw_LoadOrigin)-1),(COLUMN()-COLUMN(rw_LoadOrigin)-1))),"")</f>
        <v/>
      </c>
      <c r="AC53" s="61"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31" t="str">
        <f aca="false">IFERROR(INDEX(res_Name,(ROW()-ROW(rw_LoadOrigin)-1))&amp;"","")</f>
        <v/>
      </c>
      <c r="C54" s="60" t="str">
        <f aca="false">IFERROR(IF(INDEX(res_Name,(ROW()-ROW(rw_LoadOrigin)-1))="","",INDEX(res_MaxUnits,(ROW()-ROW(rw_LoadOrigin)-1))),"")</f>
        <v/>
      </c>
      <c r="D54" s="61" t="str">
        <f aca="false">IFERROR(IF(INDEX(res_Name,(ROW()-ROW(rw_LoadOrigin)-1))="","",INDEX(rw_Cum,(ROW()-ROW(rw_LoadOrigin)-1),(COLUMN()-COLUMN(rw_LoadOrigin)-1)+1)-INDEX(rw_Cum,(ROW()-ROW(rw_LoadOrigin)-1),(COLUMN()-COLUMN(rw_LoadOrigin)-1))),"")</f>
        <v/>
      </c>
      <c r="E54" s="61" t="str">
        <f aca="false">IFERROR(IF(INDEX(res_Name,(ROW()-ROW(rw_LoadOrigin)-1))="","",INDEX(rw_Cum,(ROW()-ROW(rw_LoadOrigin)-1),(COLUMN()-COLUMN(rw_LoadOrigin)-1)+1)-INDEX(rw_Cum,(ROW()-ROW(rw_LoadOrigin)-1),(COLUMN()-COLUMN(rw_LoadOrigin)-1))),"")</f>
        <v/>
      </c>
      <c r="F54" s="61" t="str">
        <f aca="false">IFERROR(IF(INDEX(res_Name,(ROW()-ROW(rw_LoadOrigin)-1))="","",INDEX(rw_Cum,(ROW()-ROW(rw_LoadOrigin)-1),(COLUMN()-COLUMN(rw_LoadOrigin)-1)+1)-INDEX(rw_Cum,(ROW()-ROW(rw_LoadOrigin)-1),(COLUMN()-COLUMN(rw_LoadOrigin)-1))),"")</f>
        <v/>
      </c>
      <c r="G54" s="61" t="str">
        <f aca="false">IFERROR(IF(INDEX(res_Name,(ROW()-ROW(rw_LoadOrigin)-1))="","",INDEX(rw_Cum,(ROW()-ROW(rw_LoadOrigin)-1),(COLUMN()-COLUMN(rw_LoadOrigin)-1)+1)-INDEX(rw_Cum,(ROW()-ROW(rw_LoadOrigin)-1),(COLUMN()-COLUMN(rw_LoadOrigin)-1))),"")</f>
        <v/>
      </c>
      <c r="H54" s="61" t="str">
        <f aca="false">IFERROR(IF(INDEX(res_Name,(ROW()-ROW(rw_LoadOrigin)-1))="","",INDEX(rw_Cum,(ROW()-ROW(rw_LoadOrigin)-1),(COLUMN()-COLUMN(rw_LoadOrigin)-1)+1)-INDEX(rw_Cum,(ROW()-ROW(rw_LoadOrigin)-1),(COLUMN()-COLUMN(rw_LoadOrigin)-1))),"")</f>
        <v/>
      </c>
      <c r="I54" s="61" t="str">
        <f aca="false">IFERROR(IF(INDEX(res_Name,(ROW()-ROW(rw_LoadOrigin)-1))="","",INDEX(rw_Cum,(ROW()-ROW(rw_LoadOrigin)-1),(COLUMN()-COLUMN(rw_LoadOrigin)-1)+1)-INDEX(rw_Cum,(ROW()-ROW(rw_LoadOrigin)-1),(COLUMN()-COLUMN(rw_LoadOrigin)-1))),"")</f>
        <v/>
      </c>
      <c r="J54" s="61" t="str">
        <f aca="false">IFERROR(IF(INDEX(res_Name,(ROW()-ROW(rw_LoadOrigin)-1))="","",INDEX(rw_Cum,(ROW()-ROW(rw_LoadOrigin)-1),(COLUMN()-COLUMN(rw_LoadOrigin)-1)+1)-INDEX(rw_Cum,(ROW()-ROW(rw_LoadOrigin)-1),(COLUMN()-COLUMN(rw_LoadOrigin)-1))),"")</f>
        <v/>
      </c>
      <c r="K54" s="61" t="str">
        <f aca="false">IFERROR(IF(INDEX(res_Name,(ROW()-ROW(rw_LoadOrigin)-1))="","",INDEX(rw_Cum,(ROW()-ROW(rw_LoadOrigin)-1),(COLUMN()-COLUMN(rw_LoadOrigin)-1)+1)-INDEX(rw_Cum,(ROW()-ROW(rw_LoadOrigin)-1),(COLUMN()-COLUMN(rw_LoadOrigin)-1))),"")</f>
        <v/>
      </c>
      <c r="L54" s="61" t="str">
        <f aca="false">IFERROR(IF(INDEX(res_Name,(ROW()-ROW(rw_LoadOrigin)-1))="","",INDEX(rw_Cum,(ROW()-ROW(rw_LoadOrigin)-1),(COLUMN()-COLUMN(rw_LoadOrigin)-1)+1)-INDEX(rw_Cum,(ROW()-ROW(rw_LoadOrigin)-1),(COLUMN()-COLUMN(rw_LoadOrigin)-1))),"")</f>
        <v/>
      </c>
      <c r="M54" s="61" t="str">
        <f aca="false">IFERROR(IF(INDEX(res_Name,(ROW()-ROW(rw_LoadOrigin)-1))="","",INDEX(rw_Cum,(ROW()-ROW(rw_LoadOrigin)-1),(COLUMN()-COLUMN(rw_LoadOrigin)-1)+1)-INDEX(rw_Cum,(ROW()-ROW(rw_LoadOrigin)-1),(COLUMN()-COLUMN(rw_LoadOrigin)-1))),"")</f>
        <v/>
      </c>
      <c r="N54" s="61" t="str">
        <f aca="false">IFERROR(IF(INDEX(res_Name,(ROW()-ROW(rw_LoadOrigin)-1))="","",INDEX(rw_Cum,(ROW()-ROW(rw_LoadOrigin)-1),(COLUMN()-COLUMN(rw_LoadOrigin)-1)+1)-INDEX(rw_Cum,(ROW()-ROW(rw_LoadOrigin)-1),(COLUMN()-COLUMN(rw_LoadOrigin)-1))),"")</f>
        <v/>
      </c>
      <c r="O54" s="61" t="str">
        <f aca="false">IFERROR(IF(INDEX(res_Name,(ROW()-ROW(rw_LoadOrigin)-1))="","",INDEX(rw_Cum,(ROW()-ROW(rw_LoadOrigin)-1),(COLUMN()-COLUMN(rw_LoadOrigin)-1)+1)-INDEX(rw_Cum,(ROW()-ROW(rw_LoadOrigin)-1),(COLUMN()-COLUMN(rw_LoadOrigin)-1))),"")</f>
        <v/>
      </c>
      <c r="P54" s="61" t="str">
        <f aca="false">IFERROR(IF(INDEX(res_Name,(ROW()-ROW(rw_LoadOrigin)-1))="","",INDEX(rw_Cum,(ROW()-ROW(rw_LoadOrigin)-1),(COLUMN()-COLUMN(rw_LoadOrigin)-1)+1)-INDEX(rw_Cum,(ROW()-ROW(rw_LoadOrigin)-1),(COLUMN()-COLUMN(rw_LoadOrigin)-1))),"")</f>
        <v/>
      </c>
      <c r="Q54" s="61" t="str">
        <f aca="false">IFERROR(IF(INDEX(res_Name,(ROW()-ROW(rw_LoadOrigin)-1))="","",INDEX(rw_Cum,(ROW()-ROW(rw_LoadOrigin)-1),(COLUMN()-COLUMN(rw_LoadOrigin)-1)+1)-INDEX(rw_Cum,(ROW()-ROW(rw_LoadOrigin)-1),(COLUMN()-COLUMN(rw_LoadOrigin)-1))),"")</f>
        <v/>
      </c>
      <c r="R54" s="61" t="str">
        <f aca="false">IFERROR(IF(INDEX(res_Name,(ROW()-ROW(rw_LoadOrigin)-1))="","",INDEX(rw_Cum,(ROW()-ROW(rw_LoadOrigin)-1),(COLUMN()-COLUMN(rw_LoadOrigin)-1)+1)-INDEX(rw_Cum,(ROW()-ROW(rw_LoadOrigin)-1),(COLUMN()-COLUMN(rw_LoadOrigin)-1))),"")</f>
        <v/>
      </c>
      <c r="S54" s="61" t="str">
        <f aca="false">IFERROR(IF(INDEX(res_Name,(ROW()-ROW(rw_LoadOrigin)-1))="","",INDEX(rw_Cum,(ROW()-ROW(rw_LoadOrigin)-1),(COLUMN()-COLUMN(rw_LoadOrigin)-1)+1)-INDEX(rw_Cum,(ROW()-ROW(rw_LoadOrigin)-1),(COLUMN()-COLUMN(rw_LoadOrigin)-1))),"")</f>
        <v/>
      </c>
      <c r="T54" s="61" t="str">
        <f aca="false">IFERROR(IF(INDEX(res_Name,(ROW()-ROW(rw_LoadOrigin)-1))="","",INDEX(rw_Cum,(ROW()-ROW(rw_LoadOrigin)-1),(COLUMN()-COLUMN(rw_LoadOrigin)-1)+1)-INDEX(rw_Cum,(ROW()-ROW(rw_LoadOrigin)-1),(COLUMN()-COLUMN(rw_LoadOrigin)-1))),"")</f>
        <v/>
      </c>
      <c r="U54" s="61" t="str">
        <f aca="false">IFERROR(IF(INDEX(res_Name,(ROW()-ROW(rw_LoadOrigin)-1))="","",INDEX(rw_Cum,(ROW()-ROW(rw_LoadOrigin)-1),(COLUMN()-COLUMN(rw_LoadOrigin)-1)+1)-INDEX(rw_Cum,(ROW()-ROW(rw_LoadOrigin)-1),(COLUMN()-COLUMN(rw_LoadOrigin)-1))),"")</f>
        <v/>
      </c>
      <c r="V54" s="61" t="str">
        <f aca="false">IFERROR(IF(INDEX(res_Name,(ROW()-ROW(rw_LoadOrigin)-1))="","",INDEX(rw_Cum,(ROW()-ROW(rw_LoadOrigin)-1),(COLUMN()-COLUMN(rw_LoadOrigin)-1)+1)-INDEX(rw_Cum,(ROW()-ROW(rw_LoadOrigin)-1),(COLUMN()-COLUMN(rw_LoadOrigin)-1))),"")</f>
        <v/>
      </c>
      <c r="W54" s="61" t="str">
        <f aca="false">IFERROR(IF(INDEX(res_Name,(ROW()-ROW(rw_LoadOrigin)-1))="","",INDEX(rw_Cum,(ROW()-ROW(rw_LoadOrigin)-1),(COLUMN()-COLUMN(rw_LoadOrigin)-1)+1)-INDEX(rw_Cum,(ROW()-ROW(rw_LoadOrigin)-1),(COLUMN()-COLUMN(rw_LoadOrigin)-1))),"")</f>
        <v/>
      </c>
      <c r="X54" s="61" t="str">
        <f aca="false">IFERROR(IF(INDEX(res_Name,(ROW()-ROW(rw_LoadOrigin)-1))="","",INDEX(rw_Cum,(ROW()-ROW(rw_LoadOrigin)-1),(COLUMN()-COLUMN(rw_LoadOrigin)-1)+1)-INDEX(rw_Cum,(ROW()-ROW(rw_LoadOrigin)-1),(COLUMN()-COLUMN(rw_LoadOrigin)-1))),"")</f>
        <v/>
      </c>
      <c r="Y54" s="61" t="str">
        <f aca="false">IFERROR(IF(INDEX(res_Name,(ROW()-ROW(rw_LoadOrigin)-1))="","",INDEX(rw_Cum,(ROW()-ROW(rw_LoadOrigin)-1),(COLUMN()-COLUMN(rw_LoadOrigin)-1)+1)-INDEX(rw_Cum,(ROW()-ROW(rw_LoadOrigin)-1),(COLUMN()-COLUMN(rw_LoadOrigin)-1))),"")</f>
        <v/>
      </c>
      <c r="Z54" s="61" t="str">
        <f aca="false">IFERROR(IF(INDEX(res_Name,(ROW()-ROW(rw_LoadOrigin)-1))="","",INDEX(rw_Cum,(ROW()-ROW(rw_LoadOrigin)-1),(COLUMN()-COLUMN(rw_LoadOrigin)-1)+1)-INDEX(rw_Cum,(ROW()-ROW(rw_LoadOrigin)-1),(COLUMN()-COLUMN(rw_LoadOrigin)-1))),"")</f>
        <v/>
      </c>
      <c r="AA54" s="61" t="str">
        <f aca="false">IFERROR(IF(INDEX(res_Name,(ROW()-ROW(rw_LoadOrigin)-1))="","",INDEX(rw_Cum,(ROW()-ROW(rw_LoadOrigin)-1),(COLUMN()-COLUMN(rw_LoadOrigin)-1)+1)-INDEX(rw_Cum,(ROW()-ROW(rw_LoadOrigin)-1),(COLUMN()-COLUMN(rw_LoadOrigin)-1))),"")</f>
        <v/>
      </c>
      <c r="AB54" s="61" t="str">
        <f aca="false">IFERROR(IF(INDEX(res_Name,(ROW()-ROW(rw_LoadOrigin)-1))="","",INDEX(rw_Cum,(ROW()-ROW(rw_LoadOrigin)-1),(COLUMN()-COLUMN(rw_LoadOrigin)-1)+1)-INDEX(rw_Cum,(ROW()-ROW(rw_LoadOrigin)-1),(COLUMN()-COLUMN(rw_LoadOrigin)-1))),"")</f>
        <v/>
      </c>
      <c r="AC54" s="61"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31" t="str">
        <f aca="false">IFERROR(INDEX(res_Name,(ROW()-ROW(rw_LoadOrigin)-1))&amp;"","")</f>
        <v/>
      </c>
      <c r="C55" s="60" t="str">
        <f aca="false">IFERROR(IF(INDEX(res_Name,(ROW()-ROW(rw_LoadOrigin)-1))="","",INDEX(res_MaxUnits,(ROW()-ROW(rw_LoadOrigin)-1))),"")</f>
        <v/>
      </c>
      <c r="D55" s="61" t="str">
        <f aca="false">IFERROR(IF(INDEX(res_Name,(ROW()-ROW(rw_LoadOrigin)-1))="","",INDEX(rw_Cum,(ROW()-ROW(rw_LoadOrigin)-1),(COLUMN()-COLUMN(rw_LoadOrigin)-1)+1)-INDEX(rw_Cum,(ROW()-ROW(rw_LoadOrigin)-1),(COLUMN()-COLUMN(rw_LoadOrigin)-1))),"")</f>
        <v/>
      </c>
      <c r="E55" s="61" t="str">
        <f aca="false">IFERROR(IF(INDEX(res_Name,(ROW()-ROW(rw_LoadOrigin)-1))="","",INDEX(rw_Cum,(ROW()-ROW(rw_LoadOrigin)-1),(COLUMN()-COLUMN(rw_LoadOrigin)-1)+1)-INDEX(rw_Cum,(ROW()-ROW(rw_LoadOrigin)-1),(COLUMN()-COLUMN(rw_LoadOrigin)-1))),"")</f>
        <v/>
      </c>
      <c r="F55" s="61" t="str">
        <f aca="false">IFERROR(IF(INDEX(res_Name,(ROW()-ROW(rw_LoadOrigin)-1))="","",INDEX(rw_Cum,(ROW()-ROW(rw_LoadOrigin)-1),(COLUMN()-COLUMN(rw_LoadOrigin)-1)+1)-INDEX(rw_Cum,(ROW()-ROW(rw_LoadOrigin)-1),(COLUMN()-COLUMN(rw_LoadOrigin)-1))),"")</f>
        <v/>
      </c>
      <c r="G55" s="61" t="str">
        <f aca="false">IFERROR(IF(INDEX(res_Name,(ROW()-ROW(rw_LoadOrigin)-1))="","",INDEX(rw_Cum,(ROW()-ROW(rw_LoadOrigin)-1),(COLUMN()-COLUMN(rw_LoadOrigin)-1)+1)-INDEX(rw_Cum,(ROW()-ROW(rw_LoadOrigin)-1),(COLUMN()-COLUMN(rw_LoadOrigin)-1))),"")</f>
        <v/>
      </c>
      <c r="H55" s="61" t="str">
        <f aca="false">IFERROR(IF(INDEX(res_Name,(ROW()-ROW(rw_LoadOrigin)-1))="","",INDEX(rw_Cum,(ROW()-ROW(rw_LoadOrigin)-1),(COLUMN()-COLUMN(rw_LoadOrigin)-1)+1)-INDEX(rw_Cum,(ROW()-ROW(rw_LoadOrigin)-1),(COLUMN()-COLUMN(rw_LoadOrigin)-1))),"")</f>
        <v/>
      </c>
      <c r="I55" s="61" t="str">
        <f aca="false">IFERROR(IF(INDEX(res_Name,(ROW()-ROW(rw_LoadOrigin)-1))="","",INDEX(rw_Cum,(ROW()-ROW(rw_LoadOrigin)-1),(COLUMN()-COLUMN(rw_LoadOrigin)-1)+1)-INDEX(rw_Cum,(ROW()-ROW(rw_LoadOrigin)-1),(COLUMN()-COLUMN(rw_LoadOrigin)-1))),"")</f>
        <v/>
      </c>
      <c r="J55" s="61" t="str">
        <f aca="false">IFERROR(IF(INDEX(res_Name,(ROW()-ROW(rw_LoadOrigin)-1))="","",INDEX(rw_Cum,(ROW()-ROW(rw_LoadOrigin)-1),(COLUMN()-COLUMN(rw_LoadOrigin)-1)+1)-INDEX(rw_Cum,(ROW()-ROW(rw_LoadOrigin)-1),(COLUMN()-COLUMN(rw_LoadOrigin)-1))),"")</f>
        <v/>
      </c>
      <c r="K55" s="61" t="str">
        <f aca="false">IFERROR(IF(INDEX(res_Name,(ROW()-ROW(rw_LoadOrigin)-1))="","",INDEX(rw_Cum,(ROW()-ROW(rw_LoadOrigin)-1),(COLUMN()-COLUMN(rw_LoadOrigin)-1)+1)-INDEX(rw_Cum,(ROW()-ROW(rw_LoadOrigin)-1),(COLUMN()-COLUMN(rw_LoadOrigin)-1))),"")</f>
        <v/>
      </c>
      <c r="L55" s="61" t="str">
        <f aca="false">IFERROR(IF(INDEX(res_Name,(ROW()-ROW(rw_LoadOrigin)-1))="","",INDEX(rw_Cum,(ROW()-ROW(rw_LoadOrigin)-1),(COLUMN()-COLUMN(rw_LoadOrigin)-1)+1)-INDEX(rw_Cum,(ROW()-ROW(rw_LoadOrigin)-1),(COLUMN()-COLUMN(rw_LoadOrigin)-1))),"")</f>
        <v/>
      </c>
      <c r="M55" s="61" t="str">
        <f aca="false">IFERROR(IF(INDEX(res_Name,(ROW()-ROW(rw_LoadOrigin)-1))="","",INDEX(rw_Cum,(ROW()-ROW(rw_LoadOrigin)-1),(COLUMN()-COLUMN(rw_LoadOrigin)-1)+1)-INDEX(rw_Cum,(ROW()-ROW(rw_LoadOrigin)-1),(COLUMN()-COLUMN(rw_LoadOrigin)-1))),"")</f>
        <v/>
      </c>
      <c r="N55" s="61" t="str">
        <f aca="false">IFERROR(IF(INDEX(res_Name,(ROW()-ROW(rw_LoadOrigin)-1))="","",INDEX(rw_Cum,(ROW()-ROW(rw_LoadOrigin)-1),(COLUMN()-COLUMN(rw_LoadOrigin)-1)+1)-INDEX(rw_Cum,(ROW()-ROW(rw_LoadOrigin)-1),(COLUMN()-COLUMN(rw_LoadOrigin)-1))),"")</f>
        <v/>
      </c>
      <c r="O55" s="61" t="str">
        <f aca="false">IFERROR(IF(INDEX(res_Name,(ROW()-ROW(rw_LoadOrigin)-1))="","",INDEX(rw_Cum,(ROW()-ROW(rw_LoadOrigin)-1),(COLUMN()-COLUMN(rw_LoadOrigin)-1)+1)-INDEX(rw_Cum,(ROW()-ROW(rw_LoadOrigin)-1),(COLUMN()-COLUMN(rw_LoadOrigin)-1))),"")</f>
        <v/>
      </c>
      <c r="P55" s="61" t="str">
        <f aca="false">IFERROR(IF(INDEX(res_Name,(ROW()-ROW(rw_LoadOrigin)-1))="","",INDEX(rw_Cum,(ROW()-ROW(rw_LoadOrigin)-1),(COLUMN()-COLUMN(rw_LoadOrigin)-1)+1)-INDEX(rw_Cum,(ROW()-ROW(rw_LoadOrigin)-1),(COLUMN()-COLUMN(rw_LoadOrigin)-1))),"")</f>
        <v/>
      </c>
      <c r="Q55" s="61" t="str">
        <f aca="false">IFERROR(IF(INDEX(res_Name,(ROW()-ROW(rw_LoadOrigin)-1))="","",INDEX(rw_Cum,(ROW()-ROW(rw_LoadOrigin)-1),(COLUMN()-COLUMN(rw_LoadOrigin)-1)+1)-INDEX(rw_Cum,(ROW()-ROW(rw_LoadOrigin)-1),(COLUMN()-COLUMN(rw_LoadOrigin)-1))),"")</f>
        <v/>
      </c>
      <c r="R55" s="61" t="str">
        <f aca="false">IFERROR(IF(INDEX(res_Name,(ROW()-ROW(rw_LoadOrigin)-1))="","",INDEX(rw_Cum,(ROW()-ROW(rw_LoadOrigin)-1),(COLUMN()-COLUMN(rw_LoadOrigin)-1)+1)-INDEX(rw_Cum,(ROW()-ROW(rw_LoadOrigin)-1),(COLUMN()-COLUMN(rw_LoadOrigin)-1))),"")</f>
        <v/>
      </c>
      <c r="S55" s="61" t="str">
        <f aca="false">IFERROR(IF(INDEX(res_Name,(ROW()-ROW(rw_LoadOrigin)-1))="","",INDEX(rw_Cum,(ROW()-ROW(rw_LoadOrigin)-1),(COLUMN()-COLUMN(rw_LoadOrigin)-1)+1)-INDEX(rw_Cum,(ROW()-ROW(rw_LoadOrigin)-1),(COLUMN()-COLUMN(rw_LoadOrigin)-1))),"")</f>
        <v/>
      </c>
      <c r="T55" s="61" t="str">
        <f aca="false">IFERROR(IF(INDEX(res_Name,(ROW()-ROW(rw_LoadOrigin)-1))="","",INDEX(rw_Cum,(ROW()-ROW(rw_LoadOrigin)-1),(COLUMN()-COLUMN(rw_LoadOrigin)-1)+1)-INDEX(rw_Cum,(ROW()-ROW(rw_LoadOrigin)-1),(COLUMN()-COLUMN(rw_LoadOrigin)-1))),"")</f>
        <v/>
      </c>
      <c r="U55" s="61" t="str">
        <f aca="false">IFERROR(IF(INDEX(res_Name,(ROW()-ROW(rw_LoadOrigin)-1))="","",INDEX(rw_Cum,(ROW()-ROW(rw_LoadOrigin)-1),(COLUMN()-COLUMN(rw_LoadOrigin)-1)+1)-INDEX(rw_Cum,(ROW()-ROW(rw_LoadOrigin)-1),(COLUMN()-COLUMN(rw_LoadOrigin)-1))),"")</f>
        <v/>
      </c>
      <c r="V55" s="61" t="str">
        <f aca="false">IFERROR(IF(INDEX(res_Name,(ROW()-ROW(rw_LoadOrigin)-1))="","",INDEX(rw_Cum,(ROW()-ROW(rw_LoadOrigin)-1),(COLUMN()-COLUMN(rw_LoadOrigin)-1)+1)-INDEX(rw_Cum,(ROW()-ROW(rw_LoadOrigin)-1),(COLUMN()-COLUMN(rw_LoadOrigin)-1))),"")</f>
        <v/>
      </c>
      <c r="W55" s="61" t="str">
        <f aca="false">IFERROR(IF(INDEX(res_Name,(ROW()-ROW(rw_LoadOrigin)-1))="","",INDEX(rw_Cum,(ROW()-ROW(rw_LoadOrigin)-1),(COLUMN()-COLUMN(rw_LoadOrigin)-1)+1)-INDEX(rw_Cum,(ROW()-ROW(rw_LoadOrigin)-1),(COLUMN()-COLUMN(rw_LoadOrigin)-1))),"")</f>
        <v/>
      </c>
      <c r="X55" s="61" t="str">
        <f aca="false">IFERROR(IF(INDEX(res_Name,(ROW()-ROW(rw_LoadOrigin)-1))="","",INDEX(rw_Cum,(ROW()-ROW(rw_LoadOrigin)-1),(COLUMN()-COLUMN(rw_LoadOrigin)-1)+1)-INDEX(rw_Cum,(ROW()-ROW(rw_LoadOrigin)-1),(COLUMN()-COLUMN(rw_LoadOrigin)-1))),"")</f>
        <v/>
      </c>
      <c r="Y55" s="61" t="str">
        <f aca="false">IFERROR(IF(INDEX(res_Name,(ROW()-ROW(rw_LoadOrigin)-1))="","",INDEX(rw_Cum,(ROW()-ROW(rw_LoadOrigin)-1),(COLUMN()-COLUMN(rw_LoadOrigin)-1)+1)-INDEX(rw_Cum,(ROW()-ROW(rw_LoadOrigin)-1),(COLUMN()-COLUMN(rw_LoadOrigin)-1))),"")</f>
        <v/>
      </c>
      <c r="Z55" s="61" t="str">
        <f aca="false">IFERROR(IF(INDEX(res_Name,(ROW()-ROW(rw_LoadOrigin)-1))="","",INDEX(rw_Cum,(ROW()-ROW(rw_LoadOrigin)-1),(COLUMN()-COLUMN(rw_LoadOrigin)-1)+1)-INDEX(rw_Cum,(ROW()-ROW(rw_LoadOrigin)-1),(COLUMN()-COLUMN(rw_LoadOrigin)-1))),"")</f>
        <v/>
      </c>
      <c r="AA55" s="61" t="str">
        <f aca="false">IFERROR(IF(INDEX(res_Name,(ROW()-ROW(rw_LoadOrigin)-1))="","",INDEX(rw_Cum,(ROW()-ROW(rw_LoadOrigin)-1),(COLUMN()-COLUMN(rw_LoadOrigin)-1)+1)-INDEX(rw_Cum,(ROW()-ROW(rw_LoadOrigin)-1),(COLUMN()-COLUMN(rw_LoadOrigin)-1))),"")</f>
        <v/>
      </c>
      <c r="AB55" s="61" t="str">
        <f aca="false">IFERROR(IF(INDEX(res_Name,(ROW()-ROW(rw_LoadOrigin)-1))="","",INDEX(rw_Cum,(ROW()-ROW(rw_LoadOrigin)-1),(COLUMN()-COLUMN(rw_LoadOrigin)-1)+1)-INDEX(rw_Cum,(ROW()-ROW(rw_LoadOrigin)-1),(COLUMN()-COLUMN(rw_LoadOrigin)-1))),"")</f>
        <v/>
      </c>
      <c r="AC55" s="61"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31" t="str">
        <f aca="false">IFERROR(INDEX(res_Name,(ROW()-ROW(rw_LoadOrigin)-1))&amp;"","")</f>
        <v/>
      </c>
      <c r="C56" s="60" t="str">
        <f aca="false">IFERROR(IF(INDEX(res_Name,(ROW()-ROW(rw_LoadOrigin)-1))="","",INDEX(res_MaxUnits,(ROW()-ROW(rw_LoadOrigin)-1))),"")</f>
        <v/>
      </c>
      <c r="D56" s="61" t="str">
        <f aca="false">IFERROR(IF(INDEX(res_Name,(ROW()-ROW(rw_LoadOrigin)-1))="","",INDEX(rw_Cum,(ROW()-ROW(rw_LoadOrigin)-1),(COLUMN()-COLUMN(rw_LoadOrigin)-1)+1)-INDEX(rw_Cum,(ROW()-ROW(rw_LoadOrigin)-1),(COLUMN()-COLUMN(rw_LoadOrigin)-1))),"")</f>
        <v/>
      </c>
      <c r="E56" s="61" t="str">
        <f aca="false">IFERROR(IF(INDEX(res_Name,(ROW()-ROW(rw_LoadOrigin)-1))="","",INDEX(rw_Cum,(ROW()-ROW(rw_LoadOrigin)-1),(COLUMN()-COLUMN(rw_LoadOrigin)-1)+1)-INDEX(rw_Cum,(ROW()-ROW(rw_LoadOrigin)-1),(COLUMN()-COLUMN(rw_LoadOrigin)-1))),"")</f>
        <v/>
      </c>
      <c r="F56" s="61" t="str">
        <f aca="false">IFERROR(IF(INDEX(res_Name,(ROW()-ROW(rw_LoadOrigin)-1))="","",INDEX(rw_Cum,(ROW()-ROW(rw_LoadOrigin)-1),(COLUMN()-COLUMN(rw_LoadOrigin)-1)+1)-INDEX(rw_Cum,(ROW()-ROW(rw_LoadOrigin)-1),(COLUMN()-COLUMN(rw_LoadOrigin)-1))),"")</f>
        <v/>
      </c>
      <c r="G56" s="61" t="str">
        <f aca="false">IFERROR(IF(INDEX(res_Name,(ROW()-ROW(rw_LoadOrigin)-1))="","",INDEX(rw_Cum,(ROW()-ROW(rw_LoadOrigin)-1),(COLUMN()-COLUMN(rw_LoadOrigin)-1)+1)-INDEX(rw_Cum,(ROW()-ROW(rw_LoadOrigin)-1),(COLUMN()-COLUMN(rw_LoadOrigin)-1))),"")</f>
        <v/>
      </c>
      <c r="H56" s="61" t="str">
        <f aca="false">IFERROR(IF(INDEX(res_Name,(ROW()-ROW(rw_LoadOrigin)-1))="","",INDEX(rw_Cum,(ROW()-ROW(rw_LoadOrigin)-1),(COLUMN()-COLUMN(rw_LoadOrigin)-1)+1)-INDEX(rw_Cum,(ROW()-ROW(rw_LoadOrigin)-1),(COLUMN()-COLUMN(rw_LoadOrigin)-1))),"")</f>
        <v/>
      </c>
      <c r="I56" s="61" t="str">
        <f aca="false">IFERROR(IF(INDEX(res_Name,(ROW()-ROW(rw_LoadOrigin)-1))="","",INDEX(rw_Cum,(ROW()-ROW(rw_LoadOrigin)-1),(COLUMN()-COLUMN(rw_LoadOrigin)-1)+1)-INDEX(rw_Cum,(ROW()-ROW(rw_LoadOrigin)-1),(COLUMN()-COLUMN(rw_LoadOrigin)-1))),"")</f>
        <v/>
      </c>
      <c r="J56" s="61" t="str">
        <f aca="false">IFERROR(IF(INDEX(res_Name,(ROW()-ROW(rw_LoadOrigin)-1))="","",INDEX(rw_Cum,(ROW()-ROW(rw_LoadOrigin)-1),(COLUMN()-COLUMN(rw_LoadOrigin)-1)+1)-INDEX(rw_Cum,(ROW()-ROW(rw_LoadOrigin)-1),(COLUMN()-COLUMN(rw_LoadOrigin)-1))),"")</f>
        <v/>
      </c>
      <c r="K56" s="61" t="str">
        <f aca="false">IFERROR(IF(INDEX(res_Name,(ROW()-ROW(rw_LoadOrigin)-1))="","",INDEX(rw_Cum,(ROW()-ROW(rw_LoadOrigin)-1),(COLUMN()-COLUMN(rw_LoadOrigin)-1)+1)-INDEX(rw_Cum,(ROW()-ROW(rw_LoadOrigin)-1),(COLUMN()-COLUMN(rw_LoadOrigin)-1))),"")</f>
        <v/>
      </c>
      <c r="L56" s="61" t="str">
        <f aca="false">IFERROR(IF(INDEX(res_Name,(ROW()-ROW(rw_LoadOrigin)-1))="","",INDEX(rw_Cum,(ROW()-ROW(rw_LoadOrigin)-1),(COLUMN()-COLUMN(rw_LoadOrigin)-1)+1)-INDEX(rw_Cum,(ROW()-ROW(rw_LoadOrigin)-1),(COLUMN()-COLUMN(rw_LoadOrigin)-1))),"")</f>
        <v/>
      </c>
      <c r="M56" s="61" t="str">
        <f aca="false">IFERROR(IF(INDEX(res_Name,(ROW()-ROW(rw_LoadOrigin)-1))="","",INDEX(rw_Cum,(ROW()-ROW(rw_LoadOrigin)-1),(COLUMN()-COLUMN(rw_LoadOrigin)-1)+1)-INDEX(rw_Cum,(ROW()-ROW(rw_LoadOrigin)-1),(COLUMN()-COLUMN(rw_LoadOrigin)-1))),"")</f>
        <v/>
      </c>
      <c r="N56" s="61" t="str">
        <f aca="false">IFERROR(IF(INDEX(res_Name,(ROW()-ROW(rw_LoadOrigin)-1))="","",INDEX(rw_Cum,(ROW()-ROW(rw_LoadOrigin)-1),(COLUMN()-COLUMN(rw_LoadOrigin)-1)+1)-INDEX(rw_Cum,(ROW()-ROW(rw_LoadOrigin)-1),(COLUMN()-COLUMN(rw_LoadOrigin)-1))),"")</f>
        <v/>
      </c>
      <c r="O56" s="61" t="str">
        <f aca="false">IFERROR(IF(INDEX(res_Name,(ROW()-ROW(rw_LoadOrigin)-1))="","",INDEX(rw_Cum,(ROW()-ROW(rw_LoadOrigin)-1),(COLUMN()-COLUMN(rw_LoadOrigin)-1)+1)-INDEX(rw_Cum,(ROW()-ROW(rw_LoadOrigin)-1),(COLUMN()-COLUMN(rw_LoadOrigin)-1))),"")</f>
        <v/>
      </c>
      <c r="P56" s="61" t="str">
        <f aca="false">IFERROR(IF(INDEX(res_Name,(ROW()-ROW(rw_LoadOrigin)-1))="","",INDEX(rw_Cum,(ROW()-ROW(rw_LoadOrigin)-1),(COLUMN()-COLUMN(rw_LoadOrigin)-1)+1)-INDEX(rw_Cum,(ROW()-ROW(rw_LoadOrigin)-1),(COLUMN()-COLUMN(rw_LoadOrigin)-1))),"")</f>
        <v/>
      </c>
      <c r="Q56" s="61" t="str">
        <f aca="false">IFERROR(IF(INDEX(res_Name,(ROW()-ROW(rw_LoadOrigin)-1))="","",INDEX(rw_Cum,(ROW()-ROW(rw_LoadOrigin)-1),(COLUMN()-COLUMN(rw_LoadOrigin)-1)+1)-INDEX(rw_Cum,(ROW()-ROW(rw_LoadOrigin)-1),(COLUMN()-COLUMN(rw_LoadOrigin)-1))),"")</f>
        <v/>
      </c>
      <c r="R56" s="61" t="str">
        <f aca="false">IFERROR(IF(INDEX(res_Name,(ROW()-ROW(rw_LoadOrigin)-1))="","",INDEX(rw_Cum,(ROW()-ROW(rw_LoadOrigin)-1),(COLUMN()-COLUMN(rw_LoadOrigin)-1)+1)-INDEX(rw_Cum,(ROW()-ROW(rw_LoadOrigin)-1),(COLUMN()-COLUMN(rw_LoadOrigin)-1))),"")</f>
        <v/>
      </c>
      <c r="S56" s="61" t="str">
        <f aca="false">IFERROR(IF(INDEX(res_Name,(ROW()-ROW(rw_LoadOrigin)-1))="","",INDEX(rw_Cum,(ROW()-ROW(rw_LoadOrigin)-1),(COLUMN()-COLUMN(rw_LoadOrigin)-1)+1)-INDEX(rw_Cum,(ROW()-ROW(rw_LoadOrigin)-1),(COLUMN()-COLUMN(rw_LoadOrigin)-1))),"")</f>
        <v/>
      </c>
      <c r="T56" s="61" t="str">
        <f aca="false">IFERROR(IF(INDEX(res_Name,(ROW()-ROW(rw_LoadOrigin)-1))="","",INDEX(rw_Cum,(ROW()-ROW(rw_LoadOrigin)-1),(COLUMN()-COLUMN(rw_LoadOrigin)-1)+1)-INDEX(rw_Cum,(ROW()-ROW(rw_LoadOrigin)-1),(COLUMN()-COLUMN(rw_LoadOrigin)-1))),"")</f>
        <v/>
      </c>
      <c r="U56" s="61" t="str">
        <f aca="false">IFERROR(IF(INDEX(res_Name,(ROW()-ROW(rw_LoadOrigin)-1))="","",INDEX(rw_Cum,(ROW()-ROW(rw_LoadOrigin)-1),(COLUMN()-COLUMN(rw_LoadOrigin)-1)+1)-INDEX(rw_Cum,(ROW()-ROW(rw_LoadOrigin)-1),(COLUMN()-COLUMN(rw_LoadOrigin)-1))),"")</f>
        <v/>
      </c>
      <c r="V56" s="61" t="str">
        <f aca="false">IFERROR(IF(INDEX(res_Name,(ROW()-ROW(rw_LoadOrigin)-1))="","",INDEX(rw_Cum,(ROW()-ROW(rw_LoadOrigin)-1),(COLUMN()-COLUMN(rw_LoadOrigin)-1)+1)-INDEX(rw_Cum,(ROW()-ROW(rw_LoadOrigin)-1),(COLUMN()-COLUMN(rw_LoadOrigin)-1))),"")</f>
        <v/>
      </c>
      <c r="W56" s="61" t="str">
        <f aca="false">IFERROR(IF(INDEX(res_Name,(ROW()-ROW(rw_LoadOrigin)-1))="","",INDEX(rw_Cum,(ROW()-ROW(rw_LoadOrigin)-1),(COLUMN()-COLUMN(rw_LoadOrigin)-1)+1)-INDEX(rw_Cum,(ROW()-ROW(rw_LoadOrigin)-1),(COLUMN()-COLUMN(rw_LoadOrigin)-1))),"")</f>
        <v/>
      </c>
      <c r="X56" s="61" t="str">
        <f aca="false">IFERROR(IF(INDEX(res_Name,(ROW()-ROW(rw_LoadOrigin)-1))="","",INDEX(rw_Cum,(ROW()-ROW(rw_LoadOrigin)-1),(COLUMN()-COLUMN(rw_LoadOrigin)-1)+1)-INDEX(rw_Cum,(ROW()-ROW(rw_LoadOrigin)-1),(COLUMN()-COLUMN(rw_LoadOrigin)-1))),"")</f>
        <v/>
      </c>
      <c r="Y56" s="61" t="str">
        <f aca="false">IFERROR(IF(INDEX(res_Name,(ROW()-ROW(rw_LoadOrigin)-1))="","",INDEX(rw_Cum,(ROW()-ROW(rw_LoadOrigin)-1),(COLUMN()-COLUMN(rw_LoadOrigin)-1)+1)-INDEX(rw_Cum,(ROW()-ROW(rw_LoadOrigin)-1),(COLUMN()-COLUMN(rw_LoadOrigin)-1))),"")</f>
        <v/>
      </c>
      <c r="Z56" s="61" t="str">
        <f aca="false">IFERROR(IF(INDEX(res_Name,(ROW()-ROW(rw_LoadOrigin)-1))="","",INDEX(rw_Cum,(ROW()-ROW(rw_LoadOrigin)-1),(COLUMN()-COLUMN(rw_LoadOrigin)-1)+1)-INDEX(rw_Cum,(ROW()-ROW(rw_LoadOrigin)-1),(COLUMN()-COLUMN(rw_LoadOrigin)-1))),"")</f>
        <v/>
      </c>
      <c r="AA56" s="61" t="str">
        <f aca="false">IFERROR(IF(INDEX(res_Name,(ROW()-ROW(rw_LoadOrigin)-1))="","",INDEX(rw_Cum,(ROW()-ROW(rw_LoadOrigin)-1),(COLUMN()-COLUMN(rw_LoadOrigin)-1)+1)-INDEX(rw_Cum,(ROW()-ROW(rw_LoadOrigin)-1),(COLUMN()-COLUMN(rw_LoadOrigin)-1))),"")</f>
        <v/>
      </c>
      <c r="AB56" s="61" t="str">
        <f aca="false">IFERROR(IF(INDEX(res_Name,(ROW()-ROW(rw_LoadOrigin)-1))="","",INDEX(rw_Cum,(ROW()-ROW(rw_LoadOrigin)-1),(COLUMN()-COLUMN(rw_LoadOrigin)-1)+1)-INDEX(rw_Cum,(ROW()-ROW(rw_LoadOrigin)-1),(COLUMN()-COLUMN(rw_LoadOrigin)-1))),"")</f>
        <v/>
      </c>
      <c r="AC56" s="61"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31" t="str">
        <f aca="false">IFERROR(INDEX(res_Name,(ROW()-ROW(rw_LoadOrigin)-1))&amp;"","")</f>
        <v/>
      </c>
      <c r="C57" s="60" t="str">
        <f aca="false">IFERROR(IF(INDEX(res_Name,(ROW()-ROW(rw_LoadOrigin)-1))="","",INDEX(res_MaxUnits,(ROW()-ROW(rw_LoadOrigin)-1))),"")</f>
        <v/>
      </c>
      <c r="D57" s="61" t="str">
        <f aca="false">IFERROR(IF(INDEX(res_Name,(ROW()-ROW(rw_LoadOrigin)-1))="","",INDEX(rw_Cum,(ROW()-ROW(rw_LoadOrigin)-1),(COLUMN()-COLUMN(rw_LoadOrigin)-1)+1)-INDEX(rw_Cum,(ROW()-ROW(rw_LoadOrigin)-1),(COLUMN()-COLUMN(rw_LoadOrigin)-1))),"")</f>
        <v/>
      </c>
      <c r="E57" s="61" t="str">
        <f aca="false">IFERROR(IF(INDEX(res_Name,(ROW()-ROW(rw_LoadOrigin)-1))="","",INDEX(rw_Cum,(ROW()-ROW(rw_LoadOrigin)-1),(COLUMN()-COLUMN(rw_LoadOrigin)-1)+1)-INDEX(rw_Cum,(ROW()-ROW(rw_LoadOrigin)-1),(COLUMN()-COLUMN(rw_LoadOrigin)-1))),"")</f>
        <v/>
      </c>
      <c r="F57" s="61" t="str">
        <f aca="false">IFERROR(IF(INDEX(res_Name,(ROW()-ROW(rw_LoadOrigin)-1))="","",INDEX(rw_Cum,(ROW()-ROW(rw_LoadOrigin)-1),(COLUMN()-COLUMN(rw_LoadOrigin)-1)+1)-INDEX(rw_Cum,(ROW()-ROW(rw_LoadOrigin)-1),(COLUMN()-COLUMN(rw_LoadOrigin)-1))),"")</f>
        <v/>
      </c>
      <c r="G57" s="61" t="str">
        <f aca="false">IFERROR(IF(INDEX(res_Name,(ROW()-ROW(rw_LoadOrigin)-1))="","",INDEX(rw_Cum,(ROW()-ROW(rw_LoadOrigin)-1),(COLUMN()-COLUMN(rw_LoadOrigin)-1)+1)-INDEX(rw_Cum,(ROW()-ROW(rw_LoadOrigin)-1),(COLUMN()-COLUMN(rw_LoadOrigin)-1))),"")</f>
        <v/>
      </c>
      <c r="H57" s="61" t="str">
        <f aca="false">IFERROR(IF(INDEX(res_Name,(ROW()-ROW(rw_LoadOrigin)-1))="","",INDEX(rw_Cum,(ROW()-ROW(rw_LoadOrigin)-1),(COLUMN()-COLUMN(rw_LoadOrigin)-1)+1)-INDEX(rw_Cum,(ROW()-ROW(rw_LoadOrigin)-1),(COLUMN()-COLUMN(rw_LoadOrigin)-1))),"")</f>
        <v/>
      </c>
      <c r="I57" s="61" t="str">
        <f aca="false">IFERROR(IF(INDEX(res_Name,(ROW()-ROW(rw_LoadOrigin)-1))="","",INDEX(rw_Cum,(ROW()-ROW(rw_LoadOrigin)-1),(COLUMN()-COLUMN(rw_LoadOrigin)-1)+1)-INDEX(rw_Cum,(ROW()-ROW(rw_LoadOrigin)-1),(COLUMN()-COLUMN(rw_LoadOrigin)-1))),"")</f>
        <v/>
      </c>
      <c r="J57" s="61" t="str">
        <f aca="false">IFERROR(IF(INDEX(res_Name,(ROW()-ROW(rw_LoadOrigin)-1))="","",INDEX(rw_Cum,(ROW()-ROW(rw_LoadOrigin)-1),(COLUMN()-COLUMN(rw_LoadOrigin)-1)+1)-INDEX(rw_Cum,(ROW()-ROW(rw_LoadOrigin)-1),(COLUMN()-COLUMN(rw_LoadOrigin)-1))),"")</f>
        <v/>
      </c>
      <c r="K57" s="61" t="str">
        <f aca="false">IFERROR(IF(INDEX(res_Name,(ROW()-ROW(rw_LoadOrigin)-1))="","",INDEX(rw_Cum,(ROW()-ROW(rw_LoadOrigin)-1),(COLUMN()-COLUMN(rw_LoadOrigin)-1)+1)-INDEX(rw_Cum,(ROW()-ROW(rw_LoadOrigin)-1),(COLUMN()-COLUMN(rw_LoadOrigin)-1))),"")</f>
        <v/>
      </c>
      <c r="L57" s="61" t="str">
        <f aca="false">IFERROR(IF(INDEX(res_Name,(ROW()-ROW(rw_LoadOrigin)-1))="","",INDEX(rw_Cum,(ROW()-ROW(rw_LoadOrigin)-1),(COLUMN()-COLUMN(rw_LoadOrigin)-1)+1)-INDEX(rw_Cum,(ROW()-ROW(rw_LoadOrigin)-1),(COLUMN()-COLUMN(rw_LoadOrigin)-1))),"")</f>
        <v/>
      </c>
      <c r="M57" s="61" t="str">
        <f aca="false">IFERROR(IF(INDEX(res_Name,(ROW()-ROW(rw_LoadOrigin)-1))="","",INDEX(rw_Cum,(ROW()-ROW(rw_LoadOrigin)-1),(COLUMN()-COLUMN(rw_LoadOrigin)-1)+1)-INDEX(rw_Cum,(ROW()-ROW(rw_LoadOrigin)-1),(COLUMN()-COLUMN(rw_LoadOrigin)-1))),"")</f>
        <v/>
      </c>
      <c r="N57" s="61" t="str">
        <f aca="false">IFERROR(IF(INDEX(res_Name,(ROW()-ROW(rw_LoadOrigin)-1))="","",INDEX(rw_Cum,(ROW()-ROW(rw_LoadOrigin)-1),(COLUMN()-COLUMN(rw_LoadOrigin)-1)+1)-INDEX(rw_Cum,(ROW()-ROW(rw_LoadOrigin)-1),(COLUMN()-COLUMN(rw_LoadOrigin)-1))),"")</f>
        <v/>
      </c>
      <c r="O57" s="61" t="str">
        <f aca="false">IFERROR(IF(INDEX(res_Name,(ROW()-ROW(rw_LoadOrigin)-1))="","",INDEX(rw_Cum,(ROW()-ROW(rw_LoadOrigin)-1),(COLUMN()-COLUMN(rw_LoadOrigin)-1)+1)-INDEX(rw_Cum,(ROW()-ROW(rw_LoadOrigin)-1),(COLUMN()-COLUMN(rw_LoadOrigin)-1))),"")</f>
        <v/>
      </c>
      <c r="P57" s="61" t="str">
        <f aca="false">IFERROR(IF(INDEX(res_Name,(ROW()-ROW(rw_LoadOrigin)-1))="","",INDEX(rw_Cum,(ROW()-ROW(rw_LoadOrigin)-1),(COLUMN()-COLUMN(rw_LoadOrigin)-1)+1)-INDEX(rw_Cum,(ROW()-ROW(rw_LoadOrigin)-1),(COLUMN()-COLUMN(rw_LoadOrigin)-1))),"")</f>
        <v/>
      </c>
      <c r="Q57" s="61" t="str">
        <f aca="false">IFERROR(IF(INDEX(res_Name,(ROW()-ROW(rw_LoadOrigin)-1))="","",INDEX(rw_Cum,(ROW()-ROW(rw_LoadOrigin)-1),(COLUMN()-COLUMN(rw_LoadOrigin)-1)+1)-INDEX(rw_Cum,(ROW()-ROW(rw_LoadOrigin)-1),(COLUMN()-COLUMN(rw_LoadOrigin)-1))),"")</f>
        <v/>
      </c>
      <c r="R57" s="61" t="str">
        <f aca="false">IFERROR(IF(INDEX(res_Name,(ROW()-ROW(rw_LoadOrigin)-1))="","",INDEX(rw_Cum,(ROW()-ROW(rw_LoadOrigin)-1),(COLUMN()-COLUMN(rw_LoadOrigin)-1)+1)-INDEX(rw_Cum,(ROW()-ROW(rw_LoadOrigin)-1),(COLUMN()-COLUMN(rw_LoadOrigin)-1))),"")</f>
        <v/>
      </c>
      <c r="S57" s="61" t="str">
        <f aca="false">IFERROR(IF(INDEX(res_Name,(ROW()-ROW(rw_LoadOrigin)-1))="","",INDEX(rw_Cum,(ROW()-ROW(rw_LoadOrigin)-1),(COLUMN()-COLUMN(rw_LoadOrigin)-1)+1)-INDEX(rw_Cum,(ROW()-ROW(rw_LoadOrigin)-1),(COLUMN()-COLUMN(rw_LoadOrigin)-1))),"")</f>
        <v/>
      </c>
      <c r="T57" s="61" t="str">
        <f aca="false">IFERROR(IF(INDEX(res_Name,(ROW()-ROW(rw_LoadOrigin)-1))="","",INDEX(rw_Cum,(ROW()-ROW(rw_LoadOrigin)-1),(COLUMN()-COLUMN(rw_LoadOrigin)-1)+1)-INDEX(rw_Cum,(ROW()-ROW(rw_LoadOrigin)-1),(COLUMN()-COLUMN(rw_LoadOrigin)-1))),"")</f>
        <v/>
      </c>
      <c r="U57" s="61" t="str">
        <f aca="false">IFERROR(IF(INDEX(res_Name,(ROW()-ROW(rw_LoadOrigin)-1))="","",INDEX(rw_Cum,(ROW()-ROW(rw_LoadOrigin)-1),(COLUMN()-COLUMN(rw_LoadOrigin)-1)+1)-INDEX(rw_Cum,(ROW()-ROW(rw_LoadOrigin)-1),(COLUMN()-COLUMN(rw_LoadOrigin)-1))),"")</f>
        <v/>
      </c>
      <c r="V57" s="61" t="str">
        <f aca="false">IFERROR(IF(INDEX(res_Name,(ROW()-ROW(rw_LoadOrigin)-1))="","",INDEX(rw_Cum,(ROW()-ROW(rw_LoadOrigin)-1),(COLUMN()-COLUMN(rw_LoadOrigin)-1)+1)-INDEX(rw_Cum,(ROW()-ROW(rw_LoadOrigin)-1),(COLUMN()-COLUMN(rw_LoadOrigin)-1))),"")</f>
        <v/>
      </c>
      <c r="W57" s="61" t="str">
        <f aca="false">IFERROR(IF(INDEX(res_Name,(ROW()-ROW(rw_LoadOrigin)-1))="","",INDEX(rw_Cum,(ROW()-ROW(rw_LoadOrigin)-1),(COLUMN()-COLUMN(rw_LoadOrigin)-1)+1)-INDEX(rw_Cum,(ROW()-ROW(rw_LoadOrigin)-1),(COLUMN()-COLUMN(rw_LoadOrigin)-1))),"")</f>
        <v/>
      </c>
      <c r="X57" s="61" t="str">
        <f aca="false">IFERROR(IF(INDEX(res_Name,(ROW()-ROW(rw_LoadOrigin)-1))="","",INDEX(rw_Cum,(ROW()-ROW(rw_LoadOrigin)-1),(COLUMN()-COLUMN(rw_LoadOrigin)-1)+1)-INDEX(rw_Cum,(ROW()-ROW(rw_LoadOrigin)-1),(COLUMN()-COLUMN(rw_LoadOrigin)-1))),"")</f>
        <v/>
      </c>
      <c r="Y57" s="61" t="str">
        <f aca="false">IFERROR(IF(INDEX(res_Name,(ROW()-ROW(rw_LoadOrigin)-1))="","",INDEX(rw_Cum,(ROW()-ROW(rw_LoadOrigin)-1),(COLUMN()-COLUMN(rw_LoadOrigin)-1)+1)-INDEX(rw_Cum,(ROW()-ROW(rw_LoadOrigin)-1),(COLUMN()-COLUMN(rw_LoadOrigin)-1))),"")</f>
        <v/>
      </c>
      <c r="Z57" s="61" t="str">
        <f aca="false">IFERROR(IF(INDEX(res_Name,(ROW()-ROW(rw_LoadOrigin)-1))="","",INDEX(rw_Cum,(ROW()-ROW(rw_LoadOrigin)-1),(COLUMN()-COLUMN(rw_LoadOrigin)-1)+1)-INDEX(rw_Cum,(ROW()-ROW(rw_LoadOrigin)-1),(COLUMN()-COLUMN(rw_LoadOrigin)-1))),"")</f>
        <v/>
      </c>
      <c r="AA57" s="61" t="str">
        <f aca="false">IFERROR(IF(INDEX(res_Name,(ROW()-ROW(rw_LoadOrigin)-1))="","",INDEX(rw_Cum,(ROW()-ROW(rw_LoadOrigin)-1),(COLUMN()-COLUMN(rw_LoadOrigin)-1)+1)-INDEX(rw_Cum,(ROW()-ROW(rw_LoadOrigin)-1),(COLUMN()-COLUMN(rw_LoadOrigin)-1))),"")</f>
        <v/>
      </c>
      <c r="AB57" s="61" t="str">
        <f aca="false">IFERROR(IF(INDEX(res_Name,(ROW()-ROW(rw_LoadOrigin)-1))="","",INDEX(rw_Cum,(ROW()-ROW(rw_LoadOrigin)-1),(COLUMN()-COLUMN(rw_LoadOrigin)-1)+1)-INDEX(rw_Cum,(ROW()-ROW(rw_LoadOrigin)-1),(COLUMN()-COLUMN(rw_LoadOrigin)-1))),"")</f>
        <v/>
      </c>
      <c r="AC57" s="61"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31" t="str">
        <f aca="false">IFERROR(INDEX(res_Name,(ROW()-ROW(rw_LoadOrigin)-1))&amp;"","")</f>
        <v/>
      </c>
      <c r="C58" s="60" t="str">
        <f aca="false">IFERROR(IF(INDEX(res_Name,(ROW()-ROW(rw_LoadOrigin)-1))="","",INDEX(res_MaxUnits,(ROW()-ROW(rw_LoadOrigin)-1))),"")</f>
        <v/>
      </c>
      <c r="D58" s="61" t="str">
        <f aca="false">IFERROR(IF(INDEX(res_Name,(ROW()-ROW(rw_LoadOrigin)-1))="","",INDEX(rw_Cum,(ROW()-ROW(rw_LoadOrigin)-1),(COLUMN()-COLUMN(rw_LoadOrigin)-1)+1)-INDEX(rw_Cum,(ROW()-ROW(rw_LoadOrigin)-1),(COLUMN()-COLUMN(rw_LoadOrigin)-1))),"")</f>
        <v/>
      </c>
      <c r="E58" s="61" t="str">
        <f aca="false">IFERROR(IF(INDEX(res_Name,(ROW()-ROW(rw_LoadOrigin)-1))="","",INDEX(rw_Cum,(ROW()-ROW(rw_LoadOrigin)-1),(COLUMN()-COLUMN(rw_LoadOrigin)-1)+1)-INDEX(rw_Cum,(ROW()-ROW(rw_LoadOrigin)-1),(COLUMN()-COLUMN(rw_LoadOrigin)-1))),"")</f>
        <v/>
      </c>
      <c r="F58" s="61" t="str">
        <f aca="false">IFERROR(IF(INDEX(res_Name,(ROW()-ROW(rw_LoadOrigin)-1))="","",INDEX(rw_Cum,(ROW()-ROW(rw_LoadOrigin)-1),(COLUMN()-COLUMN(rw_LoadOrigin)-1)+1)-INDEX(rw_Cum,(ROW()-ROW(rw_LoadOrigin)-1),(COLUMN()-COLUMN(rw_LoadOrigin)-1))),"")</f>
        <v/>
      </c>
      <c r="G58" s="61" t="str">
        <f aca="false">IFERROR(IF(INDEX(res_Name,(ROW()-ROW(rw_LoadOrigin)-1))="","",INDEX(rw_Cum,(ROW()-ROW(rw_LoadOrigin)-1),(COLUMN()-COLUMN(rw_LoadOrigin)-1)+1)-INDEX(rw_Cum,(ROW()-ROW(rw_LoadOrigin)-1),(COLUMN()-COLUMN(rw_LoadOrigin)-1))),"")</f>
        <v/>
      </c>
      <c r="H58" s="61" t="str">
        <f aca="false">IFERROR(IF(INDEX(res_Name,(ROW()-ROW(rw_LoadOrigin)-1))="","",INDEX(rw_Cum,(ROW()-ROW(rw_LoadOrigin)-1),(COLUMN()-COLUMN(rw_LoadOrigin)-1)+1)-INDEX(rw_Cum,(ROW()-ROW(rw_LoadOrigin)-1),(COLUMN()-COLUMN(rw_LoadOrigin)-1))),"")</f>
        <v/>
      </c>
      <c r="I58" s="61" t="str">
        <f aca="false">IFERROR(IF(INDEX(res_Name,(ROW()-ROW(rw_LoadOrigin)-1))="","",INDEX(rw_Cum,(ROW()-ROW(rw_LoadOrigin)-1),(COLUMN()-COLUMN(rw_LoadOrigin)-1)+1)-INDEX(rw_Cum,(ROW()-ROW(rw_LoadOrigin)-1),(COLUMN()-COLUMN(rw_LoadOrigin)-1))),"")</f>
        <v/>
      </c>
      <c r="J58" s="61" t="str">
        <f aca="false">IFERROR(IF(INDEX(res_Name,(ROW()-ROW(rw_LoadOrigin)-1))="","",INDEX(rw_Cum,(ROW()-ROW(rw_LoadOrigin)-1),(COLUMN()-COLUMN(rw_LoadOrigin)-1)+1)-INDEX(rw_Cum,(ROW()-ROW(rw_LoadOrigin)-1),(COLUMN()-COLUMN(rw_LoadOrigin)-1))),"")</f>
        <v/>
      </c>
      <c r="K58" s="61" t="str">
        <f aca="false">IFERROR(IF(INDEX(res_Name,(ROW()-ROW(rw_LoadOrigin)-1))="","",INDEX(rw_Cum,(ROW()-ROW(rw_LoadOrigin)-1),(COLUMN()-COLUMN(rw_LoadOrigin)-1)+1)-INDEX(rw_Cum,(ROW()-ROW(rw_LoadOrigin)-1),(COLUMN()-COLUMN(rw_LoadOrigin)-1))),"")</f>
        <v/>
      </c>
      <c r="L58" s="61" t="str">
        <f aca="false">IFERROR(IF(INDEX(res_Name,(ROW()-ROW(rw_LoadOrigin)-1))="","",INDEX(rw_Cum,(ROW()-ROW(rw_LoadOrigin)-1),(COLUMN()-COLUMN(rw_LoadOrigin)-1)+1)-INDEX(rw_Cum,(ROW()-ROW(rw_LoadOrigin)-1),(COLUMN()-COLUMN(rw_LoadOrigin)-1))),"")</f>
        <v/>
      </c>
      <c r="M58" s="61" t="str">
        <f aca="false">IFERROR(IF(INDEX(res_Name,(ROW()-ROW(rw_LoadOrigin)-1))="","",INDEX(rw_Cum,(ROW()-ROW(rw_LoadOrigin)-1),(COLUMN()-COLUMN(rw_LoadOrigin)-1)+1)-INDEX(rw_Cum,(ROW()-ROW(rw_LoadOrigin)-1),(COLUMN()-COLUMN(rw_LoadOrigin)-1))),"")</f>
        <v/>
      </c>
      <c r="N58" s="61" t="str">
        <f aca="false">IFERROR(IF(INDEX(res_Name,(ROW()-ROW(rw_LoadOrigin)-1))="","",INDEX(rw_Cum,(ROW()-ROW(rw_LoadOrigin)-1),(COLUMN()-COLUMN(rw_LoadOrigin)-1)+1)-INDEX(rw_Cum,(ROW()-ROW(rw_LoadOrigin)-1),(COLUMN()-COLUMN(rw_LoadOrigin)-1))),"")</f>
        <v/>
      </c>
      <c r="O58" s="61" t="str">
        <f aca="false">IFERROR(IF(INDEX(res_Name,(ROW()-ROW(rw_LoadOrigin)-1))="","",INDEX(rw_Cum,(ROW()-ROW(rw_LoadOrigin)-1),(COLUMN()-COLUMN(rw_LoadOrigin)-1)+1)-INDEX(rw_Cum,(ROW()-ROW(rw_LoadOrigin)-1),(COLUMN()-COLUMN(rw_LoadOrigin)-1))),"")</f>
        <v/>
      </c>
      <c r="P58" s="61" t="str">
        <f aca="false">IFERROR(IF(INDEX(res_Name,(ROW()-ROW(rw_LoadOrigin)-1))="","",INDEX(rw_Cum,(ROW()-ROW(rw_LoadOrigin)-1),(COLUMN()-COLUMN(rw_LoadOrigin)-1)+1)-INDEX(rw_Cum,(ROW()-ROW(rw_LoadOrigin)-1),(COLUMN()-COLUMN(rw_LoadOrigin)-1))),"")</f>
        <v/>
      </c>
      <c r="Q58" s="61" t="str">
        <f aca="false">IFERROR(IF(INDEX(res_Name,(ROW()-ROW(rw_LoadOrigin)-1))="","",INDEX(rw_Cum,(ROW()-ROW(rw_LoadOrigin)-1),(COLUMN()-COLUMN(rw_LoadOrigin)-1)+1)-INDEX(rw_Cum,(ROW()-ROW(rw_LoadOrigin)-1),(COLUMN()-COLUMN(rw_LoadOrigin)-1))),"")</f>
        <v/>
      </c>
      <c r="R58" s="61" t="str">
        <f aca="false">IFERROR(IF(INDEX(res_Name,(ROW()-ROW(rw_LoadOrigin)-1))="","",INDEX(rw_Cum,(ROW()-ROW(rw_LoadOrigin)-1),(COLUMN()-COLUMN(rw_LoadOrigin)-1)+1)-INDEX(rw_Cum,(ROW()-ROW(rw_LoadOrigin)-1),(COLUMN()-COLUMN(rw_LoadOrigin)-1))),"")</f>
        <v/>
      </c>
      <c r="S58" s="61" t="str">
        <f aca="false">IFERROR(IF(INDEX(res_Name,(ROW()-ROW(rw_LoadOrigin)-1))="","",INDEX(rw_Cum,(ROW()-ROW(rw_LoadOrigin)-1),(COLUMN()-COLUMN(rw_LoadOrigin)-1)+1)-INDEX(rw_Cum,(ROW()-ROW(rw_LoadOrigin)-1),(COLUMN()-COLUMN(rw_LoadOrigin)-1))),"")</f>
        <v/>
      </c>
      <c r="T58" s="61" t="str">
        <f aca="false">IFERROR(IF(INDEX(res_Name,(ROW()-ROW(rw_LoadOrigin)-1))="","",INDEX(rw_Cum,(ROW()-ROW(rw_LoadOrigin)-1),(COLUMN()-COLUMN(rw_LoadOrigin)-1)+1)-INDEX(rw_Cum,(ROW()-ROW(rw_LoadOrigin)-1),(COLUMN()-COLUMN(rw_LoadOrigin)-1))),"")</f>
        <v/>
      </c>
      <c r="U58" s="61" t="str">
        <f aca="false">IFERROR(IF(INDEX(res_Name,(ROW()-ROW(rw_LoadOrigin)-1))="","",INDEX(rw_Cum,(ROW()-ROW(rw_LoadOrigin)-1),(COLUMN()-COLUMN(rw_LoadOrigin)-1)+1)-INDEX(rw_Cum,(ROW()-ROW(rw_LoadOrigin)-1),(COLUMN()-COLUMN(rw_LoadOrigin)-1))),"")</f>
        <v/>
      </c>
      <c r="V58" s="61" t="str">
        <f aca="false">IFERROR(IF(INDEX(res_Name,(ROW()-ROW(rw_LoadOrigin)-1))="","",INDEX(rw_Cum,(ROW()-ROW(rw_LoadOrigin)-1),(COLUMN()-COLUMN(rw_LoadOrigin)-1)+1)-INDEX(rw_Cum,(ROW()-ROW(rw_LoadOrigin)-1),(COLUMN()-COLUMN(rw_LoadOrigin)-1))),"")</f>
        <v/>
      </c>
      <c r="W58" s="61" t="str">
        <f aca="false">IFERROR(IF(INDEX(res_Name,(ROW()-ROW(rw_LoadOrigin)-1))="","",INDEX(rw_Cum,(ROW()-ROW(rw_LoadOrigin)-1),(COLUMN()-COLUMN(rw_LoadOrigin)-1)+1)-INDEX(rw_Cum,(ROW()-ROW(rw_LoadOrigin)-1),(COLUMN()-COLUMN(rw_LoadOrigin)-1))),"")</f>
        <v/>
      </c>
      <c r="X58" s="61" t="str">
        <f aca="false">IFERROR(IF(INDEX(res_Name,(ROW()-ROW(rw_LoadOrigin)-1))="","",INDEX(rw_Cum,(ROW()-ROW(rw_LoadOrigin)-1),(COLUMN()-COLUMN(rw_LoadOrigin)-1)+1)-INDEX(rw_Cum,(ROW()-ROW(rw_LoadOrigin)-1),(COLUMN()-COLUMN(rw_LoadOrigin)-1))),"")</f>
        <v/>
      </c>
      <c r="Y58" s="61" t="str">
        <f aca="false">IFERROR(IF(INDEX(res_Name,(ROW()-ROW(rw_LoadOrigin)-1))="","",INDEX(rw_Cum,(ROW()-ROW(rw_LoadOrigin)-1),(COLUMN()-COLUMN(rw_LoadOrigin)-1)+1)-INDEX(rw_Cum,(ROW()-ROW(rw_LoadOrigin)-1),(COLUMN()-COLUMN(rw_LoadOrigin)-1))),"")</f>
        <v/>
      </c>
      <c r="Z58" s="61" t="str">
        <f aca="false">IFERROR(IF(INDEX(res_Name,(ROW()-ROW(rw_LoadOrigin)-1))="","",INDEX(rw_Cum,(ROW()-ROW(rw_LoadOrigin)-1),(COLUMN()-COLUMN(rw_LoadOrigin)-1)+1)-INDEX(rw_Cum,(ROW()-ROW(rw_LoadOrigin)-1),(COLUMN()-COLUMN(rw_LoadOrigin)-1))),"")</f>
        <v/>
      </c>
      <c r="AA58" s="61" t="str">
        <f aca="false">IFERROR(IF(INDEX(res_Name,(ROW()-ROW(rw_LoadOrigin)-1))="","",INDEX(rw_Cum,(ROW()-ROW(rw_LoadOrigin)-1),(COLUMN()-COLUMN(rw_LoadOrigin)-1)+1)-INDEX(rw_Cum,(ROW()-ROW(rw_LoadOrigin)-1),(COLUMN()-COLUMN(rw_LoadOrigin)-1))),"")</f>
        <v/>
      </c>
      <c r="AB58" s="61" t="str">
        <f aca="false">IFERROR(IF(INDEX(res_Name,(ROW()-ROW(rw_LoadOrigin)-1))="","",INDEX(rw_Cum,(ROW()-ROW(rw_LoadOrigin)-1),(COLUMN()-COLUMN(rw_LoadOrigin)-1)+1)-INDEX(rw_Cum,(ROW()-ROW(rw_LoadOrigin)-1),(COLUMN()-COLUMN(rw_LoadOrigin)-1))),"")</f>
        <v/>
      </c>
      <c r="AC58" s="61"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31" t="str">
        <f aca="false">IFERROR(INDEX(res_Name,(ROW()-ROW(rw_LoadOrigin)-1))&amp;"","")</f>
        <v/>
      </c>
      <c r="C59" s="60" t="str">
        <f aca="false">IFERROR(IF(INDEX(res_Name,(ROW()-ROW(rw_LoadOrigin)-1))="","",INDEX(res_MaxUnits,(ROW()-ROW(rw_LoadOrigin)-1))),"")</f>
        <v/>
      </c>
      <c r="D59" s="61" t="str">
        <f aca="false">IFERROR(IF(INDEX(res_Name,(ROW()-ROW(rw_LoadOrigin)-1))="","",INDEX(rw_Cum,(ROW()-ROW(rw_LoadOrigin)-1),(COLUMN()-COLUMN(rw_LoadOrigin)-1)+1)-INDEX(rw_Cum,(ROW()-ROW(rw_LoadOrigin)-1),(COLUMN()-COLUMN(rw_LoadOrigin)-1))),"")</f>
        <v/>
      </c>
      <c r="E59" s="61" t="str">
        <f aca="false">IFERROR(IF(INDEX(res_Name,(ROW()-ROW(rw_LoadOrigin)-1))="","",INDEX(rw_Cum,(ROW()-ROW(rw_LoadOrigin)-1),(COLUMN()-COLUMN(rw_LoadOrigin)-1)+1)-INDEX(rw_Cum,(ROW()-ROW(rw_LoadOrigin)-1),(COLUMN()-COLUMN(rw_LoadOrigin)-1))),"")</f>
        <v/>
      </c>
      <c r="F59" s="61" t="str">
        <f aca="false">IFERROR(IF(INDEX(res_Name,(ROW()-ROW(rw_LoadOrigin)-1))="","",INDEX(rw_Cum,(ROW()-ROW(rw_LoadOrigin)-1),(COLUMN()-COLUMN(rw_LoadOrigin)-1)+1)-INDEX(rw_Cum,(ROW()-ROW(rw_LoadOrigin)-1),(COLUMN()-COLUMN(rw_LoadOrigin)-1))),"")</f>
        <v/>
      </c>
      <c r="G59" s="61" t="str">
        <f aca="false">IFERROR(IF(INDEX(res_Name,(ROW()-ROW(rw_LoadOrigin)-1))="","",INDEX(rw_Cum,(ROW()-ROW(rw_LoadOrigin)-1),(COLUMN()-COLUMN(rw_LoadOrigin)-1)+1)-INDEX(rw_Cum,(ROW()-ROW(rw_LoadOrigin)-1),(COLUMN()-COLUMN(rw_LoadOrigin)-1))),"")</f>
        <v/>
      </c>
      <c r="H59" s="61" t="str">
        <f aca="false">IFERROR(IF(INDEX(res_Name,(ROW()-ROW(rw_LoadOrigin)-1))="","",INDEX(rw_Cum,(ROW()-ROW(rw_LoadOrigin)-1),(COLUMN()-COLUMN(rw_LoadOrigin)-1)+1)-INDEX(rw_Cum,(ROW()-ROW(rw_LoadOrigin)-1),(COLUMN()-COLUMN(rw_LoadOrigin)-1))),"")</f>
        <v/>
      </c>
      <c r="I59" s="61" t="str">
        <f aca="false">IFERROR(IF(INDEX(res_Name,(ROW()-ROW(rw_LoadOrigin)-1))="","",INDEX(rw_Cum,(ROW()-ROW(rw_LoadOrigin)-1),(COLUMN()-COLUMN(rw_LoadOrigin)-1)+1)-INDEX(rw_Cum,(ROW()-ROW(rw_LoadOrigin)-1),(COLUMN()-COLUMN(rw_LoadOrigin)-1))),"")</f>
        <v/>
      </c>
      <c r="J59" s="61" t="str">
        <f aca="false">IFERROR(IF(INDEX(res_Name,(ROW()-ROW(rw_LoadOrigin)-1))="","",INDEX(rw_Cum,(ROW()-ROW(rw_LoadOrigin)-1),(COLUMN()-COLUMN(rw_LoadOrigin)-1)+1)-INDEX(rw_Cum,(ROW()-ROW(rw_LoadOrigin)-1),(COLUMN()-COLUMN(rw_LoadOrigin)-1))),"")</f>
        <v/>
      </c>
      <c r="K59" s="61" t="str">
        <f aca="false">IFERROR(IF(INDEX(res_Name,(ROW()-ROW(rw_LoadOrigin)-1))="","",INDEX(rw_Cum,(ROW()-ROW(rw_LoadOrigin)-1),(COLUMN()-COLUMN(rw_LoadOrigin)-1)+1)-INDEX(rw_Cum,(ROW()-ROW(rw_LoadOrigin)-1),(COLUMN()-COLUMN(rw_LoadOrigin)-1))),"")</f>
        <v/>
      </c>
      <c r="L59" s="61" t="str">
        <f aca="false">IFERROR(IF(INDEX(res_Name,(ROW()-ROW(rw_LoadOrigin)-1))="","",INDEX(rw_Cum,(ROW()-ROW(rw_LoadOrigin)-1),(COLUMN()-COLUMN(rw_LoadOrigin)-1)+1)-INDEX(rw_Cum,(ROW()-ROW(rw_LoadOrigin)-1),(COLUMN()-COLUMN(rw_LoadOrigin)-1))),"")</f>
        <v/>
      </c>
      <c r="M59" s="61" t="str">
        <f aca="false">IFERROR(IF(INDEX(res_Name,(ROW()-ROW(rw_LoadOrigin)-1))="","",INDEX(rw_Cum,(ROW()-ROW(rw_LoadOrigin)-1),(COLUMN()-COLUMN(rw_LoadOrigin)-1)+1)-INDEX(rw_Cum,(ROW()-ROW(rw_LoadOrigin)-1),(COLUMN()-COLUMN(rw_LoadOrigin)-1))),"")</f>
        <v/>
      </c>
      <c r="N59" s="61" t="str">
        <f aca="false">IFERROR(IF(INDEX(res_Name,(ROW()-ROW(rw_LoadOrigin)-1))="","",INDEX(rw_Cum,(ROW()-ROW(rw_LoadOrigin)-1),(COLUMN()-COLUMN(rw_LoadOrigin)-1)+1)-INDEX(rw_Cum,(ROW()-ROW(rw_LoadOrigin)-1),(COLUMN()-COLUMN(rw_LoadOrigin)-1))),"")</f>
        <v/>
      </c>
      <c r="O59" s="61" t="str">
        <f aca="false">IFERROR(IF(INDEX(res_Name,(ROW()-ROW(rw_LoadOrigin)-1))="","",INDEX(rw_Cum,(ROW()-ROW(rw_LoadOrigin)-1),(COLUMN()-COLUMN(rw_LoadOrigin)-1)+1)-INDEX(rw_Cum,(ROW()-ROW(rw_LoadOrigin)-1),(COLUMN()-COLUMN(rw_LoadOrigin)-1))),"")</f>
        <v/>
      </c>
      <c r="P59" s="61" t="str">
        <f aca="false">IFERROR(IF(INDEX(res_Name,(ROW()-ROW(rw_LoadOrigin)-1))="","",INDEX(rw_Cum,(ROW()-ROW(rw_LoadOrigin)-1),(COLUMN()-COLUMN(rw_LoadOrigin)-1)+1)-INDEX(rw_Cum,(ROW()-ROW(rw_LoadOrigin)-1),(COLUMN()-COLUMN(rw_LoadOrigin)-1))),"")</f>
        <v/>
      </c>
      <c r="Q59" s="61" t="str">
        <f aca="false">IFERROR(IF(INDEX(res_Name,(ROW()-ROW(rw_LoadOrigin)-1))="","",INDEX(rw_Cum,(ROW()-ROW(rw_LoadOrigin)-1),(COLUMN()-COLUMN(rw_LoadOrigin)-1)+1)-INDEX(rw_Cum,(ROW()-ROW(rw_LoadOrigin)-1),(COLUMN()-COLUMN(rw_LoadOrigin)-1))),"")</f>
        <v/>
      </c>
      <c r="R59" s="61" t="str">
        <f aca="false">IFERROR(IF(INDEX(res_Name,(ROW()-ROW(rw_LoadOrigin)-1))="","",INDEX(rw_Cum,(ROW()-ROW(rw_LoadOrigin)-1),(COLUMN()-COLUMN(rw_LoadOrigin)-1)+1)-INDEX(rw_Cum,(ROW()-ROW(rw_LoadOrigin)-1),(COLUMN()-COLUMN(rw_LoadOrigin)-1))),"")</f>
        <v/>
      </c>
      <c r="S59" s="61" t="str">
        <f aca="false">IFERROR(IF(INDEX(res_Name,(ROW()-ROW(rw_LoadOrigin)-1))="","",INDEX(rw_Cum,(ROW()-ROW(rw_LoadOrigin)-1),(COLUMN()-COLUMN(rw_LoadOrigin)-1)+1)-INDEX(rw_Cum,(ROW()-ROW(rw_LoadOrigin)-1),(COLUMN()-COLUMN(rw_LoadOrigin)-1))),"")</f>
        <v/>
      </c>
      <c r="T59" s="61" t="str">
        <f aca="false">IFERROR(IF(INDEX(res_Name,(ROW()-ROW(rw_LoadOrigin)-1))="","",INDEX(rw_Cum,(ROW()-ROW(rw_LoadOrigin)-1),(COLUMN()-COLUMN(rw_LoadOrigin)-1)+1)-INDEX(rw_Cum,(ROW()-ROW(rw_LoadOrigin)-1),(COLUMN()-COLUMN(rw_LoadOrigin)-1))),"")</f>
        <v/>
      </c>
      <c r="U59" s="61" t="str">
        <f aca="false">IFERROR(IF(INDEX(res_Name,(ROW()-ROW(rw_LoadOrigin)-1))="","",INDEX(rw_Cum,(ROW()-ROW(rw_LoadOrigin)-1),(COLUMN()-COLUMN(rw_LoadOrigin)-1)+1)-INDEX(rw_Cum,(ROW()-ROW(rw_LoadOrigin)-1),(COLUMN()-COLUMN(rw_LoadOrigin)-1))),"")</f>
        <v/>
      </c>
      <c r="V59" s="61" t="str">
        <f aca="false">IFERROR(IF(INDEX(res_Name,(ROW()-ROW(rw_LoadOrigin)-1))="","",INDEX(rw_Cum,(ROW()-ROW(rw_LoadOrigin)-1),(COLUMN()-COLUMN(rw_LoadOrigin)-1)+1)-INDEX(rw_Cum,(ROW()-ROW(rw_LoadOrigin)-1),(COLUMN()-COLUMN(rw_LoadOrigin)-1))),"")</f>
        <v/>
      </c>
      <c r="W59" s="61" t="str">
        <f aca="false">IFERROR(IF(INDEX(res_Name,(ROW()-ROW(rw_LoadOrigin)-1))="","",INDEX(rw_Cum,(ROW()-ROW(rw_LoadOrigin)-1),(COLUMN()-COLUMN(rw_LoadOrigin)-1)+1)-INDEX(rw_Cum,(ROW()-ROW(rw_LoadOrigin)-1),(COLUMN()-COLUMN(rw_LoadOrigin)-1))),"")</f>
        <v/>
      </c>
      <c r="X59" s="61" t="str">
        <f aca="false">IFERROR(IF(INDEX(res_Name,(ROW()-ROW(rw_LoadOrigin)-1))="","",INDEX(rw_Cum,(ROW()-ROW(rw_LoadOrigin)-1),(COLUMN()-COLUMN(rw_LoadOrigin)-1)+1)-INDEX(rw_Cum,(ROW()-ROW(rw_LoadOrigin)-1),(COLUMN()-COLUMN(rw_LoadOrigin)-1))),"")</f>
        <v/>
      </c>
      <c r="Y59" s="61" t="str">
        <f aca="false">IFERROR(IF(INDEX(res_Name,(ROW()-ROW(rw_LoadOrigin)-1))="","",INDEX(rw_Cum,(ROW()-ROW(rw_LoadOrigin)-1),(COLUMN()-COLUMN(rw_LoadOrigin)-1)+1)-INDEX(rw_Cum,(ROW()-ROW(rw_LoadOrigin)-1),(COLUMN()-COLUMN(rw_LoadOrigin)-1))),"")</f>
        <v/>
      </c>
      <c r="Z59" s="61" t="str">
        <f aca="false">IFERROR(IF(INDEX(res_Name,(ROW()-ROW(rw_LoadOrigin)-1))="","",INDEX(rw_Cum,(ROW()-ROW(rw_LoadOrigin)-1),(COLUMN()-COLUMN(rw_LoadOrigin)-1)+1)-INDEX(rw_Cum,(ROW()-ROW(rw_LoadOrigin)-1),(COLUMN()-COLUMN(rw_LoadOrigin)-1))),"")</f>
        <v/>
      </c>
      <c r="AA59" s="61" t="str">
        <f aca="false">IFERROR(IF(INDEX(res_Name,(ROW()-ROW(rw_LoadOrigin)-1))="","",INDEX(rw_Cum,(ROW()-ROW(rw_LoadOrigin)-1),(COLUMN()-COLUMN(rw_LoadOrigin)-1)+1)-INDEX(rw_Cum,(ROW()-ROW(rw_LoadOrigin)-1),(COLUMN()-COLUMN(rw_LoadOrigin)-1))),"")</f>
        <v/>
      </c>
      <c r="AB59" s="61" t="str">
        <f aca="false">IFERROR(IF(INDEX(res_Name,(ROW()-ROW(rw_LoadOrigin)-1))="","",INDEX(rw_Cum,(ROW()-ROW(rw_LoadOrigin)-1),(COLUMN()-COLUMN(rw_LoadOrigin)-1)+1)-INDEX(rw_Cum,(ROW()-ROW(rw_LoadOrigin)-1),(COLUMN()-COLUMN(rw_LoadOrigin)-1))),"")</f>
        <v/>
      </c>
      <c r="AC59" s="61"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31" t="str">
        <f aca="false">IFERROR(INDEX(res_Name,(ROW()-ROW(rw_LoadOrigin)-1))&amp;"","")</f>
        <v/>
      </c>
      <c r="C60" s="60" t="str">
        <f aca="false">IFERROR(IF(INDEX(res_Name,(ROW()-ROW(rw_LoadOrigin)-1))="","",INDEX(res_MaxUnits,(ROW()-ROW(rw_LoadOrigin)-1))),"")</f>
        <v/>
      </c>
      <c r="D60" s="61" t="str">
        <f aca="false">IFERROR(IF(INDEX(res_Name,(ROW()-ROW(rw_LoadOrigin)-1))="","",INDEX(rw_Cum,(ROW()-ROW(rw_LoadOrigin)-1),(COLUMN()-COLUMN(rw_LoadOrigin)-1)+1)-INDEX(rw_Cum,(ROW()-ROW(rw_LoadOrigin)-1),(COLUMN()-COLUMN(rw_LoadOrigin)-1))),"")</f>
        <v/>
      </c>
      <c r="E60" s="61" t="str">
        <f aca="false">IFERROR(IF(INDEX(res_Name,(ROW()-ROW(rw_LoadOrigin)-1))="","",INDEX(rw_Cum,(ROW()-ROW(rw_LoadOrigin)-1),(COLUMN()-COLUMN(rw_LoadOrigin)-1)+1)-INDEX(rw_Cum,(ROW()-ROW(rw_LoadOrigin)-1),(COLUMN()-COLUMN(rw_LoadOrigin)-1))),"")</f>
        <v/>
      </c>
      <c r="F60" s="61" t="str">
        <f aca="false">IFERROR(IF(INDEX(res_Name,(ROW()-ROW(rw_LoadOrigin)-1))="","",INDEX(rw_Cum,(ROW()-ROW(rw_LoadOrigin)-1),(COLUMN()-COLUMN(rw_LoadOrigin)-1)+1)-INDEX(rw_Cum,(ROW()-ROW(rw_LoadOrigin)-1),(COLUMN()-COLUMN(rw_LoadOrigin)-1))),"")</f>
        <v/>
      </c>
      <c r="G60" s="61" t="str">
        <f aca="false">IFERROR(IF(INDEX(res_Name,(ROW()-ROW(rw_LoadOrigin)-1))="","",INDEX(rw_Cum,(ROW()-ROW(rw_LoadOrigin)-1),(COLUMN()-COLUMN(rw_LoadOrigin)-1)+1)-INDEX(rw_Cum,(ROW()-ROW(rw_LoadOrigin)-1),(COLUMN()-COLUMN(rw_LoadOrigin)-1))),"")</f>
        <v/>
      </c>
      <c r="H60" s="61" t="str">
        <f aca="false">IFERROR(IF(INDEX(res_Name,(ROW()-ROW(rw_LoadOrigin)-1))="","",INDEX(rw_Cum,(ROW()-ROW(rw_LoadOrigin)-1),(COLUMN()-COLUMN(rw_LoadOrigin)-1)+1)-INDEX(rw_Cum,(ROW()-ROW(rw_LoadOrigin)-1),(COLUMN()-COLUMN(rw_LoadOrigin)-1))),"")</f>
        <v/>
      </c>
      <c r="I60" s="61" t="str">
        <f aca="false">IFERROR(IF(INDEX(res_Name,(ROW()-ROW(rw_LoadOrigin)-1))="","",INDEX(rw_Cum,(ROW()-ROW(rw_LoadOrigin)-1),(COLUMN()-COLUMN(rw_LoadOrigin)-1)+1)-INDEX(rw_Cum,(ROW()-ROW(rw_LoadOrigin)-1),(COLUMN()-COLUMN(rw_LoadOrigin)-1))),"")</f>
        <v/>
      </c>
      <c r="J60" s="61" t="str">
        <f aca="false">IFERROR(IF(INDEX(res_Name,(ROW()-ROW(rw_LoadOrigin)-1))="","",INDEX(rw_Cum,(ROW()-ROW(rw_LoadOrigin)-1),(COLUMN()-COLUMN(rw_LoadOrigin)-1)+1)-INDEX(rw_Cum,(ROW()-ROW(rw_LoadOrigin)-1),(COLUMN()-COLUMN(rw_LoadOrigin)-1))),"")</f>
        <v/>
      </c>
      <c r="K60" s="61" t="str">
        <f aca="false">IFERROR(IF(INDEX(res_Name,(ROW()-ROW(rw_LoadOrigin)-1))="","",INDEX(rw_Cum,(ROW()-ROW(rw_LoadOrigin)-1),(COLUMN()-COLUMN(rw_LoadOrigin)-1)+1)-INDEX(rw_Cum,(ROW()-ROW(rw_LoadOrigin)-1),(COLUMN()-COLUMN(rw_LoadOrigin)-1))),"")</f>
        <v/>
      </c>
      <c r="L60" s="61" t="str">
        <f aca="false">IFERROR(IF(INDEX(res_Name,(ROW()-ROW(rw_LoadOrigin)-1))="","",INDEX(rw_Cum,(ROW()-ROW(rw_LoadOrigin)-1),(COLUMN()-COLUMN(rw_LoadOrigin)-1)+1)-INDEX(rw_Cum,(ROW()-ROW(rw_LoadOrigin)-1),(COLUMN()-COLUMN(rw_LoadOrigin)-1))),"")</f>
        <v/>
      </c>
      <c r="M60" s="61" t="str">
        <f aca="false">IFERROR(IF(INDEX(res_Name,(ROW()-ROW(rw_LoadOrigin)-1))="","",INDEX(rw_Cum,(ROW()-ROW(rw_LoadOrigin)-1),(COLUMN()-COLUMN(rw_LoadOrigin)-1)+1)-INDEX(rw_Cum,(ROW()-ROW(rw_LoadOrigin)-1),(COLUMN()-COLUMN(rw_LoadOrigin)-1))),"")</f>
        <v/>
      </c>
      <c r="N60" s="61" t="str">
        <f aca="false">IFERROR(IF(INDEX(res_Name,(ROW()-ROW(rw_LoadOrigin)-1))="","",INDEX(rw_Cum,(ROW()-ROW(rw_LoadOrigin)-1),(COLUMN()-COLUMN(rw_LoadOrigin)-1)+1)-INDEX(rw_Cum,(ROW()-ROW(rw_LoadOrigin)-1),(COLUMN()-COLUMN(rw_LoadOrigin)-1))),"")</f>
        <v/>
      </c>
      <c r="O60" s="61" t="str">
        <f aca="false">IFERROR(IF(INDEX(res_Name,(ROW()-ROW(rw_LoadOrigin)-1))="","",INDEX(rw_Cum,(ROW()-ROW(rw_LoadOrigin)-1),(COLUMN()-COLUMN(rw_LoadOrigin)-1)+1)-INDEX(rw_Cum,(ROW()-ROW(rw_LoadOrigin)-1),(COLUMN()-COLUMN(rw_LoadOrigin)-1))),"")</f>
        <v/>
      </c>
      <c r="P60" s="61" t="str">
        <f aca="false">IFERROR(IF(INDEX(res_Name,(ROW()-ROW(rw_LoadOrigin)-1))="","",INDEX(rw_Cum,(ROW()-ROW(rw_LoadOrigin)-1),(COLUMN()-COLUMN(rw_LoadOrigin)-1)+1)-INDEX(rw_Cum,(ROW()-ROW(rw_LoadOrigin)-1),(COLUMN()-COLUMN(rw_LoadOrigin)-1))),"")</f>
        <v/>
      </c>
      <c r="Q60" s="61" t="str">
        <f aca="false">IFERROR(IF(INDEX(res_Name,(ROW()-ROW(rw_LoadOrigin)-1))="","",INDEX(rw_Cum,(ROW()-ROW(rw_LoadOrigin)-1),(COLUMN()-COLUMN(rw_LoadOrigin)-1)+1)-INDEX(rw_Cum,(ROW()-ROW(rw_LoadOrigin)-1),(COLUMN()-COLUMN(rw_LoadOrigin)-1))),"")</f>
        <v/>
      </c>
      <c r="R60" s="61" t="str">
        <f aca="false">IFERROR(IF(INDEX(res_Name,(ROW()-ROW(rw_LoadOrigin)-1))="","",INDEX(rw_Cum,(ROW()-ROW(rw_LoadOrigin)-1),(COLUMN()-COLUMN(rw_LoadOrigin)-1)+1)-INDEX(rw_Cum,(ROW()-ROW(rw_LoadOrigin)-1),(COLUMN()-COLUMN(rw_LoadOrigin)-1))),"")</f>
        <v/>
      </c>
      <c r="S60" s="61" t="str">
        <f aca="false">IFERROR(IF(INDEX(res_Name,(ROW()-ROW(rw_LoadOrigin)-1))="","",INDEX(rw_Cum,(ROW()-ROW(rw_LoadOrigin)-1),(COLUMN()-COLUMN(rw_LoadOrigin)-1)+1)-INDEX(rw_Cum,(ROW()-ROW(rw_LoadOrigin)-1),(COLUMN()-COLUMN(rw_LoadOrigin)-1))),"")</f>
        <v/>
      </c>
      <c r="T60" s="61" t="str">
        <f aca="false">IFERROR(IF(INDEX(res_Name,(ROW()-ROW(rw_LoadOrigin)-1))="","",INDEX(rw_Cum,(ROW()-ROW(rw_LoadOrigin)-1),(COLUMN()-COLUMN(rw_LoadOrigin)-1)+1)-INDEX(rw_Cum,(ROW()-ROW(rw_LoadOrigin)-1),(COLUMN()-COLUMN(rw_LoadOrigin)-1))),"")</f>
        <v/>
      </c>
      <c r="U60" s="61" t="str">
        <f aca="false">IFERROR(IF(INDEX(res_Name,(ROW()-ROW(rw_LoadOrigin)-1))="","",INDEX(rw_Cum,(ROW()-ROW(rw_LoadOrigin)-1),(COLUMN()-COLUMN(rw_LoadOrigin)-1)+1)-INDEX(rw_Cum,(ROW()-ROW(rw_LoadOrigin)-1),(COLUMN()-COLUMN(rw_LoadOrigin)-1))),"")</f>
        <v/>
      </c>
      <c r="V60" s="61" t="str">
        <f aca="false">IFERROR(IF(INDEX(res_Name,(ROW()-ROW(rw_LoadOrigin)-1))="","",INDEX(rw_Cum,(ROW()-ROW(rw_LoadOrigin)-1),(COLUMN()-COLUMN(rw_LoadOrigin)-1)+1)-INDEX(rw_Cum,(ROW()-ROW(rw_LoadOrigin)-1),(COLUMN()-COLUMN(rw_LoadOrigin)-1))),"")</f>
        <v/>
      </c>
      <c r="W60" s="61" t="str">
        <f aca="false">IFERROR(IF(INDEX(res_Name,(ROW()-ROW(rw_LoadOrigin)-1))="","",INDEX(rw_Cum,(ROW()-ROW(rw_LoadOrigin)-1),(COLUMN()-COLUMN(rw_LoadOrigin)-1)+1)-INDEX(rw_Cum,(ROW()-ROW(rw_LoadOrigin)-1),(COLUMN()-COLUMN(rw_LoadOrigin)-1))),"")</f>
        <v/>
      </c>
      <c r="X60" s="61" t="str">
        <f aca="false">IFERROR(IF(INDEX(res_Name,(ROW()-ROW(rw_LoadOrigin)-1))="","",INDEX(rw_Cum,(ROW()-ROW(rw_LoadOrigin)-1),(COLUMN()-COLUMN(rw_LoadOrigin)-1)+1)-INDEX(rw_Cum,(ROW()-ROW(rw_LoadOrigin)-1),(COLUMN()-COLUMN(rw_LoadOrigin)-1))),"")</f>
        <v/>
      </c>
      <c r="Y60" s="61" t="str">
        <f aca="false">IFERROR(IF(INDEX(res_Name,(ROW()-ROW(rw_LoadOrigin)-1))="","",INDEX(rw_Cum,(ROW()-ROW(rw_LoadOrigin)-1),(COLUMN()-COLUMN(rw_LoadOrigin)-1)+1)-INDEX(rw_Cum,(ROW()-ROW(rw_LoadOrigin)-1),(COLUMN()-COLUMN(rw_LoadOrigin)-1))),"")</f>
        <v/>
      </c>
      <c r="Z60" s="61" t="str">
        <f aca="false">IFERROR(IF(INDEX(res_Name,(ROW()-ROW(rw_LoadOrigin)-1))="","",INDEX(rw_Cum,(ROW()-ROW(rw_LoadOrigin)-1),(COLUMN()-COLUMN(rw_LoadOrigin)-1)+1)-INDEX(rw_Cum,(ROW()-ROW(rw_LoadOrigin)-1),(COLUMN()-COLUMN(rw_LoadOrigin)-1))),"")</f>
        <v/>
      </c>
      <c r="AA60" s="61" t="str">
        <f aca="false">IFERROR(IF(INDEX(res_Name,(ROW()-ROW(rw_LoadOrigin)-1))="","",INDEX(rw_Cum,(ROW()-ROW(rw_LoadOrigin)-1),(COLUMN()-COLUMN(rw_LoadOrigin)-1)+1)-INDEX(rw_Cum,(ROW()-ROW(rw_LoadOrigin)-1),(COLUMN()-COLUMN(rw_LoadOrigin)-1))),"")</f>
        <v/>
      </c>
      <c r="AB60" s="61" t="str">
        <f aca="false">IFERROR(IF(INDEX(res_Name,(ROW()-ROW(rw_LoadOrigin)-1))="","",INDEX(rw_Cum,(ROW()-ROW(rw_LoadOrigin)-1),(COLUMN()-COLUMN(rw_LoadOrigin)-1)+1)-INDEX(rw_Cum,(ROW()-ROW(rw_LoadOrigin)-1),(COLUMN()-COLUMN(rw_LoadOrigin)-1))),"")</f>
        <v/>
      </c>
      <c r="AC60" s="61"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31" t="s">
        <v>243</v>
      </c>
      <c r="D61" s="62" t="n">
        <f aca="false">SUM(INDEX(rw_Load,0,(COLUMN()-COLUMN(rw_LoadOrigin)-1)))</f>
        <v>51.7142857142857</v>
      </c>
      <c r="E61" s="62" t="n">
        <f aca="false">SUM(INDEX(rw_Load,0,(COLUMN()-COLUMN(rw_LoadOrigin)-1)))</f>
        <v>63.3333333333333</v>
      </c>
      <c r="F61" s="62" t="n">
        <f aca="false">SUM(INDEX(rw_Load,0,(COLUMN()-COLUMN(rw_LoadOrigin)-1)))</f>
        <v>67.6190476190477</v>
      </c>
      <c r="G61" s="62" t="n">
        <f aca="false">SUM(INDEX(rw_Load,0,(COLUMN()-COLUMN(rw_LoadOrigin)-1)))</f>
        <v>67.6190476190476</v>
      </c>
      <c r="H61" s="62" t="n">
        <f aca="false">SUM(INDEX(rw_Load,0,(COLUMN()-COLUMN(rw_LoadOrigin)-1)))</f>
        <v>79.4285714285714</v>
      </c>
      <c r="I61" s="62" t="n">
        <f aca="false">SUM(INDEX(rw_Load,0,(COLUMN()-COLUMN(rw_LoadOrigin)-1)))</f>
        <v>48</v>
      </c>
      <c r="J61" s="62" t="n">
        <f aca="false">SUM(INDEX(rw_Load,0,(COLUMN()-COLUMN(rw_LoadOrigin)-1)))</f>
        <v>52</v>
      </c>
      <c r="K61" s="62" t="n">
        <f aca="false">SUM(INDEX(rw_Load,0,(COLUMN()-COLUMN(rw_LoadOrigin)-1)))</f>
        <v>0</v>
      </c>
      <c r="L61" s="62" t="n">
        <f aca="false">SUM(INDEX(rw_Load,0,(COLUMN()-COLUMN(rw_LoadOrigin)-1)))</f>
        <v>0</v>
      </c>
      <c r="M61" s="62" t="n">
        <f aca="false">SUM(INDEX(rw_Load,0,(COLUMN()-COLUMN(rw_LoadOrigin)-1)))</f>
        <v>40</v>
      </c>
      <c r="N61" s="62" t="n">
        <f aca="false">SUM(INDEX(rw_Load,0,(COLUMN()-COLUMN(rw_LoadOrigin)-1)))</f>
        <v>28</v>
      </c>
      <c r="O61" s="62" t="n">
        <f aca="false">SUM(INDEX(rw_Load,0,(COLUMN()-COLUMN(rw_LoadOrigin)-1)))</f>
        <v>12</v>
      </c>
      <c r="P61" s="62" t="n">
        <f aca="false">SUM(INDEX(rw_Load,0,(COLUMN()-COLUMN(rw_LoadOrigin)-1)))</f>
        <v>12</v>
      </c>
      <c r="Q61" s="62" t="n">
        <f aca="false">SUM(INDEX(rw_Load,0,(COLUMN()-COLUMN(rw_LoadOrigin)-1)))</f>
        <v>20</v>
      </c>
      <c r="R61" s="62" t="n">
        <f aca="false">SUM(INDEX(rw_Load,0,(COLUMN()-COLUMN(rw_LoadOrigin)-1)))</f>
        <v>0</v>
      </c>
      <c r="S61" s="62" t="n">
        <f aca="false">SUM(INDEX(rw_Load,0,(COLUMN()-COLUMN(rw_LoadOrigin)-1)))</f>
        <v>0</v>
      </c>
      <c r="T61" s="62" t="n">
        <f aca="false">SUM(INDEX(rw_Load,0,(COLUMN()-COLUMN(rw_LoadOrigin)-1)))</f>
        <v>0</v>
      </c>
      <c r="U61" s="62" t="n">
        <f aca="false">SUM(INDEX(rw_Load,0,(COLUMN()-COLUMN(rw_LoadOrigin)-1)))</f>
        <v>0</v>
      </c>
      <c r="V61" s="62" t="n">
        <f aca="false">SUM(INDEX(rw_Load,0,(COLUMN()-COLUMN(rw_LoadOrigin)-1)))</f>
        <v>0</v>
      </c>
      <c r="W61" s="62" t="n">
        <f aca="false">SUM(INDEX(rw_Load,0,(COLUMN()-COLUMN(rw_LoadOrigin)-1)))</f>
        <v>0</v>
      </c>
      <c r="X61" s="62" t="n">
        <f aca="false">SUM(INDEX(rw_Load,0,(COLUMN()-COLUMN(rw_LoadOrigin)-1)))</f>
        <v>0</v>
      </c>
      <c r="Y61" s="62" t="n">
        <f aca="false">SUM(INDEX(rw_Load,0,(COLUMN()-COLUMN(rw_LoadOrigin)-1)))</f>
        <v>0</v>
      </c>
      <c r="Z61" s="62" t="n">
        <f aca="false">SUM(INDEX(rw_Load,0,(COLUMN()-COLUMN(rw_LoadOrigin)-1)))</f>
        <v>0</v>
      </c>
      <c r="AA61" s="62" t="n">
        <f aca="false">SUM(INDEX(rw_Load,0,(COLUMN()-COLUMN(rw_LoadOrigin)-1)))</f>
        <v>0</v>
      </c>
      <c r="AB61" s="62" t="n">
        <f aca="false">SUM(INDEX(rw_Load,0,(COLUMN()-COLUMN(rw_LoadOrigin)-1)))</f>
        <v>0</v>
      </c>
      <c r="AC61" s="62" t="n">
        <f aca="false">SUM(INDEX(rw_Load,0,(COLUMN()-COLUMN(rw_LoadOrigin)-1)))</f>
        <v>0</v>
      </c>
    </row>
    <row r="62" customFormat="false" ht="15" hidden="false" customHeight="false" outlineLevel="0" collapsed="false">
      <c r="B62" s="31" t="s">
        <v>244</v>
      </c>
      <c r="D62" s="62" t="n">
        <f aca="false">SUMIFS(res_MaxUnits,res_Type,"Work")*HoursPerDay*INDEX(rw_WeekDays,(COLUMN()-COLUMN(rw_LoadOrigin)-1))-(HoursPerDay*SUMPRODUCT((INDEX(res_Type,1):INDEX(res_Type,ROWS(rw_Leave))="Work")*INDEX(res_MaxUnits,1):INDEX(res_MaxUnits,ROWS(rw_Leave))*INDEX(rw_Leave,0,(COLUMN()-COLUMN(rw_LoadOrigin)-1))))</f>
        <v>240</v>
      </c>
      <c r="E62" s="62" t="n">
        <f aca="false">SUMIFS(res_MaxUnits,res_Type,"Work")*HoursPerDay*INDEX(rw_WeekDays,(COLUMN()-COLUMN(rw_LoadOrigin)-1))-(HoursPerDay*SUMPRODUCT((INDEX(res_Type,1):INDEX(res_Type,ROWS(rw_Leave))="Work")*INDEX(res_MaxUnits,1):INDEX(res_MaxUnits,ROWS(rw_Leave))*INDEX(rw_Leave,0,(COLUMN()-COLUMN(rw_LoadOrigin)-1))))</f>
        <v>240</v>
      </c>
      <c r="F62" s="62" t="n">
        <f aca="false">SUMIFS(res_MaxUnits,res_Type,"Work")*HoursPerDay*INDEX(rw_WeekDays,(COLUMN()-COLUMN(rw_LoadOrigin)-1))-(HoursPerDay*SUMPRODUCT((INDEX(res_Type,1):INDEX(res_Type,ROWS(rw_Leave))="Work")*INDEX(res_MaxUnits,1):INDEX(res_MaxUnits,ROWS(rw_Leave))*INDEX(rw_Leave,0,(COLUMN()-COLUMN(rw_LoadOrigin)-1))))</f>
        <v>240</v>
      </c>
      <c r="G62" s="62" t="n">
        <f aca="false">SUMIFS(res_MaxUnits,res_Type,"Work")*HoursPerDay*INDEX(rw_WeekDays,(COLUMN()-COLUMN(rw_LoadOrigin)-1))-(HoursPerDay*SUMPRODUCT((INDEX(res_Type,1):INDEX(res_Type,ROWS(rw_Leave))="Work")*INDEX(res_MaxUnits,1):INDEX(res_MaxUnits,ROWS(rw_Leave))*INDEX(rw_Leave,0,(COLUMN()-COLUMN(rw_LoadOrigin)-1))))</f>
        <v>232</v>
      </c>
      <c r="H62" s="62" t="n">
        <f aca="false">SUMIFS(res_MaxUnits,res_Type,"Work")*HoursPerDay*INDEX(rw_WeekDays,(COLUMN()-COLUMN(rw_LoadOrigin)-1))-(HoursPerDay*SUMPRODUCT((INDEX(res_Type,1):INDEX(res_Type,ROWS(rw_Leave))="Work")*INDEX(res_MaxUnits,1):INDEX(res_MaxUnits,ROWS(rw_Leave))*INDEX(rw_Leave,0,(COLUMN()-COLUMN(rw_LoadOrigin)-1))))</f>
        <v>236</v>
      </c>
      <c r="I62" s="62" t="n">
        <f aca="false">SUMIFS(res_MaxUnits,res_Type,"Work")*HoursPerDay*INDEX(rw_WeekDays,(COLUMN()-COLUMN(rw_LoadOrigin)-1))-(HoursPerDay*SUMPRODUCT((INDEX(res_Type,1):INDEX(res_Type,ROWS(rw_Leave))="Work")*INDEX(res_MaxUnits,1):INDEX(res_MaxUnits,ROWS(rw_Leave))*INDEX(rw_Leave,0,(COLUMN()-COLUMN(rw_LoadOrigin)-1))))</f>
        <v>240</v>
      </c>
      <c r="J62" s="62" t="n">
        <f aca="false">SUMIFS(res_MaxUnits,res_Type,"Work")*HoursPerDay*INDEX(rw_WeekDays,(COLUMN()-COLUMN(rw_LoadOrigin)-1))-(HoursPerDay*SUMPRODUCT((INDEX(res_Type,1):INDEX(res_Type,ROWS(rw_Leave))="Work")*INDEX(res_MaxUnits,1):INDEX(res_MaxUnits,ROWS(rw_Leave))*INDEX(rw_Leave,0,(COLUMN()-COLUMN(rw_LoadOrigin)-1))))</f>
        <v>204</v>
      </c>
      <c r="K62" s="62" t="n">
        <f aca="false">SUMIFS(res_MaxUnits,res_Type,"Work")*HoursPerDay*INDEX(rw_WeekDays,(COLUMN()-COLUMN(rw_LoadOrigin)-1))-(HoursPerDay*SUMPRODUCT((INDEX(res_Type,1):INDEX(res_Type,ROWS(rw_Leave))="Work")*INDEX(res_MaxUnits,1):INDEX(res_MaxUnits,ROWS(rw_Leave))*INDEX(rw_Leave,0,(COLUMN()-COLUMN(rw_LoadOrigin)-1))))</f>
        <v>200</v>
      </c>
      <c r="L62" s="62" t="n">
        <f aca="false">SUMIFS(res_MaxUnits,res_Type,"Work")*HoursPerDay*INDEX(rw_WeekDays,(COLUMN()-COLUMN(rw_LoadOrigin)-1))-(HoursPerDay*SUMPRODUCT((INDEX(res_Type,1):INDEX(res_Type,ROWS(rw_Leave))="Work")*INDEX(res_MaxUnits,1):INDEX(res_MaxUnits,ROWS(rw_Leave))*INDEX(rw_Leave,0,(COLUMN()-COLUMN(rw_LoadOrigin)-1))))</f>
        <v>240</v>
      </c>
      <c r="M62" s="62" t="n">
        <f aca="false">SUMIFS(res_MaxUnits,res_Type,"Work")*HoursPerDay*INDEX(rw_WeekDays,(COLUMN()-COLUMN(rw_LoadOrigin)-1))-(HoursPerDay*SUMPRODUCT((INDEX(res_Type,1):INDEX(res_Type,ROWS(rw_Leave))="Work")*INDEX(res_MaxUnits,1):INDEX(res_MaxUnits,ROWS(rw_Leave))*INDEX(rw_Leave,0,(COLUMN()-COLUMN(rw_LoadOrigin)-1))))</f>
        <v>240</v>
      </c>
      <c r="N62" s="62" t="n">
        <f aca="false">SUMIFS(res_MaxUnits,res_Type,"Work")*HoursPerDay*INDEX(rw_WeekDays,(COLUMN()-COLUMN(rw_LoadOrigin)-1))-(HoursPerDay*SUMPRODUCT((INDEX(res_Type,1):INDEX(res_Type,ROWS(rw_Leave))="Work")*INDEX(res_MaxUnits,1):INDEX(res_MaxUnits,ROWS(rw_Leave))*INDEX(rw_Leave,0,(COLUMN()-COLUMN(rw_LoadOrigin)-1))))</f>
        <v>240</v>
      </c>
      <c r="O62" s="62" t="n">
        <f aca="false">SUMIFS(res_MaxUnits,res_Type,"Work")*HoursPerDay*INDEX(rw_WeekDays,(COLUMN()-COLUMN(rw_LoadOrigin)-1))-(HoursPerDay*SUMPRODUCT((INDEX(res_Type,1):INDEX(res_Type,ROWS(rw_Leave))="Work")*INDEX(res_MaxUnits,1):INDEX(res_MaxUnits,ROWS(rw_Leave))*INDEX(rw_Leave,0,(COLUMN()-COLUMN(rw_LoadOrigin)-1))))</f>
        <v>124</v>
      </c>
      <c r="P62" s="62" t="n">
        <f aca="false">SUMIFS(res_MaxUnits,res_Type,"Work")*HoursPerDay*INDEX(rw_WeekDays,(COLUMN()-COLUMN(rw_LoadOrigin)-1))-(HoursPerDay*SUMPRODUCT((INDEX(res_Type,1):INDEX(res_Type,ROWS(rw_Leave))="Work")*INDEX(res_MaxUnits,1):INDEX(res_MaxUnits,ROWS(rw_Leave))*INDEX(rw_Leave,0,(COLUMN()-COLUMN(rw_LoadOrigin)-1))))</f>
        <v>120</v>
      </c>
      <c r="Q62" s="62" t="n">
        <f aca="false">SUMIFS(res_MaxUnits,res_Type,"Work")*HoursPerDay*INDEX(rw_WeekDays,(COLUMN()-COLUMN(rw_LoadOrigin)-1))-(HoursPerDay*SUMPRODUCT((INDEX(res_Type,1):INDEX(res_Type,ROWS(rw_Leave))="Work")*INDEX(res_MaxUnits,1):INDEX(res_MaxUnits,ROWS(rw_Leave))*INDEX(rw_Leave,0,(COLUMN()-COLUMN(rw_LoadOrigin)-1))))</f>
        <v>240</v>
      </c>
      <c r="R62" s="62" t="n">
        <f aca="false">SUMIFS(res_MaxUnits,res_Type,"Work")*HoursPerDay*INDEX(rw_WeekDays,(COLUMN()-COLUMN(rw_LoadOrigin)-1))-(HoursPerDay*SUMPRODUCT((INDEX(res_Type,1):INDEX(res_Type,ROWS(rw_Leave))="Work")*INDEX(res_MaxUnits,1):INDEX(res_MaxUnits,ROWS(rw_Leave))*INDEX(rw_Leave,0,(COLUMN()-COLUMN(rw_LoadOrigin)-1))))</f>
        <v>240</v>
      </c>
      <c r="S62" s="62" t="n">
        <f aca="false">SUMIFS(res_MaxUnits,res_Type,"Work")*HoursPerDay*INDEX(rw_WeekDays,(COLUMN()-COLUMN(rw_LoadOrigin)-1))-(HoursPerDay*SUMPRODUCT((INDEX(res_Type,1):INDEX(res_Type,ROWS(rw_Leave))="Work")*INDEX(res_MaxUnits,1):INDEX(res_MaxUnits,ROWS(rw_Leave))*INDEX(rw_Leave,0,(COLUMN()-COLUMN(rw_LoadOrigin)-1))))</f>
        <v>240</v>
      </c>
      <c r="T62" s="62" t="n">
        <f aca="false">SUMIFS(res_MaxUnits,res_Type,"Work")*HoursPerDay*INDEX(rw_WeekDays,(COLUMN()-COLUMN(rw_LoadOrigin)-1))-(HoursPerDay*SUMPRODUCT((INDEX(res_Type,1):INDEX(res_Type,ROWS(rw_Leave))="Work")*INDEX(res_MaxUnits,1):INDEX(res_MaxUnits,ROWS(rw_Leave))*INDEX(rw_Leave,0,(COLUMN()-COLUMN(rw_LoadOrigin)-1))))</f>
        <v>240</v>
      </c>
      <c r="U62" s="62" t="n">
        <f aca="false">SUMIFS(res_MaxUnits,res_Type,"Work")*HoursPerDay*INDEX(rw_WeekDays,(COLUMN()-COLUMN(rw_LoadOrigin)-1))-(HoursPerDay*SUMPRODUCT((INDEX(res_Type,1):INDEX(res_Type,ROWS(rw_Leave))="Work")*INDEX(res_MaxUnits,1):INDEX(res_MaxUnits,ROWS(rw_Leave))*INDEX(rw_Leave,0,(COLUMN()-COLUMN(rw_LoadOrigin)-1))))</f>
        <v>240</v>
      </c>
      <c r="V62" s="62" t="n">
        <f aca="false">SUMIFS(res_MaxUnits,res_Type,"Work")*HoursPerDay*INDEX(rw_WeekDays,(COLUMN()-COLUMN(rw_LoadOrigin)-1))-(HoursPerDay*SUMPRODUCT((INDEX(res_Type,1):INDEX(res_Type,ROWS(rw_Leave))="Work")*INDEX(res_MaxUnits,1):INDEX(res_MaxUnits,ROWS(rw_Leave))*INDEX(rw_Leave,0,(COLUMN()-COLUMN(rw_LoadOrigin)-1))))</f>
        <v>240</v>
      </c>
      <c r="W62" s="62" t="n">
        <f aca="false">SUMIFS(res_MaxUnits,res_Type,"Work")*HoursPerDay*INDEX(rw_WeekDays,(COLUMN()-COLUMN(rw_LoadOrigin)-1))-(HoursPerDay*SUMPRODUCT((INDEX(res_Type,1):INDEX(res_Type,ROWS(rw_Leave))="Work")*INDEX(res_MaxUnits,1):INDEX(res_MaxUnits,ROWS(rw_Leave))*INDEX(rw_Leave,0,(COLUMN()-COLUMN(rw_LoadOrigin)-1))))</f>
        <v>240</v>
      </c>
      <c r="X62" s="62" t="n">
        <f aca="false">SUMIFS(res_MaxUnits,res_Type,"Work")*HoursPerDay*INDEX(rw_WeekDays,(COLUMN()-COLUMN(rw_LoadOrigin)-1))-(HoursPerDay*SUMPRODUCT((INDEX(res_Type,1):INDEX(res_Type,ROWS(rw_Leave))="Work")*INDEX(res_MaxUnits,1):INDEX(res_MaxUnits,ROWS(rw_Leave))*INDEX(rw_Leave,0,(COLUMN()-COLUMN(rw_LoadOrigin)-1))))</f>
        <v>240</v>
      </c>
      <c r="Y62" s="62" t="n">
        <f aca="false">SUMIFS(res_MaxUnits,res_Type,"Work")*HoursPerDay*INDEX(rw_WeekDays,(COLUMN()-COLUMN(rw_LoadOrigin)-1))-(HoursPerDay*SUMPRODUCT((INDEX(res_Type,1):INDEX(res_Type,ROWS(rw_Leave))="Work")*INDEX(res_MaxUnits,1):INDEX(res_MaxUnits,ROWS(rw_Leave))*INDEX(rw_Leave,0,(COLUMN()-COLUMN(rw_LoadOrigin)-1))))</f>
        <v>240</v>
      </c>
      <c r="Z62" s="62" t="n">
        <f aca="false">SUMIFS(res_MaxUnits,res_Type,"Work")*HoursPerDay*INDEX(rw_WeekDays,(COLUMN()-COLUMN(rw_LoadOrigin)-1))-(HoursPerDay*SUMPRODUCT((INDEX(res_Type,1):INDEX(res_Type,ROWS(rw_Leave))="Work")*INDEX(res_MaxUnits,1):INDEX(res_MaxUnits,ROWS(rw_Leave))*INDEX(rw_Leave,0,(COLUMN()-COLUMN(rw_LoadOrigin)-1))))</f>
        <v>240</v>
      </c>
      <c r="AA62" s="62" t="n">
        <f aca="false">SUMIFS(res_MaxUnits,res_Type,"Work")*HoursPerDay*INDEX(rw_WeekDays,(COLUMN()-COLUMN(rw_LoadOrigin)-1))-(HoursPerDay*SUMPRODUCT((INDEX(res_Type,1):INDEX(res_Type,ROWS(rw_Leave))="Work")*INDEX(res_MaxUnits,1):INDEX(res_MaxUnits,ROWS(rw_Leave))*INDEX(rw_Leave,0,(COLUMN()-COLUMN(rw_LoadOrigin)-1))))</f>
        <v>240</v>
      </c>
      <c r="AB62" s="62" t="n">
        <f aca="false">SUMIFS(res_MaxUnits,res_Type,"Work")*HoursPerDay*INDEX(rw_WeekDays,(COLUMN()-COLUMN(rw_LoadOrigin)-1))-(HoursPerDay*SUMPRODUCT((INDEX(res_Type,1):INDEX(res_Type,ROWS(rw_Leave))="Work")*INDEX(res_MaxUnits,1):INDEX(res_MaxUnits,ROWS(rw_Leave))*INDEX(rw_Leave,0,(COLUMN()-COLUMN(rw_LoadOrigin)-1))))</f>
        <v>240</v>
      </c>
      <c r="AC62" s="62" t="n">
        <f aca="false">SUMIFS(res_MaxUnits,res_Type,"Work")*HoursPerDay*INDEX(rw_WeekDays,(COLUMN()-COLUMN(rw_LoadOrigin)-1))-(HoursPerDay*SUMPRODUCT((INDEX(res_Type,1):INDEX(res_Type,ROWS(rw_Leave))="Work")*INDEX(res_MaxUnits,1):INDEX(res_MaxUnits,ROWS(rw_Leave))*INDEX(rw_Leave,0,(COLUMN()-COLUMN(rw_LoadOrigin)-1))))</f>
        <v>240</v>
      </c>
    </row>
    <row r="64" customFormat="false" ht="15" hidden="false" customHeight="false" outlineLevel="0" collapsed="false">
      <c r="B64" s="56" t="s">
        <v>245</v>
      </c>
    </row>
    <row r="66" customFormat="false" ht="15" hidden="false" customHeight="false" outlineLevel="0" collapsed="false">
      <c r="B66" s="9" t="s">
        <v>223</v>
      </c>
      <c r="C66" s="9" t="s">
        <v>229</v>
      </c>
      <c r="D66" s="57" t="n">
        <f aca="false">(ResourceWeekStart+7*((COLUMN()-COLUMN(rw_UtilOrigin)-1)-1))</f>
        <v>46300</v>
      </c>
      <c r="E66" s="57" t="n">
        <f aca="false">(ResourceWeekStart+7*((COLUMN()-COLUMN(rw_UtilOrigin)-1)-1))</f>
        <v>46307</v>
      </c>
      <c r="F66" s="57" t="n">
        <f aca="false">(ResourceWeekStart+7*((COLUMN()-COLUMN(rw_UtilOrigin)-1)-1))</f>
        <v>46314</v>
      </c>
      <c r="G66" s="57" t="n">
        <f aca="false">(ResourceWeekStart+7*((COLUMN()-COLUMN(rw_UtilOrigin)-1)-1))</f>
        <v>46321</v>
      </c>
      <c r="H66" s="57" t="n">
        <f aca="false">(ResourceWeekStart+7*((COLUMN()-COLUMN(rw_UtilOrigin)-1)-1))</f>
        <v>46328</v>
      </c>
      <c r="I66" s="57" t="n">
        <f aca="false">(ResourceWeekStart+7*((COLUMN()-COLUMN(rw_UtilOrigin)-1)-1))</f>
        <v>46335</v>
      </c>
      <c r="J66" s="57" t="n">
        <f aca="false">(ResourceWeekStart+7*((COLUMN()-COLUMN(rw_UtilOrigin)-1)-1))</f>
        <v>46342</v>
      </c>
      <c r="K66" s="57" t="n">
        <f aca="false">(ResourceWeekStart+7*((COLUMN()-COLUMN(rw_UtilOrigin)-1)-1))</f>
        <v>46349</v>
      </c>
      <c r="L66" s="57" t="n">
        <f aca="false">(ResourceWeekStart+7*((COLUMN()-COLUMN(rw_UtilOrigin)-1)-1))</f>
        <v>46356</v>
      </c>
      <c r="M66" s="57" t="n">
        <f aca="false">(ResourceWeekStart+7*((COLUMN()-COLUMN(rw_UtilOrigin)-1)-1))</f>
        <v>46363</v>
      </c>
      <c r="N66" s="57" t="n">
        <f aca="false">(ResourceWeekStart+7*((COLUMN()-COLUMN(rw_UtilOrigin)-1)-1))</f>
        <v>46370</v>
      </c>
      <c r="O66" s="57" t="n">
        <f aca="false">(ResourceWeekStart+7*((COLUMN()-COLUMN(rw_UtilOrigin)-1)-1))</f>
        <v>46377</v>
      </c>
      <c r="P66" s="57" t="n">
        <f aca="false">(ResourceWeekStart+7*((COLUMN()-COLUMN(rw_UtilOrigin)-1)-1))</f>
        <v>46384</v>
      </c>
      <c r="Q66" s="57" t="n">
        <f aca="false">(ResourceWeekStart+7*((COLUMN()-COLUMN(rw_UtilOrigin)-1)-1))</f>
        <v>46391</v>
      </c>
      <c r="R66" s="57" t="n">
        <f aca="false">(ResourceWeekStart+7*((COLUMN()-COLUMN(rw_UtilOrigin)-1)-1))</f>
        <v>46398</v>
      </c>
      <c r="S66" s="57" t="n">
        <f aca="false">(ResourceWeekStart+7*((COLUMN()-COLUMN(rw_UtilOrigin)-1)-1))</f>
        <v>46405</v>
      </c>
      <c r="T66" s="57" t="n">
        <f aca="false">(ResourceWeekStart+7*((COLUMN()-COLUMN(rw_UtilOrigin)-1)-1))</f>
        <v>46412</v>
      </c>
      <c r="U66" s="57" t="n">
        <f aca="false">(ResourceWeekStart+7*((COLUMN()-COLUMN(rw_UtilOrigin)-1)-1))</f>
        <v>46419</v>
      </c>
      <c r="V66" s="57" t="n">
        <f aca="false">(ResourceWeekStart+7*((COLUMN()-COLUMN(rw_UtilOrigin)-1)-1))</f>
        <v>46426</v>
      </c>
      <c r="W66" s="57" t="n">
        <f aca="false">(ResourceWeekStart+7*((COLUMN()-COLUMN(rw_UtilOrigin)-1)-1))</f>
        <v>46433</v>
      </c>
      <c r="X66" s="57" t="n">
        <f aca="false">(ResourceWeekStart+7*((COLUMN()-COLUMN(rw_UtilOrigin)-1)-1))</f>
        <v>46440</v>
      </c>
      <c r="Y66" s="57" t="n">
        <f aca="false">(ResourceWeekStart+7*((COLUMN()-COLUMN(rw_UtilOrigin)-1)-1))</f>
        <v>46447</v>
      </c>
      <c r="Z66" s="57" t="n">
        <f aca="false">(ResourceWeekStart+7*((COLUMN()-COLUMN(rw_UtilOrigin)-1)-1))</f>
        <v>46454</v>
      </c>
      <c r="AA66" s="57" t="n">
        <f aca="false">(ResourceWeekStart+7*((COLUMN()-COLUMN(rw_UtilOrigin)-1)-1))</f>
        <v>46461</v>
      </c>
      <c r="AB66" s="57" t="n">
        <f aca="false">(ResourceWeekStart+7*((COLUMN()-COLUMN(rw_UtilOrigin)-1)-1))</f>
        <v>46468</v>
      </c>
      <c r="AC66" s="57" t="n">
        <f aca="false">(ResourceWeekStart+7*((COLUMN()-COLUMN(rw_UtilOrigin)-1)-1))</f>
        <v>46475</v>
      </c>
    </row>
    <row r="67" customFormat="false" ht="15" hidden="false" customHeight="false" outlineLevel="0" collapsed="false">
      <c r="B67" s="58" t="s">
        <v>242</v>
      </c>
      <c r="D67" s="59" t="n">
        <f aca="false">NETWORKDAYS.INTL((ResourceWeekStart+7*((COLUMN()-COLUMN(rw_UtilOrigin)-1)-1)),(ResourceWeekStart+7*((COLUMN()-COLUMN(rw_UtilOrigin)-1)-1))+6,WorkWeek,Holidays)</f>
        <v>5</v>
      </c>
      <c r="E67" s="59" t="n">
        <f aca="false">NETWORKDAYS.INTL((ResourceWeekStart+7*((COLUMN()-COLUMN(rw_UtilOrigin)-1)-1)),(ResourceWeekStart+7*((COLUMN()-COLUMN(rw_UtilOrigin)-1)-1))+6,WorkWeek,Holidays)</f>
        <v>5</v>
      </c>
      <c r="F67" s="59" t="n">
        <f aca="false">NETWORKDAYS.INTL((ResourceWeekStart+7*((COLUMN()-COLUMN(rw_UtilOrigin)-1)-1)),(ResourceWeekStart+7*((COLUMN()-COLUMN(rw_UtilOrigin)-1)-1))+6,WorkWeek,Holidays)</f>
        <v>5</v>
      </c>
      <c r="G67" s="59" t="n">
        <f aca="false">NETWORKDAYS.INTL((ResourceWeekStart+7*((COLUMN()-COLUMN(rw_UtilOrigin)-1)-1)),(ResourceWeekStart+7*((COLUMN()-COLUMN(rw_UtilOrigin)-1)-1))+6,WorkWeek,Holidays)</f>
        <v>5</v>
      </c>
      <c r="H67" s="59" t="n">
        <f aca="false">NETWORKDAYS.INTL((ResourceWeekStart+7*((COLUMN()-COLUMN(rw_UtilOrigin)-1)-1)),(ResourceWeekStart+7*((COLUMN()-COLUMN(rw_UtilOrigin)-1)-1))+6,WorkWeek,Holidays)</f>
        <v>5</v>
      </c>
      <c r="I67" s="59" t="n">
        <f aca="false">NETWORKDAYS.INTL((ResourceWeekStart+7*((COLUMN()-COLUMN(rw_UtilOrigin)-1)-1)),(ResourceWeekStart+7*((COLUMN()-COLUMN(rw_UtilOrigin)-1)-1))+6,WorkWeek,Holidays)</f>
        <v>5</v>
      </c>
      <c r="J67" s="59" t="n">
        <f aca="false">NETWORKDAYS.INTL((ResourceWeekStart+7*((COLUMN()-COLUMN(rw_UtilOrigin)-1)-1)),(ResourceWeekStart+7*((COLUMN()-COLUMN(rw_UtilOrigin)-1)-1))+6,WorkWeek,Holidays)</f>
        <v>5</v>
      </c>
      <c r="K67" s="59" t="n">
        <f aca="false">NETWORKDAYS.INTL((ResourceWeekStart+7*((COLUMN()-COLUMN(rw_UtilOrigin)-1)-1)),(ResourceWeekStart+7*((COLUMN()-COLUMN(rw_UtilOrigin)-1)-1))+6,WorkWeek,Holidays)</f>
        <v>5</v>
      </c>
      <c r="L67" s="59" t="n">
        <f aca="false">NETWORKDAYS.INTL((ResourceWeekStart+7*((COLUMN()-COLUMN(rw_UtilOrigin)-1)-1)),(ResourceWeekStart+7*((COLUMN()-COLUMN(rw_UtilOrigin)-1)-1))+6,WorkWeek,Holidays)</f>
        <v>5</v>
      </c>
      <c r="M67" s="59" t="n">
        <f aca="false">NETWORKDAYS.INTL((ResourceWeekStart+7*((COLUMN()-COLUMN(rw_UtilOrigin)-1)-1)),(ResourceWeekStart+7*((COLUMN()-COLUMN(rw_UtilOrigin)-1)-1))+6,WorkWeek,Holidays)</f>
        <v>5</v>
      </c>
      <c r="N67" s="59" t="n">
        <f aca="false">NETWORKDAYS.INTL((ResourceWeekStart+7*((COLUMN()-COLUMN(rw_UtilOrigin)-1)-1)),(ResourceWeekStart+7*((COLUMN()-COLUMN(rw_UtilOrigin)-1)-1))+6,WorkWeek,Holidays)</f>
        <v>5</v>
      </c>
      <c r="O67" s="59" t="n">
        <f aca="false">NETWORKDAYS.INTL((ResourceWeekStart+7*((COLUMN()-COLUMN(rw_UtilOrigin)-1)-1)),(ResourceWeekStart+7*((COLUMN()-COLUMN(rw_UtilOrigin)-1)-1))+6,WorkWeek,Holidays)</f>
        <v>3</v>
      </c>
      <c r="P67" s="59" t="n">
        <f aca="false">NETWORKDAYS.INTL((ResourceWeekStart+7*((COLUMN()-COLUMN(rw_UtilOrigin)-1)-1)),(ResourceWeekStart+7*((COLUMN()-COLUMN(rw_UtilOrigin)-1)-1))+6,WorkWeek,Holidays)</f>
        <v>3</v>
      </c>
      <c r="Q67" s="59" t="n">
        <f aca="false">NETWORKDAYS.INTL((ResourceWeekStart+7*((COLUMN()-COLUMN(rw_UtilOrigin)-1)-1)),(ResourceWeekStart+7*((COLUMN()-COLUMN(rw_UtilOrigin)-1)-1))+6,WorkWeek,Holidays)</f>
        <v>5</v>
      </c>
      <c r="R67" s="59" t="n">
        <f aca="false">NETWORKDAYS.INTL((ResourceWeekStart+7*((COLUMN()-COLUMN(rw_UtilOrigin)-1)-1)),(ResourceWeekStart+7*((COLUMN()-COLUMN(rw_UtilOrigin)-1)-1))+6,WorkWeek,Holidays)</f>
        <v>5</v>
      </c>
      <c r="S67" s="59" t="n">
        <f aca="false">NETWORKDAYS.INTL((ResourceWeekStart+7*((COLUMN()-COLUMN(rw_UtilOrigin)-1)-1)),(ResourceWeekStart+7*((COLUMN()-COLUMN(rw_UtilOrigin)-1)-1))+6,WorkWeek,Holidays)</f>
        <v>5</v>
      </c>
      <c r="T67" s="59" t="n">
        <f aca="false">NETWORKDAYS.INTL((ResourceWeekStart+7*((COLUMN()-COLUMN(rw_UtilOrigin)-1)-1)),(ResourceWeekStart+7*((COLUMN()-COLUMN(rw_UtilOrigin)-1)-1))+6,WorkWeek,Holidays)</f>
        <v>5</v>
      </c>
      <c r="U67" s="59" t="n">
        <f aca="false">NETWORKDAYS.INTL((ResourceWeekStart+7*((COLUMN()-COLUMN(rw_UtilOrigin)-1)-1)),(ResourceWeekStart+7*((COLUMN()-COLUMN(rw_UtilOrigin)-1)-1))+6,WorkWeek,Holidays)</f>
        <v>5</v>
      </c>
      <c r="V67" s="59" t="n">
        <f aca="false">NETWORKDAYS.INTL((ResourceWeekStart+7*((COLUMN()-COLUMN(rw_UtilOrigin)-1)-1)),(ResourceWeekStart+7*((COLUMN()-COLUMN(rw_UtilOrigin)-1)-1))+6,WorkWeek,Holidays)</f>
        <v>5</v>
      </c>
      <c r="W67" s="59" t="n">
        <f aca="false">NETWORKDAYS.INTL((ResourceWeekStart+7*((COLUMN()-COLUMN(rw_UtilOrigin)-1)-1)),(ResourceWeekStart+7*((COLUMN()-COLUMN(rw_UtilOrigin)-1)-1))+6,WorkWeek,Holidays)</f>
        <v>5</v>
      </c>
      <c r="X67" s="59" t="n">
        <f aca="false">NETWORKDAYS.INTL((ResourceWeekStart+7*((COLUMN()-COLUMN(rw_UtilOrigin)-1)-1)),(ResourceWeekStart+7*((COLUMN()-COLUMN(rw_UtilOrigin)-1)-1))+6,WorkWeek,Holidays)</f>
        <v>5</v>
      </c>
      <c r="Y67" s="59" t="n">
        <f aca="false">NETWORKDAYS.INTL((ResourceWeekStart+7*((COLUMN()-COLUMN(rw_UtilOrigin)-1)-1)),(ResourceWeekStart+7*((COLUMN()-COLUMN(rw_UtilOrigin)-1)-1))+6,WorkWeek,Holidays)</f>
        <v>5</v>
      </c>
      <c r="Z67" s="59" t="n">
        <f aca="false">NETWORKDAYS.INTL((ResourceWeekStart+7*((COLUMN()-COLUMN(rw_UtilOrigin)-1)-1)),(ResourceWeekStart+7*((COLUMN()-COLUMN(rw_UtilOrigin)-1)-1))+6,WorkWeek,Holidays)</f>
        <v>5</v>
      </c>
      <c r="AA67" s="59" t="n">
        <f aca="false">NETWORKDAYS.INTL((ResourceWeekStart+7*((COLUMN()-COLUMN(rw_UtilOrigin)-1)-1)),(ResourceWeekStart+7*((COLUMN()-COLUMN(rw_UtilOrigin)-1)-1))+6,WorkWeek,Holidays)</f>
        <v>5</v>
      </c>
      <c r="AB67" s="59" t="n">
        <f aca="false">NETWORKDAYS.INTL((ResourceWeekStart+7*((COLUMN()-COLUMN(rw_UtilOrigin)-1)-1)),(ResourceWeekStart+7*((COLUMN()-COLUMN(rw_UtilOrigin)-1)-1))+6,WorkWeek,Holidays)</f>
        <v>5</v>
      </c>
      <c r="AC67" s="59" t="n">
        <f aca="false">NETWORKDAYS.INTL((ResourceWeekStart+7*((COLUMN()-COLUMN(rw_UtilOrigin)-1)-1)),(ResourceWeekStart+7*((COLUMN()-COLUMN(rw_UtilOrigin)-1)-1))+6,WorkWeek,Holidays)</f>
        <v>5</v>
      </c>
    </row>
    <row r="68" customFormat="false" ht="15" hidden="false" customHeight="false" outlineLevel="0" collapsed="false">
      <c r="B68" s="31" t="str">
        <f aca="false">IFERROR(INDEX(res_Name,(ROW()-ROW(rw_UtilOrigin)-1))&amp;"","")</f>
        <v>Priya Sharma</v>
      </c>
      <c r="C68" s="60" t="n">
        <f aca="false">IFERROR(IF(INDEX(res_Name,(ROW()-ROW(rw_UtilOrigin)-1))="","",INDEX(res_MaxUnits,(ROW()-ROW(rw_UtilOrigin)-1))),"")</f>
        <v>0.5</v>
      </c>
      <c r="D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K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O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R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68"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69" customFormat="false" ht="15" hidden="false" customHeight="false" outlineLevel="0" collapsed="false">
      <c r="B69" s="31" t="str">
        <f aca="false">IFERROR(INDEX(res_Name,(ROW()-ROW(rw_UtilOrigin)-1))&amp;"","")</f>
        <v>Morgan Patel</v>
      </c>
      <c r="C69" s="60" t="n">
        <f aca="false">IFERROR(IF(INDEX(res_Name,(ROW()-ROW(rw_UtilOrigin)-1))="","",INDEX(res_MaxUnits,(ROW()-ROW(rw_UtilOrigin)-1))),"")</f>
        <v>1</v>
      </c>
      <c r="D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N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O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6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69"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0" customFormat="false" ht="15" hidden="false" customHeight="false" outlineLevel="0" collapsed="false">
      <c r="B70" s="31" t="str">
        <f aca="false">IFERROR(INDEX(res_Name,(ROW()-ROW(rw_UtilOrigin)-1))&amp;"","")</f>
        <v>Alex Chen</v>
      </c>
      <c r="C70" s="60" t="n">
        <f aca="false">IFERROR(IF(INDEX(res_Name,(ROW()-ROW(rw_UtilOrigin)-1))="","",INDEX(res_MaxUnits,(ROW()-ROW(rw_UtilOrigin)-1))),"")</f>
        <v>0.5</v>
      </c>
      <c r="D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0"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1" customFormat="false" ht="15" hidden="false" customHeight="false" outlineLevel="0" collapsed="false">
      <c r="B71" s="31" t="str">
        <f aca="false">IFERROR(INDEX(res_Name,(ROW()-ROW(rw_UtilOrigin)-1))&amp;"","")</f>
        <v>Casey Kim</v>
      </c>
      <c r="C71" s="60" t="n">
        <f aca="false">IFERROR(IF(INDEX(res_Name,(ROW()-ROW(rw_UtilOrigin)-1))="","",INDEX(res_MaxUnits,(ROW()-ROW(rw_UtilOrigin)-1))),"")</f>
        <v>1</v>
      </c>
      <c r="D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0.342857142857143</v>
      </c>
      <c r="E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v>
      </c>
      <c r="I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J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3</v>
      </c>
      <c r="K7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1"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2" customFormat="false" ht="15" hidden="false" customHeight="false" outlineLevel="0" collapsed="false">
      <c r="B72" s="31" t="str">
        <f aca="false">IFERROR(INDEX(res_Name,(ROW()-ROW(rw_UtilOrigin)-1))&amp;"","")</f>
        <v>Jordan Lee</v>
      </c>
      <c r="C72" s="60" t="n">
        <f aca="false">IFERROR(IF(INDEX(res_Name,(ROW()-ROW(rw_UtilOrigin)-1))="","",INDEX(res_MaxUnits,(ROW()-ROW(rw_UtilOrigin)-1))),"")</f>
        <v>1</v>
      </c>
      <c r="D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0.5</v>
      </c>
      <c r="E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0.833333333333333</v>
      </c>
      <c r="F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0.833333333333334</v>
      </c>
      <c r="G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1.04166666666667</v>
      </c>
      <c r="H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I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J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v>
      </c>
      <c r="O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3</v>
      </c>
      <c r="P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0.5</v>
      </c>
      <c r="Q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0.1</v>
      </c>
      <c r="R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2"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3" customFormat="false" ht="15" hidden="false" customHeight="false" outlineLevel="0" collapsed="false">
      <c r="B73" s="31" t="str">
        <f aca="false">IFERROR(INDEX(res_Name,(ROW()-ROW(rw_UtilOrigin)-1))&amp;"","")</f>
        <v>Sam Rivera</v>
      </c>
      <c r="C73" s="60" t="n">
        <f aca="false">IFERROR(IF(INDEX(res_Name,(ROW()-ROW(rw_UtilOrigin)-1))="","",INDEX(res_MaxUnits,(ROW()-ROW(rw_UtilOrigin)-1))),"")</f>
        <v>1</v>
      </c>
      <c r="D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0.45</v>
      </c>
      <c r="E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0.75</v>
      </c>
      <c r="F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0.857142857142858</v>
      </c>
      <c r="G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0.857142857142857</v>
      </c>
      <c r="H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0.761904761904762</v>
      </c>
      <c r="I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3"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4" customFormat="false" ht="15" hidden="false" customHeight="false" outlineLevel="0" collapsed="false">
      <c r="B74" s="31" t="str">
        <f aca="false">IFERROR(INDEX(res_Name,(ROW()-ROW(rw_UtilOrigin)-1))&amp;"","")</f>
        <v>Taylor Morgan</v>
      </c>
      <c r="C74" s="60" t="n">
        <f aca="false">IFERROR(IF(INDEX(res_Name,(ROW()-ROW(rw_UtilOrigin)-1))="","",INDEX(res_MaxUnits,(ROW()-ROW(rw_UtilOrigin)-1))),"")</f>
        <v>1</v>
      </c>
      <c r="D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J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K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4" s="63"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5" customFormat="false" ht="15" hidden="false" customHeight="false" outlineLevel="0" collapsed="false">
      <c r="B75" s="31" t="str">
        <f aca="false">IFERROR(INDEX(res_Name,(ROW()-ROW(rw_UtilOrigin)-1))&amp;"","")</f>
        <v/>
      </c>
      <c r="C75" s="60" t="str">
        <f aca="false">IFERROR(IF(INDEX(res_Name,(ROW()-ROW(rw_UtilOrigin)-1))="","",INDEX(res_MaxUnits,(ROW()-ROW(rw_UtilOrigin)-1))),"")</f>
        <v/>
      </c>
      <c r="D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6" customFormat="false" ht="15" hidden="false" customHeight="false" outlineLevel="0" collapsed="false">
      <c r="B76" s="31" t="str">
        <f aca="false">IFERROR(INDEX(res_Name,(ROW()-ROW(rw_UtilOrigin)-1))&amp;"","")</f>
        <v/>
      </c>
      <c r="C76" s="60" t="str">
        <f aca="false">IFERROR(IF(INDEX(res_Name,(ROW()-ROW(rw_UtilOrigin)-1))="","",INDEX(res_MaxUnits,(ROW()-ROW(rw_UtilOrigin)-1))),"")</f>
        <v/>
      </c>
      <c r="D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7" customFormat="false" ht="15" hidden="false" customHeight="false" outlineLevel="0" collapsed="false">
      <c r="B77" s="31" t="str">
        <f aca="false">IFERROR(INDEX(res_Name,(ROW()-ROW(rw_UtilOrigin)-1))&amp;"","")</f>
        <v/>
      </c>
      <c r="C77" s="60" t="str">
        <f aca="false">IFERROR(IF(INDEX(res_Name,(ROW()-ROW(rw_UtilOrigin)-1))="","",INDEX(res_MaxUnits,(ROW()-ROW(rw_UtilOrigin)-1))),"")</f>
        <v/>
      </c>
      <c r="D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8" customFormat="false" ht="15" hidden="false" customHeight="false" outlineLevel="0" collapsed="false">
      <c r="B78" s="31" t="str">
        <f aca="false">IFERROR(INDEX(res_Name,(ROW()-ROW(rw_UtilOrigin)-1))&amp;"","")</f>
        <v/>
      </c>
      <c r="C78" s="60" t="str">
        <f aca="false">IFERROR(IF(INDEX(res_Name,(ROW()-ROW(rw_UtilOrigin)-1))="","",INDEX(res_MaxUnits,(ROW()-ROW(rw_UtilOrigin)-1))),"")</f>
        <v/>
      </c>
      <c r="D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9" customFormat="false" ht="15" hidden="false" customHeight="false" outlineLevel="0" collapsed="false">
      <c r="B79" s="31" t="str">
        <f aca="false">IFERROR(INDEX(res_Name,(ROW()-ROW(rw_UtilOrigin)-1))&amp;"","")</f>
        <v/>
      </c>
      <c r="C79" s="60" t="str">
        <f aca="false">IFERROR(IF(INDEX(res_Name,(ROW()-ROW(rw_UtilOrigin)-1))="","",INDEX(res_MaxUnits,(ROW()-ROW(rw_UtilOrigin)-1))),"")</f>
        <v/>
      </c>
      <c r="D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0" customFormat="false" ht="15" hidden="false" customHeight="false" outlineLevel="0" collapsed="false">
      <c r="B80" s="31" t="str">
        <f aca="false">IFERROR(INDEX(res_Name,(ROW()-ROW(rw_UtilOrigin)-1))&amp;"","")</f>
        <v/>
      </c>
      <c r="C80" s="60" t="str">
        <f aca="false">IFERROR(IF(INDEX(res_Name,(ROW()-ROW(rw_UtilOrigin)-1))="","",INDEX(res_MaxUnits,(ROW()-ROW(rw_UtilOrigin)-1))),"")</f>
        <v/>
      </c>
      <c r="D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1" customFormat="false" ht="15" hidden="false" customHeight="false" outlineLevel="0" collapsed="false">
      <c r="B81" s="31" t="str">
        <f aca="false">IFERROR(INDEX(res_Name,(ROW()-ROW(rw_UtilOrigin)-1))&amp;"","")</f>
        <v/>
      </c>
      <c r="C81" s="60" t="str">
        <f aca="false">IFERROR(IF(INDEX(res_Name,(ROW()-ROW(rw_UtilOrigin)-1))="","",INDEX(res_MaxUnits,(ROW()-ROW(rw_UtilOrigin)-1))),"")</f>
        <v/>
      </c>
      <c r="D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2" customFormat="false" ht="15" hidden="false" customHeight="false" outlineLevel="0" collapsed="false">
      <c r="B82" s="31" t="str">
        <f aca="false">IFERROR(INDEX(res_Name,(ROW()-ROW(rw_UtilOrigin)-1))&amp;"","")</f>
        <v/>
      </c>
      <c r="C82" s="60" t="str">
        <f aca="false">IFERROR(IF(INDEX(res_Name,(ROW()-ROW(rw_UtilOrigin)-1))="","",INDEX(res_MaxUnits,(ROW()-ROW(rw_UtilOrigin)-1))),"")</f>
        <v/>
      </c>
      <c r="D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3" customFormat="false" ht="15" hidden="false" customHeight="false" outlineLevel="0" collapsed="false">
      <c r="B83" s="31" t="str">
        <f aca="false">IFERROR(INDEX(res_Name,(ROW()-ROW(rw_UtilOrigin)-1))&amp;"","")</f>
        <v/>
      </c>
      <c r="C83" s="60" t="str">
        <f aca="false">IFERROR(IF(INDEX(res_Name,(ROW()-ROW(rw_UtilOrigin)-1))="","",INDEX(res_MaxUnits,(ROW()-ROW(rw_UtilOrigin)-1))),"")</f>
        <v/>
      </c>
      <c r="D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3"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4" customFormat="false" ht="15" hidden="false" customHeight="false" outlineLevel="0" collapsed="false">
      <c r="B84" s="31" t="str">
        <f aca="false">IFERROR(INDEX(res_Name,(ROW()-ROW(rw_UtilOrigin)-1))&amp;"","")</f>
        <v/>
      </c>
      <c r="C84" s="60" t="str">
        <f aca="false">IFERROR(IF(INDEX(res_Name,(ROW()-ROW(rw_UtilOrigin)-1))="","",INDEX(res_MaxUnits,(ROW()-ROW(rw_UtilOrigin)-1))),"")</f>
        <v/>
      </c>
      <c r="D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4"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5" customFormat="false" ht="15" hidden="false" customHeight="false" outlineLevel="0" collapsed="false">
      <c r="B85" s="31" t="str">
        <f aca="false">IFERROR(INDEX(res_Name,(ROW()-ROW(rw_UtilOrigin)-1))&amp;"","")</f>
        <v/>
      </c>
      <c r="C85" s="60" t="str">
        <f aca="false">IFERROR(IF(INDEX(res_Name,(ROW()-ROW(rw_UtilOrigin)-1))="","",INDEX(res_MaxUnits,(ROW()-ROW(rw_UtilOrigin)-1))),"")</f>
        <v/>
      </c>
      <c r="D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5"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6" customFormat="false" ht="15" hidden="false" customHeight="false" outlineLevel="0" collapsed="false">
      <c r="B86" s="31" t="str">
        <f aca="false">IFERROR(INDEX(res_Name,(ROW()-ROW(rw_UtilOrigin)-1))&amp;"","")</f>
        <v/>
      </c>
      <c r="C86" s="60" t="str">
        <f aca="false">IFERROR(IF(INDEX(res_Name,(ROW()-ROW(rw_UtilOrigin)-1))="","",INDEX(res_MaxUnits,(ROW()-ROW(rw_UtilOrigin)-1))),"")</f>
        <v/>
      </c>
      <c r="D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6"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7" customFormat="false" ht="15" hidden="false" customHeight="false" outlineLevel="0" collapsed="false">
      <c r="B87" s="31" t="str">
        <f aca="false">IFERROR(INDEX(res_Name,(ROW()-ROW(rw_UtilOrigin)-1))&amp;"","")</f>
        <v/>
      </c>
      <c r="C87" s="60" t="str">
        <f aca="false">IFERROR(IF(INDEX(res_Name,(ROW()-ROW(rw_UtilOrigin)-1))="","",INDEX(res_MaxUnits,(ROW()-ROW(rw_UtilOrigin)-1))),"")</f>
        <v/>
      </c>
      <c r="D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7"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8" customFormat="false" ht="15" hidden="false" customHeight="false" outlineLevel="0" collapsed="false">
      <c r="B88" s="31" t="str">
        <f aca="false">IFERROR(INDEX(res_Name,(ROW()-ROW(rw_UtilOrigin)-1))&amp;"","")</f>
        <v/>
      </c>
      <c r="C88" s="60" t="str">
        <f aca="false">IFERROR(IF(INDEX(res_Name,(ROW()-ROW(rw_UtilOrigin)-1))="","",INDEX(res_MaxUnits,(ROW()-ROW(rw_UtilOrigin)-1))),"")</f>
        <v/>
      </c>
      <c r="D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8"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9" customFormat="false" ht="15" hidden="false" customHeight="false" outlineLevel="0" collapsed="false">
      <c r="B89" s="31" t="str">
        <f aca="false">IFERROR(INDEX(res_Name,(ROW()-ROW(rw_UtilOrigin)-1))&amp;"","")</f>
        <v/>
      </c>
      <c r="C89" s="60" t="str">
        <f aca="false">IFERROR(IF(INDEX(res_Name,(ROW()-ROW(rw_UtilOrigin)-1))="","",INDEX(res_MaxUnits,(ROW()-ROW(rw_UtilOrigin)-1))),"")</f>
        <v/>
      </c>
      <c r="D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9"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0" customFormat="false" ht="15" hidden="false" customHeight="false" outlineLevel="0" collapsed="false">
      <c r="B90" s="31" t="str">
        <f aca="false">IFERROR(INDEX(res_Name,(ROW()-ROW(rw_UtilOrigin)-1))&amp;"","")</f>
        <v/>
      </c>
      <c r="C90" s="60" t="str">
        <f aca="false">IFERROR(IF(INDEX(res_Name,(ROW()-ROW(rw_UtilOrigin)-1))="","",INDEX(res_MaxUnits,(ROW()-ROW(rw_UtilOrigin)-1))),"")</f>
        <v/>
      </c>
      <c r="D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0"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1" customFormat="false" ht="15" hidden="false" customHeight="false" outlineLevel="0" collapsed="false">
      <c r="B91" s="31" t="str">
        <f aca="false">IFERROR(INDEX(res_Name,(ROW()-ROW(rw_UtilOrigin)-1))&amp;"","")</f>
        <v/>
      </c>
      <c r="C91" s="60" t="str">
        <f aca="false">IFERROR(IF(INDEX(res_Name,(ROW()-ROW(rw_UtilOrigin)-1))="","",INDEX(res_MaxUnits,(ROW()-ROW(rw_UtilOrigin)-1))),"")</f>
        <v/>
      </c>
      <c r="D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1"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2" customFormat="false" ht="15" hidden="false" customHeight="false" outlineLevel="0" collapsed="false">
      <c r="B92" s="31" t="str">
        <f aca="false">IFERROR(INDEX(res_Name,(ROW()-ROW(rw_UtilOrigin)-1))&amp;"","")</f>
        <v/>
      </c>
      <c r="C92" s="60" t="str">
        <f aca="false">IFERROR(IF(INDEX(res_Name,(ROW()-ROW(rw_UtilOrigin)-1))="","",INDEX(res_MaxUnits,(ROW()-ROW(rw_UtilOrigin)-1))),"")</f>
        <v/>
      </c>
      <c r="D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2" s="63"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4" customFormat="false" ht="15" hidden="false" customHeight="false" outlineLevel="0" collapsed="false">
      <c r="B94" s="56" t="s">
        <v>246</v>
      </c>
    </row>
    <row r="96" customFormat="false" ht="23.85" hidden="false" customHeight="false" outlineLevel="0" collapsed="false">
      <c r="B96" s="9" t="s">
        <v>223</v>
      </c>
      <c r="C96" s="40" t="s">
        <v>247</v>
      </c>
      <c r="D96" s="57" t="n">
        <f aca="false">(ResourceWeekStart+7*((COLUMN()-COLUMN(rw_LeaveOrigin)-1)-1))</f>
        <v>46300</v>
      </c>
      <c r="E96" s="57" t="n">
        <f aca="false">(ResourceWeekStart+7*((COLUMN()-COLUMN(rw_LeaveOrigin)-1)-1))</f>
        <v>46307</v>
      </c>
      <c r="F96" s="57" t="n">
        <f aca="false">(ResourceWeekStart+7*((COLUMN()-COLUMN(rw_LeaveOrigin)-1)-1))</f>
        <v>46314</v>
      </c>
      <c r="G96" s="57" t="n">
        <f aca="false">(ResourceWeekStart+7*((COLUMN()-COLUMN(rw_LeaveOrigin)-1)-1))</f>
        <v>46321</v>
      </c>
      <c r="H96" s="57" t="n">
        <f aca="false">(ResourceWeekStart+7*((COLUMN()-COLUMN(rw_LeaveOrigin)-1)-1))</f>
        <v>46328</v>
      </c>
      <c r="I96" s="57" t="n">
        <f aca="false">(ResourceWeekStart+7*((COLUMN()-COLUMN(rw_LeaveOrigin)-1)-1))</f>
        <v>46335</v>
      </c>
      <c r="J96" s="57" t="n">
        <f aca="false">(ResourceWeekStart+7*((COLUMN()-COLUMN(rw_LeaveOrigin)-1)-1))</f>
        <v>46342</v>
      </c>
      <c r="K96" s="57" t="n">
        <f aca="false">(ResourceWeekStart+7*((COLUMN()-COLUMN(rw_LeaveOrigin)-1)-1))</f>
        <v>46349</v>
      </c>
      <c r="L96" s="57" t="n">
        <f aca="false">(ResourceWeekStart+7*((COLUMN()-COLUMN(rw_LeaveOrigin)-1)-1))</f>
        <v>46356</v>
      </c>
      <c r="M96" s="57" t="n">
        <f aca="false">(ResourceWeekStart+7*((COLUMN()-COLUMN(rw_LeaveOrigin)-1)-1))</f>
        <v>46363</v>
      </c>
      <c r="N96" s="57" t="n">
        <f aca="false">(ResourceWeekStart+7*((COLUMN()-COLUMN(rw_LeaveOrigin)-1)-1))</f>
        <v>46370</v>
      </c>
      <c r="O96" s="57" t="n">
        <f aca="false">(ResourceWeekStart+7*((COLUMN()-COLUMN(rw_LeaveOrigin)-1)-1))</f>
        <v>46377</v>
      </c>
      <c r="P96" s="57" t="n">
        <f aca="false">(ResourceWeekStart+7*((COLUMN()-COLUMN(rw_LeaveOrigin)-1)-1))</f>
        <v>46384</v>
      </c>
      <c r="Q96" s="57" t="n">
        <f aca="false">(ResourceWeekStart+7*((COLUMN()-COLUMN(rw_LeaveOrigin)-1)-1))</f>
        <v>46391</v>
      </c>
      <c r="R96" s="57" t="n">
        <f aca="false">(ResourceWeekStart+7*((COLUMN()-COLUMN(rw_LeaveOrigin)-1)-1))</f>
        <v>46398</v>
      </c>
      <c r="S96" s="57" t="n">
        <f aca="false">(ResourceWeekStart+7*((COLUMN()-COLUMN(rw_LeaveOrigin)-1)-1))</f>
        <v>46405</v>
      </c>
      <c r="T96" s="57" t="n">
        <f aca="false">(ResourceWeekStart+7*((COLUMN()-COLUMN(rw_LeaveOrigin)-1)-1))</f>
        <v>46412</v>
      </c>
      <c r="U96" s="57" t="n">
        <f aca="false">(ResourceWeekStart+7*((COLUMN()-COLUMN(rw_LeaveOrigin)-1)-1))</f>
        <v>46419</v>
      </c>
      <c r="V96" s="57" t="n">
        <f aca="false">(ResourceWeekStart+7*((COLUMN()-COLUMN(rw_LeaveOrigin)-1)-1))</f>
        <v>46426</v>
      </c>
      <c r="W96" s="57" t="n">
        <f aca="false">(ResourceWeekStart+7*((COLUMN()-COLUMN(rw_LeaveOrigin)-1)-1))</f>
        <v>46433</v>
      </c>
      <c r="X96" s="57" t="n">
        <f aca="false">(ResourceWeekStart+7*((COLUMN()-COLUMN(rw_LeaveOrigin)-1)-1))</f>
        <v>46440</v>
      </c>
      <c r="Y96" s="57" t="n">
        <f aca="false">(ResourceWeekStart+7*((COLUMN()-COLUMN(rw_LeaveOrigin)-1)-1))</f>
        <v>46447</v>
      </c>
      <c r="Z96" s="57" t="n">
        <f aca="false">(ResourceWeekStart+7*((COLUMN()-COLUMN(rw_LeaveOrigin)-1)-1))</f>
        <v>46454</v>
      </c>
      <c r="AA96" s="57" t="n">
        <f aca="false">(ResourceWeekStart+7*((COLUMN()-COLUMN(rw_LeaveOrigin)-1)-1))</f>
        <v>46461</v>
      </c>
      <c r="AB96" s="57" t="n">
        <f aca="false">(ResourceWeekStart+7*((COLUMN()-COLUMN(rw_LeaveOrigin)-1)-1))</f>
        <v>46468</v>
      </c>
      <c r="AC96" s="57" t="n">
        <f aca="false">(ResourceWeekStart+7*((COLUMN()-COLUMN(rw_LeaveOrigin)-1)-1))</f>
        <v>46475</v>
      </c>
    </row>
    <row r="97" customFormat="false" ht="15" hidden="false" customHeight="false" outlineLevel="0" collapsed="false">
      <c r="B97" s="64" t="s">
        <v>248</v>
      </c>
      <c r="D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E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F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G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H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I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J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K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L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M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N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O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P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Q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R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S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T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U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V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W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X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Y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Z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A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B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C97" s="65"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row>
    <row r="98" customFormat="false" ht="15" hidden="false" customHeight="false" outlineLevel="0" collapsed="false">
      <c r="B98" s="64" t="s">
        <v>249</v>
      </c>
      <c r="D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E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F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G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H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I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J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K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L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M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N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O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P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Q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R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S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T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U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V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W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X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Y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Z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A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B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C98" s="65"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row>
    <row r="99" customFormat="false" ht="15" hidden="false" customHeight="false" outlineLevel="0" collapsed="false">
      <c r="B99" s="31" t="str">
        <f aca="false">IFERROR(INDEX(res_Name,(ROW()-ROW(rw_LeaveOrigin)-2))&amp;"","")</f>
        <v>Priya Sharma</v>
      </c>
      <c r="C99" s="65" t="n">
        <f aca="false">IFERROR(IF(INDEX(res_Name,(ROW()-ROW(rw_LeaveOrigin)-2))="",0,IFERROR(MATCH(INDEX(res_Name,(ROW()-ROW(rw_LeaveOrigin)-2)),LeaveTable[Resource],0),0)),0)</f>
        <v>0</v>
      </c>
      <c r="D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9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0" customFormat="false" ht="15" hidden="false" customHeight="false" outlineLevel="0" collapsed="false">
      <c r="B100" s="31" t="str">
        <f aca="false">IFERROR(INDEX(res_Name,(ROW()-ROW(rw_LeaveOrigin)-2))&amp;"","")</f>
        <v>Morgan Patel</v>
      </c>
      <c r="C100" s="65" t="n">
        <f aca="false">IFERROR(IF(INDEX(res_Name,(ROW()-ROW(rw_LeaveOrigin)-2))="",0,IFERROR(MATCH(INDEX(res_Name,(ROW()-ROW(rw_LeaveOrigin)-2)),LeaveTable[Resource],0),0)),0)</f>
        <v>4</v>
      </c>
      <c r="D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3</v>
      </c>
      <c r="Q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1" customFormat="false" ht="15" hidden="false" customHeight="false" outlineLevel="0" collapsed="false">
      <c r="B101" s="31" t="str">
        <f aca="false">IFERROR(INDEX(res_Name,(ROW()-ROW(rw_LeaveOrigin)-2))&amp;"","")</f>
        <v>Alex Chen</v>
      </c>
      <c r="C101" s="65" t="n">
        <f aca="false">IFERROR(IF(INDEX(res_Name,(ROW()-ROW(rw_LeaveOrigin)-2))="",0,IFERROR(MATCH(INDEX(res_Name,(ROW()-ROW(rw_LeaveOrigin)-2)),LeaveTable[Resource],0),0)),0)</f>
        <v>0</v>
      </c>
      <c r="D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2" customFormat="false" ht="15" hidden="false" customHeight="false" outlineLevel="0" collapsed="false">
      <c r="B102" s="31" t="str">
        <f aca="false">IFERROR(INDEX(res_Name,(ROW()-ROW(rw_LeaveOrigin)-2))&amp;"","")</f>
        <v>Casey Kim</v>
      </c>
      <c r="C102" s="65" t="n">
        <f aca="false">IFERROR(IF(INDEX(res_Name,(ROW()-ROW(rw_LeaveOrigin)-2))="",0,IFERROR(MATCH(INDEX(res_Name,(ROW()-ROW(rw_LeaveOrigin)-2)),LeaveTable[Resource],0),0)),0)</f>
        <v>1</v>
      </c>
      <c r="D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4.5</v>
      </c>
      <c r="K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5</v>
      </c>
      <c r="L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3" customFormat="false" ht="15" hidden="false" customHeight="false" outlineLevel="0" collapsed="false">
      <c r="B103" s="31" t="str">
        <f aca="false">IFERROR(INDEX(res_Name,(ROW()-ROW(rw_LeaveOrigin)-2))&amp;"","")</f>
        <v>Jordan Lee</v>
      </c>
      <c r="C103" s="65" t="n">
        <f aca="false">IFERROR(IF(INDEX(res_Name,(ROW()-ROW(rw_LeaveOrigin)-2))="",0,IFERROR(MATCH(INDEX(res_Name,(ROW()-ROW(rw_LeaveOrigin)-2)),LeaveTable[Resource],0),0)),0)</f>
        <v>2</v>
      </c>
      <c r="D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1</v>
      </c>
      <c r="H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2.5</v>
      </c>
      <c r="P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4" customFormat="false" ht="15" hidden="false" customHeight="false" outlineLevel="0" collapsed="false">
      <c r="B104" s="31" t="str">
        <f aca="false">IFERROR(INDEX(res_Name,(ROW()-ROW(rw_LeaveOrigin)-2))&amp;"","")</f>
        <v>Sam Rivera</v>
      </c>
      <c r="C104" s="65" t="n">
        <f aca="false">IFERROR(IF(INDEX(res_Name,(ROW()-ROW(rw_LeaveOrigin)-2))="",0,IFERROR(MATCH(INDEX(res_Name,(ROW()-ROW(rw_LeaveOrigin)-2)),LeaveTable[Resource],0),0)),0)</f>
        <v>3</v>
      </c>
      <c r="D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0.5</v>
      </c>
      <c r="I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5" customFormat="false" ht="15" hidden="false" customHeight="false" outlineLevel="0" collapsed="false">
      <c r="B105" s="31" t="str">
        <f aca="false">IFERROR(INDEX(res_Name,(ROW()-ROW(rw_LeaveOrigin)-2))&amp;"","")</f>
        <v>Taylor Morgan</v>
      </c>
      <c r="C105" s="65" t="n">
        <f aca="false">IFERROR(IF(INDEX(res_Name,(ROW()-ROW(rw_LeaveOrigin)-2))="",0,IFERROR(MATCH(INDEX(res_Name,(ROW()-ROW(rw_LeaveOrigin)-2)),LeaveTable[Resource],0),0)),0)</f>
        <v>0</v>
      </c>
      <c r="D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6" customFormat="false" ht="15" hidden="false" customHeight="false" outlineLevel="0" collapsed="false">
      <c r="B106" s="31" t="str">
        <f aca="false">IFERROR(INDEX(res_Name,(ROW()-ROW(rw_LeaveOrigin)-2))&amp;"","")</f>
        <v/>
      </c>
      <c r="C106" s="65" t="n">
        <f aca="false">IFERROR(IF(INDEX(res_Name,(ROW()-ROW(rw_LeaveOrigin)-2))="",0,IFERROR(MATCH(INDEX(res_Name,(ROW()-ROW(rw_LeaveOrigin)-2)),LeaveTable[Resource],0),0)),0)</f>
        <v>0</v>
      </c>
      <c r="D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7" customFormat="false" ht="15" hidden="false" customHeight="false" outlineLevel="0" collapsed="false">
      <c r="B107" s="31" t="str">
        <f aca="false">IFERROR(INDEX(res_Name,(ROW()-ROW(rw_LeaveOrigin)-2))&amp;"","")</f>
        <v/>
      </c>
      <c r="C107" s="65" t="n">
        <f aca="false">IFERROR(IF(INDEX(res_Name,(ROW()-ROW(rw_LeaveOrigin)-2))="",0,IFERROR(MATCH(INDEX(res_Name,(ROW()-ROW(rw_LeaveOrigin)-2)),LeaveTable[Resource],0),0)),0)</f>
        <v>0</v>
      </c>
      <c r="D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8" customFormat="false" ht="15" hidden="false" customHeight="false" outlineLevel="0" collapsed="false">
      <c r="B108" s="31" t="str">
        <f aca="false">IFERROR(INDEX(res_Name,(ROW()-ROW(rw_LeaveOrigin)-2))&amp;"","")</f>
        <v/>
      </c>
      <c r="C108" s="65" t="n">
        <f aca="false">IFERROR(IF(INDEX(res_Name,(ROW()-ROW(rw_LeaveOrigin)-2))="",0,IFERROR(MATCH(INDEX(res_Name,(ROW()-ROW(rw_LeaveOrigin)-2)),LeaveTable[Resource],0),0)),0)</f>
        <v>0</v>
      </c>
      <c r="D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9" customFormat="false" ht="15" hidden="false" customHeight="false" outlineLevel="0" collapsed="false">
      <c r="B109" s="31" t="str">
        <f aca="false">IFERROR(INDEX(res_Name,(ROW()-ROW(rw_LeaveOrigin)-2))&amp;"","")</f>
        <v/>
      </c>
      <c r="C109" s="65" t="n">
        <f aca="false">IFERROR(IF(INDEX(res_Name,(ROW()-ROW(rw_LeaveOrigin)-2))="",0,IFERROR(MATCH(INDEX(res_Name,(ROW()-ROW(rw_LeaveOrigin)-2)),LeaveTable[Resource],0),0)),0)</f>
        <v>0</v>
      </c>
      <c r="D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0" customFormat="false" ht="15" hidden="false" customHeight="false" outlineLevel="0" collapsed="false">
      <c r="B110" s="31" t="str">
        <f aca="false">IFERROR(INDEX(res_Name,(ROW()-ROW(rw_LeaveOrigin)-2))&amp;"","")</f>
        <v/>
      </c>
      <c r="C110" s="65" t="n">
        <f aca="false">IFERROR(IF(INDEX(res_Name,(ROW()-ROW(rw_LeaveOrigin)-2))="",0,IFERROR(MATCH(INDEX(res_Name,(ROW()-ROW(rw_LeaveOrigin)-2)),LeaveTable[Resource],0),0)),0)</f>
        <v>0</v>
      </c>
      <c r="D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1" customFormat="false" ht="15" hidden="false" customHeight="false" outlineLevel="0" collapsed="false">
      <c r="B111" s="31" t="str">
        <f aca="false">IFERROR(INDEX(res_Name,(ROW()-ROW(rw_LeaveOrigin)-2))&amp;"","")</f>
        <v/>
      </c>
      <c r="C111" s="65" t="n">
        <f aca="false">IFERROR(IF(INDEX(res_Name,(ROW()-ROW(rw_LeaveOrigin)-2))="",0,IFERROR(MATCH(INDEX(res_Name,(ROW()-ROW(rw_LeaveOrigin)-2)),LeaveTable[Resource],0),0)),0)</f>
        <v>0</v>
      </c>
      <c r="D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2" customFormat="false" ht="15" hidden="false" customHeight="false" outlineLevel="0" collapsed="false">
      <c r="B112" s="31" t="str">
        <f aca="false">IFERROR(INDEX(res_Name,(ROW()-ROW(rw_LeaveOrigin)-2))&amp;"","")</f>
        <v/>
      </c>
      <c r="C112" s="65" t="n">
        <f aca="false">IFERROR(IF(INDEX(res_Name,(ROW()-ROW(rw_LeaveOrigin)-2))="",0,IFERROR(MATCH(INDEX(res_Name,(ROW()-ROW(rw_LeaveOrigin)-2)),LeaveTable[Resource],0),0)),0)</f>
        <v>0</v>
      </c>
      <c r="D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3" customFormat="false" ht="15" hidden="false" customHeight="false" outlineLevel="0" collapsed="false">
      <c r="B113" s="31" t="str">
        <f aca="false">IFERROR(INDEX(res_Name,(ROW()-ROW(rw_LeaveOrigin)-2))&amp;"","")</f>
        <v/>
      </c>
      <c r="C113" s="65" t="n">
        <f aca="false">IFERROR(IF(INDEX(res_Name,(ROW()-ROW(rw_LeaveOrigin)-2))="",0,IFERROR(MATCH(INDEX(res_Name,(ROW()-ROW(rw_LeaveOrigin)-2)),LeaveTable[Resource],0),0)),0)</f>
        <v>0</v>
      </c>
      <c r="D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4" customFormat="false" ht="15" hidden="false" customHeight="false" outlineLevel="0" collapsed="false">
      <c r="B114" s="31" t="str">
        <f aca="false">IFERROR(INDEX(res_Name,(ROW()-ROW(rw_LeaveOrigin)-2))&amp;"","")</f>
        <v/>
      </c>
      <c r="C114" s="65" t="n">
        <f aca="false">IFERROR(IF(INDEX(res_Name,(ROW()-ROW(rw_LeaveOrigin)-2))="",0,IFERROR(MATCH(INDEX(res_Name,(ROW()-ROW(rw_LeaveOrigin)-2)),LeaveTable[Resource],0),0)),0)</f>
        <v>0</v>
      </c>
      <c r="D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4"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5" customFormat="false" ht="15" hidden="false" customHeight="false" outlineLevel="0" collapsed="false">
      <c r="B115" s="31" t="str">
        <f aca="false">IFERROR(INDEX(res_Name,(ROW()-ROW(rw_LeaveOrigin)-2))&amp;"","")</f>
        <v/>
      </c>
      <c r="C115" s="65" t="n">
        <f aca="false">IFERROR(IF(INDEX(res_Name,(ROW()-ROW(rw_LeaveOrigin)-2))="",0,IFERROR(MATCH(INDEX(res_Name,(ROW()-ROW(rw_LeaveOrigin)-2)),LeaveTable[Resource],0),0)),0)</f>
        <v>0</v>
      </c>
      <c r="D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5"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6" customFormat="false" ht="15" hidden="false" customHeight="false" outlineLevel="0" collapsed="false">
      <c r="B116" s="31" t="str">
        <f aca="false">IFERROR(INDEX(res_Name,(ROW()-ROW(rw_LeaveOrigin)-2))&amp;"","")</f>
        <v/>
      </c>
      <c r="C116" s="65" t="n">
        <f aca="false">IFERROR(IF(INDEX(res_Name,(ROW()-ROW(rw_LeaveOrigin)-2))="",0,IFERROR(MATCH(INDEX(res_Name,(ROW()-ROW(rw_LeaveOrigin)-2)),LeaveTable[Resource],0),0)),0)</f>
        <v>0</v>
      </c>
      <c r="D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6"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7" customFormat="false" ht="15" hidden="false" customHeight="false" outlineLevel="0" collapsed="false">
      <c r="B117" s="31" t="str">
        <f aca="false">IFERROR(INDEX(res_Name,(ROW()-ROW(rw_LeaveOrigin)-2))&amp;"","")</f>
        <v/>
      </c>
      <c r="C117" s="65" t="n">
        <f aca="false">IFERROR(IF(INDEX(res_Name,(ROW()-ROW(rw_LeaveOrigin)-2))="",0,IFERROR(MATCH(INDEX(res_Name,(ROW()-ROW(rw_LeaveOrigin)-2)),LeaveTable[Resource],0),0)),0)</f>
        <v>0</v>
      </c>
      <c r="D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7"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8" customFormat="false" ht="15" hidden="false" customHeight="false" outlineLevel="0" collapsed="false">
      <c r="B118" s="31" t="str">
        <f aca="false">IFERROR(INDEX(res_Name,(ROW()-ROW(rw_LeaveOrigin)-2))&amp;"","")</f>
        <v/>
      </c>
      <c r="C118" s="65" t="n">
        <f aca="false">IFERROR(IF(INDEX(res_Name,(ROW()-ROW(rw_LeaveOrigin)-2))="",0,IFERROR(MATCH(INDEX(res_Name,(ROW()-ROW(rw_LeaveOrigin)-2)),LeaveTable[Resource],0),0)),0)</f>
        <v>0</v>
      </c>
      <c r="D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8"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9" customFormat="false" ht="15" hidden="false" customHeight="false" outlineLevel="0" collapsed="false">
      <c r="B119" s="31" t="str">
        <f aca="false">IFERROR(INDEX(res_Name,(ROW()-ROW(rw_LeaveOrigin)-2))&amp;"","")</f>
        <v/>
      </c>
      <c r="C119" s="65" t="n">
        <f aca="false">IFERROR(IF(INDEX(res_Name,(ROW()-ROW(rw_LeaveOrigin)-2))="",0,IFERROR(MATCH(INDEX(res_Name,(ROW()-ROW(rw_LeaveOrigin)-2)),LeaveTable[Resource],0),0)),0)</f>
        <v>0</v>
      </c>
      <c r="D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9"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0" customFormat="false" ht="15" hidden="false" customHeight="false" outlineLevel="0" collapsed="false">
      <c r="B120" s="31" t="str">
        <f aca="false">IFERROR(INDEX(res_Name,(ROW()-ROW(rw_LeaveOrigin)-2))&amp;"","")</f>
        <v/>
      </c>
      <c r="C120" s="65" t="n">
        <f aca="false">IFERROR(IF(INDEX(res_Name,(ROW()-ROW(rw_LeaveOrigin)-2))="",0,IFERROR(MATCH(INDEX(res_Name,(ROW()-ROW(rw_LeaveOrigin)-2)),LeaveTable[Resource],0),0)),0)</f>
        <v>0</v>
      </c>
      <c r="D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0"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1" customFormat="false" ht="15" hidden="false" customHeight="false" outlineLevel="0" collapsed="false">
      <c r="B121" s="31" t="str">
        <f aca="false">IFERROR(INDEX(res_Name,(ROW()-ROW(rw_LeaveOrigin)-2))&amp;"","")</f>
        <v/>
      </c>
      <c r="C121" s="65" t="n">
        <f aca="false">IFERROR(IF(INDEX(res_Name,(ROW()-ROW(rw_LeaveOrigin)-2))="",0,IFERROR(MATCH(INDEX(res_Name,(ROW()-ROW(rw_LeaveOrigin)-2)),LeaveTable[Resource],0),0)),0)</f>
        <v>0</v>
      </c>
      <c r="D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1"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2" customFormat="false" ht="15" hidden="false" customHeight="false" outlineLevel="0" collapsed="false">
      <c r="B122" s="31" t="str">
        <f aca="false">IFERROR(INDEX(res_Name,(ROW()-ROW(rw_LeaveOrigin)-2))&amp;"","")</f>
        <v/>
      </c>
      <c r="C122" s="65" t="n">
        <f aca="false">IFERROR(IF(INDEX(res_Name,(ROW()-ROW(rw_LeaveOrigin)-2))="",0,IFERROR(MATCH(INDEX(res_Name,(ROW()-ROW(rw_LeaveOrigin)-2)),LeaveTable[Resource],0),0)),0)</f>
        <v>0</v>
      </c>
      <c r="D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2"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3" customFormat="false" ht="15" hidden="false" customHeight="false" outlineLevel="0" collapsed="false">
      <c r="B123" s="31" t="str">
        <f aca="false">IFERROR(INDEX(res_Name,(ROW()-ROW(rw_LeaveOrigin)-2))&amp;"","")</f>
        <v/>
      </c>
      <c r="C123" s="65" t="n">
        <f aca="false">IFERROR(IF(INDEX(res_Name,(ROW()-ROW(rw_LeaveOrigin)-2))="",0,IFERROR(MATCH(INDEX(res_Name,(ROW()-ROW(rw_LeaveOrigin)-2)),LeaveTable[Resource],0),0)),0)</f>
        <v>0</v>
      </c>
      <c r="D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3" s="66"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5" customFormat="false" ht="15" hidden="true" customHeight="false" outlineLevel="0" collapsed="false">
      <c r="B125" s="67" t="s">
        <v>250</v>
      </c>
    </row>
    <row r="126" customFormat="false" ht="15" hidden="true" customHeight="false" outlineLevel="0" collapsed="false">
      <c r="D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E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F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G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H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I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J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24</v>
      </c>
      <c r="K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L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M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N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O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P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Q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R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S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T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U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V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W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X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Y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Z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A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B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C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c r="AD126"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56</v>
      </c>
    </row>
    <row r="127" customFormat="false" ht="15" hidden="true" customHeight="false" outlineLevel="0" collapsed="false">
      <c r="D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E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F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G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H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I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J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K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L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M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N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120</v>
      </c>
      <c r="O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P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Q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R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S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T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U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V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W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X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Y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Z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A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B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C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c r="AD127"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128</v>
      </c>
    </row>
    <row r="128" customFormat="false" ht="15" hidden="true" customHeight="false" outlineLevel="0" collapsed="false">
      <c r="D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E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F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G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H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I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J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K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L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M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N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O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P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Q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R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S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T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U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V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W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X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Y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Z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A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B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C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c r="AD128"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40</v>
      </c>
    </row>
    <row r="129" customFormat="false" ht="15" hidden="true" customHeight="false" outlineLevel="0" collapsed="false">
      <c r="D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34.2857142857143</v>
      </c>
      <c r="E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F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G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H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I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60</v>
      </c>
      <c r="J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68</v>
      </c>
      <c r="K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L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M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N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O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P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Q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R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S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T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U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V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W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X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Y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Z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A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B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C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c r="AD129"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80</v>
      </c>
    </row>
    <row r="130" customFormat="false" ht="15" hidden="true" customHeight="false" outlineLevel="0" collapsed="false">
      <c r="D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v>
      </c>
      <c r="F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53.3333333333333</v>
      </c>
      <c r="G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86.6666666666667</v>
      </c>
      <c r="H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120</v>
      </c>
      <c r="I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160</v>
      </c>
      <c r="J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K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L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M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N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168</v>
      </c>
      <c r="O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180</v>
      </c>
      <c r="P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192</v>
      </c>
      <c r="Q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204</v>
      </c>
      <c r="R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S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T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U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V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W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X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Y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Z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A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B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C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c r="AD130"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208</v>
      </c>
    </row>
    <row r="131" customFormat="false" ht="15" hidden="true" customHeight="false" outlineLevel="0" collapsed="false">
      <c r="D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18</v>
      </c>
      <c r="F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48</v>
      </c>
      <c r="G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82.2857142857143</v>
      </c>
      <c r="H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116.571428571429</v>
      </c>
      <c r="I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J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K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L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M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N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O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P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Q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R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S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T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U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V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W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X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Y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Z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A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B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C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c r="AD131"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144</v>
      </c>
    </row>
    <row r="132" customFormat="false" ht="15" hidden="true" customHeight="false" outlineLevel="0" collapsed="false">
      <c r="D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E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F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G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H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I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0</v>
      </c>
      <c r="J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32</v>
      </c>
      <c r="K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L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M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N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O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P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Q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R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S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T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U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V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W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X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Y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Z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A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B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C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c r="AD132" s="68" t="n">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64</v>
      </c>
    </row>
    <row r="133" customFormat="false" ht="15" hidden="true" customHeight="false" outlineLevel="0" collapsed="false">
      <c r="D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4" customFormat="false" ht="15" hidden="true" customHeight="false" outlineLevel="0" collapsed="false">
      <c r="D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5" customFormat="false" ht="15" hidden="true" customHeight="false" outlineLevel="0" collapsed="false">
      <c r="D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6" customFormat="false" ht="15" hidden="true" customHeight="false" outlineLevel="0" collapsed="false">
      <c r="D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7" customFormat="false" ht="15" hidden="true" customHeight="false" outlineLevel="0" collapsed="false">
      <c r="D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8" customFormat="false" ht="15" hidden="true" customHeight="false" outlineLevel="0" collapsed="false">
      <c r="D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9" customFormat="false" ht="15" hidden="true" customHeight="false" outlineLevel="0" collapsed="false">
      <c r="D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0" customFormat="false" ht="15" hidden="true" customHeight="false" outlineLevel="0" collapsed="false">
      <c r="D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1" customFormat="false" ht="15" hidden="true" customHeight="false" outlineLevel="0" collapsed="false">
      <c r="D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1"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2" customFormat="false" ht="15" hidden="true" customHeight="false" outlineLevel="0" collapsed="false">
      <c r="D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2"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3" customFormat="false" ht="15" hidden="true" customHeight="false" outlineLevel="0" collapsed="false">
      <c r="D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3"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4" customFormat="false" ht="15" hidden="true" customHeight="false" outlineLevel="0" collapsed="false">
      <c r="D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4"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5" customFormat="false" ht="15" hidden="true" customHeight="false" outlineLevel="0" collapsed="false">
      <c r="D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5"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6" customFormat="false" ht="15" hidden="true" customHeight="false" outlineLevel="0" collapsed="false">
      <c r="D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6"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7" customFormat="false" ht="15" hidden="true" customHeight="false" outlineLevel="0" collapsed="false">
      <c r="D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7"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8" customFormat="false" ht="15" hidden="true" customHeight="false" outlineLevel="0" collapsed="false">
      <c r="D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8"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9" customFormat="false" ht="15" hidden="true" customHeight="false" outlineLevel="0" collapsed="false">
      <c r="D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9"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50" customFormat="false" ht="15" hidden="true" customHeight="false" outlineLevel="0" collapsed="false">
      <c r="D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50" s="68"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26">
      <formula>AND(ISNUMBER(M6),M6&gt;1)</formula>
    </cfRule>
  </conditionalFormatting>
  <conditionalFormatting sqref="D36:AC60">
    <cfRule type="expression" priority="4" aboveAverage="0" equalAverage="0" bottom="0" percent="0" rank="0" text="" dxfId="15">
      <formula>AND(ISNUMBER(D68),D68&gt;1)</formula>
    </cfRule>
  </conditionalFormatting>
  <conditionalFormatting sqref="D68:AC92">
    <cfRule type="colorScale" priority="5">
      <colorScale>
        <cfvo type="num" val="0"/>
        <cfvo type="num" val="0.8"/>
        <cfvo type="num" val="1.2"/>
        <color rgb="FFFFFFFF"/>
        <color rgb="FFC6EFCE"/>
        <color rgb="FFF8696B"/>
      </colorScale>
    </cfRule>
  </conditionalFormatting>
  <conditionalFormatting sqref="D99:AC123">
    <cfRule type="expression" priority="6" aboveAverage="0" equalAverage="0" bottom="0" percent="0" rank="0" text="" dxfId="27">
      <formula>N(D99)&gt;0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Customer Portal Implementation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25-Oct-2026   Sprint length 14 days. Per-sprint numbers: Sprints sheet. Enter Story Points (and optionally Planned Sprint) on Tasks.</v>
      </c>
    </row>
    <row r="3" customFormat="false" ht="15" hidden="false" customHeight="false" outlineLevel="0" collapsed="false">
      <c r="C3" s="36" t="s">
        <v>251</v>
      </c>
    </row>
    <row r="4" customFormat="false" ht="15" hidden="false" customHeight="false" outlineLevel="0" collapsed="false">
      <c r="C4" s="9" t="s">
        <v>128</v>
      </c>
      <c r="D4" s="9" t="s">
        <v>94</v>
      </c>
    </row>
    <row r="5" customFormat="false" ht="15" hidden="false" customHeight="false" outlineLevel="0" collapsed="false">
      <c r="C5" s="10" t="s">
        <v>252</v>
      </c>
      <c r="D5" s="69" t="n">
        <f aca="false">TotalPoints</f>
        <v>82</v>
      </c>
    </row>
    <row r="6" customFormat="false" ht="15" hidden="false" customHeight="false" outlineLevel="0" collapsed="false">
      <c r="C6" s="10" t="s">
        <v>253</v>
      </c>
      <c r="D6" s="69" t="n">
        <f aca="false">SUMIFS(tsk_LeafPoints,tsk_DoneDate,"&lt;="&amp;StatusDate)</f>
        <v>33</v>
      </c>
    </row>
    <row r="7" customFormat="false" ht="15" hidden="false" customHeight="false" outlineLevel="0" collapsed="false">
      <c r="C7" s="10" t="s">
        <v>233</v>
      </c>
      <c r="D7" s="69" t="n">
        <f aca="false">agl_Total-agl_Done</f>
        <v>49</v>
      </c>
    </row>
    <row r="8" customFormat="false" ht="15" hidden="false" customHeight="false" outlineLevel="0" collapsed="false">
      <c r="C8" s="10" t="s">
        <v>254</v>
      </c>
      <c r="D8" s="70" t="n">
        <f aca="false">IFERROR(LOOKUP(2,1/(spr_Velocity&lt;&gt;""),spr_Velocity),"")</f>
        <v>11</v>
      </c>
    </row>
    <row r="9" customFormat="false" ht="15" hidden="false" customHeight="false" outlineLevel="0" collapsed="false">
      <c r="C9" s="10" t="s">
        <v>255</v>
      </c>
      <c r="D9" s="35" t="n">
        <f aca="false">IF(N(agl_Velocity)&gt;0,ROUNDUP(agl_Remaining/agl_Velocity,0),"")</f>
        <v>5</v>
      </c>
    </row>
    <row r="10" customFormat="false" ht="15" hidden="false" customHeight="false" outlineLevel="0" collapsed="false">
      <c r="C10" s="10" t="s">
        <v>256</v>
      </c>
      <c r="D10" s="35" t="n">
        <f aca="false">COUNTIF(spr_Status,"Closed")</f>
        <v>3</v>
      </c>
    </row>
    <row r="11" customFormat="false" ht="15" hidden="false" customHeight="false" outlineLevel="0" collapsed="false">
      <c r="C11" s="10" t="s">
        <v>257</v>
      </c>
      <c r="D11" s="71" t="str">
        <f aca="false">IF(agl_SprintsLeft="","",IF(agl_LastClosed+agl_SprintsLeft&lt;=SprintCount,INDEX(spr_Name,agl_LastClosed+agl_SprintsLeft),"after "&amp;INDEX(spr_Name,SprintCount)))</f>
        <v>Sprint 8</v>
      </c>
    </row>
    <row r="12" customFormat="false" ht="15" hidden="false" customHeight="false" outlineLevel="0" collapsed="false">
      <c r="C12" s="10" t="s">
        <v>258</v>
      </c>
      <c r="D12" s="72" t="n">
        <f aca="false">IF(agl_SprintsLeft="","",IF(agl_LastClosed+agl_SprintsLeft&lt;=SprintCount,INDEX(spr_End,agl_LastClosed+agl_SprintsLeft),""))</f>
        <v>46383</v>
      </c>
    </row>
    <row r="13" customFormat="false" ht="15" hidden="false" customHeight="false" outlineLevel="0" collapsed="false">
      <c r="C13" s="10" t="s">
        <v>259</v>
      </c>
      <c r="D13" s="72" t="n">
        <f aca="false">ProjectFinish</f>
        <v>46393</v>
      </c>
    </row>
    <row r="14" customFormat="false" ht="15" hidden="false" customHeight="false" outlineLevel="0" collapsed="false">
      <c r="C14" s="10" t="s">
        <v>112</v>
      </c>
      <c r="D14" s="71" t="str">
        <f aca="false">IF(CurrentSprint="","(outside sprint range)",CurrentSprint)</f>
        <v>Sprint 4</v>
      </c>
    </row>
    <row r="15" customFormat="false" ht="15" hidden="false" customHeight="false" outlineLevel="0" collapsed="false">
      <c r="C15" s="10" t="s">
        <v>260</v>
      </c>
      <c r="D15" s="69" t="n">
        <f aca="false">SUMIFS(tsk_LeafPoints,tsk_Sprint,CurrentSprint)</f>
        <v>8</v>
      </c>
    </row>
    <row r="16" customFormat="false" ht="15" hidden="false" customHeight="false" outlineLevel="0" collapsed="false">
      <c r="C16" s="10" t="s">
        <v>261</v>
      </c>
      <c r="D16" s="69" t="n">
        <f aca="false">SUMIFS(tsk_LeafPoints,tsk_Sprint,CurrentSprint,tsk_DoneDate,"&lt;="&amp;StatusDate)</f>
        <v>0</v>
      </c>
    </row>
    <row r="17" customFormat="false" ht="15" hidden="false" customHeight="false" outlineLevel="0" collapsed="false">
      <c r="C17" s="10" t="s">
        <v>262</v>
      </c>
      <c r="D17" s="35" t="n">
        <f aca="false">COUNTIFS(tsk_IsLeaf,1,tsk_StoryPoints,"",tsk_Duration,"&gt;0")</f>
        <v>0</v>
      </c>
    </row>
    <row r="19" customFormat="false" ht="15" hidden="false" customHeight="false" outlineLevel="0" collapsed="false">
      <c r="C19" s="36" t="str">
        <f aca="false">"Current sprint backlog ("&amp;agl_Current&amp;")"&amp;": "&amp;COUNT(tsk_CurrentSprintKey)&amp;IF(COUNT(tsk_CurrentSprintKey)&gt;ROWS(SprintBacklog[_Task])," (showing the first "&amp;ROWS(SprintBacklog[_Task])&amp;")","")</f>
        <v>Current sprint backlog (Sprint 4): 1</v>
      </c>
    </row>
    <row r="20" customFormat="false" ht="23.85" hidden="false" customHeight="false" outlineLevel="0" collapsed="false">
      <c r="B20" s="40" t="s">
        <v>178</v>
      </c>
      <c r="C20" s="9" t="s">
        <v>185</v>
      </c>
      <c r="D20" s="9" t="s">
        <v>263</v>
      </c>
      <c r="E20" s="9" t="s">
        <v>223</v>
      </c>
      <c r="F20" s="9" t="s">
        <v>208</v>
      </c>
      <c r="G20" s="9" t="s">
        <v>210</v>
      </c>
      <c r="H20" s="9" t="s">
        <v>95</v>
      </c>
    </row>
    <row r="21" customFormat="false" ht="15" hidden="false" customHeight="false" outlineLevel="0" collapsed="false">
      <c r="B21" s="41" t="n">
        <f aca="false">IFERROR(MATCH(SMALL(tsk_CurrentSprintKey,ROW()-ROW(SprintBacklog[[#Headers],[_Task]])),tsk_CurrentSprintKey,0),"")</f>
        <v>17</v>
      </c>
      <c r="C21" s="24" t="str">
        <f aca="false">IF(SprintBacklog[[#This Row],[_Task]]="","",INDEX(tsk_Name,SprintBacklog[[#This Row],[_Task]])&amp;"")</f>
        <v>Feature screens</v>
      </c>
      <c r="D21" s="73" t="n">
        <f aca="false">IF(SprintBacklog[[#This Row],[_Task]]="","",INDEX(tsk_StoryPoints,SprintBacklog[[#This Row],[_Task]]))</f>
        <v>8</v>
      </c>
      <c r="E21" s="24" t="str">
        <f aca="false">IF(SprintBacklog[[#This Row],[_Task]]="","",INDEX(tsk_Resource,SprintBacklog[[#This Row],[_Task]])&amp;"")</f>
        <v>Sam Rivera</v>
      </c>
      <c r="F21" s="48" t="n">
        <f aca="false">IF(SprintBacklog[[#This Row],[_Task]]="","",IF(N(INDEX(tsk_FcFinish,SprintBacklog[[#This Row],[_Task]]))=0,"",INDEX(tsk_FcFinish,SprintBacklog[[#This Row],[_Task]])))</f>
        <v>46331</v>
      </c>
      <c r="G21" s="50" t="n">
        <f aca="false">IF(SprintBacklog[[#This Row],[_Task]]="","",INDEX(tsk_Progress,SprintBacklog[[#This Row],[_Task]]))</f>
        <v>0.25</v>
      </c>
      <c r="H21" s="24" t="str">
        <f aca="false">IF(SprintBacklog[[#This Row],[_Task]]="","",INDEX(tsk_Status,SprintBacklog[[#This Row],[_Task]])&amp;"")</f>
        <v>Behind</v>
      </c>
    </row>
    <row r="22" customFormat="false" ht="15" hidden="false" customHeight="false" outlineLevel="0" collapsed="false">
      <c r="B22" s="41" t="str">
        <f aca="false">IFERROR(MATCH(SMALL(tsk_CurrentSprintKey,ROW()-ROW(SprintBacklog[[#Headers],[_Task]])),tsk_CurrentSprintKey,0),"")</f>
        <v/>
      </c>
      <c r="C22" s="24" t="str">
        <f aca="false">IF(SprintBacklog[[#This Row],[_Task]]="","",INDEX(tsk_Name,SprintBacklog[[#This Row],[_Task]])&amp;"")</f>
        <v/>
      </c>
      <c r="D22" s="73" t="str">
        <f aca="false">IF(SprintBacklog[[#This Row],[_Task]]="","",INDEX(tsk_StoryPoints,SprintBacklog[[#This Row],[_Task]]))</f>
        <v/>
      </c>
      <c r="E22" s="24" t="str">
        <f aca="false">IF(SprintBacklog[[#This Row],[_Task]]="","",INDEX(tsk_Resource,SprintBacklog[[#This Row],[_Task]])&amp;"")</f>
        <v/>
      </c>
      <c r="F22" s="48" t="str">
        <f aca="false">IF(SprintBacklog[[#This Row],[_Task]]="","",IF(N(INDEX(tsk_FcFinish,SprintBacklog[[#This Row],[_Task]]))=0,"",INDEX(tsk_FcFinish,SprintBacklog[[#This Row],[_Task]])))</f>
        <v/>
      </c>
      <c r="G22" s="50"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41" t="str">
        <f aca="false">IFERROR(MATCH(SMALL(tsk_CurrentSprintKey,ROW()-ROW(SprintBacklog[[#Headers],[_Task]])),tsk_CurrentSprintKey,0),"")</f>
        <v/>
      </c>
      <c r="C23" s="24" t="str">
        <f aca="false">IF(SprintBacklog[[#This Row],[_Task]]="","",INDEX(tsk_Name,SprintBacklog[[#This Row],[_Task]])&amp;"")</f>
        <v/>
      </c>
      <c r="D23" s="73" t="str">
        <f aca="false">IF(SprintBacklog[[#This Row],[_Task]]="","",INDEX(tsk_StoryPoints,SprintBacklog[[#This Row],[_Task]]))</f>
        <v/>
      </c>
      <c r="E23" s="24" t="str">
        <f aca="false">IF(SprintBacklog[[#This Row],[_Task]]="","",INDEX(tsk_Resource,SprintBacklog[[#This Row],[_Task]])&amp;"")</f>
        <v/>
      </c>
      <c r="F23" s="48" t="str">
        <f aca="false">IF(SprintBacklog[[#This Row],[_Task]]="","",IF(N(INDEX(tsk_FcFinish,SprintBacklog[[#This Row],[_Task]]))=0,"",INDEX(tsk_FcFinish,SprintBacklog[[#This Row],[_Task]])))</f>
        <v/>
      </c>
      <c r="G23" s="50"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41" t="str">
        <f aca="false">IFERROR(MATCH(SMALL(tsk_CurrentSprintKey,ROW()-ROW(SprintBacklog[[#Headers],[_Task]])),tsk_CurrentSprintKey,0),"")</f>
        <v/>
      </c>
      <c r="C24" s="24" t="str">
        <f aca="false">IF(SprintBacklog[[#This Row],[_Task]]="","",INDEX(tsk_Name,SprintBacklog[[#This Row],[_Task]])&amp;"")</f>
        <v/>
      </c>
      <c r="D24" s="73" t="str">
        <f aca="false">IF(SprintBacklog[[#This Row],[_Task]]="","",INDEX(tsk_StoryPoints,SprintBacklog[[#This Row],[_Task]]))</f>
        <v/>
      </c>
      <c r="E24" s="24" t="str">
        <f aca="false">IF(SprintBacklog[[#This Row],[_Task]]="","",INDEX(tsk_Resource,SprintBacklog[[#This Row],[_Task]])&amp;"")</f>
        <v/>
      </c>
      <c r="F24" s="48" t="str">
        <f aca="false">IF(SprintBacklog[[#This Row],[_Task]]="","",IF(N(INDEX(tsk_FcFinish,SprintBacklog[[#This Row],[_Task]]))=0,"",INDEX(tsk_FcFinish,SprintBacklog[[#This Row],[_Task]])))</f>
        <v/>
      </c>
      <c r="G24" s="50"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41" t="str">
        <f aca="false">IFERROR(MATCH(SMALL(tsk_CurrentSprintKey,ROW()-ROW(SprintBacklog[[#Headers],[_Task]])),tsk_CurrentSprintKey,0),"")</f>
        <v/>
      </c>
      <c r="C25" s="24" t="str">
        <f aca="false">IF(SprintBacklog[[#This Row],[_Task]]="","",INDEX(tsk_Name,SprintBacklog[[#This Row],[_Task]])&amp;"")</f>
        <v/>
      </c>
      <c r="D25" s="73" t="str">
        <f aca="false">IF(SprintBacklog[[#This Row],[_Task]]="","",INDEX(tsk_StoryPoints,SprintBacklog[[#This Row],[_Task]]))</f>
        <v/>
      </c>
      <c r="E25" s="24" t="str">
        <f aca="false">IF(SprintBacklog[[#This Row],[_Task]]="","",INDEX(tsk_Resource,SprintBacklog[[#This Row],[_Task]])&amp;"")</f>
        <v/>
      </c>
      <c r="F25" s="48" t="str">
        <f aca="false">IF(SprintBacklog[[#This Row],[_Task]]="","",IF(N(INDEX(tsk_FcFinish,SprintBacklog[[#This Row],[_Task]]))=0,"",INDEX(tsk_FcFinish,SprintBacklog[[#This Row],[_Task]])))</f>
        <v/>
      </c>
      <c r="G25" s="50"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41" t="str">
        <f aca="false">IFERROR(MATCH(SMALL(tsk_CurrentSprintKey,ROW()-ROW(SprintBacklog[[#Headers],[_Task]])),tsk_CurrentSprintKey,0),"")</f>
        <v/>
      </c>
      <c r="C26" s="24" t="str">
        <f aca="false">IF(SprintBacklog[[#This Row],[_Task]]="","",INDEX(tsk_Name,SprintBacklog[[#This Row],[_Task]])&amp;"")</f>
        <v/>
      </c>
      <c r="D26" s="73" t="str">
        <f aca="false">IF(SprintBacklog[[#This Row],[_Task]]="","",INDEX(tsk_StoryPoints,SprintBacklog[[#This Row],[_Task]]))</f>
        <v/>
      </c>
      <c r="E26" s="24" t="str">
        <f aca="false">IF(SprintBacklog[[#This Row],[_Task]]="","",INDEX(tsk_Resource,SprintBacklog[[#This Row],[_Task]])&amp;"")</f>
        <v/>
      </c>
      <c r="F26" s="48" t="str">
        <f aca="false">IF(SprintBacklog[[#This Row],[_Task]]="","",IF(N(INDEX(tsk_FcFinish,SprintBacklog[[#This Row],[_Task]]))=0,"",INDEX(tsk_FcFinish,SprintBacklog[[#This Row],[_Task]])))</f>
        <v/>
      </c>
      <c r="G26" s="50"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41" t="str">
        <f aca="false">IFERROR(MATCH(SMALL(tsk_CurrentSprintKey,ROW()-ROW(SprintBacklog[[#Headers],[_Task]])),tsk_CurrentSprintKey,0),"")</f>
        <v/>
      </c>
      <c r="C27" s="24" t="str">
        <f aca="false">IF(SprintBacklog[[#This Row],[_Task]]="","",INDEX(tsk_Name,SprintBacklog[[#This Row],[_Task]])&amp;"")</f>
        <v/>
      </c>
      <c r="D27" s="73" t="str">
        <f aca="false">IF(SprintBacklog[[#This Row],[_Task]]="","",INDEX(tsk_StoryPoints,SprintBacklog[[#This Row],[_Task]]))</f>
        <v/>
      </c>
      <c r="E27" s="24" t="str">
        <f aca="false">IF(SprintBacklog[[#This Row],[_Task]]="","",INDEX(tsk_Resource,SprintBacklog[[#This Row],[_Task]])&amp;"")</f>
        <v/>
      </c>
      <c r="F27" s="48" t="str">
        <f aca="false">IF(SprintBacklog[[#This Row],[_Task]]="","",IF(N(INDEX(tsk_FcFinish,SprintBacklog[[#This Row],[_Task]]))=0,"",INDEX(tsk_FcFinish,SprintBacklog[[#This Row],[_Task]])))</f>
        <v/>
      </c>
      <c r="G27" s="50"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41" t="str">
        <f aca="false">IFERROR(MATCH(SMALL(tsk_CurrentSprintKey,ROW()-ROW(SprintBacklog[[#Headers],[_Task]])),tsk_CurrentSprintKey,0),"")</f>
        <v/>
      </c>
      <c r="C28" s="24" t="str">
        <f aca="false">IF(SprintBacklog[[#This Row],[_Task]]="","",INDEX(tsk_Name,SprintBacklog[[#This Row],[_Task]])&amp;"")</f>
        <v/>
      </c>
      <c r="D28" s="73" t="str">
        <f aca="false">IF(SprintBacklog[[#This Row],[_Task]]="","",INDEX(tsk_StoryPoints,SprintBacklog[[#This Row],[_Task]]))</f>
        <v/>
      </c>
      <c r="E28" s="24" t="str">
        <f aca="false">IF(SprintBacklog[[#This Row],[_Task]]="","",INDEX(tsk_Resource,SprintBacklog[[#This Row],[_Task]])&amp;"")</f>
        <v/>
      </c>
      <c r="F28" s="48" t="str">
        <f aca="false">IF(SprintBacklog[[#This Row],[_Task]]="","",IF(N(INDEX(tsk_FcFinish,SprintBacklog[[#This Row],[_Task]]))=0,"",INDEX(tsk_FcFinish,SprintBacklog[[#This Row],[_Task]])))</f>
        <v/>
      </c>
      <c r="G28" s="50"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41" t="str">
        <f aca="false">IFERROR(MATCH(SMALL(tsk_CurrentSprintKey,ROW()-ROW(SprintBacklog[[#Headers],[_Task]])),tsk_CurrentSprintKey,0),"")</f>
        <v/>
      </c>
      <c r="C29" s="24" t="str">
        <f aca="false">IF(SprintBacklog[[#This Row],[_Task]]="","",INDEX(tsk_Name,SprintBacklog[[#This Row],[_Task]])&amp;"")</f>
        <v/>
      </c>
      <c r="D29" s="73" t="str">
        <f aca="false">IF(SprintBacklog[[#This Row],[_Task]]="","",INDEX(tsk_StoryPoints,SprintBacklog[[#This Row],[_Task]]))</f>
        <v/>
      </c>
      <c r="E29" s="24" t="str">
        <f aca="false">IF(SprintBacklog[[#This Row],[_Task]]="","",INDEX(tsk_Resource,SprintBacklog[[#This Row],[_Task]])&amp;"")</f>
        <v/>
      </c>
      <c r="F29" s="48" t="str">
        <f aca="false">IF(SprintBacklog[[#This Row],[_Task]]="","",IF(N(INDEX(tsk_FcFinish,SprintBacklog[[#This Row],[_Task]]))=0,"",INDEX(tsk_FcFinish,SprintBacklog[[#This Row],[_Task]])))</f>
        <v/>
      </c>
      <c r="G29" s="50"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41" t="str">
        <f aca="false">IFERROR(MATCH(SMALL(tsk_CurrentSprintKey,ROW()-ROW(SprintBacklog[[#Headers],[_Task]])),tsk_CurrentSprintKey,0),"")</f>
        <v/>
      </c>
      <c r="C30" s="24" t="str">
        <f aca="false">IF(SprintBacklog[[#This Row],[_Task]]="","",INDEX(tsk_Name,SprintBacklog[[#This Row],[_Task]])&amp;"")</f>
        <v/>
      </c>
      <c r="D30" s="73" t="str">
        <f aca="false">IF(SprintBacklog[[#This Row],[_Task]]="","",INDEX(tsk_StoryPoints,SprintBacklog[[#This Row],[_Task]]))</f>
        <v/>
      </c>
      <c r="E30" s="24" t="str">
        <f aca="false">IF(SprintBacklog[[#This Row],[_Task]]="","",INDEX(tsk_Resource,SprintBacklog[[#This Row],[_Task]])&amp;"")</f>
        <v/>
      </c>
      <c r="F30" s="48" t="str">
        <f aca="false">IF(SprintBacklog[[#This Row],[_Task]]="","",IF(N(INDEX(tsk_FcFinish,SprintBacklog[[#This Row],[_Task]]))=0,"",INDEX(tsk_FcFinish,SprintBacklog[[#This Row],[_Task]])))</f>
        <v/>
      </c>
      <c r="G30" s="50"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41" t="str">
        <f aca="false">IFERROR(MATCH(SMALL(tsk_CurrentSprintKey,ROW()-ROW(SprintBacklog[[#Headers],[_Task]])),tsk_CurrentSprintKey,0),"")</f>
        <v/>
      </c>
      <c r="C31" s="24" t="str">
        <f aca="false">IF(SprintBacklog[[#This Row],[_Task]]="","",INDEX(tsk_Name,SprintBacklog[[#This Row],[_Task]])&amp;"")</f>
        <v/>
      </c>
      <c r="D31" s="73" t="str">
        <f aca="false">IF(SprintBacklog[[#This Row],[_Task]]="","",INDEX(tsk_StoryPoints,SprintBacklog[[#This Row],[_Task]]))</f>
        <v/>
      </c>
      <c r="E31" s="24" t="str">
        <f aca="false">IF(SprintBacklog[[#This Row],[_Task]]="","",INDEX(tsk_Resource,SprintBacklog[[#This Row],[_Task]])&amp;"")</f>
        <v/>
      </c>
      <c r="F31" s="48" t="str">
        <f aca="false">IF(SprintBacklog[[#This Row],[_Task]]="","",IF(N(INDEX(tsk_FcFinish,SprintBacklog[[#This Row],[_Task]]))=0,"",INDEX(tsk_FcFinish,SprintBacklog[[#This Row],[_Task]])))</f>
        <v/>
      </c>
      <c r="G31" s="50"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41" t="str">
        <f aca="false">IFERROR(MATCH(SMALL(tsk_CurrentSprintKey,ROW()-ROW(SprintBacklog[[#Headers],[_Task]])),tsk_CurrentSprintKey,0),"")</f>
        <v/>
      </c>
      <c r="C32" s="24" t="str">
        <f aca="false">IF(SprintBacklog[[#This Row],[_Task]]="","",INDEX(tsk_Name,SprintBacklog[[#This Row],[_Task]])&amp;"")</f>
        <v/>
      </c>
      <c r="D32" s="73" t="str">
        <f aca="false">IF(SprintBacklog[[#This Row],[_Task]]="","",INDEX(tsk_StoryPoints,SprintBacklog[[#This Row],[_Task]]))</f>
        <v/>
      </c>
      <c r="E32" s="24" t="str">
        <f aca="false">IF(SprintBacklog[[#This Row],[_Task]]="","",INDEX(tsk_Resource,SprintBacklog[[#This Row],[_Task]])&amp;"")</f>
        <v/>
      </c>
      <c r="F32" s="48" t="str">
        <f aca="false">IF(SprintBacklog[[#This Row],[_Task]]="","",IF(N(INDEX(tsk_FcFinish,SprintBacklog[[#This Row],[_Task]]))=0,"",INDEX(tsk_FcFinish,SprintBacklog[[#This Row],[_Task]])))</f>
        <v/>
      </c>
      <c r="G32" s="50"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41" t="str">
        <f aca="false">IFERROR(MATCH(SMALL(tsk_CurrentSprintKey,ROW()-ROW(SprintBacklog[[#Headers],[_Task]])),tsk_CurrentSprintKey,0),"")</f>
        <v/>
      </c>
      <c r="C33" s="24" t="str">
        <f aca="false">IF(SprintBacklog[[#This Row],[_Task]]="","",INDEX(tsk_Name,SprintBacklog[[#This Row],[_Task]])&amp;"")</f>
        <v/>
      </c>
      <c r="D33" s="73" t="str">
        <f aca="false">IF(SprintBacklog[[#This Row],[_Task]]="","",INDEX(tsk_StoryPoints,SprintBacklog[[#This Row],[_Task]]))</f>
        <v/>
      </c>
      <c r="E33" s="24" t="str">
        <f aca="false">IF(SprintBacklog[[#This Row],[_Task]]="","",INDEX(tsk_Resource,SprintBacklog[[#This Row],[_Task]])&amp;"")</f>
        <v/>
      </c>
      <c r="F33" s="48" t="str">
        <f aca="false">IF(SprintBacklog[[#This Row],[_Task]]="","",IF(N(INDEX(tsk_FcFinish,SprintBacklog[[#This Row],[_Task]]))=0,"",INDEX(tsk_FcFinish,SprintBacklog[[#This Row],[_Task]])))</f>
        <v/>
      </c>
      <c r="G33" s="50"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41" t="str">
        <f aca="false">IFERROR(MATCH(SMALL(tsk_CurrentSprintKey,ROW()-ROW(SprintBacklog[[#Headers],[_Task]])),tsk_CurrentSprintKey,0),"")</f>
        <v/>
      </c>
      <c r="C34" s="24" t="str">
        <f aca="false">IF(SprintBacklog[[#This Row],[_Task]]="","",INDEX(tsk_Name,SprintBacklog[[#This Row],[_Task]])&amp;"")</f>
        <v/>
      </c>
      <c r="D34" s="73" t="str">
        <f aca="false">IF(SprintBacklog[[#This Row],[_Task]]="","",INDEX(tsk_StoryPoints,SprintBacklog[[#This Row],[_Task]]))</f>
        <v/>
      </c>
      <c r="E34" s="24" t="str">
        <f aca="false">IF(SprintBacklog[[#This Row],[_Task]]="","",INDEX(tsk_Resource,SprintBacklog[[#This Row],[_Task]])&amp;"")</f>
        <v/>
      </c>
      <c r="F34" s="48" t="str">
        <f aca="false">IF(SprintBacklog[[#This Row],[_Task]]="","",IF(N(INDEX(tsk_FcFinish,SprintBacklog[[#This Row],[_Task]]))=0,"",INDEX(tsk_FcFinish,SprintBacklog[[#This Row],[_Task]])))</f>
        <v/>
      </c>
      <c r="G34" s="50"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41" t="str">
        <f aca="false">IFERROR(MATCH(SMALL(tsk_CurrentSprintKey,ROW()-ROW(SprintBacklog[[#Headers],[_Task]])),tsk_CurrentSprintKey,0),"")</f>
        <v/>
      </c>
      <c r="C35" s="24" t="str">
        <f aca="false">IF(SprintBacklog[[#This Row],[_Task]]="","",INDEX(tsk_Name,SprintBacklog[[#This Row],[_Task]])&amp;"")</f>
        <v/>
      </c>
      <c r="D35" s="73" t="str">
        <f aca="false">IF(SprintBacklog[[#This Row],[_Task]]="","",INDEX(tsk_StoryPoints,SprintBacklog[[#This Row],[_Task]]))</f>
        <v/>
      </c>
      <c r="E35" s="24" t="str">
        <f aca="false">IF(SprintBacklog[[#This Row],[_Task]]="","",INDEX(tsk_Resource,SprintBacklog[[#This Row],[_Task]])&amp;"")</f>
        <v/>
      </c>
      <c r="F35" s="48" t="str">
        <f aca="false">IF(SprintBacklog[[#This Row],[_Task]]="","",IF(N(INDEX(tsk_FcFinish,SprintBacklog[[#This Row],[_Task]]))=0,"",INDEX(tsk_FcFinish,SprintBacklog[[#This Row],[_Task]])))</f>
        <v/>
      </c>
      <c r="G35" s="50"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41" t="str">
        <f aca="false">IFERROR(MATCH(SMALL(tsk_CurrentSprintKey,ROW()-ROW(SprintBacklog[[#Headers],[_Task]])),tsk_CurrentSprintKey,0),"")</f>
        <v/>
      </c>
      <c r="C36" s="24" t="str">
        <f aca="false">IF(SprintBacklog[[#This Row],[_Task]]="","",INDEX(tsk_Name,SprintBacklog[[#This Row],[_Task]])&amp;"")</f>
        <v/>
      </c>
      <c r="D36" s="73" t="str">
        <f aca="false">IF(SprintBacklog[[#This Row],[_Task]]="","",INDEX(tsk_StoryPoints,SprintBacklog[[#This Row],[_Task]]))</f>
        <v/>
      </c>
      <c r="E36" s="24" t="str">
        <f aca="false">IF(SprintBacklog[[#This Row],[_Task]]="","",INDEX(tsk_Resource,SprintBacklog[[#This Row],[_Task]])&amp;"")</f>
        <v/>
      </c>
      <c r="F36" s="48" t="str">
        <f aca="false">IF(SprintBacklog[[#This Row],[_Task]]="","",IF(N(INDEX(tsk_FcFinish,SprintBacklog[[#This Row],[_Task]]))=0,"",INDEX(tsk_FcFinish,SprintBacklog[[#This Row],[_Task]])))</f>
        <v/>
      </c>
      <c r="G36" s="50"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41" t="str">
        <f aca="false">IFERROR(MATCH(SMALL(tsk_CurrentSprintKey,ROW()-ROW(SprintBacklog[[#Headers],[_Task]])),tsk_CurrentSprintKey,0),"")</f>
        <v/>
      </c>
      <c r="C37" s="24" t="str">
        <f aca="false">IF(SprintBacklog[[#This Row],[_Task]]="","",INDEX(tsk_Name,SprintBacklog[[#This Row],[_Task]])&amp;"")</f>
        <v/>
      </c>
      <c r="D37" s="73" t="str">
        <f aca="false">IF(SprintBacklog[[#This Row],[_Task]]="","",INDEX(tsk_StoryPoints,SprintBacklog[[#This Row],[_Task]]))</f>
        <v/>
      </c>
      <c r="E37" s="24" t="str">
        <f aca="false">IF(SprintBacklog[[#This Row],[_Task]]="","",INDEX(tsk_Resource,SprintBacklog[[#This Row],[_Task]])&amp;"")</f>
        <v/>
      </c>
      <c r="F37" s="48" t="str">
        <f aca="false">IF(SprintBacklog[[#This Row],[_Task]]="","",IF(N(INDEX(tsk_FcFinish,SprintBacklog[[#This Row],[_Task]]))=0,"",INDEX(tsk_FcFinish,SprintBacklog[[#This Row],[_Task]])))</f>
        <v/>
      </c>
      <c r="G37" s="50"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41" t="str">
        <f aca="false">IFERROR(MATCH(SMALL(tsk_CurrentSprintKey,ROW()-ROW(SprintBacklog[[#Headers],[_Task]])),tsk_CurrentSprintKey,0),"")</f>
        <v/>
      </c>
      <c r="C38" s="24" t="str">
        <f aca="false">IF(SprintBacklog[[#This Row],[_Task]]="","",INDEX(tsk_Name,SprintBacklog[[#This Row],[_Task]])&amp;"")</f>
        <v/>
      </c>
      <c r="D38" s="73" t="str">
        <f aca="false">IF(SprintBacklog[[#This Row],[_Task]]="","",INDEX(tsk_StoryPoints,SprintBacklog[[#This Row],[_Task]]))</f>
        <v/>
      </c>
      <c r="E38" s="24" t="str">
        <f aca="false">IF(SprintBacklog[[#This Row],[_Task]]="","",INDEX(tsk_Resource,SprintBacklog[[#This Row],[_Task]])&amp;"")</f>
        <v/>
      </c>
      <c r="F38" s="48" t="str">
        <f aca="false">IF(SprintBacklog[[#This Row],[_Task]]="","",IF(N(INDEX(tsk_FcFinish,SprintBacklog[[#This Row],[_Task]]))=0,"",INDEX(tsk_FcFinish,SprintBacklog[[#This Row],[_Task]])))</f>
        <v/>
      </c>
      <c r="G38" s="50"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41" t="str">
        <f aca="false">IFERROR(MATCH(SMALL(tsk_CurrentSprintKey,ROW()-ROW(SprintBacklog[[#Headers],[_Task]])),tsk_CurrentSprintKey,0),"")</f>
        <v/>
      </c>
      <c r="C39" s="24" t="str">
        <f aca="false">IF(SprintBacklog[[#This Row],[_Task]]="","",INDEX(tsk_Name,SprintBacklog[[#This Row],[_Task]])&amp;"")</f>
        <v/>
      </c>
      <c r="D39" s="73" t="str">
        <f aca="false">IF(SprintBacklog[[#This Row],[_Task]]="","",INDEX(tsk_StoryPoints,SprintBacklog[[#This Row],[_Task]]))</f>
        <v/>
      </c>
      <c r="E39" s="24" t="str">
        <f aca="false">IF(SprintBacklog[[#This Row],[_Task]]="","",INDEX(tsk_Resource,SprintBacklog[[#This Row],[_Task]])&amp;"")</f>
        <v/>
      </c>
      <c r="F39" s="48" t="str">
        <f aca="false">IF(SprintBacklog[[#This Row],[_Task]]="","",IF(N(INDEX(tsk_FcFinish,SprintBacklog[[#This Row],[_Task]]))=0,"",INDEX(tsk_FcFinish,SprintBacklog[[#This Row],[_Task]])))</f>
        <v/>
      </c>
      <c r="G39" s="50"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41" t="str">
        <f aca="false">IFERROR(MATCH(SMALL(tsk_CurrentSprintKey,ROW()-ROW(SprintBacklog[[#Headers],[_Task]])),tsk_CurrentSprintKey,0),"")</f>
        <v/>
      </c>
      <c r="C40" s="24" t="str">
        <f aca="false">IF(SprintBacklog[[#This Row],[_Task]]="","",INDEX(tsk_Name,SprintBacklog[[#This Row],[_Task]])&amp;"")</f>
        <v/>
      </c>
      <c r="D40" s="73" t="str">
        <f aca="false">IF(SprintBacklog[[#This Row],[_Task]]="","",INDEX(tsk_StoryPoints,SprintBacklog[[#This Row],[_Task]]))</f>
        <v/>
      </c>
      <c r="E40" s="24" t="str">
        <f aca="false">IF(SprintBacklog[[#This Row],[_Task]]="","",INDEX(tsk_Resource,SprintBacklog[[#This Row],[_Task]])&amp;"")</f>
        <v/>
      </c>
      <c r="F40" s="48" t="str">
        <f aca="false">IF(SprintBacklog[[#This Row],[_Task]]="","",IF(N(INDEX(tsk_FcFinish,SprintBacklog[[#This Row],[_Task]]))=0,"",INDEX(tsk_FcFinish,SprintBacklog[[#This Row],[_Task]])))</f>
        <v/>
      </c>
      <c r="G40" s="50"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6" t="s">
        <v>264</v>
      </c>
    </row>
    <row r="43" customFormat="false" ht="23.85" hidden="false" customHeight="false" outlineLevel="0" collapsed="false">
      <c r="C43" s="9" t="s">
        <v>265</v>
      </c>
      <c r="D43" s="9" t="s">
        <v>233</v>
      </c>
      <c r="E43" s="9" t="s">
        <v>266</v>
      </c>
      <c r="F43" s="40" t="s">
        <v>267</v>
      </c>
      <c r="G43" s="40" t="s">
        <v>268</v>
      </c>
      <c r="H43" s="40" t="s">
        <v>269</v>
      </c>
    </row>
    <row r="44" customFormat="false" ht="15" hidden="false" customHeight="false" outlineLevel="0" collapsed="false">
      <c r="C44" s="25" t="n">
        <f aca="false">IF(OR(CurrentSprint="",ROW()-ROW(SprintBurndown[[#Headers],[Day]])&gt;SprintLength),"",CurrentSprintStart+ROW()-ROW(SprintBurndown[[#Headers],[Day]])-1)</f>
        <v>46314</v>
      </c>
      <c r="D44" s="74" t="n">
        <f aca="false">IF(OR(SprintBurndown[[#This Row],[Day]]="",SprintBurndown[[#This Row],[Day]]&gt;StatusDate),"",agl_CurCommitted-SUMIFS(tsk_LeafPoints,tsk_Sprint,CurrentSprint,tsk_DoneDate,"&lt;="&amp;SprintBurndown[[#This Row],[Day]]))</f>
        <v>8</v>
      </c>
      <c r="E44" s="74" t="n">
        <f aca="false">IF(SprintBurndown[[#This Row],[Day]]="","",agl_CurCommitted*MAX(0,1-NETWORKDAYS.INTL(CurrentSprintStart,SprintBurndown[[#This Row],[Day]],WorkWeek,Holidays)/MAX(1,NETWORKDAYS.INTL(CurrentSprintStart,CurrentSprintEnd,WorkWeek,Holidays))))</f>
        <v>7.2</v>
      </c>
      <c r="F44" s="75" t="str">
        <f aca="false">IF(SprintBurndown[[#This Row],[Day]]="","",TEXT(SprintBurndown[[#This Row],[Day]],"dd-mmm"))</f>
        <v>19-Oct</v>
      </c>
      <c r="G44" s="76" t="n">
        <f aca="false">IF(SprintBurndown[[#This Row],[Remaining]]="",NA(),SprintBurndown[[#This Row],[Remaining]])</f>
        <v>8</v>
      </c>
      <c r="H44" s="76" t="n">
        <f aca="false">IF(SprintBurndown[[#This Row],[Ideal]]="",NA(),SprintBurndown[[#This Row],[Ideal]])</f>
        <v>7.2</v>
      </c>
    </row>
    <row r="45" customFormat="false" ht="15" hidden="false" customHeight="false" outlineLevel="0" collapsed="false">
      <c r="C45" s="25" t="n">
        <f aca="false">IF(OR(CurrentSprint="",ROW()-ROW(SprintBurndown[[#Headers],[Day]])&gt;SprintLength),"",CurrentSprintStart+ROW()-ROW(SprintBurndown[[#Headers],[Day]])-1)</f>
        <v>46315</v>
      </c>
      <c r="D45" s="74" t="n">
        <f aca="false">IF(OR(SprintBurndown[[#This Row],[Day]]="",SprintBurndown[[#This Row],[Day]]&gt;StatusDate),"",agl_CurCommitted-SUMIFS(tsk_LeafPoints,tsk_Sprint,CurrentSprint,tsk_DoneDate,"&lt;="&amp;SprintBurndown[[#This Row],[Day]]))</f>
        <v>8</v>
      </c>
      <c r="E45" s="74" t="n">
        <f aca="false">IF(SprintBurndown[[#This Row],[Day]]="","",agl_CurCommitted*MAX(0,1-NETWORKDAYS.INTL(CurrentSprintStart,SprintBurndown[[#This Row],[Day]],WorkWeek,Holidays)/MAX(1,NETWORKDAYS.INTL(CurrentSprintStart,CurrentSprintEnd,WorkWeek,Holidays))))</f>
        <v>6.4</v>
      </c>
      <c r="F45" s="75" t="str">
        <f aca="false">IF(SprintBurndown[[#This Row],[Day]]="","",TEXT(SprintBurndown[[#This Row],[Day]],"dd-mmm"))</f>
        <v>20-Oct</v>
      </c>
      <c r="G45" s="76" t="n">
        <f aca="false">IF(SprintBurndown[[#This Row],[Remaining]]="",NA(),SprintBurndown[[#This Row],[Remaining]])</f>
        <v>8</v>
      </c>
      <c r="H45" s="76" t="n">
        <f aca="false">IF(SprintBurndown[[#This Row],[Ideal]]="",NA(),SprintBurndown[[#This Row],[Ideal]])</f>
        <v>6.4</v>
      </c>
    </row>
    <row r="46" customFormat="false" ht="15" hidden="false" customHeight="false" outlineLevel="0" collapsed="false">
      <c r="C46" s="25" t="n">
        <f aca="false">IF(OR(CurrentSprint="",ROW()-ROW(SprintBurndown[[#Headers],[Day]])&gt;SprintLength),"",CurrentSprintStart+ROW()-ROW(SprintBurndown[[#Headers],[Day]])-1)</f>
        <v>46316</v>
      </c>
      <c r="D46" s="74" t="n">
        <f aca="false">IF(OR(SprintBurndown[[#This Row],[Day]]="",SprintBurndown[[#This Row],[Day]]&gt;StatusDate),"",agl_CurCommitted-SUMIFS(tsk_LeafPoints,tsk_Sprint,CurrentSprint,tsk_DoneDate,"&lt;="&amp;SprintBurndown[[#This Row],[Day]]))</f>
        <v>8</v>
      </c>
      <c r="E46" s="74" t="n">
        <f aca="false">IF(SprintBurndown[[#This Row],[Day]]="","",agl_CurCommitted*MAX(0,1-NETWORKDAYS.INTL(CurrentSprintStart,SprintBurndown[[#This Row],[Day]],WorkWeek,Holidays)/MAX(1,NETWORKDAYS.INTL(CurrentSprintStart,CurrentSprintEnd,WorkWeek,Holidays))))</f>
        <v>5.6</v>
      </c>
      <c r="F46" s="75" t="str">
        <f aca="false">IF(SprintBurndown[[#This Row],[Day]]="","",TEXT(SprintBurndown[[#This Row],[Day]],"dd-mmm"))</f>
        <v>21-Oct</v>
      </c>
      <c r="G46" s="76" t="n">
        <f aca="false">IF(SprintBurndown[[#This Row],[Remaining]]="",NA(),SprintBurndown[[#This Row],[Remaining]])</f>
        <v>8</v>
      </c>
      <c r="H46" s="76" t="n">
        <f aca="false">IF(SprintBurndown[[#This Row],[Ideal]]="",NA(),SprintBurndown[[#This Row],[Ideal]])</f>
        <v>5.6</v>
      </c>
    </row>
    <row r="47" customFormat="false" ht="15" hidden="false" customHeight="false" outlineLevel="0" collapsed="false">
      <c r="C47" s="25" t="n">
        <f aca="false">IF(OR(CurrentSprint="",ROW()-ROW(SprintBurndown[[#Headers],[Day]])&gt;SprintLength),"",CurrentSprintStart+ROW()-ROW(SprintBurndown[[#Headers],[Day]])-1)</f>
        <v>46317</v>
      </c>
      <c r="D47" s="74" t="n">
        <f aca="false">IF(OR(SprintBurndown[[#This Row],[Day]]="",SprintBurndown[[#This Row],[Day]]&gt;StatusDate),"",agl_CurCommitted-SUMIFS(tsk_LeafPoints,tsk_Sprint,CurrentSprint,tsk_DoneDate,"&lt;="&amp;SprintBurndown[[#This Row],[Day]]))</f>
        <v>8</v>
      </c>
      <c r="E47" s="74" t="n">
        <f aca="false">IF(SprintBurndown[[#This Row],[Day]]="","",agl_CurCommitted*MAX(0,1-NETWORKDAYS.INTL(CurrentSprintStart,SprintBurndown[[#This Row],[Day]],WorkWeek,Holidays)/MAX(1,NETWORKDAYS.INTL(CurrentSprintStart,CurrentSprintEnd,WorkWeek,Holidays))))</f>
        <v>4.8</v>
      </c>
      <c r="F47" s="75" t="str">
        <f aca="false">IF(SprintBurndown[[#This Row],[Day]]="","",TEXT(SprintBurndown[[#This Row],[Day]],"dd-mmm"))</f>
        <v>22-Oct</v>
      </c>
      <c r="G47" s="76" t="n">
        <f aca="false">IF(SprintBurndown[[#This Row],[Remaining]]="",NA(),SprintBurndown[[#This Row],[Remaining]])</f>
        <v>8</v>
      </c>
      <c r="H47" s="76" t="n">
        <f aca="false">IF(SprintBurndown[[#This Row],[Ideal]]="",NA(),SprintBurndown[[#This Row],[Ideal]])</f>
        <v>4.8</v>
      </c>
    </row>
    <row r="48" customFormat="false" ht="15" hidden="false" customHeight="false" outlineLevel="0" collapsed="false">
      <c r="C48" s="25" t="n">
        <f aca="false">IF(OR(CurrentSprint="",ROW()-ROW(SprintBurndown[[#Headers],[Day]])&gt;SprintLength),"",CurrentSprintStart+ROW()-ROW(SprintBurndown[[#Headers],[Day]])-1)</f>
        <v>46318</v>
      </c>
      <c r="D48" s="74" t="n">
        <f aca="false">IF(OR(SprintBurndown[[#This Row],[Day]]="",SprintBurndown[[#This Row],[Day]]&gt;StatusDate),"",agl_CurCommitted-SUMIFS(tsk_LeafPoints,tsk_Sprint,CurrentSprint,tsk_DoneDate,"&lt;="&amp;SprintBurndown[[#This Row],[Day]]))</f>
        <v>8</v>
      </c>
      <c r="E48" s="74" t="n">
        <f aca="false">IF(SprintBurndown[[#This Row],[Day]]="","",agl_CurCommitted*MAX(0,1-NETWORKDAYS.INTL(CurrentSprintStart,SprintBurndown[[#This Row],[Day]],WorkWeek,Holidays)/MAX(1,NETWORKDAYS.INTL(CurrentSprintStart,CurrentSprintEnd,WorkWeek,Holidays))))</f>
        <v>4</v>
      </c>
      <c r="F48" s="75" t="str">
        <f aca="false">IF(SprintBurndown[[#This Row],[Day]]="","",TEXT(SprintBurndown[[#This Row],[Day]],"dd-mmm"))</f>
        <v>23-Oct</v>
      </c>
      <c r="G48" s="76" t="n">
        <f aca="false">IF(SprintBurndown[[#This Row],[Remaining]]="",NA(),SprintBurndown[[#This Row],[Remaining]])</f>
        <v>8</v>
      </c>
      <c r="H48" s="76" t="n">
        <f aca="false">IF(SprintBurndown[[#This Row],[Ideal]]="",NA(),SprintBurndown[[#This Row],[Ideal]])</f>
        <v>4</v>
      </c>
    </row>
    <row r="49" customFormat="false" ht="15" hidden="false" customHeight="false" outlineLevel="0" collapsed="false">
      <c r="C49" s="25" t="n">
        <f aca="false">IF(OR(CurrentSprint="",ROW()-ROW(SprintBurndown[[#Headers],[Day]])&gt;SprintLength),"",CurrentSprintStart+ROW()-ROW(SprintBurndown[[#Headers],[Day]])-1)</f>
        <v>46319</v>
      </c>
      <c r="D49" s="74" t="n">
        <f aca="false">IF(OR(SprintBurndown[[#This Row],[Day]]="",SprintBurndown[[#This Row],[Day]]&gt;StatusDate),"",agl_CurCommitted-SUMIFS(tsk_LeafPoints,tsk_Sprint,CurrentSprint,tsk_DoneDate,"&lt;="&amp;SprintBurndown[[#This Row],[Day]]))</f>
        <v>8</v>
      </c>
      <c r="E49" s="74" t="n">
        <f aca="false">IF(SprintBurndown[[#This Row],[Day]]="","",agl_CurCommitted*MAX(0,1-NETWORKDAYS.INTL(CurrentSprintStart,SprintBurndown[[#This Row],[Day]],WorkWeek,Holidays)/MAX(1,NETWORKDAYS.INTL(CurrentSprintStart,CurrentSprintEnd,WorkWeek,Holidays))))</f>
        <v>4</v>
      </c>
      <c r="F49" s="75" t="str">
        <f aca="false">IF(SprintBurndown[[#This Row],[Day]]="","",TEXT(SprintBurndown[[#This Row],[Day]],"dd-mmm"))</f>
        <v>24-Oct</v>
      </c>
      <c r="G49" s="76" t="n">
        <f aca="false">IF(SprintBurndown[[#This Row],[Remaining]]="",NA(),SprintBurndown[[#This Row],[Remaining]])</f>
        <v>8</v>
      </c>
      <c r="H49" s="76" t="n">
        <f aca="false">IF(SprintBurndown[[#This Row],[Ideal]]="",NA(),SprintBurndown[[#This Row],[Ideal]])</f>
        <v>4</v>
      </c>
    </row>
    <row r="50" customFormat="false" ht="15" hidden="false" customHeight="false" outlineLevel="0" collapsed="false">
      <c r="C50" s="25" t="n">
        <f aca="false">IF(OR(CurrentSprint="",ROW()-ROW(SprintBurndown[[#Headers],[Day]])&gt;SprintLength),"",CurrentSprintStart+ROW()-ROW(SprintBurndown[[#Headers],[Day]])-1)</f>
        <v>46320</v>
      </c>
      <c r="D50" s="74" t="n">
        <f aca="false">IF(OR(SprintBurndown[[#This Row],[Day]]="",SprintBurndown[[#This Row],[Day]]&gt;StatusDate),"",agl_CurCommitted-SUMIFS(tsk_LeafPoints,tsk_Sprint,CurrentSprint,tsk_DoneDate,"&lt;="&amp;SprintBurndown[[#This Row],[Day]]))</f>
        <v>8</v>
      </c>
      <c r="E50" s="74" t="n">
        <f aca="false">IF(SprintBurndown[[#This Row],[Day]]="","",agl_CurCommitted*MAX(0,1-NETWORKDAYS.INTL(CurrentSprintStart,SprintBurndown[[#This Row],[Day]],WorkWeek,Holidays)/MAX(1,NETWORKDAYS.INTL(CurrentSprintStart,CurrentSprintEnd,WorkWeek,Holidays))))</f>
        <v>4</v>
      </c>
      <c r="F50" s="75" t="str">
        <f aca="false">IF(SprintBurndown[[#This Row],[Day]]="","",TEXT(SprintBurndown[[#This Row],[Day]],"dd-mmm"))</f>
        <v>25-Oct</v>
      </c>
      <c r="G50" s="76" t="n">
        <f aca="false">IF(SprintBurndown[[#This Row],[Remaining]]="",NA(),SprintBurndown[[#This Row],[Remaining]])</f>
        <v>8</v>
      </c>
      <c r="H50" s="76" t="n">
        <f aca="false">IF(SprintBurndown[[#This Row],[Ideal]]="",NA(),SprintBurndown[[#This Row],[Ideal]])</f>
        <v>4</v>
      </c>
    </row>
    <row r="51" customFormat="false" ht="15" hidden="false" customHeight="false" outlineLevel="0" collapsed="false">
      <c r="C51" s="25" t="n">
        <f aca="false">IF(OR(CurrentSprint="",ROW()-ROW(SprintBurndown[[#Headers],[Day]])&gt;SprintLength),"",CurrentSprintStart+ROW()-ROW(SprintBurndown[[#Headers],[Day]])-1)</f>
        <v>46321</v>
      </c>
      <c r="D51" s="74" t="str">
        <f aca="false">IF(OR(SprintBurndown[[#This Row],[Day]]="",SprintBurndown[[#This Row],[Day]]&gt;StatusDate),"",agl_CurCommitted-SUMIFS(tsk_LeafPoints,tsk_Sprint,CurrentSprint,tsk_DoneDate,"&lt;="&amp;SprintBurndown[[#This Row],[Day]]))</f>
        <v/>
      </c>
      <c r="E51" s="74" t="n">
        <f aca="false">IF(SprintBurndown[[#This Row],[Day]]="","",agl_CurCommitted*MAX(0,1-NETWORKDAYS.INTL(CurrentSprintStart,SprintBurndown[[#This Row],[Day]],WorkWeek,Holidays)/MAX(1,NETWORKDAYS.INTL(CurrentSprintStart,CurrentSprintEnd,WorkWeek,Holidays))))</f>
        <v>3.2</v>
      </c>
      <c r="F51" s="75" t="str">
        <f aca="false">IF(SprintBurndown[[#This Row],[Day]]="","",TEXT(SprintBurndown[[#This Row],[Day]],"dd-mmm"))</f>
        <v>26-Oct</v>
      </c>
      <c r="G51" s="75" t="e">
        <f aca="false">IF(SprintBurndown[[#This Row],[Remaining]]="",NA(),SprintBurndown[[#This Row],[Remaining]])</f>
        <v>#N/A</v>
      </c>
      <c r="H51" s="76" t="n">
        <f aca="false">IF(SprintBurndown[[#This Row],[Ideal]]="",NA(),SprintBurndown[[#This Row],[Ideal]])</f>
        <v>3.2</v>
      </c>
    </row>
    <row r="52" customFormat="false" ht="15" hidden="false" customHeight="false" outlineLevel="0" collapsed="false">
      <c r="C52" s="25" t="n">
        <f aca="false">IF(OR(CurrentSprint="",ROW()-ROW(SprintBurndown[[#Headers],[Day]])&gt;SprintLength),"",CurrentSprintStart+ROW()-ROW(SprintBurndown[[#Headers],[Day]])-1)</f>
        <v>46322</v>
      </c>
      <c r="D52" s="74" t="str">
        <f aca="false">IF(OR(SprintBurndown[[#This Row],[Day]]="",SprintBurndown[[#This Row],[Day]]&gt;StatusDate),"",agl_CurCommitted-SUMIFS(tsk_LeafPoints,tsk_Sprint,CurrentSprint,tsk_DoneDate,"&lt;="&amp;SprintBurndown[[#This Row],[Day]]))</f>
        <v/>
      </c>
      <c r="E52" s="74" t="n">
        <f aca="false">IF(SprintBurndown[[#This Row],[Day]]="","",agl_CurCommitted*MAX(0,1-NETWORKDAYS.INTL(CurrentSprintStart,SprintBurndown[[#This Row],[Day]],WorkWeek,Holidays)/MAX(1,NETWORKDAYS.INTL(CurrentSprintStart,CurrentSprintEnd,WorkWeek,Holidays))))</f>
        <v>2.4</v>
      </c>
      <c r="F52" s="75" t="str">
        <f aca="false">IF(SprintBurndown[[#This Row],[Day]]="","",TEXT(SprintBurndown[[#This Row],[Day]],"dd-mmm"))</f>
        <v>27-Oct</v>
      </c>
      <c r="G52" s="75" t="e">
        <f aca="false">IF(SprintBurndown[[#This Row],[Remaining]]="",NA(),SprintBurndown[[#This Row],[Remaining]])</f>
        <v>#N/A</v>
      </c>
      <c r="H52" s="76" t="n">
        <f aca="false">IF(SprintBurndown[[#This Row],[Ideal]]="",NA(),SprintBurndown[[#This Row],[Ideal]])</f>
        <v>2.4</v>
      </c>
    </row>
    <row r="53" customFormat="false" ht="15" hidden="false" customHeight="false" outlineLevel="0" collapsed="false">
      <c r="C53" s="25" t="n">
        <f aca="false">IF(OR(CurrentSprint="",ROW()-ROW(SprintBurndown[[#Headers],[Day]])&gt;SprintLength),"",CurrentSprintStart+ROW()-ROW(SprintBurndown[[#Headers],[Day]])-1)</f>
        <v>46323</v>
      </c>
      <c r="D53" s="74" t="str">
        <f aca="false">IF(OR(SprintBurndown[[#This Row],[Day]]="",SprintBurndown[[#This Row],[Day]]&gt;StatusDate),"",agl_CurCommitted-SUMIFS(tsk_LeafPoints,tsk_Sprint,CurrentSprint,tsk_DoneDate,"&lt;="&amp;SprintBurndown[[#This Row],[Day]]))</f>
        <v/>
      </c>
      <c r="E53" s="74" t="n">
        <f aca="false">IF(SprintBurndown[[#This Row],[Day]]="","",agl_CurCommitted*MAX(0,1-NETWORKDAYS.INTL(CurrentSprintStart,SprintBurndown[[#This Row],[Day]],WorkWeek,Holidays)/MAX(1,NETWORKDAYS.INTL(CurrentSprintStart,CurrentSprintEnd,WorkWeek,Holidays))))</f>
        <v>1.6</v>
      </c>
      <c r="F53" s="75" t="str">
        <f aca="false">IF(SprintBurndown[[#This Row],[Day]]="","",TEXT(SprintBurndown[[#This Row],[Day]],"dd-mmm"))</f>
        <v>28-Oct</v>
      </c>
      <c r="G53" s="75" t="e">
        <f aca="false">IF(SprintBurndown[[#This Row],[Remaining]]="",NA(),SprintBurndown[[#This Row],[Remaining]])</f>
        <v>#N/A</v>
      </c>
      <c r="H53" s="76" t="n">
        <f aca="false">IF(SprintBurndown[[#This Row],[Ideal]]="",NA(),SprintBurndown[[#This Row],[Ideal]])</f>
        <v>1.6</v>
      </c>
    </row>
    <row r="54" customFormat="false" ht="15" hidden="false" customHeight="false" outlineLevel="0" collapsed="false">
      <c r="C54" s="25" t="n">
        <f aca="false">IF(OR(CurrentSprint="",ROW()-ROW(SprintBurndown[[#Headers],[Day]])&gt;SprintLength),"",CurrentSprintStart+ROW()-ROW(SprintBurndown[[#Headers],[Day]])-1)</f>
        <v>46324</v>
      </c>
      <c r="D54" s="74" t="str">
        <f aca="false">IF(OR(SprintBurndown[[#This Row],[Day]]="",SprintBurndown[[#This Row],[Day]]&gt;StatusDate),"",agl_CurCommitted-SUMIFS(tsk_LeafPoints,tsk_Sprint,CurrentSprint,tsk_DoneDate,"&lt;="&amp;SprintBurndown[[#This Row],[Day]]))</f>
        <v/>
      </c>
      <c r="E54" s="74" t="n">
        <f aca="false">IF(SprintBurndown[[#This Row],[Day]]="","",agl_CurCommitted*MAX(0,1-NETWORKDAYS.INTL(CurrentSprintStart,SprintBurndown[[#This Row],[Day]],WorkWeek,Holidays)/MAX(1,NETWORKDAYS.INTL(CurrentSprintStart,CurrentSprintEnd,WorkWeek,Holidays))))</f>
        <v>0.8</v>
      </c>
      <c r="F54" s="75" t="str">
        <f aca="false">IF(SprintBurndown[[#This Row],[Day]]="","",TEXT(SprintBurndown[[#This Row],[Day]],"dd-mmm"))</f>
        <v>29-Oct</v>
      </c>
      <c r="G54" s="75" t="e">
        <f aca="false">IF(SprintBurndown[[#This Row],[Remaining]]="",NA(),SprintBurndown[[#This Row],[Remaining]])</f>
        <v>#N/A</v>
      </c>
      <c r="H54" s="76" t="n">
        <f aca="false">IF(SprintBurndown[[#This Row],[Ideal]]="",NA(),SprintBurndown[[#This Row],[Ideal]])</f>
        <v>0.8</v>
      </c>
    </row>
    <row r="55" customFormat="false" ht="15" hidden="false" customHeight="false" outlineLevel="0" collapsed="false">
      <c r="C55" s="25" t="n">
        <f aca="false">IF(OR(CurrentSprint="",ROW()-ROW(SprintBurndown[[#Headers],[Day]])&gt;SprintLength),"",CurrentSprintStart+ROW()-ROW(SprintBurndown[[#Headers],[Day]])-1)</f>
        <v>46325</v>
      </c>
      <c r="D55" s="74" t="str">
        <f aca="false">IF(OR(SprintBurndown[[#This Row],[Day]]="",SprintBurndown[[#This Row],[Day]]&gt;StatusDate),"",agl_CurCommitted-SUMIFS(tsk_LeafPoints,tsk_Sprint,CurrentSprint,tsk_DoneDate,"&lt;="&amp;SprintBurndown[[#This Row],[Day]]))</f>
        <v/>
      </c>
      <c r="E55" s="74" t="n">
        <f aca="false">IF(SprintBurndown[[#This Row],[Day]]="","",agl_CurCommitted*MAX(0,1-NETWORKDAYS.INTL(CurrentSprintStart,SprintBurndown[[#This Row],[Day]],WorkWeek,Holidays)/MAX(1,NETWORKDAYS.INTL(CurrentSprintStart,CurrentSprintEnd,WorkWeek,Holidays))))</f>
        <v>0</v>
      </c>
      <c r="F55" s="75" t="str">
        <f aca="false">IF(SprintBurndown[[#This Row],[Day]]="","",TEXT(SprintBurndown[[#This Row],[Day]],"dd-mmm"))</f>
        <v>30-Oct</v>
      </c>
      <c r="G55" s="75" t="e">
        <f aca="false">IF(SprintBurndown[[#This Row],[Remaining]]="",NA(),SprintBurndown[[#This Row],[Remaining]])</f>
        <v>#N/A</v>
      </c>
      <c r="H55" s="76"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46326</v>
      </c>
      <c r="D56" s="74" t="str">
        <f aca="false">IF(OR(SprintBurndown[[#This Row],[Day]]="",SprintBurndown[[#This Row],[Day]]&gt;StatusDate),"",agl_CurCommitted-SUMIFS(tsk_LeafPoints,tsk_Sprint,CurrentSprint,tsk_DoneDate,"&lt;="&amp;SprintBurndown[[#This Row],[Day]]))</f>
        <v/>
      </c>
      <c r="E56" s="74" t="n">
        <f aca="false">IF(SprintBurndown[[#This Row],[Day]]="","",agl_CurCommitted*MAX(0,1-NETWORKDAYS.INTL(CurrentSprintStart,SprintBurndown[[#This Row],[Day]],WorkWeek,Holidays)/MAX(1,NETWORKDAYS.INTL(CurrentSprintStart,CurrentSprintEnd,WorkWeek,Holidays))))</f>
        <v>0</v>
      </c>
      <c r="F56" s="75" t="str">
        <f aca="false">IF(SprintBurndown[[#This Row],[Day]]="","",TEXT(SprintBurndown[[#This Row],[Day]],"dd-mmm"))</f>
        <v>31-Oct</v>
      </c>
      <c r="G56" s="75" t="e">
        <f aca="false">IF(SprintBurndown[[#This Row],[Remaining]]="",NA(),SprintBurndown[[#This Row],[Remaining]])</f>
        <v>#N/A</v>
      </c>
      <c r="H56" s="76"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46327</v>
      </c>
      <c r="D57" s="74" t="str">
        <f aca="false">IF(OR(SprintBurndown[[#This Row],[Day]]="",SprintBurndown[[#This Row],[Day]]&gt;StatusDate),"",agl_CurCommitted-SUMIFS(tsk_LeafPoints,tsk_Sprint,CurrentSprint,tsk_DoneDate,"&lt;="&amp;SprintBurndown[[#This Row],[Day]]))</f>
        <v/>
      </c>
      <c r="E57" s="74" t="n">
        <f aca="false">IF(SprintBurndown[[#This Row],[Day]]="","",agl_CurCommitted*MAX(0,1-NETWORKDAYS.INTL(CurrentSprintStart,SprintBurndown[[#This Row],[Day]],WorkWeek,Holidays)/MAX(1,NETWORKDAYS.INTL(CurrentSprintStart,CurrentSprintEnd,WorkWeek,Holidays))))</f>
        <v>0</v>
      </c>
      <c r="F57" s="75" t="str">
        <f aca="false">IF(SprintBurndown[[#This Row],[Day]]="","",TEXT(SprintBurndown[[#This Row],[Day]],"dd-mmm"))</f>
        <v>01-Nov</v>
      </c>
      <c r="G57" s="75" t="e">
        <f aca="false">IF(SprintBurndown[[#This Row],[Remaining]]="",NA(),SprintBurndown[[#This Row],[Remaining]])</f>
        <v>#N/A</v>
      </c>
      <c r="H57" s="76"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74" t="str">
        <f aca="false">IF(OR(SprintBurndown[[#This Row],[Day]]="",SprintBurndown[[#This Row],[Day]]&gt;StatusDate),"",agl_CurCommitted-SUMIFS(tsk_LeafPoints,tsk_Sprint,CurrentSprint,tsk_DoneDate,"&lt;="&amp;SprintBurndown[[#This Row],[Day]]))</f>
        <v/>
      </c>
      <c r="E58" s="74" t="str">
        <f aca="false">IF(SprintBurndown[[#This Row],[Day]]="","",agl_CurCommitted*MAX(0,1-NETWORKDAYS.INTL(CurrentSprintStart,SprintBurndown[[#This Row],[Day]],WorkWeek,Holidays)/MAX(1,NETWORKDAYS.INTL(CurrentSprintStart,CurrentSprintEnd,WorkWeek,Holidays))))</f>
        <v/>
      </c>
      <c r="F58" s="75" t="str">
        <f aca="false">IF(SprintBurndown[[#This Row],[Day]]="","",TEXT(SprintBurndown[[#This Row],[Day]],"dd-mmm"))</f>
        <v/>
      </c>
      <c r="G58" s="75" t="e">
        <f aca="false">IF(SprintBurndown[[#This Row],[Remaining]]="",NA(),SprintBurndown[[#This Row],[Remaining]])</f>
        <v>#N/A</v>
      </c>
      <c r="H58" s="75"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74" t="str">
        <f aca="false">IF(OR(SprintBurndown[[#This Row],[Day]]="",SprintBurndown[[#This Row],[Day]]&gt;StatusDate),"",agl_CurCommitted-SUMIFS(tsk_LeafPoints,tsk_Sprint,CurrentSprint,tsk_DoneDate,"&lt;="&amp;SprintBurndown[[#This Row],[Day]]))</f>
        <v/>
      </c>
      <c r="E59" s="74" t="str">
        <f aca="false">IF(SprintBurndown[[#This Row],[Day]]="","",agl_CurCommitted*MAX(0,1-NETWORKDAYS.INTL(CurrentSprintStart,SprintBurndown[[#This Row],[Day]],WorkWeek,Holidays)/MAX(1,NETWORKDAYS.INTL(CurrentSprintStart,CurrentSprintEnd,WorkWeek,Holidays))))</f>
        <v/>
      </c>
      <c r="F59" s="75" t="str">
        <f aca="false">IF(SprintBurndown[[#This Row],[Day]]="","",TEXT(SprintBurndown[[#This Row],[Day]],"dd-mmm"))</f>
        <v/>
      </c>
      <c r="G59" s="75" t="e">
        <f aca="false">IF(SprintBurndown[[#This Row],[Remaining]]="",NA(),SprintBurndown[[#This Row],[Remaining]])</f>
        <v>#N/A</v>
      </c>
      <c r="H59" s="75"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74" t="str">
        <f aca="false">IF(OR(SprintBurndown[[#This Row],[Day]]="",SprintBurndown[[#This Row],[Day]]&gt;StatusDate),"",agl_CurCommitted-SUMIFS(tsk_LeafPoints,tsk_Sprint,CurrentSprint,tsk_DoneDate,"&lt;="&amp;SprintBurndown[[#This Row],[Day]]))</f>
        <v/>
      </c>
      <c r="E60" s="74" t="str">
        <f aca="false">IF(SprintBurndown[[#This Row],[Day]]="","",agl_CurCommitted*MAX(0,1-NETWORKDAYS.INTL(CurrentSprintStart,SprintBurndown[[#This Row],[Day]],WorkWeek,Holidays)/MAX(1,NETWORKDAYS.INTL(CurrentSprintStart,CurrentSprintEnd,WorkWeek,Holidays))))</f>
        <v/>
      </c>
      <c r="F60" s="75" t="str">
        <f aca="false">IF(SprintBurndown[[#This Row],[Day]]="","",TEXT(SprintBurndown[[#This Row],[Day]],"dd-mmm"))</f>
        <v/>
      </c>
      <c r="G60" s="75" t="e">
        <f aca="false">IF(SprintBurndown[[#This Row],[Remaining]]="",NA(),SprintBurndown[[#This Row],[Remaining]])</f>
        <v>#N/A</v>
      </c>
      <c r="H60" s="75"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74" t="str">
        <f aca="false">IF(OR(SprintBurndown[[#This Row],[Day]]="",SprintBurndown[[#This Row],[Day]]&gt;StatusDate),"",agl_CurCommitted-SUMIFS(tsk_LeafPoints,tsk_Sprint,CurrentSprint,tsk_DoneDate,"&lt;="&amp;SprintBurndown[[#This Row],[Day]]))</f>
        <v/>
      </c>
      <c r="E61" s="74" t="str">
        <f aca="false">IF(SprintBurndown[[#This Row],[Day]]="","",agl_CurCommitted*MAX(0,1-NETWORKDAYS.INTL(CurrentSprintStart,SprintBurndown[[#This Row],[Day]],WorkWeek,Holidays)/MAX(1,NETWORKDAYS.INTL(CurrentSprintStart,CurrentSprintEnd,WorkWeek,Holidays))))</f>
        <v/>
      </c>
      <c r="F61" s="75" t="str">
        <f aca="false">IF(SprintBurndown[[#This Row],[Day]]="","",TEXT(SprintBurndown[[#This Row],[Day]],"dd-mmm"))</f>
        <v/>
      </c>
      <c r="G61" s="75" t="e">
        <f aca="false">IF(SprintBurndown[[#This Row],[Remaining]]="",NA(),SprintBurndown[[#This Row],[Remaining]])</f>
        <v>#N/A</v>
      </c>
      <c r="H61" s="75"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74" t="str">
        <f aca="false">IF(OR(SprintBurndown[[#This Row],[Day]]="",SprintBurndown[[#This Row],[Day]]&gt;StatusDate),"",agl_CurCommitted-SUMIFS(tsk_LeafPoints,tsk_Sprint,CurrentSprint,tsk_DoneDate,"&lt;="&amp;SprintBurndown[[#This Row],[Day]]))</f>
        <v/>
      </c>
      <c r="E62" s="74" t="str">
        <f aca="false">IF(SprintBurndown[[#This Row],[Day]]="","",agl_CurCommitted*MAX(0,1-NETWORKDAYS.INTL(CurrentSprintStart,SprintBurndown[[#This Row],[Day]],WorkWeek,Holidays)/MAX(1,NETWORKDAYS.INTL(CurrentSprintStart,CurrentSprintEnd,WorkWeek,Holidays))))</f>
        <v/>
      </c>
      <c r="F62" s="75" t="str">
        <f aca="false">IF(SprintBurndown[[#This Row],[Day]]="","",TEXT(SprintBurndown[[#This Row],[Day]],"dd-mmm"))</f>
        <v/>
      </c>
      <c r="G62" s="75" t="e">
        <f aca="false">IF(SprintBurndown[[#This Row],[Remaining]]="",NA(),SprintBurndown[[#This Row],[Remaining]])</f>
        <v>#N/A</v>
      </c>
      <c r="H62" s="75"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74" t="str">
        <f aca="false">IF(OR(SprintBurndown[[#This Row],[Day]]="",SprintBurndown[[#This Row],[Day]]&gt;StatusDate),"",agl_CurCommitted-SUMIFS(tsk_LeafPoints,tsk_Sprint,CurrentSprint,tsk_DoneDate,"&lt;="&amp;SprintBurndown[[#This Row],[Day]]))</f>
        <v/>
      </c>
      <c r="E63" s="74" t="str">
        <f aca="false">IF(SprintBurndown[[#This Row],[Day]]="","",agl_CurCommitted*MAX(0,1-NETWORKDAYS.INTL(CurrentSprintStart,SprintBurndown[[#This Row],[Day]],WorkWeek,Holidays)/MAX(1,NETWORKDAYS.INTL(CurrentSprintStart,CurrentSprintEnd,WorkWeek,Holidays))))</f>
        <v/>
      </c>
      <c r="F63" s="75" t="str">
        <f aca="false">IF(SprintBurndown[[#This Row],[Day]]="","",TEXT(SprintBurndown[[#This Row],[Day]],"dd-mmm"))</f>
        <v/>
      </c>
      <c r="G63" s="75" t="e">
        <f aca="false">IF(SprintBurndown[[#This Row],[Remaining]]="",NA(),SprintBurndown[[#This Row],[Remaining]])</f>
        <v>#N/A</v>
      </c>
      <c r="H63" s="75"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74" t="str">
        <f aca="false">IF(OR(SprintBurndown[[#This Row],[Day]]="",SprintBurndown[[#This Row],[Day]]&gt;StatusDate),"",agl_CurCommitted-SUMIFS(tsk_LeafPoints,tsk_Sprint,CurrentSprint,tsk_DoneDate,"&lt;="&amp;SprintBurndown[[#This Row],[Day]]))</f>
        <v/>
      </c>
      <c r="E64" s="74" t="str">
        <f aca="false">IF(SprintBurndown[[#This Row],[Day]]="","",agl_CurCommitted*MAX(0,1-NETWORKDAYS.INTL(CurrentSprintStart,SprintBurndown[[#This Row],[Day]],WorkWeek,Holidays)/MAX(1,NETWORKDAYS.INTL(CurrentSprintStart,CurrentSprintEnd,WorkWeek,Holidays))))</f>
        <v/>
      </c>
      <c r="F64" s="75" t="str">
        <f aca="false">IF(SprintBurndown[[#This Row],[Day]]="","",TEXT(SprintBurndown[[#This Row],[Day]],"dd-mmm"))</f>
        <v/>
      </c>
      <c r="G64" s="75" t="e">
        <f aca="false">IF(SprintBurndown[[#This Row],[Remaining]]="",NA(),SprintBurndown[[#This Row],[Remaining]])</f>
        <v>#N/A</v>
      </c>
      <c r="H64" s="75"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74" t="str">
        <f aca="false">IF(OR(SprintBurndown[[#This Row],[Day]]="",SprintBurndown[[#This Row],[Day]]&gt;StatusDate),"",agl_CurCommitted-SUMIFS(tsk_LeafPoints,tsk_Sprint,CurrentSprint,tsk_DoneDate,"&lt;="&amp;SprintBurndown[[#This Row],[Day]]))</f>
        <v/>
      </c>
      <c r="E65" s="74" t="str">
        <f aca="false">IF(SprintBurndown[[#This Row],[Day]]="","",agl_CurCommitted*MAX(0,1-NETWORKDAYS.INTL(CurrentSprintStart,SprintBurndown[[#This Row],[Day]],WorkWeek,Holidays)/MAX(1,NETWORKDAYS.INTL(CurrentSprintStart,CurrentSprintEnd,WorkWeek,Holidays))))</f>
        <v/>
      </c>
      <c r="F65" s="75" t="str">
        <f aca="false">IF(SprintBurndown[[#This Row],[Day]]="","",TEXT(SprintBurndown[[#This Row],[Day]],"dd-mmm"))</f>
        <v/>
      </c>
      <c r="G65" s="75" t="e">
        <f aca="false">IF(SprintBurndown[[#This Row],[Remaining]]="",NA(),SprintBurndown[[#This Row],[Remaining]])</f>
        <v>#N/A</v>
      </c>
      <c r="H65" s="75"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74" t="str">
        <f aca="false">IF(OR(SprintBurndown[[#This Row],[Day]]="",SprintBurndown[[#This Row],[Day]]&gt;StatusDate),"",agl_CurCommitted-SUMIFS(tsk_LeafPoints,tsk_Sprint,CurrentSprint,tsk_DoneDate,"&lt;="&amp;SprintBurndown[[#This Row],[Day]]))</f>
        <v/>
      </c>
      <c r="E66" s="74" t="str">
        <f aca="false">IF(SprintBurndown[[#This Row],[Day]]="","",agl_CurCommitted*MAX(0,1-NETWORKDAYS.INTL(CurrentSprintStart,SprintBurndown[[#This Row],[Day]],WorkWeek,Holidays)/MAX(1,NETWORKDAYS.INTL(CurrentSprintStart,CurrentSprintEnd,WorkWeek,Holidays))))</f>
        <v/>
      </c>
      <c r="F66" s="75" t="str">
        <f aca="false">IF(SprintBurndown[[#This Row],[Day]]="","",TEXT(SprintBurndown[[#This Row],[Day]],"dd-mmm"))</f>
        <v/>
      </c>
      <c r="G66" s="75" t="e">
        <f aca="false">IF(SprintBurndown[[#This Row],[Remaining]]="",NA(),SprintBurndown[[#This Row],[Remaining]])</f>
        <v>#N/A</v>
      </c>
      <c r="H66" s="75"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74" t="str">
        <f aca="false">IF(OR(SprintBurndown[[#This Row],[Day]]="",SprintBurndown[[#This Row],[Day]]&gt;StatusDate),"",agl_CurCommitted-SUMIFS(tsk_LeafPoints,tsk_Sprint,CurrentSprint,tsk_DoneDate,"&lt;="&amp;SprintBurndown[[#This Row],[Day]]))</f>
        <v/>
      </c>
      <c r="E67" s="74" t="str">
        <f aca="false">IF(SprintBurndown[[#This Row],[Day]]="","",agl_CurCommitted*MAX(0,1-NETWORKDAYS.INTL(CurrentSprintStart,SprintBurndown[[#This Row],[Day]],WorkWeek,Holidays)/MAX(1,NETWORKDAYS.INTL(CurrentSprintStart,CurrentSprintEnd,WorkWeek,Holidays))))</f>
        <v/>
      </c>
      <c r="F67" s="75" t="str">
        <f aca="false">IF(SprintBurndown[[#This Row],[Day]]="","",TEXT(SprintBurndown[[#This Row],[Day]],"dd-mmm"))</f>
        <v/>
      </c>
      <c r="G67" s="75" t="e">
        <f aca="false">IF(SprintBurndown[[#This Row],[Remaining]]="",NA(),SprintBurndown[[#This Row],[Remaining]])</f>
        <v>#N/A</v>
      </c>
      <c r="H67" s="75"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74" t="str">
        <f aca="false">IF(OR(SprintBurndown[[#This Row],[Day]]="",SprintBurndown[[#This Row],[Day]]&gt;StatusDate),"",agl_CurCommitted-SUMIFS(tsk_LeafPoints,tsk_Sprint,CurrentSprint,tsk_DoneDate,"&lt;="&amp;SprintBurndown[[#This Row],[Day]]))</f>
        <v/>
      </c>
      <c r="E68" s="74" t="str">
        <f aca="false">IF(SprintBurndown[[#This Row],[Day]]="","",agl_CurCommitted*MAX(0,1-NETWORKDAYS.INTL(CurrentSprintStart,SprintBurndown[[#This Row],[Day]],WorkWeek,Holidays)/MAX(1,NETWORKDAYS.INTL(CurrentSprintStart,CurrentSprintEnd,WorkWeek,Holidays))))</f>
        <v/>
      </c>
      <c r="F68" s="75" t="str">
        <f aca="false">IF(SprintBurndown[[#This Row],[Day]]="","",TEXT(SprintBurndown[[#This Row],[Day]],"dd-mmm"))</f>
        <v/>
      </c>
      <c r="G68" s="75" t="e">
        <f aca="false">IF(SprintBurndown[[#This Row],[Remaining]]="",NA(),SprintBurndown[[#This Row],[Remaining]])</f>
        <v>#N/A</v>
      </c>
      <c r="H68" s="75"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74" t="str">
        <f aca="false">IF(OR(SprintBurndown[[#This Row],[Day]]="",SprintBurndown[[#This Row],[Day]]&gt;StatusDate),"",agl_CurCommitted-SUMIFS(tsk_LeafPoints,tsk_Sprint,CurrentSprint,tsk_DoneDate,"&lt;="&amp;SprintBurndown[[#This Row],[Day]]))</f>
        <v/>
      </c>
      <c r="E69" s="74" t="str">
        <f aca="false">IF(SprintBurndown[[#This Row],[Day]]="","",agl_CurCommitted*MAX(0,1-NETWORKDAYS.INTL(CurrentSprintStart,SprintBurndown[[#This Row],[Day]],WorkWeek,Holidays)/MAX(1,NETWORKDAYS.INTL(CurrentSprintStart,CurrentSprintEnd,WorkWeek,Holidays))))</f>
        <v/>
      </c>
      <c r="F69" s="75" t="str">
        <f aca="false">IF(SprintBurndown[[#This Row],[Day]]="","",TEXT(SprintBurndown[[#This Row],[Day]],"dd-mmm"))</f>
        <v/>
      </c>
      <c r="G69" s="75" t="e">
        <f aca="false">IF(SprintBurndown[[#This Row],[Remaining]]="",NA(),SprintBurndown[[#This Row],[Remaining]])</f>
        <v>#N/A</v>
      </c>
      <c r="H69" s="75"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74" t="str">
        <f aca="false">IF(OR(SprintBurndown[[#This Row],[Day]]="",SprintBurndown[[#This Row],[Day]]&gt;StatusDate),"",agl_CurCommitted-SUMIFS(tsk_LeafPoints,tsk_Sprint,CurrentSprint,tsk_DoneDate,"&lt;="&amp;SprintBurndown[[#This Row],[Day]]))</f>
        <v/>
      </c>
      <c r="E70" s="74" t="str">
        <f aca="false">IF(SprintBurndown[[#This Row],[Day]]="","",agl_CurCommitted*MAX(0,1-NETWORKDAYS.INTL(CurrentSprintStart,SprintBurndown[[#This Row],[Day]],WorkWeek,Holidays)/MAX(1,NETWORKDAYS.INTL(CurrentSprintStart,CurrentSprintEnd,WorkWeek,Holidays))))</f>
        <v/>
      </c>
      <c r="F70" s="75" t="str">
        <f aca="false">IF(SprintBurndown[[#This Row],[Day]]="","",TEXT(SprintBurndown[[#This Row],[Day]],"dd-mmm"))</f>
        <v/>
      </c>
      <c r="G70" s="75" t="e">
        <f aca="false">IF(SprintBurndown[[#This Row],[Remaining]]="",NA(),SprintBurndown[[#This Row],[Remaining]])</f>
        <v>#N/A</v>
      </c>
      <c r="H70" s="75"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74" t="str">
        <f aca="false">IF(OR(SprintBurndown[[#This Row],[Day]]="",SprintBurndown[[#This Row],[Day]]&gt;StatusDate),"",agl_CurCommitted-SUMIFS(tsk_LeafPoints,tsk_Sprint,CurrentSprint,tsk_DoneDate,"&lt;="&amp;SprintBurndown[[#This Row],[Day]]))</f>
        <v/>
      </c>
      <c r="E71" s="74" t="str">
        <f aca="false">IF(SprintBurndown[[#This Row],[Day]]="","",agl_CurCommitted*MAX(0,1-NETWORKDAYS.INTL(CurrentSprintStart,SprintBurndown[[#This Row],[Day]],WorkWeek,Holidays)/MAX(1,NETWORKDAYS.INTL(CurrentSprintStart,CurrentSprintEnd,WorkWeek,Holidays))))</f>
        <v/>
      </c>
      <c r="F71" s="75" t="str">
        <f aca="false">IF(SprintBurndown[[#This Row],[Day]]="","",TEXT(SprintBurndown[[#This Row],[Day]],"dd-mmm"))</f>
        <v/>
      </c>
      <c r="G71" s="75" t="e">
        <f aca="false">IF(SprintBurndown[[#This Row],[Remaining]]="",NA(),SprintBurndown[[#This Row],[Remaining]])</f>
        <v>#N/A</v>
      </c>
      <c r="H71" s="75"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74" t="str">
        <f aca="false">IF(OR(SprintBurndown[[#This Row],[Day]]="",SprintBurndown[[#This Row],[Day]]&gt;StatusDate),"",agl_CurCommitted-SUMIFS(tsk_LeafPoints,tsk_Sprint,CurrentSprint,tsk_DoneDate,"&lt;="&amp;SprintBurndown[[#This Row],[Day]]))</f>
        <v/>
      </c>
      <c r="E72" s="74" t="str">
        <f aca="false">IF(SprintBurndown[[#This Row],[Day]]="","",agl_CurCommitted*MAX(0,1-NETWORKDAYS.INTL(CurrentSprintStart,SprintBurndown[[#This Row],[Day]],WorkWeek,Holidays)/MAX(1,NETWORKDAYS.INTL(CurrentSprintStart,CurrentSprintEnd,WorkWeek,Holidays))))</f>
        <v/>
      </c>
      <c r="F72" s="75" t="str">
        <f aca="false">IF(SprintBurndown[[#This Row],[Day]]="","",TEXT(SprintBurndown[[#This Row],[Day]],"dd-mmm"))</f>
        <v/>
      </c>
      <c r="G72" s="75" t="e">
        <f aca="false">IF(SprintBurndown[[#This Row],[Remaining]]="",NA(),SprintBurndown[[#This Row],[Remaining]])</f>
        <v>#N/A</v>
      </c>
      <c r="H72" s="75"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74" t="str">
        <f aca="false">IF(OR(SprintBurndown[[#This Row],[Day]]="",SprintBurndown[[#This Row],[Day]]&gt;StatusDate),"",agl_CurCommitted-SUMIFS(tsk_LeafPoints,tsk_Sprint,CurrentSprint,tsk_DoneDate,"&lt;="&amp;SprintBurndown[[#This Row],[Day]]))</f>
        <v/>
      </c>
      <c r="E73" s="74" t="str">
        <f aca="false">IF(SprintBurndown[[#This Row],[Day]]="","",agl_CurCommitted*MAX(0,1-NETWORKDAYS.INTL(CurrentSprintStart,SprintBurndown[[#This Row],[Day]],WorkWeek,Holidays)/MAX(1,NETWORKDAYS.INTL(CurrentSprintStart,CurrentSprintEnd,WorkWeek,Holidays))))</f>
        <v/>
      </c>
      <c r="F73" s="75" t="str">
        <f aca="false">IF(SprintBurndown[[#This Row],[Day]]="","",TEXT(SprintBurndown[[#This Row],[Day]],"dd-mmm"))</f>
        <v/>
      </c>
      <c r="G73" s="75" t="e">
        <f aca="false">IF(SprintBurndown[[#This Row],[Remaining]]="",NA(),SprintBurndown[[#This Row],[Remaining]])</f>
        <v>#N/A</v>
      </c>
      <c r="H73" s="75"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74" t="str">
        <f aca="false">IF(OR(SprintBurndown[[#This Row],[Day]]="",SprintBurndown[[#This Row],[Day]]&gt;StatusDate),"",agl_CurCommitted-SUMIFS(tsk_LeafPoints,tsk_Sprint,CurrentSprint,tsk_DoneDate,"&lt;="&amp;SprintBurndown[[#This Row],[Day]]))</f>
        <v/>
      </c>
      <c r="E74" s="74" t="str">
        <f aca="false">IF(SprintBurndown[[#This Row],[Day]]="","",agl_CurCommitted*MAX(0,1-NETWORKDAYS.INTL(CurrentSprintStart,SprintBurndown[[#This Row],[Day]],WorkWeek,Holidays)/MAX(1,NETWORKDAYS.INTL(CurrentSprintStart,CurrentSprintEnd,WorkWeek,Holidays))))</f>
        <v/>
      </c>
      <c r="F74" s="75" t="str">
        <f aca="false">IF(SprintBurndown[[#This Row],[Day]]="","",TEXT(SprintBurndown[[#This Row],[Day]],"dd-mmm"))</f>
        <v/>
      </c>
      <c r="G74" s="75" t="e">
        <f aca="false">IF(SprintBurndown[[#This Row],[Remaining]]="",NA(),SprintBurndown[[#This Row],[Remaining]])</f>
        <v>#N/A</v>
      </c>
      <c r="H74" s="75" t="e">
        <f aca="false">IF(SprintBurndown[[#This Row],[Ideal]]="",NA(),SprintBurndown[[#This Row],[Ideal]])</f>
        <v>#N/A</v>
      </c>
    </row>
  </sheetData>
  <conditionalFormatting sqref="F44:H74">
    <cfRule type="expression" priority="2" aboveAverage="0" equalAverage="0" bottom="0" percent="0" rank="0" text="" dxfId="28">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270</v>
      </c>
    </row>
    <row r="2" customFormat="false" ht="15" hidden="false" customHeight="false" outlineLevel="0" collapsed="false">
      <c r="A2" s="8" t="s">
        <v>271</v>
      </c>
    </row>
    <row r="4" customFormat="false" ht="23.85" hidden="false" customHeight="false" outlineLevel="0" collapsed="false">
      <c r="B4" s="27" t="s">
        <v>272</v>
      </c>
      <c r="C4" s="27" t="s">
        <v>273</v>
      </c>
      <c r="D4" s="27" t="s">
        <v>274</v>
      </c>
      <c r="E4" s="27" t="s">
        <v>181</v>
      </c>
      <c r="F4" s="27" t="s">
        <v>275</v>
      </c>
      <c r="G4" s="27" t="s">
        <v>182</v>
      </c>
      <c r="H4" s="27" t="s">
        <v>95</v>
      </c>
      <c r="I4" s="27" t="s">
        <v>276</v>
      </c>
      <c r="J4" s="27" t="s">
        <v>277</v>
      </c>
      <c r="K4" s="9" t="s">
        <v>183</v>
      </c>
      <c r="L4" s="9" t="s">
        <v>184</v>
      </c>
      <c r="M4" s="9" t="s">
        <v>278</v>
      </c>
      <c r="N4" s="27" t="s">
        <v>279</v>
      </c>
      <c r="O4" s="9" t="s">
        <v>185</v>
      </c>
      <c r="P4" s="9" t="s">
        <v>280</v>
      </c>
      <c r="Q4" s="27" t="s">
        <v>180</v>
      </c>
      <c r="R4" s="27" t="s">
        <v>281</v>
      </c>
      <c r="S4" s="40" t="s">
        <v>282</v>
      </c>
      <c r="T4" s="40" t="s">
        <v>283</v>
      </c>
    </row>
    <row r="5" customFormat="false" ht="15" hidden="false" customHeight="false" outlineLevel="0" collapsed="false">
      <c r="B5" s="29" t="n">
        <v>1</v>
      </c>
      <c r="C5" s="30" t="s">
        <v>284</v>
      </c>
      <c r="D5" s="30" t="s">
        <v>285</v>
      </c>
      <c r="E5" s="30" t="s">
        <v>286</v>
      </c>
      <c r="F5" s="77" t="n">
        <v>46296</v>
      </c>
      <c r="G5" s="77" t="n">
        <v>46325</v>
      </c>
      <c r="H5" s="29" t="s">
        <v>287</v>
      </c>
      <c r="I5" s="29" t="n">
        <v>4</v>
      </c>
      <c r="J5" s="29" t="n">
        <v>4</v>
      </c>
      <c r="K5" s="43" t="n">
        <f aca="false">IF(RAIDLog[[#This Row],[Title]]="","",IF(RAIDLog[[#This Row],[Type]]="Issue",5,N(RAIDLog[[#This Row],[Probability]]))*N(RAIDLog[[#This Row],[Impact]]))</f>
        <v>16</v>
      </c>
      <c r="L5" s="28" t="str">
        <f aca="false">IF(RAIDLog[[#This Row],[Title]]="","",IF(RAIDLog[[#This Row],[Score]]&gt;=RAIDHighScore,"High",IF(RAIDLog[[#This Row],[Score]]&gt;=RAIDMediumScore,"Medium","Low")))</f>
        <v>High</v>
      </c>
      <c r="M5" s="28" t="str">
        <f aca="false">IF(OR(RAIDLog[[#This Row],[Title]]="",N(RAIDLog[[#This Row],[Due]])=0),"",IF(AND(RAIDLog[[#This Row],[Status]]&lt;&gt;"Closed",RAIDLog[[#This Row],[Due]]&lt;StatusDate),"Overdue",""))</f>
        <v/>
      </c>
      <c r="N5" s="29" t="n">
        <v>14</v>
      </c>
      <c r="O5" s="24" t="str">
        <f aca="false">IF(N(RAIDLog[[#This Row],[Task UID]])=0,"",IFERROR(INDEX(tsk_Name,MATCH(RAIDLog[[#This Row],[Task UID]],tsk_UID,0)),"UID "&amp;RAIDLog[[#This Row],[Task UID]]&amp;" not found"))</f>
        <v>Payment gateway integration</v>
      </c>
      <c r="P5" s="25" t="n">
        <f aca="false">IF(N(RAIDLog[[#This Row],[Task UID]])=0,"",IFERROR(INDEX(tsk_FcFinish,MATCH(RAIDLog[[#This Row],[Task UID]],tsk_UID,0)),""))</f>
        <v>46335</v>
      </c>
      <c r="Q5" s="30" t="s">
        <v>288</v>
      </c>
      <c r="R5" s="30" t="s">
        <v>289</v>
      </c>
      <c r="S5" s="41" t="str">
        <f aca="false">IF(RAIDLog[[#This Row],[Title]]="","",RAIDLog[[#This Row],[Type]]&amp;" "&amp;RAIDLog[[#This Row],[Ref]]&amp;": "&amp;RAIDLog[[#This Row],[Title]])</f>
        <v>Risk 1: Payment provider certification takes longer than planned</v>
      </c>
      <c r="T5" s="41" t="n">
        <f aca="false">IF(AND(NOT(RAIDLog[[#This Row],[Title]]=""),RAIDLog[[#This Row],[Status]]&lt;&gt;"Closed"),RAIDLog[[#This Row],[Score]]+1-(ROW()-ROW(RAIDLog[[#Headers],[Ref]]))/100000,"")</f>
        <v>16.99999</v>
      </c>
    </row>
    <row r="6" customFormat="false" ht="15" hidden="false" customHeight="false" outlineLevel="0" collapsed="false">
      <c r="B6" s="29" t="n">
        <v>2</v>
      </c>
      <c r="C6" s="30" t="s">
        <v>284</v>
      </c>
      <c r="D6" s="30" t="s">
        <v>290</v>
      </c>
      <c r="E6" s="30" t="s">
        <v>291</v>
      </c>
      <c r="F6" s="77" t="n">
        <v>46300</v>
      </c>
      <c r="G6" s="77" t="n">
        <v>46328</v>
      </c>
      <c r="H6" s="29" t="s">
        <v>287</v>
      </c>
      <c r="I6" s="29" t="n">
        <v>3</v>
      </c>
      <c r="J6" s="29" t="n">
        <v>3</v>
      </c>
      <c r="K6" s="43" t="n">
        <f aca="false">IF(RAIDLog[[#This Row],[Title]]="","",IF(RAIDLog[[#This Row],[Type]]="Issue",5,N(RAIDLog[[#This Row],[Probability]]))*N(RAIDLog[[#This Row],[Impact]]))</f>
        <v>9</v>
      </c>
      <c r="L6" s="28" t="str">
        <f aca="false">IF(RAIDLog[[#This Row],[Title]]="","",IF(RAIDLog[[#This Row],[Score]]&gt;=RAIDHighScore,"High",IF(RAIDLog[[#This Row],[Score]]&gt;=RAIDMediumScore,"Medium","Low")))</f>
        <v>Medium</v>
      </c>
      <c r="M6" s="28" t="str">
        <f aca="false">IF(OR(RAIDLog[[#This Row],[Title]]="",N(RAIDLog[[#This Row],[Due]])=0),"",IF(AND(RAIDLog[[#This Row],[Status]]&lt;&gt;"Closed",RAIDLog[[#This Row],[Due]]&lt;StatusDate),"Overdue",""))</f>
        <v/>
      </c>
      <c r="N6" s="29" t="n">
        <v>18</v>
      </c>
      <c r="O6" s="24" t="str">
        <f aca="false">IF(N(RAIDLog[[#This Row],[Task UID]])=0,"",IFERROR(INDEX(tsk_Name,MATCH(RAIDLog[[#This Row],[Task UID]],tsk_UID,0)),"UID "&amp;RAIDLog[[#This Row],[Task UID]]&amp;" not found"))</f>
        <v>Accessibility review</v>
      </c>
      <c r="P6" s="25" t="n">
        <f aca="false">IF(N(RAIDLog[[#This Row],[Task UID]])=0,"",IFERROR(INDEX(tsk_FcFinish,MATCH(RAIDLog[[#This Row],[Task UID]],tsk_UID,0)),""))</f>
        <v>46332</v>
      </c>
      <c r="Q6" s="30" t="s">
        <v>292</v>
      </c>
      <c r="R6" s="30"/>
      <c r="S6" s="41" t="str">
        <f aca="false">IF(RAIDLog[[#This Row],[Title]]="","",RAIDLog[[#This Row],[Type]]&amp;" "&amp;RAIDLog[[#This Row],[Ref]]&amp;": "&amp;RAIDLog[[#This Row],[Title]])</f>
        <v>Risk 2: UX designer on leave for two weeks in November</v>
      </c>
      <c r="T6" s="41" t="n">
        <f aca="false">IF(AND(NOT(RAIDLog[[#This Row],[Title]]=""),RAIDLog[[#This Row],[Status]]&lt;&gt;"Closed"),RAIDLog[[#This Row],[Score]]+1-(ROW()-ROW(RAIDLog[[#Headers],[Ref]]))/100000,"")</f>
        <v>9.99998</v>
      </c>
    </row>
    <row r="7" customFormat="false" ht="15" hidden="false" customHeight="false" outlineLevel="0" collapsed="false">
      <c r="B7" s="29" t="n">
        <v>3</v>
      </c>
      <c r="C7" s="30" t="s">
        <v>293</v>
      </c>
      <c r="D7" s="30" t="s">
        <v>294</v>
      </c>
      <c r="E7" s="30" t="s">
        <v>295</v>
      </c>
      <c r="F7" s="77" t="n">
        <v>46315</v>
      </c>
      <c r="G7" s="77" t="n">
        <v>46318</v>
      </c>
      <c r="H7" s="29" t="s">
        <v>100</v>
      </c>
      <c r="I7" s="29"/>
      <c r="J7" s="29" t="n">
        <v>4</v>
      </c>
      <c r="K7" s="43" t="n">
        <f aca="false">IF(RAIDLog[[#This Row],[Title]]="","",IF(RAIDLog[[#This Row],[Type]]="Issue",5,N(RAIDLog[[#This Row],[Probability]]))*N(RAIDLog[[#This Row],[Impact]]))</f>
        <v>20</v>
      </c>
      <c r="L7" s="28" t="str">
        <f aca="false">IF(RAIDLog[[#This Row],[Title]]="","",IF(RAIDLog[[#This Row],[Score]]&gt;=RAIDHighScore,"High",IF(RAIDLog[[#This Row],[Score]]&gt;=RAIDMediumScore,"Medium","Low")))</f>
        <v>High</v>
      </c>
      <c r="M7" s="28" t="str">
        <f aca="false">IF(OR(RAIDLog[[#This Row],[Title]]="",N(RAIDLog[[#This Row],[Due]])=0),"",IF(AND(RAIDLog[[#This Row],[Status]]&lt;&gt;"Closed",RAIDLog[[#This Row],[Due]]&lt;StatusDate),"Overdue",""))</f>
        <v>Overdue</v>
      </c>
      <c r="N7" s="29" t="n">
        <v>13</v>
      </c>
      <c r="O7" s="24" t="str">
        <f aca="false">IF(N(RAIDLog[[#This Row],[Task UID]])=0,"",IFERROR(INDEX(tsk_Name,MATCH(RAIDLog[[#This Row],[Task UID]],tsk_UID,0)),"UID "&amp;RAIDLog[[#This Row],[Task UID]]&amp;" not found"))</f>
        <v>Core API endpoints</v>
      </c>
      <c r="P7" s="25" t="n">
        <f aca="false">IF(N(RAIDLog[[#This Row],[Task UID]])=0,"",IFERROR(INDEX(tsk_FcFinish,MATCH(RAIDLog[[#This Row],[Task UID]],tsk_UID,0)),""))</f>
        <v>46325</v>
      </c>
      <c r="Q7" s="30" t="s">
        <v>296</v>
      </c>
      <c r="R7" s="30" t="s">
        <v>297</v>
      </c>
      <c r="S7" s="41" t="str">
        <f aca="false">IF(RAIDLog[[#This Row],[Title]]="","",RAIDLog[[#This Row],[Type]]&amp;" "&amp;RAIDLog[[#This Row],[Ref]]&amp;": "&amp;RAIDLog[[#This Row],[Title]])</f>
        <v>Issue 3: Core API endpoints running 6 days behind plan</v>
      </c>
      <c r="T7" s="41" t="n">
        <f aca="false">IF(AND(NOT(RAIDLog[[#This Row],[Title]]=""),RAIDLog[[#This Row],[Status]]&lt;&gt;"Closed"),RAIDLog[[#This Row],[Score]]+1-(ROW()-ROW(RAIDLog[[#Headers],[Ref]]))/100000,"")</f>
        <v>20.99997</v>
      </c>
    </row>
    <row r="8" customFormat="false" ht="15" hidden="false" customHeight="false" outlineLevel="0" collapsed="false">
      <c r="B8" s="29" t="n">
        <v>4</v>
      </c>
      <c r="C8" s="30" t="s">
        <v>298</v>
      </c>
      <c r="D8" s="30" t="s">
        <v>299</v>
      </c>
      <c r="E8" s="30" t="s">
        <v>300</v>
      </c>
      <c r="F8" s="77" t="n">
        <v>46280</v>
      </c>
      <c r="G8" s="77" t="n">
        <v>46346</v>
      </c>
      <c r="H8" s="29" t="s">
        <v>287</v>
      </c>
      <c r="I8" s="29" t="n">
        <v>2</v>
      </c>
      <c r="J8" s="29" t="n">
        <v>4</v>
      </c>
      <c r="K8" s="43" t="n">
        <f aca="false">IF(RAIDLog[[#This Row],[Title]]="","",IF(RAIDLog[[#This Row],[Type]]="Issue",5,N(RAIDLog[[#This Row],[Probability]]))*N(RAIDLog[[#This Row],[Impact]]))</f>
        <v>8</v>
      </c>
      <c r="L8" s="28" t="str">
        <f aca="false">IF(RAIDLog[[#This Row],[Title]]="","",IF(RAIDLog[[#This Row],[Score]]&gt;=RAIDHighScore,"High",IF(RAIDLog[[#This Row],[Score]]&gt;=RAIDMediumScore,"Medium","Low")))</f>
        <v>Medium</v>
      </c>
      <c r="M8" s="28" t="str">
        <f aca="false">IF(OR(RAIDLog[[#This Row],[Title]]="",N(RAIDLog[[#This Row],[Due]])=0),"",IF(AND(RAIDLog[[#This Row],[Status]]&lt;&gt;"Closed",RAIDLog[[#This Row],[Due]]&lt;StatusDate),"Overdue",""))</f>
        <v/>
      </c>
      <c r="N8" s="29" t="n">
        <v>22</v>
      </c>
      <c r="O8" s="24" t="str">
        <f aca="false">IF(N(RAIDLog[[#This Row],[Task UID]])=0,"",IFERROR(INDEX(tsk_Name,MATCH(RAIDLog[[#This Row],[Task UID]],tsk_UID,0)),"UID "&amp;RAIDLog[[#This Row],[Task UID]]&amp;" not found"))</f>
        <v>User acceptance testing</v>
      </c>
      <c r="P8" s="25" t="n">
        <f aca="false">IF(N(RAIDLog[[#This Row],[Task UID]])=0,"",IFERROR(INDEX(tsk_FcFinish,MATCH(RAIDLog[[#This Row],[Task UID]],tsk_UID,0)),""))</f>
        <v>46370</v>
      </c>
      <c r="Q8" s="30" t="s">
        <v>301</v>
      </c>
      <c r="R8" s="30"/>
      <c r="S8" s="41" t="str">
        <f aca="false">IF(RAIDLog[[#This Row],[Title]]="","",RAIDLog[[#This Row],[Type]]&amp;" "&amp;RAIDLog[[#This Row],[Ref]]&amp;": "&amp;RAIDLog[[#This Row],[Title]])</f>
        <v>Assumption 4: Client UAT team available from 7 December</v>
      </c>
      <c r="T8" s="41" t="n">
        <f aca="false">IF(AND(NOT(RAIDLog[[#This Row],[Title]]=""),RAIDLog[[#This Row],[Status]]&lt;&gt;"Closed"),RAIDLog[[#This Row],[Score]]+1-(ROW()-ROW(RAIDLog[[#Headers],[Ref]]))/100000,"")</f>
        <v>8.99996</v>
      </c>
    </row>
    <row r="9" customFormat="false" ht="15" hidden="false" customHeight="false" outlineLevel="0" collapsed="false">
      <c r="B9" s="29" t="n">
        <v>5</v>
      </c>
      <c r="C9" s="30" t="s">
        <v>302</v>
      </c>
      <c r="D9" s="30" t="s">
        <v>303</v>
      </c>
      <c r="E9" s="30" t="s">
        <v>304</v>
      </c>
      <c r="F9" s="77" t="n">
        <v>46295</v>
      </c>
      <c r="G9" s="77" t="n">
        <v>46335</v>
      </c>
      <c r="H9" s="29" t="s">
        <v>287</v>
      </c>
      <c r="I9" s="29" t="n">
        <v>3</v>
      </c>
      <c r="J9" s="29" t="n">
        <v>5</v>
      </c>
      <c r="K9" s="43" t="n">
        <f aca="false">IF(RAIDLog[[#This Row],[Title]]="","",IF(RAIDLog[[#This Row],[Type]]="Issue",5,N(RAIDLog[[#This Row],[Probability]]))*N(RAIDLog[[#This Row],[Impact]]))</f>
        <v>15</v>
      </c>
      <c r="L9" s="28" t="str">
        <f aca="false">IF(RAIDLog[[#This Row],[Title]]="","",IF(RAIDLog[[#This Row],[Score]]&gt;=RAIDHighScore,"High",IF(RAIDLog[[#This Row],[Score]]&gt;=RAIDMediumScore,"Medium","Low")))</f>
        <v>High</v>
      </c>
      <c r="M9" s="28" t="str">
        <f aca="false">IF(OR(RAIDLog[[#This Row],[Title]]="",N(RAIDLog[[#This Row],[Due]])=0),"",IF(AND(RAIDLog[[#This Row],[Status]]&lt;&gt;"Closed",RAIDLog[[#This Row],[Due]]&lt;StatusDate),"Overdue",""))</f>
        <v/>
      </c>
      <c r="N9" s="29" t="n">
        <v>21</v>
      </c>
      <c r="O9" s="24" t="str">
        <f aca="false">IF(N(RAIDLog[[#This Row],[Task UID]])=0,"",IFERROR(INDEX(tsk_Name,MATCH(RAIDLog[[#This Row],[Task UID]],tsk_UID,0)),"UID "&amp;RAIDLog[[#This Row],[Task UID]]&amp;" not found"))</f>
        <v>System integration testing</v>
      </c>
      <c r="P9" s="25" t="n">
        <f aca="false">IF(N(RAIDLog[[#This Row],[Task UID]])=0,"",IFERROR(INDEX(tsk_FcFinish,MATCH(RAIDLog[[#This Row],[Task UID]],tsk_UID,0)),""))</f>
        <v>46345</v>
      </c>
      <c r="Q9" s="30" t="s">
        <v>305</v>
      </c>
      <c r="R9" s="30" t="s">
        <v>306</v>
      </c>
      <c r="S9" s="41" t="str">
        <f aca="false">IF(RAIDLog[[#This Row],[Title]]="","",RAIDLog[[#This Row],[Type]]&amp;" "&amp;RAIDLog[[#This Row],[Ref]]&amp;": "&amp;RAIDLog[[#This Row],[Title]])</f>
        <v>Dependency 5: Test environment delivered by IT operations by 9 November</v>
      </c>
      <c r="T9" s="41" t="n">
        <f aca="false">IF(AND(NOT(RAIDLog[[#This Row],[Title]]=""),RAIDLog[[#This Row],[Status]]&lt;&gt;"Closed"),RAIDLog[[#This Row],[Score]]+1-(ROW()-ROW(RAIDLog[[#Headers],[Ref]]))/100000,"")</f>
        <v>15.99995</v>
      </c>
    </row>
    <row r="10" customFormat="false" ht="15" hidden="false" customHeight="false" outlineLevel="0" collapsed="false">
      <c r="B10" s="29" t="n">
        <v>6</v>
      </c>
      <c r="C10" s="30" t="s">
        <v>284</v>
      </c>
      <c r="D10" s="30" t="s">
        <v>307</v>
      </c>
      <c r="E10" s="30" t="s">
        <v>295</v>
      </c>
      <c r="F10" s="77" t="n">
        <v>46275</v>
      </c>
      <c r="G10" s="77" t="n">
        <v>46304</v>
      </c>
      <c r="H10" s="29" t="s">
        <v>308</v>
      </c>
      <c r="I10" s="29" t="n">
        <v>2</v>
      </c>
      <c r="J10" s="29" t="n">
        <v>3</v>
      </c>
      <c r="K10" s="43" t="n">
        <f aca="false">IF(RAIDLog[[#This Row],[Title]]="","",IF(RAIDLog[[#This Row],[Type]]="Issue",5,N(RAIDLog[[#This Row],[Probability]]))*N(RAIDLog[[#This Row],[Impact]]))</f>
        <v>6</v>
      </c>
      <c r="L10" s="28" t="str">
        <f aca="false">IF(RAIDLog[[#This Row],[Title]]="","",IF(RAIDLog[[#This Row],[Score]]&gt;=RAIDHighScore,"High",IF(RAIDLog[[#This Row],[Score]]&gt;=RAIDMediumScore,"Medium","Low")))</f>
        <v>Low</v>
      </c>
      <c r="M10" s="28" t="str">
        <f aca="false">IF(OR(RAIDLog[[#This Row],[Title]]="",N(RAIDLog[[#This Row],[Due]])=0),"",IF(AND(RAIDLog[[#This Row],[Status]]&lt;&gt;"Closed",RAIDLog[[#This Row],[Due]]&lt;StatusDate),"Overdue",""))</f>
        <v/>
      </c>
      <c r="N10" s="29" t="n">
        <v>17</v>
      </c>
      <c r="O10" s="24" t="str">
        <f aca="false">IF(N(RAIDLog[[#This Row],[Task UID]])=0,"",IFERROR(INDEX(tsk_Name,MATCH(RAIDLog[[#This Row],[Task UID]],tsk_UID,0)),"UID "&amp;RAIDLog[[#This Row],[Task UID]]&amp;" not found"))</f>
        <v>Feature screens</v>
      </c>
      <c r="P10" s="25" t="n">
        <f aca="false">IF(N(RAIDLog[[#This Row],[Task UID]])=0,"",IFERROR(INDEX(tsk_FcFinish,MATCH(RAIDLog[[#This Row],[Task UID]],tsk_UID,0)),""))</f>
        <v>46331</v>
      </c>
      <c r="Q10" s="30" t="s">
        <v>309</v>
      </c>
      <c r="R10" s="30" t="s">
        <v>310</v>
      </c>
      <c r="S10" s="41" t="str">
        <f aca="false">IF(RAIDLog[[#This Row],[Title]]="","",RAIDLog[[#This Row],[Type]]&amp;" "&amp;RAIDLog[[#This Row],[Ref]]&amp;": "&amp;RAIDLog[[#This Row],[Title]])</f>
        <v>Risk 6: Scope creep on the reporting screens</v>
      </c>
      <c r="T10" s="41" t="str">
        <f aca="false">IF(AND(NOT(RAIDLog[[#This Row],[Title]]=""),RAIDLog[[#This Row],[Status]]&lt;&gt;"Closed"),RAIDLog[[#This Row],[Score]]+1-(ROW()-ROW(RAIDLog[[#Headers],[Ref]]))/100000,"")</f>
        <v/>
      </c>
    </row>
    <row r="11" customFormat="false" ht="15" hidden="false" customHeight="false" outlineLevel="0" collapsed="false">
      <c r="B11" s="29" t="n">
        <v>7</v>
      </c>
      <c r="C11" s="30"/>
      <c r="D11" s="30"/>
      <c r="E11" s="30"/>
      <c r="F11" s="77"/>
      <c r="G11" s="77"/>
      <c r="H11" s="29"/>
      <c r="I11" s="29"/>
      <c r="J11" s="29"/>
      <c r="K11" s="43" t="str">
        <f aca="false">IF(RAIDLog[[#This Row],[Title]]="","",IF(RAIDLog[[#This Row],[Type]]="Issue",5,N(RAIDLog[[#This Row],[Probability]]))*N(RAIDLog[[#This Row],[Impact]]))</f>
        <v/>
      </c>
      <c r="L11" s="28" t="str">
        <f aca="false">IF(RAIDLog[[#This Row],[Title]]="","",IF(RAIDLog[[#This Row],[Score]]&gt;=RAIDHighScore,"High",IF(RAIDLog[[#This Row],[Score]]&gt;=RAIDMediumScore,"Medium","Low")))</f>
        <v/>
      </c>
      <c r="M11" s="28" t="str">
        <f aca="false">IF(OR(RAIDLog[[#This Row],[Title]]="",N(RAIDLog[[#This Row],[Due]])=0),"",IF(AND(RAIDLog[[#This Row],[Status]]&lt;&gt;"Closed",RAIDLog[[#This Row],[Due]]&lt;StatusDate),"Overdue",""))</f>
        <v/>
      </c>
      <c r="N11" s="29"/>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30"/>
      <c r="R11" s="30"/>
      <c r="S11" s="41" t="str">
        <f aca="false">IF(RAIDLog[[#This Row],[Title]]="","",RAIDLog[[#This Row],[Type]]&amp;" "&amp;RAIDLog[[#This Row],[Ref]]&amp;": "&amp;RAIDLog[[#This Row],[Title]])</f>
        <v/>
      </c>
      <c r="T11" s="41" t="str">
        <f aca="false">IF(AND(NOT(RAIDLog[[#This Row],[Title]]=""),RAIDLog[[#This Row],[Status]]&lt;&gt;"Closed"),RAIDLog[[#This Row],[Score]]+1-(ROW()-ROW(RAIDLog[[#Headers],[Ref]]))/100000,"")</f>
        <v/>
      </c>
    </row>
    <row r="12" customFormat="false" ht="15" hidden="false" customHeight="false" outlineLevel="0" collapsed="false">
      <c r="B12" s="29" t="n">
        <v>8</v>
      </c>
      <c r="C12" s="30"/>
      <c r="D12" s="30"/>
      <c r="E12" s="30"/>
      <c r="F12" s="77"/>
      <c r="G12" s="77"/>
      <c r="H12" s="29"/>
      <c r="I12" s="29"/>
      <c r="J12" s="29"/>
      <c r="K12" s="43" t="str">
        <f aca="false">IF(RAIDLog[[#This Row],[Title]]="","",IF(RAIDLog[[#This Row],[Type]]="Issue",5,N(RAIDLog[[#This Row],[Probability]]))*N(RAIDLog[[#This Row],[Impact]]))</f>
        <v/>
      </c>
      <c r="L12" s="28" t="str">
        <f aca="false">IF(RAIDLog[[#This Row],[Title]]="","",IF(RAIDLog[[#This Row],[Score]]&gt;=RAIDHighScore,"High",IF(RAIDLog[[#This Row],[Score]]&gt;=RAIDMediumScore,"Medium","Low")))</f>
        <v/>
      </c>
      <c r="M12" s="28" t="str">
        <f aca="false">IF(OR(RAIDLog[[#This Row],[Title]]="",N(RAIDLog[[#This Row],[Due]])=0),"",IF(AND(RAIDLog[[#This Row],[Status]]&lt;&gt;"Closed",RAIDLog[[#This Row],[Due]]&lt;StatusDate),"Overdue",""))</f>
        <v/>
      </c>
      <c r="N12" s="29"/>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30"/>
      <c r="R12" s="30"/>
      <c r="S12" s="41" t="str">
        <f aca="false">IF(RAIDLog[[#This Row],[Title]]="","",RAIDLog[[#This Row],[Type]]&amp;" "&amp;RAIDLog[[#This Row],[Ref]]&amp;": "&amp;RAIDLog[[#This Row],[Title]])</f>
        <v/>
      </c>
      <c r="T12" s="41" t="str">
        <f aca="false">IF(AND(NOT(RAIDLog[[#This Row],[Title]]=""),RAIDLog[[#This Row],[Status]]&lt;&gt;"Closed"),RAIDLog[[#This Row],[Score]]+1-(ROW()-ROW(RAIDLog[[#Headers],[Ref]]))/100000,"")</f>
        <v/>
      </c>
    </row>
    <row r="13" customFormat="false" ht="15" hidden="false" customHeight="false" outlineLevel="0" collapsed="false">
      <c r="B13" s="29" t="n">
        <v>9</v>
      </c>
      <c r="C13" s="30"/>
      <c r="D13" s="30"/>
      <c r="E13" s="30"/>
      <c r="F13" s="77"/>
      <c r="G13" s="77"/>
      <c r="H13" s="29"/>
      <c r="I13" s="29"/>
      <c r="J13" s="29"/>
      <c r="K13" s="43" t="str">
        <f aca="false">IF(RAIDLog[[#This Row],[Title]]="","",IF(RAIDLog[[#This Row],[Type]]="Issue",5,N(RAIDLog[[#This Row],[Probability]]))*N(RAIDLog[[#This Row],[Impact]]))</f>
        <v/>
      </c>
      <c r="L13" s="28" t="str">
        <f aca="false">IF(RAIDLog[[#This Row],[Title]]="","",IF(RAIDLog[[#This Row],[Score]]&gt;=RAIDHighScore,"High",IF(RAIDLog[[#This Row],[Score]]&gt;=RAIDMediumScore,"Medium","Low")))</f>
        <v/>
      </c>
      <c r="M13" s="28" t="str">
        <f aca="false">IF(OR(RAIDLog[[#This Row],[Title]]="",N(RAIDLog[[#This Row],[Due]])=0),"",IF(AND(RAIDLog[[#This Row],[Status]]&lt;&gt;"Closed",RAIDLog[[#This Row],[Due]]&lt;StatusDate),"Overdue",""))</f>
        <v/>
      </c>
      <c r="N13" s="29"/>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30"/>
      <c r="R13" s="30"/>
      <c r="S13" s="41" t="str">
        <f aca="false">IF(RAIDLog[[#This Row],[Title]]="","",RAIDLog[[#This Row],[Type]]&amp;" "&amp;RAIDLog[[#This Row],[Ref]]&amp;": "&amp;RAIDLog[[#This Row],[Title]])</f>
        <v/>
      </c>
      <c r="T13" s="41" t="str">
        <f aca="false">IF(AND(NOT(RAIDLog[[#This Row],[Title]]=""),RAIDLog[[#This Row],[Status]]&lt;&gt;"Closed"),RAIDLog[[#This Row],[Score]]+1-(ROW()-ROW(RAIDLog[[#Headers],[Ref]]))/100000,"")</f>
        <v/>
      </c>
    </row>
    <row r="14" customFormat="false" ht="15" hidden="false" customHeight="false" outlineLevel="0" collapsed="false">
      <c r="B14" s="29" t="n">
        <v>10</v>
      </c>
      <c r="C14" s="30"/>
      <c r="D14" s="30"/>
      <c r="E14" s="30"/>
      <c r="F14" s="77"/>
      <c r="G14" s="77"/>
      <c r="H14" s="29"/>
      <c r="I14" s="29"/>
      <c r="J14" s="29"/>
      <c r="K14" s="43" t="str">
        <f aca="false">IF(RAIDLog[[#This Row],[Title]]="","",IF(RAIDLog[[#This Row],[Type]]="Issue",5,N(RAIDLog[[#This Row],[Probability]]))*N(RAIDLog[[#This Row],[Impact]]))</f>
        <v/>
      </c>
      <c r="L14" s="28" t="str">
        <f aca="false">IF(RAIDLog[[#This Row],[Title]]="","",IF(RAIDLog[[#This Row],[Score]]&gt;=RAIDHighScore,"High",IF(RAIDLog[[#This Row],[Score]]&gt;=RAIDMediumScore,"Medium","Low")))</f>
        <v/>
      </c>
      <c r="M14" s="28" t="str">
        <f aca="false">IF(OR(RAIDLog[[#This Row],[Title]]="",N(RAIDLog[[#This Row],[Due]])=0),"",IF(AND(RAIDLog[[#This Row],[Status]]&lt;&gt;"Closed",RAIDLog[[#This Row],[Due]]&lt;StatusDate),"Overdue",""))</f>
        <v/>
      </c>
      <c r="N14" s="29"/>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30"/>
      <c r="R14" s="30"/>
      <c r="S14" s="41" t="str">
        <f aca="false">IF(RAIDLog[[#This Row],[Title]]="","",RAIDLog[[#This Row],[Type]]&amp;" "&amp;RAIDLog[[#This Row],[Ref]]&amp;": "&amp;RAIDLog[[#This Row],[Title]])</f>
        <v/>
      </c>
      <c r="T14" s="41" t="str">
        <f aca="false">IF(AND(NOT(RAIDLog[[#This Row],[Title]]=""),RAIDLog[[#This Row],[Status]]&lt;&gt;"Closed"),RAIDLog[[#This Row],[Score]]+1-(ROW()-ROW(RAIDLog[[#Headers],[Ref]]))/100000,"")</f>
        <v/>
      </c>
    </row>
    <row r="15" customFormat="false" ht="15" hidden="false" customHeight="false" outlineLevel="0" collapsed="false">
      <c r="B15" s="29" t="n">
        <v>11</v>
      </c>
      <c r="C15" s="30"/>
      <c r="D15" s="30"/>
      <c r="E15" s="30"/>
      <c r="F15" s="77"/>
      <c r="G15" s="77"/>
      <c r="H15" s="29"/>
      <c r="I15" s="29"/>
      <c r="J15" s="29"/>
      <c r="K15" s="43" t="str">
        <f aca="false">IF(RAIDLog[[#This Row],[Title]]="","",IF(RAIDLog[[#This Row],[Type]]="Issue",5,N(RAIDLog[[#This Row],[Probability]]))*N(RAIDLog[[#This Row],[Impact]]))</f>
        <v/>
      </c>
      <c r="L15" s="28" t="str">
        <f aca="false">IF(RAIDLog[[#This Row],[Title]]="","",IF(RAIDLog[[#This Row],[Score]]&gt;=RAIDHighScore,"High",IF(RAIDLog[[#This Row],[Score]]&gt;=RAIDMediumScore,"Medium","Low")))</f>
        <v/>
      </c>
      <c r="M15" s="28" t="str">
        <f aca="false">IF(OR(RAIDLog[[#This Row],[Title]]="",N(RAIDLog[[#This Row],[Due]])=0),"",IF(AND(RAIDLog[[#This Row],[Status]]&lt;&gt;"Closed",RAIDLog[[#This Row],[Due]]&lt;StatusDate),"Overdue",""))</f>
        <v/>
      </c>
      <c r="N15" s="29"/>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30"/>
      <c r="R15" s="30"/>
      <c r="S15" s="41" t="str">
        <f aca="false">IF(RAIDLog[[#This Row],[Title]]="","",RAIDLog[[#This Row],[Type]]&amp;" "&amp;RAIDLog[[#This Row],[Ref]]&amp;": "&amp;RAIDLog[[#This Row],[Title]])</f>
        <v/>
      </c>
      <c r="T15" s="41" t="str">
        <f aca="false">IF(AND(NOT(RAIDLog[[#This Row],[Title]]=""),RAIDLog[[#This Row],[Status]]&lt;&gt;"Closed"),RAIDLog[[#This Row],[Score]]+1-(ROW()-ROW(RAIDLog[[#Headers],[Ref]]))/100000,"")</f>
        <v/>
      </c>
    </row>
    <row r="16" customFormat="false" ht="15" hidden="false" customHeight="false" outlineLevel="0" collapsed="false">
      <c r="B16" s="29" t="n">
        <v>12</v>
      </c>
      <c r="C16" s="30"/>
      <c r="D16" s="30"/>
      <c r="E16" s="30"/>
      <c r="F16" s="77"/>
      <c r="G16" s="77"/>
      <c r="H16" s="29"/>
      <c r="I16" s="29"/>
      <c r="J16" s="29"/>
      <c r="K16" s="43" t="str">
        <f aca="false">IF(RAIDLog[[#This Row],[Title]]="","",IF(RAIDLog[[#This Row],[Type]]="Issue",5,N(RAIDLog[[#This Row],[Probability]]))*N(RAIDLog[[#This Row],[Impact]]))</f>
        <v/>
      </c>
      <c r="L16" s="28" t="str">
        <f aca="false">IF(RAIDLog[[#This Row],[Title]]="","",IF(RAIDLog[[#This Row],[Score]]&gt;=RAIDHighScore,"High",IF(RAIDLog[[#This Row],[Score]]&gt;=RAIDMediumScore,"Medium","Low")))</f>
        <v/>
      </c>
      <c r="M16" s="28" t="str">
        <f aca="false">IF(OR(RAIDLog[[#This Row],[Title]]="",N(RAIDLog[[#This Row],[Due]])=0),"",IF(AND(RAIDLog[[#This Row],[Status]]&lt;&gt;"Closed",RAIDLog[[#This Row],[Due]]&lt;StatusDate),"Overdue",""))</f>
        <v/>
      </c>
      <c r="N16" s="29"/>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30"/>
      <c r="R16" s="30"/>
      <c r="S16" s="41" t="str">
        <f aca="false">IF(RAIDLog[[#This Row],[Title]]="","",RAIDLog[[#This Row],[Type]]&amp;" "&amp;RAIDLog[[#This Row],[Ref]]&amp;": "&amp;RAIDLog[[#This Row],[Title]])</f>
        <v/>
      </c>
      <c r="T16" s="41" t="str">
        <f aca="false">IF(AND(NOT(RAIDLog[[#This Row],[Title]]=""),RAIDLog[[#This Row],[Status]]&lt;&gt;"Closed"),RAIDLog[[#This Row],[Score]]+1-(ROW()-ROW(RAIDLog[[#Headers],[Ref]]))/100000,"")</f>
        <v/>
      </c>
    </row>
    <row r="17" customFormat="false" ht="15" hidden="false" customHeight="false" outlineLevel="0" collapsed="false">
      <c r="B17" s="29" t="n">
        <v>13</v>
      </c>
      <c r="C17" s="30"/>
      <c r="D17" s="30"/>
      <c r="E17" s="30"/>
      <c r="F17" s="77"/>
      <c r="G17" s="77"/>
      <c r="H17" s="29"/>
      <c r="I17" s="29"/>
      <c r="J17" s="29"/>
      <c r="K17" s="43" t="str">
        <f aca="false">IF(RAIDLog[[#This Row],[Title]]="","",IF(RAIDLog[[#This Row],[Type]]="Issue",5,N(RAIDLog[[#This Row],[Probability]]))*N(RAIDLog[[#This Row],[Impact]]))</f>
        <v/>
      </c>
      <c r="L17" s="28" t="str">
        <f aca="false">IF(RAIDLog[[#This Row],[Title]]="","",IF(RAIDLog[[#This Row],[Score]]&gt;=RAIDHighScore,"High",IF(RAIDLog[[#This Row],[Score]]&gt;=RAIDMediumScore,"Medium","Low")))</f>
        <v/>
      </c>
      <c r="M17" s="28" t="str">
        <f aca="false">IF(OR(RAIDLog[[#This Row],[Title]]="",N(RAIDLog[[#This Row],[Due]])=0),"",IF(AND(RAIDLog[[#This Row],[Status]]&lt;&gt;"Closed",RAIDLog[[#This Row],[Due]]&lt;StatusDate),"Overdue",""))</f>
        <v/>
      </c>
      <c r="N17" s="29"/>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30"/>
      <c r="R17" s="30"/>
      <c r="S17" s="41" t="str">
        <f aca="false">IF(RAIDLog[[#This Row],[Title]]="","",RAIDLog[[#This Row],[Type]]&amp;" "&amp;RAIDLog[[#This Row],[Ref]]&amp;": "&amp;RAIDLog[[#This Row],[Title]])</f>
        <v/>
      </c>
      <c r="T17" s="41" t="str">
        <f aca="false">IF(AND(NOT(RAIDLog[[#This Row],[Title]]=""),RAIDLog[[#This Row],[Status]]&lt;&gt;"Closed"),RAIDLog[[#This Row],[Score]]+1-(ROW()-ROW(RAIDLog[[#Headers],[Ref]]))/100000,"")</f>
        <v/>
      </c>
    </row>
    <row r="18" customFormat="false" ht="15" hidden="false" customHeight="false" outlineLevel="0" collapsed="false">
      <c r="B18" s="29" t="n">
        <v>14</v>
      </c>
      <c r="C18" s="30"/>
      <c r="D18" s="30"/>
      <c r="E18" s="30"/>
      <c r="F18" s="77"/>
      <c r="G18" s="77"/>
      <c r="H18" s="29"/>
      <c r="I18" s="29"/>
      <c r="J18" s="29"/>
      <c r="K18" s="43" t="str">
        <f aca="false">IF(RAIDLog[[#This Row],[Title]]="","",IF(RAIDLog[[#This Row],[Type]]="Issue",5,N(RAIDLog[[#This Row],[Probability]]))*N(RAIDLog[[#This Row],[Impact]]))</f>
        <v/>
      </c>
      <c r="L18" s="28" t="str">
        <f aca="false">IF(RAIDLog[[#This Row],[Title]]="","",IF(RAIDLog[[#This Row],[Score]]&gt;=RAIDHighScore,"High",IF(RAIDLog[[#This Row],[Score]]&gt;=RAIDMediumScore,"Medium","Low")))</f>
        <v/>
      </c>
      <c r="M18" s="28" t="str">
        <f aca="false">IF(OR(RAIDLog[[#This Row],[Title]]="",N(RAIDLog[[#This Row],[Due]])=0),"",IF(AND(RAIDLog[[#This Row],[Status]]&lt;&gt;"Closed",RAIDLog[[#This Row],[Due]]&lt;StatusDate),"Overdue",""))</f>
        <v/>
      </c>
      <c r="N18" s="29"/>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30"/>
      <c r="R18" s="30"/>
      <c r="S18" s="41" t="str">
        <f aca="false">IF(RAIDLog[[#This Row],[Title]]="","",RAIDLog[[#This Row],[Type]]&amp;" "&amp;RAIDLog[[#This Row],[Ref]]&amp;": "&amp;RAIDLog[[#This Row],[Title]])</f>
        <v/>
      </c>
      <c r="T18" s="41" t="str">
        <f aca="false">IF(AND(NOT(RAIDLog[[#This Row],[Title]]=""),RAIDLog[[#This Row],[Status]]&lt;&gt;"Closed"),RAIDLog[[#This Row],[Score]]+1-(ROW()-ROW(RAIDLog[[#Headers],[Ref]]))/100000,"")</f>
        <v/>
      </c>
    </row>
    <row r="19" customFormat="false" ht="15" hidden="false" customHeight="false" outlineLevel="0" collapsed="false">
      <c r="B19" s="29" t="n">
        <v>15</v>
      </c>
      <c r="C19" s="30"/>
      <c r="D19" s="30"/>
      <c r="E19" s="30"/>
      <c r="F19" s="77"/>
      <c r="G19" s="77"/>
      <c r="H19" s="29"/>
      <c r="I19" s="29"/>
      <c r="J19" s="29"/>
      <c r="K19" s="43" t="str">
        <f aca="false">IF(RAIDLog[[#This Row],[Title]]="","",IF(RAIDLog[[#This Row],[Type]]="Issue",5,N(RAIDLog[[#This Row],[Probability]]))*N(RAIDLog[[#This Row],[Impact]]))</f>
        <v/>
      </c>
      <c r="L19" s="28" t="str">
        <f aca="false">IF(RAIDLog[[#This Row],[Title]]="","",IF(RAIDLog[[#This Row],[Score]]&gt;=RAIDHighScore,"High",IF(RAIDLog[[#This Row],[Score]]&gt;=RAIDMediumScore,"Medium","Low")))</f>
        <v/>
      </c>
      <c r="M19" s="28" t="str">
        <f aca="false">IF(OR(RAIDLog[[#This Row],[Title]]="",N(RAIDLog[[#This Row],[Due]])=0),"",IF(AND(RAIDLog[[#This Row],[Status]]&lt;&gt;"Closed",RAIDLog[[#This Row],[Due]]&lt;StatusDate),"Overdue",""))</f>
        <v/>
      </c>
      <c r="N19" s="29"/>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30"/>
      <c r="R19" s="30"/>
      <c r="S19" s="41" t="str">
        <f aca="false">IF(RAIDLog[[#This Row],[Title]]="","",RAIDLog[[#This Row],[Type]]&amp;" "&amp;RAIDLog[[#This Row],[Ref]]&amp;": "&amp;RAIDLog[[#This Row],[Title]])</f>
        <v/>
      </c>
      <c r="T19" s="41" t="str">
        <f aca="false">IF(AND(NOT(RAIDLog[[#This Row],[Title]]=""),RAIDLog[[#This Row],[Status]]&lt;&gt;"Closed"),RAIDLog[[#This Row],[Score]]+1-(ROW()-ROW(RAIDLog[[#Headers],[Ref]]))/100000,"")</f>
        <v/>
      </c>
    </row>
    <row r="20" customFormat="false" ht="15" hidden="false" customHeight="false" outlineLevel="0" collapsed="false">
      <c r="B20" s="29" t="n">
        <v>16</v>
      </c>
      <c r="C20" s="30"/>
      <c r="D20" s="30"/>
      <c r="E20" s="30"/>
      <c r="F20" s="77"/>
      <c r="G20" s="77"/>
      <c r="H20" s="29"/>
      <c r="I20" s="29"/>
      <c r="J20" s="29"/>
      <c r="K20" s="43" t="str">
        <f aca="false">IF(RAIDLog[[#This Row],[Title]]="","",IF(RAIDLog[[#This Row],[Type]]="Issue",5,N(RAIDLog[[#This Row],[Probability]]))*N(RAIDLog[[#This Row],[Impact]]))</f>
        <v/>
      </c>
      <c r="L20" s="28" t="str">
        <f aca="false">IF(RAIDLog[[#This Row],[Title]]="","",IF(RAIDLog[[#This Row],[Score]]&gt;=RAIDHighScore,"High",IF(RAIDLog[[#This Row],[Score]]&gt;=RAIDMediumScore,"Medium","Low")))</f>
        <v/>
      </c>
      <c r="M20" s="28" t="str">
        <f aca="false">IF(OR(RAIDLog[[#This Row],[Title]]="",N(RAIDLog[[#This Row],[Due]])=0),"",IF(AND(RAIDLog[[#This Row],[Status]]&lt;&gt;"Closed",RAIDLog[[#This Row],[Due]]&lt;StatusDate),"Overdue",""))</f>
        <v/>
      </c>
      <c r="N20" s="29"/>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30"/>
      <c r="R20" s="30"/>
      <c r="S20" s="41" t="str">
        <f aca="false">IF(RAIDLog[[#This Row],[Title]]="","",RAIDLog[[#This Row],[Type]]&amp;" "&amp;RAIDLog[[#This Row],[Ref]]&amp;": "&amp;RAIDLog[[#This Row],[Title]])</f>
        <v/>
      </c>
      <c r="T20" s="41" t="str">
        <f aca="false">IF(AND(NOT(RAIDLog[[#This Row],[Title]]=""),RAIDLog[[#This Row],[Status]]&lt;&gt;"Closed"),RAIDLog[[#This Row],[Score]]+1-(ROW()-ROW(RAIDLog[[#Headers],[Ref]]))/100000,"")</f>
        <v/>
      </c>
    </row>
    <row r="21" customFormat="false" ht="15" hidden="false" customHeight="false" outlineLevel="0" collapsed="false">
      <c r="B21" s="29" t="n">
        <v>17</v>
      </c>
      <c r="C21" s="30"/>
      <c r="D21" s="30"/>
      <c r="E21" s="30"/>
      <c r="F21" s="77"/>
      <c r="G21" s="77"/>
      <c r="H21" s="29"/>
      <c r="I21" s="29"/>
      <c r="J21" s="29"/>
      <c r="K21" s="43" t="str">
        <f aca="false">IF(RAIDLog[[#This Row],[Title]]="","",IF(RAIDLog[[#This Row],[Type]]="Issue",5,N(RAIDLog[[#This Row],[Probability]]))*N(RAIDLog[[#This Row],[Impact]]))</f>
        <v/>
      </c>
      <c r="L21" s="28" t="str">
        <f aca="false">IF(RAIDLog[[#This Row],[Title]]="","",IF(RAIDLog[[#This Row],[Score]]&gt;=RAIDHighScore,"High",IF(RAIDLog[[#This Row],[Score]]&gt;=RAIDMediumScore,"Medium","Low")))</f>
        <v/>
      </c>
      <c r="M21" s="28" t="str">
        <f aca="false">IF(OR(RAIDLog[[#This Row],[Title]]="",N(RAIDLog[[#This Row],[Due]])=0),"",IF(AND(RAIDLog[[#This Row],[Status]]&lt;&gt;"Closed",RAIDLog[[#This Row],[Due]]&lt;StatusDate),"Overdue",""))</f>
        <v/>
      </c>
      <c r="N21" s="29"/>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30"/>
      <c r="R21" s="30"/>
      <c r="S21" s="41" t="str">
        <f aca="false">IF(RAIDLog[[#This Row],[Title]]="","",RAIDLog[[#This Row],[Type]]&amp;" "&amp;RAIDLog[[#This Row],[Ref]]&amp;": "&amp;RAIDLog[[#This Row],[Title]])</f>
        <v/>
      </c>
      <c r="T21" s="41" t="str">
        <f aca="false">IF(AND(NOT(RAIDLog[[#This Row],[Title]]=""),RAIDLog[[#This Row],[Status]]&lt;&gt;"Closed"),RAIDLog[[#This Row],[Score]]+1-(ROW()-ROW(RAIDLog[[#Headers],[Ref]]))/100000,"")</f>
        <v/>
      </c>
    </row>
    <row r="22" customFormat="false" ht="15" hidden="false" customHeight="false" outlineLevel="0" collapsed="false">
      <c r="B22" s="29" t="n">
        <v>18</v>
      </c>
      <c r="C22" s="30"/>
      <c r="D22" s="30"/>
      <c r="E22" s="30"/>
      <c r="F22" s="77"/>
      <c r="G22" s="77"/>
      <c r="H22" s="29"/>
      <c r="I22" s="29"/>
      <c r="J22" s="29"/>
      <c r="K22" s="43" t="str">
        <f aca="false">IF(RAIDLog[[#This Row],[Title]]="","",IF(RAIDLog[[#This Row],[Type]]="Issue",5,N(RAIDLog[[#This Row],[Probability]]))*N(RAIDLog[[#This Row],[Impact]]))</f>
        <v/>
      </c>
      <c r="L22" s="28" t="str">
        <f aca="false">IF(RAIDLog[[#This Row],[Title]]="","",IF(RAIDLog[[#This Row],[Score]]&gt;=RAIDHighScore,"High",IF(RAIDLog[[#This Row],[Score]]&gt;=RAIDMediumScore,"Medium","Low")))</f>
        <v/>
      </c>
      <c r="M22" s="28" t="str">
        <f aca="false">IF(OR(RAIDLog[[#This Row],[Title]]="",N(RAIDLog[[#This Row],[Due]])=0),"",IF(AND(RAIDLog[[#This Row],[Status]]&lt;&gt;"Closed",RAIDLog[[#This Row],[Due]]&lt;StatusDate),"Overdue",""))</f>
        <v/>
      </c>
      <c r="N22" s="29"/>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30"/>
      <c r="R22" s="30"/>
      <c r="S22" s="41" t="str">
        <f aca="false">IF(RAIDLog[[#This Row],[Title]]="","",RAIDLog[[#This Row],[Type]]&amp;" "&amp;RAIDLog[[#This Row],[Ref]]&amp;": "&amp;RAIDLog[[#This Row],[Title]])</f>
        <v/>
      </c>
      <c r="T22" s="41" t="str">
        <f aca="false">IF(AND(NOT(RAIDLog[[#This Row],[Title]]=""),RAIDLog[[#This Row],[Status]]&lt;&gt;"Closed"),RAIDLog[[#This Row],[Score]]+1-(ROW()-ROW(RAIDLog[[#Headers],[Ref]]))/100000,"")</f>
        <v/>
      </c>
    </row>
    <row r="23" customFormat="false" ht="15" hidden="false" customHeight="false" outlineLevel="0" collapsed="false">
      <c r="B23" s="29" t="n">
        <v>19</v>
      </c>
      <c r="C23" s="30"/>
      <c r="D23" s="30"/>
      <c r="E23" s="30"/>
      <c r="F23" s="77"/>
      <c r="G23" s="77"/>
      <c r="H23" s="29"/>
      <c r="I23" s="29"/>
      <c r="J23" s="29"/>
      <c r="K23" s="43" t="str">
        <f aca="false">IF(RAIDLog[[#This Row],[Title]]="","",IF(RAIDLog[[#This Row],[Type]]="Issue",5,N(RAIDLog[[#This Row],[Probability]]))*N(RAIDLog[[#This Row],[Impact]]))</f>
        <v/>
      </c>
      <c r="L23" s="28" t="str">
        <f aca="false">IF(RAIDLog[[#This Row],[Title]]="","",IF(RAIDLog[[#This Row],[Score]]&gt;=RAIDHighScore,"High",IF(RAIDLog[[#This Row],[Score]]&gt;=RAIDMediumScore,"Medium","Low")))</f>
        <v/>
      </c>
      <c r="M23" s="28" t="str">
        <f aca="false">IF(OR(RAIDLog[[#This Row],[Title]]="",N(RAIDLog[[#This Row],[Due]])=0),"",IF(AND(RAIDLog[[#This Row],[Status]]&lt;&gt;"Closed",RAIDLog[[#This Row],[Due]]&lt;StatusDate),"Overdue",""))</f>
        <v/>
      </c>
      <c r="N23" s="29"/>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30"/>
      <c r="R23" s="30"/>
      <c r="S23" s="41" t="str">
        <f aca="false">IF(RAIDLog[[#This Row],[Title]]="","",RAIDLog[[#This Row],[Type]]&amp;" "&amp;RAIDLog[[#This Row],[Ref]]&amp;": "&amp;RAIDLog[[#This Row],[Title]])</f>
        <v/>
      </c>
      <c r="T23" s="41" t="str">
        <f aca="false">IF(AND(NOT(RAIDLog[[#This Row],[Title]]=""),RAIDLog[[#This Row],[Status]]&lt;&gt;"Closed"),RAIDLog[[#This Row],[Score]]+1-(ROW()-ROW(RAIDLog[[#Headers],[Ref]]))/100000,"")</f>
        <v/>
      </c>
    </row>
    <row r="24" customFormat="false" ht="15" hidden="false" customHeight="false" outlineLevel="0" collapsed="false">
      <c r="B24" s="29" t="n">
        <v>20</v>
      </c>
      <c r="C24" s="30"/>
      <c r="D24" s="30"/>
      <c r="E24" s="30"/>
      <c r="F24" s="77"/>
      <c r="G24" s="77"/>
      <c r="H24" s="29"/>
      <c r="I24" s="29"/>
      <c r="J24" s="29"/>
      <c r="K24" s="43" t="str">
        <f aca="false">IF(RAIDLog[[#This Row],[Title]]="","",IF(RAIDLog[[#This Row],[Type]]="Issue",5,N(RAIDLog[[#This Row],[Probability]]))*N(RAIDLog[[#This Row],[Impact]]))</f>
        <v/>
      </c>
      <c r="L24" s="28" t="str">
        <f aca="false">IF(RAIDLog[[#This Row],[Title]]="","",IF(RAIDLog[[#This Row],[Score]]&gt;=RAIDHighScore,"High",IF(RAIDLog[[#This Row],[Score]]&gt;=RAIDMediumScore,"Medium","Low")))</f>
        <v/>
      </c>
      <c r="M24" s="28" t="str">
        <f aca="false">IF(OR(RAIDLog[[#This Row],[Title]]="",N(RAIDLog[[#This Row],[Due]])=0),"",IF(AND(RAIDLog[[#This Row],[Status]]&lt;&gt;"Closed",RAIDLog[[#This Row],[Due]]&lt;StatusDate),"Overdue",""))</f>
        <v/>
      </c>
      <c r="N24" s="29"/>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30"/>
      <c r="R24" s="30"/>
      <c r="S24" s="41" t="str">
        <f aca="false">IF(RAIDLog[[#This Row],[Title]]="","",RAIDLog[[#This Row],[Type]]&amp;" "&amp;RAIDLog[[#This Row],[Ref]]&amp;": "&amp;RAIDLog[[#This Row],[Title]])</f>
        <v/>
      </c>
      <c r="T24" s="41" t="str">
        <f aca="false">IF(AND(NOT(RAIDLog[[#This Row],[Title]]=""),RAIDLog[[#This Row],[Status]]&lt;&gt;"Closed"),RAIDLog[[#This Row],[Score]]+1-(ROW()-ROW(RAIDLog[[#Headers],[Ref]]))/100000,"")</f>
        <v/>
      </c>
    </row>
    <row r="25" customFormat="false" ht="15" hidden="false" customHeight="false" outlineLevel="0" collapsed="false">
      <c r="B25" s="29" t="n">
        <v>21</v>
      </c>
      <c r="C25" s="30"/>
      <c r="D25" s="30"/>
      <c r="E25" s="30"/>
      <c r="F25" s="77"/>
      <c r="G25" s="77"/>
      <c r="H25" s="29"/>
      <c r="I25" s="29"/>
      <c r="J25" s="29"/>
      <c r="K25" s="43" t="str">
        <f aca="false">IF(RAIDLog[[#This Row],[Title]]="","",IF(RAIDLog[[#This Row],[Type]]="Issue",5,N(RAIDLog[[#This Row],[Probability]]))*N(RAIDLog[[#This Row],[Impact]]))</f>
        <v/>
      </c>
      <c r="L25" s="28" t="str">
        <f aca="false">IF(RAIDLog[[#This Row],[Title]]="","",IF(RAIDLog[[#This Row],[Score]]&gt;=RAIDHighScore,"High",IF(RAIDLog[[#This Row],[Score]]&gt;=RAIDMediumScore,"Medium","Low")))</f>
        <v/>
      </c>
      <c r="M25" s="28" t="str">
        <f aca="false">IF(OR(RAIDLog[[#This Row],[Title]]="",N(RAIDLog[[#This Row],[Due]])=0),"",IF(AND(RAIDLog[[#This Row],[Status]]&lt;&gt;"Closed",RAIDLog[[#This Row],[Due]]&lt;StatusDate),"Overdue",""))</f>
        <v/>
      </c>
      <c r="N25" s="29"/>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30"/>
      <c r="R25" s="30"/>
      <c r="S25" s="41" t="str">
        <f aca="false">IF(RAIDLog[[#This Row],[Title]]="","",RAIDLog[[#This Row],[Type]]&amp;" "&amp;RAIDLog[[#This Row],[Ref]]&amp;": "&amp;RAIDLog[[#This Row],[Title]])</f>
        <v/>
      </c>
      <c r="T25" s="41" t="str">
        <f aca="false">IF(AND(NOT(RAIDLog[[#This Row],[Title]]=""),RAIDLog[[#This Row],[Status]]&lt;&gt;"Closed"),RAIDLog[[#This Row],[Score]]+1-(ROW()-ROW(RAIDLog[[#Headers],[Ref]]))/100000,"")</f>
        <v/>
      </c>
    </row>
    <row r="26" customFormat="false" ht="15" hidden="false" customHeight="false" outlineLevel="0" collapsed="false">
      <c r="B26" s="29" t="n">
        <v>22</v>
      </c>
      <c r="C26" s="30"/>
      <c r="D26" s="30"/>
      <c r="E26" s="30"/>
      <c r="F26" s="77"/>
      <c r="G26" s="77"/>
      <c r="H26" s="29"/>
      <c r="I26" s="29"/>
      <c r="J26" s="29"/>
      <c r="K26" s="43" t="str">
        <f aca="false">IF(RAIDLog[[#This Row],[Title]]="","",IF(RAIDLog[[#This Row],[Type]]="Issue",5,N(RAIDLog[[#This Row],[Probability]]))*N(RAIDLog[[#This Row],[Impact]]))</f>
        <v/>
      </c>
      <c r="L26" s="28" t="str">
        <f aca="false">IF(RAIDLog[[#This Row],[Title]]="","",IF(RAIDLog[[#This Row],[Score]]&gt;=RAIDHighScore,"High",IF(RAIDLog[[#This Row],[Score]]&gt;=RAIDMediumScore,"Medium","Low")))</f>
        <v/>
      </c>
      <c r="M26" s="28" t="str">
        <f aca="false">IF(OR(RAIDLog[[#This Row],[Title]]="",N(RAIDLog[[#This Row],[Due]])=0),"",IF(AND(RAIDLog[[#This Row],[Status]]&lt;&gt;"Closed",RAIDLog[[#This Row],[Due]]&lt;StatusDate),"Overdue",""))</f>
        <v/>
      </c>
      <c r="N26" s="29"/>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30"/>
      <c r="R26" s="30"/>
      <c r="S26" s="41" t="str">
        <f aca="false">IF(RAIDLog[[#This Row],[Title]]="","",RAIDLog[[#This Row],[Type]]&amp;" "&amp;RAIDLog[[#This Row],[Ref]]&amp;": "&amp;RAIDLog[[#This Row],[Title]])</f>
        <v/>
      </c>
      <c r="T26" s="41" t="str">
        <f aca="false">IF(AND(NOT(RAIDLog[[#This Row],[Title]]=""),RAIDLog[[#This Row],[Status]]&lt;&gt;"Closed"),RAIDLog[[#This Row],[Score]]+1-(ROW()-ROW(RAIDLog[[#Headers],[Ref]]))/100000,"")</f>
        <v/>
      </c>
    </row>
    <row r="27" customFormat="false" ht="15" hidden="false" customHeight="false" outlineLevel="0" collapsed="false">
      <c r="B27" s="29" t="n">
        <v>23</v>
      </c>
      <c r="C27" s="30"/>
      <c r="D27" s="30"/>
      <c r="E27" s="30"/>
      <c r="F27" s="77"/>
      <c r="G27" s="77"/>
      <c r="H27" s="29"/>
      <c r="I27" s="29"/>
      <c r="J27" s="29"/>
      <c r="K27" s="43" t="str">
        <f aca="false">IF(RAIDLog[[#This Row],[Title]]="","",IF(RAIDLog[[#This Row],[Type]]="Issue",5,N(RAIDLog[[#This Row],[Probability]]))*N(RAIDLog[[#This Row],[Impact]]))</f>
        <v/>
      </c>
      <c r="L27" s="28" t="str">
        <f aca="false">IF(RAIDLog[[#This Row],[Title]]="","",IF(RAIDLog[[#This Row],[Score]]&gt;=RAIDHighScore,"High",IF(RAIDLog[[#This Row],[Score]]&gt;=RAIDMediumScore,"Medium","Low")))</f>
        <v/>
      </c>
      <c r="M27" s="28" t="str">
        <f aca="false">IF(OR(RAIDLog[[#This Row],[Title]]="",N(RAIDLog[[#This Row],[Due]])=0),"",IF(AND(RAIDLog[[#This Row],[Status]]&lt;&gt;"Closed",RAIDLog[[#This Row],[Due]]&lt;StatusDate),"Overdue",""))</f>
        <v/>
      </c>
      <c r="N27" s="29"/>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30"/>
      <c r="R27" s="30"/>
      <c r="S27" s="41" t="str">
        <f aca="false">IF(RAIDLog[[#This Row],[Title]]="","",RAIDLog[[#This Row],[Type]]&amp;" "&amp;RAIDLog[[#This Row],[Ref]]&amp;": "&amp;RAIDLog[[#This Row],[Title]])</f>
        <v/>
      </c>
      <c r="T27" s="41" t="str">
        <f aca="false">IF(AND(NOT(RAIDLog[[#This Row],[Title]]=""),RAIDLog[[#This Row],[Status]]&lt;&gt;"Closed"),RAIDLog[[#This Row],[Score]]+1-(ROW()-ROW(RAIDLog[[#Headers],[Ref]]))/100000,"")</f>
        <v/>
      </c>
    </row>
    <row r="28" customFormat="false" ht="15" hidden="false" customHeight="false" outlineLevel="0" collapsed="false">
      <c r="B28" s="29" t="n">
        <v>24</v>
      </c>
      <c r="C28" s="30"/>
      <c r="D28" s="30"/>
      <c r="E28" s="30"/>
      <c r="F28" s="77"/>
      <c r="G28" s="77"/>
      <c r="H28" s="29"/>
      <c r="I28" s="29"/>
      <c r="J28" s="29"/>
      <c r="K28" s="43" t="str">
        <f aca="false">IF(RAIDLog[[#This Row],[Title]]="","",IF(RAIDLog[[#This Row],[Type]]="Issue",5,N(RAIDLog[[#This Row],[Probability]]))*N(RAIDLog[[#This Row],[Impact]]))</f>
        <v/>
      </c>
      <c r="L28" s="28" t="str">
        <f aca="false">IF(RAIDLog[[#This Row],[Title]]="","",IF(RAIDLog[[#This Row],[Score]]&gt;=RAIDHighScore,"High",IF(RAIDLog[[#This Row],[Score]]&gt;=RAIDMediumScore,"Medium","Low")))</f>
        <v/>
      </c>
      <c r="M28" s="28" t="str">
        <f aca="false">IF(OR(RAIDLog[[#This Row],[Title]]="",N(RAIDLog[[#This Row],[Due]])=0),"",IF(AND(RAIDLog[[#This Row],[Status]]&lt;&gt;"Closed",RAIDLog[[#This Row],[Due]]&lt;StatusDate),"Overdue",""))</f>
        <v/>
      </c>
      <c r="N28" s="29"/>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30"/>
      <c r="R28" s="30"/>
      <c r="S28" s="41" t="str">
        <f aca="false">IF(RAIDLog[[#This Row],[Title]]="","",RAIDLog[[#This Row],[Type]]&amp;" "&amp;RAIDLog[[#This Row],[Ref]]&amp;": "&amp;RAIDLog[[#This Row],[Title]])</f>
        <v/>
      </c>
      <c r="T28" s="41" t="str">
        <f aca="false">IF(AND(NOT(RAIDLog[[#This Row],[Title]]=""),RAIDLog[[#This Row],[Status]]&lt;&gt;"Closed"),RAIDLog[[#This Row],[Score]]+1-(ROW()-ROW(RAIDLog[[#Headers],[Ref]]))/100000,"")</f>
        <v/>
      </c>
    </row>
    <row r="29" customFormat="false" ht="15" hidden="false" customHeight="false" outlineLevel="0" collapsed="false">
      <c r="B29" s="29" t="n">
        <v>25</v>
      </c>
      <c r="C29" s="30"/>
      <c r="D29" s="30"/>
      <c r="E29" s="30"/>
      <c r="F29" s="77"/>
      <c r="G29" s="77"/>
      <c r="H29" s="29"/>
      <c r="I29" s="29"/>
      <c r="J29" s="29"/>
      <c r="K29" s="43" t="str">
        <f aca="false">IF(RAIDLog[[#This Row],[Title]]="","",IF(RAIDLog[[#This Row],[Type]]="Issue",5,N(RAIDLog[[#This Row],[Probability]]))*N(RAIDLog[[#This Row],[Impact]]))</f>
        <v/>
      </c>
      <c r="L29" s="28" t="str">
        <f aca="false">IF(RAIDLog[[#This Row],[Title]]="","",IF(RAIDLog[[#This Row],[Score]]&gt;=RAIDHighScore,"High",IF(RAIDLog[[#This Row],[Score]]&gt;=RAIDMediumScore,"Medium","Low")))</f>
        <v/>
      </c>
      <c r="M29" s="28" t="str">
        <f aca="false">IF(OR(RAIDLog[[#This Row],[Title]]="",N(RAIDLog[[#This Row],[Due]])=0),"",IF(AND(RAIDLog[[#This Row],[Status]]&lt;&gt;"Closed",RAIDLog[[#This Row],[Due]]&lt;StatusDate),"Overdue",""))</f>
        <v/>
      </c>
      <c r="N29" s="29"/>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30"/>
      <c r="R29" s="30"/>
      <c r="S29" s="41" t="str">
        <f aca="false">IF(RAIDLog[[#This Row],[Title]]="","",RAIDLog[[#This Row],[Type]]&amp;" "&amp;RAIDLog[[#This Row],[Ref]]&amp;": "&amp;RAIDLog[[#This Row],[Title]])</f>
        <v/>
      </c>
      <c r="T29" s="41" t="str">
        <f aca="false">IF(AND(NOT(RAIDLog[[#This Row],[Title]]=""),RAIDLog[[#This Row],[Status]]&lt;&gt;"Closed"),RAIDLog[[#This Row],[Score]]+1-(ROW()-ROW(RAIDLog[[#Headers],[Ref]]))/100000,"")</f>
        <v/>
      </c>
    </row>
    <row r="30" customFormat="false" ht="15" hidden="false" customHeight="false" outlineLevel="0" collapsed="false">
      <c r="B30" s="29" t="n">
        <v>26</v>
      </c>
      <c r="C30" s="30"/>
      <c r="D30" s="30"/>
      <c r="E30" s="30"/>
      <c r="F30" s="77"/>
      <c r="G30" s="77"/>
      <c r="H30" s="29"/>
      <c r="I30" s="29"/>
      <c r="J30" s="29"/>
      <c r="K30" s="43" t="str">
        <f aca="false">IF(RAIDLog[[#This Row],[Title]]="","",IF(RAIDLog[[#This Row],[Type]]="Issue",5,N(RAIDLog[[#This Row],[Probability]]))*N(RAIDLog[[#This Row],[Impact]]))</f>
        <v/>
      </c>
      <c r="L30" s="28" t="str">
        <f aca="false">IF(RAIDLog[[#This Row],[Title]]="","",IF(RAIDLog[[#This Row],[Score]]&gt;=RAIDHighScore,"High",IF(RAIDLog[[#This Row],[Score]]&gt;=RAIDMediumScore,"Medium","Low")))</f>
        <v/>
      </c>
      <c r="M30" s="28" t="str">
        <f aca="false">IF(OR(RAIDLog[[#This Row],[Title]]="",N(RAIDLog[[#This Row],[Due]])=0),"",IF(AND(RAIDLog[[#This Row],[Status]]&lt;&gt;"Closed",RAIDLog[[#This Row],[Due]]&lt;StatusDate),"Overdue",""))</f>
        <v/>
      </c>
      <c r="N30" s="29"/>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30"/>
      <c r="R30" s="30"/>
      <c r="S30" s="41" t="str">
        <f aca="false">IF(RAIDLog[[#This Row],[Title]]="","",RAIDLog[[#This Row],[Type]]&amp;" "&amp;RAIDLog[[#This Row],[Ref]]&amp;": "&amp;RAIDLog[[#This Row],[Title]])</f>
        <v/>
      </c>
      <c r="T30" s="41" t="str">
        <f aca="false">IF(AND(NOT(RAIDLog[[#This Row],[Title]]=""),RAIDLog[[#This Row],[Status]]&lt;&gt;"Closed"),RAIDLog[[#This Row],[Score]]+1-(ROW()-ROW(RAIDLog[[#Headers],[Ref]]))/100000,"")</f>
        <v/>
      </c>
    </row>
    <row r="31" customFormat="false" ht="15" hidden="false" customHeight="false" outlineLevel="0" collapsed="false">
      <c r="B31" s="29" t="n">
        <v>27</v>
      </c>
      <c r="C31" s="30"/>
      <c r="D31" s="30"/>
      <c r="E31" s="30"/>
      <c r="F31" s="77"/>
      <c r="G31" s="77"/>
      <c r="H31" s="29"/>
      <c r="I31" s="29"/>
      <c r="J31" s="29"/>
      <c r="K31" s="43" t="str">
        <f aca="false">IF(RAIDLog[[#This Row],[Title]]="","",IF(RAIDLog[[#This Row],[Type]]="Issue",5,N(RAIDLog[[#This Row],[Probability]]))*N(RAIDLog[[#This Row],[Impact]]))</f>
        <v/>
      </c>
      <c r="L31" s="28" t="str">
        <f aca="false">IF(RAIDLog[[#This Row],[Title]]="","",IF(RAIDLog[[#This Row],[Score]]&gt;=RAIDHighScore,"High",IF(RAIDLog[[#This Row],[Score]]&gt;=RAIDMediumScore,"Medium","Low")))</f>
        <v/>
      </c>
      <c r="M31" s="28" t="str">
        <f aca="false">IF(OR(RAIDLog[[#This Row],[Title]]="",N(RAIDLog[[#This Row],[Due]])=0),"",IF(AND(RAIDLog[[#This Row],[Status]]&lt;&gt;"Closed",RAIDLog[[#This Row],[Due]]&lt;StatusDate),"Overdue",""))</f>
        <v/>
      </c>
      <c r="N31" s="29"/>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30"/>
      <c r="R31" s="30"/>
      <c r="S31" s="41" t="str">
        <f aca="false">IF(RAIDLog[[#This Row],[Title]]="","",RAIDLog[[#This Row],[Type]]&amp;" "&amp;RAIDLog[[#This Row],[Ref]]&amp;": "&amp;RAIDLog[[#This Row],[Title]])</f>
        <v/>
      </c>
      <c r="T31" s="41" t="str">
        <f aca="false">IF(AND(NOT(RAIDLog[[#This Row],[Title]]=""),RAIDLog[[#This Row],[Status]]&lt;&gt;"Closed"),RAIDLog[[#This Row],[Score]]+1-(ROW()-ROW(RAIDLog[[#Headers],[Ref]]))/100000,"")</f>
        <v/>
      </c>
    </row>
    <row r="32" customFormat="false" ht="15" hidden="false" customHeight="false" outlineLevel="0" collapsed="false">
      <c r="B32" s="29" t="n">
        <v>28</v>
      </c>
      <c r="C32" s="30"/>
      <c r="D32" s="30"/>
      <c r="E32" s="30"/>
      <c r="F32" s="77"/>
      <c r="G32" s="77"/>
      <c r="H32" s="29"/>
      <c r="I32" s="29"/>
      <c r="J32" s="29"/>
      <c r="K32" s="43" t="str">
        <f aca="false">IF(RAIDLog[[#This Row],[Title]]="","",IF(RAIDLog[[#This Row],[Type]]="Issue",5,N(RAIDLog[[#This Row],[Probability]]))*N(RAIDLog[[#This Row],[Impact]]))</f>
        <v/>
      </c>
      <c r="L32" s="28" t="str">
        <f aca="false">IF(RAIDLog[[#This Row],[Title]]="","",IF(RAIDLog[[#This Row],[Score]]&gt;=RAIDHighScore,"High",IF(RAIDLog[[#This Row],[Score]]&gt;=RAIDMediumScore,"Medium","Low")))</f>
        <v/>
      </c>
      <c r="M32" s="28" t="str">
        <f aca="false">IF(OR(RAIDLog[[#This Row],[Title]]="",N(RAIDLog[[#This Row],[Due]])=0),"",IF(AND(RAIDLog[[#This Row],[Status]]&lt;&gt;"Closed",RAIDLog[[#This Row],[Due]]&lt;StatusDate),"Overdue",""))</f>
        <v/>
      </c>
      <c r="N32" s="29"/>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30"/>
      <c r="R32" s="30"/>
      <c r="S32" s="41" t="str">
        <f aca="false">IF(RAIDLog[[#This Row],[Title]]="","",RAIDLog[[#This Row],[Type]]&amp;" "&amp;RAIDLog[[#This Row],[Ref]]&amp;": "&amp;RAIDLog[[#This Row],[Title]])</f>
        <v/>
      </c>
      <c r="T32" s="41" t="str">
        <f aca="false">IF(AND(NOT(RAIDLog[[#This Row],[Title]]=""),RAIDLog[[#This Row],[Status]]&lt;&gt;"Closed"),RAIDLog[[#This Row],[Score]]+1-(ROW()-ROW(RAIDLog[[#Headers],[Ref]]))/100000,"")</f>
        <v/>
      </c>
    </row>
    <row r="33" customFormat="false" ht="15" hidden="false" customHeight="false" outlineLevel="0" collapsed="false">
      <c r="B33" s="29" t="n">
        <v>29</v>
      </c>
      <c r="C33" s="30"/>
      <c r="D33" s="30"/>
      <c r="E33" s="30"/>
      <c r="F33" s="77"/>
      <c r="G33" s="77"/>
      <c r="H33" s="29"/>
      <c r="I33" s="29"/>
      <c r="J33" s="29"/>
      <c r="K33" s="43" t="str">
        <f aca="false">IF(RAIDLog[[#This Row],[Title]]="","",IF(RAIDLog[[#This Row],[Type]]="Issue",5,N(RAIDLog[[#This Row],[Probability]]))*N(RAIDLog[[#This Row],[Impact]]))</f>
        <v/>
      </c>
      <c r="L33" s="28" t="str">
        <f aca="false">IF(RAIDLog[[#This Row],[Title]]="","",IF(RAIDLog[[#This Row],[Score]]&gt;=RAIDHighScore,"High",IF(RAIDLog[[#This Row],[Score]]&gt;=RAIDMediumScore,"Medium","Low")))</f>
        <v/>
      </c>
      <c r="M33" s="28" t="str">
        <f aca="false">IF(OR(RAIDLog[[#This Row],[Title]]="",N(RAIDLog[[#This Row],[Due]])=0),"",IF(AND(RAIDLog[[#This Row],[Status]]&lt;&gt;"Closed",RAIDLog[[#This Row],[Due]]&lt;StatusDate),"Overdue",""))</f>
        <v/>
      </c>
      <c r="N33" s="29"/>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30"/>
      <c r="R33" s="30"/>
      <c r="S33" s="41" t="str">
        <f aca="false">IF(RAIDLog[[#This Row],[Title]]="","",RAIDLog[[#This Row],[Type]]&amp;" "&amp;RAIDLog[[#This Row],[Ref]]&amp;": "&amp;RAIDLog[[#This Row],[Title]])</f>
        <v/>
      </c>
      <c r="T33" s="41" t="str">
        <f aca="false">IF(AND(NOT(RAIDLog[[#This Row],[Title]]=""),RAIDLog[[#This Row],[Status]]&lt;&gt;"Closed"),RAIDLog[[#This Row],[Score]]+1-(ROW()-ROW(RAIDLog[[#Headers],[Ref]]))/100000,"")</f>
        <v/>
      </c>
    </row>
    <row r="34" customFormat="false" ht="15" hidden="false" customHeight="false" outlineLevel="0" collapsed="false">
      <c r="B34" s="29" t="n">
        <v>30</v>
      </c>
      <c r="C34" s="30"/>
      <c r="D34" s="30"/>
      <c r="E34" s="30"/>
      <c r="F34" s="77"/>
      <c r="G34" s="77"/>
      <c r="H34" s="29"/>
      <c r="I34" s="29"/>
      <c r="J34" s="29"/>
      <c r="K34" s="43" t="str">
        <f aca="false">IF(RAIDLog[[#This Row],[Title]]="","",IF(RAIDLog[[#This Row],[Type]]="Issue",5,N(RAIDLog[[#This Row],[Probability]]))*N(RAIDLog[[#This Row],[Impact]]))</f>
        <v/>
      </c>
      <c r="L34" s="28" t="str">
        <f aca="false">IF(RAIDLog[[#This Row],[Title]]="","",IF(RAIDLog[[#This Row],[Score]]&gt;=RAIDHighScore,"High",IF(RAIDLog[[#This Row],[Score]]&gt;=RAIDMediumScore,"Medium","Low")))</f>
        <v/>
      </c>
      <c r="M34" s="28" t="str">
        <f aca="false">IF(OR(RAIDLog[[#This Row],[Title]]="",N(RAIDLog[[#This Row],[Due]])=0),"",IF(AND(RAIDLog[[#This Row],[Status]]&lt;&gt;"Closed",RAIDLog[[#This Row],[Due]]&lt;StatusDate),"Overdue",""))</f>
        <v/>
      </c>
      <c r="N34" s="29"/>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30"/>
      <c r="R34" s="30"/>
      <c r="S34" s="41" t="str">
        <f aca="false">IF(RAIDLog[[#This Row],[Title]]="","",RAIDLog[[#This Row],[Type]]&amp;" "&amp;RAIDLog[[#This Row],[Ref]]&amp;": "&amp;RAIDLog[[#This Row],[Title]])</f>
        <v/>
      </c>
      <c r="T34" s="41" t="str">
        <f aca="false">IF(AND(NOT(RAIDLog[[#This Row],[Title]]=""),RAIDLog[[#This Row],[Status]]&lt;&gt;"Closed"),RAIDLog[[#This Row],[Score]]+1-(ROW()-ROW(RAIDLog[[#Headers],[Ref]]))/100000,"")</f>
        <v/>
      </c>
    </row>
    <row r="35" customFormat="false" ht="15" hidden="false" customHeight="false" outlineLevel="0" collapsed="false">
      <c r="B35" s="29" t="n">
        <v>31</v>
      </c>
      <c r="C35" s="30"/>
      <c r="D35" s="30"/>
      <c r="E35" s="30"/>
      <c r="F35" s="77"/>
      <c r="G35" s="77"/>
      <c r="H35" s="29"/>
      <c r="I35" s="29"/>
      <c r="J35" s="29"/>
      <c r="K35" s="43" t="str">
        <f aca="false">IF(RAIDLog[[#This Row],[Title]]="","",IF(RAIDLog[[#This Row],[Type]]="Issue",5,N(RAIDLog[[#This Row],[Probability]]))*N(RAIDLog[[#This Row],[Impact]]))</f>
        <v/>
      </c>
      <c r="L35" s="28" t="str">
        <f aca="false">IF(RAIDLog[[#This Row],[Title]]="","",IF(RAIDLog[[#This Row],[Score]]&gt;=RAIDHighScore,"High",IF(RAIDLog[[#This Row],[Score]]&gt;=RAIDMediumScore,"Medium","Low")))</f>
        <v/>
      </c>
      <c r="M35" s="28" t="str">
        <f aca="false">IF(OR(RAIDLog[[#This Row],[Title]]="",N(RAIDLog[[#This Row],[Due]])=0),"",IF(AND(RAIDLog[[#This Row],[Status]]&lt;&gt;"Closed",RAIDLog[[#This Row],[Due]]&lt;StatusDate),"Overdue",""))</f>
        <v/>
      </c>
      <c r="N35" s="29"/>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30"/>
      <c r="R35" s="30"/>
      <c r="S35" s="41" t="str">
        <f aca="false">IF(RAIDLog[[#This Row],[Title]]="","",RAIDLog[[#This Row],[Type]]&amp;" "&amp;RAIDLog[[#This Row],[Ref]]&amp;": "&amp;RAIDLog[[#This Row],[Title]])</f>
        <v/>
      </c>
      <c r="T35" s="41" t="str">
        <f aca="false">IF(AND(NOT(RAIDLog[[#This Row],[Title]]=""),RAIDLog[[#This Row],[Status]]&lt;&gt;"Closed"),RAIDLog[[#This Row],[Score]]+1-(ROW()-ROW(RAIDLog[[#Headers],[Ref]]))/100000,"")</f>
        <v/>
      </c>
    </row>
    <row r="36" customFormat="false" ht="15" hidden="false" customHeight="false" outlineLevel="0" collapsed="false">
      <c r="B36" s="29" t="n">
        <v>32</v>
      </c>
      <c r="C36" s="30"/>
      <c r="D36" s="30"/>
      <c r="E36" s="30"/>
      <c r="F36" s="77"/>
      <c r="G36" s="77"/>
      <c r="H36" s="29"/>
      <c r="I36" s="29"/>
      <c r="J36" s="29"/>
      <c r="K36" s="43" t="str">
        <f aca="false">IF(RAIDLog[[#This Row],[Title]]="","",IF(RAIDLog[[#This Row],[Type]]="Issue",5,N(RAIDLog[[#This Row],[Probability]]))*N(RAIDLog[[#This Row],[Impact]]))</f>
        <v/>
      </c>
      <c r="L36" s="28" t="str">
        <f aca="false">IF(RAIDLog[[#This Row],[Title]]="","",IF(RAIDLog[[#This Row],[Score]]&gt;=RAIDHighScore,"High",IF(RAIDLog[[#This Row],[Score]]&gt;=RAIDMediumScore,"Medium","Low")))</f>
        <v/>
      </c>
      <c r="M36" s="28" t="str">
        <f aca="false">IF(OR(RAIDLog[[#This Row],[Title]]="",N(RAIDLog[[#This Row],[Due]])=0),"",IF(AND(RAIDLog[[#This Row],[Status]]&lt;&gt;"Closed",RAIDLog[[#This Row],[Due]]&lt;StatusDate),"Overdue",""))</f>
        <v/>
      </c>
      <c r="N36" s="29"/>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30"/>
      <c r="R36" s="30"/>
      <c r="S36" s="41" t="str">
        <f aca="false">IF(RAIDLog[[#This Row],[Title]]="","",RAIDLog[[#This Row],[Type]]&amp;" "&amp;RAIDLog[[#This Row],[Ref]]&amp;": "&amp;RAIDLog[[#This Row],[Title]])</f>
        <v/>
      </c>
      <c r="T36" s="41" t="str">
        <f aca="false">IF(AND(NOT(RAIDLog[[#This Row],[Title]]=""),RAIDLog[[#This Row],[Status]]&lt;&gt;"Closed"),RAIDLog[[#This Row],[Score]]+1-(ROW()-ROW(RAIDLog[[#Headers],[Ref]]))/100000,"")</f>
        <v/>
      </c>
    </row>
    <row r="37" customFormat="false" ht="15" hidden="false" customHeight="false" outlineLevel="0" collapsed="false">
      <c r="B37" s="29" t="n">
        <v>33</v>
      </c>
      <c r="C37" s="30"/>
      <c r="D37" s="30"/>
      <c r="E37" s="30"/>
      <c r="F37" s="77"/>
      <c r="G37" s="77"/>
      <c r="H37" s="29"/>
      <c r="I37" s="29"/>
      <c r="J37" s="29"/>
      <c r="K37" s="43" t="str">
        <f aca="false">IF(RAIDLog[[#This Row],[Title]]="","",IF(RAIDLog[[#This Row],[Type]]="Issue",5,N(RAIDLog[[#This Row],[Probability]]))*N(RAIDLog[[#This Row],[Impact]]))</f>
        <v/>
      </c>
      <c r="L37" s="28" t="str">
        <f aca="false">IF(RAIDLog[[#This Row],[Title]]="","",IF(RAIDLog[[#This Row],[Score]]&gt;=RAIDHighScore,"High",IF(RAIDLog[[#This Row],[Score]]&gt;=RAIDMediumScore,"Medium","Low")))</f>
        <v/>
      </c>
      <c r="M37" s="28" t="str">
        <f aca="false">IF(OR(RAIDLog[[#This Row],[Title]]="",N(RAIDLog[[#This Row],[Due]])=0),"",IF(AND(RAIDLog[[#This Row],[Status]]&lt;&gt;"Closed",RAIDLog[[#This Row],[Due]]&lt;StatusDate),"Overdue",""))</f>
        <v/>
      </c>
      <c r="N37" s="29"/>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30"/>
      <c r="R37" s="30"/>
      <c r="S37" s="41" t="str">
        <f aca="false">IF(RAIDLog[[#This Row],[Title]]="","",RAIDLog[[#This Row],[Type]]&amp;" "&amp;RAIDLog[[#This Row],[Ref]]&amp;": "&amp;RAIDLog[[#This Row],[Title]])</f>
        <v/>
      </c>
      <c r="T37" s="41" t="str">
        <f aca="false">IF(AND(NOT(RAIDLog[[#This Row],[Title]]=""),RAIDLog[[#This Row],[Status]]&lt;&gt;"Closed"),RAIDLog[[#This Row],[Score]]+1-(ROW()-ROW(RAIDLog[[#Headers],[Ref]]))/100000,"")</f>
        <v/>
      </c>
    </row>
    <row r="38" customFormat="false" ht="15" hidden="false" customHeight="false" outlineLevel="0" collapsed="false">
      <c r="B38" s="29" t="n">
        <v>34</v>
      </c>
      <c r="C38" s="30"/>
      <c r="D38" s="30"/>
      <c r="E38" s="30"/>
      <c r="F38" s="77"/>
      <c r="G38" s="77"/>
      <c r="H38" s="29"/>
      <c r="I38" s="29"/>
      <c r="J38" s="29"/>
      <c r="K38" s="43" t="str">
        <f aca="false">IF(RAIDLog[[#This Row],[Title]]="","",IF(RAIDLog[[#This Row],[Type]]="Issue",5,N(RAIDLog[[#This Row],[Probability]]))*N(RAIDLog[[#This Row],[Impact]]))</f>
        <v/>
      </c>
      <c r="L38" s="28" t="str">
        <f aca="false">IF(RAIDLog[[#This Row],[Title]]="","",IF(RAIDLog[[#This Row],[Score]]&gt;=RAIDHighScore,"High",IF(RAIDLog[[#This Row],[Score]]&gt;=RAIDMediumScore,"Medium","Low")))</f>
        <v/>
      </c>
      <c r="M38" s="28" t="str">
        <f aca="false">IF(OR(RAIDLog[[#This Row],[Title]]="",N(RAIDLog[[#This Row],[Due]])=0),"",IF(AND(RAIDLog[[#This Row],[Status]]&lt;&gt;"Closed",RAIDLog[[#This Row],[Due]]&lt;StatusDate),"Overdue",""))</f>
        <v/>
      </c>
      <c r="N38" s="29"/>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30"/>
      <c r="R38" s="30"/>
      <c r="S38" s="41" t="str">
        <f aca="false">IF(RAIDLog[[#This Row],[Title]]="","",RAIDLog[[#This Row],[Type]]&amp;" "&amp;RAIDLog[[#This Row],[Ref]]&amp;": "&amp;RAIDLog[[#This Row],[Title]])</f>
        <v/>
      </c>
      <c r="T38" s="41" t="str">
        <f aca="false">IF(AND(NOT(RAIDLog[[#This Row],[Title]]=""),RAIDLog[[#This Row],[Status]]&lt;&gt;"Closed"),RAIDLog[[#This Row],[Score]]+1-(ROW()-ROW(RAIDLog[[#Headers],[Ref]]))/100000,"")</f>
        <v/>
      </c>
    </row>
    <row r="39" customFormat="false" ht="15" hidden="false" customHeight="false" outlineLevel="0" collapsed="false">
      <c r="B39" s="29" t="n">
        <v>35</v>
      </c>
      <c r="C39" s="30"/>
      <c r="D39" s="30"/>
      <c r="E39" s="30"/>
      <c r="F39" s="77"/>
      <c r="G39" s="77"/>
      <c r="H39" s="29"/>
      <c r="I39" s="29"/>
      <c r="J39" s="29"/>
      <c r="K39" s="43" t="str">
        <f aca="false">IF(RAIDLog[[#This Row],[Title]]="","",IF(RAIDLog[[#This Row],[Type]]="Issue",5,N(RAIDLog[[#This Row],[Probability]]))*N(RAIDLog[[#This Row],[Impact]]))</f>
        <v/>
      </c>
      <c r="L39" s="28" t="str">
        <f aca="false">IF(RAIDLog[[#This Row],[Title]]="","",IF(RAIDLog[[#This Row],[Score]]&gt;=RAIDHighScore,"High",IF(RAIDLog[[#This Row],[Score]]&gt;=RAIDMediumScore,"Medium","Low")))</f>
        <v/>
      </c>
      <c r="M39" s="28" t="str">
        <f aca="false">IF(OR(RAIDLog[[#This Row],[Title]]="",N(RAIDLog[[#This Row],[Due]])=0),"",IF(AND(RAIDLog[[#This Row],[Status]]&lt;&gt;"Closed",RAIDLog[[#This Row],[Due]]&lt;StatusDate),"Overdue",""))</f>
        <v/>
      </c>
      <c r="N39" s="29"/>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30"/>
      <c r="R39" s="30"/>
      <c r="S39" s="41" t="str">
        <f aca="false">IF(RAIDLog[[#This Row],[Title]]="","",RAIDLog[[#This Row],[Type]]&amp;" "&amp;RAIDLog[[#This Row],[Ref]]&amp;": "&amp;RAIDLog[[#This Row],[Title]])</f>
        <v/>
      </c>
      <c r="T39" s="41" t="str">
        <f aca="false">IF(AND(NOT(RAIDLog[[#This Row],[Title]]=""),RAIDLog[[#This Row],[Status]]&lt;&gt;"Closed"),RAIDLog[[#This Row],[Score]]+1-(ROW()-ROW(RAIDLog[[#Headers],[Ref]]))/100000,"")</f>
        <v/>
      </c>
    </row>
    <row r="40" customFormat="false" ht="15" hidden="false" customHeight="false" outlineLevel="0" collapsed="false">
      <c r="B40" s="29" t="n">
        <v>36</v>
      </c>
      <c r="C40" s="30"/>
      <c r="D40" s="30"/>
      <c r="E40" s="30"/>
      <c r="F40" s="77"/>
      <c r="G40" s="77"/>
      <c r="H40" s="29"/>
      <c r="I40" s="29"/>
      <c r="J40" s="29"/>
      <c r="K40" s="43" t="str">
        <f aca="false">IF(RAIDLog[[#This Row],[Title]]="","",IF(RAIDLog[[#This Row],[Type]]="Issue",5,N(RAIDLog[[#This Row],[Probability]]))*N(RAIDLog[[#This Row],[Impact]]))</f>
        <v/>
      </c>
      <c r="L40" s="28" t="str">
        <f aca="false">IF(RAIDLog[[#This Row],[Title]]="","",IF(RAIDLog[[#This Row],[Score]]&gt;=RAIDHighScore,"High",IF(RAIDLog[[#This Row],[Score]]&gt;=RAIDMediumScore,"Medium","Low")))</f>
        <v/>
      </c>
      <c r="M40" s="28" t="str">
        <f aca="false">IF(OR(RAIDLog[[#This Row],[Title]]="",N(RAIDLog[[#This Row],[Due]])=0),"",IF(AND(RAIDLog[[#This Row],[Status]]&lt;&gt;"Closed",RAIDLog[[#This Row],[Due]]&lt;StatusDate),"Overdue",""))</f>
        <v/>
      </c>
      <c r="N40" s="29"/>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30"/>
      <c r="R40" s="30"/>
      <c r="S40" s="41" t="str">
        <f aca="false">IF(RAIDLog[[#This Row],[Title]]="","",RAIDLog[[#This Row],[Type]]&amp;" "&amp;RAIDLog[[#This Row],[Ref]]&amp;": "&amp;RAIDLog[[#This Row],[Title]])</f>
        <v/>
      </c>
      <c r="T40" s="41" t="str">
        <f aca="false">IF(AND(NOT(RAIDLog[[#This Row],[Title]]=""),RAIDLog[[#This Row],[Status]]&lt;&gt;"Closed"),RAIDLog[[#This Row],[Score]]+1-(ROW()-ROW(RAIDLog[[#Headers],[Ref]]))/100000,"")</f>
        <v/>
      </c>
    </row>
    <row r="41" customFormat="false" ht="15" hidden="false" customHeight="false" outlineLevel="0" collapsed="false">
      <c r="B41" s="29" t="n">
        <v>37</v>
      </c>
      <c r="C41" s="30"/>
      <c r="D41" s="30"/>
      <c r="E41" s="30"/>
      <c r="F41" s="77"/>
      <c r="G41" s="77"/>
      <c r="H41" s="29"/>
      <c r="I41" s="29"/>
      <c r="J41" s="29"/>
      <c r="K41" s="43" t="str">
        <f aca="false">IF(RAIDLog[[#This Row],[Title]]="","",IF(RAIDLog[[#This Row],[Type]]="Issue",5,N(RAIDLog[[#This Row],[Probability]]))*N(RAIDLog[[#This Row],[Impact]]))</f>
        <v/>
      </c>
      <c r="L41" s="28" t="str">
        <f aca="false">IF(RAIDLog[[#This Row],[Title]]="","",IF(RAIDLog[[#This Row],[Score]]&gt;=RAIDHighScore,"High",IF(RAIDLog[[#This Row],[Score]]&gt;=RAIDMediumScore,"Medium","Low")))</f>
        <v/>
      </c>
      <c r="M41" s="28" t="str">
        <f aca="false">IF(OR(RAIDLog[[#This Row],[Title]]="",N(RAIDLog[[#This Row],[Due]])=0),"",IF(AND(RAIDLog[[#This Row],[Status]]&lt;&gt;"Closed",RAIDLog[[#This Row],[Due]]&lt;StatusDate),"Overdue",""))</f>
        <v/>
      </c>
      <c r="N41" s="29"/>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30"/>
      <c r="R41" s="30"/>
      <c r="S41" s="41" t="str">
        <f aca="false">IF(RAIDLog[[#This Row],[Title]]="","",RAIDLog[[#This Row],[Type]]&amp;" "&amp;RAIDLog[[#This Row],[Ref]]&amp;": "&amp;RAIDLog[[#This Row],[Title]])</f>
        <v/>
      </c>
      <c r="T41" s="41" t="str">
        <f aca="false">IF(AND(NOT(RAIDLog[[#This Row],[Title]]=""),RAIDLog[[#This Row],[Status]]&lt;&gt;"Closed"),RAIDLog[[#This Row],[Score]]+1-(ROW()-ROW(RAIDLog[[#Headers],[Ref]]))/100000,"")</f>
        <v/>
      </c>
    </row>
    <row r="42" customFormat="false" ht="15" hidden="false" customHeight="false" outlineLevel="0" collapsed="false">
      <c r="B42" s="29" t="n">
        <v>38</v>
      </c>
      <c r="C42" s="30"/>
      <c r="D42" s="30"/>
      <c r="E42" s="30"/>
      <c r="F42" s="77"/>
      <c r="G42" s="77"/>
      <c r="H42" s="29"/>
      <c r="I42" s="29"/>
      <c r="J42" s="29"/>
      <c r="K42" s="43" t="str">
        <f aca="false">IF(RAIDLog[[#This Row],[Title]]="","",IF(RAIDLog[[#This Row],[Type]]="Issue",5,N(RAIDLog[[#This Row],[Probability]]))*N(RAIDLog[[#This Row],[Impact]]))</f>
        <v/>
      </c>
      <c r="L42" s="28" t="str">
        <f aca="false">IF(RAIDLog[[#This Row],[Title]]="","",IF(RAIDLog[[#This Row],[Score]]&gt;=RAIDHighScore,"High",IF(RAIDLog[[#This Row],[Score]]&gt;=RAIDMediumScore,"Medium","Low")))</f>
        <v/>
      </c>
      <c r="M42" s="28" t="str">
        <f aca="false">IF(OR(RAIDLog[[#This Row],[Title]]="",N(RAIDLog[[#This Row],[Due]])=0),"",IF(AND(RAIDLog[[#This Row],[Status]]&lt;&gt;"Closed",RAIDLog[[#This Row],[Due]]&lt;StatusDate),"Overdue",""))</f>
        <v/>
      </c>
      <c r="N42" s="29"/>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30"/>
      <c r="R42" s="30"/>
      <c r="S42" s="41" t="str">
        <f aca="false">IF(RAIDLog[[#This Row],[Title]]="","",RAIDLog[[#This Row],[Type]]&amp;" "&amp;RAIDLog[[#This Row],[Ref]]&amp;": "&amp;RAIDLog[[#This Row],[Title]])</f>
        <v/>
      </c>
      <c r="T42" s="41" t="str">
        <f aca="false">IF(AND(NOT(RAIDLog[[#This Row],[Title]]=""),RAIDLog[[#This Row],[Status]]&lt;&gt;"Closed"),RAIDLog[[#This Row],[Score]]+1-(ROW()-ROW(RAIDLog[[#Headers],[Ref]]))/100000,"")</f>
        <v/>
      </c>
    </row>
    <row r="43" customFormat="false" ht="15" hidden="false" customHeight="false" outlineLevel="0" collapsed="false">
      <c r="B43" s="29" t="n">
        <v>39</v>
      </c>
      <c r="C43" s="30"/>
      <c r="D43" s="30"/>
      <c r="E43" s="30"/>
      <c r="F43" s="77"/>
      <c r="G43" s="77"/>
      <c r="H43" s="29"/>
      <c r="I43" s="29"/>
      <c r="J43" s="29"/>
      <c r="K43" s="43" t="str">
        <f aca="false">IF(RAIDLog[[#This Row],[Title]]="","",IF(RAIDLog[[#This Row],[Type]]="Issue",5,N(RAIDLog[[#This Row],[Probability]]))*N(RAIDLog[[#This Row],[Impact]]))</f>
        <v/>
      </c>
      <c r="L43" s="28" t="str">
        <f aca="false">IF(RAIDLog[[#This Row],[Title]]="","",IF(RAIDLog[[#This Row],[Score]]&gt;=RAIDHighScore,"High",IF(RAIDLog[[#This Row],[Score]]&gt;=RAIDMediumScore,"Medium","Low")))</f>
        <v/>
      </c>
      <c r="M43" s="28" t="str">
        <f aca="false">IF(OR(RAIDLog[[#This Row],[Title]]="",N(RAIDLog[[#This Row],[Due]])=0),"",IF(AND(RAIDLog[[#This Row],[Status]]&lt;&gt;"Closed",RAIDLog[[#This Row],[Due]]&lt;StatusDate),"Overdue",""))</f>
        <v/>
      </c>
      <c r="N43" s="29"/>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30"/>
      <c r="R43" s="30"/>
      <c r="S43" s="41" t="str">
        <f aca="false">IF(RAIDLog[[#This Row],[Title]]="","",RAIDLog[[#This Row],[Type]]&amp;" "&amp;RAIDLog[[#This Row],[Ref]]&amp;": "&amp;RAIDLog[[#This Row],[Title]])</f>
        <v/>
      </c>
      <c r="T43" s="41" t="str">
        <f aca="false">IF(AND(NOT(RAIDLog[[#This Row],[Title]]=""),RAIDLog[[#This Row],[Status]]&lt;&gt;"Closed"),RAIDLog[[#This Row],[Score]]+1-(ROW()-ROW(RAIDLog[[#Headers],[Ref]]))/100000,"")</f>
        <v/>
      </c>
    </row>
    <row r="44" customFormat="false" ht="15" hidden="false" customHeight="false" outlineLevel="0" collapsed="false">
      <c r="B44" s="29" t="n">
        <v>40</v>
      </c>
      <c r="C44" s="30"/>
      <c r="D44" s="30"/>
      <c r="E44" s="30"/>
      <c r="F44" s="77"/>
      <c r="G44" s="77"/>
      <c r="H44" s="29"/>
      <c r="I44" s="29"/>
      <c r="J44" s="29"/>
      <c r="K44" s="43" t="str">
        <f aca="false">IF(RAIDLog[[#This Row],[Title]]="","",IF(RAIDLog[[#This Row],[Type]]="Issue",5,N(RAIDLog[[#This Row],[Probability]]))*N(RAIDLog[[#This Row],[Impact]]))</f>
        <v/>
      </c>
      <c r="L44" s="28" t="str">
        <f aca="false">IF(RAIDLog[[#This Row],[Title]]="","",IF(RAIDLog[[#This Row],[Score]]&gt;=RAIDHighScore,"High",IF(RAIDLog[[#This Row],[Score]]&gt;=RAIDMediumScore,"Medium","Low")))</f>
        <v/>
      </c>
      <c r="M44" s="28" t="str">
        <f aca="false">IF(OR(RAIDLog[[#This Row],[Title]]="",N(RAIDLog[[#This Row],[Due]])=0),"",IF(AND(RAIDLog[[#This Row],[Status]]&lt;&gt;"Closed",RAIDLog[[#This Row],[Due]]&lt;StatusDate),"Overdue",""))</f>
        <v/>
      </c>
      <c r="N44" s="29"/>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30"/>
      <c r="R44" s="30"/>
      <c r="S44" s="41" t="str">
        <f aca="false">IF(RAIDLog[[#This Row],[Title]]="","",RAIDLog[[#This Row],[Type]]&amp;" "&amp;RAIDLog[[#This Row],[Ref]]&amp;": "&amp;RAIDLog[[#This Row],[Title]])</f>
        <v/>
      </c>
      <c r="T44" s="41" t="str">
        <f aca="false">IF(AND(NOT(RAIDLog[[#This Row],[Title]]=""),RAIDLog[[#This Row],[Status]]&lt;&gt;"Closed"),RAIDLog[[#This Row],[Score]]+1-(ROW()-ROW(RAIDLog[[#Headers],[Ref]]))/100000,"")</f>
        <v/>
      </c>
    </row>
    <row r="45" customFormat="false" ht="15" hidden="false" customHeight="false" outlineLevel="0" collapsed="false">
      <c r="B45" s="29" t="n">
        <v>41</v>
      </c>
      <c r="C45" s="30"/>
      <c r="D45" s="30"/>
      <c r="E45" s="30"/>
      <c r="F45" s="77"/>
      <c r="G45" s="77"/>
      <c r="H45" s="29"/>
      <c r="I45" s="29"/>
      <c r="J45" s="29"/>
      <c r="K45" s="43" t="str">
        <f aca="false">IF(RAIDLog[[#This Row],[Title]]="","",IF(RAIDLog[[#This Row],[Type]]="Issue",5,N(RAIDLog[[#This Row],[Probability]]))*N(RAIDLog[[#This Row],[Impact]]))</f>
        <v/>
      </c>
      <c r="L45" s="28" t="str">
        <f aca="false">IF(RAIDLog[[#This Row],[Title]]="","",IF(RAIDLog[[#This Row],[Score]]&gt;=RAIDHighScore,"High",IF(RAIDLog[[#This Row],[Score]]&gt;=RAIDMediumScore,"Medium","Low")))</f>
        <v/>
      </c>
      <c r="M45" s="28" t="str">
        <f aca="false">IF(OR(RAIDLog[[#This Row],[Title]]="",N(RAIDLog[[#This Row],[Due]])=0),"",IF(AND(RAIDLog[[#This Row],[Status]]&lt;&gt;"Closed",RAIDLog[[#This Row],[Due]]&lt;StatusDate),"Overdue",""))</f>
        <v/>
      </c>
      <c r="N45" s="29"/>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30"/>
      <c r="R45" s="30"/>
      <c r="S45" s="41" t="str">
        <f aca="false">IF(RAIDLog[[#This Row],[Title]]="","",RAIDLog[[#This Row],[Type]]&amp;" "&amp;RAIDLog[[#This Row],[Ref]]&amp;": "&amp;RAIDLog[[#This Row],[Title]])</f>
        <v/>
      </c>
      <c r="T45" s="41" t="str">
        <f aca="false">IF(AND(NOT(RAIDLog[[#This Row],[Title]]=""),RAIDLog[[#This Row],[Status]]&lt;&gt;"Closed"),RAIDLog[[#This Row],[Score]]+1-(ROW()-ROW(RAIDLog[[#Headers],[Ref]]))/100000,"")</f>
        <v/>
      </c>
    </row>
    <row r="46" customFormat="false" ht="15" hidden="false" customHeight="false" outlineLevel="0" collapsed="false">
      <c r="B46" s="29" t="n">
        <v>42</v>
      </c>
      <c r="C46" s="30"/>
      <c r="D46" s="30"/>
      <c r="E46" s="30"/>
      <c r="F46" s="77"/>
      <c r="G46" s="77"/>
      <c r="H46" s="29"/>
      <c r="I46" s="29"/>
      <c r="J46" s="29"/>
      <c r="K46" s="43" t="str">
        <f aca="false">IF(RAIDLog[[#This Row],[Title]]="","",IF(RAIDLog[[#This Row],[Type]]="Issue",5,N(RAIDLog[[#This Row],[Probability]]))*N(RAIDLog[[#This Row],[Impact]]))</f>
        <v/>
      </c>
      <c r="L46" s="28" t="str">
        <f aca="false">IF(RAIDLog[[#This Row],[Title]]="","",IF(RAIDLog[[#This Row],[Score]]&gt;=RAIDHighScore,"High",IF(RAIDLog[[#This Row],[Score]]&gt;=RAIDMediumScore,"Medium","Low")))</f>
        <v/>
      </c>
      <c r="M46" s="28" t="str">
        <f aca="false">IF(OR(RAIDLog[[#This Row],[Title]]="",N(RAIDLog[[#This Row],[Due]])=0),"",IF(AND(RAIDLog[[#This Row],[Status]]&lt;&gt;"Closed",RAIDLog[[#This Row],[Due]]&lt;StatusDate),"Overdue",""))</f>
        <v/>
      </c>
      <c r="N46" s="29"/>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30"/>
      <c r="R46" s="30"/>
      <c r="S46" s="41" t="str">
        <f aca="false">IF(RAIDLog[[#This Row],[Title]]="","",RAIDLog[[#This Row],[Type]]&amp;" "&amp;RAIDLog[[#This Row],[Ref]]&amp;": "&amp;RAIDLog[[#This Row],[Title]])</f>
        <v/>
      </c>
      <c r="T46" s="41" t="str">
        <f aca="false">IF(AND(NOT(RAIDLog[[#This Row],[Title]]=""),RAIDLog[[#This Row],[Status]]&lt;&gt;"Closed"),RAIDLog[[#This Row],[Score]]+1-(ROW()-ROW(RAIDLog[[#Headers],[Ref]]))/100000,"")</f>
        <v/>
      </c>
    </row>
    <row r="47" customFormat="false" ht="15" hidden="false" customHeight="false" outlineLevel="0" collapsed="false">
      <c r="B47" s="29" t="n">
        <v>43</v>
      </c>
      <c r="C47" s="30"/>
      <c r="D47" s="30"/>
      <c r="E47" s="30"/>
      <c r="F47" s="77"/>
      <c r="G47" s="77"/>
      <c r="H47" s="29"/>
      <c r="I47" s="29"/>
      <c r="J47" s="29"/>
      <c r="K47" s="43" t="str">
        <f aca="false">IF(RAIDLog[[#This Row],[Title]]="","",IF(RAIDLog[[#This Row],[Type]]="Issue",5,N(RAIDLog[[#This Row],[Probability]]))*N(RAIDLog[[#This Row],[Impact]]))</f>
        <v/>
      </c>
      <c r="L47" s="28" t="str">
        <f aca="false">IF(RAIDLog[[#This Row],[Title]]="","",IF(RAIDLog[[#This Row],[Score]]&gt;=RAIDHighScore,"High",IF(RAIDLog[[#This Row],[Score]]&gt;=RAIDMediumScore,"Medium","Low")))</f>
        <v/>
      </c>
      <c r="M47" s="28" t="str">
        <f aca="false">IF(OR(RAIDLog[[#This Row],[Title]]="",N(RAIDLog[[#This Row],[Due]])=0),"",IF(AND(RAIDLog[[#This Row],[Status]]&lt;&gt;"Closed",RAIDLog[[#This Row],[Due]]&lt;StatusDate),"Overdue",""))</f>
        <v/>
      </c>
      <c r="N47" s="29"/>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30"/>
      <c r="R47" s="30"/>
      <c r="S47" s="41" t="str">
        <f aca="false">IF(RAIDLog[[#This Row],[Title]]="","",RAIDLog[[#This Row],[Type]]&amp;" "&amp;RAIDLog[[#This Row],[Ref]]&amp;": "&amp;RAIDLog[[#This Row],[Title]])</f>
        <v/>
      </c>
      <c r="T47" s="41" t="str">
        <f aca="false">IF(AND(NOT(RAIDLog[[#This Row],[Title]]=""),RAIDLog[[#This Row],[Status]]&lt;&gt;"Closed"),RAIDLog[[#This Row],[Score]]+1-(ROW()-ROW(RAIDLog[[#Headers],[Ref]]))/100000,"")</f>
        <v/>
      </c>
    </row>
    <row r="48" customFormat="false" ht="15" hidden="false" customHeight="false" outlineLevel="0" collapsed="false">
      <c r="B48" s="29" t="n">
        <v>44</v>
      </c>
      <c r="C48" s="30"/>
      <c r="D48" s="30"/>
      <c r="E48" s="30"/>
      <c r="F48" s="77"/>
      <c r="G48" s="77"/>
      <c r="H48" s="29"/>
      <c r="I48" s="29"/>
      <c r="J48" s="29"/>
      <c r="K48" s="43" t="str">
        <f aca="false">IF(RAIDLog[[#This Row],[Title]]="","",IF(RAIDLog[[#This Row],[Type]]="Issue",5,N(RAIDLog[[#This Row],[Probability]]))*N(RAIDLog[[#This Row],[Impact]]))</f>
        <v/>
      </c>
      <c r="L48" s="28" t="str">
        <f aca="false">IF(RAIDLog[[#This Row],[Title]]="","",IF(RAIDLog[[#This Row],[Score]]&gt;=RAIDHighScore,"High",IF(RAIDLog[[#This Row],[Score]]&gt;=RAIDMediumScore,"Medium","Low")))</f>
        <v/>
      </c>
      <c r="M48" s="28" t="str">
        <f aca="false">IF(OR(RAIDLog[[#This Row],[Title]]="",N(RAIDLog[[#This Row],[Due]])=0),"",IF(AND(RAIDLog[[#This Row],[Status]]&lt;&gt;"Closed",RAIDLog[[#This Row],[Due]]&lt;StatusDate),"Overdue",""))</f>
        <v/>
      </c>
      <c r="N48" s="29"/>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30"/>
      <c r="R48" s="30"/>
      <c r="S48" s="41" t="str">
        <f aca="false">IF(RAIDLog[[#This Row],[Title]]="","",RAIDLog[[#This Row],[Type]]&amp;" "&amp;RAIDLog[[#This Row],[Ref]]&amp;": "&amp;RAIDLog[[#This Row],[Title]])</f>
        <v/>
      </c>
      <c r="T48" s="41" t="str">
        <f aca="false">IF(AND(NOT(RAIDLog[[#This Row],[Title]]=""),RAIDLog[[#This Row],[Status]]&lt;&gt;"Closed"),RAIDLog[[#This Row],[Score]]+1-(ROW()-ROW(RAIDLog[[#Headers],[Ref]]))/100000,"")</f>
        <v/>
      </c>
    </row>
    <row r="49" customFormat="false" ht="15" hidden="false" customHeight="false" outlineLevel="0" collapsed="false">
      <c r="B49" s="29" t="n">
        <v>45</v>
      </c>
      <c r="C49" s="30"/>
      <c r="D49" s="30"/>
      <c r="E49" s="30"/>
      <c r="F49" s="77"/>
      <c r="G49" s="77"/>
      <c r="H49" s="29"/>
      <c r="I49" s="29"/>
      <c r="J49" s="29"/>
      <c r="K49" s="43" t="str">
        <f aca="false">IF(RAIDLog[[#This Row],[Title]]="","",IF(RAIDLog[[#This Row],[Type]]="Issue",5,N(RAIDLog[[#This Row],[Probability]]))*N(RAIDLog[[#This Row],[Impact]]))</f>
        <v/>
      </c>
      <c r="L49" s="28" t="str">
        <f aca="false">IF(RAIDLog[[#This Row],[Title]]="","",IF(RAIDLog[[#This Row],[Score]]&gt;=RAIDHighScore,"High",IF(RAIDLog[[#This Row],[Score]]&gt;=RAIDMediumScore,"Medium","Low")))</f>
        <v/>
      </c>
      <c r="M49" s="28" t="str">
        <f aca="false">IF(OR(RAIDLog[[#This Row],[Title]]="",N(RAIDLog[[#This Row],[Due]])=0),"",IF(AND(RAIDLog[[#This Row],[Status]]&lt;&gt;"Closed",RAIDLog[[#This Row],[Due]]&lt;StatusDate),"Overdue",""))</f>
        <v/>
      </c>
      <c r="N49" s="29"/>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30"/>
      <c r="R49" s="30"/>
      <c r="S49" s="41" t="str">
        <f aca="false">IF(RAIDLog[[#This Row],[Title]]="","",RAIDLog[[#This Row],[Type]]&amp;" "&amp;RAIDLog[[#This Row],[Ref]]&amp;": "&amp;RAIDLog[[#This Row],[Title]])</f>
        <v/>
      </c>
      <c r="T49" s="41" t="str">
        <f aca="false">IF(AND(NOT(RAIDLog[[#This Row],[Title]]=""),RAIDLog[[#This Row],[Status]]&lt;&gt;"Closed"),RAIDLog[[#This Row],[Score]]+1-(ROW()-ROW(RAIDLog[[#Headers],[Ref]]))/100000,"")</f>
        <v/>
      </c>
    </row>
    <row r="50" customFormat="false" ht="15" hidden="false" customHeight="false" outlineLevel="0" collapsed="false">
      <c r="B50" s="29" t="n">
        <v>46</v>
      </c>
      <c r="C50" s="30"/>
      <c r="D50" s="30"/>
      <c r="E50" s="30"/>
      <c r="F50" s="77"/>
      <c r="G50" s="77"/>
      <c r="H50" s="29"/>
      <c r="I50" s="29"/>
      <c r="J50" s="29"/>
      <c r="K50" s="43" t="str">
        <f aca="false">IF(RAIDLog[[#This Row],[Title]]="","",IF(RAIDLog[[#This Row],[Type]]="Issue",5,N(RAIDLog[[#This Row],[Probability]]))*N(RAIDLog[[#This Row],[Impact]]))</f>
        <v/>
      </c>
      <c r="L50" s="28" t="str">
        <f aca="false">IF(RAIDLog[[#This Row],[Title]]="","",IF(RAIDLog[[#This Row],[Score]]&gt;=RAIDHighScore,"High",IF(RAIDLog[[#This Row],[Score]]&gt;=RAIDMediumScore,"Medium","Low")))</f>
        <v/>
      </c>
      <c r="M50" s="28" t="str">
        <f aca="false">IF(OR(RAIDLog[[#This Row],[Title]]="",N(RAIDLog[[#This Row],[Due]])=0),"",IF(AND(RAIDLog[[#This Row],[Status]]&lt;&gt;"Closed",RAIDLog[[#This Row],[Due]]&lt;StatusDate),"Overdue",""))</f>
        <v/>
      </c>
      <c r="N50" s="29"/>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30"/>
      <c r="R50" s="30"/>
      <c r="S50" s="41" t="str">
        <f aca="false">IF(RAIDLog[[#This Row],[Title]]="","",RAIDLog[[#This Row],[Type]]&amp;" "&amp;RAIDLog[[#This Row],[Ref]]&amp;": "&amp;RAIDLog[[#This Row],[Title]])</f>
        <v/>
      </c>
      <c r="T50" s="41" t="str">
        <f aca="false">IF(AND(NOT(RAIDLog[[#This Row],[Title]]=""),RAIDLog[[#This Row],[Status]]&lt;&gt;"Closed"),RAIDLog[[#This Row],[Score]]+1-(ROW()-ROW(RAIDLog[[#Headers],[Ref]]))/100000,"")</f>
        <v/>
      </c>
    </row>
    <row r="51" customFormat="false" ht="15" hidden="false" customHeight="false" outlineLevel="0" collapsed="false">
      <c r="B51" s="29" t="n">
        <v>47</v>
      </c>
      <c r="C51" s="30"/>
      <c r="D51" s="30"/>
      <c r="E51" s="30"/>
      <c r="F51" s="77"/>
      <c r="G51" s="77"/>
      <c r="H51" s="29"/>
      <c r="I51" s="29"/>
      <c r="J51" s="29"/>
      <c r="K51" s="43" t="str">
        <f aca="false">IF(RAIDLog[[#This Row],[Title]]="","",IF(RAIDLog[[#This Row],[Type]]="Issue",5,N(RAIDLog[[#This Row],[Probability]]))*N(RAIDLog[[#This Row],[Impact]]))</f>
        <v/>
      </c>
      <c r="L51" s="28" t="str">
        <f aca="false">IF(RAIDLog[[#This Row],[Title]]="","",IF(RAIDLog[[#This Row],[Score]]&gt;=RAIDHighScore,"High",IF(RAIDLog[[#This Row],[Score]]&gt;=RAIDMediumScore,"Medium","Low")))</f>
        <v/>
      </c>
      <c r="M51" s="28" t="str">
        <f aca="false">IF(OR(RAIDLog[[#This Row],[Title]]="",N(RAIDLog[[#This Row],[Due]])=0),"",IF(AND(RAIDLog[[#This Row],[Status]]&lt;&gt;"Closed",RAIDLog[[#This Row],[Due]]&lt;StatusDate),"Overdue",""))</f>
        <v/>
      </c>
      <c r="N51" s="29"/>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30"/>
      <c r="R51" s="30"/>
      <c r="S51" s="41" t="str">
        <f aca="false">IF(RAIDLog[[#This Row],[Title]]="","",RAIDLog[[#This Row],[Type]]&amp;" "&amp;RAIDLog[[#This Row],[Ref]]&amp;": "&amp;RAIDLog[[#This Row],[Title]])</f>
        <v/>
      </c>
      <c r="T51" s="41" t="str">
        <f aca="false">IF(AND(NOT(RAIDLog[[#This Row],[Title]]=""),RAIDLog[[#This Row],[Status]]&lt;&gt;"Closed"),RAIDLog[[#This Row],[Score]]+1-(ROW()-ROW(RAIDLog[[#Headers],[Ref]]))/100000,"")</f>
        <v/>
      </c>
    </row>
    <row r="52" customFormat="false" ht="15" hidden="false" customHeight="false" outlineLevel="0" collapsed="false">
      <c r="B52" s="29" t="n">
        <v>48</v>
      </c>
      <c r="C52" s="30"/>
      <c r="D52" s="30"/>
      <c r="E52" s="30"/>
      <c r="F52" s="77"/>
      <c r="G52" s="77"/>
      <c r="H52" s="29"/>
      <c r="I52" s="29"/>
      <c r="J52" s="29"/>
      <c r="K52" s="43" t="str">
        <f aca="false">IF(RAIDLog[[#This Row],[Title]]="","",IF(RAIDLog[[#This Row],[Type]]="Issue",5,N(RAIDLog[[#This Row],[Probability]]))*N(RAIDLog[[#This Row],[Impact]]))</f>
        <v/>
      </c>
      <c r="L52" s="28" t="str">
        <f aca="false">IF(RAIDLog[[#This Row],[Title]]="","",IF(RAIDLog[[#This Row],[Score]]&gt;=RAIDHighScore,"High",IF(RAIDLog[[#This Row],[Score]]&gt;=RAIDMediumScore,"Medium","Low")))</f>
        <v/>
      </c>
      <c r="M52" s="28" t="str">
        <f aca="false">IF(OR(RAIDLog[[#This Row],[Title]]="",N(RAIDLog[[#This Row],[Due]])=0),"",IF(AND(RAIDLog[[#This Row],[Status]]&lt;&gt;"Closed",RAIDLog[[#This Row],[Due]]&lt;StatusDate),"Overdue",""))</f>
        <v/>
      </c>
      <c r="N52" s="29"/>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30"/>
      <c r="R52" s="30"/>
      <c r="S52" s="41" t="str">
        <f aca="false">IF(RAIDLog[[#This Row],[Title]]="","",RAIDLog[[#This Row],[Type]]&amp;" "&amp;RAIDLog[[#This Row],[Ref]]&amp;": "&amp;RAIDLog[[#This Row],[Title]])</f>
        <v/>
      </c>
      <c r="T52" s="41" t="str">
        <f aca="false">IF(AND(NOT(RAIDLog[[#This Row],[Title]]=""),RAIDLog[[#This Row],[Status]]&lt;&gt;"Closed"),RAIDLog[[#This Row],[Score]]+1-(ROW()-ROW(RAIDLog[[#Headers],[Ref]]))/100000,"")</f>
        <v/>
      </c>
    </row>
    <row r="53" customFormat="false" ht="15" hidden="false" customHeight="false" outlineLevel="0" collapsed="false">
      <c r="B53" s="29" t="n">
        <v>49</v>
      </c>
      <c r="C53" s="30"/>
      <c r="D53" s="30"/>
      <c r="E53" s="30"/>
      <c r="F53" s="77"/>
      <c r="G53" s="77"/>
      <c r="H53" s="29"/>
      <c r="I53" s="29"/>
      <c r="J53" s="29"/>
      <c r="K53" s="43" t="str">
        <f aca="false">IF(RAIDLog[[#This Row],[Title]]="","",IF(RAIDLog[[#This Row],[Type]]="Issue",5,N(RAIDLog[[#This Row],[Probability]]))*N(RAIDLog[[#This Row],[Impact]]))</f>
        <v/>
      </c>
      <c r="L53" s="28" t="str">
        <f aca="false">IF(RAIDLog[[#This Row],[Title]]="","",IF(RAIDLog[[#This Row],[Score]]&gt;=RAIDHighScore,"High",IF(RAIDLog[[#This Row],[Score]]&gt;=RAIDMediumScore,"Medium","Low")))</f>
        <v/>
      </c>
      <c r="M53" s="28" t="str">
        <f aca="false">IF(OR(RAIDLog[[#This Row],[Title]]="",N(RAIDLog[[#This Row],[Due]])=0),"",IF(AND(RAIDLog[[#This Row],[Status]]&lt;&gt;"Closed",RAIDLog[[#This Row],[Due]]&lt;StatusDate),"Overdue",""))</f>
        <v/>
      </c>
      <c r="N53" s="29"/>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30"/>
      <c r="R53" s="30"/>
      <c r="S53" s="41" t="str">
        <f aca="false">IF(RAIDLog[[#This Row],[Title]]="","",RAIDLog[[#This Row],[Type]]&amp;" "&amp;RAIDLog[[#This Row],[Ref]]&amp;": "&amp;RAIDLog[[#This Row],[Title]])</f>
        <v/>
      </c>
      <c r="T53" s="41" t="str">
        <f aca="false">IF(AND(NOT(RAIDLog[[#This Row],[Title]]=""),RAIDLog[[#This Row],[Status]]&lt;&gt;"Closed"),RAIDLog[[#This Row],[Score]]+1-(ROW()-ROW(RAIDLog[[#Headers],[Ref]]))/100000,"")</f>
        <v/>
      </c>
    </row>
    <row r="54" customFormat="false" ht="15" hidden="false" customHeight="false" outlineLevel="0" collapsed="false">
      <c r="B54" s="29" t="n">
        <v>50</v>
      </c>
      <c r="C54" s="30"/>
      <c r="D54" s="30"/>
      <c r="E54" s="30"/>
      <c r="F54" s="77"/>
      <c r="G54" s="77"/>
      <c r="H54" s="29"/>
      <c r="I54" s="29"/>
      <c r="J54" s="29"/>
      <c r="K54" s="43" t="str">
        <f aca="false">IF(RAIDLog[[#This Row],[Title]]="","",IF(RAIDLog[[#This Row],[Type]]="Issue",5,N(RAIDLog[[#This Row],[Probability]]))*N(RAIDLog[[#This Row],[Impact]]))</f>
        <v/>
      </c>
      <c r="L54" s="28" t="str">
        <f aca="false">IF(RAIDLog[[#This Row],[Title]]="","",IF(RAIDLog[[#This Row],[Score]]&gt;=RAIDHighScore,"High",IF(RAIDLog[[#This Row],[Score]]&gt;=RAIDMediumScore,"Medium","Low")))</f>
        <v/>
      </c>
      <c r="M54" s="28" t="str">
        <f aca="false">IF(OR(RAIDLog[[#This Row],[Title]]="",N(RAIDLog[[#This Row],[Due]])=0),"",IF(AND(RAIDLog[[#This Row],[Status]]&lt;&gt;"Closed",RAIDLog[[#This Row],[Due]]&lt;StatusDate),"Overdue",""))</f>
        <v/>
      </c>
      <c r="N54" s="29"/>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30"/>
      <c r="R54" s="30"/>
      <c r="S54" s="41" t="str">
        <f aca="false">IF(RAIDLog[[#This Row],[Title]]="","",RAIDLog[[#This Row],[Type]]&amp;" "&amp;RAIDLog[[#This Row],[Ref]]&amp;": "&amp;RAIDLog[[#This Row],[Title]])</f>
        <v/>
      </c>
      <c r="T54" s="41" t="str">
        <f aca="false">IF(AND(NOT(RAIDLog[[#This Row],[Title]]=""),RAIDLog[[#This Row],[Status]]&lt;&gt;"Closed"),RAIDLog[[#This Row],[Score]]+1-(ROW()-ROW(RAIDLog[[#Headers],[Ref]]))/100000,"")</f>
        <v/>
      </c>
    </row>
    <row r="55" customFormat="false" ht="15" hidden="false" customHeight="false" outlineLevel="0" collapsed="false">
      <c r="B55" s="29" t="n">
        <v>51</v>
      </c>
      <c r="C55" s="30"/>
      <c r="D55" s="30"/>
      <c r="E55" s="30"/>
      <c r="F55" s="77"/>
      <c r="G55" s="77"/>
      <c r="H55" s="29"/>
      <c r="I55" s="29"/>
      <c r="J55" s="29"/>
      <c r="K55" s="43" t="str">
        <f aca="false">IF(RAIDLog[[#This Row],[Title]]="","",IF(RAIDLog[[#This Row],[Type]]="Issue",5,N(RAIDLog[[#This Row],[Probability]]))*N(RAIDLog[[#This Row],[Impact]]))</f>
        <v/>
      </c>
      <c r="L55" s="28" t="str">
        <f aca="false">IF(RAIDLog[[#This Row],[Title]]="","",IF(RAIDLog[[#This Row],[Score]]&gt;=RAIDHighScore,"High",IF(RAIDLog[[#This Row],[Score]]&gt;=RAIDMediumScore,"Medium","Low")))</f>
        <v/>
      </c>
      <c r="M55" s="28" t="str">
        <f aca="false">IF(OR(RAIDLog[[#This Row],[Title]]="",N(RAIDLog[[#This Row],[Due]])=0),"",IF(AND(RAIDLog[[#This Row],[Status]]&lt;&gt;"Closed",RAIDLog[[#This Row],[Due]]&lt;StatusDate),"Overdue",""))</f>
        <v/>
      </c>
      <c r="N55" s="29"/>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30"/>
      <c r="R55" s="30"/>
      <c r="S55" s="41" t="str">
        <f aca="false">IF(RAIDLog[[#This Row],[Title]]="","",RAIDLog[[#This Row],[Type]]&amp;" "&amp;RAIDLog[[#This Row],[Ref]]&amp;": "&amp;RAIDLog[[#This Row],[Title]])</f>
        <v/>
      </c>
      <c r="T55" s="41" t="str">
        <f aca="false">IF(AND(NOT(RAIDLog[[#This Row],[Title]]=""),RAIDLog[[#This Row],[Status]]&lt;&gt;"Closed"),RAIDLog[[#This Row],[Score]]+1-(ROW()-ROW(RAIDLog[[#Headers],[Ref]]))/100000,"")</f>
        <v/>
      </c>
    </row>
    <row r="56" customFormat="false" ht="15" hidden="false" customHeight="false" outlineLevel="0" collapsed="false">
      <c r="B56" s="29" t="n">
        <v>52</v>
      </c>
      <c r="C56" s="30"/>
      <c r="D56" s="30"/>
      <c r="E56" s="30"/>
      <c r="F56" s="77"/>
      <c r="G56" s="77"/>
      <c r="H56" s="29"/>
      <c r="I56" s="29"/>
      <c r="J56" s="29"/>
      <c r="K56" s="43" t="str">
        <f aca="false">IF(RAIDLog[[#This Row],[Title]]="","",IF(RAIDLog[[#This Row],[Type]]="Issue",5,N(RAIDLog[[#This Row],[Probability]]))*N(RAIDLog[[#This Row],[Impact]]))</f>
        <v/>
      </c>
      <c r="L56" s="28" t="str">
        <f aca="false">IF(RAIDLog[[#This Row],[Title]]="","",IF(RAIDLog[[#This Row],[Score]]&gt;=RAIDHighScore,"High",IF(RAIDLog[[#This Row],[Score]]&gt;=RAIDMediumScore,"Medium","Low")))</f>
        <v/>
      </c>
      <c r="M56" s="28" t="str">
        <f aca="false">IF(OR(RAIDLog[[#This Row],[Title]]="",N(RAIDLog[[#This Row],[Due]])=0),"",IF(AND(RAIDLog[[#This Row],[Status]]&lt;&gt;"Closed",RAIDLog[[#This Row],[Due]]&lt;StatusDate),"Overdue",""))</f>
        <v/>
      </c>
      <c r="N56" s="29"/>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30"/>
      <c r="R56" s="30"/>
      <c r="S56" s="41" t="str">
        <f aca="false">IF(RAIDLog[[#This Row],[Title]]="","",RAIDLog[[#This Row],[Type]]&amp;" "&amp;RAIDLog[[#This Row],[Ref]]&amp;": "&amp;RAIDLog[[#This Row],[Title]])</f>
        <v/>
      </c>
      <c r="T56" s="41" t="str">
        <f aca="false">IF(AND(NOT(RAIDLog[[#This Row],[Title]]=""),RAIDLog[[#This Row],[Status]]&lt;&gt;"Closed"),RAIDLog[[#This Row],[Score]]+1-(ROW()-ROW(RAIDLog[[#Headers],[Ref]]))/100000,"")</f>
        <v/>
      </c>
    </row>
    <row r="57" customFormat="false" ht="15" hidden="false" customHeight="false" outlineLevel="0" collapsed="false">
      <c r="B57" s="29" t="n">
        <v>53</v>
      </c>
      <c r="C57" s="30"/>
      <c r="D57" s="30"/>
      <c r="E57" s="30"/>
      <c r="F57" s="77"/>
      <c r="G57" s="77"/>
      <c r="H57" s="29"/>
      <c r="I57" s="29"/>
      <c r="J57" s="29"/>
      <c r="K57" s="43" t="str">
        <f aca="false">IF(RAIDLog[[#This Row],[Title]]="","",IF(RAIDLog[[#This Row],[Type]]="Issue",5,N(RAIDLog[[#This Row],[Probability]]))*N(RAIDLog[[#This Row],[Impact]]))</f>
        <v/>
      </c>
      <c r="L57" s="28" t="str">
        <f aca="false">IF(RAIDLog[[#This Row],[Title]]="","",IF(RAIDLog[[#This Row],[Score]]&gt;=RAIDHighScore,"High",IF(RAIDLog[[#This Row],[Score]]&gt;=RAIDMediumScore,"Medium","Low")))</f>
        <v/>
      </c>
      <c r="M57" s="28" t="str">
        <f aca="false">IF(OR(RAIDLog[[#This Row],[Title]]="",N(RAIDLog[[#This Row],[Due]])=0),"",IF(AND(RAIDLog[[#This Row],[Status]]&lt;&gt;"Closed",RAIDLog[[#This Row],[Due]]&lt;StatusDate),"Overdue",""))</f>
        <v/>
      </c>
      <c r="N57" s="29"/>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30"/>
      <c r="R57" s="30"/>
      <c r="S57" s="41" t="str">
        <f aca="false">IF(RAIDLog[[#This Row],[Title]]="","",RAIDLog[[#This Row],[Type]]&amp;" "&amp;RAIDLog[[#This Row],[Ref]]&amp;": "&amp;RAIDLog[[#This Row],[Title]])</f>
        <v/>
      </c>
      <c r="T57" s="41" t="str">
        <f aca="false">IF(AND(NOT(RAIDLog[[#This Row],[Title]]=""),RAIDLog[[#This Row],[Status]]&lt;&gt;"Closed"),RAIDLog[[#This Row],[Score]]+1-(ROW()-ROW(RAIDLog[[#Headers],[Ref]]))/100000,"")</f>
        <v/>
      </c>
    </row>
    <row r="58" customFormat="false" ht="15" hidden="false" customHeight="false" outlineLevel="0" collapsed="false">
      <c r="B58" s="29" t="n">
        <v>54</v>
      </c>
      <c r="C58" s="30"/>
      <c r="D58" s="30"/>
      <c r="E58" s="30"/>
      <c r="F58" s="77"/>
      <c r="G58" s="77"/>
      <c r="H58" s="29"/>
      <c r="I58" s="29"/>
      <c r="J58" s="29"/>
      <c r="K58" s="43" t="str">
        <f aca="false">IF(RAIDLog[[#This Row],[Title]]="","",IF(RAIDLog[[#This Row],[Type]]="Issue",5,N(RAIDLog[[#This Row],[Probability]]))*N(RAIDLog[[#This Row],[Impact]]))</f>
        <v/>
      </c>
      <c r="L58" s="28" t="str">
        <f aca="false">IF(RAIDLog[[#This Row],[Title]]="","",IF(RAIDLog[[#This Row],[Score]]&gt;=RAIDHighScore,"High",IF(RAIDLog[[#This Row],[Score]]&gt;=RAIDMediumScore,"Medium","Low")))</f>
        <v/>
      </c>
      <c r="M58" s="28" t="str">
        <f aca="false">IF(OR(RAIDLog[[#This Row],[Title]]="",N(RAIDLog[[#This Row],[Due]])=0),"",IF(AND(RAIDLog[[#This Row],[Status]]&lt;&gt;"Closed",RAIDLog[[#This Row],[Due]]&lt;StatusDate),"Overdue",""))</f>
        <v/>
      </c>
      <c r="N58" s="29"/>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30"/>
      <c r="R58" s="30"/>
      <c r="S58" s="41" t="str">
        <f aca="false">IF(RAIDLog[[#This Row],[Title]]="","",RAIDLog[[#This Row],[Type]]&amp;" "&amp;RAIDLog[[#This Row],[Ref]]&amp;": "&amp;RAIDLog[[#This Row],[Title]])</f>
        <v/>
      </c>
      <c r="T58" s="41" t="str">
        <f aca="false">IF(AND(NOT(RAIDLog[[#This Row],[Title]]=""),RAIDLog[[#This Row],[Status]]&lt;&gt;"Closed"),RAIDLog[[#This Row],[Score]]+1-(ROW()-ROW(RAIDLog[[#Headers],[Ref]]))/100000,"")</f>
        <v/>
      </c>
    </row>
    <row r="59" customFormat="false" ht="15" hidden="false" customHeight="false" outlineLevel="0" collapsed="false">
      <c r="B59" s="29" t="n">
        <v>55</v>
      </c>
      <c r="C59" s="30"/>
      <c r="D59" s="30"/>
      <c r="E59" s="30"/>
      <c r="F59" s="77"/>
      <c r="G59" s="77"/>
      <c r="H59" s="29"/>
      <c r="I59" s="29"/>
      <c r="J59" s="29"/>
      <c r="K59" s="43" t="str">
        <f aca="false">IF(RAIDLog[[#This Row],[Title]]="","",IF(RAIDLog[[#This Row],[Type]]="Issue",5,N(RAIDLog[[#This Row],[Probability]]))*N(RAIDLog[[#This Row],[Impact]]))</f>
        <v/>
      </c>
      <c r="L59" s="28" t="str">
        <f aca="false">IF(RAIDLog[[#This Row],[Title]]="","",IF(RAIDLog[[#This Row],[Score]]&gt;=RAIDHighScore,"High",IF(RAIDLog[[#This Row],[Score]]&gt;=RAIDMediumScore,"Medium","Low")))</f>
        <v/>
      </c>
      <c r="M59" s="28" t="str">
        <f aca="false">IF(OR(RAIDLog[[#This Row],[Title]]="",N(RAIDLog[[#This Row],[Due]])=0),"",IF(AND(RAIDLog[[#This Row],[Status]]&lt;&gt;"Closed",RAIDLog[[#This Row],[Due]]&lt;StatusDate),"Overdue",""))</f>
        <v/>
      </c>
      <c r="N59" s="29"/>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30"/>
      <c r="R59" s="30"/>
      <c r="S59" s="41" t="str">
        <f aca="false">IF(RAIDLog[[#This Row],[Title]]="","",RAIDLog[[#This Row],[Type]]&amp;" "&amp;RAIDLog[[#This Row],[Ref]]&amp;": "&amp;RAIDLog[[#This Row],[Title]])</f>
        <v/>
      </c>
      <c r="T59" s="41" t="str">
        <f aca="false">IF(AND(NOT(RAIDLog[[#This Row],[Title]]=""),RAIDLog[[#This Row],[Status]]&lt;&gt;"Closed"),RAIDLog[[#This Row],[Score]]+1-(ROW()-ROW(RAIDLog[[#Headers],[Ref]]))/100000,"")</f>
        <v/>
      </c>
    </row>
    <row r="60" customFormat="false" ht="15" hidden="false" customHeight="false" outlineLevel="0" collapsed="false">
      <c r="B60" s="29" t="n">
        <v>56</v>
      </c>
      <c r="C60" s="30"/>
      <c r="D60" s="30"/>
      <c r="E60" s="30"/>
      <c r="F60" s="77"/>
      <c r="G60" s="77"/>
      <c r="H60" s="29"/>
      <c r="I60" s="29"/>
      <c r="J60" s="29"/>
      <c r="K60" s="43" t="str">
        <f aca="false">IF(RAIDLog[[#This Row],[Title]]="","",IF(RAIDLog[[#This Row],[Type]]="Issue",5,N(RAIDLog[[#This Row],[Probability]]))*N(RAIDLog[[#This Row],[Impact]]))</f>
        <v/>
      </c>
      <c r="L60" s="28" t="str">
        <f aca="false">IF(RAIDLog[[#This Row],[Title]]="","",IF(RAIDLog[[#This Row],[Score]]&gt;=RAIDHighScore,"High",IF(RAIDLog[[#This Row],[Score]]&gt;=RAIDMediumScore,"Medium","Low")))</f>
        <v/>
      </c>
      <c r="M60" s="28" t="str">
        <f aca="false">IF(OR(RAIDLog[[#This Row],[Title]]="",N(RAIDLog[[#This Row],[Due]])=0),"",IF(AND(RAIDLog[[#This Row],[Status]]&lt;&gt;"Closed",RAIDLog[[#This Row],[Due]]&lt;StatusDate),"Overdue",""))</f>
        <v/>
      </c>
      <c r="N60" s="29"/>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30"/>
      <c r="R60" s="30"/>
      <c r="S60" s="41" t="str">
        <f aca="false">IF(RAIDLog[[#This Row],[Title]]="","",RAIDLog[[#This Row],[Type]]&amp;" "&amp;RAIDLog[[#This Row],[Ref]]&amp;": "&amp;RAIDLog[[#This Row],[Title]])</f>
        <v/>
      </c>
      <c r="T60" s="41" t="str">
        <f aca="false">IF(AND(NOT(RAIDLog[[#This Row],[Title]]=""),RAIDLog[[#This Row],[Status]]&lt;&gt;"Closed"),RAIDLog[[#This Row],[Score]]+1-(ROW()-ROW(RAIDLog[[#Headers],[Ref]]))/100000,"")</f>
        <v/>
      </c>
    </row>
    <row r="61" customFormat="false" ht="15" hidden="false" customHeight="false" outlineLevel="0" collapsed="false">
      <c r="B61" s="29" t="n">
        <v>57</v>
      </c>
      <c r="C61" s="30"/>
      <c r="D61" s="30"/>
      <c r="E61" s="30"/>
      <c r="F61" s="77"/>
      <c r="G61" s="77"/>
      <c r="H61" s="29"/>
      <c r="I61" s="29"/>
      <c r="J61" s="29"/>
      <c r="K61" s="43" t="str">
        <f aca="false">IF(RAIDLog[[#This Row],[Title]]="","",IF(RAIDLog[[#This Row],[Type]]="Issue",5,N(RAIDLog[[#This Row],[Probability]]))*N(RAIDLog[[#This Row],[Impact]]))</f>
        <v/>
      </c>
      <c r="L61" s="28" t="str">
        <f aca="false">IF(RAIDLog[[#This Row],[Title]]="","",IF(RAIDLog[[#This Row],[Score]]&gt;=RAIDHighScore,"High",IF(RAIDLog[[#This Row],[Score]]&gt;=RAIDMediumScore,"Medium","Low")))</f>
        <v/>
      </c>
      <c r="M61" s="28" t="str">
        <f aca="false">IF(OR(RAIDLog[[#This Row],[Title]]="",N(RAIDLog[[#This Row],[Due]])=0),"",IF(AND(RAIDLog[[#This Row],[Status]]&lt;&gt;"Closed",RAIDLog[[#This Row],[Due]]&lt;StatusDate),"Overdue",""))</f>
        <v/>
      </c>
      <c r="N61" s="29"/>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30"/>
      <c r="R61" s="30"/>
      <c r="S61" s="41" t="str">
        <f aca="false">IF(RAIDLog[[#This Row],[Title]]="","",RAIDLog[[#This Row],[Type]]&amp;" "&amp;RAIDLog[[#This Row],[Ref]]&amp;": "&amp;RAIDLog[[#This Row],[Title]])</f>
        <v/>
      </c>
      <c r="T61" s="41" t="str">
        <f aca="false">IF(AND(NOT(RAIDLog[[#This Row],[Title]]=""),RAIDLog[[#This Row],[Status]]&lt;&gt;"Closed"),RAIDLog[[#This Row],[Score]]+1-(ROW()-ROW(RAIDLog[[#Headers],[Ref]]))/100000,"")</f>
        <v/>
      </c>
    </row>
    <row r="62" customFormat="false" ht="15" hidden="false" customHeight="false" outlineLevel="0" collapsed="false">
      <c r="B62" s="29" t="n">
        <v>58</v>
      </c>
      <c r="C62" s="30"/>
      <c r="D62" s="30"/>
      <c r="E62" s="30"/>
      <c r="F62" s="77"/>
      <c r="G62" s="77"/>
      <c r="H62" s="29"/>
      <c r="I62" s="29"/>
      <c r="J62" s="29"/>
      <c r="K62" s="43" t="str">
        <f aca="false">IF(RAIDLog[[#This Row],[Title]]="","",IF(RAIDLog[[#This Row],[Type]]="Issue",5,N(RAIDLog[[#This Row],[Probability]]))*N(RAIDLog[[#This Row],[Impact]]))</f>
        <v/>
      </c>
      <c r="L62" s="28" t="str">
        <f aca="false">IF(RAIDLog[[#This Row],[Title]]="","",IF(RAIDLog[[#This Row],[Score]]&gt;=RAIDHighScore,"High",IF(RAIDLog[[#This Row],[Score]]&gt;=RAIDMediumScore,"Medium","Low")))</f>
        <v/>
      </c>
      <c r="M62" s="28" t="str">
        <f aca="false">IF(OR(RAIDLog[[#This Row],[Title]]="",N(RAIDLog[[#This Row],[Due]])=0),"",IF(AND(RAIDLog[[#This Row],[Status]]&lt;&gt;"Closed",RAIDLog[[#This Row],[Due]]&lt;StatusDate),"Overdue",""))</f>
        <v/>
      </c>
      <c r="N62" s="29"/>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30"/>
      <c r="R62" s="30"/>
      <c r="S62" s="41" t="str">
        <f aca="false">IF(RAIDLog[[#This Row],[Title]]="","",RAIDLog[[#This Row],[Type]]&amp;" "&amp;RAIDLog[[#This Row],[Ref]]&amp;": "&amp;RAIDLog[[#This Row],[Title]])</f>
        <v/>
      </c>
      <c r="T62" s="41" t="str">
        <f aca="false">IF(AND(NOT(RAIDLog[[#This Row],[Title]]=""),RAIDLog[[#This Row],[Status]]&lt;&gt;"Closed"),RAIDLog[[#This Row],[Score]]+1-(ROW()-ROW(RAIDLog[[#Headers],[Ref]]))/100000,"")</f>
        <v/>
      </c>
    </row>
    <row r="63" customFormat="false" ht="15" hidden="false" customHeight="false" outlineLevel="0" collapsed="false">
      <c r="B63" s="29" t="n">
        <v>59</v>
      </c>
      <c r="C63" s="30"/>
      <c r="D63" s="30"/>
      <c r="E63" s="30"/>
      <c r="F63" s="77"/>
      <c r="G63" s="77"/>
      <c r="H63" s="29"/>
      <c r="I63" s="29"/>
      <c r="J63" s="29"/>
      <c r="K63" s="43" t="str">
        <f aca="false">IF(RAIDLog[[#This Row],[Title]]="","",IF(RAIDLog[[#This Row],[Type]]="Issue",5,N(RAIDLog[[#This Row],[Probability]]))*N(RAIDLog[[#This Row],[Impact]]))</f>
        <v/>
      </c>
      <c r="L63" s="28" t="str">
        <f aca="false">IF(RAIDLog[[#This Row],[Title]]="","",IF(RAIDLog[[#This Row],[Score]]&gt;=RAIDHighScore,"High",IF(RAIDLog[[#This Row],[Score]]&gt;=RAIDMediumScore,"Medium","Low")))</f>
        <v/>
      </c>
      <c r="M63" s="28" t="str">
        <f aca="false">IF(OR(RAIDLog[[#This Row],[Title]]="",N(RAIDLog[[#This Row],[Due]])=0),"",IF(AND(RAIDLog[[#This Row],[Status]]&lt;&gt;"Closed",RAIDLog[[#This Row],[Due]]&lt;StatusDate),"Overdue",""))</f>
        <v/>
      </c>
      <c r="N63" s="29"/>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30"/>
      <c r="R63" s="30"/>
      <c r="S63" s="41" t="str">
        <f aca="false">IF(RAIDLog[[#This Row],[Title]]="","",RAIDLog[[#This Row],[Type]]&amp;" "&amp;RAIDLog[[#This Row],[Ref]]&amp;": "&amp;RAIDLog[[#This Row],[Title]])</f>
        <v/>
      </c>
      <c r="T63" s="41" t="str">
        <f aca="false">IF(AND(NOT(RAIDLog[[#This Row],[Title]]=""),RAIDLog[[#This Row],[Status]]&lt;&gt;"Closed"),RAIDLog[[#This Row],[Score]]+1-(ROW()-ROW(RAIDLog[[#Headers],[Ref]]))/100000,"")</f>
        <v/>
      </c>
    </row>
    <row r="64" customFormat="false" ht="15" hidden="false" customHeight="false" outlineLevel="0" collapsed="false">
      <c r="B64" s="29" t="n">
        <v>60</v>
      </c>
      <c r="C64" s="30"/>
      <c r="D64" s="30"/>
      <c r="E64" s="30"/>
      <c r="F64" s="77"/>
      <c r="G64" s="77"/>
      <c r="H64" s="29"/>
      <c r="I64" s="29"/>
      <c r="J64" s="29"/>
      <c r="K64" s="43" t="str">
        <f aca="false">IF(RAIDLog[[#This Row],[Title]]="","",IF(RAIDLog[[#This Row],[Type]]="Issue",5,N(RAIDLog[[#This Row],[Probability]]))*N(RAIDLog[[#This Row],[Impact]]))</f>
        <v/>
      </c>
      <c r="L64" s="28" t="str">
        <f aca="false">IF(RAIDLog[[#This Row],[Title]]="","",IF(RAIDLog[[#This Row],[Score]]&gt;=RAIDHighScore,"High",IF(RAIDLog[[#This Row],[Score]]&gt;=RAIDMediumScore,"Medium","Low")))</f>
        <v/>
      </c>
      <c r="M64" s="28" t="str">
        <f aca="false">IF(OR(RAIDLog[[#This Row],[Title]]="",N(RAIDLog[[#This Row],[Due]])=0),"",IF(AND(RAIDLog[[#This Row],[Status]]&lt;&gt;"Closed",RAIDLog[[#This Row],[Due]]&lt;StatusDate),"Overdue",""))</f>
        <v/>
      </c>
      <c r="N64" s="29"/>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30"/>
      <c r="R64" s="30"/>
      <c r="S64" s="41" t="str">
        <f aca="false">IF(RAIDLog[[#This Row],[Title]]="","",RAIDLog[[#This Row],[Type]]&amp;" "&amp;RAIDLog[[#This Row],[Ref]]&amp;": "&amp;RAIDLog[[#This Row],[Title]])</f>
        <v/>
      </c>
      <c r="T64" s="41" t="str">
        <f aca="false">IF(AND(NOT(RAIDLog[[#This Row],[Title]]=""),RAIDLog[[#This Row],[Status]]&lt;&gt;"Closed"),RAIDLog[[#This Row],[Score]]+1-(ROW()-ROW(RAIDLog[[#Headers],[Ref]]))/100000,"")</f>
        <v/>
      </c>
    </row>
    <row r="65" customFormat="false" ht="15" hidden="false" customHeight="false" outlineLevel="0" collapsed="false">
      <c r="B65" s="29" t="n">
        <v>61</v>
      </c>
      <c r="C65" s="30"/>
      <c r="D65" s="30"/>
      <c r="E65" s="30"/>
      <c r="F65" s="77"/>
      <c r="G65" s="77"/>
      <c r="H65" s="29"/>
      <c r="I65" s="29"/>
      <c r="J65" s="29"/>
      <c r="K65" s="43" t="str">
        <f aca="false">IF(RAIDLog[[#This Row],[Title]]="","",IF(RAIDLog[[#This Row],[Type]]="Issue",5,N(RAIDLog[[#This Row],[Probability]]))*N(RAIDLog[[#This Row],[Impact]]))</f>
        <v/>
      </c>
      <c r="L65" s="28" t="str">
        <f aca="false">IF(RAIDLog[[#This Row],[Title]]="","",IF(RAIDLog[[#This Row],[Score]]&gt;=RAIDHighScore,"High",IF(RAIDLog[[#This Row],[Score]]&gt;=RAIDMediumScore,"Medium","Low")))</f>
        <v/>
      </c>
      <c r="M65" s="28" t="str">
        <f aca="false">IF(OR(RAIDLog[[#This Row],[Title]]="",N(RAIDLog[[#This Row],[Due]])=0),"",IF(AND(RAIDLog[[#This Row],[Status]]&lt;&gt;"Closed",RAIDLog[[#This Row],[Due]]&lt;StatusDate),"Overdue",""))</f>
        <v/>
      </c>
      <c r="N65" s="29"/>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30"/>
      <c r="R65" s="30"/>
      <c r="S65" s="41" t="str">
        <f aca="false">IF(RAIDLog[[#This Row],[Title]]="","",RAIDLog[[#This Row],[Type]]&amp;" "&amp;RAIDLog[[#This Row],[Ref]]&amp;": "&amp;RAIDLog[[#This Row],[Title]])</f>
        <v/>
      </c>
      <c r="T65" s="41" t="str">
        <f aca="false">IF(AND(NOT(RAIDLog[[#This Row],[Title]]=""),RAIDLog[[#This Row],[Status]]&lt;&gt;"Closed"),RAIDLog[[#This Row],[Score]]+1-(ROW()-ROW(RAIDLog[[#Headers],[Ref]]))/100000,"")</f>
        <v/>
      </c>
    </row>
    <row r="66" customFormat="false" ht="15" hidden="false" customHeight="false" outlineLevel="0" collapsed="false">
      <c r="B66" s="29" t="n">
        <v>62</v>
      </c>
      <c r="C66" s="30"/>
      <c r="D66" s="30"/>
      <c r="E66" s="30"/>
      <c r="F66" s="77"/>
      <c r="G66" s="77"/>
      <c r="H66" s="29"/>
      <c r="I66" s="29"/>
      <c r="J66" s="29"/>
      <c r="K66" s="43" t="str">
        <f aca="false">IF(RAIDLog[[#This Row],[Title]]="","",IF(RAIDLog[[#This Row],[Type]]="Issue",5,N(RAIDLog[[#This Row],[Probability]]))*N(RAIDLog[[#This Row],[Impact]]))</f>
        <v/>
      </c>
      <c r="L66" s="28" t="str">
        <f aca="false">IF(RAIDLog[[#This Row],[Title]]="","",IF(RAIDLog[[#This Row],[Score]]&gt;=RAIDHighScore,"High",IF(RAIDLog[[#This Row],[Score]]&gt;=RAIDMediumScore,"Medium","Low")))</f>
        <v/>
      </c>
      <c r="M66" s="28" t="str">
        <f aca="false">IF(OR(RAIDLog[[#This Row],[Title]]="",N(RAIDLog[[#This Row],[Due]])=0),"",IF(AND(RAIDLog[[#This Row],[Status]]&lt;&gt;"Closed",RAIDLog[[#This Row],[Due]]&lt;StatusDate),"Overdue",""))</f>
        <v/>
      </c>
      <c r="N66" s="29"/>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30"/>
      <c r="R66" s="30"/>
      <c r="S66" s="41" t="str">
        <f aca="false">IF(RAIDLog[[#This Row],[Title]]="","",RAIDLog[[#This Row],[Type]]&amp;" "&amp;RAIDLog[[#This Row],[Ref]]&amp;": "&amp;RAIDLog[[#This Row],[Title]])</f>
        <v/>
      </c>
      <c r="T66" s="41" t="str">
        <f aca="false">IF(AND(NOT(RAIDLog[[#This Row],[Title]]=""),RAIDLog[[#This Row],[Status]]&lt;&gt;"Closed"),RAIDLog[[#This Row],[Score]]+1-(ROW()-ROW(RAIDLog[[#Headers],[Ref]]))/100000,"")</f>
        <v/>
      </c>
    </row>
    <row r="67" customFormat="false" ht="15" hidden="false" customHeight="false" outlineLevel="0" collapsed="false">
      <c r="B67" s="29" t="n">
        <v>63</v>
      </c>
      <c r="C67" s="30"/>
      <c r="D67" s="30"/>
      <c r="E67" s="30"/>
      <c r="F67" s="77"/>
      <c r="G67" s="77"/>
      <c r="H67" s="29"/>
      <c r="I67" s="29"/>
      <c r="J67" s="29"/>
      <c r="K67" s="43" t="str">
        <f aca="false">IF(RAIDLog[[#This Row],[Title]]="","",IF(RAIDLog[[#This Row],[Type]]="Issue",5,N(RAIDLog[[#This Row],[Probability]]))*N(RAIDLog[[#This Row],[Impact]]))</f>
        <v/>
      </c>
      <c r="L67" s="28" t="str">
        <f aca="false">IF(RAIDLog[[#This Row],[Title]]="","",IF(RAIDLog[[#This Row],[Score]]&gt;=RAIDHighScore,"High",IF(RAIDLog[[#This Row],[Score]]&gt;=RAIDMediumScore,"Medium","Low")))</f>
        <v/>
      </c>
      <c r="M67" s="28" t="str">
        <f aca="false">IF(OR(RAIDLog[[#This Row],[Title]]="",N(RAIDLog[[#This Row],[Due]])=0),"",IF(AND(RAIDLog[[#This Row],[Status]]&lt;&gt;"Closed",RAIDLog[[#This Row],[Due]]&lt;StatusDate),"Overdue",""))</f>
        <v/>
      </c>
      <c r="N67" s="29"/>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30"/>
      <c r="R67" s="30"/>
      <c r="S67" s="41" t="str">
        <f aca="false">IF(RAIDLog[[#This Row],[Title]]="","",RAIDLog[[#This Row],[Type]]&amp;" "&amp;RAIDLog[[#This Row],[Ref]]&amp;": "&amp;RAIDLog[[#This Row],[Title]])</f>
        <v/>
      </c>
      <c r="T67" s="41" t="str">
        <f aca="false">IF(AND(NOT(RAIDLog[[#This Row],[Title]]=""),RAIDLog[[#This Row],[Status]]&lt;&gt;"Closed"),RAIDLog[[#This Row],[Score]]+1-(ROW()-ROW(RAIDLog[[#Headers],[Ref]]))/100000,"")</f>
        <v/>
      </c>
    </row>
    <row r="68" customFormat="false" ht="15" hidden="false" customHeight="false" outlineLevel="0" collapsed="false">
      <c r="B68" s="29" t="n">
        <v>64</v>
      </c>
      <c r="C68" s="30"/>
      <c r="D68" s="30"/>
      <c r="E68" s="30"/>
      <c r="F68" s="77"/>
      <c r="G68" s="77"/>
      <c r="H68" s="29"/>
      <c r="I68" s="29"/>
      <c r="J68" s="29"/>
      <c r="K68" s="43" t="str">
        <f aca="false">IF(RAIDLog[[#This Row],[Title]]="","",IF(RAIDLog[[#This Row],[Type]]="Issue",5,N(RAIDLog[[#This Row],[Probability]]))*N(RAIDLog[[#This Row],[Impact]]))</f>
        <v/>
      </c>
      <c r="L68" s="28" t="str">
        <f aca="false">IF(RAIDLog[[#This Row],[Title]]="","",IF(RAIDLog[[#This Row],[Score]]&gt;=RAIDHighScore,"High",IF(RAIDLog[[#This Row],[Score]]&gt;=RAIDMediumScore,"Medium","Low")))</f>
        <v/>
      </c>
      <c r="M68" s="28" t="str">
        <f aca="false">IF(OR(RAIDLog[[#This Row],[Title]]="",N(RAIDLog[[#This Row],[Due]])=0),"",IF(AND(RAIDLog[[#This Row],[Status]]&lt;&gt;"Closed",RAIDLog[[#This Row],[Due]]&lt;StatusDate),"Overdue",""))</f>
        <v/>
      </c>
      <c r="N68" s="29"/>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30"/>
      <c r="R68" s="30"/>
      <c r="S68" s="41" t="str">
        <f aca="false">IF(RAIDLog[[#This Row],[Title]]="","",RAIDLog[[#This Row],[Type]]&amp;" "&amp;RAIDLog[[#This Row],[Ref]]&amp;": "&amp;RAIDLog[[#This Row],[Title]])</f>
        <v/>
      </c>
      <c r="T68" s="41" t="str">
        <f aca="false">IF(AND(NOT(RAIDLog[[#This Row],[Title]]=""),RAIDLog[[#This Row],[Status]]&lt;&gt;"Closed"),RAIDLog[[#This Row],[Score]]+1-(ROW()-ROW(RAIDLog[[#Headers],[Ref]]))/100000,"")</f>
        <v/>
      </c>
    </row>
    <row r="69" customFormat="false" ht="15" hidden="false" customHeight="false" outlineLevel="0" collapsed="false">
      <c r="B69" s="29" t="n">
        <v>65</v>
      </c>
      <c r="C69" s="30"/>
      <c r="D69" s="30"/>
      <c r="E69" s="30"/>
      <c r="F69" s="77"/>
      <c r="G69" s="77"/>
      <c r="H69" s="29"/>
      <c r="I69" s="29"/>
      <c r="J69" s="29"/>
      <c r="K69" s="43" t="str">
        <f aca="false">IF(RAIDLog[[#This Row],[Title]]="","",IF(RAIDLog[[#This Row],[Type]]="Issue",5,N(RAIDLog[[#This Row],[Probability]]))*N(RAIDLog[[#This Row],[Impact]]))</f>
        <v/>
      </c>
      <c r="L69" s="28" t="str">
        <f aca="false">IF(RAIDLog[[#This Row],[Title]]="","",IF(RAIDLog[[#This Row],[Score]]&gt;=RAIDHighScore,"High",IF(RAIDLog[[#This Row],[Score]]&gt;=RAIDMediumScore,"Medium","Low")))</f>
        <v/>
      </c>
      <c r="M69" s="28" t="str">
        <f aca="false">IF(OR(RAIDLog[[#This Row],[Title]]="",N(RAIDLog[[#This Row],[Due]])=0),"",IF(AND(RAIDLog[[#This Row],[Status]]&lt;&gt;"Closed",RAIDLog[[#This Row],[Due]]&lt;StatusDate),"Overdue",""))</f>
        <v/>
      </c>
      <c r="N69" s="29"/>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30"/>
      <c r="R69" s="30"/>
      <c r="S69" s="41" t="str">
        <f aca="false">IF(RAIDLog[[#This Row],[Title]]="","",RAIDLog[[#This Row],[Type]]&amp;" "&amp;RAIDLog[[#This Row],[Ref]]&amp;": "&amp;RAIDLog[[#This Row],[Title]])</f>
        <v/>
      </c>
      <c r="T69" s="41" t="str">
        <f aca="false">IF(AND(NOT(RAIDLog[[#This Row],[Title]]=""),RAIDLog[[#This Row],[Status]]&lt;&gt;"Closed"),RAIDLog[[#This Row],[Score]]+1-(ROW()-ROW(RAIDLog[[#Headers],[Ref]]))/100000,"")</f>
        <v/>
      </c>
    </row>
    <row r="70" customFormat="false" ht="15" hidden="false" customHeight="false" outlineLevel="0" collapsed="false">
      <c r="B70" s="29" t="n">
        <v>66</v>
      </c>
      <c r="C70" s="30"/>
      <c r="D70" s="30"/>
      <c r="E70" s="30"/>
      <c r="F70" s="77"/>
      <c r="G70" s="77"/>
      <c r="H70" s="29"/>
      <c r="I70" s="29"/>
      <c r="J70" s="29"/>
      <c r="K70" s="43" t="str">
        <f aca="false">IF(RAIDLog[[#This Row],[Title]]="","",IF(RAIDLog[[#This Row],[Type]]="Issue",5,N(RAIDLog[[#This Row],[Probability]]))*N(RAIDLog[[#This Row],[Impact]]))</f>
        <v/>
      </c>
      <c r="L70" s="28" t="str">
        <f aca="false">IF(RAIDLog[[#This Row],[Title]]="","",IF(RAIDLog[[#This Row],[Score]]&gt;=RAIDHighScore,"High",IF(RAIDLog[[#This Row],[Score]]&gt;=RAIDMediumScore,"Medium","Low")))</f>
        <v/>
      </c>
      <c r="M70" s="28" t="str">
        <f aca="false">IF(OR(RAIDLog[[#This Row],[Title]]="",N(RAIDLog[[#This Row],[Due]])=0),"",IF(AND(RAIDLog[[#This Row],[Status]]&lt;&gt;"Closed",RAIDLog[[#This Row],[Due]]&lt;StatusDate),"Overdue",""))</f>
        <v/>
      </c>
      <c r="N70" s="29"/>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30"/>
      <c r="R70" s="30"/>
      <c r="S70" s="41" t="str">
        <f aca="false">IF(RAIDLog[[#This Row],[Title]]="","",RAIDLog[[#This Row],[Type]]&amp;" "&amp;RAIDLog[[#This Row],[Ref]]&amp;": "&amp;RAIDLog[[#This Row],[Title]])</f>
        <v/>
      </c>
      <c r="T70" s="41" t="str">
        <f aca="false">IF(AND(NOT(RAIDLog[[#This Row],[Title]]=""),RAIDLog[[#This Row],[Status]]&lt;&gt;"Closed"),RAIDLog[[#This Row],[Score]]+1-(ROW()-ROW(RAIDLog[[#Headers],[Ref]]))/100000,"")</f>
        <v/>
      </c>
    </row>
    <row r="71" customFormat="false" ht="15" hidden="false" customHeight="false" outlineLevel="0" collapsed="false">
      <c r="B71" s="29" t="n">
        <v>67</v>
      </c>
      <c r="C71" s="30"/>
      <c r="D71" s="30"/>
      <c r="E71" s="30"/>
      <c r="F71" s="77"/>
      <c r="G71" s="77"/>
      <c r="H71" s="29"/>
      <c r="I71" s="29"/>
      <c r="J71" s="29"/>
      <c r="K71" s="43" t="str">
        <f aca="false">IF(RAIDLog[[#This Row],[Title]]="","",IF(RAIDLog[[#This Row],[Type]]="Issue",5,N(RAIDLog[[#This Row],[Probability]]))*N(RAIDLog[[#This Row],[Impact]]))</f>
        <v/>
      </c>
      <c r="L71" s="28" t="str">
        <f aca="false">IF(RAIDLog[[#This Row],[Title]]="","",IF(RAIDLog[[#This Row],[Score]]&gt;=RAIDHighScore,"High",IF(RAIDLog[[#This Row],[Score]]&gt;=RAIDMediumScore,"Medium","Low")))</f>
        <v/>
      </c>
      <c r="M71" s="28" t="str">
        <f aca="false">IF(OR(RAIDLog[[#This Row],[Title]]="",N(RAIDLog[[#This Row],[Due]])=0),"",IF(AND(RAIDLog[[#This Row],[Status]]&lt;&gt;"Closed",RAIDLog[[#This Row],[Due]]&lt;StatusDate),"Overdue",""))</f>
        <v/>
      </c>
      <c r="N71" s="29"/>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30"/>
      <c r="R71" s="30"/>
      <c r="S71" s="41" t="str">
        <f aca="false">IF(RAIDLog[[#This Row],[Title]]="","",RAIDLog[[#This Row],[Type]]&amp;" "&amp;RAIDLog[[#This Row],[Ref]]&amp;": "&amp;RAIDLog[[#This Row],[Title]])</f>
        <v/>
      </c>
      <c r="T71" s="41" t="str">
        <f aca="false">IF(AND(NOT(RAIDLog[[#This Row],[Title]]=""),RAIDLog[[#This Row],[Status]]&lt;&gt;"Closed"),RAIDLog[[#This Row],[Score]]+1-(ROW()-ROW(RAIDLog[[#Headers],[Ref]]))/100000,"")</f>
        <v/>
      </c>
    </row>
    <row r="72" customFormat="false" ht="15" hidden="false" customHeight="false" outlineLevel="0" collapsed="false">
      <c r="B72" s="29" t="n">
        <v>68</v>
      </c>
      <c r="C72" s="30"/>
      <c r="D72" s="30"/>
      <c r="E72" s="30"/>
      <c r="F72" s="77"/>
      <c r="G72" s="77"/>
      <c r="H72" s="29"/>
      <c r="I72" s="29"/>
      <c r="J72" s="29"/>
      <c r="K72" s="43" t="str">
        <f aca="false">IF(RAIDLog[[#This Row],[Title]]="","",IF(RAIDLog[[#This Row],[Type]]="Issue",5,N(RAIDLog[[#This Row],[Probability]]))*N(RAIDLog[[#This Row],[Impact]]))</f>
        <v/>
      </c>
      <c r="L72" s="28" t="str">
        <f aca="false">IF(RAIDLog[[#This Row],[Title]]="","",IF(RAIDLog[[#This Row],[Score]]&gt;=RAIDHighScore,"High",IF(RAIDLog[[#This Row],[Score]]&gt;=RAIDMediumScore,"Medium","Low")))</f>
        <v/>
      </c>
      <c r="M72" s="28" t="str">
        <f aca="false">IF(OR(RAIDLog[[#This Row],[Title]]="",N(RAIDLog[[#This Row],[Due]])=0),"",IF(AND(RAIDLog[[#This Row],[Status]]&lt;&gt;"Closed",RAIDLog[[#This Row],[Due]]&lt;StatusDate),"Overdue",""))</f>
        <v/>
      </c>
      <c r="N72" s="29"/>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30"/>
      <c r="R72" s="30"/>
      <c r="S72" s="41" t="str">
        <f aca="false">IF(RAIDLog[[#This Row],[Title]]="","",RAIDLog[[#This Row],[Type]]&amp;" "&amp;RAIDLog[[#This Row],[Ref]]&amp;": "&amp;RAIDLog[[#This Row],[Title]])</f>
        <v/>
      </c>
      <c r="T72" s="41" t="str">
        <f aca="false">IF(AND(NOT(RAIDLog[[#This Row],[Title]]=""),RAIDLog[[#This Row],[Status]]&lt;&gt;"Closed"),RAIDLog[[#This Row],[Score]]+1-(ROW()-ROW(RAIDLog[[#Headers],[Ref]]))/100000,"")</f>
        <v/>
      </c>
    </row>
    <row r="73" customFormat="false" ht="15" hidden="false" customHeight="false" outlineLevel="0" collapsed="false">
      <c r="B73" s="29" t="n">
        <v>69</v>
      </c>
      <c r="C73" s="30"/>
      <c r="D73" s="30"/>
      <c r="E73" s="30"/>
      <c r="F73" s="77"/>
      <c r="G73" s="77"/>
      <c r="H73" s="29"/>
      <c r="I73" s="29"/>
      <c r="J73" s="29"/>
      <c r="K73" s="43" t="str">
        <f aca="false">IF(RAIDLog[[#This Row],[Title]]="","",IF(RAIDLog[[#This Row],[Type]]="Issue",5,N(RAIDLog[[#This Row],[Probability]]))*N(RAIDLog[[#This Row],[Impact]]))</f>
        <v/>
      </c>
      <c r="L73" s="28" t="str">
        <f aca="false">IF(RAIDLog[[#This Row],[Title]]="","",IF(RAIDLog[[#This Row],[Score]]&gt;=RAIDHighScore,"High",IF(RAIDLog[[#This Row],[Score]]&gt;=RAIDMediumScore,"Medium","Low")))</f>
        <v/>
      </c>
      <c r="M73" s="28" t="str">
        <f aca="false">IF(OR(RAIDLog[[#This Row],[Title]]="",N(RAIDLog[[#This Row],[Due]])=0),"",IF(AND(RAIDLog[[#This Row],[Status]]&lt;&gt;"Closed",RAIDLog[[#This Row],[Due]]&lt;StatusDate),"Overdue",""))</f>
        <v/>
      </c>
      <c r="N73" s="29"/>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30"/>
      <c r="R73" s="30"/>
      <c r="S73" s="41" t="str">
        <f aca="false">IF(RAIDLog[[#This Row],[Title]]="","",RAIDLog[[#This Row],[Type]]&amp;" "&amp;RAIDLog[[#This Row],[Ref]]&amp;": "&amp;RAIDLog[[#This Row],[Title]])</f>
        <v/>
      </c>
      <c r="T73" s="41" t="str">
        <f aca="false">IF(AND(NOT(RAIDLog[[#This Row],[Title]]=""),RAIDLog[[#This Row],[Status]]&lt;&gt;"Closed"),RAIDLog[[#This Row],[Score]]+1-(ROW()-ROW(RAIDLog[[#Headers],[Ref]]))/100000,"")</f>
        <v/>
      </c>
    </row>
    <row r="74" customFormat="false" ht="15" hidden="false" customHeight="false" outlineLevel="0" collapsed="false">
      <c r="B74" s="29" t="n">
        <v>70</v>
      </c>
      <c r="C74" s="30"/>
      <c r="D74" s="30"/>
      <c r="E74" s="30"/>
      <c r="F74" s="77"/>
      <c r="G74" s="77"/>
      <c r="H74" s="29"/>
      <c r="I74" s="29"/>
      <c r="J74" s="29"/>
      <c r="K74" s="43" t="str">
        <f aca="false">IF(RAIDLog[[#This Row],[Title]]="","",IF(RAIDLog[[#This Row],[Type]]="Issue",5,N(RAIDLog[[#This Row],[Probability]]))*N(RAIDLog[[#This Row],[Impact]]))</f>
        <v/>
      </c>
      <c r="L74" s="28" t="str">
        <f aca="false">IF(RAIDLog[[#This Row],[Title]]="","",IF(RAIDLog[[#This Row],[Score]]&gt;=RAIDHighScore,"High",IF(RAIDLog[[#This Row],[Score]]&gt;=RAIDMediumScore,"Medium","Low")))</f>
        <v/>
      </c>
      <c r="M74" s="28" t="str">
        <f aca="false">IF(OR(RAIDLog[[#This Row],[Title]]="",N(RAIDLog[[#This Row],[Due]])=0),"",IF(AND(RAIDLog[[#This Row],[Status]]&lt;&gt;"Closed",RAIDLog[[#This Row],[Due]]&lt;StatusDate),"Overdue",""))</f>
        <v/>
      </c>
      <c r="N74" s="29"/>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30"/>
      <c r="R74" s="30"/>
      <c r="S74" s="41" t="str">
        <f aca="false">IF(RAIDLog[[#This Row],[Title]]="","",RAIDLog[[#This Row],[Type]]&amp;" "&amp;RAIDLog[[#This Row],[Ref]]&amp;": "&amp;RAIDLog[[#This Row],[Title]])</f>
        <v/>
      </c>
      <c r="T74" s="41" t="str">
        <f aca="false">IF(AND(NOT(RAIDLog[[#This Row],[Title]]=""),RAIDLog[[#This Row],[Status]]&lt;&gt;"Closed"),RAIDLog[[#This Row],[Score]]+1-(ROW()-ROW(RAIDLog[[#Headers],[Ref]]))/100000,"")</f>
        <v/>
      </c>
    </row>
    <row r="75" customFormat="false" ht="15" hidden="false" customHeight="false" outlineLevel="0" collapsed="false">
      <c r="B75" s="29" t="n">
        <v>71</v>
      </c>
      <c r="C75" s="30"/>
      <c r="D75" s="30"/>
      <c r="E75" s="30"/>
      <c r="F75" s="77"/>
      <c r="G75" s="77"/>
      <c r="H75" s="29"/>
      <c r="I75" s="29"/>
      <c r="J75" s="29"/>
      <c r="K75" s="43" t="str">
        <f aca="false">IF(RAIDLog[[#This Row],[Title]]="","",IF(RAIDLog[[#This Row],[Type]]="Issue",5,N(RAIDLog[[#This Row],[Probability]]))*N(RAIDLog[[#This Row],[Impact]]))</f>
        <v/>
      </c>
      <c r="L75" s="28" t="str">
        <f aca="false">IF(RAIDLog[[#This Row],[Title]]="","",IF(RAIDLog[[#This Row],[Score]]&gt;=RAIDHighScore,"High",IF(RAIDLog[[#This Row],[Score]]&gt;=RAIDMediumScore,"Medium","Low")))</f>
        <v/>
      </c>
      <c r="M75" s="28" t="str">
        <f aca="false">IF(OR(RAIDLog[[#This Row],[Title]]="",N(RAIDLog[[#This Row],[Due]])=0),"",IF(AND(RAIDLog[[#This Row],[Status]]&lt;&gt;"Closed",RAIDLog[[#This Row],[Due]]&lt;StatusDate),"Overdue",""))</f>
        <v/>
      </c>
      <c r="N75" s="29"/>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30"/>
      <c r="R75" s="30"/>
      <c r="S75" s="41" t="str">
        <f aca="false">IF(RAIDLog[[#This Row],[Title]]="","",RAIDLog[[#This Row],[Type]]&amp;" "&amp;RAIDLog[[#This Row],[Ref]]&amp;": "&amp;RAIDLog[[#This Row],[Title]])</f>
        <v/>
      </c>
      <c r="T75" s="41" t="str">
        <f aca="false">IF(AND(NOT(RAIDLog[[#This Row],[Title]]=""),RAIDLog[[#This Row],[Status]]&lt;&gt;"Closed"),RAIDLog[[#This Row],[Score]]+1-(ROW()-ROW(RAIDLog[[#Headers],[Ref]]))/100000,"")</f>
        <v/>
      </c>
    </row>
    <row r="76" customFormat="false" ht="15" hidden="false" customHeight="false" outlineLevel="0" collapsed="false">
      <c r="B76" s="29" t="n">
        <v>72</v>
      </c>
      <c r="C76" s="30"/>
      <c r="D76" s="30"/>
      <c r="E76" s="30"/>
      <c r="F76" s="77"/>
      <c r="G76" s="77"/>
      <c r="H76" s="29"/>
      <c r="I76" s="29"/>
      <c r="J76" s="29"/>
      <c r="K76" s="43" t="str">
        <f aca="false">IF(RAIDLog[[#This Row],[Title]]="","",IF(RAIDLog[[#This Row],[Type]]="Issue",5,N(RAIDLog[[#This Row],[Probability]]))*N(RAIDLog[[#This Row],[Impact]]))</f>
        <v/>
      </c>
      <c r="L76" s="28" t="str">
        <f aca="false">IF(RAIDLog[[#This Row],[Title]]="","",IF(RAIDLog[[#This Row],[Score]]&gt;=RAIDHighScore,"High",IF(RAIDLog[[#This Row],[Score]]&gt;=RAIDMediumScore,"Medium","Low")))</f>
        <v/>
      </c>
      <c r="M76" s="28" t="str">
        <f aca="false">IF(OR(RAIDLog[[#This Row],[Title]]="",N(RAIDLog[[#This Row],[Due]])=0),"",IF(AND(RAIDLog[[#This Row],[Status]]&lt;&gt;"Closed",RAIDLog[[#This Row],[Due]]&lt;StatusDate),"Overdue",""))</f>
        <v/>
      </c>
      <c r="N76" s="29"/>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30"/>
      <c r="R76" s="30"/>
      <c r="S76" s="41" t="str">
        <f aca="false">IF(RAIDLog[[#This Row],[Title]]="","",RAIDLog[[#This Row],[Type]]&amp;" "&amp;RAIDLog[[#This Row],[Ref]]&amp;": "&amp;RAIDLog[[#This Row],[Title]])</f>
        <v/>
      </c>
      <c r="T76" s="41" t="str">
        <f aca="false">IF(AND(NOT(RAIDLog[[#This Row],[Title]]=""),RAIDLog[[#This Row],[Status]]&lt;&gt;"Closed"),RAIDLog[[#This Row],[Score]]+1-(ROW()-ROW(RAIDLog[[#Headers],[Ref]]))/100000,"")</f>
        <v/>
      </c>
    </row>
    <row r="77" customFormat="false" ht="15" hidden="false" customHeight="false" outlineLevel="0" collapsed="false">
      <c r="B77" s="29" t="n">
        <v>73</v>
      </c>
      <c r="C77" s="30"/>
      <c r="D77" s="30"/>
      <c r="E77" s="30"/>
      <c r="F77" s="77"/>
      <c r="G77" s="77"/>
      <c r="H77" s="29"/>
      <c r="I77" s="29"/>
      <c r="J77" s="29"/>
      <c r="K77" s="43" t="str">
        <f aca="false">IF(RAIDLog[[#This Row],[Title]]="","",IF(RAIDLog[[#This Row],[Type]]="Issue",5,N(RAIDLog[[#This Row],[Probability]]))*N(RAIDLog[[#This Row],[Impact]]))</f>
        <v/>
      </c>
      <c r="L77" s="28" t="str">
        <f aca="false">IF(RAIDLog[[#This Row],[Title]]="","",IF(RAIDLog[[#This Row],[Score]]&gt;=RAIDHighScore,"High",IF(RAIDLog[[#This Row],[Score]]&gt;=RAIDMediumScore,"Medium","Low")))</f>
        <v/>
      </c>
      <c r="M77" s="28" t="str">
        <f aca="false">IF(OR(RAIDLog[[#This Row],[Title]]="",N(RAIDLog[[#This Row],[Due]])=0),"",IF(AND(RAIDLog[[#This Row],[Status]]&lt;&gt;"Closed",RAIDLog[[#This Row],[Due]]&lt;StatusDate),"Overdue",""))</f>
        <v/>
      </c>
      <c r="N77" s="29"/>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30"/>
      <c r="R77" s="30"/>
      <c r="S77" s="41" t="str">
        <f aca="false">IF(RAIDLog[[#This Row],[Title]]="","",RAIDLog[[#This Row],[Type]]&amp;" "&amp;RAIDLog[[#This Row],[Ref]]&amp;": "&amp;RAIDLog[[#This Row],[Title]])</f>
        <v/>
      </c>
      <c r="T77" s="41" t="str">
        <f aca="false">IF(AND(NOT(RAIDLog[[#This Row],[Title]]=""),RAIDLog[[#This Row],[Status]]&lt;&gt;"Closed"),RAIDLog[[#This Row],[Score]]+1-(ROW()-ROW(RAIDLog[[#Headers],[Ref]]))/100000,"")</f>
        <v/>
      </c>
    </row>
    <row r="78" customFormat="false" ht="15" hidden="false" customHeight="false" outlineLevel="0" collapsed="false">
      <c r="B78" s="29" t="n">
        <v>74</v>
      </c>
      <c r="C78" s="30"/>
      <c r="D78" s="30"/>
      <c r="E78" s="30"/>
      <c r="F78" s="77"/>
      <c r="G78" s="77"/>
      <c r="H78" s="29"/>
      <c r="I78" s="29"/>
      <c r="J78" s="29"/>
      <c r="K78" s="43" t="str">
        <f aca="false">IF(RAIDLog[[#This Row],[Title]]="","",IF(RAIDLog[[#This Row],[Type]]="Issue",5,N(RAIDLog[[#This Row],[Probability]]))*N(RAIDLog[[#This Row],[Impact]]))</f>
        <v/>
      </c>
      <c r="L78" s="28" t="str">
        <f aca="false">IF(RAIDLog[[#This Row],[Title]]="","",IF(RAIDLog[[#This Row],[Score]]&gt;=RAIDHighScore,"High",IF(RAIDLog[[#This Row],[Score]]&gt;=RAIDMediumScore,"Medium","Low")))</f>
        <v/>
      </c>
      <c r="M78" s="28" t="str">
        <f aca="false">IF(OR(RAIDLog[[#This Row],[Title]]="",N(RAIDLog[[#This Row],[Due]])=0),"",IF(AND(RAIDLog[[#This Row],[Status]]&lt;&gt;"Closed",RAIDLog[[#This Row],[Due]]&lt;StatusDate),"Overdue",""))</f>
        <v/>
      </c>
      <c r="N78" s="29"/>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30"/>
      <c r="R78" s="30"/>
      <c r="S78" s="41" t="str">
        <f aca="false">IF(RAIDLog[[#This Row],[Title]]="","",RAIDLog[[#This Row],[Type]]&amp;" "&amp;RAIDLog[[#This Row],[Ref]]&amp;": "&amp;RAIDLog[[#This Row],[Title]])</f>
        <v/>
      </c>
      <c r="T78" s="41" t="str">
        <f aca="false">IF(AND(NOT(RAIDLog[[#This Row],[Title]]=""),RAIDLog[[#This Row],[Status]]&lt;&gt;"Closed"),RAIDLog[[#This Row],[Score]]+1-(ROW()-ROW(RAIDLog[[#Headers],[Ref]]))/100000,"")</f>
        <v/>
      </c>
    </row>
    <row r="79" customFormat="false" ht="15" hidden="false" customHeight="false" outlineLevel="0" collapsed="false">
      <c r="B79" s="29" t="n">
        <v>75</v>
      </c>
      <c r="C79" s="30"/>
      <c r="D79" s="30"/>
      <c r="E79" s="30"/>
      <c r="F79" s="77"/>
      <c r="G79" s="77"/>
      <c r="H79" s="29"/>
      <c r="I79" s="29"/>
      <c r="J79" s="29"/>
      <c r="K79" s="43" t="str">
        <f aca="false">IF(RAIDLog[[#This Row],[Title]]="","",IF(RAIDLog[[#This Row],[Type]]="Issue",5,N(RAIDLog[[#This Row],[Probability]]))*N(RAIDLog[[#This Row],[Impact]]))</f>
        <v/>
      </c>
      <c r="L79" s="28" t="str">
        <f aca="false">IF(RAIDLog[[#This Row],[Title]]="","",IF(RAIDLog[[#This Row],[Score]]&gt;=RAIDHighScore,"High",IF(RAIDLog[[#This Row],[Score]]&gt;=RAIDMediumScore,"Medium","Low")))</f>
        <v/>
      </c>
      <c r="M79" s="28" t="str">
        <f aca="false">IF(OR(RAIDLog[[#This Row],[Title]]="",N(RAIDLog[[#This Row],[Due]])=0),"",IF(AND(RAIDLog[[#This Row],[Status]]&lt;&gt;"Closed",RAIDLog[[#This Row],[Due]]&lt;StatusDate),"Overdue",""))</f>
        <v/>
      </c>
      <c r="N79" s="29"/>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30"/>
      <c r="R79" s="30"/>
      <c r="S79" s="41" t="str">
        <f aca="false">IF(RAIDLog[[#This Row],[Title]]="","",RAIDLog[[#This Row],[Type]]&amp;" "&amp;RAIDLog[[#This Row],[Ref]]&amp;": "&amp;RAIDLog[[#This Row],[Title]])</f>
        <v/>
      </c>
      <c r="T79" s="41" t="str">
        <f aca="false">IF(AND(NOT(RAIDLog[[#This Row],[Title]]=""),RAIDLog[[#This Row],[Status]]&lt;&gt;"Closed"),RAIDLog[[#This Row],[Score]]+1-(ROW()-ROW(RAIDLog[[#Headers],[Ref]]))/100000,"")</f>
        <v/>
      </c>
    </row>
    <row r="80" customFormat="false" ht="15" hidden="false" customHeight="false" outlineLevel="0" collapsed="false">
      <c r="B80" s="29" t="n">
        <v>76</v>
      </c>
      <c r="C80" s="30"/>
      <c r="D80" s="30"/>
      <c r="E80" s="30"/>
      <c r="F80" s="77"/>
      <c r="G80" s="77"/>
      <c r="H80" s="29"/>
      <c r="I80" s="29"/>
      <c r="J80" s="29"/>
      <c r="K80" s="43" t="str">
        <f aca="false">IF(RAIDLog[[#This Row],[Title]]="","",IF(RAIDLog[[#This Row],[Type]]="Issue",5,N(RAIDLog[[#This Row],[Probability]]))*N(RAIDLog[[#This Row],[Impact]]))</f>
        <v/>
      </c>
      <c r="L80" s="28" t="str">
        <f aca="false">IF(RAIDLog[[#This Row],[Title]]="","",IF(RAIDLog[[#This Row],[Score]]&gt;=RAIDHighScore,"High",IF(RAIDLog[[#This Row],[Score]]&gt;=RAIDMediumScore,"Medium","Low")))</f>
        <v/>
      </c>
      <c r="M80" s="28" t="str">
        <f aca="false">IF(OR(RAIDLog[[#This Row],[Title]]="",N(RAIDLog[[#This Row],[Due]])=0),"",IF(AND(RAIDLog[[#This Row],[Status]]&lt;&gt;"Closed",RAIDLog[[#This Row],[Due]]&lt;StatusDate),"Overdue",""))</f>
        <v/>
      </c>
      <c r="N80" s="29"/>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30"/>
      <c r="R80" s="30"/>
      <c r="S80" s="41" t="str">
        <f aca="false">IF(RAIDLog[[#This Row],[Title]]="","",RAIDLog[[#This Row],[Type]]&amp;" "&amp;RAIDLog[[#This Row],[Ref]]&amp;": "&amp;RAIDLog[[#This Row],[Title]])</f>
        <v/>
      </c>
      <c r="T80" s="41" t="str">
        <f aca="false">IF(AND(NOT(RAIDLog[[#This Row],[Title]]=""),RAIDLog[[#This Row],[Status]]&lt;&gt;"Closed"),RAIDLog[[#This Row],[Score]]+1-(ROW()-ROW(RAIDLog[[#Headers],[Ref]]))/100000,"")</f>
        <v/>
      </c>
    </row>
    <row r="81" customFormat="false" ht="15" hidden="false" customHeight="false" outlineLevel="0" collapsed="false">
      <c r="B81" s="29" t="n">
        <v>77</v>
      </c>
      <c r="C81" s="30"/>
      <c r="D81" s="30"/>
      <c r="E81" s="30"/>
      <c r="F81" s="77"/>
      <c r="G81" s="77"/>
      <c r="H81" s="29"/>
      <c r="I81" s="29"/>
      <c r="J81" s="29"/>
      <c r="K81" s="43" t="str">
        <f aca="false">IF(RAIDLog[[#This Row],[Title]]="","",IF(RAIDLog[[#This Row],[Type]]="Issue",5,N(RAIDLog[[#This Row],[Probability]]))*N(RAIDLog[[#This Row],[Impact]]))</f>
        <v/>
      </c>
      <c r="L81" s="28" t="str">
        <f aca="false">IF(RAIDLog[[#This Row],[Title]]="","",IF(RAIDLog[[#This Row],[Score]]&gt;=RAIDHighScore,"High",IF(RAIDLog[[#This Row],[Score]]&gt;=RAIDMediumScore,"Medium","Low")))</f>
        <v/>
      </c>
      <c r="M81" s="28" t="str">
        <f aca="false">IF(OR(RAIDLog[[#This Row],[Title]]="",N(RAIDLog[[#This Row],[Due]])=0),"",IF(AND(RAIDLog[[#This Row],[Status]]&lt;&gt;"Closed",RAIDLog[[#This Row],[Due]]&lt;StatusDate),"Overdue",""))</f>
        <v/>
      </c>
      <c r="N81" s="29"/>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30"/>
      <c r="R81" s="30"/>
      <c r="S81" s="41" t="str">
        <f aca="false">IF(RAIDLog[[#This Row],[Title]]="","",RAIDLog[[#This Row],[Type]]&amp;" "&amp;RAIDLog[[#This Row],[Ref]]&amp;": "&amp;RAIDLog[[#This Row],[Title]])</f>
        <v/>
      </c>
      <c r="T81" s="41" t="str">
        <f aca="false">IF(AND(NOT(RAIDLog[[#This Row],[Title]]=""),RAIDLog[[#This Row],[Status]]&lt;&gt;"Closed"),RAIDLog[[#This Row],[Score]]+1-(ROW()-ROW(RAIDLog[[#Headers],[Ref]]))/100000,"")</f>
        <v/>
      </c>
    </row>
    <row r="82" customFormat="false" ht="15" hidden="false" customHeight="false" outlineLevel="0" collapsed="false">
      <c r="B82" s="29" t="n">
        <v>78</v>
      </c>
      <c r="C82" s="30"/>
      <c r="D82" s="30"/>
      <c r="E82" s="30"/>
      <c r="F82" s="77"/>
      <c r="G82" s="77"/>
      <c r="H82" s="29"/>
      <c r="I82" s="29"/>
      <c r="J82" s="29"/>
      <c r="K82" s="43" t="str">
        <f aca="false">IF(RAIDLog[[#This Row],[Title]]="","",IF(RAIDLog[[#This Row],[Type]]="Issue",5,N(RAIDLog[[#This Row],[Probability]]))*N(RAIDLog[[#This Row],[Impact]]))</f>
        <v/>
      </c>
      <c r="L82" s="28" t="str">
        <f aca="false">IF(RAIDLog[[#This Row],[Title]]="","",IF(RAIDLog[[#This Row],[Score]]&gt;=RAIDHighScore,"High",IF(RAIDLog[[#This Row],[Score]]&gt;=RAIDMediumScore,"Medium","Low")))</f>
        <v/>
      </c>
      <c r="M82" s="28" t="str">
        <f aca="false">IF(OR(RAIDLog[[#This Row],[Title]]="",N(RAIDLog[[#This Row],[Due]])=0),"",IF(AND(RAIDLog[[#This Row],[Status]]&lt;&gt;"Closed",RAIDLog[[#This Row],[Due]]&lt;StatusDate),"Overdue",""))</f>
        <v/>
      </c>
      <c r="N82" s="29"/>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30"/>
      <c r="R82" s="30"/>
      <c r="S82" s="41" t="str">
        <f aca="false">IF(RAIDLog[[#This Row],[Title]]="","",RAIDLog[[#This Row],[Type]]&amp;" "&amp;RAIDLog[[#This Row],[Ref]]&amp;": "&amp;RAIDLog[[#This Row],[Title]])</f>
        <v/>
      </c>
      <c r="T82" s="41" t="str">
        <f aca="false">IF(AND(NOT(RAIDLog[[#This Row],[Title]]=""),RAIDLog[[#This Row],[Status]]&lt;&gt;"Closed"),RAIDLog[[#This Row],[Score]]+1-(ROW()-ROW(RAIDLog[[#Headers],[Ref]]))/100000,"")</f>
        <v/>
      </c>
    </row>
    <row r="83" customFormat="false" ht="15" hidden="false" customHeight="false" outlineLevel="0" collapsed="false">
      <c r="B83" s="29" t="n">
        <v>79</v>
      </c>
      <c r="C83" s="30"/>
      <c r="D83" s="30"/>
      <c r="E83" s="30"/>
      <c r="F83" s="77"/>
      <c r="G83" s="77"/>
      <c r="H83" s="29"/>
      <c r="I83" s="29"/>
      <c r="J83" s="29"/>
      <c r="K83" s="43" t="str">
        <f aca="false">IF(RAIDLog[[#This Row],[Title]]="","",IF(RAIDLog[[#This Row],[Type]]="Issue",5,N(RAIDLog[[#This Row],[Probability]]))*N(RAIDLog[[#This Row],[Impact]]))</f>
        <v/>
      </c>
      <c r="L83" s="28" t="str">
        <f aca="false">IF(RAIDLog[[#This Row],[Title]]="","",IF(RAIDLog[[#This Row],[Score]]&gt;=RAIDHighScore,"High",IF(RAIDLog[[#This Row],[Score]]&gt;=RAIDMediumScore,"Medium","Low")))</f>
        <v/>
      </c>
      <c r="M83" s="28" t="str">
        <f aca="false">IF(OR(RAIDLog[[#This Row],[Title]]="",N(RAIDLog[[#This Row],[Due]])=0),"",IF(AND(RAIDLog[[#This Row],[Status]]&lt;&gt;"Closed",RAIDLog[[#This Row],[Due]]&lt;StatusDate),"Overdue",""))</f>
        <v/>
      </c>
      <c r="N83" s="29"/>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30"/>
      <c r="R83" s="30"/>
      <c r="S83" s="41" t="str">
        <f aca="false">IF(RAIDLog[[#This Row],[Title]]="","",RAIDLog[[#This Row],[Type]]&amp;" "&amp;RAIDLog[[#This Row],[Ref]]&amp;": "&amp;RAIDLog[[#This Row],[Title]])</f>
        <v/>
      </c>
      <c r="T83" s="41" t="str">
        <f aca="false">IF(AND(NOT(RAIDLog[[#This Row],[Title]]=""),RAIDLog[[#This Row],[Status]]&lt;&gt;"Closed"),RAIDLog[[#This Row],[Score]]+1-(ROW()-ROW(RAIDLog[[#Headers],[Ref]]))/100000,"")</f>
        <v/>
      </c>
    </row>
    <row r="84" customFormat="false" ht="15" hidden="false" customHeight="false" outlineLevel="0" collapsed="false">
      <c r="B84" s="29" t="n">
        <v>80</v>
      </c>
      <c r="C84" s="30"/>
      <c r="D84" s="30"/>
      <c r="E84" s="30"/>
      <c r="F84" s="77"/>
      <c r="G84" s="77"/>
      <c r="H84" s="29"/>
      <c r="I84" s="29"/>
      <c r="J84" s="29"/>
      <c r="K84" s="43" t="str">
        <f aca="false">IF(RAIDLog[[#This Row],[Title]]="","",IF(RAIDLog[[#This Row],[Type]]="Issue",5,N(RAIDLog[[#This Row],[Probability]]))*N(RAIDLog[[#This Row],[Impact]]))</f>
        <v/>
      </c>
      <c r="L84" s="28" t="str">
        <f aca="false">IF(RAIDLog[[#This Row],[Title]]="","",IF(RAIDLog[[#This Row],[Score]]&gt;=RAIDHighScore,"High",IF(RAIDLog[[#This Row],[Score]]&gt;=RAIDMediumScore,"Medium","Low")))</f>
        <v/>
      </c>
      <c r="M84" s="28" t="str">
        <f aca="false">IF(OR(RAIDLog[[#This Row],[Title]]="",N(RAIDLog[[#This Row],[Due]])=0),"",IF(AND(RAIDLog[[#This Row],[Status]]&lt;&gt;"Closed",RAIDLog[[#This Row],[Due]]&lt;StatusDate),"Overdue",""))</f>
        <v/>
      </c>
      <c r="N84" s="29"/>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30"/>
      <c r="R84" s="30"/>
      <c r="S84" s="41" t="str">
        <f aca="false">IF(RAIDLog[[#This Row],[Title]]="","",RAIDLog[[#This Row],[Type]]&amp;" "&amp;RAIDLog[[#This Row],[Ref]]&amp;": "&amp;RAIDLog[[#This Row],[Title]])</f>
        <v/>
      </c>
      <c r="T84" s="41" t="str">
        <f aca="false">IF(AND(NOT(RAIDLog[[#This Row],[Title]]=""),RAIDLog[[#This Row],[Status]]&lt;&gt;"Closed"),RAIDLog[[#This Row],[Score]]+1-(ROW()-ROW(RAIDLog[[#Headers],[Ref]]))/100000,"")</f>
        <v/>
      </c>
    </row>
    <row r="85" customFormat="false" ht="15" hidden="false" customHeight="false" outlineLevel="0" collapsed="false">
      <c r="B85" s="29" t="n">
        <v>81</v>
      </c>
      <c r="C85" s="30"/>
      <c r="D85" s="30"/>
      <c r="E85" s="30"/>
      <c r="F85" s="77"/>
      <c r="G85" s="77"/>
      <c r="H85" s="29"/>
      <c r="I85" s="29"/>
      <c r="J85" s="29"/>
      <c r="K85" s="43" t="str">
        <f aca="false">IF(RAIDLog[[#This Row],[Title]]="","",IF(RAIDLog[[#This Row],[Type]]="Issue",5,N(RAIDLog[[#This Row],[Probability]]))*N(RAIDLog[[#This Row],[Impact]]))</f>
        <v/>
      </c>
      <c r="L85" s="28" t="str">
        <f aca="false">IF(RAIDLog[[#This Row],[Title]]="","",IF(RAIDLog[[#This Row],[Score]]&gt;=RAIDHighScore,"High",IF(RAIDLog[[#This Row],[Score]]&gt;=RAIDMediumScore,"Medium","Low")))</f>
        <v/>
      </c>
      <c r="M85" s="28" t="str">
        <f aca="false">IF(OR(RAIDLog[[#This Row],[Title]]="",N(RAIDLog[[#This Row],[Due]])=0),"",IF(AND(RAIDLog[[#This Row],[Status]]&lt;&gt;"Closed",RAIDLog[[#This Row],[Due]]&lt;StatusDate),"Overdue",""))</f>
        <v/>
      </c>
      <c r="N85" s="29"/>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30"/>
      <c r="R85" s="30"/>
      <c r="S85" s="41" t="str">
        <f aca="false">IF(RAIDLog[[#This Row],[Title]]="","",RAIDLog[[#This Row],[Type]]&amp;" "&amp;RAIDLog[[#This Row],[Ref]]&amp;": "&amp;RAIDLog[[#This Row],[Title]])</f>
        <v/>
      </c>
      <c r="T85" s="41" t="str">
        <f aca="false">IF(AND(NOT(RAIDLog[[#This Row],[Title]]=""),RAIDLog[[#This Row],[Status]]&lt;&gt;"Closed"),RAIDLog[[#This Row],[Score]]+1-(ROW()-ROW(RAIDLog[[#Headers],[Ref]]))/100000,"")</f>
        <v/>
      </c>
    </row>
    <row r="86" customFormat="false" ht="15" hidden="false" customHeight="false" outlineLevel="0" collapsed="false">
      <c r="B86" s="29" t="n">
        <v>82</v>
      </c>
      <c r="C86" s="30"/>
      <c r="D86" s="30"/>
      <c r="E86" s="30"/>
      <c r="F86" s="77"/>
      <c r="G86" s="77"/>
      <c r="H86" s="29"/>
      <c r="I86" s="29"/>
      <c r="J86" s="29"/>
      <c r="K86" s="43" t="str">
        <f aca="false">IF(RAIDLog[[#This Row],[Title]]="","",IF(RAIDLog[[#This Row],[Type]]="Issue",5,N(RAIDLog[[#This Row],[Probability]]))*N(RAIDLog[[#This Row],[Impact]]))</f>
        <v/>
      </c>
      <c r="L86" s="28" t="str">
        <f aca="false">IF(RAIDLog[[#This Row],[Title]]="","",IF(RAIDLog[[#This Row],[Score]]&gt;=RAIDHighScore,"High",IF(RAIDLog[[#This Row],[Score]]&gt;=RAIDMediumScore,"Medium","Low")))</f>
        <v/>
      </c>
      <c r="M86" s="28" t="str">
        <f aca="false">IF(OR(RAIDLog[[#This Row],[Title]]="",N(RAIDLog[[#This Row],[Due]])=0),"",IF(AND(RAIDLog[[#This Row],[Status]]&lt;&gt;"Closed",RAIDLog[[#This Row],[Due]]&lt;StatusDate),"Overdue",""))</f>
        <v/>
      </c>
      <c r="N86" s="29"/>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30"/>
      <c r="R86" s="30"/>
      <c r="S86" s="41" t="str">
        <f aca="false">IF(RAIDLog[[#This Row],[Title]]="","",RAIDLog[[#This Row],[Type]]&amp;" "&amp;RAIDLog[[#This Row],[Ref]]&amp;": "&amp;RAIDLog[[#This Row],[Title]])</f>
        <v/>
      </c>
      <c r="T86" s="41" t="str">
        <f aca="false">IF(AND(NOT(RAIDLog[[#This Row],[Title]]=""),RAIDLog[[#This Row],[Status]]&lt;&gt;"Closed"),RAIDLog[[#This Row],[Score]]+1-(ROW()-ROW(RAIDLog[[#Headers],[Ref]]))/100000,"")</f>
        <v/>
      </c>
    </row>
    <row r="87" customFormat="false" ht="15" hidden="false" customHeight="false" outlineLevel="0" collapsed="false">
      <c r="B87" s="29" t="n">
        <v>83</v>
      </c>
      <c r="C87" s="30"/>
      <c r="D87" s="30"/>
      <c r="E87" s="30"/>
      <c r="F87" s="77"/>
      <c r="G87" s="77"/>
      <c r="H87" s="29"/>
      <c r="I87" s="29"/>
      <c r="J87" s="29"/>
      <c r="K87" s="43" t="str">
        <f aca="false">IF(RAIDLog[[#This Row],[Title]]="","",IF(RAIDLog[[#This Row],[Type]]="Issue",5,N(RAIDLog[[#This Row],[Probability]]))*N(RAIDLog[[#This Row],[Impact]]))</f>
        <v/>
      </c>
      <c r="L87" s="28" t="str">
        <f aca="false">IF(RAIDLog[[#This Row],[Title]]="","",IF(RAIDLog[[#This Row],[Score]]&gt;=RAIDHighScore,"High",IF(RAIDLog[[#This Row],[Score]]&gt;=RAIDMediumScore,"Medium","Low")))</f>
        <v/>
      </c>
      <c r="M87" s="28" t="str">
        <f aca="false">IF(OR(RAIDLog[[#This Row],[Title]]="",N(RAIDLog[[#This Row],[Due]])=0),"",IF(AND(RAIDLog[[#This Row],[Status]]&lt;&gt;"Closed",RAIDLog[[#This Row],[Due]]&lt;StatusDate),"Overdue",""))</f>
        <v/>
      </c>
      <c r="N87" s="29"/>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30"/>
      <c r="R87" s="30"/>
      <c r="S87" s="41" t="str">
        <f aca="false">IF(RAIDLog[[#This Row],[Title]]="","",RAIDLog[[#This Row],[Type]]&amp;" "&amp;RAIDLog[[#This Row],[Ref]]&amp;": "&amp;RAIDLog[[#This Row],[Title]])</f>
        <v/>
      </c>
      <c r="T87" s="41" t="str">
        <f aca="false">IF(AND(NOT(RAIDLog[[#This Row],[Title]]=""),RAIDLog[[#This Row],[Status]]&lt;&gt;"Closed"),RAIDLog[[#This Row],[Score]]+1-(ROW()-ROW(RAIDLog[[#Headers],[Ref]]))/100000,"")</f>
        <v/>
      </c>
    </row>
    <row r="88" customFormat="false" ht="15" hidden="false" customHeight="false" outlineLevel="0" collapsed="false">
      <c r="B88" s="29" t="n">
        <v>84</v>
      </c>
      <c r="C88" s="30"/>
      <c r="D88" s="30"/>
      <c r="E88" s="30"/>
      <c r="F88" s="77"/>
      <c r="G88" s="77"/>
      <c r="H88" s="29"/>
      <c r="I88" s="29"/>
      <c r="J88" s="29"/>
      <c r="K88" s="43" t="str">
        <f aca="false">IF(RAIDLog[[#This Row],[Title]]="","",IF(RAIDLog[[#This Row],[Type]]="Issue",5,N(RAIDLog[[#This Row],[Probability]]))*N(RAIDLog[[#This Row],[Impact]]))</f>
        <v/>
      </c>
      <c r="L88" s="28" t="str">
        <f aca="false">IF(RAIDLog[[#This Row],[Title]]="","",IF(RAIDLog[[#This Row],[Score]]&gt;=RAIDHighScore,"High",IF(RAIDLog[[#This Row],[Score]]&gt;=RAIDMediumScore,"Medium","Low")))</f>
        <v/>
      </c>
      <c r="M88" s="28" t="str">
        <f aca="false">IF(OR(RAIDLog[[#This Row],[Title]]="",N(RAIDLog[[#This Row],[Due]])=0),"",IF(AND(RAIDLog[[#This Row],[Status]]&lt;&gt;"Closed",RAIDLog[[#This Row],[Due]]&lt;StatusDate),"Overdue",""))</f>
        <v/>
      </c>
      <c r="N88" s="29"/>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30"/>
      <c r="R88" s="30"/>
      <c r="S88" s="41" t="str">
        <f aca="false">IF(RAIDLog[[#This Row],[Title]]="","",RAIDLog[[#This Row],[Type]]&amp;" "&amp;RAIDLog[[#This Row],[Ref]]&amp;": "&amp;RAIDLog[[#This Row],[Title]])</f>
        <v/>
      </c>
      <c r="T88" s="41" t="str">
        <f aca="false">IF(AND(NOT(RAIDLog[[#This Row],[Title]]=""),RAIDLog[[#This Row],[Status]]&lt;&gt;"Closed"),RAIDLog[[#This Row],[Score]]+1-(ROW()-ROW(RAIDLog[[#Headers],[Ref]]))/100000,"")</f>
        <v/>
      </c>
    </row>
    <row r="89" customFormat="false" ht="15" hidden="false" customHeight="false" outlineLevel="0" collapsed="false">
      <c r="B89" s="29" t="n">
        <v>85</v>
      </c>
      <c r="C89" s="30"/>
      <c r="D89" s="30"/>
      <c r="E89" s="30"/>
      <c r="F89" s="77"/>
      <c r="G89" s="77"/>
      <c r="H89" s="29"/>
      <c r="I89" s="29"/>
      <c r="J89" s="29"/>
      <c r="K89" s="43" t="str">
        <f aca="false">IF(RAIDLog[[#This Row],[Title]]="","",IF(RAIDLog[[#This Row],[Type]]="Issue",5,N(RAIDLog[[#This Row],[Probability]]))*N(RAIDLog[[#This Row],[Impact]]))</f>
        <v/>
      </c>
      <c r="L89" s="28" t="str">
        <f aca="false">IF(RAIDLog[[#This Row],[Title]]="","",IF(RAIDLog[[#This Row],[Score]]&gt;=RAIDHighScore,"High",IF(RAIDLog[[#This Row],[Score]]&gt;=RAIDMediumScore,"Medium","Low")))</f>
        <v/>
      </c>
      <c r="M89" s="28" t="str">
        <f aca="false">IF(OR(RAIDLog[[#This Row],[Title]]="",N(RAIDLog[[#This Row],[Due]])=0),"",IF(AND(RAIDLog[[#This Row],[Status]]&lt;&gt;"Closed",RAIDLog[[#This Row],[Due]]&lt;StatusDate),"Overdue",""))</f>
        <v/>
      </c>
      <c r="N89" s="29"/>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30"/>
      <c r="R89" s="30"/>
      <c r="S89" s="41" t="str">
        <f aca="false">IF(RAIDLog[[#This Row],[Title]]="","",RAIDLog[[#This Row],[Type]]&amp;" "&amp;RAIDLog[[#This Row],[Ref]]&amp;": "&amp;RAIDLog[[#This Row],[Title]])</f>
        <v/>
      </c>
      <c r="T89" s="41" t="str">
        <f aca="false">IF(AND(NOT(RAIDLog[[#This Row],[Title]]=""),RAIDLog[[#This Row],[Status]]&lt;&gt;"Closed"),RAIDLog[[#This Row],[Score]]+1-(ROW()-ROW(RAIDLog[[#Headers],[Ref]]))/100000,"")</f>
        <v/>
      </c>
    </row>
    <row r="90" customFormat="false" ht="15" hidden="false" customHeight="false" outlineLevel="0" collapsed="false">
      <c r="B90" s="29" t="n">
        <v>86</v>
      </c>
      <c r="C90" s="30"/>
      <c r="D90" s="30"/>
      <c r="E90" s="30"/>
      <c r="F90" s="77"/>
      <c r="G90" s="77"/>
      <c r="H90" s="29"/>
      <c r="I90" s="29"/>
      <c r="J90" s="29"/>
      <c r="K90" s="43" t="str">
        <f aca="false">IF(RAIDLog[[#This Row],[Title]]="","",IF(RAIDLog[[#This Row],[Type]]="Issue",5,N(RAIDLog[[#This Row],[Probability]]))*N(RAIDLog[[#This Row],[Impact]]))</f>
        <v/>
      </c>
      <c r="L90" s="28" t="str">
        <f aca="false">IF(RAIDLog[[#This Row],[Title]]="","",IF(RAIDLog[[#This Row],[Score]]&gt;=RAIDHighScore,"High",IF(RAIDLog[[#This Row],[Score]]&gt;=RAIDMediumScore,"Medium","Low")))</f>
        <v/>
      </c>
      <c r="M90" s="28" t="str">
        <f aca="false">IF(OR(RAIDLog[[#This Row],[Title]]="",N(RAIDLog[[#This Row],[Due]])=0),"",IF(AND(RAIDLog[[#This Row],[Status]]&lt;&gt;"Closed",RAIDLog[[#This Row],[Due]]&lt;StatusDate),"Overdue",""))</f>
        <v/>
      </c>
      <c r="N90" s="29"/>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30"/>
      <c r="R90" s="30"/>
      <c r="S90" s="41" t="str">
        <f aca="false">IF(RAIDLog[[#This Row],[Title]]="","",RAIDLog[[#This Row],[Type]]&amp;" "&amp;RAIDLog[[#This Row],[Ref]]&amp;": "&amp;RAIDLog[[#This Row],[Title]])</f>
        <v/>
      </c>
      <c r="T90" s="41" t="str">
        <f aca="false">IF(AND(NOT(RAIDLog[[#This Row],[Title]]=""),RAIDLog[[#This Row],[Status]]&lt;&gt;"Closed"),RAIDLog[[#This Row],[Score]]+1-(ROW()-ROW(RAIDLog[[#Headers],[Ref]]))/100000,"")</f>
        <v/>
      </c>
    </row>
    <row r="91" customFormat="false" ht="15" hidden="false" customHeight="false" outlineLevel="0" collapsed="false">
      <c r="B91" s="29" t="n">
        <v>87</v>
      </c>
      <c r="C91" s="30"/>
      <c r="D91" s="30"/>
      <c r="E91" s="30"/>
      <c r="F91" s="77"/>
      <c r="G91" s="77"/>
      <c r="H91" s="29"/>
      <c r="I91" s="29"/>
      <c r="J91" s="29"/>
      <c r="K91" s="43" t="str">
        <f aca="false">IF(RAIDLog[[#This Row],[Title]]="","",IF(RAIDLog[[#This Row],[Type]]="Issue",5,N(RAIDLog[[#This Row],[Probability]]))*N(RAIDLog[[#This Row],[Impact]]))</f>
        <v/>
      </c>
      <c r="L91" s="28" t="str">
        <f aca="false">IF(RAIDLog[[#This Row],[Title]]="","",IF(RAIDLog[[#This Row],[Score]]&gt;=RAIDHighScore,"High",IF(RAIDLog[[#This Row],[Score]]&gt;=RAIDMediumScore,"Medium","Low")))</f>
        <v/>
      </c>
      <c r="M91" s="28" t="str">
        <f aca="false">IF(OR(RAIDLog[[#This Row],[Title]]="",N(RAIDLog[[#This Row],[Due]])=0),"",IF(AND(RAIDLog[[#This Row],[Status]]&lt;&gt;"Closed",RAIDLog[[#This Row],[Due]]&lt;StatusDate),"Overdue",""))</f>
        <v/>
      </c>
      <c r="N91" s="29"/>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30"/>
      <c r="R91" s="30"/>
      <c r="S91" s="41" t="str">
        <f aca="false">IF(RAIDLog[[#This Row],[Title]]="","",RAIDLog[[#This Row],[Type]]&amp;" "&amp;RAIDLog[[#This Row],[Ref]]&amp;": "&amp;RAIDLog[[#This Row],[Title]])</f>
        <v/>
      </c>
      <c r="T91" s="41" t="str">
        <f aca="false">IF(AND(NOT(RAIDLog[[#This Row],[Title]]=""),RAIDLog[[#This Row],[Status]]&lt;&gt;"Closed"),RAIDLog[[#This Row],[Score]]+1-(ROW()-ROW(RAIDLog[[#Headers],[Ref]]))/100000,"")</f>
        <v/>
      </c>
    </row>
    <row r="92" customFormat="false" ht="15" hidden="false" customHeight="false" outlineLevel="0" collapsed="false">
      <c r="B92" s="29" t="n">
        <v>88</v>
      </c>
      <c r="C92" s="30"/>
      <c r="D92" s="30"/>
      <c r="E92" s="30"/>
      <c r="F92" s="77"/>
      <c r="G92" s="77"/>
      <c r="H92" s="29"/>
      <c r="I92" s="29"/>
      <c r="J92" s="29"/>
      <c r="K92" s="43" t="str">
        <f aca="false">IF(RAIDLog[[#This Row],[Title]]="","",IF(RAIDLog[[#This Row],[Type]]="Issue",5,N(RAIDLog[[#This Row],[Probability]]))*N(RAIDLog[[#This Row],[Impact]]))</f>
        <v/>
      </c>
      <c r="L92" s="28" t="str">
        <f aca="false">IF(RAIDLog[[#This Row],[Title]]="","",IF(RAIDLog[[#This Row],[Score]]&gt;=RAIDHighScore,"High",IF(RAIDLog[[#This Row],[Score]]&gt;=RAIDMediumScore,"Medium","Low")))</f>
        <v/>
      </c>
      <c r="M92" s="28" t="str">
        <f aca="false">IF(OR(RAIDLog[[#This Row],[Title]]="",N(RAIDLog[[#This Row],[Due]])=0),"",IF(AND(RAIDLog[[#This Row],[Status]]&lt;&gt;"Closed",RAIDLog[[#This Row],[Due]]&lt;StatusDate),"Overdue",""))</f>
        <v/>
      </c>
      <c r="N92" s="29"/>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30"/>
      <c r="R92" s="30"/>
      <c r="S92" s="41" t="str">
        <f aca="false">IF(RAIDLog[[#This Row],[Title]]="","",RAIDLog[[#This Row],[Type]]&amp;" "&amp;RAIDLog[[#This Row],[Ref]]&amp;": "&amp;RAIDLog[[#This Row],[Title]])</f>
        <v/>
      </c>
      <c r="T92" s="41" t="str">
        <f aca="false">IF(AND(NOT(RAIDLog[[#This Row],[Title]]=""),RAIDLog[[#This Row],[Status]]&lt;&gt;"Closed"),RAIDLog[[#This Row],[Score]]+1-(ROW()-ROW(RAIDLog[[#Headers],[Ref]]))/100000,"")</f>
        <v/>
      </c>
    </row>
    <row r="93" customFormat="false" ht="15" hidden="false" customHeight="false" outlineLevel="0" collapsed="false">
      <c r="B93" s="29" t="n">
        <v>89</v>
      </c>
      <c r="C93" s="30"/>
      <c r="D93" s="30"/>
      <c r="E93" s="30"/>
      <c r="F93" s="77"/>
      <c r="G93" s="77"/>
      <c r="H93" s="29"/>
      <c r="I93" s="29"/>
      <c r="J93" s="29"/>
      <c r="K93" s="43" t="str">
        <f aca="false">IF(RAIDLog[[#This Row],[Title]]="","",IF(RAIDLog[[#This Row],[Type]]="Issue",5,N(RAIDLog[[#This Row],[Probability]]))*N(RAIDLog[[#This Row],[Impact]]))</f>
        <v/>
      </c>
      <c r="L93" s="28" t="str">
        <f aca="false">IF(RAIDLog[[#This Row],[Title]]="","",IF(RAIDLog[[#This Row],[Score]]&gt;=RAIDHighScore,"High",IF(RAIDLog[[#This Row],[Score]]&gt;=RAIDMediumScore,"Medium","Low")))</f>
        <v/>
      </c>
      <c r="M93" s="28" t="str">
        <f aca="false">IF(OR(RAIDLog[[#This Row],[Title]]="",N(RAIDLog[[#This Row],[Due]])=0),"",IF(AND(RAIDLog[[#This Row],[Status]]&lt;&gt;"Closed",RAIDLog[[#This Row],[Due]]&lt;StatusDate),"Overdue",""))</f>
        <v/>
      </c>
      <c r="N93" s="29"/>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30"/>
      <c r="R93" s="30"/>
      <c r="S93" s="41" t="str">
        <f aca="false">IF(RAIDLog[[#This Row],[Title]]="","",RAIDLog[[#This Row],[Type]]&amp;" "&amp;RAIDLog[[#This Row],[Ref]]&amp;": "&amp;RAIDLog[[#This Row],[Title]])</f>
        <v/>
      </c>
      <c r="T93" s="41" t="str">
        <f aca="false">IF(AND(NOT(RAIDLog[[#This Row],[Title]]=""),RAIDLog[[#This Row],[Status]]&lt;&gt;"Closed"),RAIDLog[[#This Row],[Score]]+1-(ROW()-ROW(RAIDLog[[#Headers],[Ref]]))/100000,"")</f>
        <v/>
      </c>
    </row>
    <row r="94" customFormat="false" ht="15" hidden="false" customHeight="false" outlineLevel="0" collapsed="false">
      <c r="B94" s="29" t="n">
        <v>90</v>
      </c>
      <c r="C94" s="30"/>
      <c r="D94" s="30"/>
      <c r="E94" s="30"/>
      <c r="F94" s="77"/>
      <c r="G94" s="77"/>
      <c r="H94" s="29"/>
      <c r="I94" s="29"/>
      <c r="J94" s="29"/>
      <c r="K94" s="43" t="str">
        <f aca="false">IF(RAIDLog[[#This Row],[Title]]="","",IF(RAIDLog[[#This Row],[Type]]="Issue",5,N(RAIDLog[[#This Row],[Probability]]))*N(RAIDLog[[#This Row],[Impact]]))</f>
        <v/>
      </c>
      <c r="L94" s="28" t="str">
        <f aca="false">IF(RAIDLog[[#This Row],[Title]]="","",IF(RAIDLog[[#This Row],[Score]]&gt;=RAIDHighScore,"High",IF(RAIDLog[[#This Row],[Score]]&gt;=RAIDMediumScore,"Medium","Low")))</f>
        <v/>
      </c>
      <c r="M94" s="28" t="str">
        <f aca="false">IF(OR(RAIDLog[[#This Row],[Title]]="",N(RAIDLog[[#This Row],[Due]])=0),"",IF(AND(RAIDLog[[#This Row],[Status]]&lt;&gt;"Closed",RAIDLog[[#This Row],[Due]]&lt;StatusDate),"Overdue",""))</f>
        <v/>
      </c>
      <c r="N94" s="29"/>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30"/>
      <c r="R94" s="30"/>
      <c r="S94" s="41" t="str">
        <f aca="false">IF(RAIDLog[[#This Row],[Title]]="","",RAIDLog[[#This Row],[Type]]&amp;" "&amp;RAIDLog[[#This Row],[Ref]]&amp;": "&amp;RAIDLog[[#This Row],[Title]])</f>
        <v/>
      </c>
      <c r="T94" s="41" t="str">
        <f aca="false">IF(AND(NOT(RAIDLog[[#This Row],[Title]]=""),RAIDLog[[#This Row],[Status]]&lt;&gt;"Closed"),RAIDLog[[#This Row],[Score]]+1-(ROW()-ROW(RAIDLog[[#Headers],[Ref]]))/100000,"")</f>
        <v/>
      </c>
    </row>
    <row r="95" customFormat="false" ht="15" hidden="false" customHeight="false" outlineLevel="0" collapsed="false">
      <c r="B95" s="29" t="n">
        <v>91</v>
      </c>
      <c r="C95" s="30"/>
      <c r="D95" s="30"/>
      <c r="E95" s="30"/>
      <c r="F95" s="77"/>
      <c r="G95" s="77"/>
      <c r="H95" s="29"/>
      <c r="I95" s="29"/>
      <c r="J95" s="29"/>
      <c r="K95" s="43" t="str">
        <f aca="false">IF(RAIDLog[[#This Row],[Title]]="","",IF(RAIDLog[[#This Row],[Type]]="Issue",5,N(RAIDLog[[#This Row],[Probability]]))*N(RAIDLog[[#This Row],[Impact]]))</f>
        <v/>
      </c>
      <c r="L95" s="28" t="str">
        <f aca="false">IF(RAIDLog[[#This Row],[Title]]="","",IF(RAIDLog[[#This Row],[Score]]&gt;=RAIDHighScore,"High",IF(RAIDLog[[#This Row],[Score]]&gt;=RAIDMediumScore,"Medium","Low")))</f>
        <v/>
      </c>
      <c r="M95" s="28" t="str">
        <f aca="false">IF(OR(RAIDLog[[#This Row],[Title]]="",N(RAIDLog[[#This Row],[Due]])=0),"",IF(AND(RAIDLog[[#This Row],[Status]]&lt;&gt;"Closed",RAIDLog[[#This Row],[Due]]&lt;StatusDate),"Overdue",""))</f>
        <v/>
      </c>
      <c r="N95" s="29"/>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30"/>
      <c r="R95" s="30"/>
      <c r="S95" s="41" t="str">
        <f aca="false">IF(RAIDLog[[#This Row],[Title]]="","",RAIDLog[[#This Row],[Type]]&amp;" "&amp;RAIDLog[[#This Row],[Ref]]&amp;": "&amp;RAIDLog[[#This Row],[Title]])</f>
        <v/>
      </c>
      <c r="T95" s="41" t="str">
        <f aca="false">IF(AND(NOT(RAIDLog[[#This Row],[Title]]=""),RAIDLog[[#This Row],[Status]]&lt;&gt;"Closed"),RAIDLog[[#This Row],[Score]]+1-(ROW()-ROW(RAIDLog[[#Headers],[Ref]]))/100000,"")</f>
        <v/>
      </c>
    </row>
    <row r="96" customFormat="false" ht="15" hidden="false" customHeight="false" outlineLevel="0" collapsed="false">
      <c r="B96" s="29" t="n">
        <v>92</v>
      </c>
      <c r="C96" s="30"/>
      <c r="D96" s="30"/>
      <c r="E96" s="30"/>
      <c r="F96" s="77"/>
      <c r="G96" s="77"/>
      <c r="H96" s="29"/>
      <c r="I96" s="29"/>
      <c r="J96" s="29"/>
      <c r="K96" s="43" t="str">
        <f aca="false">IF(RAIDLog[[#This Row],[Title]]="","",IF(RAIDLog[[#This Row],[Type]]="Issue",5,N(RAIDLog[[#This Row],[Probability]]))*N(RAIDLog[[#This Row],[Impact]]))</f>
        <v/>
      </c>
      <c r="L96" s="28" t="str">
        <f aca="false">IF(RAIDLog[[#This Row],[Title]]="","",IF(RAIDLog[[#This Row],[Score]]&gt;=RAIDHighScore,"High",IF(RAIDLog[[#This Row],[Score]]&gt;=RAIDMediumScore,"Medium","Low")))</f>
        <v/>
      </c>
      <c r="M96" s="28" t="str">
        <f aca="false">IF(OR(RAIDLog[[#This Row],[Title]]="",N(RAIDLog[[#This Row],[Due]])=0),"",IF(AND(RAIDLog[[#This Row],[Status]]&lt;&gt;"Closed",RAIDLog[[#This Row],[Due]]&lt;StatusDate),"Overdue",""))</f>
        <v/>
      </c>
      <c r="N96" s="29"/>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30"/>
      <c r="R96" s="30"/>
      <c r="S96" s="41" t="str">
        <f aca="false">IF(RAIDLog[[#This Row],[Title]]="","",RAIDLog[[#This Row],[Type]]&amp;" "&amp;RAIDLog[[#This Row],[Ref]]&amp;": "&amp;RAIDLog[[#This Row],[Title]])</f>
        <v/>
      </c>
      <c r="T96" s="41" t="str">
        <f aca="false">IF(AND(NOT(RAIDLog[[#This Row],[Title]]=""),RAIDLog[[#This Row],[Status]]&lt;&gt;"Closed"),RAIDLog[[#This Row],[Score]]+1-(ROW()-ROW(RAIDLog[[#Headers],[Ref]]))/100000,"")</f>
        <v/>
      </c>
    </row>
    <row r="97" customFormat="false" ht="15" hidden="false" customHeight="false" outlineLevel="0" collapsed="false">
      <c r="B97" s="29" t="n">
        <v>93</v>
      </c>
      <c r="C97" s="30"/>
      <c r="D97" s="30"/>
      <c r="E97" s="30"/>
      <c r="F97" s="77"/>
      <c r="G97" s="77"/>
      <c r="H97" s="29"/>
      <c r="I97" s="29"/>
      <c r="J97" s="29"/>
      <c r="K97" s="43" t="str">
        <f aca="false">IF(RAIDLog[[#This Row],[Title]]="","",IF(RAIDLog[[#This Row],[Type]]="Issue",5,N(RAIDLog[[#This Row],[Probability]]))*N(RAIDLog[[#This Row],[Impact]]))</f>
        <v/>
      </c>
      <c r="L97" s="28" t="str">
        <f aca="false">IF(RAIDLog[[#This Row],[Title]]="","",IF(RAIDLog[[#This Row],[Score]]&gt;=RAIDHighScore,"High",IF(RAIDLog[[#This Row],[Score]]&gt;=RAIDMediumScore,"Medium","Low")))</f>
        <v/>
      </c>
      <c r="M97" s="28" t="str">
        <f aca="false">IF(OR(RAIDLog[[#This Row],[Title]]="",N(RAIDLog[[#This Row],[Due]])=0),"",IF(AND(RAIDLog[[#This Row],[Status]]&lt;&gt;"Closed",RAIDLog[[#This Row],[Due]]&lt;StatusDate),"Overdue",""))</f>
        <v/>
      </c>
      <c r="N97" s="29"/>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30"/>
      <c r="R97" s="30"/>
      <c r="S97" s="41" t="str">
        <f aca="false">IF(RAIDLog[[#This Row],[Title]]="","",RAIDLog[[#This Row],[Type]]&amp;" "&amp;RAIDLog[[#This Row],[Ref]]&amp;": "&amp;RAIDLog[[#This Row],[Title]])</f>
        <v/>
      </c>
      <c r="T97" s="41" t="str">
        <f aca="false">IF(AND(NOT(RAIDLog[[#This Row],[Title]]=""),RAIDLog[[#This Row],[Status]]&lt;&gt;"Closed"),RAIDLog[[#This Row],[Score]]+1-(ROW()-ROW(RAIDLog[[#Headers],[Ref]]))/100000,"")</f>
        <v/>
      </c>
    </row>
    <row r="98" customFormat="false" ht="15" hidden="false" customHeight="false" outlineLevel="0" collapsed="false">
      <c r="B98" s="29" t="n">
        <v>94</v>
      </c>
      <c r="C98" s="30"/>
      <c r="D98" s="30"/>
      <c r="E98" s="30"/>
      <c r="F98" s="77"/>
      <c r="G98" s="77"/>
      <c r="H98" s="29"/>
      <c r="I98" s="29"/>
      <c r="J98" s="29"/>
      <c r="K98" s="43" t="str">
        <f aca="false">IF(RAIDLog[[#This Row],[Title]]="","",IF(RAIDLog[[#This Row],[Type]]="Issue",5,N(RAIDLog[[#This Row],[Probability]]))*N(RAIDLog[[#This Row],[Impact]]))</f>
        <v/>
      </c>
      <c r="L98" s="28" t="str">
        <f aca="false">IF(RAIDLog[[#This Row],[Title]]="","",IF(RAIDLog[[#This Row],[Score]]&gt;=RAIDHighScore,"High",IF(RAIDLog[[#This Row],[Score]]&gt;=RAIDMediumScore,"Medium","Low")))</f>
        <v/>
      </c>
      <c r="M98" s="28" t="str">
        <f aca="false">IF(OR(RAIDLog[[#This Row],[Title]]="",N(RAIDLog[[#This Row],[Due]])=0),"",IF(AND(RAIDLog[[#This Row],[Status]]&lt;&gt;"Closed",RAIDLog[[#This Row],[Due]]&lt;StatusDate),"Overdue",""))</f>
        <v/>
      </c>
      <c r="N98" s="29"/>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30"/>
      <c r="R98" s="30"/>
      <c r="S98" s="41" t="str">
        <f aca="false">IF(RAIDLog[[#This Row],[Title]]="","",RAIDLog[[#This Row],[Type]]&amp;" "&amp;RAIDLog[[#This Row],[Ref]]&amp;": "&amp;RAIDLog[[#This Row],[Title]])</f>
        <v/>
      </c>
      <c r="T98" s="41" t="str">
        <f aca="false">IF(AND(NOT(RAIDLog[[#This Row],[Title]]=""),RAIDLog[[#This Row],[Status]]&lt;&gt;"Closed"),RAIDLog[[#This Row],[Score]]+1-(ROW()-ROW(RAIDLog[[#Headers],[Ref]]))/100000,"")</f>
        <v/>
      </c>
    </row>
    <row r="99" customFormat="false" ht="15" hidden="false" customHeight="false" outlineLevel="0" collapsed="false">
      <c r="B99" s="29" t="n">
        <v>95</v>
      </c>
      <c r="C99" s="30"/>
      <c r="D99" s="30"/>
      <c r="E99" s="30"/>
      <c r="F99" s="77"/>
      <c r="G99" s="77"/>
      <c r="H99" s="29"/>
      <c r="I99" s="29"/>
      <c r="J99" s="29"/>
      <c r="K99" s="43" t="str">
        <f aca="false">IF(RAIDLog[[#This Row],[Title]]="","",IF(RAIDLog[[#This Row],[Type]]="Issue",5,N(RAIDLog[[#This Row],[Probability]]))*N(RAIDLog[[#This Row],[Impact]]))</f>
        <v/>
      </c>
      <c r="L99" s="28" t="str">
        <f aca="false">IF(RAIDLog[[#This Row],[Title]]="","",IF(RAIDLog[[#This Row],[Score]]&gt;=RAIDHighScore,"High",IF(RAIDLog[[#This Row],[Score]]&gt;=RAIDMediumScore,"Medium","Low")))</f>
        <v/>
      </c>
      <c r="M99" s="28" t="str">
        <f aca="false">IF(OR(RAIDLog[[#This Row],[Title]]="",N(RAIDLog[[#This Row],[Due]])=0),"",IF(AND(RAIDLog[[#This Row],[Status]]&lt;&gt;"Closed",RAIDLog[[#This Row],[Due]]&lt;StatusDate),"Overdue",""))</f>
        <v/>
      </c>
      <c r="N99" s="29"/>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30"/>
      <c r="R99" s="30"/>
      <c r="S99" s="41" t="str">
        <f aca="false">IF(RAIDLog[[#This Row],[Title]]="","",RAIDLog[[#This Row],[Type]]&amp;" "&amp;RAIDLog[[#This Row],[Ref]]&amp;": "&amp;RAIDLog[[#This Row],[Title]])</f>
        <v/>
      </c>
      <c r="T99" s="41" t="str">
        <f aca="false">IF(AND(NOT(RAIDLog[[#This Row],[Title]]=""),RAIDLog[[#This Row],[Status]]&lt;&gt;"Closed"),RAIDLog[[#This Row],[Score]]+1-(ROW()-ROW(RAIDLog[[#Headers],[Ref]]))/100000,"")</f>
        <v/>
      </c>
    </row>
    <row r="100" customFormat="false" ht="15" hidden="false" customHeight="false" outlineLevel="0" collapsed="false">
      <c r="B100" s="29" t="n">
        <v>96</v>
      </c>
      <c r="C100" s="30"/>
      <c r="D100" s="30"/>
      <c r="E100" s="30"/>
      <c r="F100" s="77"/>
      <c r="G100" s="77"/>
      <c r="H100" s="29"/>
      <c r="I100" s="29"/>
      <c r="J100" s="29"/>
      <c r="K100" s="43" t="str">
        <f aca="false">IF(RAIDLog[[#This Row],[Title]]="","",IF(RAIDLog[[#This Row],[Type]]="Issue",5,N(RAIDLog[[#This Row],[Probability]]))*N(RAIDLog[[#This Row],[Impact]]))</f>
        <v/>
      </c>
      <c r="L100" s="28" t="str">
        <f aca="false">IF(RAIDLog[[#This Row],[Title]]="","",IF(RAIDLog[[#This Row],[Score]]&gt;=RAIDHighScore,"High",IF(RAIDLog[[#This Row],[Score]]&gt;=RAIDMediumScore,"Medium","Low")))</f>
        <v/>
      </c>
      <c r="M100" s="28" t="str">
        <f aca="false">IF(OR(RAIDLog[[#This Row],[Title]]="",N(RAIDLog[[#This Row],[Due]])=0),"",IF(AND(RAIDLog[[#This Row],[Status]]&lt;&gt;"Closed",RAIDLog[[#This Row],[Due]]&lt;StatusDate),"Overdue",""))</f>
        <v/>
      </c>
      <c r="N100" s="29"/>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30"/>
      <c r="R100" s="30"/>
      <c r="S100" s="41" t="str">
        <f aca="false">IF(RAIDLog[[#This Row],[Title]]="","",RAIDLog[[#This Row],[Type]]&amp;" "&amp;RAIDLog[[#This Row],[Ref]]&amp;": "&amp;RAIDLog[[#This Row],[Title]])</f>
        <v/>
      </c>
      <c r="T100" s="41" t="str">
        <f aca="false">IF(AND(NOT(RAIDLog[[#This Row],[Title]]=""),RAIDLog[[#This Row],[Status]]&lt;&gt;"Closed"),RAIDLog[[#This Row],[Score]]+1-(ROW()-ROW(RAIDLog[[#Headers],[Ref]]))/100000,"")</f>
        <v/>
      </c>
    </row>
    <row r="101" customFormat="false" ht="15" hidden="false" customHeight="false" outlineLevel="0" collapsed="false">
      <c r="B101" s="29" t="n">
        <v>97</v>
      </c>
      <c r="C101" s="30"/>
      <c r="D101" s="30"/>
      <c r="E101" s="30"/>
      <c r="F101" s="77"/>
      <c r="G101" s="77"/>
      <c r="H101" s="29"/>
      <c r="I101" s="29"/>
      <c r="J101" s="29"/>
      <c r="K101" s="43" t="str">
        <f aca="false">IF(RAIDLog[[#This Row],[Title]]="","",IF(RAIDLog[[#This Row],[Type]]="Issue",5,N(RAIDLog[[#This Row],[Probability]]))*N(RAIDLog[[#This Row],[Impact]]))</f>
        <v/>
      </c>
      <c r="L101" s="28" t="str">
        <f aca="false">IF(RAIDLog[[#This Row],[Title]]="","",IF(RAIDLog[[#This Row],[Score]]&gt;=RAIDHighScore,"High",IF(RAIDLog[[#This Row],[Score]]&gt;=RAIDMediumScore,"Medium","Low")))</f>
        <v/>
      </c>
      <c r="M101" s="28" t="str">
        <f aca="false">IF(OR(RAIDLog[[#This Row],[Title]]="",N(RAIDLog[[#This Row],[Due]])=0),"",IF(AND(RAIDLog[[#This Row],[Status]]&lt;&gt;"Closed",RAIDLog[[#This Row],[Due]]&lt;StatusDate),"Overdue",""))</f>
        <v/>
      </c>
      <c r="N101" s="29"/>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30"/>
      <c r="R101" s="30"/>
      <c r="S101" s="41" t="str">
        <f aca="false">IF(RAIDLog[[#This Row],[Title]]="","",RAIDLog[[#This Row],[Type]]&amp;" "&amp;RAIDLog[[#This Row],[Ref]]&amp;": "&amp;RAIDLog[[#This Row],[Title]])</f>
        <v/>
      </c>
      <c r="T101" s="41" t="str">
        <f aca="false">IF(AND(NOT(RAIDLog[[#This Row],[Title]]=""),RAIDLog[[#This Row],[Status]]&lt;&gt;"Closed"),RAIDLog[[#This Row],[Score]]+1-(ROW()-ROW(RAIDLog[[#Headers],[Ref]]))/100000,"")</f>
        <v/>
      </c>
    </row>
    <row r="102" customFormat="false" ht="15" hidden="false" customHeight="false" outlineLevel="0" collapsed="false">
      <c r="B102" s="29" t="n">
        <v>98</v>
      </c>
      <c r="C102" s="30"/>
      <c r="D102" s="30"/>
      <c r="E102" s="30"/>
      <c r="F102" s="77"/>
      <c r="G102" s="77"/>
      <c r="H102" s="29"/>
      <c r="I102" s="29"/>
      <c r="J102" s="29"/>
      <c r="K102" s="43" t="str">
        <f aca="false">IF(RAIDLog[[#This Row],[Title]]="","",IF(RAIDLog[[#This Row],[Type]]="Issue",5,N(RAIDLog[[#This Row],[Probability]]))*N(RAIDLog[[#This Row],[Impact]]))</f>
        <v/>
      </c>
      <c r="L102" s="28" t="str">
        <f aca="false">IF(RAIDLog[[#This Row],[Title]]="","",IF(RAIDLog[[#This Row],[Score]]&gt;=RAIDHighScore,"High",IF(RAIDLog[[#This Row],[Score]]&gt;=RAIDMediumScore,"Medium","Low")))</f>
        <v/>
      </c>
      <c r="M102" s="28" t="str">
        <f aca="false">IF(OR(RAIDLog[[#This Row],[Title]]="",N(RAIDLog[[#This Row],[Due]])=0),"",IF(AND(RAIDLog[[#This Row],[Status]]&lt;&gt;"Closed",RAIDLog[[#This Row],[Due]]&lt;StatusDate),"Overdue",""))</f>
        <v/>
      </c>
      <c r="N102" s="29"/>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30"/>
      <c r="R102" s="30"/>
      <c r="S102" s="41" t="str">
        <f aca="false">IF(RAIDLog[[#This Row],[Title]]="","",RAIDLog[[#This Row],[Type]]&amp;" "&amp;RAIDLog[[#This Row],[Ref]]&amp;": "&amp;RAIDLog[[#This Row],[Title]])</f>
        <v/>
      </c>
      <c r="T102" s="41" t="str">
        <f aca="false">IF(AND(NOT(RAIDLog[[#This Row],[Title]]=""),RAIDLog[[#This Row],[Status]]&lt;&gt;"Closed"),RAIDLog[[#This Row],[Score]]+1-(ROW()-ROW(RAIDLog[[#Headers],[Ref]]))/100000,"")</f>
        <v/>
      </c>
    </row>
    <row r="103" customFormat="false" ht="15" hidden="false" customHeight="false" outlineLevel="0" collapsed="false">
      <c r="B103" s="29" t="n">
        <v>99</v>
      </c>
      <c r="C103" s="30"/>
      <c r="D103" s="30"/>
      <c r="E103" s="30"/>
      <c r="F103" s="77"/>
      <c r="G103" s="77"/>
      <c r="H103" s="29"/>
      <c r="I103" s="29"/>
      <c r="J103" s="29"/>
      <c r="K103" s="43" t="str">
        <f aca="false">IF(RAIDLog[[#This Row],[Title]]="","",IF(RAIDLog[[#This Row],[Type]]="Issue",5,N(RAIDLog[[#This Row],[Probability]]))*N(RAIDLog[[#This Row],[Impact]]))</f>
        <v/>
      </c>
      <c r="L103" s="28" t="str">
        <f aca="false">IF(RAIDLog[[#This Row],[Title]]="","",IF(RAIDLog[[#This Row],[Score]]&gt;=RAIDHighScore,"High",IF(RAIDLog[[#This Row],[Score]]&gt;=RAIDMediumScore,"Medium","Low")))</f>
        <v/>
      </c>
      <c r="M103" s="28" t="str">
        <f aca="false">IF(OR(RAIDLog[[#This Row],[Title]]="",N(RAIDLog[[#This Row],[Due]])=0),"",IF(AND(RAIDLog[[#This Row],[Status]]&lt;&gt;"Closed",RAIDLog[[#This Row],[Due]]&lt;StatusDate),"Overdue",""))</f>
        <v/>
      </c>
      <c r="N103" s="29"/>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30"/>
      <c r="R103" s="30"/>
      <c r="S103" s="41" t="str">
        <f aca="false">IF(RAIDLog[[#This Row],[Title]]="","",RAIDLog[[#This Row],[Type]]&amp;" "&amp;RAIDLog[[#This Row],[Ref]]&amp;": "&amp;RAIDLog[[#This Row],[Title]])</f>
        <v/>
      </c>
      <c r="T103" s="41" t="str">
        <f aca="false">IF(AND(NOT(RAIDLog[[#This Row],[Title]]=""),RAIDLog[[#This Row],[Status]]&lt;&gt;"Closed"),RAIDLog[[#This Row],[Score]]+1-(ROW()-ROW(RAIDLog[[#Headers],[Ref]]))/100000,"")</f>
        <v/>
      </c>
    </row>
    <row r="104" customFormat="false" ht="15" hidden="false" customHeight="false" outlineLevel="0" collapsed="false">
      <c r="B104" s="29" t="n">
        <v>100</v>
      </c>
      <c r="C104" s="30"/>
      <c r="D104" s="30"/>
      <c r="E104" s="30"/>
      <c r="F104" s="77"/>
      <c r="G104" s="77"/>
      <c r="H104" s="29"/>
      <c r="I104" s="29"/>
      <c r="J104" s="29"/>
      <c r="K104" s="43" t="str">
        <f aca="false">IF(RAIDLog[[#This Row],[Title]]="","",IF(RAIDLog[[#This Row],[Type]]="Issue",5,N(RAIDLog[[#This Row],[Probability]]))*N(RAIDLog[[#This Row],[Impact]]))</f>
        <v/>
      </c>
      <c r="L104" s="28" t="str">
        <f aca="false">IF(RAIDLog[[#This Row],[Title]]="","",IF(RAIDLog[[#This Row],[Score]]&gt;=RAIDHighScore,"High",IF(RAIDLog[[#This Row],[Score]]&gt;=RAIDMediumScore,"Medium","Low")))</f>
        <v/>
      </c>
      <c r="M104" s="28" t="str">
        <f aca="false">IF(OR(RAIDLog[[#This Row],[Title]]="",N(RAIDLog[[#This Row],[Due]])=0),"",IF(AND(RAIDLog[[#This Row],[Status]]&lt;&gt;"Closed",RAIDLog[[#This Row],[Due]]&lt;StatusDate),"Overdue",""))</f>
        <v/>
      </c>
      <c r="N104" s="29"/>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30"/>
      <c r="R104" s="30"/>
      <c r="S104" s="41" t="str">
        <f aca="false">IF(RAIDLog[[#This Row],[Title]]="","",RAIDLog[[#This Row],[Type]]&amp;" "&amp;RAIDLog[[#This Row],[Ref]]&amp;": "&amp;RAIDLog[[#This Row],[Title]])</f>
        <v/>
      </c>
      <c r="T104" s="41"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4">
      <formula>M5="Overdue"</formula>
    </cfRule>
  </conditionalFormatting>
  <conditionalFormatting sqref="B5:R104">
    <cfRule type="expression" priority="6" aboveAverage="0" equalAverage="0" bottom="0" percent="0" rank="0" text="" dxfId="29">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311</v>
      </c>
    </row>
    <row r="2" customFormat="false" ht="15" hidden="false" customHeight="false" outlineLevel="0" collapsed="false">
      <c r="A2" s="8" t="s">
        <v>312</v>
      </c>
    </row>
    <row r="4" customFormat="false" ht="35.05" hidden="false" customHeight="false" outlineLevel="0" collapsed="false">
      <c r="B4" s="27" t="s">
        <v>272</v>
      </c>
      <c r="C4" s="27" t="s">
        <v>313</v>
      </c>
      <c r="D4" s="27" t="s">
        <v>314</v>
      </c>
      <c r="E4" s="27" t="s">
        <v>315</v>
      </c>
      <c r="F4" s="27" t="s">
        <v>316</v>
      </c>
      <c r="G4" s="27" t="s">
        <v>95</v>
      </c>
      <c r="H4" s="9" t="s">
        <v>317</v>
      </c>
      <c r="I4" s="27" t="s">
        <v>279</v>
      </c>
      <c r="J4" s="9" t="s">
        <v>185</v>
      </c>
      <c r="K4" s="27" t="s">
        <v>318</v>
      </c>
    </row>
    <row r="5" customFormat="false" ht="15" hidden="false" customHeight="false" outlineLevel="0" collapsed="false">
      <c r="B5" s="29" t="n">
        <v>1</v>
      </c>
      <c r="C5" s="77" t="n">
        <v>46279</v>
      </c>
      <c r="D5" s="30" t="s">
        <v>319</v>
      </c>
      <c r="E5" s="30" t="s">
        <v>320</v>
      </c>
      <c r="F5" s="30" t="s">
        <v>321</v>
      </c>
      <c r="G5" s="29" t="s">
        <v>322</v>
      </c>
      <c r="H5" s="43" t="str">
        <f aca="false">IF(OR(DecisionLog[[#This Row],[Decision]]="",DecisionLog[[#This Row],[Status]]&lt;&gt;"Proposed",N(DecisionLog[[#This Row],[Date]])=0),"",MAX(0,StatusDate-DecisionLog[[#This Row],[Date]]))</f>
        <v/>
      </c>
      <c r="I5" s="29" t="n">
        <v>12</v>
      </c>
      <c r="J5" s="24" t="str">
        <f aca="false">IF(N(DecisionLog[[#This Row],[Task UID]])=0,"",IFERROR(INDEX(tsk_Name,MATCH(DecisionLog[[#This Row],[Task UID]],tsk_UID,0)),"UID "&amp;DecisionLog[[#This Row],[Task UID]]&amp;" not found"))</f>
        <v>Data model &amp; database setup</v>
      </c>
      <c r="K5" s="29"/>
    </row>
    <row r="6" customFormat="false" ht="15" hidden="false" customHeight="false" outlineLevel="0" collapsed="false">
      <c r="B6" s="29" t="n">
        <v>2</v>
      </c>
      <c r="C6" s="77" t="n">
        <v>46304</v>
      </c>
      <c r="D6" s="30" t="s">
        <v>323</v>
      </c>
      <c r="E6" s="30" t="s">
        <v>324</v>
      </c>
      <c r="F6" s="30" t="s">
        <v>325</v>
      </c>
      <c r="G6" s="29" t="s">
        <v>322</v>
      </c>
      <c r="H6" s="43" t="str">
        <f aca="false">IF(OR(DecisionLog[[#This Row],[Decision]]="",DecisionLog[[#This Row],[Status]]&lt;&gt;"Proposed",N(DecisionLog[[#This Row],[Date]])=0),"",MAX(0,StatusDate-DecisionLog[[#This Row],[Date]]))</f>
        <v/>
      </c>
      <c r="I6" s="29" t="n">
        <v>17</v>
      </c>
      <c r="J6" s="24" t="str">
        <f aca="false">IF(N(DecisionLog[[#This Row],[Task UID]])=0,"",IFERROR(INDEX(tsk_Name,MATCH(DecisionLog[[#This Row],[Task UID]],tsk_UID,0)),"UID "&amp;DecisionLog[[#This Row],[Task UID]]&amp;" not found"))</f>
        <v>Feature screens</v>
      </c>
      <c r="K6" s="29" t="n">
        <v>6</v>
      </c>
    </row>
    <row r="7" customFormat="false" ht="15" hidden="false" customHeight="false" outlineLevel="0" collapsed="false">
      <c r="B7" s="29" t="n">
        <v>3</v>
      </c>
      <c r="C7" s="77" t="n">
        <v>46317</v>
      </c>
      <c r="D7" s="30" t="s">
        <v>326</v>
      </c>
      <c r="E7" s="30" t="s">
        <v>327</v>
      </c>
      <c r="F7" s="30" t="s">
        <v>325</v>
      </c>
      <c r="G7" s="29" t="s">
        <v>328</v>
      </c>
      <c r="H7" s="43" t="n">
        <f aca="false">IF(OR(DecisionLog[[#This Row],[Decision]]="",DecisionLog[[#This Row],[Status]]&lt;&gt;"Proposed",N(DecisionLog[[#This Row],[Date]])=0),"",MAX(0,StatusDate-DecisionLog[[#This Row],[Date]]))</f>
        <v>3</v>
      </c>
      <c r="I7" s="29" t="n">
        <v>13</v>
      </c>
      <c r="J7" s="24" t="str">
        <f aca="false">IF(N(DecisionLog[[#This Row],[Task UID]])=0,"",IFERROR(INDEX(tsk_Name,MATCH(DecisionLog[[#This Row],[Task UID]],tsk_UID,0)),"UID "&amp;DecisionLog[[#This Row],[Task UID]]&amp;" not found"))</f>
        <v>Core API endpoints</v>
      </c>
      <c r="K7" s="29" t="n">
        <v>3</v>
      </c>
    </row>
    <row r="8" customFormat="false" ht="15" hidden="false" customHeight="false" outlineLevel="0" collapsed="false">
      <c r="B8" s="29" t="n">
        <v>4</v>
      </c>
      <c r="C8" s="77"/>
      <c r="D8" s="30"/>
      <c r="E8" s="30"/>
      <c r="F8" s="30"/>
      <c r="G8" s="29"/>
      <c r="H8" s="43" t="str">
        <f aca="false">IF(OR(DecisionLog[[#This Row],[Decision]]="",DecisionLog[[#This Row],[Status]]&lt;&gt;"Proposed",N(DecisionLog[[#This Row],[Date]])=0),"",MAX(0,StatusDate-DecisionLog[[#This Row],[Date]]))</f>
        <v/>
      </c>
      <c r="I8" s="29"/>
      <c r="J8" s="24" t="str">
        <f aca="false">IF(N(DecisionLog[[#This Row],[Task UID]])=0,"",IFERROR(INDEX(tsk_Name,MATCH(DecisionLog[[#This Row],[Task UID]],tsk_UID,0)),"UID "&amp;DecisionLog[[#This Row],[Task UID]]&amp;" not found"))</f>
        <v/>
      </c>
      <c r="K8" s="29"/>
    </row>
    <row r="9" customFormat="false" ht="15" hidden="false" customHeight="false" outlineLevel="0" collapsed="false">
      <c r="B9" s="29" t="n">
        <v>5</v>
      </c>
      <c r="C9" s="77"/>
      <c r="D9" s="30"/>
      <c r="E9" s="30"/>
      <c r="F9" s="30"/>
      <c r="G9" s="29"/>
      <c r="H9" s="43" t="str">
        <f aca="false">IF(OR(DecisionLog[[#This Row],[Decision]]="",DecisionLog[[#This Row],[Status]]&lt;&gt;"Proposed",N(DecisionLog[[#This Row],[Date]])=0),"",MAX(0,StatusDate-DecisionLog[[#This Row],[Date]]))</f>
        <v/>
      </c>
      <c r="I9" s="29"/>
      <c r="J9" s="24" t="str">
        <f aca="false">IF(N(DecisionLog[[#This Row],[Task UID]])=0,"",IFERROR(INDEX(tsk_Name,MATCH(DecisionLog[[#This Row],[Task UID]],tsk_UID,0)),"UID "&amp;DecisionLog[[#This Row],[Task UID]]&amp;" not found"))</f>
        <v/>
      </c>
      <c r="K9" s="29"/>
    </row>
    <row r="10" customFormat="false" ht="15" hidden="false" customHeight="false" outlineLevel="0" collapsed="false">
      <c r="B10" s="29" t="n">
        <v>6</v>
      </c>
      <c r="C10" s="77"/>
      <c r="D10" s="30"/>
      <c r="E10" s="30"/>
      <c r="F10" s="30"/>
      <c r="G10" s="29"/>
      <c r="H10" s="43" t="str">
        <f aca="false">IF(OR(DecisionLog[[#This Row],[Decision]]="",DecisionLog[[#This Row],[Status]]&lt;&gt;"Proposed",N(DecisionLog[[#This Row],[Date]])=0),"",MAX(0,StatusDate-DecisionLog[[#This Row],[Date]]))</f>
        <v/>
      </c>
      <c r="I10" s="29"/>
      <c r="J10" s="24" t="str">
        <f aca="false">IF(N(DecisionLog[[#This Row],[Task UID]])=0,"",IFERROR(INDEX(tsk_Name,MATCH(DecisionLog[[#This Row],[Task UID]],tsk_UID,0)),"UID "&amp;DecisionLog[[#This Row],[Task UID]]&amp;" not found"))</f>
        <v/>
      </c>
      <c r="K10" s="29"/>
    </row>
    <row r="11" customFormat="false" ht="15" hidden="false" customHeight="false" outlineLevel="0" collapsed="false">
      <c r="B11" s="29" t="n">
        <v>7</v>
      </c>
      <c r="C11" s="77"/>
      <c r="D11" s="30"/>
      <c r="E11" s="30"/>
      <c r="F11" s="30"/>
      <c r="G11" s="29"/>
      <c r="H11" s="43" t="str">
        <f aca="false">IF(OR(DecisionLog[[#This Row],[Decision]]="",DecisionLog[[#This Row],[Status]]&lt;&gt;"Proposed",N(DecisionLog[[#This Row],[Date]])=0),"",MAX(0,StatusDate-DecisionLog[[#This Row],[Date]]))</f>
        <v/>
      </c>
      <c r="I11" s="29"/>
      <c r="J11" s="24" t="str">
        <f aca="false">IF(N(DecisionLog[[#This Row],[Task UID]])=0,"",IFERROR(INDEX(tsk_Name,MATCH(DecisionLog[[#This Row],[Task UID]],tsk_UID,0)),"UID "&amp;DecisionLog[[#This Row],[Task UID]]&amp;" not found"))</f>
        <v/>
      </c>
      <c r="K11" s="29"/>
    </row>
    <row r="12" customFormat="false" ht="15" hidden="false" customHeight="false" outlineLevel="0" collapsed="false">
      <c r="B12" s="29" t="n">
        <v>8</v>
      </c>
      <c r="C12" s="77"/>
      <c r="D12" s="30"/>
      <c r="E12" s="30"/>
      <c r="F12" s="30"/>
      <c r="G12" s="29"/>
      <c r="H12" s="43" t="str">
        <f aca="false">IF(OR(DecisionLog[[#This Row],[Decision]]="",DecisionLog[[#This Row],[Status]]&lt;&gt;"Proposed",N(DecisionLog[[#This Row],[Date]])=0),"",MAX(0,StatusDate-DecisionLog[[#This Row],[Date]]))</f>
        <v/>
      </c>
      <c r="I12" s="29"/>
      <c r="J12" s="24" t="str">
        <f aca="false">IF(N(DecisionLog[[#This Row],[Task UID]])=0,"",IFERROR(INDEX(tsk_Name,MATCH(DecisionLog[[#This Row],[Task UID]],tsk_UID,0)),"UID "&amp;DecisionLog[[#This Row],[Task UID]]&amp;" not found"))</f>
        <v/>
      </c>
      <c r="K12" s="29"/>
    </row>
    <row r="13" customFormat="false" ht="15" hidden="false" customHeight="false" outlineLevel="0" collapsed="false">
      <c r="B13" s="29" t="n">
        <v>9</v>
      </c>
      <c r="C13" s="77"/>
      <c r="D13" s="30"/>
      <c r="E13" s="30"/>
      <c r="F13" s="30"/>
      <c r="G13" s="29"/>
      <c r="H13" s="43" t="str">
        <f aca="false">IF(OR(DecisionLog[[#This Row],[Decision]]="",DecisionLog[[#This Row],[Status]]&lt;&gt;"Proposed",N(DecisionLog[[#This Row],[Date]])=0),"",MAX(0,StatusDate-DecisionLog[[#This Row],[Date]]))</f>
        <v/>
      </c>
      <c r="I13" s="29"/>
      <c r="J13" s="24" t="str">
        <f aca="false">IF(N(DecisionLog[[#This Row],[Task UID]])=0,"",IFERROR(INDEX(tsk_Name,MATCH(DecisionLog[[#This Row],[Task UID]],tsk_UID,0)),"UID "&amp;DecisionLog[[#This Row],[Task UID]]&amp;" not found"))</f>
        <v/>
      </c>
      <c r="K13" s="29"/>
    </row>
    <row r="14" customFormat="false" ht="15" hidden="false" customHeight="false" outlineLevel="0" collapsed="false">
      <c r="B14" s="29" t="n">
        <v>10</v>
      </c>
      <c r="C14" s="77"/>
      <c r="D14" s="30"/>
      <c r="E14" s="30"/>
      <c r="F14" s="30"/>
      <c r="G14" s="29"/>
      <c r="H14" s="43" t="str">
        <f aca="false">IF(OR(DecisionLog[[#This Row],[Decision]]="",DecisionLog[[#This Row],[Status]]&lt;&gt;"Proposed",N(DecisionLog[[#This Row],[Date]])=0),"",MAX(0,StatusDate-DecisionLog[[#This Row],[Date]]))</f>
        <v/>
      </c>
      <c r="I14" s="29"/>
      <c r="J14" s="24" t="str">
        <f aca="false">IF(N(DecisionLog[[#This Row],[Task UID]])=0,"",IFERROR(INDEX(tsk_Name,MATCH(DecisionLog[[#This Row],[Task UID]],tsk_UID,0)),"UID "&amp;DecisionLog[[#This Row],[Task UID]]&amp;" not found"))</f>
        <v/>
      </c>
      <c r="K14" s="29"/>
    </row>
    <row r="15" customFormat="false" ht="15" hidden="false" customHeight="false" outlineLevel="0" collapsed="false">
      <c r="B15" s="29" t="n">
        <v>11</v>
      </c>
      <c r="C15" s="77"/>
      <c r="D15" s="30"/>
      <c r="E15" s="30"/>
      <c r="F15" s="30"/>
      <c r="G15" s="29"/>
      <c r="H15" s="43" t="str">
        <f aca="false">IF(OR(DecisionLog[[#This Row],[Decision]]="",DecisionLog[[#This Row],[Status]]&lt;&gt;"Proposed",N(DecisionLog[[#This Row],[Date]])=0),"",MAX(0,StatusDate-DecisionLog[[#This Row],[Date]]))</f>
        <v/>
      </c>
      <c r="I15" s="29"/>
      <c r="J15" s="24" t="str">
        <f aca="false">IF(N(DecisionLog[[#This Row],[Task UID]])=0,"",IFERROR(INDEX(tsk_Name,MATCH(DecisionLog[[#This Row],[Task UID]],tsk_UID,0)),"UID "&amp;DecisionLog[[#This Row],[Task UID]]&amp;" not found"))</f>
        <v/>
      </c>
      <c r="K15" s="29"/>
    </row>
    <row r="16" customFormat="false" ht="15" hidden="false" customHeight="false" outlineLevel="0" collapsed="false">
      <c r="B16" s="29" t="n">
        <v>12</v>
      </c>
      <c r="C16" s="77"/>
      <c r="D16" s="30"/>
      <c r="E16" s="30"/>
      <c r="F16" s="30"/>
      <c r="G16" s="29"/>
      <c r="H16" s="43" t="str">
        <f aca="false">IF(OR(DecisionLog[[#This Row],[Decision]]="",DecisionLog[[#This Row],[Status]]&lt;&gt;"Proposed",N(DecisionLog[[#This Row],[Date]])=0),"",MAX(0,StatusDate-DecisionLog[[#This Row],[Date]]))</f>
        <v/>
      </c>
      <c r="I16" s="29"/>
      <c r="J16" s="24" t="str">
        <f aca="false">IF(N(DecisionLog[[#This Row],[Task UID]])=0,"",IFERROR(INDEX(tsk_Name,MATCH(DecisionLog[[#This Row],[Task UID]],tsk_UID,0)),"UID "&amp;DecisionLog[[#This Row],[Task UID]]&amp;" not found"))</f>
        <v/>
      </c>
      <c r="K16" s="29"/>
    </row>
    <row r="17" customFormat="false" ht="15" hidden="false" customHeight="false" outlineLevel="0" collapsed="false">
      <c r="B17" s="29" t="n">
        <v>13</v>
      </c>
      <c r="C17" s="77"/>
      <c r="D17" s="30"/>
      <c r="E17" s="30"/>
      <c r="F17" s="30"/>
      <c r="G17" s="29"/>
      <c r="H17" s="43" t="str">
        <f aca="false">IF(OR(DecisionLog[[#This Row],[Decision]]="",DecisionLog[[#This Row],[Status]]&lt;&gt;"Proposed",N(DecisionLog[[#This Row],[Date]])=0),"",MAX(0,StatusDate-DecisionLog[[#This Row],[Date]]))</f>
        <v/>
      </c>
      <c r="I17" s="29"/>
      <c r="J17" s="24" t="str">
        <f aca="false">IF(N(DecisionLog[[#This Row],[Task UID]])=0,"",IFERROR(INDEX(tsk_Name,MATCH(DecisionLog[[#This Row],[Task UID]],tsk_UID,0)),"UID "&amp;DecisionLog[[#This Row],[Task UID]]&amp;" not found"))</f>
        <v/>
      </c>
      <c r="K17" s="29"/>
    </row>
    <row r="18" customFormat="false" ht="15" hidden="false" customHeight="false" outlineLevel="0" collapsed="false">
      <c r="B18" s="29" t="n">
        <v>14</v>
      </c>
      <c r="C18" s="77"/>
      <c r="D18" s="30"/>
      <c r="E18" s="30"/>
      <c r="F18" s="30"/>
      <c r="G18" s="29"/>
      <c r="H18" s="43" t="str">
        <f aca="false">IF(OR(DecisionLog[[#This Row],[Decision]]="",DecisionLog[[#This Row],[Status]]&lt;&gt;"Proposed",N(DecisionLog[[#This Row],[Date]])=0),"",MAX(0,StatusDate-DecisionLog[[#This Row],[Date]]))</f>
        <v/>
      </c>
      <c r="I18" s="29"/>
      <c r="J18" s="24" t="str">
        <f aca="false">IF(N(DecisionLog[[#This Row],[Task UID]])=0,"",IFERROR(INDEX(tsk_Name,MATCH(DecisionLog[[#This Row],[Task UID]],tsk_UID,0)),"UID "&amp;DecisionLog[[#This Row],[Task UID]]&amp;" not found"))</f>
        <v/>
      </c>
      <c r="K18" s="29"/>
    </row>
    <row r="19" customFormat="false" ht="15" hidden="false" customHeight="false" outlineLevel="0" collapsed="false">
      <c r="B19" s="29" t="n">
        <v>15</v>
      </c>
      <c r="C19" s="77"/>
      <c r="D19" s="30"/>
      <c r="E19" s="30"/>
      <c r="F19" s="30"/>
      <c r="G19" s="29"/>
      <c r="H19" s="43" t="str">
        <f aca="false">IF(OR(DecisionLog[[#This Row],[Decision]]="",DecisionLog[[#This Row],[Status]]&lt;&gt;"Proposed",N(DecisionLog[[#This Row],[Date]])=0),"",MAX(0,StatusDate-DecisionLog[[#This Row],[Date]]))</f>
        <v/>
      </c>
      <c r="I19" s="29"/>
      <c r="J19" s="24" t="str">
        <f aca="false">IF(N(DecisionLog[[#This Row],[Task UID]])=0,"",IFERROR(INDEX(tsk_Name,MATCH(DecisionLog[[#This Row],[Task UID]],tsk_UID,0)),"UID "&amp;DecisionLog[[#This Row],[Task UID]]&amp;" not found"))</f>
        <v/>
      </c>
      <c r="K19" s="29"/>
    </row>
    <row r="20" customFormat="false" ht="15" hidden="false" customHeight="false" outlineLevel="0" collapsed="false">
      <c r="B20" s="29" t="n">
        <v>16</v>
      </c>
      <c r="C20" s="77"/>
      <c r="D20" s="30"/>
      <c r="E20" s="30"/>
      <c r="F20" s="30"/>
      <c r="G20" s="29"/>
      <c r="H20" s="43" t="str">
        <f aca="false">IF(OR(DecisionLog[[#This Row],[Decision]]="",DecisionLog[[#This Row],[Status]]&lt;&gt;"Proposed",N(DecisionLog[[#This Row],[Date]])=0),"",MAX(0,StatusDate-DecisionLog[[#This Row],[Date]]))</f>
        <v/>
      </c>
      <c r="I20" s="29"/>
      <c r="J20" s="24" t="str">
        <f aca="false">IF(N(DecisionLog[[#This Row],[Task UID]])=0,"",IFERROR(INDEX(tsk_Name,MATCH(DecisionLog[[#This Row],[Task UID]],tsk_UID,0)),"UID "&amp;DecisionLog[[#This Row],[Task UID]]&amp;" not found"))</f>
        <v/>
      </c>
      <c r="K20" s="29"/>
    </row>
    <row r="21" customFormat="false" ht="15" hidden="false" customHeight="false" outlineLevel="0" collapsed="false">
      <c r="B21" s="29" t="n">
        <v>17</v>
      </c>
      <c r="C21" s="77"/>
      <c r="D21" s="30"/>
      <c r="E21" s="30"/>
      <c r="F21" s="30"/>
      <c r="G21" s="29"/>
      <c r="H21" s="43" t="str">
        <f aca="false">IF(OR(DecisionLog[[#This Row],[Decision]]="",DecisionLog[[#This Row],[Status]]&lt;&gt;"Proposed",N(DecisionLog[[#This Row],[Date]])=0),"",MAX(0,StatusDate-DecisionLog[[#This Row],[Date]]))</f>
        <v/>
      </c>
      <c r="I21" s="29"/>
      <c r="J21" s="24" t="str">
        <f aca="false">IF(N(DecisionLog[[#This Row],[Task UID]])=0,"",IFERROR(INDEX(tsk_Name,MATCH(DecisionLog[[#This Row],[Task UID]],tsk_UID,0)),"UID "&amp;DecisionLog[[#This Row],[Task UID]]&amp;" not found"))</f>
        <v/>
      </c>
      <c r="K21" s="29"/>
    </row>
    <row r="22" customFormat="false" ht="15" hidden="false" customHeight="false" outlineLevel="0" collapsed="false">
      <c r="B22" s="29" t="n">
        <v>18</v>
      </c>
      <c r="C22" s="77"/>
      <c r="D22" s="30"/>
      <c r="E22" s="30"/>
      <c r="F22" s="30"/>
      <c r="G22" s="29"/>
      <c r="H22" s="43" t="str">
        <f aca="false">IF(OR(DecisionLog[[#This Row],[Decision]]="",DecisionLog[[#This Row],[Status]]&lt;&gt;"Proposed",N(DecisionLog[[#This Row],[Date]])=0),"",MAX(0,StatusDate-DecisionLog[[#This Row],[Date]]))</f>
        <v/>
      </c>
      <c r="I22" s="29"/>
      <c r="J22" s="24" t="str">
        <f aca="false">IF(N(DecisionLog[[#This Row],[Task UID]])=0,"",IFERROR(INDEX(tsk_Name,MATCH(DecisionLog[[#This Row],[Task UID]],tsk_UID,0)),"UID "&amp;DecisionLog[[#This Row],[Task UID]]&amp;" not found"))</f>
        <v/>
      </c>
      <c r="K22" s="29"/>
    </row>
    <row r="23" customFormat="false" ht="15" hidden="false" customHeight="false" outlineLevel="0" collapsed="false">
      <c r="B23" s="29" t="n">
        <v>19</v>
      </c>
      <c r="C23" s="77"/>
      <c r="D23" s="30"/>
      <c r="E23" s="30"/>
      <c r="F23" s="30"/>
      <c r="G23" s="29"/>
      <c r="H23" s="43" t="str">
        <f aca="false">IF(OR(DecisionLog[[#This Row],[Decision]]="",DecisionLog[[#This Row],[Status]]&lt;&gt;"Proposed",N(DecisionLog[[#This Row],[Date]])=0),"",MAX(0,StatusDate-DecisionLog[[#This Row],[Date]]))</f>
        <v/>
      </c>
      <c r="I23" s="29"/>
      <c r="J23" s="24" t="str">
        <f aca="false">IF(N(DecisionLog[[#This Row],[Task UID]])=0,"",IFERROR(INDEX(tsk_Name,MATCH(DecisionLog[[#This Row],[Task UID]],tsk_UID,0)),"UID "&amp;DecisionLog[[#This Row],[Task UID]]&amp;" not found"))</f>
        <v/>
      </c>
      <c r="K23" s="29"/>
    </row>
    <row r="24" customFormat="false" ht="15" hidden="false" customHeight="false" outlineLevel="0" collapsed="false">
      <c r="B24" s="29" t="n">
        <v>20</v>
      </c>
      <c r="C24" s="77"/>
      <c r="D24" s="30"/>
      <c r="E24" s="30"/>
      <c r="F24" s="30"/>
      <c r="G24" s="29"/>
      <c r="H24" s="43" t="str">
        <f aca="false">IF(OR(DecisionLog[[#This Row],[Decision]]="",DecisionLog[[#This Row],[Status]]&lt;&gt;"Proposed",N(DecisionLog[[#This Row],[Date]])=0),"",MAX(0,StatusDate-DecisionLog[[#This Row],[Date]]))</f>
        <v/>
      </c>
      <c r="I24" s="29"/>
      <c r="J24" s="24" t="str">
        <f aca="false">IF(N(DecisionLog[[#This Row],[Task UID]])=0,"",IFERROR(INDEX(tsk_Name,MATCH(DecisionLog[[#This Row],[Task UID]],tsk_UID,0)),"UID "&amp;DecisionLog[[#This Row],[Task UID]]&amp;" not found"))</f>
        <v/>
      </c>
      <c r="K24" s="29"/>
    </row>
    <row r="25" customFormat="false" ht="15" hidden="false" customHeight="false" outlineLevel="0" collapsed="false">
      <c r="B25" s="29" t="n">
        <v>21</v>
      </c>
      <c r="C25" s="77"/>
      <c r="D25" s="30"/>
      <c r="E25" s="30"/>
      <c r="F25" s="30"/>
      <c r="G25" s="29"/>
      <c r="H25" s="43" t="str">
        <f aca="false">IF(OR(DecisionLog[[#This Row],[Decision]]="",DecisionLog[[#This Row],[Status]]&lt;&gt;"Proposed",N(DecisionLog[[#This Row],[Date]])=0),"",MAX(0,StatusDate-DecisionLog[[#This Row],[Date]]))</f>
        <v/>
      </c>
      <c r="I25" s="29"/>
      <c r="J25" s="24" t="str">
        <f aca="false">IF(N(DecisionLog[[#This Row],[Task UID]])=0,"",IFERROR(INDEX(tsk_Name,MATCH(DecisionLog[[#This Row],[Task UID]],tsk_UID,0)),"UID "&amp;DecisionLog[[#This Row],[Task UID]]&amp;" not found"))</f>
        <v/>
      </c>
      <c r="K25" s="29"/>
    </row>
    <row r="26" customFormat="false" ht="15" hidden="false" customHeight="false" outlineLevel="0" collapsed="false">
      <c r="B26" s="29" t="n">
        <v>22</v>
      </c>
      <c r="C26" s="77"/>
      <c r="D26" s="30"/>
      <c r="E26" s="30"/>
      <c r="F26" s="30"/>
      <c r="G26" s="29"/>
      <c r="H26" s="43" t="str">
        <f aca="false">IF(OR(DecisionLog[[#This Row],[Decision]]="",DecisionLog[[#This Row],[Status]]&lt;&gt;"Proposed",N(DecisionLog[[#This Row],[Date]])=0),"",MAX(0,StatusDate-DecisionLog[[#This Row],[Date]]))</f>
        <v/>
      </c>
      <c r="I26" s="29"/>
      <c r="J26" s="24" t="str">
        <f aca="false">IF(N(DecisionLog[[#This Row],[Task UID]])=0,"",IFERROR(INDEX(tsk_Name,MATCH(DecisionLog[[#This Row],[Task UID]],tsk_UID,0)),"UID "&amp;DecisionLog[[#This Row],[Task UID]]&amp;" not found"))</f>
        <v/>
      </c>
      <c r="K26" s="29"/>
    </row>
    <row r="27" customFormat="false" ht="15" hidden="false" customHeight="false" outlineLevel="0" collapsed="false">
      <c r="B27" s="29" t="n">
        <v>23</v>
      </c>
      <c r="C27" s="77"/>
      <c r="D27" s="30"/>
      <c r="E27" s="30"/>
      <c r="F27" s="30"/>
      <c r="G27" s="29"/>
      <c r="H27" s="43" t="str">
        <f aca="false">IF(OR(DecisionLog[[#This Row],[Decision]]="",DecisionLog[[#This Row],[Status]]&lt;&gt;"Proposed",N(DecisionLog[[#This Row],[Date]])=0),"",MAX(0,StatusDate-DecisionLog[[#This Row],[Date]]))</f>
        <v/>
      </c>
      <c r="I27" s="29"/>
      <c r="J27" s="24" t="str">
        <f aca="false">IF(N(DecisionLog[[#This Row],[Task UID]])=0,"",IFERROR(INDEX(tsk_Name,MATCH(DecisionLog[[#This Row],[Task UID]],tsk_UID,0)),"UID "&amp;DecisionLog[[#This Row],[Task UID]]&amp;" not found"))</f>
        <v/>
      </c>
      <c r="K27" s="29"/>
    </row>
    <row r="28" customFormat="false" ht="15" hidden="false" customHeight="false" outlineLevel="0" collapsed="false">
      <c r="B28" s="29" t="n">
        <v>24</v>
      </c>
      <c r="C28" s="77"/>
      <c r="D28" s="30"/>
      <c r="E28" s="30"/>
      <c r="F28" s="30"/>
      <c r="G28" s="29"/>
      <c r="H28" s="43" t="str">
        <f aca="false">IF(OR(DecisionLog[[#This Row],[Decision]]="",DecisionLog[[#This Row],[Status]]&lt;&gt;"Proposed",N(DecisionLog[[#This Row],[Date]])=0),"",MAX(0,StatusDate-DecisionLog[[#This Row],[Date]]))</f>
        <v/>
      </c>
      <c r="I28" s="29"/>
      <c r="J28" s="24" t="str">
        <f aca="false">IF(N(DecisionLog[[#This Row],[Task UID]])=0,"",IFERROR(INDEX(tsk_Name,MATCH(DecisionLog[[#This Row],[Task UID]],tsk_UID,0)),"UID "&amp;DecisionLog[[#This Row],[Task UID]]&amp;" not found"))</f>
        <v/>
      </c>
      <c r="K28" s="29"/>
    </row>
    <row r="29" customFormat="false" ht="15" hidden="false" customHeight="false" outlineLevel="0" collapsed="false">
      <c r="B29" s="29" t="n">
        <v>25</v>
      </c>
      <c r="C29" s="77"/>
      <c r="D29" s="30"/>
      <c r="E29" s="30"/>
      <c r="F29" s="30"/>
      <c r="G29" s="29"/>
      <c r="H29" s="43" t="str">
        <f aca="false">IF(OR(DecisionLog[[#This Row],[Decision]]="",DecisionLog[[#This Row],[Status]]&lt;&gt;"Proposed",N(DecisionLog[[#This Row],[Date]])=0),"",MAX(0,StatusDate-DecisionLog[[#This Row],[Date]]))</f>
        <v/>
      </c>
      <c r="I29" s="29"/>
      <c r="J29" s="24" t="str">
        <f aca="false">IF(N(DecisionLog[[#This Row],[Task UID]])=0,"",IFERROR(INDEX(tsk_Name,MATCH(DecisionLog[[#This Row],[Task UID]],tsk_UID,0)),"UID "&amp;DecisionLog[[#This Row],[Task UID]]&amp;" not found"))</f>
        <v/>
      </c>
      <c r="K29" s="29"/>
    </row>
    <row r="30" customFormat="false" ht="15" hidden="false" customHeight="false" outlineLevel="0" collapsed="false">
      <c r="B30" s="29" t="n">
        <v>26</v>
      </c>
      <c r="C30" s="77"/>
      <c r="D30" s="30"/>
      <c r="E30" s="30"/>
      <c r="F30" s="30"/>
      <c r="G30" s="29"/>
      <c r="H30" s="43" t="str">
        <f aca="false">IF(OR(DecisionLog[[#This Row],[Decision]]="",DecisionLog[[#This Row],[Status]]&lt;&gt;"Proposed",N(DecisionLog[[#This Row],[Date]])=0),"",MAX(0,StatusDate-DecisionLog[[#This Row],[Date]]))</f>
        <v/>
      </c>
      <c r="I30" s="29"/>
      <c r="J30" s="24" t="str">
        <f aca="false">IF(N(DecisionLog[[#This Row],[Task UID]])=0,"",IFERROR(INDEX(tsk_Name,MATCH(DecisionLog[[#This Row],[Task UID]],tsk_UID,0)),"UID "&amp;DecisionLog[[#This Row],[Task UID]]&amp;" not found"))</f>
        <v/>
      </c>
      <c r="K30" s="29"/>
    </row>
    <row r="31" customFormat="false" ht="15" hidden="false" customHeight="false" outlineLevel="0" collapsed="false">
      <c r="B31" s="29" t="n">
        <v>27</v>
      </c>
      <c r="C31" s="77"/>
      <c r="D31" s="30"/>
      <c r="E31" s="30"/>
      <c r="F31" s="30"/>
      <c r="G31" s="29"/>
      <c r="H31" s="43" t="str">
        <f aca="false">IF(OR(DecisionLog[[#This Row],[Decision]]="",DecisionLog[[#This Row],[Status]]&lt;&gt;"Proposed",N(DecisionLog[[#This Row],[Date]])=0),"",MAX(0,StatusDate-DecisionLog[[#This Row],[Date]]))</f>
        <v/>
      </c>
      <c r="I31" s="29"/>
      <c r="J31" s="24" t="str">
        <f aca="false">IF(N(DecisionLog[[#This Row],[Task UID]])=0,"",IFERROR(INDEX(tsk_Name,MATCH(DecisionLog[[#This Row],[Task UID]],tsk_UID,0)),"UID "&amp;DecisionLog[[#This Row],[Task UID]]&amp;" not found"))</f>
        <v/>
      </c>
      <c r="K31" s="29"/>
    </row>
    <row r="32" customFormat="false" ht="15" hidden="false" customHeight="false" outlineLevel="0" collapsed="false">
      <c r="B32" s="29" t="n">
        <v>28</v>
      </c>
      <c r="C32" s="77"/>
      <c r="D32" s="30"/>
      <c r="E32" s="30"/>
      <c r="F32" s="30"/>
      <c r="G32" s="29"/>
      <c r="H32" s="43" t="str">
        <f aca="false">IF(OR(DecisionLog[[#This Row],[Decision]]="",DecisionLog[[#This Row],[Status]]&lt;&gt;"Proposed",N(DecisionLog[[#This Row],[Date]])=0),"",MAX(0,StatusDate-DecisionLog[[#This Row],[Date]]))</f>
        <v/>
      </c>
      <c r="I32" s="29"/>
      <c r="J32" s="24" t="str">
        <f aca="false">IF(N(DecisionLog[[#This Row],[Task UID]])=0,"",IFERROR(INDEX(tsk_Name,MATCH(DecisionLog[[#This Row],[Task UID]],tsk_UID,0)),"UID "&amp;DecisionLog[[#This Row],[Task UID]]&amp;" not found"))</f>
        <v/>
      </c>
      <c r="K32" s="29"/>
    </row>
    <row r="33" customFormat="false" ht="15" hidden="false" customHeight="false" outlineLevel="0" collapsed="false">
      <c r="B33" s="29" t="n">
        <v>29</v>
      </c>
      <c r="C33" s="77"/>
      <c r="D33" s="30"/>
      <c r="E33" s="30"/>
      <c r="F33" s="30"/>
      <c r="G33" s="29"/>
      <c r="H33" s="43" t="str">
        <f aca="false">IF(OR(DecisionLog[[#This Row],[Decision]]="",DecisionLog[[#This Row],[Status]]&lt;&gt;"Proposed",N(DecisionLog[[#This Row],[Date]])=0),"",MAX(0,StatusDate-DecisionLog[[#This Row],[Date]]))</f>
        <v/>
      </c>
      <c r="I33" s="29"/>
      <c r="J33" s="24" t="str">
        <f aca="false">IF(N(DecisionLog[[#This Row],[Task UID]])=0,"",IFERROR(INDEX(tsk_Name,MATCH(DecisionLog[[#This Row],[Task UID]],tsk_UID,0)),"UID "&amp;DecisionLog[[#This Row],[Task UID]]&amp;" not found"))</f>
        <v/>
      </c>
      <c r="K33" s="29"/>
    </row>
    <row r="34" customFormat="false" ht="15" hidden="false" customHeight="false" outlineLevel="0" collapsed="false">
      <c r="B34" s="29" t="n">
        <v>30</v>
      </c>
      <c r="C34" s="77"/>
      <c r="D34" s="30"/>
      <c r="E34" s="30"/>
      <c r="F34" s="30"/>
      <c r="G34" s="29"/>
      <c r="H34" s="43" t="str">
        <f aca="false">IF(OR(DecisionLog[[#This Row],[Decision]]="",DecisionLog[[#This Row],[Status]]&lt;&gt;"Proposed",N(DecisionLog[[#This Row],[Date]])=0),"",MAX(0,StatusDate-DecisionLog[[#This Row],[Date]]))</f>
        <v/>
      </c>
      <c r="I34" s="29"/>
      <c r="J34" s="24" t="str">
        <f aca="false">IF(N(DecisionLog[[#This Row],[Task UID]])=0,"",IFERROR(INDEX(tsk_Name,MATCH(DecisionLog[[#This Row],[Task UID]],tsk_UID,0)),"UID "&amp;DecisionLog[[#This Row],[Task UID]]&amp;" not found"))</f>
        <v/>
      </c>
      <c r="K34" s="29"/>
    </row>
    <row r="35" customFormat="false" ht="15" hidden="false" customHeight="false" outlineLevel="0" collapsed="false">
      <c r="B35" s="29" t="n">
        <v>31</v>
      </c>
      <c r="C35" s="77"/>
      <c r="D35" s="30"/>
      <c r="E35" s="30"/>
      <c r="F35" s="30"/>
      <c r="G35" s="29"/>
      <c r="H35" s="43" t="str">
        <f aca="false">IF(OR(DecisionLog[[#This Row],[Decision]]="",DecisionLog[[#This Row],[Status]]&lt;&gt;"Proposed",N(DecisionLog[[#This Row],[Date]])=0),"",MAX(0,StatusDate-DecisionLog[[#This Row],[Date]]))</f>
        <v/>
      </c>
      <c r="I35" s="29"/>
      <c r="J35" s="24" t="str">
        <f aca="false">IF(N(DecisionLog[[#This Row],[Task UID]])=0,"",IFERROR(INDEX(tsk_Name,MATCH(DecisionLog[[#This Row],[Task UID]],tsk_UID,0)),"UID "&amp;DecisionLog[[#This Row],[Task UID]]&amp;" not found"))</f>
        <v/>
      </c>
      <c r="K35" s="29"/>
    </row>
    <row r="36" customFormat="false" ht="15" hidden="false" customHeight="false" outlineLevel="0" collapsed="false">
      <c r="B36" s="29" t="n">
        <v>32</v>
      </c>
      <c r="C36" s="77"/>
      <c r="D36" s="30"/>
      <c r="E36" s="30"/>
      <c r="F36" s="30"/>
      <c r="G36" s="29"/>
      <c r="H36" s="43" t="str">
        <f aca="false">IF(OR(DecisionLog[[#This Row],[Decision]]="",DecisionLog[[#This Row],[Status]]&lt;&gt;"Proposed",N(DecisionLog[[#This Row],[Date]])=0),"",MAX(0,StatusDate-DecisionLog[[#This Row],[Date]]))</f>
        <v/>
      </c>
      <c r="I36" s="29"/>
      <c r="J36" s="24" t="str">
        <f aca="false">IF(N(DecisionLog[[#This Row],[Task UID]])=0,"",IFERROR(INDEX(tsk_Name,MATCH(DecisionLog[[#This Row],[Task UID]],tsk_UID,0)),"UID "&amp;DecisionLog[[#This Row],[Task UID]]&amp;" not found"))</f>
        <v/>
      </c>
      <c r="K36" s="29"/>
    </row>
    <row r="37" customFormat="false" ht="15" hidden="false" customHeight="false" outlineLevel="0" collapsed="false">
      <c r="B37" s="29" t="n">
        <v>33</v>
      </c>
      <c r="C37" s="77"/>
      <c r="D37" s="30"/>
      <c r="E37" s="30"/>
      <c r="F37" s="30"/>
      <c r="G37" s="29"/>
      <c r="H37" s="43" t="str">
        <f aca="false">IF(OR(DecisionLog[[#This Row],[Decision]]="",DecisionLog[[#This Row],[Status]]&lt;&gt;"Proposed",N(DecisionLog[[#This Row],[Date]])=0),"",MAX(0,StatusDate-DecisionLog[[#This Row],[Date]]))</f>
        <v/>
      </c>
      <c r="I37" s="29"/>
      <c r="J37" s="24" t="str">
        <f aca="false">IF(N(DecisionLog[[#This Row],[Task UID]])=0,"",IFERROR(INDEX(tsk_Name,MATCH(DecisionLog[[#This Row],[Task UID]],tsk_UID,0)),"UID "&amp;DecisionLog[[#This Row],[Task UID]]&amp;" not found"))</f>
        <v/>
      </c>
      <c r="K37" s="29"/>
    </row>
    <row r="38" customFormat="false" ht="15" hidden="false" customHeight="false" outlineLevel="0" collapsed="false">
      <c r="B38" s="29" t="n">
        <v>34</v>
      </c>
      <c r="C38" s="77"/>
      <c r="D38" s="30"/>
      <c r="E38" s="30"/>
      <c r="F38" s="30"/>
      <c r="G38" s="29"/>
      <c r="H38" s="43" t="str">
        <f aca="false">IF(OR(DecisionLog[[#This Row],[Decision]]="",DecisionLog[[#This Row],[Status]]&lt;&gt;"Proposed",N(DecisionLog[[#This Row],[Date]])=0),"",MAX(0,StatusDate-DecisionLog[[#This Row],[Date]]))</f>
        <v/>
      </c>
      <c r="I38" s="29"/>
      <c r="J38" s="24" t="str">
        <f aca="false">IF(N(DecisionLog[[#This Row],[Task UID]])=0,"",IFERROR(INDEX(tsk_Name,MATCH(DecisionLog[[#This Row],[Task UID]],tsk_UID,0)),"UID "&amp;DecisionLog[[#This Row],[Task UID]]&amp;" not found"))</f>
        <v/>
      </c>
      <c r="K38" s="29"/>
    </row>
    <row r="39" customFormat="false" ht="15" hidden="false" customHeight="false" outlineLevel="0" collapsed="false">
      <c r="B39" s="29" t="n">
        <v>35</v>
      </c>
      <c r="C39" s="77"/>
      <c r="D39" s="30"/>
      <c r="E39" s="30"/>
      <c r="F39" s="30"/>
      <c r="G39" s="29"/>
      <c r="H39" s="43" t="str">
        <f aca="false">IF(OR(DecisionLog[[#This Row],[Decision]]="",DecisionLog[[#This Row],[Status]]&lt;&gt;"Proposed",N(DecisionLog[[#This Row],[Date]])=0),"",MAX(0,StatusDate-DecisionLog[[#This Row],[Date]]))</f>
        <v/>
      </c>
      <c r="I39" s="29"/>
      <c r="J39" s="24" t="str">
        <f aca="false">IF(N(DecisionLog[[#This Row],[Task UID]])=0,"",IFERROR(INDEX(tsk_Name,MATCH(DecisionLog[[#This Row],[Task UID]],tsk_UID,0)),"UID "&amp;DecisionLog[[#This Row],[Task UID]]&amp;" not found"))</f>
        <v/>
      </c>
      <c r="K39" s="29"/>
    </row>
    <row r="40" customFormat="false" ht="15" hidden="false" customHeight="false" outlineLevel="0" collapsed="false">
      <c r="B40" s="29" t="n">
        <v>36</v>
      </c>
      <c r="C40" s="77"/>
      <c r="D40" s="30"/>
      <c r="E40" s="30"/>
      <c r="F40" s="30"/>
      <c r="G40" s="29"/>
      <c r="H40" s="43" t="str">
        <f aca="false">IF(OR(DecisionLog[[#This Row],[Decision]]="",DecisionLog[[#This Row],[Status]]&lt;&gt;"Proposed",N(DecisionLog[[#This Row],[Date]])=0),"",MAX(0,StatusDate-DecisionLog[[#This Row],[Date]]))</f>
        <v/>
      </c>
      <c r="I40" s="29"/>
      <c r="J40" s="24" t="str">
        <f aca="false">IF(N(DecisionLog[[#This Row],[Task UID]])=0,"",IFERROR(INDEX(tsk_Name,MATCH(DecisionLog[[#This Row],[Task UID]],tsk_UID,0)),"UID "&amp;DecisionLog[[#This Row],[Task UID]]&amp;" not found"))</f>
        <v/>
      </c>
      <c r="K40" s="29"/>
    </row>
    <row r="41" customFormat="false" ht="15" hidden="false" customHeight="false" outlineLevel="0" collapsed="false">
      <c r="B41" s="29" t="n">
        <v>37</v>
      </c>
      <c r="C41" s="77"/>
      <c r="D41" s="30"/>
      <c r="E41" s="30"/>
      <c r="F41" s="30"/>
      <c r="G41" s="29"/>
      <c r="H41" s="43" t="str">
        <f aca="false">IF(OR(DecisionLog[[#This Row],[Decision]]="",DecisionLog[[#This Row],[Status]]&lt;&gt;"Proposed",N(DecisionLog[[#This Row],[Date]])=0),"",MAX(0,StatusDate-DecisionLog[[#This Row],[Date]]))</f>
        <v/>
      </c>
      <c r="I41" s="29"/>
      <c r="J41" s="24" t="str">
        <f aca="false">IF(N(DecisionLog[[#This Row],[Task UID]])=0,"",IFERROR(INDEX(tsk_Name,MATCH(DecisionLog[[#This Row],[Task UID]],tsk_UID,0)),"UID "&amp;DecisionLog[[#This Row],[Task UID]]&amp;" not found"))</f>
        <v/>
      </c>
      <c r="K41" s="29"/>
    </row>
    <row r="42" customFormat="false" ht="15" hidden="false" customHeight="false" outlineLevel="0" collapsed="false">
      <c r="B42" s="29" t="n">
        <v>38</v>
      </c>
      <c r="C42" s="77"/>
      <c r="D42" s="30"/>
      <c r="E42" s="30"/>
      <c r="F42" s="30"/>
      <c r="G42" s="29"/>
      <c r="H42" s="43" t="str">
        <f aca="false">IF(OR(DecisionLog[[#This Row],[Decision]]="",DecisionLog[[#This Row],[Status]]&lt;&gt;"Proposed",N(DecisionLog[[#This Row],[Date]])=0),"",MAX(0,StatusDate-DecisionLog[[#This Row],[Date]]))</f>
        <v/>
      </c>
      <c r="I42" s="29"/>
      <c r="J42" s="24" t="str">
        <f aca="false">IF(N(DecisionLog[[#This Row],[Task UID]])=0,"",IFERROR(INDEX(tsk_Name,MATCH(DecisionLog[[#This Row],[Task UID]],tsk_UID,0)),"UID "&amp;DecisionLog[[#This Row],[Task UID]]&amp;" not found"))</f>
        <v/>
      </c>
      <c r="K42" s="29"/>
    </row>
    <row r="43" customFormat="false" ht="15" hidden="false" customHeight="false" outlineLevel="0" collapsed="false">
      <c r="B43" s="29" t="n">
        <v>39</v>
      </c>
      <c r="C43" s="77"/>
      <c r="D43" s="30"/>
      <c r="E43" s="30"/>
      <c r="F43" s="30"/>
      <c r="G43" s="29"/>
      <c r="H43" s="43" t="str">
        <f aca="false">IF(OR(DecisionLog[[#This Row],[Decision]]="",DecisionLog[[#This Row],[Status]]&lt;&gt;"Proposed",N(DecisionLog[[#This Row],[Date]])=0),"",MAX(0,StatusDate-DecisionLog[[#This Row],[Date]]))</f>
        <v/>
      </c>
      <c r="I43" s="29"/>
      <c r="J43" s="24" t="str">
        <f aca="false">IF(N(DecisionLog[[#This Row],[Task UID]])=0,"",IFERROR(INDEX(tsk_Name,MATCH(DecisionLog[[#This Row],[Task UID]],tsk_UID,0)),"UID "&amp;DecisionLog[[#This Row],[Task UID]]&amp;" not found"))</f>
        <v/>
      </c>
      <c r="K43" s="29"/>
    </row>
    <row r="44" customFormat="false" ht="15" hidden="false" customHeight="false" outlineLevel="0" collapsed="false">
      <c r="B44" s="29" t="n">
        <v>40</v>
      </c>
      <c r="C44" s="77"/>
      <c r="D44" s="30"/>
      <c r="E44" s="30"/>
      <c r="F44" s="30"/>
      <c r="G44" s="29"/>
      <c r="H44" s="43" t="str">
        <f aca="false">IF(OR(DecisionLog[[#This Row],[Decision]]="",DecisionLog[[#This Row],[Status]]&lt;&gt;"Proposed",N(DecisionLog[[#This Row],[Date]])=0),"",MAX(0,StatusDate-DecisionLog[[#This Row],[Date]]))</f>
        <v/>
      </c>
      <c r="I44" s="29"/>
      <c r="J44" s="24" t="str">
        <f aca="false">IF(N(DecisionLog[[#This Row],[Task UID]])=0,"",IFERROR(INDEX(tsk_Name,MATCH(DecisionLog[[#This Row],[Task UID]],tsk_UID,0)),"UID "&amp;DecisionLog[[#This Row],[Task UID]]&amp;" not found"))</f>
        <v/>
      </c>
      <c r="K44" s="29"/>
    </row>
    <row r="45" customFormat="false" ht="15" hidden="false" customHeight="false" outlineLevel="0" collapsed="false">
      <c r="B45" s="29" t="n">
        <v>41</v>
      </c>
      <c r="C45" s="77"/>
      <c r="D45" s="30"/>
      <c r="E45" s="30"/>
      <c r="F45" s="30"/>
      <c r="G45" s="29"/>
      <c r="H45" s="43" t="str">
        <f aca="false">IF(OR(DecisionLog[[#This Row],[Decision]]="",DecisionLog[[#This Row],[Status]]&lt;&gt;"Proposed",N(DecisionLog[[#This Row],[Date]])=0),"",MAX(0,StatusDate-DecisionLog[[#This Row],[Date]]))</f>
        <v/>
      </c>
      <c r="I45" s="29"/>
      <c r="J45" s="24" t="str">
        <f aca="false">IF(N(DecisionLog[[#This Row],[Task UID]])=0,"",IFERROR(INDEX(tsk_Name,MATCH(DecisionLog[[#This Row],[Task UID]],tsk_UID,0)),"UID "&amp;DecisionLog[[#This Row],[Task UID]]&amp;" not found"))</f>
        <v/>
      </c>
      <c r="K45" s="29"/>
    </row>
    <row r="46" customFormat="false" ht="15" hidden="false" customHeight="false" outlineLevel="0" collapsed="false">
      <c r="B46" s="29" t="n">
        <v>42</v>
      </c>
      <c r="C46" s="77"/>
      <c r="D46" s="30"/>
      <c r="E46" s="30"/>
      <c r="F46" s="30"/>
      <c r="G46" s="29"/>
      <c r="H46" s="43" t="str">
        <f aca="false">IF(OR(DecisionLog[[#This Row],[Decision]]="",DecisionLog[[#This Row],[Status]]&lt;&gt;"Proposed",N(DecisionLog[[#This Row],[Date]])=0),"",MAX(0,StatusDate-DecisionLog[[#This Row],[Date]]))</f>
        <v/>
      </c>
      <c r="I46" s="29"/>
      <c r="J46" s="24" t="str">
        <f aca="false">IF(N(DecisionLog[[#This Row],[Task UID]])=0,"",IFERROR(INDEX(tsk_Name,MATCH(DecisionLog[[#This Row],[Task UID]],tsk_UID,0)),"UID "&amp;DecisionLog[[#This Row],[Task UID]]&amp;" not found"))</f>
        <v/>
      </c>
      <c r="K46" s="29"/>
    </row>
    <row r="47" customFormat="false" ht="15" hidden="false" customHeight="false" outlineLevel="0" collapsed="false">
      <c r="B47" s="29" t="n">
        <v>43</v>
      </c>
      <c r="C47" s="77"/>
      <c r="D47" s="30"/>
      <c r="E47" s="30"/>
      <c r="F47" s="30"/>
      <c r="G47" s="29"/>
      <c r="H47" s="43" t="str">
        <f aca="false">IF(OR(DecisionLog[[#This Row],[Decision]]="",DecisionLog[[#This Row],[Status]]&lt;&gt;"Proposed",N(DecisionLog[[#This Row],[Date]])=0),"",MAX(0,StatusDate-DecisionLog[[#This Row],[Date]]))</f>
        <v/>
      </c>
      <c r="I47" s="29"/>
      <c r="J47" s="24" t="str">
        <f aca="false">IF(N(DecisionLog[[#This Row],[Task UID]])=0,"",IFERROR(INDEX(tsk_Name,MATCH(DecisionLog[[#This Row],[Task UID]],tsk_UID,0)),"UID "&amp;DecisionLog[[#This Row],[Task UID]]&amp;" not found"))</f>
        <v/>
      </c>
      <c r="K47" s="29"/>
    </row>
    <row r="48" customFormat="false" ht="15" hidden="false" customHeight="false" outlineLevel="0" collapsed="false">
      <c r="B48" s="29" t="n">
        <v>44</v>
      </c>
      <c r="C48" s="77"/>
      <c r="D48" s="30"/>
      <c r="E48" s="30"/>
      <c r="F48" s="30"/>
      <c r="G48" s="29"/>
      <c r="H48" s="43" t="str">
        <f aca="false">IF(OR(DecisionLog[[#This Row],[Decision]]="",DecisionLog[[#This Row],[Status]]&lt;&gt;"Proposed",N(DecisionLog[[#This Row],[Date]])=0),"",MAX(0,StatusDate-DecisionLog[[#This Row],[Date]]))</f>
        <v/>
      </c>
      <c r="I48" s="29"/>
      <c r="J48" s="24" t="str">
        <f aca="false">IF(N(DecisionLog[[#This Row],[Task UID]])=0,"",IFERROR(INDEX(tsk_Name,MATCH(DecisionLog[[#This Row],[Task UID]],tsk_UID,0)),"UID "&amp;DecisionLog[[#This Row],[Task UID]]&amp;" not found"))</f>
        <v/>
      </c>
      <c r="K48" s="29"/>
    </row>
    <row r="49" customFormat="false" ht="15" hidden="false" customHeight="false" outlineLevel="0" collapsed="false">
      <c r="B49" s="29" t="n">
        <v>45</v>
      </c>
      <c r="C49" s="77"/>
      <c r="D49" s="30"/>
      <c r="E49" s="30"/>
      <c r="F49" s="30"/>
      <c r="G49" s="29"/>
      <c r="H49" s="43" t="str">
        <f aca="false">IF(OR(DecisionLog[[#This Row],[Decision]]="",DecisionLog[[#This Row],[Status]]&lt;&gt;"Proposed",N(DecisionLog[[#This Row],[Date]])=0),"",MAX(0,StatusDate-DecisionLog[[#This Row],[Date]]))</f>
        <v/>
      </c>
      <c r="I49" s="29"/>
      <c r="J49" s="24" t="str">
        <f aca="false">IF(N(DecisionLog[[#This Row],[Task UID]])=0,"",IFERROR(INDEX(tsk_Name,MATCH(DecisionLog[[#This Row],[Task UID]],tsk_UID,0)),"UID "&amp;DecisionLog[[#This Row],[Task UID]]&amp;" not found"))</f>
        <v/>
      </c>
      <c r="K49" s="29"/>
    </row>
    <row r="50" customFormat="false" ht="15" hidden="false" customHeight="false" outlineLevel="0" collapsed="false">
      <c r="B50" s="29" t="n">
        <v>46</v>
      </c>
      <c r="C50" s="77"/>
      <c r="D50" s="30"/>
      <c r="E50" s="30"/>
      <c r="F50" s="30"/>
      <c r="G50" s="29"/>
      <c r="H50" s="43" t="str">
        <f aca="false">IF(OR(DecisionLog[[#This Row],[Decision]]="",DecisionLog[[#This Row],[Status]]&lt;&gt;"Proposed",N(DecisionLog[[#This Row],[Date]])=0),"",MAX(0,StatusDate-DecisionLog[[#This Row],[Date]]))</f>
        <v/>
      </c>
      <c r="I50" s="29"/>
      <c r="J50" s="24" t="str">
        <f aca="false">IF(N(DecisionLog[[#This Row],[Task UID]])=0,"",IFERROR(INDEX(tsk_Name,MATCH(DecisionLog[[#This Row],[Task UID]],tsk_UID,0)),"UID "&amp;DecisionLog[[#This Row],[Task UID]]&amp;" not found"))</f>
        <v/>
      </c>
      <c r="K50" s="29"/>
    </row>
    <row r="51" customFormat="false" ht="15" hidden="false" customHeight="false" outlineLevel="0" collapsed="false">
      <c r="B51" s="29" t="n">
        <v>47</v>
      </c>
      <c r="C51" s="77"/>
      <c r="D51" s="30"/>
      <c r="E51" s="30"/>
      <c r="F51" s="30"/>
      <c r="G51" s="29"/>
      <c r="H51" s="43" t="str">
        <f aca="false">IF(OR(DecisionLog[[#This Row],[Decision]]="",DecisionLog[[#This Row],[Status]]&lt;&gt;"Proposed",N(DecisionLog[[#This Row],[Date]])=0),"",MAX(0,StatusDate-DecisionLog[[#This Row],[Date]]))</f>
        <v/>
      </c>
      <c r="I51" s="29"/>
      <c r="J51" s="24" t="str">
        <f aca="false">IF(N(DecisionLog[[#This Row],[Task UID]])=0,"",IFERROR(INDEX(tsk_Name,MATCH(DecisionLog[[#This Row],[Task UID]],tsk_UID,0)),"UID "&amp;DecisionLog[[#This Row],[Task UID]]&amp;" not found"))</f>
        <v/>
      </c>
      <c r="K51" s="29"/>
    </row>
    <row r="52" customFormat="false" ht="15" hidden="false" customHeight="false" outlineLevel="0" collapsed="false">
      <c r="B52" s="29" t="n">
        <v>48</v>
      </c>
      <c r="C52" s="77"/>
      <c r="D52" s="30"/>
      <c r="E52" s="30"/>
      <c r="F52" s="30"/>
      <c r="G52" s="29"/>
      <c r="H52" s="43" t="str">
        <f aca="false">IF(OR(DecisionLog[[#This Row],[Decision]]="",DecisionLog[[#This Row],[Status]]&lt;&gt;"Proposed",N(DecisionLog[[#This Row],[Date]])=0),"",MAX(0,StatusDate-DecisionLog[[#This Row],[Date]]))</f>
        <v/>
      </c>
      <c r="I52" s="29"/>
      <c r="J52" s="24" t="str">
        <f aca="false">IF(N(DecisionLog[[#This Row],[Task UID]])=0,"",IFERROR(INDEX(tsk_Name,MATCH(DecisionLog[[#This Row],[Task UID]],tsk_UID,0)),"UID "&amp;DecisionLog[[#This Row],[Task UID]]&amp;" not found"))</f>
        <v/>
      </c>
      <c r="K52" s="29"/>
    </row>
    <row r="53" customFormat="false" ht="15" hidden="false" customHeight="false" outlineLevel="0" collapsed="false">
      <c r="B53" s="29" t="n">
        <v>49</v>
      </c>
      <c r="C53" s="77"/>
      <c r="D53" s="30"/>
      <c r="E53" s="30"/>
      <c r="F53" s="30"/>
      <c r="G53" s="29"/>
      <c r="H53" s="43" t="str">
        <f aca="false">IF(OR(DecisionLog[[#This Row],[Decision]]="",DecisionLog[[#This Row],[Status]]&lt;&gt;"Proposed",N(DecisionLog[[#This Row],[Date]])=0),"",MAX(0,StatusDate-DecisionLog[[#This Row],[Date]]))</f>
        <v/>
      </c>
      <c r="I53" s="29"/>
      <c r="J53" s="24" t="str">
        <f aca="false">IF(N(DecisionLog[[#This Row],[Task UID]])=0,"",IFERROR(INDEX(tsk_Name,MATCH(DecisionLog[[#This Row],[Task UID]],tsk_UID,0)),"UID "&amp;DecisionLog[[#This Row],[Task UID]]&amp;" not found"))</f>
        <v/>
      </c>
      <c r="K53" s="29"/>
    </row>
    <row r="54" customFormat="false" ht="15" hidden="false" customHeight="false" outlineLevel="0" collapsed="false">
      <c r="B54" s="29" t="n">
        <v>50</v>
      </c>
      <c r="C54" s="77"/>
      <c r="D54" s="30"/>
      <c r="E54" s="30"/>
      <c r="F54" s="30"/>
      <c r="G54" s="29"/>
      <c r="H54" s="43" t="str">
        <f aca="false">IF(OR(DecisionLog[[#This Row],[Decision]]="",DecisionLog[[#This Row],[Status]]&lt;&gt;"Proposed",N(DecisionLog[[#This Row],[Date]])=0),"",MAX(0,StatusDate-DecisionLog[[#This Row],[Date]]))</f>
        <v/>
      </c>
      <c r="I54" s="29"/>
      <c r="J54" s="24" t="str">
        <f aca="false">IF(N(DecisionLog[[#This Row],[Task UID]])=0,"",IFERROR(INDEX(tsk_Name,MATCH(DecisionLog[[#This Row],[Task UID]],tsk_UID,0)),"UID "&amp;DecisionLog[[#This Row],[Task UID]]&amp;" not found"))</f>
        <v/>
      </c>
      <c r="K54" s="29"/>
    </row>
    <row r="55" customFormat="false" ht="15" hidden="false" customHeight="false" outlineLevel="0" collapsed="false">
      <c r="B55" s="29" t="n">
        <v>51</v>
      </c>
      <c r="C55" s="77"/>
      <c r="D55" s="30"/>
      <c r="E55" s="30"/>
      <c r="F55" s="30"/>
      <c r="G55" s="29"/>
      <c r="H55" s="43" t="str">
        <f aca="false">IF(OR(DecisionLog[[#This Row],[Decision]]="",DecisionLog[[#This Row],[Status]]&lt;&gt;"Proposed",N(DecisionLog[[#This Row],[Date]])=0),"",MAX(0,StatusDate-DecisionLog[[#This Row],[Date]]))</f>
        <v/>
      </c>
      <c r="I55" s="29"/>
      <c r="J55" s="24" t="str">
        <f aca="false">IF(N(DecisionLog[[#This Row],[Task UID]])=0,"",IFERROR(INDEX(tsk_Name,MATCH(DecisionLog[[#This Row],[Task UID]],tsk_UID,0)),"UID "&amp;DecisionLog[[#This Row],[Task UID]]&amp;" not found"))</f>
        <v/>
      </c>
      <c r="K55" s="29"/>
    </row>
    <row r="56" customFormat="false" ht="15" hidden="false" customHeight="false" outlineLevel="0" collapsed="false">
      <c r="B56" s="29" t="n">
        <v>52</v>
      </c>
      <c r="C56" s="77"/>
      <c r="D56" s="30"/>
      <c r="E56" s="30"/>
      <c r="F56" s="30"/>
      <c r="G56" s="29"/>
      <c r="H56" s="43" t="str">
        <f aca="false">IF(OR(DecisionLog[[#This Row],[Decision]]="",DecisionLog[[#This Row],[Status]]&lt;&gt;"Proposed",N(DecisionLog[[#This Row],[Date]])=0),"",MAX(0,StatusDate-DecisionLog[[#This Row],[Date]]))</f>
        <v/>
      </c>
      <c r="I56" s="29"/>
      <c r="J56" s="24" t="str">
        <f aca="false">IF(N(DecisionLog[[#This Row],[Task UID]])=0,"",IFERROR(INDEX(tsk_Name,MATCH(DecisionLog[[#This Row],[Task UID]],tsk_UID,0)),"UID "&amp;DecisionLog[[#This Row],[Task UID]]&amp;" not found"))</f>
        <v/>
      </c>
      <c r="K56" s="29"/>
    </row>
    <row r="57" customFormat="false" ht="15" hidden="false" customHeight="false" outlineLevel="0" collapsed="false">
      <c r="B57" s="29" t="n">
        <v>53</v>
      </c>
      <c r="C57" s="77"/>
      <c r="D57" s="30"/>
      <c r="E57" s="30"/>
      <c r="F57" s="30"/>
      <c r="G57" s="29"/>
      <c r="H57" s="43" t="str">
        <f aca="false">IF(OR(DecisionLog[[#This Row],[Decision]]="",DecisionLog[[#This Row],[Status]]&lt;&gt;"Proposed",N(DecisionLog[[#This Row],[Date]])=0),"",MAX(0,StatusDate-DecisionLog[[#This Row],[Date]]))</f>
        <v/>
      </c>
      <c r="I57" s="29"/>
      <c r="J57" s="24" t="str">
        <f aca="false">IF(N(DecisionLog[[#This Row],[Task UID]])=0,"",IFERROR(INDEX(tsk_Name,MATCH(DecisionLog[[#This Row],[Task UID]],tsk_UID,0)),"UID "&amp;DecisionLog[[#This Row],[Task UID]]&amp;" not found"))</f>
        <v/>
      </c>
      <c r="K57" s="29"/>
    </row>
    <row r="58" customFormat="false" ht="15" hidden="false" customHeight="false" outlineLevel="0" collapsed="false">
      <c r="B58" s="29" t="n">
        <v>54</v>
      </c>
      <c r="C58" s="77"/>
      <c r="D58" s="30"/>
      <c r="E58" s="30"/>
      <c r="F58" s="30"/>
      <c r="G58" s="29"/>
      <c r="H58" s="43" t="str">
        <f aca="false">IF(OR(DecisionLog[[#This Row],[Decision]]="",DecisionLog[[#This Row],[Status]]&lt;&gt;"Proposed",N(DecisionLog[[#This Row],[Date]])=0),"",MAX(0,StatusDate-DecisionLog[[#This Row],[Date]]))</f>
        <v/>
      </c>
      <c r="I58" s="29"/>
      <c r="J58" s="24" t="str">
        <f aca="false">IF(N(DecisionLog[[#This Row],[Task UID]])=0,"",IFERROR(INDEX(tsk_Name,MATCH(DecisionLog[[#This Row],[Task UID]],tsk_UID,0)),"UID "&amp;DecisionLog[[#This Row],[Task UID]]&amp;" not found"))</f>
        <v/>
      </c>
      <c r="K58" s="29"/>
    </row>
    <row r="59" customFormat="false" ht="15" hidden="false" customHeight="false" outlineLevel="0" collapsed="false">
      <c r="B59" s="29" t="n">
        <v>55</v>
      </c>
      <c r="C59" s="77"/>
      <c r="D59" s="30"/>
      <c r="E59" s="30"/>
      <c r="F59" s="30"/>
      <c r="G59" s="29"/>
      <c r="H59" s="43" t="str">
        <f aca="false">IF(OR(DecisionLog[[#This Row],[Decision]]="",DecisionLog[[#This Row],[Status]]&lt;&gt;"Proposed",N(DecisionLog[[#This Row],[Date]])=0),"",MAX(0,StatusDate-DecisionLog[[#This Row],[Date]]))</f>
        <v/>
      </c>
      <c r="I59" s="29"/>
      <c r="J59" s="24" t="str">
        <f aca="false">IF(N(DecisionLog[[#This Row],[Task UID]])=0,"",IFERROR(INDEX(tsk_Name,MATCH(DecisionLog[[#This Row],[Task UID]],tsk_UID,0)),"UID "&amp;DecisionLog[[#This Row],[Task UID]]&amp;" not found"))</f>
        <v/>
      </c>
      <c r="K59" s="29"/>
    </row>
    <row r="60" customFormat="false" ht="15" hidden="false" customHeight="false" outlineLevel="0" collapsed="false">
      <c r="B60" s="29" t="n">
        <v>56</v>
      </c>
      <c r="C60" s="77"/>
      <c r="D60" s="30"/>
      <c r="E60" s="30"/>
      <c r="F60" s="30"/>
      <c r="G60" s="29"/>
      <c r="H60" s="43" t="str">
        <f aca="false">IF(OR(DecisionLog[[#This Row],[Decision]]="",DecisionLog[[#This Row],[Status]]&lt;&gt;"Proposed",N(DecisionLog[[#This Row],[Date]])=0),"",MAX(0,StatusDate-DecisionLog[[#This Row],[Date]]))</f>
        <v/>
      </c>
      <c r="I60" s="29"/>
      <c r="J60" s="24" t="str">
        <f aca="false">IF(N(DecisionLog[[#This Row],[Task UID]])=0,"",IFERROR(INDEX(tsk_Name,MATCH(DecisionLog[[#This Row],[Task UID]],tsk_UID,0)),"UID "&amp;DecisionLog[[#This Row],[Task UID]]&amp;" not found"))</f>
        <v/>
      </c>
      <c r="K60" s="29"/>
    </row>
    <row r="61" customFormat="false" ht="15" hidden="false" customHeight="false" outlineLevel="0" collapsed="false">
      <c r="B61" s="29" t="n">
        <v>57</v>
      </c>
      <c r="C61" s="77"/>
      <c r="D61" s="30"/>
      <c r="E61" s="30"/>
      <c r="F61" s="30"/>
      <c r="G61" s="29"/>
      <c r="H61" s="43" t="str">
        <f aca="false">IF(OR(DecisionLog[[#This Row],[Decision]]="",DecisionLog[[#This Row],[Status]]&lt;&gt;"Proposed",N(DecisionLog[[#This Row],[Date]])=0),"",MAX(0,StatusDate-DecisionLog[[#This Row],[Date]]))</f>
        <v/>
      </c>
      <c r="I61" s="29"/>
      <c r="J61" s="24" t="str">
        <f aca="false">IF(N(DecisionLog[[#This Row],[Task UID]])=0,"",IFERROR(INDEX(tsk_Name,MATCH(DecisionLog[[#This Row],[Task UID]],tsk_UID,0)),"UID "&amp;DecisionLog[[#This Row],[Task UID]]&amp;" not found"))</f>
        <v/>
      </c>
      <c r="K61" s="29"/>
    </row>
    <row r="62" customFormat="false" ht="15" hidden="false" customHeight="false" outlineLevel="0" collapsed="false">
      <c r="B62" s="29" t="n">
        <v>58</v>
      </c>
      <c r="C62" s="77"/>
      <c r="D62" s="30"/>
      <c r="E62" s="30"/>
      <c r="F62" s="30"/>
      <c r="G62" s="29"/>
      <c r="H62" s="43" t="str">
        <f aca="false">IF(OR(DecisionLog[[#This Row],[Decision]]="",DecisionLog[[#This Row],[Status]]&lt;&gt;"Proposed",N(DecisionLog[[#This Row],[Date]])=0),"",MAX(0,StatusDate-DecisionLog[[#This Row],[Date]]))</f>
        <v/>
      </c>
      <c r="I62" s="29"/>
      <c r="J62" s="24" t="str">
        <f aca="false">IF(N(DecisionLog[[#This Row],[Task UID]])=0,"",IFERROR(INDEX(tsk_Name,MATCH(DecisionLog[[#This Row],[Task UID]],tsk_UID,0)),"UID "&amp;DecisionLog[[#This Row],[Task UID]]&amp;" not found"))</f>
        <v/>
      </c>
      <c r="K62" s="29"/>
    </row>
    <row r="63" customFormat="false" ht="15" hidden="false" customHeight="false" outlineLevel="0" collapsed="false">
      <c r="B63" s="29" t="n">
        <v>59</v>
      </c>
      <c r="C63" s="77"/>
      <c r="D63" s="30"/>
      <c r="E63" s="30"/>
      <c r="F63" s="30"/>
      <c r="G63" s="29"/>
      <c r="H63" s="43" t="str">
        <f aca="false">IF(OR(DecisionLog[[#This Row],[Decision]]="",DecisionLog[[#This Row],[Status]]&lt;&gt;"Proposed",N(DecisionLog[[#This Row],[Date]])=0),"",MAX(0,StatusDate-DecisionLog[[#This Row],[Date]]))</f>
        <v/>
      </c>
      <c r="I63" s="29"/>
      <c r="J63" s="24" t="str">
        <f aca="false">IF(N(DecisionLog[[#This Row],[Task UID]])=0,"",IFERROR(INDEX(tsk_Name,MATCH(DecisionLog[[#This Row],[Task UID]],tsk_UID,0)),"UID "&amp;DecisionLog[[#This Row],[Task UID]]&amp;" not found"))</f>
        <v/>
      </c>
      <c r="K63" s="29"/>
    </row>
    <row r="64" customFormat="false" ht="15" hidden="false" customHeight="false" outlineLevel="0" collapsed="false">
      <c r="B64" s="29" t="n">
        <v>60</v>
      </c>
      <c r="C64" s="77"/>
      <c r="D64" s="30"/>
      <c r="E64" s="30"/>
      <c r="F64" s="30"/>
      <c r="G64" s="29"/>
      <c r="H64" s="43" t="str">
        <f aca="false">IF(OR(DecisionLog[[#This Row],[Decision]]="",DecisionLog[[#This Row],[Status]]&lt;&gt;"Proposed",N(DecisionLog[[#This Row],[Date]])=0),"",MAX(0,StatusDate-DecisionLog[[#This Row],[Date]]))</f>
        <v/>
      </c>
      <c r="I64" s="29"/>
      <c r="J64" s="24" t="str">
        <f aca="false">IF(N(DecisionLog[[#This Row],[Task UID]])=0,"",IFERROR(INDEX(tsk_Name,MATCH(DecisionLog[[#This Row],[Task UID]],tsk_UID,0)),"UID "&amp;DecisionLog[[#This Row],[Task UID]]&amp;" not found"))</f>
        <v/>
      </c>
      <c r="K64" s="29"/>
    </row>
    <row r="65" customFormat="false" ht="15" hidden="false" customHeight="false" outlineLevel="0" collapsed="false">
      <c r="B65" s="29" t="n">
        <v>61</v>
      </c>
      <c r="C65" s="77"/>
      <c r="D65" s="30"/>
      <c r="E65" s="30"/>
      <c r="F65" s="30"/>
      <c r="G65" s="29"/>
      <c r="H65" s="43" t="str">
        <f aca="false">IF(OR(DecisionLog[[#This Row],[Decision]]="",DecisionLog[[#This Row],[Status]]&lt;&gt;"Proposed",N(DecisionLog[[#This Row],[Date]])=0),"",MAX(0,StatusDate-DecisionLog[[#This Row],[Date]]))</f>
        <v/>
      </c>
      <c r="I65" s="29"/>
      <c r="J65" s="24" t="str">
        <f aca="false">IF(N(DecisionLog[[#This Row],[Task UID]])=0,"",IFERROR(INDEX(tsk_Name,MATCH(DecisionLog[[#This Row],[Task UID]],tsk_UID,0)),"UID "&amp;DecisionLog[[#This Row],[Task UID]]&amp;" not found"))</f>
        <v/>
      </c>
      <c r="K65" s="29"/>
    </row>
    <row r="66" customFormat="false" ht="15" hidden="false" customHeight="false" outlineLevel="0" collapsed="false">
      <c r="B66" s="29" t="n">
        <v>62</v>
      </c>
      <c r="C66" s="77"/>
      <c r="D66" s="30"/>
      <c r="E66" s="30"/>
      <c r="F66" s="30"/>
      <c r="G66" s="29"/>
      <c r="H66" s="43" t="str">
        <f aca="false">IF(OR(DecisionLog[[#This Row],[Decision]]="",DecisionLog[[#This Row],[Status]]&lt;&gt;"Proposed",N(DecisionLog[[#This Row],[Date]])=0),"",MAX(0,StatusDate-DecisionLog[[#This Row],[Date]]))</f>
        <v/>
      </c>
      <c r="I66" s="29"/>
      <c r="J66" s="24" t="str">
        <f aca="false">IF(N(DecisionLog[[#This Row],[Task UID]])=0,"",IFERROR(INDEX(tsk_Name,MATCH(DecisionLog[[#This Row],[Task UID]],tsk_UID,0)),"UID "&amp;DecisionLog[[#This Row],[Task UID]]&amp;" not found"))</f>
        <v/>
      </c>
      <c r="K66" s="29"/>
    </row>
    <row r="67" customFormat="false" ht="15" hidden="false" customHeight="false" outlineLevel="0" collapsed="false">
      <c r="B67" s="29" t="n">
        <v>63</v>
      </c>
      <c r="C67" s="77"/>
      <c r="D67" s="30"/>
      <c r="E67" s="30"/>
      <c r="F67" s="30"/>
      <c r="G67" s="29"/>
      <c r="H67" s="43" t="str">
        <f aca="false">IF(OR(DecisionLog[[#This Row],[Decision]]="",DecisionLog[[#This Row],[Status]]&lt;&gt;"Proposed",N(DecisionLog[[#This Row],[Date]])=0),"",MAX(0,StatusDate-DecisionLog[[#This Row],[Date]]))</f>
        <v/>
      </c>
      <c r="I67" s="29"/>
      <c r="J67" s="24" t="str">
        <f aca="false">IF(N(DecisionLog[[#This Row],[Task UID]])=0,"",IFERROR(INDEX(tsk_Name,MATCH(DecisionLog[[#This Row],[Task UID]],tsk_UID,0)),"UID "&amp;DecisionLog[[#This Row],[Task UID]]&amp;" not found"))</f>
        <v/>
      </c>
      <c r="K67" s="29"/>
    </row>
    <row r="68" customFormat="false" ht="15" hidden="false" customHeight="false" outlineLevel="0" collapsed="false">
      <c r="B68" s="29" t="n">
        <v>64</v>
      </c>
      <c r="C68" s="77"/>
      <c r="D68" s="30"/>
      <c r="E68" s="30"/>
      <c r="F68" s="30"/>
      <c r="G68" s="29"/>
      <c r="H68" s="43" t="str">
        <f aca="false">IF(OR(DecisionLog[[#This Row],[Decision]]="",DecisionLog[[#This Row],[Status]]&lt;&gt;"Proposed",N(DecisionLog[[#This Row],[Date]])=0),"",MAX(0,StatusDate-DecisionLog[[#This Row],[Date]]))</f>
        <v/>
      </c>
      <c r="I68" s="29"/>
      <c r="J68" s="24" t="str">
        <f aca="false">IF(N(DecisionLog[[#This Row],[Task UID]])=0,"",IFERROR(INDEX(tsk_Name,MATCH(DecisionLog[[#This Row],[Task UID]],tsk_UID,0)),"UID "&amp;DecisionLog[[#This Row],[Task UID]]&amp;" not found"))</f>
        <v/>
      </c>
      <c r="K68" s="29"/>
    </row>
    <row r="69" customFormat="false" ht="15" hidden="false" customHeight="false" outlineLevel="0" collapsed="false">
      <c r="B69" s="29" t="n">
        <v>65</v>
      </c>
      <c r="C69" s="77"/>
      <c r="D69" s="30"/>
      <c r="E69" s="30"/>
      <c r="F69" s="30"/>
      <c r="G69" s="29"/>
      <c r="H69" s="43" t="str">
        <f aca="false">IF(OR(DecisionLog[[#This Row],[Decision]]="",DecisionLog[[#This Row],[Status]]&lt;&gt;"Proposed",N(DecisionLog[[#This Row],[Date]])=0),"",MAX(0,StatusDate-DecisionLog[[#This Row],[Date]]))</f>
        <v/>
      </c>
      <c r="I69" s="29"/>
      <c r="J69" s="24" t="str">
        <f aca="false">IF(N(DecisionLog[[#This Row],[Task UID]])=0,"",IFERROR(INDEX(tsk_Name,MATCH(DecisionLog[[#This Row],[Task UID]],tsk_UID,0)),"UID "&amp;DecisionLog[[#This Row],[Task UID]]&amp;" not found"))</f>
        <v/>
      </c>
      <c r="K69" s="29"/>
    </row>
    <row r="70" customFormat="false" ht="15" hidden="false" customHeight="false" outlineLevel="0" collapsed="false">
      <c r="B70" s="29" t="n">
        <v>66</v>
      </c>
      <c r="C70" s="77"/>
      <c r="D70" s="30"/>
      <c r="E70" s="30"/>
      <c r="F70" s="30"/>
      <c r="G70" s="29"/>
      <c r="H70" s="43" t="str">
        <f aca="false">IF(OR(DecisionLog[[#This Row],[Decision]]="",DecisionLog[[#This Row],[Status]]&lt;&gt;"Proposed",N(DecisionLog[[#This Row],[Date]])=0),"",MAX(0,StatusDate-DecisionLog[[#This Row],[Date]]))</f>
        <v/>
      </c>
      <c r="I70" s="29"/>
      <c r="J70" s="24" t="str">
        <f aca="false">IF(N(DecisionLog[[#This Row],[Task UID]])=0,"",IFERROR(INDEX(tsk_Name,MATCH(DecisionLog[[#This Row],[Task UID]],tsk_UID,0)),"UID "&amp;DecisionLog[[#This Row],[Task UID]]&amp;" not found"))</f>
        <v/>
      </c>
      <c r="K70" s="29"/>
    </row>
    <row r="71" customFormat="false" ht="15" hidden="false" customHeight="false" outlineLevel="0" collapsed="false">
      <c r="B71" s="29" t="n">
        <v>67</v>
      </c>
      <c r="C71" s="77"/>
      <c r="D71" s="30"/>
      <c r="E71" s="30"/>
      <c r="F71" s="30"/>
      <c r="G71" s="29"/>
      <c r="H71" s="43" t="str">
        <f aca="false">IF(OR(DecisionLog[[#This Row],[Decision]]="",DecisionLog[[#This Row],[Status]]&lt;&gt;"Proposed",N(DecisionLog[[#This Row],[Date]])=0),"",MAX(0,StatusDate-DecisionLog[[#This Row],[Date]]))</f>
        <v/>
      </c>
      <c r="I71" s="29"/>
      <c r="J71" s="24" t="str">
        <f aca="false">IF(N(DecisionLog[[#This Row],[Task UID]])=0,"",IFERROR(INDEX(tsk_Name,MATCH(DecisionLog[[#This Row],[Task UID]],tsk_UID,0)),"UID "&amp;DecisionLog[[#This Row],[Task UID]]&amp;" not found"))</f>
        <v/>
      </c>
      <c r="K71" s="29"/>
    </row>
    <row r="72" customFormat="false" ht="15" hidden="false" customHeight="false" outlineLevel="0" collapsed="false">
      <c r="B72" s="29" t="n">
        <v>68</v>
      </c>
      <c r="C72" s="77"/>
      <c r="D72" s="30"/>
      <c r="E72" s="30"/>
      <c r="F72" s="30"/>
      <c r="G72" s="29"/>
      <c r="H72" s="43" t="str">
        <f aca="false">IF(OR(DecisionLog[[#This Row],[Decision]]="",DecisionLog[[#This Row],[Status]]&lt;&gt;"Proposed",N(DecisionLog[[#This Row],[Date]])=0),"",MAX(0,StatusDate-DecisionLog[[#This Row],[Date]]))</f>
        <v/>
      </c>
      <c r="I72" s="29"/>
      <c r="J72" s="24" t="str">
        <f aca="false">IF(N(DecisionLog[[#This Row],[Task UID]])=0,"",IFERROR(INDEX(tsk_Name,MATCH(DecisionLog[[#This Row],[Task UID]],tsk_UID,0)),"UID "&amp;DecisionLog[[#This Row],[Task UID]]&amp;" not found"))</f>
        <v/>
      </c>
      <c r="K72" s="29"/>
    </row>
    <row r="73" customFormat="false" ht="15" hidden="false" customHeight="false" outlineLevel="0" collapsed="false">
      <c r="B73" s="29" t="n">
        <v>69</v>
      </c>
      <c r="C73" s="77"/>
      <c r="D73" s="30"/>
      <c r="E73" s="30"/>
      <c r="F73" s="30"/>
      <c r="G73" s="29"/>
      <c r="H73" s="43" t="str">
        <f aca="false">IF(OR(DecisionLog[[#This Row],[Decision]]="",DecisionLog[[#This Row],[Status]]&lt;&gt;"Proposed",N(DecisionLog[[#This Row],[Date]])=0),"",MAX(0,StatusDate-DecisionLog[[#This Row],[Date]]))</f>
        <v/>
      </c>
      <c r="I73" s="29"/>
      <c r="J73" s="24" t="str">
        <f aca="false">IF(N(DecisionLog[[#This Row],[Task UID]])=0,"",IFERROR(INDEX(tsk_Name,MATCH(DecisionLog[[#This Row],[Task UID]],tsk_UID,0)),"UID "&amp;DecisionLog[[#This Row],[Task UID]]&amp;" not found"))</f>
        <v/>
      </c>
      <c r="K73" s="29"/>
    </row>
    <row r="74" customFormat="false" ht="15" hidden="false" customHeight="false" outlineLevel="0" collapsed="false">
      <c r="B74" s="29" t="n">
        <v>70</v>
      </c>
      <c r="C74" s="77"/>
      <c r="D74" s="30"/>
      <c r="E74" s="30"/>
      <c r="F74" s="30"/>
      <c r="G74" s="29"/>
      <c r="H74" s="43" t="str">
        <f aca="false">IF(OR(DecisionLog[[#This Row],[Decision]]="",DecisionLog[[#This Row],[Status]]&lt;&gt;"Proposed",N(DecisionLog[[#This Row],[Date]])=0),"",MAX(0,StatusDate-DecisionLog[[#This Row],[Date]]))</f>
        <v/>
      </c>
      <c r="I74" s="29"/>
      <c r="J74" s="24" t="str">
        <f aca="false">IF(N(DecisionLog[[#This Row],[Task UID]])=0,"",IFERROR(INDEX(tsk_Name,MATCH(DecisionLog[[#This Row],[Task UID]],tsk_UID,0)),"UID "&amp;DecisionLog[[#This Row],[Task UID]]&amp;" not found"))</f>
        <v/>
      </c>
      <c r="K74" s="29"/>
    </row>
    <row r="75" customFormat="false" ht="15" hidden="false" customHeight="false" outlineLevel="0" collapsed="false">
      <c r="B75" s="29" t="n">
        <v>71</v>
      </c>
      <c r="C75" s="77"/>
      <c r="D75" s="30"/>
      <c r="E75" s="30"/>
      <c r="F75" s="30"/>
      <c r="G75" s="29"/>
      <c r="H75" s="43" t="str">
        <f aca="false">IF(OR(DecisionLog[[#This Row],[Decision]]="",DecisionLog[[#This Row],[Status]]&lt;&gt;"Proposed",N(DecisionLog[[#This Row],[Date]])=0),"",MAX(0,StatusDate-DecisionLog[[#This Row],[Date]]))</f>
        <v/>
      </c>
      <c r="I75" s="29"/>
      <c r="J75" s="24" t="str">
        <f aca="false">IF(N(DecisionLog[[#This Row],[Task UID]])=0,"",IFERROR(INDEX(tsk_Name,MATCH(DecisionLog[[#This Row],[Task UID]],tsk_UID,0)),"UID "&amp;DecisionLog[[#This Row],[Task UID]]&amp;" not found"))</f>
        <v/>
      </c>
      <c r="K75" s="29"/>
    </row>
    <row r="76" customFormat="false" ht="15" hidden="false" customHeight="false" outlineLevel="0" collapsed="false">
      <c r="B76" s="29" t="n">
        <v>72</v>
      </c>
      <c r="C76" s="77"/>
      <c r="D76" s="30"/>
      <c r="E76" s="30"/>
      <c r="F76" s="30"/>
      <c r="G76" s="29"/>
      <c r="H76" s="43" t="str">
        <f aca="false">IF(OR(DecisionLog[[#This Row],[Decision]]="",DecisionLog[[#This Row],[Status]]&lt;&gt;"Proposed",N(DecisionLog[[#This Row],[Date]])=0),"",MAX(0,StatusDate-DecisionLog[[#This Row],[Date]]))</f>
        <v/>
      </c>
      <c r="I76" s="29"/>
      <c r="J76" s="24" t="str">
        <f aca="false">IF(N(DecisionLog[[#This Row],[Task UID]])=0,"",IFERROR(INDEX(tsk_Name,MATCH(DecisionLog[[#This Row],[Task UID]],tsk_UID,0)),"UID "&amp;DecisionLog[[#This Row],[Task UID]]&amp;" not found"))</f>
        <v/>
      </c>
      <c r="K76" s="29"/>
    </row>
    <row r="77" customFormat="false" ht="15" hidden="false" customHeight="false" outlineLevel="0" collapsed="false">
      <c r="B77" s="29" t="n">
        <v>73</v>
      </c>
      <c r="C77" s="77"/>
      <c r="D77" s="30"/>
      <c r="E77" s="30"/>
      <c r="F77" s="30"/>
      <c r="G77" s="29"/>
      <c r="H77" s="43" t="str">
        <f aca="false">IF(OR(DecisionLog[[#This Row],[Decision]]="",DecisionLog[[#This Row],[Status]]&lt;&gt;"Proposed",N(DecisionLog[[#This Row],[Date]])=0),"",MAX(0,StatusDate-DecisionLog[[#This Row],[Date]]))</f>
        <v/>
      </c>
      <c r="I77" s="29"/>
      <c r="J77" s="24" t="str">
        <f aca="false">IF(N(DecisionLog[[#This Row],[Task UID]])=0,"",IFERROR(INDEX(tsk_Name,MATCH(DecisionLog[[#This Row],[Task UID]],tsk_UID,0)),"UID "&amp;DecisionLog[[#This Row],[Task UID]]&amp;" not found"))</f>
        <v/>
      </c>
      <c r="K77" s="29"/>
    </row>
    <row r="78" customFormat="false" ht="15" hidden="false" customHeight="false" outlineLevel="0" collapsed="false">
      <c r="B78" s="29" t="n">
        <v>74</v>
      </c>
      <c r="C78" s="77"/>
      <c r="D78" s="30"/>
      <c r="E78" s="30"/>
      <c r="F78" s="30"/>
      <c r="G78" s="29"/>
      <c r="H78" s="43" t="str">
        <f aca="false">IF(OR(DecisionLog[[#This Row],[Decision]]="",DecisionLog[[#This Row],[Status]]&lt;&gt;"Proposed",N(DecisionLog[[#This Row],[Date]])=0),"",MAX(0,StatusDate-DecisionLog[[#This Row],[Date]]))</f>
        <v/>
      </c>
      <c r="I78" s="29"/>
      <c r="J78" s="24" t="str">
        <f aca="false">IF(N(DecisionLog[[#This Row],[Task UID]])=0,"",IFERROR(INDEX(tsk_Name,MATCH(DecisionLog[[#This Row],[Task UID]],tsk_UID,0)),"UID "&amp;DecisionLog[[#This Row],[Task UID]]&amp;" not found"))</f>
        <v/>
      </c>
      <c r="K78" s="29"/>
    </row>
    <row r="79" customFormat="false" ht="15" hidden="false" customHeight="false" outlineLevel="0" collapsed="false">
      <c r="B79" s="29" t="n">
        <v>75</v>
      </c>
      <c r="C79" s="77"/>
      <c r="D79" s="30"/>
      <c r="E79" s="30"/>
      <c r="F79" s="30"/>
      <c r="G79" s="29"/>
      <c r="H79" s="43" t="str">
        <f aca="false">IF(OR(DecisionLog[[#This Row],[Decision]]="",DecisionLog[[#This Row],[Status]]&lt;&gt;"Proposed",N(DecisionLog[[#This Row],[Date]])=0),"",MAX(0,StatusDate-DecisionLog[[#This Row],[Date]]))</f>
        <v/>
      </c>
      <c r="I79" s="29"/>
      <c r="J79" s="24" t="str">
        <f aca="false">IF(N(DecisionLog[[#This Row],[Task UID]])=0,"",IFERROR(INDEX(tsk_Name,MATCH(DecisionLog[[#This Row],[Task UID]],tsk_UID,0)),"UID "&amp;DecisionLog[[#This Row],[Task UID]]&amp;" not found"))</f>
        <v/>
      </c>
      <c r="K79" s="29"/>
    </row>
    <row r="80" customFormat="false" ht="15" hidden="false" customHeight="false" outlineLevel="0" collapsed="false">
      <c r="B80" s="29" t="n">
        <v>76</v>
      </c>
      <c r="C80" s="77"/>
      <c r="D80" s="30"/>
      <c r="E80" s="30"/>
      <c r="F80" s="30"/>
      <c r="G80" s="29"/>
      <c r="H80" s="43" t="str">
        <f aca="false">IF(OR(DecisionLog[[#This Row],[Decision]]="",DecisionLog[[#This Row],[Status]]&lt;&gt;"Proposed",N(DecisionLog[[#This Row],[Date]])=0),"",MAX(0,StatusDate-DecisionLog[[#This Row],[Date]]))</f>
        <v/>
      </c>
      <c r="I80" s="29"/>
      <c r="J80" s="24" t="str">
        <f aca="false">IF(N(DecisionLog[[#This Row],[Task UID]])=0,"",IFERROR(INDEX(tsk_Name,MATCH(DecisionLog[[#This Row],[Task UID]],tsk_UID,0)),"UID "&amp;DecisionLog[[#This Row],[Task UID]]&amp;" not found"))</f>
        <v/>
      </c>
      <c r="K80" s="29"/>
    </row>
    <row r="81" customFormat="false" ht="15" hidden="false" customHeight="false" outlineLevel="0" collapsed="false">
      <c r="B81" s="29" t="n">
        <v>77</v>
      </c>
      <c r="C81" s="77"/>
      <c r="D81" s="30"/>
      <c r="E81" s="30"/>
      <c r="F81" s="30"/>
      <c r="G81" s="29"/>
      <c r="H81" s="43" t="str">
        <f aca="false">IF(OR(DecisionLog[[#This Row],[Decision]]="",DecisionLog[[#This Row],[Status]]&lt;&gt;"Proposed",N(DecisionLog[[#This Row],[Date]])=0),"",MAX(0,StatusDate-DecisionLog[[#This Row],[Date]]))</f>
        <v/>
      </c>
      <c r="I81" s="29"/>
      <c r="J81" s="24" t="str">
        <f aca="false">IF(N(DecisionLog[[#This Row],[Task UID]])=0,"",IFERROR(INDEX(tsk_Name,MATCH(DecisionLog[[#This Row],[Task UID]],tsk_UID,0)),"UID "&amp;DecisionLog[[#This Row],[Task UID]]&amp;" not found"))</f>
        <v/>
      </c>
      <c r="K81" s="29"/>
    </row>
    <row r="82" customFormat="false" ht="15" hidden="false" customHeight="false" outlineLevel="0" collapsed="false">
      <c r="B82" s="29" t="n">
        <v>78</v>
      </c>
      <c r="C82" s="77"/>
      <c r="D82" s="30"/>
      <c r="E82" s="30"/>
      <c r="F82" s="30"/>
      <c r="G82" s="29"/>
      <c r="H82" s="43" t="str">
        <f aca="false">IF(OR(DecisionLog[[#This Row],[Decision]]="",DecisionLog[[#This Row],[Status]]&lt;&gt;"Proposed",N(DecisionLog[[#This Row],[Date]])=0),"",MAX(0,StatusDate-DecisionLog[[#This Row],[Date]]))</f>
        <v/>
      </c>
      <c r="I82" s="29"/>
      <c r="J82" s="24" t="str">
        <f aca="false">IF(N(DecisionLog[[#This Row],[Task UID]])=0,"",IFERROR(INDEX(tsk_Name,MATCH(DecisionLog[[#This Row],[Task UID]],tsk_UID,0)),"UID "&amp;DecisionLog[[#This Row],[Task UID]]&amp;" not found"))</f>
        <v/>
      </c>
      <c r="K82" s="29"/>
    </row>
    <row r="83" customFormat="false" ht="15" hidden="false" customHeight="false" outlineLevel="0" collapsed="false">
      <c r="B83" s="29" t="n">
        <v>79</v>
      </c>
      <c r="C83" s="77"/>
      <c r="D83" s="30"/>
      <c r="E83" s="30"/>
      <c r="F83" s="30"/>
      <c r="G83" s="29"/>
      <c r="H83" s="43" t="str">
        <f aca="false">IF(OR(DecisionLog[[#This Row],[Decision]]="",DecisionLog[[#This Row],[Status]]&lt;&gt;"Proposed",N(DecisionLog[[#This Row],[Date]])=0),"",MAX(0,StatusDate-DecisionLog[[#This Row],[Date]]))</f>
        <v/>
      </c>
      <c r="I83" s="29"/>
      <c r="J83" s="24" t="str">
        <f aca="false">IF(N(DecisionLog[[#This Row],[Task UID]])=0,"",IFERROR(INDEX(tsk_Name,MATCH(DecisionLog[[#This Row],[Task UID]],tsk_UID,0)),"UID "&amp;DecisionLog[[#This Row],[Task UID]]&amp;" not found"))</f>
        <v/>
      </c>
      <c r="K83" s="29"/>
    </row>
    <row r="84" customFormat="false" ht="15" hidden="false" customHeight="false" outlineLevel="0" collapsed="false">
      <c r="B84" s="29" t="n">
        <v>80</v>
      </c>
      <c r="C84" s="77"/>
      <c r="D84" s="30"/>
      <c r="E84" s="30"/>
      <c r="F84" s="30"/>
      <c r="G84" s="29"/>
      <c r="H84" s="43" t="str">
        <f aca="false">IF(OR(DecisionLog[[#This Row],[Decision]]="",DecisionLog[[#This Row],[Status]]&lt;&gt;"Proposed",N(DecisionLog[[#This Row],[Date]])=0),"",MAX(0,StatusDate-DecisionLog[[#This Row],[Date]]))</f>
        <v/>
      </c>
      <c r="I84" s="29"/>
      <c r="J84" s="24" t="str">
        <f aca="false">IF(N(DecisionLog[[#This Row],[Task UID]])=0,"",IFERROR(INDEX(tsk_Name,MATCH(DecisionLog[[#This Row],[Task UID]],tsk_UID,0)),"UID "&amp;DecisionLog[[#This Row],[Task UID]]&amp;" not found"))</f>
        <v/>
      </c>
      <c r="K84" s="29"/>
    </row>
    <row r="85" customFormat="false" ht="15" hidden="false" customHeight="false" outlineLevel="0" collapsed="false">
      <c r="B85" s="29" t="n">
        <v>81</v>
      </c>
      <c r="C85" s="77"/>
      <c r="D85" s="30"/>
      <c r="E85" s="30"/>
      <c r="F85" s="30"/>
      <c r="G85" s="29"/>
      <c r="H85" s="43" t="str">
        <f aca="false">IF(OR(DecisionLog[[#This Row],[Decision]]="",DecisionLog[[#This Row],[Status]]&lt;&gt;"Proposed",N(DecisionLog[[#This Row],[Date]])=0),"",MAX(0,StatusDate-DecisionLog[[#This Row],[Date]]))</f>
        <v/>
      </c>
      <c r="I85" s="29"/>
      <c r="J85" s="24" t="str">
        <f aca="false">IF(N(DecisionLog[[#This Row],[Task UID]])=0,"",IFERROR(INDEX(tsk_Name,MATCH(DecisionLog[[#This Row],[Task UID]],tsk_UID,0)),"UID "&amp;DecisionLog[[#This Row],[Task UID]]&amp;" not found"))</f>
        <v/>
      </c>
      <c r="K85" s="29"/>
    </row>
    <row r="86" customFormat="false" ht="15" hidden="false" customHeight="false" outlineLevel="0" collapsed="false">
      <c r="B86" s="29" t="n">
        <v>82</v>
      </c>
      <c r="C86" s="77"/>
      <c r="D86" s="30"/>
      <c r="E86" s="30"/>
      <c r="F86" s="30"/>
      <c r="G86" s="29"/>
      <c r="H86" s="43" t="str">
        <f aca="false">IF(OR(DecisionLog[[#This Row],[Decision]]="",DecisionLog[[#This Row],[Status]]&lt;&gt;"Proposed",N(DecisionLog[[#This Row],[Date]])=0),"",MAX(0,StatusDate-DecisionLog[[#This Row],[Date]]))</f>
        <v/>
      </c>
      <c r="I86" s="29"/>
      <c r="J86" s="24" t="str">
        <f aca="false">IF(N(DecisionLog[[#This Row],[Task UID]])=0,"",IFERROR(INDEX(tsk_Name,MATCH(DecisionLog[[#This Row],[Task UID]],tsk_UID,0)),"UID "&amp;DecisionLog[[#This Row],[Task UID]]&amp;" not found"))</f>
        <v/>
      </c>
      <c r="K86" s="29"/>
    </row>
    <row r="87" customFormat="false" ht="15" hidden="false" customHeight="false" outlineLevel="0" collapsed="false">
      <c r="B87" s="29" t="n">
        <v>83</v>
      </c>
      <c r="C87" s="77"/>
      <c r="D87" s="30"/>
      <c r="E87" s="30"/>
      <c r="F87" s="30"/>
      <c r="G87" s="29"/>
      <c r="H87" s="43" t="str">
        <f aca="false">IF(OR(DecisionLog[[#This Row],[Decision]]="",DecisionLog[[#This Row],[Status]]&lt;&gt;"Proposed",N(DecisionLog[[#This Row],[Date]])=0),"",MAX(0,StatusDate-DecisionLog[[#This Row],[Date]]))</f>
        <v/>
      </c>
      <c r="I87" s="29"/>
      <c r="J87" s="24" t="str">
        <f aca="false">IF(N(DecisionLog[[#This Row],[Task UID]])=0,"",IFERROR(INDEX(tsk_Name,MATCH(DecisionLog[[#This Row],[Task UID]],tsk_UID,0)),"UID "&amp;DecisionLog[[#This Row],[Task UID]]&amp;" not found"))</f>
        <v/>
      </c>
      <c r="K87" s="29"/>
    </row>
    <row r="88" customFormat="false" ht="15" hidden="false" customHeight="false" outlineLevel="0" collapsed="false">
      <c r="B88" s="29" t="n">
        <v>84</v>
      </c>
      <c r="C88" s="77"/>
      <c r="D88" s="30"/>
      <c r="E88" s="30"/>
      <c r="F88" s="30"/>
      <c r="G88" s="29"/>
      <c r="H88" s="43" t="str">
        <f aca="false">IF(OR(DecisionLog[[#This Row],[Decision]]="",DecisionLog[[#This Row],[Status]]&lt;&gt;"Proposed",N(DecisionLog[[#This Row],[Date]])=0),"",MAX(0,StatusDate-DecisionLog[[#This Row],[Date]]))</f>
        <v/>
      </c>
      <c r="I88" s="29"/>
      <c r="J88" s="24" t="str">
        <f aca="false">IF(N(DecisionLog[[#This Row],[Task UID]])=0,"",IFERROR(INDEX(tsk_Name,MATCH(DecisionLog[[#This Row],[Task UID]],tsk_UID,0)),"UID "&amp;DecisionLog[[#This Row],[Task UID]]&amp;" not found"))</f>
        <v/>
      </c>
      <c r="K88" s="29"/>
    </row>
    <row r="89" customFormat="false" ht="15" hidden="false" customHeight="false" outlineLevel="0" collapsed="false">
      <c r="B89" s="29" t="n">
        <v>85</v>
      </c>
      <c r="C89" s="77"/>
      <c r="D89" s="30"/>
      <c r="E89" s="30"/>
      <c r="F89" s="30"/>
      <c r="G89" s="29"/>
      <c r="H89" s="43" t="str">
        <f aca="false">IF(OR(DecisionLog[[#This Row],[Decision]]="",DecisionLog[[#This Row],[Status]]&lt;&gt;"Proposed",N(DecisionLog[[#This Row],[Date]])=0),"",MAX(0,StatusDate-DecisionLog[[#This Row],[Date]]))</f>
        <v/>
      </c>
      <c r="I89" s="29"/>
      <c r="J89" s="24" t="str">
        <f aca="false">IF(N(DecisionLog[[#This Row],[Task UID]])=0,"",IFERROR(INDEX(tsk_Name,MATCH(DecisionLog[[#This Row],[Task UID]],tsk_UID,0)),"UID "&amp;DecisionLog[[#This Row],[Task UID]]&amp;" not found"))</f>
        <v/>
      </c>
      <c r="K89" s="29"/>
    </row>
    <row r="90" customFormat="false" ht="15" hidden="false" customHeight="false" outlineLevel="0" collapsed="false">
      <c r="B90" s="29" t="n">
        <v>86</v>
      </c>
      <c r="C90" s="77"/>
      <c r="D90" s="30"/>
      <c r="E90" s="30"/>
      <c r="F90" s="30"/>
      <c r="G90" s="29"/>
      <c r="H90" s="43" t="str">
        <f aca="false">IF(OR(DecisionLog[[#This Row],[Decision]]="",DecisionLog[[#This Row],[Status]]&lt;&gt;"Proposed",N(DecisionLog[[#This Row],[Date]])=0),"",MAX(0,StatusDate-DecisionLog[[#This Row],[Date]]))</f>
        <v/>
      </c>
      <c r="I90" s="29"/>
      <c r="J90" s="24" t="str">
        <f aca="false">IF(N(DecisionLog[[#This Row],[Task UID]])=0,"",IFERROR(INDEX(tsk_Name,MATCH(DecisionLog[[#This Row],[Task UID]],tsk_UID,0)),"UID "&amp;DecisionLog[[#This Row],[Task UID]]&amp;" not found"))</f>
        <v/>
      </c>
      <c r="K90" s="29"/>
    </row>
    <row r="91" customFormat="false" ht="15" hidden="false" customHeight="false" outlineLevel="0" collapsed="false">
      <c r="B91" s="29" t="n">
        <v>87</v>
      </c>
      <c r="C91" s="77"/>
      <c r="D91" s="30"/>
      <c r="E91" s="30"/>
      <c r="F91" s="30"/>
      <c r="G91" s="29"/>
      <c r="H91" s="43" t="str">
        <f aca="false">IF(OR(DecisionLog[[#This Row],[Decision]]="",DecisionLog[[#This Row],[Status]]&lt;&gt;"Proposed",N(DecisionLog[[#This Row],[Date]])=0),"",MAX(0,StatusDate-DecisionLog[[#This Row],[Date]]))</f>
        <v/>
      </c>
      <c r="I91" s="29"/>
      <c r="J91" s="24" t="str">
        <f aca="false">IF(N(DecisionLog[[#This Row],[Task UID]])=0,"",IFERROR(INDEX(tsk_Name,MATCH(DecisionLog[[#This Row],[Task UID]],tsk_UID,0)),"UID "&amp;DecisionLog[[#This Row],[Task UID]]&amp;" not found"))</f>
        <v/>
      </c>
      <c r="K91" s="29"/>
    </row>
    <row r="92" customFormat="false" ht="15" hidden="false" customHeight="false" outlineLevel="0" collapsed="false">
      <c r="B92" s="29" t="n">
        <v>88</v>
      </c>
      <c r="C92" s="77"/>
      <c r="D92" s="30"/>
      <c r="E92" s="30"/>
      <c r="F92" s="30"/>
      <c r="G92" s="29"/>
      <c r="H92" s="43" t="str">
        <f aca="false">IF(OR(DecisionLog[[#This Row],[Decision]]="",DecisionLog[[#This Row],[Status]]&lt;&gt;"Proposed",N(DecisionLog[[#This Row],[Date]])=0),"",MAX(0,StatusDate-DecisionLog[[#This Row],[Date]]))</f>
        <v/>
      </c>
      <c r="I92" s="29"/>
      <c r="J92" s="24" t="str">
        <f aca="false">IF(N(DecisionLog[[#This Row],[Task UID]])=0,"",IFERROR(INDEX(tsk_Name,MATCH(DecisionLog[[#This Row],[Task UID]],tsk_UID,0)),"UID "&amp;DecisionLog[[#This Row],[Task UID]]&amp;" not found"))</f>
        <v/>
      </c>
      <c r="K92" s="29"/>
    </row>
    <row r="93" customFormat="false" ht="15" hidden="false" customHeight="false" outlineLevel="0" collapsed="false">
      <c r="B93" s="29" t="n">
        <v>89</v>
      </c>
      <c r="C93" s="77"/>
      <c r="D93" s="30"/>
      <c r="E93" s="30"/>
      <c r="F93" s="30"/>
      <c r="G93" s="29"/>
      <c r="H93" s="43" t="str">
        <f aca="false">IF(OR(DecisionLog[[#This Row],[Decision]]="",DecisionLog[[#This Row],[Status]]&lt;&gt;"Proposed",N(DecisionLog[[#This Row],[Date]])=0),"",MAX(0,StatusDate-DecisionLog[[#This Row],[Date]]))</f>
        <v/>
      </c>
      <c r="I93" s="29"/>
      <c r="J93" s="24" t="str">
        <f aca="false">IF(N(DecisionLog[[#This Row],[Task UID]])=0,"",IFERROR(INDEX(tsk_Name,MATCH(DecisionLog[[#This Row],[Task UID]],tsk_UID,0)),"UID "&amp;DecisionLog[[#This Row],[Task UID]]&amp;" not found"))</f>
        <v/>
      </c>
      <c r="K93" s="29"/>
    </row>
    <row r="94" customFormat="false" ht="15" hidden="false" customHeight="false" outlineLevel="0" collapsed="false">
      <c r="B94" s="29" t="n">
        <v>90</v>
      </c>
      <c r="C94" s="77"/>
      <c r="D94" s="30"/>
      <c r="E94" s="30"/>
      <c r="F94" s="30"/>
      <c r="G94" s="29"/>
      <c r="H94" s="43" t="str">
        <f aca="false">IF(OR(DecisionLog[[#This Row],[Decision]]="",DecisionLog[[#This Row],[Status]]&lt;&gt;"Proposed",N(DecisionLog[[#This Row],[Date]])=0),"",MAX(0,StatusDate-DecisionLog[[#This Row],[Date]]))</f>
        <v/>
      </c>
      <c r="I94" s="29"/>
      <c r="J94" s="24" t="str">
        <f aca="false">IF(N(DecisionLog[[#This Row],[Task UID]])=0,"",IFERROR(INDEX(tsk_Name,MATCH(DecisionLog[[#This Row],[Task UID]],tsk_UID,0)),"UID "&amp;DecisionLog[[#This Row],[Task UID]]&amp;" not found"))</f>
        <v/>
      </c>
      <c r="K94" s="29"/>
    </row>
    <row r="95" customFormat="false" ht="15" hidden="false" customHeight="false" outlineLevel="0" collapsed="false">
      <c r="B95" s="29" t="n">
        <v>91</v>
      </c>
      <c r="C95" s="77"/>
      <c r="D95" s="30"/>
      <c r="E95" s="30"/>
      <c r="F95" s="30"/>
      <c r="G95" s="29"/>
      <c r="H95" s="43" t="str">
        <f aca="false">IF(OR(DecisionLog[[#This Row],[Decision]]="",DecisionLog[[#This Row],[Status]]&lt;&gt;"Proposed",N(DecisionLog[[#This Row],[Date]])=0),"",MAX(0,StatusDate-DecisionLog[[#This Row],[Date]]))</f>
        <v/>
      </c>
      <c r="I95" s="29"/>
      <c r="J95" s="24" t="str">
        <f aca="false">IF(N(DecisionLog[[#This Row],[Task UID]])=0,"",IFERROR(INDEX(tsk_Name,MATCH(DecisionLog[[#This Row],[Task UID]],tsk_UID,0)),"UID "&amp;DecisionLog[[#This Row],[Task UID]]&amp;" not found"))</f>
        <v/>
      </c>
      <c r="K95" s="29"/>
    </row>
    <row r="96" customFormat="false" ht="15" hidden="false" customHeight="false" outlineLevel="0" collapsed="false">
      <c r="B96" s="29" t="n">
        <v>92</v>
      </c>
      <c r="C96" s="77"/>
      <c r="D96" s="30"/>
      <c r="E96" s="30"/>
      <c r="F96" s="30"/>
      <c r="G96" s="29"/>
      <c r="H96" s="43" t="str">
        <f aca="false">IF(OR(DecisionLog[[#This Row],[Decision]]="",DecisionLog[[#This Row],[Status]]&lt;&gt;"Proposed",N(DecisionLog[[#This Row],[Date]])=0),"",MAX(0,StatusDate-DecisionLog[[#This Row],[Date]]))</f>
        <v/>
      </c>
      <c r="I96" s="29"/>
      <c r="J96" s="24" t="str">
        <f aca="false">IF(N(DecisionLog[[#This Row],[Task UID]])=0,"",IFERROR(INDEX(tsk_Name,MATCH(DecisionLog[[#This Row],[Task UID]],tsk_UID,0)),"UID "&amp;DecisionLog[[#This Row],[Task UID]]&amp;" not found"))</f>
        <v/>
      </c>
      <c r="K96" s="29"/>
    </row>
    <row r="97" customFormat="false" ht="15" hidden="false" customHeight="false" outlineLevel="0" collapsed="false">
      <c r="B97" s="29" t="n">
        <v>93</v>
      </c>
      <c r="C97" s="77"/>
      <c r="D97" s="30"/>
      <c r="E97" s="30"/>
      <c r="F97" s="30"/>
      <c r="G97" s="29"/>
      <c r="H97" s="43" t="str">
        <f aca="false">IF(OR(DecisionLog[[#This Row],[Decision]]="",DecisionLog[[#This Row],[Status]]&lt;&gt;"Proposed",N(DecisionLog[[#This Row],[Date]])=0),"",MAX(0,StatusDate-DecisionLog[[#This Row],[Date]]))</f>
        <v/>
      </c>
      <c r="I97" s="29"/>
      <c r="J97" s="24" t="str">
        <f aca="false">IF(N(DecisionLog[[#This Row],[Task UID]])=0,"",IFERROR(INDEX(tsk_Name,MATCH(DecisionLog[[#This Row],[Task UID]],tsk_UID,0)),"UID "&amp;DecisionLog[[#This Row],[Task UID]]&amp;" not found"))</f>
        <v/>
      </c>
      <c r="K97" s="29"/>
    </row>
    <row r="98" customFormat="false" ht="15" hidden="false" customHeight="false" outlineLevel="0" collapsed="false">
      <c r="B98" s="29" t="n">
        <v>94</v>
      </c>
      <c r="C98" s="77"/>
      <c r="D98" s="30"/>
      <c r="E98" s="30"/>
      <c r="F98" s="30"/>
      <c r="G98" s="29"/>
      <c r="H98" s="43" t="str">
        <f aca="false">IF(OR(DecisionLog[[#This Row],[Decision]]="",DecisionLog[[#This Row],[Status]]&lt;&gt;"Proposed",N(DecisionLog[[#This Row],[Date]])=0),"",MAX(0,StatusDate-DecisionLog[[#This Row],[Date]]))</f>
        <v/>
      </c>
      <c r="I98" s="29"/>
      <c r="J98" s="24" t="str">
        <f aca="false">IF(N(DecisionLog[[#This Row],[Task UID]])=0,"",IFERROR(INDEX(tsk_Name,MATCH(DecisionLog[[#This Row],[Task UID]],tsk_UID,0)),"UID "&amp;DecisionLog[[#This Row],[Task UID]]&amp;" not found"))</f>
        <v/>
      </c>
      <c r="K98" s="29"/>
    </row>
    <row r="99" customFormat="false" ht="15" hidden="false" customHeight="false" outlineLevel="0" collapsed="false">
      <c r="B99" s="29" t="n">
        <v>95</v>
      </c>
      <c r="C99" s="77"/>
      <c r="D99" s="30"/>
      <c r="E99" s="30"/>
      <c r="F99" s="30"/>
      <c r="G99" s="29"/>
      <c r="H99" s="43" t="str">
        <f aca="false">IF(OR(DecisionLog[[#This Row],[Decision]]="",DecisionLog[[#This Row],[Status]]&lt;&gt;"Proposed",N(DecisionLog[[#This Row],[Date]])=0),"",MAX(0,StatusDate-DecisionLog[[#This Row],[Date]]))</f>
        <v/>
      </c>
      <c r="I99" s="29"/>
      <c r="J99" s="24" t="str">
        <f aca="false">IF(N(DecisionLog[[#This Row],[Task UID]])=0,"",IFERROR(INDEX(tsk_Name,MATCH(DecisionLog[[#This Row],[Task UID]],tsk_UID,0)),"UID "&amp;DecisionLog[[#This Row],[Task UID]]&amp;" not found"))</f>
        <v/>
      </c>
      <c r="K99" s="29"/>
    </row>
    <row r="100" customFormat="false" ht="15" hidden="false" customHeight="false" outlineLevel="0" collapsed="false">
      <c r="B100" s="29" t="n">
        <v>96</v>
      </c>
      <c r="C100" s="77"/>
      <c r="D100" s="30"/>
      <c r="E100" s="30"/>
      <c r="F100" s="30"/>
      <c r="G100" s="29"/>
      <c r="H100" s="43" t="str">
        <f aca="false">IF(OR(DecisionLog[[#This Row],[Decision]]="",DecisionLog[[#This Row],[Status]]&lt;&gt;"Proposed",N(DecisionLog[[#This Row],[Date]])=0),"",MAX(0,StatusDate-DecisionLog[[#This Row],[Date]]))</f>
        <v/>
      </c>
      <c r="I100" s="29"/>
      <c r="J100" s="24" t="str">
        <f aca="false">IF(N(DecisionLog[[#This Row],[Task UID]])=0,"",IFERROR(INDEX(tsk_Name,MATCH(DecisionLog[[#This Row],[Task UID]],tsk_UID,0)),"UID "&amp;DecisionLog[[#This Row],[Task UID]]&amp;" not found"))</f>
        <v/>
      </c>
      <c r="K100" s="29"/>
    </row>
    <row r="101" customFormat="false" ht="15" hidden="false" customHeight="false" outlineLevel="0" collapsed="false">
      <c r="B101" s="29" t="n">
        <v>97</v>
      </c>
      <c r="C101" s="77"/>
      <c r="D101" s="30"/>
      <c r="E101" s="30"/>
      <c r="F101" s="30"/>
      <c r="G101" s="29"/>
      <c r="H101" s="43" t="str">
        <f aca="false">IF(OR(DecisionLog[[#This Row],[Decision]]="",DecisionLog[[#This Row],[Status]]&lt;&gt;"Proposed",N(DecisionLog[[#This Row],[Date]])=0),"",MAX(0,StatusDate-DecisionLog[[#This Row],[Date]]))</f>
        <v/>
      </c>
      <c r="I101" s="29"/>
      <c r="J101" s="24" t="str">
        <f aca="false">IF(N(DecisionLog[[#This Row],[Task UID]])=0,"",IFERROR(INDEX(tsk_Name,MATCH(DecisionLog[[#This Row],[Task UID]],tsk_UID,0)),"UID "&amp;DecisionLog[[#This Row],[Task UID]]&amp;" not found"))</f>
        <v/>
      </c>
      <c r="K101" s="29"/>
    </row>
    <row r="102" customFormat="false" ht="15" hidden="false" customHeight="false" outlineLevel="0" collapsed="false">
      <c r="B102" s="29" t="n">
        <v>98</v>
      </c>
      <c r="C102" s="77"/>
      <c r="D102" s="30"/>
      <c r="E102" s="30"/>
      <c r="F102" s="30"/>
      <c r="G102" s="29"/>
      <c r="H102" s="43" t="str">
        <f aca="false">IF(OR(DecisionLog[[#This Row],[Decision]]="",DecisionLog[[#This Row],[Status]]&lt;&gt;"Proposed",N(DecisionLog[[#This Row],[Date]])=0),"",MAX(0,StatusDate-DecisionLog[[#This Row],[Date]]))</f>
        <v/>
      </c>
      <c r="I102" s="29"/>
      <c r="J102" s="24" t="str">
        <f aca="false">IF(N(DecisionLog[[#This Row],[Task UID]])=0,"",IFERROR(INDEX(tsk_Name,MATCH(DecisionLog[[#This Row],[Task UID]],tsk_UID,0)),"UID "&amp;DecisionLog[[#This Row],[Task UID]]&amp;" not found"))</f>
        <v/>
      </c>
      <c r="K102" s="29"/>
    </row>
    <row r="103" customFormat="false" ht="15" hidden="false" customHeight="false" outlineLevel="0" collapsed="false">
      <c r="B103" s="29" t="n">
        <v>99</v>
      </c>
      <c r="C103" s="77"/>
      <c r="D103" s="30"/>
      <c r="E103" s="30"/>
      <c r="F103" s="30"/>
      <c r="G103" s="29"/>
      <c r="H103" s="43" t="str">
        <f aca="false">IF(OR(DecisionLog[[#This Row],[Decision]]="",DecisionLog[[#This Row],[Status]]&lt;&gt;"Proposed",N(DecisionLog[[#This Row],[Date]])=0),"",MAX(0,StatusDate-DecisionLog[[#This Row],[Date]]))</f>
        <v/>
      </c>
      <c r="I103" s="29"/>
      <c r="J103" s="24" t="str">
        <f aca="false">IF(N(DecisionLog[[#This Row],[Task UID]])=0,"",IFERROR(INDEX(tsk_Name,MATCH(DecisionLog[[#This Row],[Task UID]],tsk_UID,0)),"UID "&amp;DecisionLog[[#This Row],[Task UID]]&amp;" not found"))</f>
        <v/>
      </c>
      <c r="K103" s="29"/>
    </row>
    <row r="104" customFormat="false" ht="15" hidden="false" customHeight="false" outlineLevel="0" collapsed="false">
      <c r="B104" s="29" t="n">
        <v>100</v>
      </c>
      <c r="C104" s="77"/>
      <c r="D104" s="30"/>
      <c r="E104" s="30"/>
      <c r="F104" s="30"/>
      <c r="G104" s="29"/>
      <c r="H104" s="43" t="str">
        <f aca="false">IF(OR(DecisionLog[[#This Row],[Decision]]="",DecisionLog[[#This Row],[Status]]&lt;&gt;"Proposed",N(DecisionLog[[#This Row],[Date]])=0),"",MAX(0,StatusDate-DecisionLog[[#This Row],[Date]]))</f>
        <v/>
      </c>
      <c r="I104" s="29"/>
      <c r="J104" s="24" t="str">
        <f aca="false">IF(N(DecisionLog[[#This Row],[Task UID]])=0,"",IFERROR(INDEX(tsk_Name,MATCH(DecisionLog[[#This Row],[Task UID]],tsk_UID,0)),"UID "&amp;DecisionLog[[#This Row],[Task UID]]&amp;" not found"))</f>
        <v/>
      </c>
      <c r="K104" s="29"/>
    </row>
  </sheetData>
  <conditionalFormatting sqref="G5:G104">
    <cfRule type="expression" priority="2" aboveAverage="0" equalAverage="0" bottom="0" percent="0" rank="0" text="" dxfId="30">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329</v>
      </c>
    </row>
    <row r="2" customFormat="false" ht="15" hidden="false" customHeight="false" outlineLevel="0" collapsed="false">
      <c r="A2" s="8" t="s">
        <v>330</v>
      </c>
    </row>
    <row r="4" customFormat="false" ht="46.25" hidden="false" customHeight="false" outlineLevel="0" collapsed="false">
      <c r="B4" s="27" t="s">
        <v>272</v>
      </c>
      <c r="C4" s="27" t="s">
        <v>275</v>
      </c>
      <c r="D4" s="27" t="s">
        <v>331</v>
      </c>
      <c r="E4" s="27" t="s">
        <v>274</v>
      </c>
      <c r="F4" s="27" t="s">
        <v>332</v>
      </c>
      <c r="G4" s="27" t="s">
        <v>333</v>
      </c>
      <c r="H4" s="27" t="s">
        <v>334</v>
      </c>
      <c r="I4" s="27" t="s">
        <v>95</v>
      </c>
      <c r="J4" s="27" t="s">
        <v>335</v>
      </c>
      <c r="K4" s="27" t="s">
        <v>316</v>
      </c>
      <c r="L4" s="9" t="s">
        <v>317</v>
      </c>
      <c r="M4" s="27" t="s">
        <v>279</v>
      </c>
      <c r="N4" s="9" t="s">
        <v>185</v>
      </c>
    </row>
    <row r="5" customFormat="false" ht="15" hidden="false" customHeight="false" outlineLevel="0" collapsed="false">
      <c r="B5" s="29" t="n">
        <v>1</v>
      </c>
      <c r="C5" s="77" t="n">
        <v>46293</v>
      </c>
      <c r="D5" s="30" t="s">
        <v>336</v>
      </c>
      <c r="E5" s="30" t="s">
        <v>337</v>
      </c>
      <c r="F5" s="30" t="s">
        <v>338</v>
      </c>
      <c r="G5" s="78" t="n">
        <v>2</v>
      </c>
      <c r="H5" s="79" t="n">
        <v>1360</v>
      </c>
      <c r="I5" s="29" t="s">
        <v>322</v>
      </c>
      <c r="J5" s="77" t="n">
        <v>46297</v>
      </c>
      <c r="K5" s="30" t="s">
        <v>325</v>
      </c>
      <c r="L5" s="43" t="str">
        <f aca="false">IF(OR(ChangeLog[[#This Row],[Title]]="",N(ChangeLog[[#This Row],[Raised]])=0,AND(ChangeLog[[#This Row],[Status]]&lt;&gt;"Submitted",ChangeLog[[#This Row],[Status]]&lt;&gt;"Under Review")),"",MAX(0,StatusDate-ChangeLog[[#This Row],[Raised]]))</f>
        <v/>
      </c>
      <c r="M5" s="29" t="n">
        <v>17</v>
      </c>
      <c r="N5" s="24" t="str">
        <f aca="false">IF(N(ChangeLog[[#This Row],[Task UID]])=0,"",IFERROR(INDEX(tsk_Name,MATCH(ChangeLog[[#This Row],[Task UID]],tsk_UID,0)),"UID "&amp;ChangeLog[[#This Row],[Task UID]]&amp;" not found"))</f>
        <v>Feature screens</v>
      </c>
    </row>
    <row r="6" customFormat="false" ht="15" hidden="false" customHeight="false" outlineLevel="0" collapsed="false">
      <c r="B6" s="29" t="n">
        <v>2</v>
      </c>
      <c r="C6" s="77" t="n">
        <v>46317</v>
      </c>
      <c r="D6" s="30" t="s">
        <v>295</v>
      </c>
      <c r="E6" s="30" t="s">
        <v>339</v>
      </c>
      <c r="F6" s="30" t="s">
        <v>340</v>
      </c>
      <c r="G6" s="78" t="n">
        <v>-4</v>
      </c>
      <c r="H6" s="79" t="n">
        <v>6800</v>
      </c>
      <c r="I6" s="29" t="s">
        <v>341</v>
      </c>
      <c r="J6" s="77"/>
      <c r="K6" s="30"/>
      <c r="L6" s="43" t="n">
        <f aca="false">IF(OR(ChangeLog[[#This Row],[Title]]="",N(ChangeLog[[#This Row],[Raised]])=0,AND(ChangeLog[[#This Row],[Status]]&lt;&gt;"Submitted",ChangeLog[[#This Row],[Status]]&lt;&gt;"Under Review")),"",MAX(0,StatusDate-ChangeLog[[#This Row],[Raised]]))</f>
        <v>3</v>
      </c>
      <c r="M6" s="29" t="n">
        <v>13</v>
      </c>
      <c r="N6" s="24" t="str">
        <f aca="false">IF(N(ChangeLog[[#This Row],[Task UID]])=0,"",IFERROR(INDEX(tsk_Name,MATCH(ChangeLog[[#This Row],[Task UID]],tsk_UID,0)),"UID "&amp;ChangeLog[[#This Row],[Task UID]]&amp;" not found"))</f>
        <v>Core API endpoints</v>
      </c>
    </row>
    <row r="7" customFormat="false" ht="15" hidden="false" customHeight="false" outlineLevel="0" collapsed="false">
      <c r="B7" s="29" t="n">
        <v>3</v>
      </c>
      <c r="C7" s="77" t="n">
        <v>46307</v>
      </c>
      <c r="D7" s="30" t="s">
        <v>342</v>
      </c>
      <c r="E7" s="30" t="s">
        <v>343</v>
      </c>
      <c r="F7" s="30" t="s">
        <v>344</v>
      </c>
      <c r="G7" s="78" t="n">
        <v>8</v>
      </c>
      <c r="H7" s="79" t="n">
        <v>9600</v>
      </c>
      <c r="I7" s="29" t="s">
        <v>345</v>
      </c>
      <c r="J7" s="77" t="n">
        <v>46311</v>
      </c>
      <c r="K7" s="30" t="s">
        <v>321</v>
      </c>
      <c r="L7" s="43" t="str">
        <f aca="false">IF(OR(ChangeLog[[#This Row],[Title]]="",N(ChangeLog[[#This Row],[Raised]])=0,AND(ChangeLog[[#This Row],[Status]]&lt;&gt;"Submitted",ChangeLog[[#This Row],[Status]]&lt;&gt;"Under Review")),"",MAX(0,StatusDate-ChangeLog[[#This Row],[Raised]]))</f>
        <v/>
      </c>
      <c r="M7" s="29"/>
      <c r="N7" s="24" t="str">
        <f aca="false">IF(N(ChangeLog[[#This Row],[Task UID]])=0,"",IFERROR(INDEX(tsk_Name,MATCH(ChangeLog[[#This Row],[Task UID]],tsk_UID,0)),"UID "&amp;ChangeLog[[#This Row],[Task UID]]&amp;" not found"))</f>
        <v/>
      </c>
    </row>
    <row r="8" customFormat="false" ht="15" hidden="false" customHeight="false" outlineLevel="0" collapsed="false">
      <c r="B8" s="29" t="n">
        <v>4</v>
      </c>
      <c r="C8" s="77"/>
      <c r="D8" s="30"/>
      <c r="E8" s="30"/>
      <c r="F8" s="30"/>
      <c r="G8" s="78"/>
      <c r="H8" s="79"/>
      <c r="I8" s="29"/>
      <c r="J8" s="77"/>
      <c r="K8" s="30"/>
      <c r="L8" s="43" t="str">
        <f aca="false">IF(OR(ChangeLog[[#This Row],[Title]]="",N(ChangeLog[[#This Row],[Raised]])=0,AND(ChangeLog[[#This Row],[Status]]&lt;&gt;"Submitted",ChangeLog[[#This Row],[Status]]&lt;&gt;"Under Review")),"",MAX(0,StatusDate-ChangeLog[[#This Row],[Raised]]))</f>
        <v/>
      </c>
      <c r="M8" s="29"/>
      <c r="N8" s="24" t="str">
        <f aca="false">IF(N(ChangeLog[[#This Row],[Task UID]])=0,"",IFERROR(INDEX(tsk_Name,MATCH(ChangeLog[[#This Row],[Task UID]],tsk_UID,0)),"UID "&amp;ChangeLog[[#This Row],[Task UID]]&amp;" not found"))</f>
        <v/>
      </c>
    </row>
    <row r="9" customFormat="false" ht="15" hidden="false" customHeight="false" outlineLevel="0" collapsed="false">
      <c r="B9" s="29" t="n">
        <v>5</v>
      </c>
      <c r="C9" s="77"/>
      <c r="D9" s="30"/>
      <c r="E9" s="30"/>
      <c r="F9" s="30"/>
      <c r="G9" s="78"/>
      <c r="H9" s="79"/>
      <c r="I9" s="29"/>
      <c r="J9" s="77"/>
      <c r="K9" s="30"/>
      <c r="L9" s="43" t="str">
        <f aca="false">IF(OR(ChangeLog[[#This Row],[Title]]="",N(ChangeLog[[#This Row],[Raised]])=0,AND(ChangeLog[[#This Row],[Status]]&lt;&gt;"Submitted",ChangeLog[[#This Row],[Status]]&lt;&gt;"Under Review")),"",MAX(0,StatusDate-ChangeLog[[#This Row],[Raised]]))</f>
        <v/>
      </c>
      <c r="M9" s="29"/>
      <c r="N9" s="24" t="str">
        <f aca="false">IF(N(ChangeLog[[#This Row],[Task UID]])=0,"",IFERROR(INDEX(tsk_Name,MATCH(ChangeLog[[#This Row],[Task UID]],tsk_UID,0)),"UID "&amp;ChangeLog[[#This Row],[Task UID]]&amp;" not found"))</f>
        <v/>
      </c>
    </row>
    <row r="10" customFormat="false" ht="15" hidden="false" customHeight="false" outlineLevel="0" collapsed="false">
      <c r="B10" s="29" t="n">
        <v>6</v>
      </c>
      <c r="C10" s="77"/>
      <c r="D10" s="30"/>
      <c r="E10" s="30"/>
      <c r="F10" s="30"/>
      <c r="G10" s="78"/>
      <c r="H10" s="79"/>
      <c r="I10" s="29"/>
      <c r="J10" s="77"/>
      <c r="K10" s="30"/>
      <c r="L10" s="43" t="str">
        <f aca="false">IF(OR(ChangeLog[[#This Row],[Title]]="",N(ChangeLog[[#This Row],[Raised]])=0,AND(ChangeLog[[#This Row],[Status]]&lt;&gt;"Submitted",ChangeLog[[#This Row],[Status]]&lt;&gt;"Under Review")),"",MAX(0,StatusDate-ChangeLog[[#This Row],[Raised]]))</f>
        <v/>
      </c>
      <c r="M10" s="29"/>
      <c r="N10" s="24" t="str">
        <f aca="false">IF(N(ChangeLog[[#This Row],[Task UID]])=0,"",IFERROR(INDEX(tsk_Name,MATCH(ChangeLog[[#This Row],[Task UID]],tsk_UID,0)),"UID "&amp;ChangeLog[[#This Row],[Task UID]]&amp;" not found"))</f>
        <v/>
      </c>
    </row>
    <row r="11" customFormat="false" ht="15" hidden="false" customHeight="false" outlineLevel="0" collapsed="false">
      <c r="B11" s="29" t="n">
        <v>7</v>
      </c>
      <c r="C11" s="77"/>
      <c r="D11" s="30"/>
      <c r="E11" s="30"/>
      <c r="F11" s="30"/>
      <c r="G11" s="78"/>
      <c r="H11" s="79"/>
      <c r="I11" s="29"/>
      <c r="J11" s="77"/>
      <c r="K11" s="30"/>
      <c r="L11" s="43" t="str">
        <f aca="false">IF(OR(ChangeLog[[#This Row],[Title]]="",N(ChangeLog[[#This Row],[Raised]])=0,AND(ChangeLog[[#This Row],[Status]]&lt;&gt;"Submitted",ChangeLog[[#This Row],[Status]]&lt;&gt;"Under Review")),"",MAX(0,StatusDate-ChangeLog[[#This Row],[Raised]]))</f>
        <v/>
      </c>
      <c r="M11" s="29"/>
      <c r="N11" s="24" t="str">
        <f aca="false">IF(N(ChangeLog[[#This Row],[Task UID]])=0,"",IFERROR(INDEX(tsk_Name,MATCH(ChangeLog[[#This Row],[Task UID]],tsk_UID,0)),"UID "&amp;ChangeLog[[#This Row],[Task UID]]&amp;" not found"))</f>
        <v/>
      </c>
    </row>
    <row r="12" customFormat="false" ht="15" hidden="false" customHeight="false" outlineLevel="0" collapsed="false">
      <c r="B12" s="29" t="n">
        <v>8</v>
      </c>
      <c r="C12" s="77"/>
      <c r="D12" s="30"/>
      <c r="E12" s="30"/>
      <c r="F12" s="30"/>
      <c r="G12" s="78"/>
      <c r="H12" s="79"/>
      <c r="I12" s="29"/>
      <c r="J12" s="77"/>
      <c r="K12" s="30"/>
      <c r="L12" s="43" t="str">
        <f aca="false">IF(OR(ChangeLog[[#This Row],[Title]]="",N(ChangeLog[[#This Row],[Raised]])=0,AND(ChangeLog[[#This Row],[Status]]&lt;&gt;"Submitted",ChangeLog[[#This Row],[Status]]&lt;&gt;"Under Review")),"",MAX(0,StatusDate-ChangeLog[[#This Row],[Raised]]))</f>
        <v/>
      </c>
      <c r="M12" s="29"/>
      <c r="N12" s="24" t="str">
        <f aca="false">IF(N(ChangeLog[[#This Row],[Task UID]])=0,"",IFERROR(INDEX(tsk_Name,MATCH(ChangeLog[[#This Row],[Task UID]],tsk_UID,0)),"UID "&amp;ChangeLog[[#This Row],[Task UID]]&amp;" not found"))</f>
        <v/>
      </c>
    </row>
    <row r="13" customFormat="false" ht="15" hidden="false" customHeight="false" outlineLevel="0" collapsed="false">
      <c r="B13" s="29" t="n">
        <v>9</v>
      </c>
      <c r="C13" s="77"/>
      <c r="D13" s="30"/>
      <c r="E13" s="30"/>
      <c r="F13" s="30"/>
      <c r="G13" s="78"/>
      <c r="H13" s="79"/>
      <c r="I13" s="29"/>
      <c r="J13" s="77"/>
      <c r="K13" s="30"/>
      <c r="L13" s="43" t="str">
        <f aca="false">IF(OR(ChangeLog[[#This Row],[Title]]="",N(ChangeLog[[#This Row],[Raised]])=0,AND(ChangeLog[[#This Row],[Status]]&lt;&gt;"Submitted",ChangeLog[[#This Row],[Status]]&lt;&gt;"Under Review")),"",MAX(0,StatusDate-ChangeLog[[#This Row],[Raised]]))</f>
        <v/>
      </c>
      <c r="M13" s="29"/>
      <c r="N13" s="24" t="str">
        <f aca="false">IF(N(ChangeLog[[#This Row],[Task UID]])=0,"",IFERROR(INDEX(tsk_Name,MATCH(ChangeLog[[#This Row],[Task UID]],tsk_UID,0)),"UID "&amp;ChangeLog[[#This Row],[Task UID]]&amp;" not found"))</f>
        <v/>
      </c>
    </row>
    <row r="14" customFormat="false" ht="15" hidden="false" customHeight="false" outlineLevel="0" collapsed="false">
      <c r="B14" s="29" t="n">
        <v>10</v>
      </c>
      <c r="C14" s="77"/>
      <c r="D14" s="30"/>
      <c r="E14" s="30"/>
      <c r="F14" s="30"/>
      <c r="G14" s="78"/>
      <c r="H14" s="79"/>
      <c r="I14" s="29"/>
      <c r="J14" s="77"/>
      <c r="K14" s="30"/>
      <c r="L14" s="43" t="str">
        <f aca="false">IF(OR(ChangeLog[[#This Row],[Title]]="",N(ChangeLog[[#This Row],[Raised]])=0,AND(ChangeLog[[#This Row],[Status]]&lt;&gt;"Submitted",ChangeLog[[#This Row],[Status]]&lt;&gt;"Under Review")),"",MAX(0,StatusDate-ChangeLog[[#This Row],[Raised]]))</f>
        <v/>
      </c>
      <c r="M14" s="29"/>
      <c r="N14" s="24" t="str">
        <f aca="false">IF(N(ChangeLog[[#This Row],[Task UID]])=0,"",IFERROR(INDEX(tsk_Name,MATCH(ChangeLog[[#This Row],[Task UID]],tsk_UID,0)),"UID "&amp;ChangeLog[[#This Row],[Task UID]]&amp;" not found"))</f>
        <v/>
      </c>
    </row>
    <row r="15" customFormat="false" ht="15" hidden="false" customHeight="false" outlineLevel="0" collapsed="false">
      <c r="B15" s="29" t="n">
        <v>11</v>
      </c>
      <c r="C15" s="77"/>
      <c r="D15" s="30"/>
      <c r="E15" s="30"/>
      <c r="F15" s="30"/>
      <c r="G15" s="78"/>
      <c r="H15" s="79"/>
      <c r="I15" s="29"/>
      <c r="J15" s="77"/>
      <c r="K15" s="30"/>
      <c r="L15" s="43" t="str">
        <f aca="false">IF(OR(ChangeLog[[#This Row],[Title]]="",N(ChangeLog[[#This Row],[Raised]])=0,AND(ChangeLog[[#This Row],[Status]]&lt;&gt;"Submitted",ChangeLog[[#This Row],[Status]]&lt;&gt;"Under Review")),"",MAX(0,StatusDate-ChangeLog[[#This Row],[Raised]]))</f>
        <v/>
      </c>
      <c r="M15" s="29"/>
      <c r="N15" s="24" t="str">
        <f aca="false">IF(N(ChangeLog[[#This Row],[Task UID]])=0,"",IFERROR(INDEX(tsk_Name,MATCH(ChangeLog[[#This Row],[Task UID]],tsk_UID,0)),"UID "&amp;ChangeLog[[#This Row],[Task UID]]&amp;" not found"))</f>
        <v/>
      </c>
    </row>
    <row r="16" customFormat="false" ht="15" hidden="false" customHeight="false" outlineLevel="0" collapsed="false">
      <c r="B16" s="29" t="n">
        <v>12</v>
      </c>
      <c r="C16" s="77"/>
      <c r="D16" s="30"/>
      <c r="E16" s="30"/>
      <c r="F16" s="30"/>
      <c r="G16" s="78"/>
      <c r="H16" s="79"/>
      <c r="I16" s="29"/>
      <c r="J16" s="77"/>
      <c r="K16" s="30"/>
      <c r="L16" s="43" t="str">
        <f aca="false">IF(OR(ChangeLog[[#This Row],[Title]]="",N(ChangeLog[[#This Row],[Raised]])=0,AND(ChangeLog[[#This Row],[Status]]&lt;&gt;"Submitted",ChangeLog[[#This Row],[Status]]&lt;&gt;"Under Review")),"",MAX(0,StatusDate-ChangeLog[[#This Row],[Raised]]))</f>
        <v/>
      </c>
      <c r="M16" s="29"/>
      <c r="N16" s="24" t="str">
        <f aca="false">IF(N(ChangeLog[[#This Row],[Task UID]])=0,"",IFERROR(INDEX(tsk_Name,MATCH(ChangeLog[[#This Row],[Task UID]],tsk_UID,0)),"UID "&amp;ChangeLog[[#This Row],[Task UID]]&amp;" not found"))</f>
        <v/>
      </c>
    </row>
    <row r="17" customFormat="false" ht="15" hidden="false" customHeight="false" outlineLevel="0" collapsed="false">
      <c r="B17" s="29" t="n">
        <v>13</v>
      </c>
      <c r="C17" s="77"/>
      <c r="D17" s="30"/>
      <c r="E17" s="30"/>
      <c r="F17" s="30"/>
      <c r="G17" s="78"/>
      <c r="H17" s="79"/>
      <c r="I17" s="29"/>
      <c r="J17" s="77"/>
      <c r="K17" s="30"/>
      <c r="L17" s="43" t="str">
        <f aca="false">IF(OR(ChangeLog[[#This Row],[Title]]="",N(ChangeLog[[#This Row],[Raised]])=0,AND(ChangeLog[[#This Row],[Status]]&lt;&gt;"Submitted",ChangeLog[[#This Row],[Status]]&lt;&gt;"Under Review")),"",MAX(0,StatusDate-ChangeLog[[#This Row],[Raised]]))</f>
        <v/>
      </c>
      <c r="M17" s="29"/>
      <c r="N17" s="24" t="str">
        <f aca="false">IF(N(ChangeLog[[#This Row],[Task UID]])=0,"",IFERROR(INDEX(tsk_Name,MATCH(ChangeLog[[#This Row],[Task UID]],tsk_UID,0)),"UID "&amp;ChangeLog[[#This Row],[Task UID]]&amp;" not found"))</f>
        <v/>
      </c>
    </row>
    <row r="18" customFormat="false" ht="15" hidden="false" customHeight="false" outlineLevel="0" collapsed="false">
      <c r="B18" s="29" t="n">
        <v>14</v>
      </c>
      <c r="C18" s="77"/>
      <c r="D18" s="30"/>
      <c r="E18" s="30"/>
      <c r="F18" s="30"/>
      <c r="G18" s="78"/>
      <c r="H18" s="79"/>
      <c r="I18" s="29"/>
      <c r="J18" s="77"/>
      <c r="K18" s="30"/>
      <c r="L18" s="43" t="str">
        <f aca="false">IF(OR(ChangeLog[[#This Row],[Title]]="",N(ChangeLog[[#This Row],[Raised]])=0,AND(ChangeLog[[#This Row],[Status]]&lt;&gt;"Submitted",ChangeLog[[#This Row],[Status]]&lt;&gt;"Under Review")),"",MAX(0,StatusDate-ChangeLog[[#This Row],[Raised]]))</f>
        <v/>
      </c>
      <c r="M18" s="29"/>
      <c r="N18" s="24" t="str">
        <f aca="false">IF(N(ChangeLog[[#This Row],[Task UID]])=0,"",IFERROR(INDEX(tsk_Name,MATCH(ChangeLog[[#This Row],[Task UID]],tsk_UID,0)),"UID "&amp;ChangeLog[[#This Row],[Task UID]]&amp;" not found"))</f>
        <v/>
      </c>
    </row>
    <row r="19" customFormat="false" ht="15" hidden="false" customHeight="false" outlineLevel="0" collapsed="false">
      <c r="B19" s="29" t="n">
        <v>15</v>
      </c>
      <c r="C19" s="77"/>
      <c r="D19" s="30"/>
      <c r="E19" s="30"/>
      <c r="F19" s="30"/>
      <c r="G19" s="78"/>
      <c r="H19" s="79"/>
      <c r="I19" s="29"/>
      <c r="J19" s="77"/>
      <c r="K19" s="30"/>
      <c r="L19" s="43" t="str">
        <f aca="false">IF(OR(ChangeLog[[#This Row],[Title]]="",N(ChangeLog[[#This Row],[Raised]])=0,AND(ChangeLog[[#This Row],[Status]]&lt;&gt;"Submitted",ChangeLog[[#This Row],[Status]]&lt;&gt;"Under Review")),"",MAX(0,StatusDate-ChangeLog[[#This Row],[Raised]]))</f>
        <v/>
      </c>
      <c r="M19" s="29"/>
      <c r="N19" s="24" t="str">
        <f aca="false">IF(N(ChangeLog[[#This Row],[Task UID]])=0,"",IFERROR(INDEX(tsk_Name,MATCH(ChangeLog[[#This Row],[Task UID]],tsk_UID,0)),"UID "&amp;ChangeLog[[#This Row],[Task UID]]&amp;" not found"))</f>
        <v/>
      </c>
    </row>
    <row r="20" customFormat="false" ht="15" hidden="false" customHeight="false" outlineLevel="0" collapsed="false">
      <c r="B20" s="29" t="n">
        <v>16</v>
      </c>
      <c r="C20" s="77"/>
      <c r="D20" s="30"/>
      <c r="E20" s="30"/>
      <c r="F20" s="30"/>
      <c r="G20" s="78"/>
      <c r="H20" s="79"/>
      <c r="I20" s="29"/>
      <c r="J20" s="77"/>
      <c r="K20" s="30"/>
      <c r="L20" s="43" t="str">
        <f aca="false">IF(OR(ChangeLog[[#This Row],[Title]]="",N(ChangeLog[[#This Row],[Raised]])=0,AND(ChangeLog[[#This Row],[Status]]&lt;&gt;"Submitted",ChangeLog[[#This Row],[Status]]&lt;&gt;"Under Review")),"",MAX(0,StatusDate-ChangeLog[[#This Row],[Raised]]))</f>
        <v/>
      </c>
      <c r="M20" s="29"/>
      <c r="N20" s="24" t="str">
        <f aca="false">IF(N(ChangeLog[[#This Row],[Task UID]])=0,"",IFERROR(INDEX(tsk_Name,MATCH(ChangeLog[[#This Row],[Task UID]],tsk_UID,0)),"UID "&amp;ChangeLog[[#This Row],[Task UID]]&amp;" not found"))</f>
        <v/>
      </c>
    </row>
    <row r="21" customFormat="false" ht="15" hidden="false" customHeight="false" outlineLevel="0" collapsed="false">
      <c r="B21" s="29" t="n">
        <v>17</v>
      </c>
      <c r="C21" s="77"/>
      <c r="D21" s="30"/>
      <c r="E21" s="30"/>
      <c r="F21" s="30"/>
      <c r="G21" s="78"/>
      <c r="H21" s="79"/>
      <c r="I21" s="29"/>
      <c r="J21" s="77"/>
      <c r="K21" s="30"/>
      <c r="L21" s="43" t="str">
        <f aca="false">IF(OR(ChangeLog[[#This Row],[Title]]="",N(ChangeLog[[#This Row],[Raised]])=0,AND(ChangeLog[[#This Row],[Status]]&lt;&gt;"Submitted",ChangeLog[[#This Row],[Status]]&lt;&gt;"Under Review")),"",MAX(0,StatusDate-ChangeLog[[#This Row],[Raised]]))</f>
        <v/>
      </c>
      <c r="M21" s="29"/>
      <c r="N21" s="24" t="str">
        <f aca="false">IF(N(ChangeLog[[#This Row],[Task UID]])=0,"",IFERROR(INDEX(tsk_Name,MATCH(ChangeLog[[#This Row],[Task UID]],tsk_UID,0)),"UID "&amp;ChangeLog[[#This Row],[Task UID]]&amp;" not found"))</f>
        <v/>
      </c>
    </row>
    <row r="22" customFormat="false" ht="15" hidden="false" customHeight="false" outlineLevel="0" collapsed="false">
      <c r="B22" s="29" t="n">
        <v>18</v>
      </c>
      <c r="C22" s="77"/>
      <c r="D22" s="30"/>
      <c r="E22" s="30"/>
      <c r="F22" s="30"/>
      <c r="G22" s="78"/>
      <c r="H22" s="79"/>
      <c r="I22" s="29"/>
      <c r="J22" s="77"/>
      <c r="K22" s="30"/>
      <c r="L22" s="43" t="str">
        <f aca="false">IF(OR(ChangeLog[[#This Row],[Title]]="",N(ChangeLog[[#This Row],[Raised]])=0,AND(ChangeLog[[#This Row],[Status]]&lt;&gt;"Submitted",ChangeLog[[#This Row],[Status]]&lt;&gt;"Under Review")),"",MAX(0,StatusDate-ChangeLog[[#This Row],[Raised]]))</f>
        <v/>
      </c>
      <c r="M22" s="29"/>
      <c r="N22" s="24" t="str">
        <f aca="false">IF(N(ChangeLog[[#This Row],[Task UID]])=0,"",IFERROR(INDEX(tsk_Name,MATCH(ChangeLog[[#This Row],[Task UID]],tsk_UID,0)),"UID "&amp;ChangeLog[[#This Row],[Task UID]]&amp;" not found"))</f>
        <v/>
      </c>
    </row>
    <row r="23" customFormat="false" ht="15" hidden="false" customHeight="false" outlineLevel="0" collapsed="false">
      <c r="B23" s="29" t="n">
        <v>19</v>
      </c>
      <c r="C23" s="77"/>
      <c r="D23" s="30"/>
      <c r="E23" s="30"/>
      <c r="F23" s="30"/>
      <c r="G23" s="78"/>
      <c r="H23" s="79"/>
      <c r="I23" s="29"/>
      <c r="J23" s="77"/>
      <c r="K23" s="30"/>
      <c r="L23" s="43" t="str">
        <f aca="false">IF(OR(ChangeLog[[#This Row],[Title]]="",N(ChangeLog[[#This Row],[Raised]])=0,AND(ChangeLog[[#This Row],[Status]]&lt;&gt;"Submitted",ChangeLog[[#This Row],[Status]]&lt;&gt;"Under Review")),"",MAX(0,StatusDate-ChangeLog[[#This Row],[Raised]]))</f>
        <v/>
      </c>
      <c r="M23" s="29"/>
      <c r="N23" s="24" t="str">
        <f aca="false">IF(N(ChangeLog[[#This Row],[Task UID]])=0,"",IFERROR(INDEX(tsk_Name,MATCH(ChangeLog[[#This Row],[Task UID]],tsk_UID,0)),"UID "&amp;ChangeLog[[#This Row],[Task UID]]&amp;" not found"))</f>
        <v/>
      </c>
    </row>
    <row r="24" customFormat="false" ht="15" hidden="false" customHeight="false" outlineLevel="0" collapsed="false">
      <c r="B24" s="29" t="n">
        <v>20</v>
      </c>
      <c r="C24" s="77"/>
      <c r="D24" s="30"/>
      <c r="E24" s="30"/>
      <c r="F24" s="30"/>
      <c r="G24" s="78"/>
      <c r="H24" s="79"/>
      <c r="I24" s="29"/>
      <c r="J24" s="77"/>
      <c r="K24" s="30"/>
      <c r="L24" s="43" t="str">
        <f aca="false">IF(OR(ChangeLog[[#This Row],[Title]]="",N(ChangeLog[[#This Row],[Raised]])=0,AND(ChangeLog[[#This Row],[Status]]&lt;&gt;"Submitted",ChangeLog[[#This Row],[Status]]&lt;&gt;"Under Review")),"",MAX(0,StatusDate-ChangeLog[[#This Row],[Raised]]))</f>
        <v/>
      </c>
      <c r="M24" s="29"/>
      <c r="N24" s="24" t="str">
        <f aca="false">IF(N(ChangeLog[[#This Row],[Task UID]])=0,"",IFERROR(INDEX(tsk_Name,MATCH(ChangeLog[[#This Row],[Task UID]],tsk_UID,0)),"UID "&amp;ChangeLog[[#This Row],[Task UID]]&amp;" not found"))</f>
        <v/>
      </c>
    </row>
    <row r="25" customFormat="false" ht="15" hidden="false" customHeight="false" outlineLevel="0" collapsed="false">
      <c r="B25" s="29" t="n">
        <v>21</v>
      </c>
      <c r="C25" s="77"/>
      <c r="D25" s="30"/>
      <c r="E25" s="30"/>
      <c r="F25" s="30"/>
      <c r="G25" s="78"/>
      <c r="H25" s="79"/>
      <c r="I25" s="29"/>
      <c r="J25" s="77"/>
      <c r="K25" s="30"/>
      <c r="L25" s="43" t="str">
        <f aca="false">IF(OR(ChangeLog[[#This Row],[Title]]="",N(ChangeLog[[#This Row],[Raised]])=0,AND(ChangeLog[[#This Row],[Status]]&lt;&gt;"Submitted",ChangeLog[[#This Row],[Status]]&lt;&gt;"Under Review")),"",MAX(0,StatusDate-ChangeLog[[#This Row],[Raised]]))</f>
        <v/>
      </c>
      <c r="M25" s="29"/>
      <c r="N25" s="24" t="str">
        <f aca="false">IF(N(ChangeLog[[#This Row],[Task UID]])=0,"",IFERROR(INDEX(tsk_Name,MATCH(ChangeLog[[#This Row],[Task UID]],tsk_UID,0)),"UID "&amp;ChangeLog[[#This Row],[Task UID]]&amp;" not found"))</f>
        <v/>
      </c>
    </row>
    <row r="26" customFormat="false" ht="15" hidden="false" customHeight="false" outlineLevel="0" collapsed="false">
      <c r="B26" s="29" t="n">
        <v>22</v>
      </c>
      <c r="C26" s="77"/>
      <c r="D26" s="30"/>
      <c r="E26" s="30"/>
      <c r="F26" s="30"/>
      <c r="G26" s="78"/>
      <c r="H26" s="79"/>
      <c r="I26" s="29"/>
      <c r="J26" s="77"/>
      <c r="K26" s="30"/>
      <c r="L26" s="43" t="str">
        <f aca="false">IF(OR(ChangeLog[[#This Row],[Title]]="",N(ChangeLog[[#This Row],[Raised]])=0,AND(ChangeLog[[#This Row],[Status]]&lt;&gt;"Submitted",ChangeLog[[#This Row],[Status]]&lt;&gt;"Under Review")),"",MAX(0,StatusDate-ChangeLog[[#This Row],[Raised]]))</f>
        <v/>
      </c>
      <c r="M26" s="29"/>
      <c r="N26" s="24" t="str">
        <f aca="false">IF(N(ChangeLog[[#This Row],[Task UID]])=0,"",IFERROR(INDEX(tsk_Name,MATCH(ChangeLog[[#This Row],[Task UID]],tsk_UID,0)),"UID "&amp;ChangeLog[[#This Row],[Task UID]]&amp;" not found"))</f>
        <v/>
      </c>
    </row>
    <row r="27" customFormat="false" ht="15" hidden="false" customHeight="false" outlineLevel="0" collapsed="false">
      <c r="B27" s="29" t="n">
        <v>23</v>
      </c>
      <c r="C27" s="77"/>
      <c r="D27" s="30"/>
      <c r="E27" s="30"/>
      <c r="F27" s="30"/>
      <c r="G27" s="78"/>
      <c r="H27" s="79"/>
      <c r="I27" s="29"/>
      <c r="J27" s="77"/>
      <c r="K27" s="30"/>
      <c r="L27" s="43" t="str">
        <f aca="false">IF(OR(ChangeLog[[#This Row],[Title]]="",N(ChangeLog[[#This Row],[Raised]])=0,AND(ChangeLog[[#This Row],[Status]]&lt;&gt;"Submitted",ChangeLog[[#This Row],[Status]]&lt;&gt;"Under Review")),"",MAX(0,StatusDate-ChangeLog[[#This Row],[Raised]]))</f>
        <v/>
      </c>
      <c r="M27" s="29"/>
      <c r="N27" s="24" t="str">
        <f aca="false">IF(N(ChangeLog[[#This Row],[Task UID]])=0,"",IFERROR(INDEX(tsk_Name,MATCH(ChangeLog[[#This Row],[Task UID]],tsk_UID,0)),"UID "&amp;ChangeLog[[#This Row],[Task UID]]&amp;" not found"))</f>
        <v/>
      </c>
    </row>
    <row r="28" customFormat="false" ht="15" hidden="false" customHeight="false" outlineLevel="0" collapsed="false">
      <c r="B28" s="29" t="n">
        <v>24</v>
      </c>
      <c r="C28" s="77"/>
      <c r="D28" s="30"/>
      <c r="E28" s="30"/>
      <c r="F28" s="30"/>
      <c r="G28" s="78"/>
      <c r="H28" s="79"/>
      <c r="I28" s="29"/>
      <c r="J28" s="77"/>
      <c r="K28" s="30"/>
      <c r="L28" s="43" t="str">
        <f aca="false">IF(OR(ChangeLog[[#This Row],[Title]]="",N(ChangeLog[[#This Row],[Raised]])=0,AND(ChangeLog[[#This Row],[Status]]&lt;&gt;"Submitted",ChangeLog[[#This Row],[Status]]&lt;&gt;"Under Review")),"",MAX(0,StatusDate-ChangeLog[[#This Row],[Raised]]))</f>
        <v/>
      </c>
      <c r="M28" s="29"/>
      <c r="N28" s="24" t="str">
        <f aca="false">IF(N(ChangeLog[[#This Row],[Task UID]])=0,"",IFERROR(INDEX(tsk_Name,MATCH(ChangeLog[[#This Row],[Task UID]],tsk_UID,0)),"UID "&amp;ChangeLog[[#This Row],[Task UID]]&amp;" not found"))</f>
        <v/>
      </c>
    </row>
    <row r="29" customFormat="false" ht="15" hidden="false" customHeight="false" outlineLevel="0" collapsed="false">
      <c r="B29" s="29" t="n">
        <v>25</v>
      </c>
      <c r="C29" s="77"/>
      <c r="D29" s="30"/>
      <c r="E29" s="30"/>
      <c r="F29" s="30"/>
      <c r="G29" s="78"/>
      <c r="H29" s="79"/>
      <c r="I29" s="29"/>
      <c r="J29" s="77"/>
      <c r="K29" s="30"/>
      <c r="L29" s="43" t="str">
        <f aca="false">IF(OR(ChangeLog[[#This Row],[Title]]="",N(ChangeLog[[#This Row],[Raised]])=0,AND(ChangeLog[[#This Row],[Status]]&lt;&gt;"Submitted",ChangeLog[[#This Row],[Status]]&lt;&gt;"Under Review")),"",MAX(0,StatusDate-ChangeLog[[#This Row],[Raised]]))</f>
        <v/>
      </c>
      <c r="M29" s="29"/>
      <c r="N29" s="24" t="str">
        <f aca="false">IF(N(ChangeLog[[#This Row],[Task UID]])=0,"",IFERROR(INDEX(tsk_Name,MATCH(ChangeLog[[#This Row],[Task UID]],tsk_UID,0)),"UID "&amp;ChangeLog[[#This Row],[Task UID]]&amp;" not found"))</f>
        <v/>
      </c>
    </row>
    <row r="30" customFormat="false" ht="15" hidden="false" customHeight="false" outlineLevel="0" collapsed="false">
      <c r="B30" s="29" t="n">
        <v>26</v>
      </c>
      <c r="C30" s="77"/>
      <c r="D30" s="30"/>
      <c r="E30" s="30"/>
      <c r="F30" s="30"/>
      <c r="G30" s="78"/>
      <c r="H30" s="79"/>
      <c r="I30" s="29"/>
      <c r="J30" s="77"/>
      <c r="K30" s="30"/>
      <c r="L30" s="43" t="str">
        <f aca="false">IF(OR(ChangeLog[[#This Row],[Title]]="",N(ChangeLog[[#This Row],[Raised]])=0,AND(ChangeLog[[#This Row],[Status]]&lt;&gt;"Submitted",ChangeLog[[#This Row],[Status]]&lt;&gt;"Under Review")),"",MAX(0,StatusDate-ChangeLog[[#This Row],[Raised]]))</f>
        <v/>
      </c>
      <c r="M30" s="29"/>
      <c r="N30" s="24" t="str">
        <f aca="false">IF(N(ChangeLog[[#This Row],[Task UID]])=0,"",IFERROR(INDEX(tsk_Name,MATCH(ChangeLog[[#This Row],[Task UID]],tsk_UID,0)),"UID "&amp;ChangeLog[[#This Row],[Task UID]]&amp;" not found"))</f>
        <v/>
      </c>
    </row>
    <row r="31" customFormat="false" ht="15" hidden="false" customHeight="false" outlineLevel="0" collapsed="false">
      <c r="B31" s="29" t="n">
        <v>27</v>
      </c>
      <c r="C31" s="77"/>
      <c r="D31" s="30"/>
      <c r="E31" s="30"/>
      <c r="F31" s="30"/>
      <c r="G31" s="78"/>
      <c r="H31" s="79"/>
      <c r="I31" s="29"/>
      <c r="J31" s="77"/>
      <c r="K31" s="30"/>
      <c r="L31" s="43" t="str">
        <f aca="false">IF(OR(ChangeLog[[#This Row],[Title]]="",N(ChangeLog[[#This Row],[Raised]])=0,AND(ChangeLog[[#This Row],[Status]]&lt;&gt;"Submitted",ChangeLog[[#This Row],[Status]]&lt;&gt;"Under Review")),"",MAX(0,StatusDate-ChangeLog[[#This Row],[Raised]]))</f>
        <v/>
      </c>
      <c r="M31" s="29"/>
      <c r="N31" s="24" t="str">
        <f aca="false">IF(N(ChangeLog[[#This Row],[Task UID]])=0,"",IFERROR(INDEX(tsk_Name,MATCH(ChangeLog[[#This Row],[Task UID]],tsk_UID,0)),"UID "&amp;ChangeLog[[#This Row],[Task UID]]&amp;" not found"))</f>
        <v/>
      </c>
    </row>
    <row r="32" customFormat="false" ht="15" hidden="false" customHeight="false" outlineLevel="0" collapsed="false">
      <c r="B32" s="29" t="n">
        <v>28</v>
      </c>
      <c r="C32" s="77"/>
      <c r="D32" s="30"/>
      <c r="E32" s="30"/>
      <c r="F32" s="30"/>
      <c r="G32" s="78"/>
      <c r="H32" s="79"/>
      <c r="I32" s="29"/>
      <c r="J32" s="77"/>
      <c r="K32" s="30"/>
      <c r="L32" s="43" t="str">
        <f aca="false">IF(OR(ChangeLog[[#This Row],[Title]]="",N(ChangeLog[[#This Row],[Raised]])=0,AND(ChangeLog[[#This Row],[Status]]&lt;&gt;"Submitted",ChangeLog[[#This Row],[Status]]&lt;&gt;"Under Review")),"",MAX(0,StatusDate-ChangeLog[[#This Row],[Raised]]))</f>
        <v/>
      </c>
      <c r="M32" s="29"/>
      <c r="N32" s="24" t="str">
        <f aca="false">IF(N(ChangeLog[[#This Row],[Task UID]])=0,"",IFERROR(INDEX(tsk_Name,MATCH(ChangeLog[[#This Row],[Task UID]],tsk_UID,0)),"UID "&amp;ChangeLog[[#This Row],[Task UID]]&amp;" not found"))</f>
        <v/>
      </c>
    </row>
    <row r="33" customFormat="false" ht="15" hidden="false" customHeight="false" outlineLevel="0" collapsed="false">
      <c r="B33" s="29" t="n">
        <v>29</v>
      </c>
      <c r="C33" s="77"/>
      <c r="D33" s="30"/>
      <c r="E33" s="30"/>
      <c r="F33" s="30"/>
      <c r="G33" s="78"/>
      <c r="H33" s="79"/>
      <c r="I33" s="29"/>
      <c r="J33" s="77"/>
      <c r="K33" s="30"/>
      <c r="L33" s="43" t="str">
        <f aca="false">IF(OR(ChangeLog[[#This Row],[Title]]="",N(ChangeLog[[#This Row],[Raised]])=0,AND(ChangeLog[[#This Row],[Status]]&lt;&gt;"Submitted",ChangeLog[[#This Row],[Status]]&lt;&gt;"Under Review")),"",MAX(0,StatusDate-ChangeLog[[#This Row],[Raised]]))</f>
        <v/>
      </c>
      <c r="M33" s="29"/>
      <c r="N33" s="24" t="str">
        <f aca="false">IF(N(ChangeLog[[#This Row],[Task UID]])=0,"",IFERROR(INDEX(tsk_Name,MATCH(ChangeLog[[#This Row],[Task UID]],tsk_UID,0)),"UID "&amp;ChangeLog[[#This Row],[Task UID]]&amp;" not found"))</f>
        <v/>
      </c>
    </row>
    <row r="34" customFormat="false" ht="15" hidden="false" customHeight="false" outlineLevel="0" collapsed="false">
      <c r="B34" s="29" t="n">
        <v>30</v>
      </c>
      <c r="C34" s="77"/>
      <c r="D34" s="30"/>
      <c r="E34" s="30"/>
      <c r="F34" s="30"/>
      <c r="G34" s="78"/>
      <c r="H34" s="79"/>
      <c r="I34" s="29"/>
      <c r="J34" s="77"/>
      <c r="K34" s="30"/>
      <c r="L34" s="43" t="str">
        <f aca="false">IF(OR(ChangeLog[[#This Row],[Title]]="",N(ChangeLog[[#This Row],[Raised]])=0,AND(ChangeLog[[#This Row],[Status]]&lt;&gt;"Submitted",ChangeLog[[#This Row],[Status]]&lt;&gt;"Under Review")),"",MAX(0,StatusDate-ChangeLog[[#This Row],[Raised]]))</f>
        <v/>
      </c>
      <c r="M34" s="29"/>
      <c r="N34" s="24" t="str">
        <f aca="false">IF(N(ChangeLog[[#This Row],[Task UID]])=0,"",IFERROR(INDEX(tsk_Name,MATCH(ChangeLog[[#This Row],[Task UID]],tsk_UID,0)),"UID "&amp;ChangeLog[[#This Row],[Task UID]]&amp;" not found"))</f>
        <v/>
      </c>
    </row>
    <row r="35" customFormat="false" ht="15" hidden="false" customHeight="false" outlineLevel="0" collapsed="false">
      <c r="B35" s="29" t="n">
        <v>31</v>
      </c>
      <c r="C35" s="77"/>
      <c r="D35" s="30"/>
      <c r="E35" s="30"/>
      <c r="F35" s="30"/>
      <c r="G35" s="78"/>
      <c r="H35" s="79"/>
      <c r="I35" s="29"/>
      <c r="J35" s="77"/>
      <c r="K35" s="30"/>
      <c r="L35" s="43" t="str">
        <f aca="false">IF(OR(ChangeLog[[#This Row],[Title]]="",N(ChangeLog[[#This Row],[Raised]])=0,AND(ChangeLog[[#This Row],[Status]]&lt;&gt;"Submitted",ChangeLog[[#This Row],[Status]]&lt;&gt;"Under Review")),"",MAX(0,StatusDate-ChangeLog[[#This Row],[Raised]]))</f>
        <v/>
      </c>
      <c r="M35" s="29"/>
      <c r="N35" s="24" t="str">
        <f aca="false">IF(N(ChangeLog[[#This Row],[Task UID]])=0,"",IFERROR(INDEX(tsk_Name,MATCH(ChangeLog[[#This Row],[Task UID]],tsk_UID,0)),"UID "&amp;ChangeLog[[#This Row],[Task UID]]&amp;" not found"))</f>
        <v/>
      </c>
    </row>
    <row r="36" customFormat="false" ht="15" hidden="false" customHeight="false" outlineLevel="0" collapsed="false">
      <c r="B36" s="29" t="n">
        <v>32</v>
      </c>
      <c r="C36" s="77"/>
      <c r="D36" s="30"/>
      <c r="E36" s="30"/>
      <c r="F36" s="30"/>
      <c r="G36" s="78"/>
      <c r="H36" s="79"/>
      <c r="I36" s="29"/>
      <c r="J36" s="77"/>
      <c r="K36" s="30"/>
      <c r="L36" s="43" t="str">
        <f aca="false">IF(OR(ChangeLog[[#This Row],[Title]]="",N(ChangeLog[[#This Row],[Raised]])=0,AND(ChangeLog[[#This Row],[Status]]&lt;&gt;"Submitted",ChangeLog[[#This Row],[Status]]&lt;&gt;"Under Review")),"",MAX(0,StatusDate-ChangeLog[[#This Row],[Raised]]))</f>
        <v/>
      </c>
      <c r="M36" s="29"/>
      <c r="N36" s="24" t="str">
        <f aca="false">IF(N(ChangeLog[[#This Row],[Task UID]])=0,"",IFERROR(INDEX(tsk_Name,MATCH(ChangeLog[[#This Row],[Task UID]],tsk_UID,0)),"UID "&amp;ChangeLog[[#This Row],[Task UID]]&amp;" not found"))</f>
        <v/>
      </c>
    </row>
    <row r="37" customFormat="false" ht="15" hidden="false" customHeight="false" outlineLevel="0" collapsed="false">
      <c r="B37" s="29" t="n">
        <v>33</v>
      </c>
      <c r="C37" s="77"/>
      <c r="D37" s="30"/>
      <c r="E37" s="30"/>
      <c r="F37" s="30"/>
      <c r="G37" s="78"/>
      <c r="H37" s="79"/>
      <c r="I37" s="29"/>
      <c r="J37" s="77"/>
      <c r="K37" s="30"/>
      <c r="L37" s="43" t="str">
        <f aca="false">IF(OR(ChangeLog[[#This Row],[Title]]="",N(ChangeLog[[#This Row],[Raised]])=0,AND(ChangeLog[[#This Row],[Status]]&lt;&gt;"Submitted",ChangeLog[[#This Row],[Status]]&lt;&gt;"Under Review")),"",MAX(0,StatusDate-ChangeLog[[#This Row],[Raised]]))</f>
        <v/>
      </c>
      <c r="M37" s="29"/>
      <c r="N37" s="24" t="str">
        <f aca="false">IF(N(ChangeLog[[#This Row],[Task UID]])=0,"",IFERROR(INDEX(tsk_Name,MATCH(ChangeLog[[#This Row],[Task UID]],tsk_UID,0)),"UID "&amp;ChangeLog[[#This Row],[Task UID]]&amp;" not found"))</f>
        <v/>
      </c>
    </row>
    <row r="38" customFormat="false" ht="15" hidden="false" customHeight="false" outlineLevel="0" collapsed="false">
      <c r="B38" s="29" t="n">
        <v>34</v>
      </c>
      <c r="C38" s="77"/>
      <c r="D38" s="30"/>
      <c r="E38" s="30"/>
      <c r="F38" s="30"/>
      <c r="G38" s="78"/>
      <c r="H38" s="79"/>
      <c r="I38" s="29"/>
      <c r="J38" s="77"/>
      <c r="K38" s="30"/>
      <c r="L38" s="43" t="str">
        <f aca="false">IF(OR(ChangeLog[[#This Row],[Title]]="",N(ChangeLog[[#This Row],[Raised]])=0,AND(ChangeLog[[#This Row],[Status]]&lt;&gt;"Submitted",ChangeLog[[#This Row],[Status]]&lt;&gt;"Under Review")),"",MAX(0,StatusDate-ChangeLog[[#This Row],[Raised]]))</f>
        <v/>
      </c>
      <c r="M38" s="29"/>
      <c r="N38" s="24" t="str">
        <f aca="false">IF(N(ChangeLog[[#This Row],[Task UID]])=0,"",IFERROR(INDEX(tsk_Name,MATCH(ChangeLog[[#This Row],[Task UID]],tsk_UID,0)),"UID "&amp;ChangeLog[[#This Row],[Task UID]]&amp;" not found"))</f>
        <v/>
      </c>
    </row>
    <row r="39" customFormat="false" ht="15" hidden="false" customHeight="false" outlineLevel="0" collapsed="false">
      <c r="B39" s="29" t="n">
        <v>35</v>
      </c>
      <c r="C39" s="77"/>
      <c r="D39" s="30"/>
      <c r="E39" s="30"/>
      <c r="F39" s="30"/>
      <c r="G39" s="78"/>
      <c r="H39" s="79"/>
      <c r="I39" s="29"/>
      <c r="J39" s="77"/>
      <c r="K39" s="30"/>
      <c r="L39" s="43" t="str">
        <f aca="false">IF(OR(ChangeLog[[#This Row],[Title]]="",N(ChangeLog[[#This Row],[Raised]])=0,AND(ChangeLog[[#This Row],[Status]]&lt;&gt;"Submitted",ChangeLog[[#This Row],[Status]]&lt;&gt;"Under Review")),"",MAX(0,StatusDate-ChangeLog[[#This Row],[Raised]]))</f>
        <v/>
      </c>
      <c r="M39" s="29"/>
      <c r="N39" s="24" t="str">
        <f aca="false">IF(N(ChangeLog[[#This Row],[Task UID]])=0,"",IFERROR(INDEX(tsk_Name,MATCH(ChangeLog[[#This Row],[Task UID]],tsk_UID,0)),"UID "&amp;ChangeLog[[#This Row],[Task UID]]&amp;" not found"))</f>
        <v/>
      </c>
    </row>
    <row r="40" customFormat="false" ht="15" hidden="false" customHeight="false" outlineLevel="0" collapsed="false">
      <c r="B40" s="29" t="n">
        <v>36</v>
      </c>
      <c r="C40" s="77"/>
      <c r="D40" s="30"/>
      <c r="E40" s="30"/>
      <c r="F40" s="30"/>
      <c r="G40" s="78"/>
      <c r="H40" s="79"/>
      <c r="I40" s="29"/>
      <c r="J40" s="77"/>
      <c r="K40" s="30"/>
      <c r="L40" s="43" t="str">
        <f aca="false">IF(OR(ChangeLog[[#This Row],[Title]]="",N(ChangeLog[[#This Row],[Raised]])=0,AND(ChangeLog[[#This Row],[Status]]&lt;&gt;"Submitted",ChangeLog[[#This Row],[Status]]&lt;&gt;"Under Review")),"",MAX(0,StatusDate-ChangeLog[[#This Row],[Raised]]))</f>
        <v/>
      </c>
      <c r="M40" s="29"/>
      <c r="N40" s="24" t="str">
        <f aca="false">IF(N(ChangeLog[[#This Row],[Task UID]])=0,"",IFERROR(INDEX(tsk_Name,MATCH(ChangeLog[[#This Row],[Task UID]],tsk_UID,0)),"UID "&amp;ChangeLog[[#This Row],[Task UID]]&amp;" not found"))</f>
        <v/>
      </c>
    </row>
    <row r="41" customFormat="false" ht="15" hidden="false" customHeight="false" outlineLevel="0" collapsed="false">
      <c r="B41" s="29" t="n">
        <v>37</v>
      </c>
      <c r="C41" s="77"/>
      <c r="D41" s="30"/>
      <c r="E41" s="30"/>
      <c r="F41" s="30"/>
      <c r="G41" s="78"/>
      <c r="H41" s="79"/>
      <c r="I41" s="29"/>
      <c r="J41" s="77"/>
      <c r="K41" s="30"/>
      <c r="L41" s="43" t="str">
        <f aca="false">IF(OR(ChangeLog[[#This Row],[Title]]="",N(ChangeLog[[#This Row],[Raised]])=0,AND(ChangeLog[[#This Row],[Status]]&lt;&gt;"Submitted",ChangeLog[[#This Row],[Status]]&lt;&gt;"Under Review")),"",MAX(0,StatusDate-ChangeLog[[#This Row],[Raised]]))</f>
        <v/>
      </c>
      <c r="M41" s="29"/>
      <c r="N41" s="24" t="str">
        <f aca="false">IF(N(ChangeLog[[#This Row],[Task UID]])=0,"",IFERROR(INDEX(tsk_Name,MATCH(ChangeLog[[#This Row],[Task UID]],tsk_UID,0)),"UID "&amp;ChangeLog[[#This Row],[Task UID]]&amp;" not found"))</f>
        <v/>
      </c>
    </row>
    <row r="42" customFormat="false" ht="15" hidden="false" customHeight="false" outlineLevel="0" collapsed="false">
      <c r="B42" s="29" t="n">
        <v>38</v>
      </c>
      <c r="C42" s="77"/>
      <c r="D42" s="30"/>
      <c r="E42" s="30"/>
      <c r="F42" s="30"/>
      <c r="G42" s="78"/>
      <c r="H42" s="79"/>
      <c r="I42" s="29"/>
      <c r="J42" s="77"/>
      <c r="K42" s="30"/>
      <c r="L42" s="43" t="str">
        <f aca="false">IF(OR(ChangeLog[[#This Row],[Title]]="",N(ChangeLog[[#This Row],[Raised]])=0,AND(ChangeLog[[#This Row],[Status]]&lt;&gt;"Submitted",ChangeLog[[#This Row],[Status]]&lt;&gt;"Under Review")),"",MAX(0,StatusDate-ChangeLog[[#This Row],[Raised]]))</f>
        <v/>
      </c>
      <c r="M42" s="29"/>
      <c r="N42" s="24" t="str">
        <f aca="false">IF(N(ChangeLog[[#This Row],[Task UID]])=0,"",IFERROR(INDEX(tsk_Name,MATCH(ChangeLog[[#This Row],[Task UID]],tsk_UID,0)),"UID "&amp;ChangeLog[[#This Row],[Task UID]]&amp;" not found"))</f>
        <v/>
      </c>
    </row>
    <row r="43" customFormat="false" ht="15" hidden="false" customHeight="false" outlineLevel="0" collapsed="false">
      <c r="B43" s="29" t="n">
        <v>39</v>
      </c>
      <c r="C43" s="77"/>
      <c r="D43" s="30"/>
      <c r="E43" s="30"/>
      <c r="F43" s="30"/>
      <c r="G43" s="78"/>
      <c r="H43" s="79"/>
      <c r="I43" s="29"/>
      <c r="J43" s="77"/>
      <c r="K43" s="30"/>
      <c r="L43" s="43" t="str">
        <f aca="false">IF(OR(ChangeLog[[#This Row],[Title]]="",N(ChangeLog[[#This Row],[Raised]])=0,AND(ChangeLog[[#This Row],[Status]]&lt;&gt;"Submitted",ChangeLog[[#This Row],[Status]]&lt;&gt;"Under Review")),"",MAX(0,StatusDate-ChangeLog[[#This Row],[Raised]]))</f>
        <v/>
      </c>
      <c r="M43" s="29"/>
      <c r="N43" s="24" t="str">
        <f aca="false">IF(N(ChangeLog[[#This Row],[Task UID]])=0,"",IFERROR(INDEX(tsk_Name,MATCH(ChangeLog[[#This Row],[Task UID]],tsk_UID,0)),"UID "&amp;ChangeLog[[#This Row],[Task UID]]&amp;" not found"))</f>
        <v/>
      </c>
    </row>
    <row r="44" customFormat="false" ht="15" hidden="false" customHeight="false" outlineLevel="0" collapsed="false">
      <c r="B44" s="29" t="n">
        <v>40</v>
      </c>
      <c r="C44" s="77"/>
      <c r="D44" s="30"/>
      <c r="E44" s="30"/>
      <c r="F44" s="30"/>
      <c r="G44" s="78"/>
      <c r="H44" s="79"/>
      <c r="I44" s="29"/>
      <c r="J44" s="77"/>
      <c r="K44" s="30"/>
      <c r="L44" s="43" t="str">
        <f aca="false">IF(OR(ChangeLog[[#This Row],[Title]]="",N(ChangeLog[[#This Row],[Raised]])=0,AND(ChangeLog[[#This Row],[Status]]&lt;&gt;"Submitted",ChangeLog[[#This Row],[Status]]&lt;&gt;"Under Review")),"",MAX(0,StatusDate-ChangeLog[[#This Row],[Raised]]))</f>
        <v/>
      </c>
      <c r="M44" s="29"/>
      <c r="N44" s="24" t="str">
        <f aca="false">IF(N(ChangeLog[[#This Row],[Task UID]])=0,"",IFERROR(INDEX(tsk_Name,MATCH(ChangeLog[[#This Row],[Task UID]],tsk_UID,0)),"UID "&amp;ChangeLog[[#This Row],[Task UID]]&amp;" not found"))</f>
        <v/>
      </c>
    </row>
    <row r="45" customFormat="false" ht="15" hidden="false" customHeight="false" outlineLevel="0" collapsed="false">
      <c r="B45" s="29" t="n">
        <v>41</v>
      </c>
      <c r="C45" s="77"/>
      <c r="D45" s="30"/>
      <c r="E45" s="30"/>
      <c r="F45" s="30"/>
      <c r="G45" s="78"/>
      <c r="H45" s="79"/>
      <c r="I45" s="29"/>
      <c r="J45" s="77"/>
      <c r="K45" s="30"/>
      <c r="L45" s="43" t="str">
        <f aca="false">IF(OR(ChangeLog[[#This Row],[Title]]="",N(ChangeLog[[#This Row],[Raised]])=0,AND(ChangeLog[[#This Row],[Status]]&lt;&gt;"Submitted",ChangeLog[[#This Row],[Status]]&lt;&gt;"Under Review")),"",MAX(0,StatusDate-ChangeLog[[#This Row],[Raised]]))</f>
        <v/>
      </c>
      <c r="M45" s="29"/>
      <c r="N45" s="24" t="str">
        <f aca="false">IF(N(ChangeLog[[#This Row],[Task UID]])=0,"",IFERROR(INDEX(tsk_Name,MATCH(ChangeLog[[#This Row],[Task UID]],tsk_UID,0)),"UID "&amp;ChangeLog[[#This Row],[Task UID]]&amp;" not found"))</f>
        <v/>
      </c>
    </row>
    <row r="46" customFormat="false" ht="15" hidden="false" customHeight="false" outlineLevel="0" collapsed="false">
      <c r="B46" s="29" t="n">
        <v>42</v>
      </c>
      <c r="C46" s="77"/>
      <c r="D46" s="30"/>
      <c r="E46" s="30"/>
      <c r="F46" s="30"/>
      <c r="G46" s="78"/>
      <c r="H46" s="79"/>
      <c r="I46" s="29"/>
      <c r="J46" s="77"/>
      <c r="K46" s="30"/>
      <c r="L46" s="43" t="str">
        <f aca="false">IF(OR(ChangeLog[[#This Row],[Title]]="",N(ChangeLog[[#This Row],[Raised]])=0,AND(ChangeLog[[#This Row],[Status]]&lt;&gt;"Submitted",ChangeLog[[#This Row],[Status]]&lt;&gt;"Under Review")),"",MAX(0,StatusDate-ChangeLog[[#This Row],[Raised]]))</f>
        <v/>
      </c>
      <c r="M46" s="29"/>
      <c r="N46" s="24" t="str">
        <f aca="false">IF(N(ChangeLog[[#This Row],[Task UID]])=0,"",IFERROR(INDEX(tsk_Name,MATCH(ChangeLog[[#This Row],[Task UID]],tsk_UID,0)),"UID "&amp;ChangeLog[[#This Row],[Task UID]]&amp;" not found"))</f>
        <v/>
      </c>
    </row>
    <row r="47" customFormat="false" ht="15" hidden="false" customHeight="false" outlineLevel="0" collapsed="false">
      <c r="B47" s="29" t="n">
        <v>43</v>
      </c>
      <c r="C47" s="77"/>
      <c r="D47" s="30"/>
      <c r="E47" s="30"/>
      <c r="F47" s="30"/>
      <c r="G47" s="78"/>
      <c r="H47" s="79"/>
      <c r="I47" s="29"/>
      <c r="J47" s="77"/>
      <c r="K47" s="30"/>
      <c r="L47" s="43" t="str">
        <f aca="false">IF(OR(ChangeLog[[#This Row],[Title]]="",N(ChangeLog[[#This Row],[Raised]])=0,AND(ChangeLog[[#This Row],[Status]]&lt;&gt;"Submitted",ChangeLog[[#This Row],[Status]]&lt;&gt;"Under Review")),"",MAX(0,StatusDate-ChangeLog[[#This Row],[Raised]]))</f>
        <v/>
      </c>
      <c r="M47" s="29"/>
      <c r="N47" s="24" t="str">
        <f aca="false">IF(N(ChangeLog[[#This Row],[Task UID]])=0,"",IFERROR(INDEX(tsk_Name,MATCH(ChangeLog[[#This Row],[Task UID]],tsk_UID,0)),"UID "&amp;ChangeLog[[#This Row],[Task UID]]&amp;" not found"))</f>
        <v/>
      </c>
    </row>
    <row r="48" customFormat="false" ht="15" hidden="false" customHeight="false" outlineLevel="0" collapsed="false">
      <c r="B48" s="29" t="n">
        <v>44</v>
      </c>
      <c r="C48" s="77"/>
      <c r="D48" s="30"/>
      <c r="E48" s="30"/>
      <c r="F48" s="30"/>
      <c r="G48" s="78"/>
      <c r="H48" s="79"/>
      <c r="I48" s="29"/>
      <c r="J48" s="77"/>
      <c r="K48" s="30"/>
      <c r="L48" s="43" t="str">
        <f aca="false">IF(OR(ChangeLog[[#This Row],[Title]]="",N(ChangeLog[[#This Row],[Raised]])=0,AND(ChangeLog[[#This Row],[Status]]&lt;&gt;"Submitted",ChangeLog[[#This Row],[Status]]&lt;&gt;"Under Review")),"",MAX(0,StatusDate-ChangeLog[[#This Row],[Raised]]))</f>
        <v/>
      </c>
      <c r="M48" s="29"/>
      <c r="N48" s="24" t="str">
        <f aca="false">IF(N(ChangeLog[[#This Row],[Task UID]])=0,"",IFERROR(INDEX(tsk_Name,MATCH(ChangeLog[[#This Row],[Task UID]],tsk_UID,0)),"UID "&amp;ChangeLog[[#This Row],[Task UID]]&amp;" not found"))</f>
        <v/>
      </c>
    </row>
    <row r="49" customFormat="false" ht="15" hidden="false" customHeight="false" outlineLevel="0" collapsed="false">
      <c r="B49" s="29" t="n">
        <v>45</v>
      </c>
      <c r="C49" s="77"/>
      <c r="D49" s="30"/>
      <c r="E49" s="30"/>
      <c r="F49" s="30"/>
      <c r="G49" s="78"/>
      <c r="H49" s="79"/>
      <c r="I49" s="29"/>
      <c r="J49" s="77"/>
      <c r="K49" s="30"/>
      <c r="L49" s="43" t="str">
        <f aca="false">IF(OR(ChangeLog[[#This Row],[Title]]="",N(ChangeLog[[#This Row],[Raised]])=0,AND(ChangeLog[[#This Row],[Status]]&lt;&gt;"Submitted",ChangeLog[[#This Row],[Status]]&lt;&gt;"Under Review")),"",MAX(0,StatusDate-ChangeLog[[#This Row],[Raised]]))</f>
        <v/>
      </c>
      <c r="M49" s="29"/>
      <c r="N49" s="24" t="str">
        <f aca="false">IF(N(ChangeLog[[#This Row],[Task UID]])=0,"",IFERROR(INDEX(tsk_Name,MATCH(ChangeLog[[#This Row],[Task UID]],tsk_UID,0)),"UID "&amp;ChangeLog[[#This Row],[Task UID]]&amp;" not found"))</f>
        <v/>
      </c>
    </row>
    <row r="50" customFormat="false" ht="15" hidden="false" customHeight="false" outlineLevel="0" collapsed="false">
      <c r="B50" s="29" t="n">
        <v>46</v>
      </c>
      <c r="C50" s="77"/>
      <c r="D50" s="30"/>
      <c r="E50" s="30"/>
      <c r="F50" s="30"/>
      <c r="G50" s="78"/>
      <c r="H50" s="79"/>
      <c r="I50" s="29"/>
      <c r="J50" s="77"/>
      <c r="K50" s="30"/>
      <c r="L50" s="43" t="str">
        <f aca="false">IF(OR(ChangeLog[[#This Row],[Title]]="",N(ChangeLog[[#This Row],[Raised]])=0,AND(ChangeLog[[#This Row],[Status]]&lt;&gt;"Submitted",ChangeLog[[#This Row],[Status]]&lt;&gt;"Under Review")),"",MAX(0,StatusDate-ChangeLog[[#This Row],[Raised]]))</f>
        <v/>
      </c>
      <c r="M50" s="29"/>
      <c r="N50" s="24" t="str">
        <f aca="false">IF(N(ChangeLog[[#This Row],[Task UID]])=0,"",IFERROR(INDEX(tsk_Name,MATCH(ChangeLog[[#This Row],[Task UID]],tsk_UID,0)),"UID "&amp;ChangeLog[[#This Row],[Task UID]]&amp;" not found"))</f>
        <v/>
      </c>
    </row>
    <row r="51" customFormat="false" ht="15" hidden="false" customHeight="false" outlineLevel="0" collapsed="false">
      <c r="B51" s="29" t="n">
        <v>47</v>
      </c>
      <c r="C51" s="77"/>
      <c r="D51" s="30"/>
      <c r="E51" s="30"/>
      <c r="F51" s="30"/>
      <c r="G51" s="78"/>
      <c r="H51" s="79"/>
      <c r="I51" s="29"/>
      <c r="J51" s="77"/>
      <c r="K51" s="30"/>
      <c r="L51" s="43" t="str">
        <f aca="false">IF(OR(ChangeLog[[#This Row],[Title]]="",N(ChangeLog[[#This Row],[Raised]])=0,AND(ChangeLog[[#This Row],[Status]]&lt;&gt;"Submitted",ChangeLog[[#This Row],[Status]]&lt;&gt;"Under Review")),"",MAX(0,StatusDate-ChangeLog[[#This Row],[Raised]]))</f>
        <v/>
      </c>
      <c r="M51" s="29"/>
      <c r="N51" s="24" t="str">
        <f aca="false">IF(N(ChangeLog[[#This Row],[Task UID]])=0,"",IFERROR(INDEX(tsk_Name,MATCH(ChangeLog[[#This Row],[Task UID]],tsk_UID,0)),"UID "&amp;ChangeLog[[#This Row],[Task UID]]&amp;" not found"))</f>
        <v/>
      </c>
    </row>
    <row r="52" customFormat="false" ht="15" hidden="false" customHeight="false" outlineLevel="0" collapsed="false">
      <c r="B52" s="29" t="n">
        <v>48</v>
      </c>
      <c r="C52" s="77"/>
      <c r="D52" s="30"/>
      <c r="E52" s="30"/>
      <c r="F52" s="30"/>
      <c r="G52" s="78"/>
      <c r="H52" s="79"/>
      <c r="I52" s="29"/>
      <c r="J52" s="77"/>
      <c r="K52" s="30"/>
      <c r="L52" s="43" t="str">
        <f aca="false">IF(OR(ChangeLog[[#This Row],[Title]]="",N(ChangeLog[[#This Row],[Raised]])=0,AND(ChangeLog[[#This Row],[Status]]&lt;&gt;"Submitted",ChangeLog[[#This Row],[Status]]&lt;&gt;"Under Review")),"",MAX(0,StatusDate-ChangeLog[[#This Row],[Raised]]))</f>
        <v/>
      </c>
      <c r="M52" s="29"/>
      <c r="N52" s="24" t="str">
        <f aca="false">IF(N(ChangeLog[[#This Row],[Task UID]])=0,"",IFERROR(INDEX(tsk_Name,MATCH(ChangeLog[[#This Row],[Task UID]],tsk_UID,0)),"UID "&amp;ChangeLog[[#This Row],[Task UID]]&amp;" not found"))</f>
        <v/>
      </c>
    </row>
    <row r="53" customFormat="false" ht="15" hidden="false" customHeight="false" outlineLevel="0" collapsed="false">
      <c r="B53" s="29" t="n">
        <v>49</v>
      </c>
      <c r="C53" s="77"/>
      <c r="D53" s="30"/>
      <c r="E53" s="30"/>
      <c r="F53" s="30"/>
      <c r="G53" s="78"/>
      <c r="H53" s="79"/>
      <c r="I53" s="29"/>
      <c r="J53" s="77"/>
      <c r="K53" s="30"/>
      <c r="L53" s="43" t="str">
        <f aca="false">IF(OR(ChangeLog[[#This Row],[Title]]="",N(ChangeLog[[#This Row],[Raised]])=0,AND(ChangeLog[[#This Row],[Status]]&lt;&gt;"Submitted",ChangeLog[[#This Row],[Status]]&lt;&gt;"Under Review")),"",MAX(0,StatusDate-ChangeLog[[#This Row],[Raised]]))</f>
        <v/>
      </c>
      <c r="M53" s="29"/>
      <c r="N53" s="24" t="str">
        <f aca="false">IF(N(ChangeLog[[#This Row],[Task UID]])=0,"",IFERROR(INDEX(tsk_Name,MATCH(ChangeLog[[#This Row],[Task UID]],tsk_UID,0)),"UID "&amp;ChangeLog[[#This Row],[Task UID]]&amp;" not found"))</f>
        <v/>
      </c>
    </row>
    <row r="54" customFormat="false" ht="15" hidden="false" customHeight="false" outlineLevel="0" collapsed="false">
      <c r="B54" s="29" t="n">
        <v>50</v>
      </c>
      <c r="C54" s="77"/>
      <c r="D54" s="30"/>
      <c r="E54" s="30"/>
      <c r="F54" s="30"/>
      <c r="G54" s="78"/>
      <c r="H54" s="79"/>
      <c r="I54" s="29"/>
      <c r="J54" s="77"/>
      <c r="K54" s="30"/>
      <c r="L54" s="43" t="str">
        <f aca="false">IF(OR(ChangeLog[[#This Row],[Title]]="",N(ChangeLog[[#This Row],[Raised]])=0,AND(ChangeLog[[#This Row],[Status]]&lt;&gt;"Submitted",ChangeLog[[#This Row],[Status]]&lt;&gt;"Under Review")),"",MAX(0,StatusDate-ChangeLog[[#This Row],[Raised]]))</f>
        <v/>
      </c>
      <c r="M54" s="29"/>
      <c r="N54" s="24" t="str">
        <f aca="false">IF(N(ChangeLog[[#This Row],[Task UID]])=0,"",IFERROR(INDEX(tsk_Name,MATCH(ChangeLog[[#This Row],[Task UID]],tsk_UID,0)),"UID "&amp;ChangeLog[[#This Row],[Task UID]]&amp;" not found"))</f>
        <v/>
      </c>
    </row>
    <row r="55" customFormat="false" ht="15" hidden="false" customHeight="false" outlineLevel="0" collapsed="false">
      <c r="B55" s="29" t="n">
        <v>51</v>
      </c>
      <c r="C55" s="77"/>
      <c r="D55" s="30"/>
      <c r="E55" s="30"/>
      <c r="F55" s="30"/>
      <c r="G55" s="78"/>
      <c r="H55" s="79"/>
      <c r="I55" s="29"/>
      <c r="J55" s="77"/>
      <c r="K55" s="30"/>
      <c r="L55" s="43" t="str">
        <f aca="false">IF(OR(ChangeLog[[#This Row],[Title]]="",N(ChangeLog[[#This Row],[Raised]])=0,AND(ChangeLog[[#This Row],[Status]]&lt;&gt;"Submitted",ChangeLog[[#This Row],[Status]]&lt;&gt;"Under Review")),"",MAX(0,StatusDate-ChangeLog[[#This Row],[Raised]]))</f>
        <v/>
      </c>
      <c r="M55" s="29"/>
      <c r="N55" s="24" t="str">
        <f aca="false">IF(N(ChangeLog[[#This Row],[Task UID]])=0,"",IFERROR(INDEX(tsk_Name,MATCH(ChangeLog[[#This Row],[Task UID]],tsk_UID,0)),"UID "&amp;ChangeLog[[#This Row],[Task UID]]&amp;" not found"))</f>
        <v/>
      </c>
    </row>
    <row r="56" customFormat="false" ht="15" hidden="false" customHeight="false" outlineLevel="0" collapsed="false">
      <c r="B56" s="29" t="n">
        <v>52</v>
      </c>
      <c r="C56" s="77"/>
      <c r="D56" s="30"/>
      <c r="E56" s="30"/>
      <c r="F56" s="30"/>
      <c r="G56" s="78"/>
      <c r="H56" s="79"/>
      <c r="I56" s="29"/>
      <c r="J56" s="77"/>
      <c r="K56" s="30"/>
      <c r="L56" s="43" t="str">
        <f aca="false">IF(OR(ChangeLog[[#This Row],[Title]]="",N(ChangeLog[[#This Row],[Raised]])=0,AND(ChangeLog[[#This Row],[Status]]&lt;&gt;"Submitted",ChangeLog[[#This Row],[Status]]&lt;&gt;"Under Review")),"",MAX(0,StatusDate-ChangeLog[[#This Row],[Raised]]))</f>
        <v/>
      </c>
      <c r="M56" s="29"/>
      <c r="N56" s="24" t="str">
        <f aca="false">IF(N(ChangeLog[[#This Row],[Task UID]])=0,"",IFERROR(INDEX(tsk_Name,MATCH(ChangeLog[[#This Row],[Task UID]],tsk_UID,0)),"UID "&amp;ChangeLog[[#This Row],[Task UID]]&amp;" not found"))</f>
        <v/>
      </c>
    </row>
    <row r="57" customFormat="false" ht="15" hidden="false" customHeight="false" outlineLevel="0" collapsed="false">
      <c r="B57" s="29" t="n">
        <v>53</v>
      </c>
      <c r="C57" s="77"/>
      <c r="D57" s="30"/>
      <c r="E57" s="30"/>
      <c r="F57" s="30"/>
      <c r="G57" s="78"/>
      <c r="H57" s="79"/>
      <c r="I57" s="29"/>
      <c r="J57" s="77"/>
      <c r="K57" s="30"/>
      <c r="L57" s="43" t="str">
        <f aca="false">IF(OR(ChangeLog[[#This Row],[Title]]="",N(ChangeLog[[#This Row],[Raised]])=0,AND(ChangeLog[[#This Row],[Status]]&lt;&gt;"Submitted",ChangeLog[[#This Row],[Status]]&lt;&gt;"Under Review")),"",MAX(0,StatusDate-ChangeLog[[#This Row],[Raised]]))</f>
        <v/>
      </c>
      <c r="M57" s="29"/>
      <c r="N57" s="24" t="str">
        <f aca="false">IF(N(ChangeLog[[#This Row],[Task UID]])=0,"",IFERROR(INDEX(tsk_Name,MATCH(ChangeLog[[#This Row],[Task UID]],tsk_UID,0)),"UID "&amp;ChangeLog[[#This Row],[Task UID]]&amp;" not found"))</f>
        <v/>
      </c>
    </row>
    <row r="58" customFormat="false" ht="15" hidden="false" customHeight="false" outlineLevel="0" collapsed="false">
      <c r="B58" s="29" t="n">
        <v>54</v>
      </c>
      <c r="C58" s="77"/>
      <c r="D58" s="30"/>
      <c r="E58" s="30"/>
      <c r="F58" s="30"/>
      <c r="G58" s="78"/>
      <c r="H58" s="79"/>
      <c r="I58" s="29"/>
      <c r="J58" s="77"/>
      <c r="K58" s="30"/>
      <c r="L58" s="43" t="str">
        <f aca="false">IF(OR(ChangeLog[[#This Row],[Title]]="",N(ChangeLog[[#This Row],[Raised]])=0,AND(ChangeLog[[#This Row],[Status]]&lt;&gt;"Submitted",ChangeLog[[#This Row],[Status]]&lt;&gt;"Under Review")),"",MAX(0,StatusDate-ChangeLog[[#This Row],[Raised]]))</f>
        <v/>
      </c>
      <c r="M58" s="29"/>
      <c r="N58" s="24" t="str">
        <f aca="false">IF(N(ChangeLog[[#This Row],[Task UID]])=0,"",IFERROR(INDEX(tsk_Name,MATCH(ChangeLog[[#This Row],[Task UID]],tsk_UID,0)),"UID "&amp;ChangeLog[[#This Row],[Task UID]]&amp;" not found"))</f>
        <v/>
      </c>
    </row>
    <row r="59" customFormat="false" ht="15" hidden="false" customHeight="false" outlineLevel="0" collapsed="false">
      <c r="B59" s="29" t="n">
        <v>55</v>
      </c>
      <c r="C59" s="77"/>
      <c r="D59" s="30"/>
      <c r="E59" s="30"/>
      <c r="F59" s="30"/>
      <c r="G59" s="78"/>
      <c r="H59" s="79"/>
      <c r="I59" s="29"/>
      <c r="J59" s="77"/>
      <c r="K59" s="30"/>
      <c r="L59" s="43" t="str">
        <f aca="false">IF(OR(ChangeLog[[#This Row],[Title]]="",N(ChangeLog[[#This Row],[Raised]])=0,AND(ChangeLog[[#This Row],[Status]]&lt;&gt;"Submitted",ChangeLog[[#This Row],[Status]]&lt;&gt;"Under Review")),"",MAX(0,StatusDate-ChangeLog[[#This Row],[Raised]]))</f>
        <v/>
      </c>
      <c r="M59" s="29"/>
      <c r="N59" s="24" t="str">
        <f aca="false">IF(N(ChangeLog[[#This Row],[Task UID]])=0,"",IFERROR(INDEX(tsk_Name,MATCH(ChangeLog[[#This Row],[Task UID]],tsk_UID,0)),"UID "&amp;ChangeLog[[#This Row],[Task UID]]&amp;" not found"))</f>
        <v/>
      </c>
    </row>
    <row r="60" customFormat="false" ht="15" hidden="false" customHeight="false" outlineLevel="0" collapsed="false">
      <c r="B60" s="29" t="n">
        <v>56</v>
      </c>
      <c r="C60" s="77"/>
      <c r="D60" s="30"/>
      <c r="E60" s="30"/>
      <c r="F60" s="30"/>
      <c r="G60" s="78"/>
      <c r="H60" s="79"/>
      <c r="I60" s="29"/>
      <c r="J60" s="77"/>
      <c r="K60" s="30"/>
      <c r="L60" s="43" t="str">
        <f aca="false">IF(OR(ChangeLog[[#This Row],[Title]]="",N(ChangeLog[[#This Row],[Raised]])=0,AND(ChangeLog[[#This Row],[Status]]&lt;&gt;"Submitted",ChangeLog[[#This Row],[Status]]&lt;&gt;"Under Review")),"",MAX(0,StatusDate-ChangeLog[[#This Row],[Raised]]))</f>
        <v/>
      </c>
      <c r="M60" s="29"/>
      <c r="N60" s="24" t="str">
        <f aca="false">IF(N(ChangeLog[[#This Row],[Task UID]])=0,"",IFERROR(INDEX(tsk_Name,MATCH(ChangeLog[[#This Row],[Task UID]],tsk_UID,0)),"UID "&amp;ChangeLog[[#This Row],[Task UID]]&amp;" not found"))</f>
        <v/>
      </c>
    </row>
    <row r="61" customFormat="false" ht="15" hidden="false" customHeight="false" outlineLevel="0" collapsed="false">
      <c r="B61" s="29" t="n">
        <v>57</v>
      </c>
      <c r="C61" s="77"/>
      <c r="D61" s="30"/>
      <c r="E61" s="30"/>
      <c r="F61" s="30"/>
      <c r="G61" s="78"/>
      <c r="H61" s="79"/>
      <c r="I61" s="29"/>
      <c r="J61" s="77"/>
      <c r="K61" s="30"/>
      <c r="L61" s="43" t="str">
        <f aca="false">IF(OR(ChangeLog[[#This Row],[Title]]="",N(ChangeLog[[#This Row],[Raised]])=0,AND(ChangeLog[[#This Row],[Status]]&lt;&gt;"Submitted",ChangeLog[[#This Row],[Status]]&lt;&gt;"Under Review")),"",MAX(0,StatusDate-ChangeLog[[#This Row],[Raised]]))</f>
        <v/>
      </c>
      <c r="M61" s="29"/>
      <c r="N61" s="24" t="str">
        <f aca="false">IF(N(ChangeLog[[#This Row],[Task UID]])=0,"",IFERROR(INDEX(tsk_Name,MATCH(ChangeLog[[#This Row],[Task UID]],tsk_UID,0)),"UID "&amp;ChangeLog[[#This Row],[Task UID]]&amp;" not found"))</f>
        <v/>
      </c>
    </row>
    <row r="62" customFormat="false" ht="15" hidden="false" customHeight="false" outlineLevel="0" collapsed="false">
      <c r="B62" s="29" t="n">
        <v>58</v>
      </c>
      <c r="C62" s="77"/>
      <c r="D62" s="30"/>
      <c r="E62" s="30"/>
      <c r="F62" s="30"/>
      <c r="G62" s="78"/>
      <c r="H62" s="79"/>
      <c r="I62" s="29"/>
      <c r="J62" s="77"/>
      <c r="K62" s="30"/>
      <c r="L62" s="43" t="str">
        <f aca="false">IF(OR(ChangeLog[[#This Row],[Title]]="",N(ChangeLog[[#This Row],[Raised]])=0,AND(ChangeLog[[#This Row],[Status]]&lt;&gt;"Submitted",ChangeLog[[#This Row],[Status]]&lt;&gt;"Under Review")),"",MAX(0,StatusDate-ChangeLog[[#This Row],[Raised]]))</f>
        <v/>
      </c>
      <c r="M62" s="29"/>
      <c r="N62" s="24" t="str">
        <f aca="false">IF(N(ChangeLog[[#This Row],[Task UID]])=0,"",IFERROR(INDEX(tsk_Name,MATCH(ChangeLog[[#This Row],[Task UID]],tsk_UID,0)),"UID "&amp;ChangeLog[[#This Row],[Task UID]]&amp;" not found"))</f>
        <v/>
      </c>
    </row>
    <row r="63" customFormat="false" ht="15" hidden="false" customHeight="false" outlineLevel="0" collapsed="false">
      <c r="B63" s="29" t="n">
        <v>59</v>
      </c>
      <c r="C63" s="77"/>
      <c r="D63" s="30"/>
      <c r="E63" s="30"/>
      <c r="F63" s="30"/>
      <c r="G63" s="78"/>
      <c r="H63" s="79"/>
      <c r="I63" s="29"/>
      <c r="J63" s="77"/>
      <c r="K63" s="30"/>
      <c r="L63" s="43" t="str">
        <f aca="false">IF(OR(ChangeLog[[#This Row],[Title]]="",N(ChangeLog[[#This Row],[Raised]])=0,AND(ChangeLog[[#This Row],[Status]]&lt;&gt;"Submitted",ChangeLog[[#This Row],[Status]]&lt;&gt;"Under Review")),"",MAX(0,StatusDate-ChangeLog[[#This Row],[Raised]]))</f>
        <v/>
      </c>
      <c r="M63" s="29"/>
      <c r="N63" s="24" t="str">
        <f aca="false">IF(N(ChangeLog[[#This Row],[Task UID]])=0,"",IFERROR(INDEX(tsk_Name,MATCH(ChangeLog[[#This Row],[Task UID]],tsk_UID,0)),"UID "&amp;ChangeLog[[#This Row],[Task UID]]&amp;" not found"))</f>
        <v/>
      </c>
    </row>
    <row r="64" customFormat="false" ht="15" hidden="false" customHeight="false" outlineLevel="0" collapsed="false">
      <c r="B64" s="29" t="n">
        <v>60</v>
      </c>
      <c r="C64" s="77"/>
      <c r="D64" s="30"/>
      <c r="E64" s="30"/>
      <c r="F64" s="30"/>
      <c r="G64" s="78"/>
      <c r="H64" s="79"/>
      <c r="I64" s="29"/>
      <c r="J64" s="77"/>
      <c r="K64" s="30"/>
      <c r="L64" s="43" t="str">
        <f aca="false">IF(OR(ChangeLog[[#This Row],[Title]]="",N(ChangeLog[[#This Row],[Raised]])=0,AND(ChangeLog[[#This Row],[Status]]&lt;&gt;"Submitted",ChangeLog[[#This Row],[Status]]&lt;&gt;"Under Review")),"",MAX(0,StatusDate-ChangeLog[[#This Row],[Raised]]))</f>
        <v/>
      </c>
      <c r="M64" s="29"/>
      <c r="N64" s="24" t="str">
        <f aca="false">IF(N(ChangeLog[[#This Row],[Task UID]])=0,"",IFERROR(INDEX(tsk_Name,MATCH(ChangeLog[[#This Row],[Task UID]],tsk_UID,0)),"UID "&amp;ChangeLog[[#This Row],[Task UID]]&amp;" not found"))</f>
        <v/>
      </c>
    </row>
    <row r="65" customFormat="false" ht="15" hidden="false" customHeight="false" outlineLevel="0" collapsed="false">
      <c r="B65" s="29" t="n">
        <v>61</v>
      </c>
      <c r="C65" s="77"/>
      <c r="D65" s="30"/>
      <c r="E65" s="30"/>
      <c r="F65" s="30"/>
      <c r="G65" s="78"/>
      <c r="H65" s="79"/>
      <c r="I65" s="29"/>
      <c r="J65" s="77"/>
      <c r="K65" s="30"/>
      <c r="L65" s="43" t="str">
        <f aca="false">IF(OR(ChangeLog[[#This Row],[Title]]="",N(ChangeLog[[#This Row],[Raised]])=0,AND(ChangeLog[[#This Row],[Status]]&lt;&gt;"Submitted",ChangeLog[[#This Row],[Status]]&lt;&gt;"Under Review")),"",MAX(0,StatusDate-ChangeLog[[#This Row],[Raised]]))</f>
        <v/>
      </c>
      <c r="M65" s="29"/>
      <c r="N65" s="24" t="str">
        <f aca="false">IF(N(ChangeLog[[#This Row],[Task UID]])=0,"",IFERROR(INDEX(tsk_Name,MATCH(ChangeLog[[#This Row],[Task UID]],tsk_UID,0)),"UID "&amp;ChangeLog[[#This Row],[Task UID]]&amp;" not found"))</f>
        <v/>
      </c>
    </row>
    <row r="66" customFormat="false" ht="15" hidden="false" customHeight="false" outlineLevel="0" collapsed="false">
      <c r="B66" s="29" t="n">
        <v>62</v>
      </c>
      <c r="C66" s="77"/>
      <c r="D66" s="30"/>
      <c r="E66" s="30"/>
      <c r="F66" s="30"/>
      <c r="G66" s="78"/>
      <c r="H66" s="79"/>
      <c r="I66" s="29"/>
      <c r="J66" s="77"/>
      <c r="K66" s="30"/>
      <c r="L66" s="43" t="str">
        <f aca="false">IF(OR(ChangeLog[[#This Row],[Title]]="",N(ChangeLog[[#This Row],[Raised]])=0,AND(ChangeLog[[#This Row],[Status]]&lt;&gt;"Submitted",ChangeLog[[#This Row],[Status]]&lt;&gt;"Under Review")),"",MAX(0,StatusDate-ChangeLog[[#This Row],[Raised]]))</f>
        <v/>
      </c>
      <c r="M66" s="29"/>
      <c r="N66" s="24" t="str">
        <f aca="false">IF(N(ChangeLog[[#This Row],[Task UID]])=0,"",IFERROR(INDEX(tsk_Name,MATCH(ChangeLog[[#This Row],[Task UID]],tsk_UID,0)),"UID "&amp;ChangeLog[[#This Row],[Task UID]]&amp;" not found"))</f>
        <v/>
      </c>
    </row>
    <row r="67" customFormat="false" ht="15" hidden="false" customHeight="false" outlineLevel="0" collapsed="false">
      <c r="B67" s="29" t="n">
        <v>63</v>
      </c>
      <c r="C67" s="77"/>
      <c r="D67" s="30"/>
      <c r="E67" s="30"/>
      <c r="F67" s="30"/>
      <c r="G67" s="78"/>
      <c r="H67" s="79"/>
      <c r="I67" s="29"/>
      <c r="J67" s="77"/>
      <c r="K67" s="30"/>
      <c r="L67" s="43" t="str">
        <f aca="false">IF(OR(ChangeLog[[#This Row],[Title]]="",N(ChangeLog[[#This Row],[Raised]])=0,AND(ChangeLog[[#This Row],[Status]]&lt;&gt;"Submitted",ChangeLog[[#This Row],[Status]]&lt;&gt;"Under Review")),"",MAX(0,StatusDate-ChangeLog[[#This Row],[Raised]]))</f>
        <v/>
      </c>
      <c r="M67" s="29"/>
      <c r="N67" s="24" t="str">
        <f aca="false">IF(N(ChangeLog[[#This Row],[Task UID]])=0,"",IFERROR(INDEX(tsk_Name,MATCH(ChangeLog[[#This Row],[Task UID]],tsk_UID,0)),"UID "&amp;ChangeLog[[#This Row],[Task UID]]&amp;" not found"))</f>
        <v/>
      </c>
    </row>
    <row r="68" customFormat="false" ht="15" hidden="false" customHeight="false" outlineLevel="0" collapsed="false">
      <c r="B68" s="29" t="n">
        <v>64</v>
      </c>
      <c r="C68" s="77"/>
      <c r="D68" s="30"/>
      <c r="E68" s="30"/>
      <c r="F68" s="30"/>
      <c r="G68" s="78"/>
      <c r="H68" s="79"/>
      <c r="I68" s="29"/>
      <c r="J68" s="77"/>
      <c r="K68" s="30"/>
      <c r="L68" s="43" t="str">
        <f aca="false">IF(OR(ChangeLog[[#This Row],[Title]]="",N(ChangeLog[[#This Row],[Raised]])=0,AND(ChangeLog[[#This Row],[Status]]&lt;&gt;"Submitted",ChangeLog[[#This Row],[Status]]&lt;&gt;"Under Review")),"",MAX(0,StatusDate-ChangeLog[[#This Row],[Raised]]))</f>
        <v/>
      </c>
      <c r="M68" s="29"/>
      <c r="N68" s="24" t="str">
        <f aca="false">IF(N(ChangeLog[[#This Row],[Task UID]])=0,"",IFERROR(INDEX(tsk_Name,MATCH(ChangeLog[[#This Row],[Task UID]],tsk_UID,0)),"UID "&amp;ChangeLog[[#This Row],[Task UID]]&amp;" not found"))</f>
        <v/>
      </c>
    </row>
    <row r="69" customFormat="false" ht="15" hidden="false" customHeight="false" outlineLevel="0" collapsed="false">
      <c r="B69" s="29" t="n">
        <v>65</v>
      </c>
      <c r="C69" s="77"/>
      <c r="D69" s="30"/>
      <c r="E69" s="30"/>
      <c r="F69" s="30"/>
      <c r="G69" s="78"/>
      <c r="H69" s="79"/>
      <c r="I69" s="29"/>
      <c r="J69" s="77"/>
      <c r="K69" s="30"/>
      <c r="L69" s="43" t="str">
        <f aca="false">IF(OR(ChangeLog[[#This Row],[Title]]="",N(ChangeLog[[#This Row],[Raised]])=0,AND(ChangeLog[[#This Row],[Status]]&lt;&gt;"Submitted",ChangeLog[[#This Row],[Status]]&lt;&gt;"Under Review")),"",MAX(0,StatusDate-ChangeLog[[#This Row],[Raised]]))</f>
        <v/>
      </c>
      <c r="M69" s="29"/>
      <c r="N69" s="24" t="str">
        <f aca="false">IF(N(ChangeLog[[#This Row],[Task UID]])=0,"",IFERROR(INDEX(tsk_Name,MATCH(ChangeLog[[#This Row],[Task UID]],tsk_UID,0)),"UID "&amp;ChangeLog[[#This Row],[Task UID]]&amp;" not found"))</f>
        <v/>
      </c>
    </row>
    <row r="70" customFormat="false" ht="15" hidden="false" customHeight="false" outlineLevel="0" collapsed="false">
      <c r="B70" s="29" t="n">
        <v>66</v>
      </c>
      <c r="C70" s="77"/>
      <c r="D70" s="30"/>
      <c r="E70" s="30"/>
      <c r="F70" s="30"/>
      <c r="G70" s="78"/>
      <c r="H70" s="79"/>
      <c r="I70" s="29"/>
      <c r="J70" s="77"/>
      <c r="K70" s="30"/>
      <c r="L70" s="43" t="str">
        <f aca="false">IF(OR(ChangeLog[[#This Row],[Title]]="",N(ChangeLog[[#This Row],[Raised]])=0,AND(ChangeLog[[#This Row],[Status]]&lt;&gt;"Submitted",ChangeLog[[#This Row],[Status]]&lt;&gt;"Under Review")),"",MAX(0,StatusDate-ChangeLog[[#This Row],[Raised]]))</f>
        <v/>
      </c>
      <c r="M70" s="29"/>
      <c r="N70" s="24" t="str">
        <f aca="false">IF(N(ChangeLog[[#This Row],[Task UID]])=0,"",IFERROR(INDEX(tsk_Name,MATCH(ChangeLog[[#This Row],[Task UID]],tsk_UID,0)),"UID "&amp;ChangeLog[[#This Row],[Task UID]]&amp;" not found"))</f>
        <v/>
      </c>
    </row>
    <row r="71" customFormat="false" ht="15" hidden="false" customHeight="false" outlineLevel="0" collapsed="false">
      <c r="B71" s="29" t="n">
        <v>67</v>
      </c>
      <c r="C71" s="77"/>
      <c r="D71" s="30"/>
      <c r="E71" s="30"/>
      <c r="F71" s="30"/>
      <c r="G71" s="78"/>
      <c r="H71" s="79"/>
      <c r="I71" s="29"/>
      <c r="J71" s="77"/>
      <c r="K71" s="30"/>
      <c r="L71" s="43" t="str">
        <f aca="false">IF(OR(ChangeLog[[#This Row],[Title]]="",N(ChangeLog[[#This Row],[Raised]])=0,AND(ChangeLog[[#This Row],[Status]]&lt;&gt;"Submitted",ChangeLog[[#This Row],[Status]]&lt;&gt;"Under Review")),"",MAX(0,StatusDate-ChangeLog[[#This Row],[Raised]]))</f>
        <v/>
      </c>
      <c r="M71" s="29"/>
      <c r="N71" s="24" t="str">
        <f aca="false">IF(N(ChangeLog[[#This Row],[Task UID]])=0,"",IFERROR(INDEX(tsk_Name,MATCH(ChangeLog[[#This Row],[Task UID]],tsk_UID,0)),"UID "&amp;ChangeLog[[#This Row],[Task UID]]&amp;" not found"))</f>
        <v/>
      </c>
    </row>
    <row r="72" customFormat="false" ht="15" hidden="false" customHeight="false" outlineLevel="0" collapsed="false">
      <c r="B72" s="29" t="n">
        <v>68</v>
      </c>
      <c r="C72" s="77"/>
      <c r="D72" s="30"/>
      <c r="E72" s="30"/>
      <c r="F72" s="30"/>
      <c r="G72" s="78"/>
      <c r="H72" s="79"/>
      <c r="I72" s="29"/>
      <c r="J72" s="77"/>
      <c r="K72" s="30"/>
      <c r="L72" s="43" t="str">
        <f aca="false">IF(OR(ChangeLog[[#This Row],[Title]]="",N(ChangeLog[[#This Row],[Raised]])=0,AND(ChangeLog[[#This Row],[Status]]&lt;&gt;"Submitted",ChangeLog[[#This Row],[Status]]&lt;&gt;"Under Review")),"",MAX(0,StatusDate-ChangeLog[[#This Row],[Raised]]))</f>
        <v/>
      </c>
      <c r="M72" s="29"/>
      <c r="N72" s="24" t="str">
        <f aca="false">IF(N(ChangeLog[[#This Row],[Task UID]])=0,"",IFERROR(INDEX(tsk_Name,MATCH(ChangeLog[[#This Row],[Task UID]],tsk_UID,0)),"UID "&amp;ChangeLog[[#This Row],[Task UID]]&amp;" not found"))</f>
        <v/>
      </c>
    </row>
    <row r="73" customFormat="false" ht="15" hidden="false" customHeight="false" outlineLevel="0" collapsed="false">
      <c r="B73" s="29" t="n">
        <v>69</v>
      </c>
      <c r="C73" s="77"/>
      <c r="D73" s="30"/>
      <c r="E73" s="30"/>
      <c r="F73" s="30"/>
      <c r="G73" s="78"/>
      <c r="H73" s="79"/>
      <c r="I73" s="29"/>
      <c r="J73" s="77"/>
      <c r="K73" s="30"/>
      <c r="L73" s="43" t="str">
        <f aca="false">IF(OR(ChangeLog[[#This Row],[Title]]="",N(ChangeLog[[#This Row],[Raised]])=0,AND(ChangeLog[[#This Row],[Status]]&lt;&gt;"Submitted",ChangeLog[[#This Row],[Status]]&lt;&gt;"Under Review")),"",MAX(0,StatusDate-ChangeLog[[#This Row],[Raised]]))</f>
        <v/>
      </c>
      <c r="M73" s="29"/>
      <c r="N73" s="24" t="str">
        <f aca="false">IF(N(ChangeLog[[#This Row],[Task UID]])=0,"",IFERROR(INDEX(tsk_Name,MATCH(ChangeLog[[#This Row],[Task UID]],tsk_UID,0)),"UID "&amp;ChangeLog[[#This Row],[Task UID]]&amp;" not found"))</f>
        <v/>
      </c>
    </row>
    <row r="74" customFormat="false" ht="15" hidden="false" customHeight="false" outlineLevel="0" collapsed="false">
      <c r="B74" s="29" t="n">
        <v>70</v>
      </c>
      <c r="C74" s="77"/>
      <c r="D74" s="30"/>
      <c r="E74" s="30"/>
      <c r="F74" s="30"/>
      <c r="G74" s="78"/>
      <c r="H74" s="79"/>
      <c r="I74" s="29"/>
      <c r="J74" s="77"/>
      <c r="K74" s="30"/>
      <c r="L74" s="43" t="str">
        <f aca="false">IF(OR(ChangeLog[[#This Row],[Title]]="",N(ChangeLog[[#This Row],[Raised]])=0,AND(ChangeLog[[#This Row],[Status]]&lt;&gt;"Submitted",ChangeLog[[#This Row],[Status]]&lt;&gt;"Under Review")),"",MAX(0,StatusDate-ChangeLog[[#This Row],[Raised]]))</f>
        <v/>
      </c>
      <c r="M74" s="29"/>
      <c r="N74" s="24" t="str">
        <f aca="false">IF(N(ChangeLog[[#This Row],[Task UID]])=0,"",IFERROR(INDEX(tsk_Name,MATCH(ChangeLog[[#This Row],[Task UID]],tsk_UID,0)),"UID "&amp;ChangeLog[[#This Row],[Task UID]]&amp;" not found"))</f>
        <v/>
      </c>
    </row>
    <row r="75" customFormat="false" ht="15" hidden="false" customHeight="false" outlineLevel="0" collapsed="false">
      <c r="B75" s="29" t="n">
        <v>71</v>
      </c>
      <c r="C75" s="77"/>
      <c r="D75" s="30"/>
      <c r="E75" s="30"/>
      <c r="F75" s="30"/>
      <c r="G75" s="78"/>
      <c r="H75" s="79"/>
      <c r="I75" s="29"/>
      <c r="J75" s="77"/>
      <c r="K75" s="30"/>
      <c r="L75" s="43" t="str">
        <f aca="false">IF(OR(ChangeLog[[#This Row],[Title]]="",N(ChangeLog[[#This Row],[Raised]])=0,AND(ChangeLog[[#This Row],[Status]]&lt;&gt;"Submitted",ChangeLog[[#This Row],[Status]]&lt;&gt;"Under Review")),"",MAX(0,StatusDate-ChangeLog[[#This Row],[Raised]]))</f>
        <v/>
      </c>
      <c r="M75" s="29"/>
      <c r="N75" s="24" t="str">
        <f aca="false">IF(N(ChangeLog[[#This Row],[Task UID]])=0,"",IFERROR(INDEX(tsk_Name,MATCH(ChangeLog[[#This Row],[Task UID]],tsk_UID,0)),"UID "&amp;ChangeLog[[#This Row],[Task UID]]&amp;" not found"))</f>
        <v/>
      </c>
    </row>
    <row r="76" customFormat="false" ht="15" hidden="false" customHeight="false" outlineLevel="0" collapsed="false">
      <c r="B76" s="29" t="n">
        <v>72</v>
      </c>
      <c r="C76" s="77"/>
      <c r="D76" s="30"/>
      <c r="E76" s="30"/>
      <c r="F76" s="30"/>
      <c r="G76" s="78"/>
      <c r="H76" s="79"/>
      <c r="I76" s="29"/>
      <c r="J76" s="77"/>
      <c r="K76" s="30"/>
      <c r="L76" s="43" t="str">
        <f aca="false">IF(OR(ChangeLog[[#This Row],[Title]]="",N(ChangeLog[[#This Row],[Raised]])=0,AND(ChangeLog[[#This Row],[Status]]&lt;&gt;"Submitted",ChangeLog[[#This Row],[Status]]&lt;&gt;"Under Review")),"",MAX(0,StatusDate-ChangeLog[[#This Row],[Raised]]))</f>
        <v/>
      </c>
      <c r="M76" s="29"/>
      <c r="N76" s="24" t="str">
        <f aca="false">IF(N(ChangeLog[[#This Row],[Task UID]])=0,"",IFERROR(INDEX(tsk_Name,MATCH(ChangeLog[[#This Row],[Task UID]],tsk_UID,0)),"UID "&amp;ChangeLog[[#This Row],[Task UID]]&amp;" not found"))</f>
        <v/>
      </c>
    </row>
    <row r="77" customFormat="false" ht="15" hidden="false" customHeight="false" outlineLevel="0" collapsed="false">
      <c r="B77" s="29" t="n">
        <v>73</v>
      </c>
      <c r="C77" s="77"/>
      <c r="D77" s="30"/>
      <c r="E77" s="30"/>
      <c r="F77" s="30"/>
      <c r="G77" s="78"/>
      <c r="H77" s="79"/>
      <c r="I77" s="29"/>
      <c r="J77" s="77"/>
      <c r="K77" s="30"/>
      <c r="L77" s="43" t="str">
        <f aca="false">IF(OR(ChangeLog[[#This Row],[Title]]="",N(ChangeLog[[#This Row],[Raised]])=0,AND(ChangeLog[[#This Row],[Status]]&lt;&gt;"Submitted",ChangeLog[[#This Row],[Status]]&lt;&gt;"Under Review")),"",MAX(0,StatusDate-ChangeLog[[#This Row],[Raised]]))</f>
        <v/>
      </c>
      <c r="M77" s="29"/>
      <c r="N77" s="24" t="str">
        <f aca="false">IF(N(ChangeLog[[#This Row],[Task UID]])=0,"",IFERROR(INDEX(tsk_Name,MATCH(ChangeLog[[#This Row],[Task UID]],tsk_UID,0)),"UID "&amp;ChangeLog[[#This Row],[Task UID]]&amp;" not found"))</f>
        <v/>
      </c>
    </row>
    <row r="78" customFormat="false" ht="15" hidden="false" customHeight="false" outlineLevel="0" collapsed="false">
      <c r="B78" s="29" t="n">
        <v>74</v>
      </c>
      <c r="C78" s="77"/>
      <c r="D78" s="30"/>
      <c r="E78" s="30"/>
      <c r="F78" s="30"/>
      <c r="G78" s="78"/>
      <c r="H78" s="79"/>
      <c r="I78" s="29"/>
      <c r="J78" s="77"/>
      <c r="K78" s="30"/>
      <c r="L78" s="43" t="str">
        <f aca="false">IF(OR(ChangeLog[[#This Row],[Title]]="",N(ChangeLog[[#This Row],[Raised]])=0,AND(ChangeLog[[#This Row],[Status]]&lt;&gt;"Submitted",ChangeLog[[#This Row],[Status]]&lt;&gt;"Under Review")),"",MAX(0,StatusDate-ChangeLog[[#This Row],[Raised]]))</f>
        <v/>
      </c>
      <c r="M78" s="29"/>
      <c r="N78" s="24" t="str">
        <f aca="false">IF(N(ChangeLog[[#This Row],[Task UID]])=0,"",IFERROR(INDEX(tsk_Name,MATCH(ChangeLog[[#This Row],[Task UID]],tsk_UID,0)),"UID "&amp;ChangeLog[[#This Row],[Task UID]]&amp;" not found"))</f>
        <v/>
      </c>
    </row>
    <row r="79" customFormat="false" ht="15" hidden="false" customHeight="false" outlineLevel="0" collapsed="false">
      <c r="B79" s="29" t="n">
        <v>75</v>
      </c>
      <c r="C79" s="77"/>
      <c r="D79" s="30"/>
      <c r="E79" s="30"/>
      <c r="F79" s="30"/>
      <c r="G79" s="78"/>
      <c r="H79" s="79"/>
      <c r="I79" s="29"/>
      <c r="J79" s="77"/>
      <c r="K79" s="30"/>
      <c r="L79" s="43" t="str">
        <f aca="false">IF(OR(ChangeLog[[#This Row],[Title]]="",N(ChangeLog[[#This Row],[Raised]])=0,AND(ChangeLog[[#This Row],[Status]]&lt;&gt;"Submitted",ChangeLog[[#This Row],[Status]]&lt;&gt;"Under Review")),"",MAX(0,StatusDate-ChangeLog[[#This Row],[Raised]]))</f>
        <v/>
      </c>
      <c r="M79" s="29"/>
      <c r="N79" s="24" t="str">
        <f aca="false">IF(N(ChangeLog[[#This Row],[Task UID]])=0,"",IFERROR(INDEX(tsk_Name,MATCH(ChangeLog[[#This Row],[Task UID]],tsk_UID,0)),"UID "&amp;ChangeLog[[#This Row],[Task UID]]&amp;" not found"))</f>
        <v/>
      </c>
    </row>
    <row r="80" customFormat="false" ht="15" hidden="false" customHeight="false" outlineLevel="0" collapsed="false">
      <c r="B80" s="29" t="n">
        <v>76</v>
      </c>
      <c r="C80" s="77"/>
      <c r="D80" s="30"/>
      <c r="E80" s="30"/>
      <c r="F80" s="30"/>
      <c r="G80" s="78"/>
      <c r="H80" s="79"/>
      <c r="I80" s="29"/>
      <c r="J80" s="77"/>
      <c r="K80" s="30"/>
      <c r="L80" s="43" t="str">
        <f aca="false">IF(OR(ChangeLog[[#This Row],[Title]]="",N(ChangeLog[[#This Row],[Raised]])=0,AND(ChangeLog[[#This Row],[Status]]&lt;&gt;"Submitted",ChangeLog[[#This Row],[Status]]&lt;&gt;"Under Review")),"",MAX(0,StatusDate-ChangeLog[[#This Row],[Raised]]))</f>
        <v/>
      </c>
      <c r="M80" s="29"/>
      <c r="N80" s="24" t="str">
        <f aca="false">IF(N(ChangeLog[[#This Row],[Task UID]])=0,"",IFERROR(INDEX(tsk_Name,MATCH(ChangeLog[[#This Row],[Task UID]],tsk_UID,0)),"UID "&amp;ChangeLog[[#This Row],[Task UID]]&amp;" not found"))</f>
        <v/>
      </c>
    </row>
    <row r="81" customFormat="false" ht="15" hidden="false" customHeight="false" outlineLevel="0" collapsed="false">
      <c r="B81" s="29" t="n">
        <v>77</v>
      </c>
      <c r="C81" s="77"/>
      <c r="D81" s="30"/>
      <c r="E81" s="30"/>
      <c r="F81" s="30"/>
      <c r="G81" s="78"/>
      <c r="H81" s="79"/>
      <c r="I81" s="29"/>
      <c r="J81" s="77"/>
      <c r="K81" s="30"/>
      <c r="L81" s="43" t="str">
        <f aca="false">IF(OR(ChangeLog[[#This Row],[Title]]="",N(ChangeLog[[#This Row],[Raised]])=0,AND(ChangeLog[[#This Row],[Status]]&lt;&gt;"Submitted",ChangeLog[[#This Row],[Status]]&lt;&gt;"Under Review")),"",MAX(0,StatusDate-ChangeLog[[#This Row],[Raised]]))</f>
        <v/>
      </c>
      <c r="M81" s="29"/>
      <c r="N81" s="24" t="str">
        <f aca="false">IF(N(ChangeLog[[#This Row],[Task UID]])=0,"",IFERROR(INDEX(tsk_Name,MATCH(ChangeLog[[#This Row],[Task UID]],tsk_UID,0)),"UID "&amp;ChangeLog[[#This Row],[Task UID]]&amp;" not found"))</f>
        <v/>
      </c>
    </row>
    <row r="82" customFormat="false" ht="15" hidden="false" customHeight="false" outlineLevel="0" collapsed="false">
      <c r="B82" s="29" t="n">
        <v>78</v>
      </c>
      <c r="C82" s="77"/>
      <c r="D82" s="30"/>
      <c r="E82" s="30"/>
      <c r="F82" s="30"/>
      <c r="G82" s="78"/>
      <c r="H82" s="79"/>
      <c r="I82" s="29"/>
      <c r="J82" s="77"/>
      <c r="K82" s="30"/>
      <c r="L82" s="43" t="str">
        <f aca="false">IF(OR(ChangeLog[[#This Row],[Title]]="",N(ChangeLog[[#This Row],[Raised]])=0,AND(ChangeLog[[#This Row],[Status]]&lt;&gt;"Submitted",ChangeLog[[#This Row],[Status]]&lt;&gt;"Under Review")),"",MAX(0,StatusDate-ChangeLog[[#This Row],[Raised]]))</f>
        <v/>
      </c>
      <c r="M82" s="29"/>
      <c r="N82" s="24" t="str">
        <f aca="false">IF(N(ChangeLog[[#This Row],[Task UID]])=0,"",IFERROR(INDEX(tsk_Name,MATCH(ChangeLog[[#This Row],[Task UID]],tsk_UID,0)),"UID "&amp;ChangeLog[[#This Row],[Task UID]]&amp;" not found"))</f>
        <v/>
      </c>
    </row>
    <row r="83" customFormat="false" ht="15" hidden="false" customHeight="false" outlineLevel="0" collapsed="false">
      <c r="B83" s="29" t="n">
        <v>79</v>
      </c>
      <c r="C83" s="77"/>
      <c r="D83" s="30"/>
      <c r="E83" s="30"/>
      <c r="F83" s="30"/>
      <c r="G83" s="78"/>
      <c r="H83" s="79"/>
      <c r="I83" s="29"/>
      <c r="J83" s="77"/>
      <c r="K83" s="30"/>
      <c r="L83" s="43" t="str">
        <f aca="false">IF(OR(ChangeLog[[#This Row],[Title]]="",N(ChangeLog[[#This Row],[Raised]])=0,AND(ChangeLog[[#This Row],[Status]]&lt;&gt;"Submitted",ChangeLog[[#This Row],[Status]]&lt;&gt;"Under Review")),"",MAX(0,StatusDate-ChangeLog[[#This Row],[Raised]]))</f>
        <v/>
      </c>
      <c r="M83" s="29"/>
      <c r="N83" s="24" t="str">
        <f aca="false">IF(N(ChangeLog[[#This Row],[Task UID]])=0,"",IFERROR(INDEX(tsk_Name,MATCH(ChangeLog[[#This Row],[Task UID]],tsk_UID,0)),"UID "&amp;ChangeLog[[#This Row],[Task UID]]&amp;" not found"))</f>
        <v/>
      </c>
    </row>
    <row r="84" customFormat="false" ht="15" hidden="false" customHeight="false" outlineLevel="0" collapsed="false">
      <c r="B84" s="29" t="n">
        <v>80</v>
      </c>
      <c r="C84" s="77"/>
      <c r="D84" s="30"/>
      <c r="E84" s="30"/>
      <c r="F84" s="30"/>
      <c r="G84" s="78"/>
      <c r="H84" s="79"/>
      <c r="I84" s="29"/>
      <c r="J84" s="77"/>
      <c r="K84" s="30"/>
      <c r="L84" s="43" t="str">
        <f aca="false">IF(OR(ChangeLog[[#This Row],[Title]]="",N(ChangeLog[[#This Row],[Raised]])=0,AND(ChangeLog[[#This Row],[Status]]&lt;&gt;"Submitted",ChangeLog[[#This Row],[Status]]&lt;&gt;"Under Review")),"",MAX(0,StatusDate-ChangeLog[[#This Row],[Raised]]))</f>
        <v/>
      </c>
      <c r="M84" s="29"/>
      <c r="N84" s="24" t="str">
        <f aca="false">IF(N(ChangeLog[[#This Row],[Task UID]])=0,"",IFERROR(INDEX(tsk_Name,MATCH(ChangeLog[[#This Row],[Task UID]],tsk_UID,0)),"UID "&amp;ChangeLog[[#This Row],[Task UID]]&amp;" not found"))</f>
        <v/>
      </c>
    </row>
    <row r="85" customFormat="false" ht="15" hidden="false" customHeight="false" outlineLevel="0" collapsed="false">
      <c r="B85" s="29" t="n">
        <v>81</v>
      </c>
      <c r="C85" s="77"/>
      <c r="D85" s="30"/>
      <c r="E85" s="30"/>
      <c r="F85" s="30"/>
      <c r="G85" s="78"/>
      <c r="H85" s="79"/>
      <c r="I85" s="29"/>
      <c r="J85" s="77"/>
      <c r="K85" s="30"/>
      <c r="L85" s="43" t="str">
        <f aca="false">IF(OR(ChangeLog[[#This Row],[Title]]="",N(ChangeLog[[#This Row],[Raised]])=0,AND(ChangeLog[[#This Row],[Status]]&lt;&gt;"Submitted",ChangeLog[[#This Row],[Status]]&lt;&gt;"Under Review")),"",MAX(0,StatusDate-ChangeLog[[#This Row],[Raised]]))</f>
        <v/>
      </c>
      <c r="M85" s="29"/>
      <c r="N85" s="24" t="str">
        <f aca="false">IF(N(ChangeLog[[#This Row],[Task UID]])=0,"",IFERROR(INDEX(tsk_Name,MATCH(ChangeLog[[#This Row],[Task UID]],tsk_UID,0)),"UID "&amp;ChangeLog[[#This Row],[Task UID]]&amp;" not found"))</f>
        <v/>
      </c>
    </row>
    <row r="86" customFormat="false" ht="15" hidden="false" customHeight="false" outlineLevel="0" collapsed="false">
      <c r="B86" s="29" t="n">
        <v>82</v>
      </c>
      <c r="C86" s="77"/>
      <c r="D86" s="30"/>
      <c r="E86" s="30"/>
      <c r="F86" s="30"/>
      <c r="G86" s="78"/>
      <c r="H86" s="79"/>
      <c r="I86" s="29"/>
      <c r="J86" s="77"/>
      <c r="K86" s="30"/>
      <c r="L86" s="43" t="str">
        <f aca="false">IF(OR(ChangeLog[[#This Row],[Title]]="",N(ChangeLog[[#This Row],[Raised]])=0,AND(ChangeLog[[#This Row],[Status]]&lt;&gt;"Submitted",ChangeLog[[#This Row],[Status]]&lt;&gt;"Under Review")),"",MAX(0,StatusDate-ChangeLog[[#This Row],[Raised]]))</f>
        <v/>
      </c>
      <c r="M86" s="29"/>
      <c r="N86" s="24" t="str">
        <f aca="false">IF(N(ChangeLog[[#This Row],[Task UID]])=0,"",IFERROR(INDEX(tsk_Name,MATCH(ChangeLog[[#This Row],[Task UID]],tsk_UID,0)),"UID "&amp;ChangeLog[[#This Row],[Task UID]]&amp;" not found"))</f>
        <v/>
      </c>
    </row>
    <row r="87" customFormat="false" ht="15" hidden="false" customHeight="false" outlineLevel="0" collapsed="false">
      <c r="B87" s="29" t="n">
        <v>83</v>
      </c>
      <c r="C87" s="77"/>
      <c r="D87" s="30"/>
      <c r="E87" s="30"/>
      <c r="F87" s="30"/>
      <c r="G87" s="78"/>
      <c r="H87" s="79"/>
      <c r="I87" s="29"/>
      <c r="J87" s="77"/>
      <c r="K87" s="30"/>
      <c r="L87" s="43" t="str">
        <f aca="false">IF(OR(ChangeLog[[#This Row],[Title]]="",N(ChangeLog[[#This Row],[Raised]])=0,AND(ChangeLog[[#This Row],[Status]]&lt;&gt;"Submitted",ChangeLog[[#This Row],[Status]]&lt;&gt;"Under Review")),"",MAX(0,StatusDate-ChangeLog[[#This Row],[Raised]]))</f>
        <v/>
      </c>
      <c r="M87" s="29"/>
      <c r="N87" s="24" t="str">
        <f aca="false">IF(N(ChangeLog[[#This Row],[Task UID]])=0,"",IFERROR(INDEX(tsk_Name,MATCH(ChangeLog[[#This Row],[Task UID]],tsk_UID,0)),"UID "&amp;ChangeLog[[#This Row],[Task UID]]&amp;" not found"))</f>
        <v/>
      </c>
    </row>
    <row r="88" customFormat="false" ht="15" hidden="false" customHeight="false" outlineLevel="0" collapsed="false">
      <c r="B88" s="29" t="n">
        <v>84</v>
      </c>
      <c r="C88" s="77"/>
      <c r="D88" s="30"/>
      <c r="E88" s="30"/>
      <c r="F88" s="30"/>
      <c r="G88" s="78"/>
      <c r="H88" s="79"/>
      <c r="I88" s="29"/>
      <c r="J88" s="77"/>
      <c r="K88" s="30"/>
      <c r="L88" s="43" t="str">
        <f aca="false">IF(OR(ChangeLog[[#This Row],[Title]]="",N(ChangeLog[[#This Row],[Raised]])=0,AND(ChangeLog[[#This Row],[Status]]&lt;&gt;"Submitted",ChangeLog[[#This Row],[Status]]&lt;&gt;"Under Review")),"",MAX(0,StatusDate-ChangeLog[[#This Row],[Raised]]))</f>
        <v/>
      </c>
      <c r="M88" s="29"/>
      <c r="N88" s="24" t="str">
        <f aca="false">IF(N(ChangeLog[[#This Row],[Task UID]])=0,"",IFERROR(INDEX(tsk_Name,MATCH(ChangeLog[[#This Row],[Task UID]],tsk_UID,0)),"UID "&amp;ChangeLog[[#This Row],[Task UID]]&amp;" not found"))</f>
        <v/>
      </c>
    </row>
    <row r="89" customFormat="false" ht="15" hidden="false" customHeight="false" outlineLevel="0" collapsed="false">
      <c r="B89" s="29" t="n">
        <v>85</v>
      </c>
      <c r="C89" s="77"/>
      <c r="D89" s="30"/>
      <c r="E89" s="30"/>
      <c r="F89" s="30"/>
      <c r="G89" s="78"/>
      <c r="H89" s="79"/>
      <c r="I89" s="29"/>
      <c r="J89" s="77"/>
      <c r="K89" s="30"/>
      <c r="L89" s="43" t="str">
        <f aca="false">IF(OR(ChangeLog[[#This Row],[Title]]="",N(ChangeLog[[#This Row],[Raised]])=0,AND(ChangeLog[[#This Row],[Status]]&lt;&gt;"Submitted",ChangeLog[[#This Row],[Status]]&lt;&gt;"Under Review")),"",MAX(0,StatusDate-ChangeLog[[#This Row],[Raised]]))</f>
        <v/>
      </c>
      <c r="M89" s="29"/>
      <c r="N89" s="24" t="str">
        <f aca="false">IF(N(ChangeLog[[#This Row],[Task UID]])=0,"",IFERROR(INDEX(tsk_Name,MATCH(ChangeLog[[#This Row],[Task UID]],tsk_UID,0)),"UID "&amp;ChangeLog[[#This Row],[Task UID]]&amp;" not found"))</f>
        <v/>
      </c>
    </row>
    <row r="90" customFormat="false" ht="15" hidden="false" customHeight="false" outlineLevel="0" collapsed="false">
      <c r="B90" s="29" t="n">
        <v>86</v>
      </c>
      <c r="C90" s="77"/>
      <c r="D90" s="30"/>
      <c r="E90" s="30"/>
      <c r="F90" s="30"/>
      <c r="G90" s="78"/>
      <c r="H90" s="79"/>
      <c r="I90" s="29"/>
      <c r="J90" s="77"/>
      <c r="K90" s="30"/>
      <c r="L90" s="43" t="str">
        <f aca="false">IF(OR(ChangeLog[[#This Row],[Title]]="",N(ChangeLog[[#This Row],[Raised]])=0,AND(ChangeLog[[#This Row],[Status]]&lt;&gt;"Submitted",ChangeLog[[#This Row],[Status]]&lt;&gt;"Under Review")),"",MAX(0,StatusDate-ChangeLog[[#This Row],[Raised]]))</f>
        <v/>
      </c>
      <c r="M90" s="29"/>
      <c r="N90" s="24" t="str">
        <f aca="false">IF(N(ChangeLog[[#This Row],[Task UID]])=0,"",IFERROR(INDEX(tsk_Name,MATCH(ChangeLog[[#This Row],[Task UID]],tsk_UID,0)),"UID "&amp;ChangeLog[[#This Row],[Task UID]]&amp;" not found"))</f>
        <v/>
      </c>
    </row>
    <row r="91" customFormat="false" ht="15" hidden="false" customHeight="false" outlineLevel="0" collapsed="false">
      <c r="B91" s="29" t="n">
        <v>87</v>
      </c>
      <c r="C91" s="77"/>
      <c r="D91" s="30"/>
      <c r="E91" s="30"/>
      <c r="F91" s="30"/>
      <c r="G91" s="78"/>
      <c r="H91" s="79"/>
      <c r="I91" s="29"/>
      <c r="J91" s="77"/>
      <c r="K91" s="30"/>
      <c r="L91" s="43" t="str">
        <f aca="false">IF(OR(ChangeLog[[#This Row],[Title]]="",N(ChangeLog[[#This Row],[Raised]])=0,AND(ChangeLog[[#This Row],[Status]]&lt;&gt;"Submitted",ChangeLog[[#This Row],[Status]]&lt;&gt;"Under Review")),"",MAX(0,StatusDate-ChangeLog[[#This Row],[Raised]]))</f>
        <v/>
      </c>
      <c r="M91" s="29"/>
      <c r="N91" s="24" t="str">
        <f aca="false">IF(N(ChangeLog[[#This Row],[Task UID]])=0,"",IFERROR(INDEX(tsk_Name,MATCH(ChangeLog[[#This Row],[Task UID]],tsk_UID,0)),"UID "&amp;ChangeLog[[#This Row],[Task UID]]&amp;" not found"))</f>
        <v/>
      </c>
    </row>
    <row r="92" customFormat="false" ht="15" hidden="false" customHeight="false" outlineLevel="0" collapsed="false">
      <c r="B92" s="29" t="n">
        <v>88</v>
      </c>
      <c r="C92" s="77"/>
      <c r="D92" s="30"/>
      <c r="E92" s="30"/>
      <c r="F92" s="30"/>
      <c r="G92" s="78"/>
      <c r="H92" s="79"/>
      <c r="I92" s="29"/>
      <c r="J92" s="77"/>
      <c r="K92" s="30"/>
      <c r="L92" s="43" t="str">
        <f aca="false">IF(OR(ChangeLog[[#This Row],[Title]]="",N(ChangeLog[[#This Row],[Raised]])=0,AND(ChangeLog[[#This Row],[Status]]&lt;&gt;"Submitted",ChangeLog[[#This Row],[Status]]&lt;&gt;"Under Review")),"",MAX(0,StatusDate-ChangeLog[[#This Row],[Raised]]))</f>
        <v/>
      </c>
      <c r="M92" s="29"/>
      <c r="N92" s="24" t="str">
        <f aca="false">IF(N(ChangeLog[[#This Row],[Task UID]])=0,"",IFERROR(INDEX(tsk_Name,MATCH(ChangeLog[[#This Row],[Task UID]],tsk_UID,0)),"UID "&amp;ChangeLog[[#This Row],[Task UID]]&amp;" not found"))</f>
        <v/>
      </c>
    </row>
    <row r="93" customFormat="false" ht="15" hidden="false" customHeight="false" outlineLevel="0" collapsed="false">
      <c r="B93" s="29" t="n">
        <v>89</v>
      </c>
      <c r="C93" s="77"/>
      <c r="D93" s="30"/>
      <c r="E93" s="30"/>
      <c r="F93" s="30"/>
      <c r="G93" s="78"/>
      <c r="H93" s="79"/>
      <c r="I93" s="29"/>
      <c r="J93" s="77"/>
      <c r="K93" s="30"/>
      <c r="L93" s="43" t="str">
        <f aca="false">IF(OR(ChangeLog[[#This Row],[Title]]="",N(ChangeLog[[#This Row],[Raised]])=0,AND(ChangeLog[[#This Row],[Status]]&lt;&gt;"Submitted",ChangeLog[[#This Row],[Status]]&lt;&gt;"Under Review")),"",MAX(0,StatusDate-ChangeLog[[#This Row],[Raised]]))</f>
        <v/>
      </c>
      <c r="M93" s="29"/>
      <c r="N93" s="24" t="str">
        <f aca="false">IF(N(ChangeLog[[#This Row],[Task UID]])=0,"",IFERROR(INDEX(tsk_Name,MATCH(ChangeLog[[#This Row],[Task UID]],tsk_UID,0)),"UID "&amp;ChangeLog[[#This Row],[Task UID]]&amp;" not found"))</f>
        <v/>
      </c>
    </row>
    <row r="94" customFormat="false" ht="15" hidden="false" customHeight="false" outlineLevel="0" collapsed="false">
      <c r="B94" s="29" t="n">
        <v>90</v>
      </c>
      <c r="C94" s="77"/>
      <c r="D94" s="30"/>
      <c r="E94" s="30"/>
      <c r="F94" s="30"/>
      <c r="G94" s="78"/>
      <c r="H94" s="79"/>
      <c r="I94" s="29"/>
      <c r="J94" s="77"/>
      <c r="K94" s="30"/>
      <c r="L94" s="43" t="str">
        <f aca="false">IF(OR(ChangeLog[[#This Row],[Title]]="",N(ChangeLog[[#This Row],[Raised]])=0,AND(ChangeLog[[#This Row],[Status]]&lt;&gt;"Submitted",ChangeLog[[#This Row],[Status]]&lt;&gt;"Under Review")),"",MAX(0,StatusDate-ChangeLog[[#This Row],[Raised]]))</f>
        <v/>
      </c>
      <c r="M94" s="29"/>
      <c r="N94" s="24" t="str">
        <f aca="false">IF(N(ChangeLog[[#This Row],[Task UID]])=0,"",IFERROR(INDEX(tsk_Name,MATCH(ChangeLog[[#This Row],[Task UID]],tsk_UID,0)),"UID "&amp;ChangeLog[[#This Row],[Task UID]]&amp;" not found"))</f>
        <v/>
      </c>
    </row>
    <row r="95" customFormat="false" ht="15" hidden="false" customHeight="false" outlineLevel="0" collapsed="false">
      <c r="B95" s="29" t="n">
        <v>91</v>
      </c>
      <c r="C95" s="77"/>
      <c r="D95" s="30"/>
      <c r="E95" s="30"/>
      <c r="F95" s="30"/>
      <c r="G95" s="78"/>
      <c r="H95" s="79"/>
      <c r="I95" s="29"/>
      <c r="J95" s="77"/>
      <c r="K95" s="30"/>
      <c r="L95" s="43" t="str">
        <f aca="false">IF(OR(ChangeLog[[#This Row],[Title]]="",N(ChangeLog[[#This Row],[Raised]])=0,AND(ChangeLog[[#This Row],[Status]]&lt;&gt;"Submitted",ChangeLog[[#This Row],[Status]]&lt;&gt;"Under Review")),"",MAX(0,StatusDate-ChangeLog[[#This Row],[Raised]]))</f>
        <v/>
      </c>
      <c r="M95" s="29"/>
      <c r="N95" s="24" t="str">
        <f aca="false">IF(N(ChangeLog[[#This Row],[Task UID]])=0,"",IFERROR(INDEX(tsk_Name,MATCH(ChangeLog[[#This Row],[Task UID]],tsk_UID,0)),"UID "&amp;ChangeLog[[#This Row],[Task UID]]&amp;" not found"))</f>
        <v/>
      </c>
    </row>
    <row r="96" customFormat="false" ht="15" hidden="false" customHeight="false" outlineLevel="0" collapsed="false">
      <c r="B96" s="29" t="n">
        <v>92</v>
      </c>
      <c r="C96" s="77"/>
      <c r="D96" s="30"/>
      <c r="E96" s="30"/>
      <c r="F96" s="30"/>
      <c r="G96" s="78"/>
      <c r="H96" s="79"/>
      <c r="I96" s="29"/>
      <c r="J96" s="77"/>
      <c r="K96" s="30"/>
      <c r="L96" s="43" t="str">
        <f aca="false">IF(OR(ChangeLog[[#This Row],[Title]]="",N(ChangeLog[[#This Row],[Raised]])=0,AND(ChangeLog[[#This Row],[Status]]&lt;&gt;"Submitted",ChangeLog[[#This Row],[Status]]&lt;&gt;"Under Review")),"",MAX(0,StatusDate-ChangeLog[[#This Row],[Raised]]))</f>
        <v/>
      </c>
      <c r="M96" s="29"/>
      <c r="N96" s="24" t="str">
        <f aca="false">IF(N(ChangeLog[[#This Row],[Task UID]])=0,"",IFERROR(INDEX(tsk_Name,MATCH(ChangeLog[[#This Row],[Task UID]],tsk_UID,0)),"UID "&amp;ChangeLog[[#This Row],[Task UID]]&amp;" not found"))</f>
        <v/>
      </c>
    </row>
    <row r="97" customFormat="false" ht="15" hidden="false" customHeight="false" outlineLevel="0" collapsed="false">
      <c r="B97" s="29" t="n">
        <v>93</v>
      </c>
      <c r="C97" s="77"/>
      <c r="D97" s="30"/>
      <c r="E97" s="30"/>
      <c r="F97" s="30"/>
      <c r="G97" s="78"/>
      <c r="H97" s="79"/>
      <c r="I97" s="29"/>
      <c r="J97" s="77"/>
      <c r="K97" s="30"/>
      <c r="L97" s="43" t="str">
        <f aca="false">IF(OR(ChangeLog[[#This Row],[Title]]="",N(ChangeLog[[#This Row],[Raised]])=0,AND(ChangeLog[[#This Row],[Status]]&lt;&gt;"Submitted",ChangeLog[[#This Row],[Status]]&lt;&gt;"Under Review")),"",MAX(0,StatusDate-ChangeLog[[#This Row],[Raised]]))</f>
        <v/>
      </c>
      <c r="M97" s="29"/>
      <c r="N97" s="24" t="str">
        <f aca="false">IF(N(ChangeLog[[#This Row],[Task UID]])=0,"",IFERROR(INDEX(tsk_Name,MATCH(ChangeLog[[#This Row],[Task UID]],tsk_UID,0)),"UID "&amp;ChangeLog[[#This Row],[Task UID]]&amp;" not found"))</f>
        <v/>
      </c>
    </row>
    <row r="98" customFormat="false" ht="15" hidden="false" customHeight="false" outlineLevel="0" collapsed="false">
      <c r="B98" s="29" t="n">
        <v>94</v>
      </c>
      <c r="C98" s="77"/>
      <c r="D98" s="30"/>
      <c r="E98" s="30"/>
      <c r="F98" s="30"/>
      <c r="G98" s="78"/>
      <c r="H98" s="79"/>
      <c r="I98" s="29"/>
      <c r="J98" s="77"/>
      <c r="K98" s="30"/>
      <c r="L98" s="43" t="str">
        <f aca="false">IF(OR(ChangeLog[[#This Row],[Title]]="",N(ChangeLog[[#This Row],[Raised]])=0,AND(ChangeLog[[#This Row],[Status]]&lt;&gt;"Submitted",ChangeLog[[#This Row],[Status]]&lt;&gt;"Under Review")),"",MAX(0,StatusDate-ChangeLog[[#This Row],[Raised]]))</f>
        <v/>
      </c>
      <c r="M98" s="29"/>
      <c r="N98" s="24" t="str">
        <f aca="false">IF(N(ChangeLog[[#This Row],[Task UID]])=0,"",IFERROR(INDEX(tsk_Name,MATCH(ChangeLog[[#This Row],[Task UID]],tsk_UID,0)),"UID "&amp;ChangeLog[[#This Row],[Task UID]]&amp;" not found"))</f>
        <v/>
      </c>
    </row>
    <row r="99" customFormat="false" ht="15" hidden="false" customHeight="false" outlineLevel="0" collapsed="false">
      <c r="B99" s="29" t="n">
        <v>95</v>
      </c>
      <c r="C99" s="77"/>
      <c r="D99" s="30"/>
      <c r="E99" s="30"/>
      <c r="F99" s="30"/>
      <c r="G99" s="78"/>
      <c r="H99" s="79"/>
      <c r="I99" s="29"/>
      <c r="J99" s="77"/>
      <c r="K99" s="30"/>
      <c r="L99" s="43" t="str">
        <f aca="false">IF(OR(ChangeLog[[#This Row],[Title]]="",N(ChangeLog[[#This Row],[Raised]])=0,AND(ChangeLog[[#This Row],[Status]]&lt;&gt;"Submitted",ChangeLog[[#This Row],[Status]]&lt;&gt;"Under Review")),"",MAX(0,StatusDate-ChangeLog[[#This Row],[Raised]]))</f>
        <v/>
      </c>
      <c r="M99" s="29"/>
      <c r="N99" s="24" t="str">
        <f aca="false">IF(N(ChangeLog[[#This Row],[Task UID]])=0,"",IFERROR(INDEX(tsk_Name,MATCH(ChangeLog[[#This Row],[Task UID]],tsk_UID,0)),"UID "&amp;ChangeLog[[#This Row],[Task UID]]&amp;" not found"))</f>
        <v/>
      </c>
    </row>
    <row r="100" customFormat="false" ht="15" hidden="false" customHeight="false" outlineLevel="0" collapsed="false">
      <c r="B100" s="29" t="n">
        <v>96</v>
      </c>
      <c r="C100" s="77"/>
      <c r="D100" s="30"/>
      <c r="E100" s="30"/>
      <c r="F100" s="30"/>
      <c r="G100" s="78"/>
      <c r="H100" s="79"/>
      <c r="I100" s="29"/>
      <c r="J100" s="77"/>
      <c r="K100" s="30"/>
      <c r="L100" s="43" t="str">
        <f aca="false">IF(OR(ChangeLog[[#This Row],[Title]]="",N(ChangeLog[[#This Row],[Raised]])=0,AND(ChangeLog[[#This Row],[Status]]&lt;&gt;"Submitted",ChangeLog[[#This Row],[Status]]&lt;&gt;"Under Review")),"",MAX(0,StatusDate-ChangeLog[[#This Row],[Raised]]))</f>
        <v/>
      </c>
      <c r="M100" s="29"/>
      <c r="N100" s="24" t="str">
        <f aca="false">IF(N(ChangeLog[[#This Row],[Task UID]])=0,"",IFERROR(INDEX(tsk_Name,MATCH(ChangeLog[[#This Row],[Task UID]],tsk_UID,0)),"UID "&amp;ChangeLog[[#This Row],[Task UID]]&amp;" not found"))</f>
        <v/>
      </c>
    </row>
    <row r="101" customFormat="false" ht="15" hidden="false" customHeight="false" outlineLevel="0" collapsed="false">
      <c r="B101" s="29" t="n">
        <v>97</v>
      </c>
      <c r="C101" s="77"/>
      <c r="D101" s="30"/>
      <c r="E101" s="30"/>
      <c r="F101" s="30"/>
      <c r="G101" s="78"/>
      <c r="H101" s="79"/>
      <c r="I101" s="29"/>
      <c r="J101" s="77"/>
      <c r="K101" s="30"/>
      <c r="L101" s="43" t="str">
        <f aca="false">IF(OR(ChangeLog[[#This Row],[Title]]="",N(ChangeLog[[#This Row],[Raised]])=0,AND(ChangeLog[[#This Row],[Status]]&lt;&gt;"Submitted",ChangeLog[[#This Row],[Status]]&lt;&gt;"Under Review")),"",MAX(0,StatusDate-ChangeLog[[#This Row],[Raised]]))</f>
        <v/>
      </c>
      <c r="M101" s="29"/>
      <c r="N101" s="24" t="str">
        <f aca="false">IF(N(ChangeLog[[#This Row],[Task UID]])=0,"",IFERROR(INDEX(tsk_Name,MATCH(ChangeLog[[#This Row],[Task UID]],tsk_UID,0)),"UID "&amp;ChangeLog[[#This Row],[Task UID]]&amp;" not found"))</f>
        <v/>
      </c>
    </row>
    <row r="102" customFormat="false" ht="15" hidden="false" customHeight="false" outlineLevel="0" collapsed="false">
      <c r="B102" s="29" t="n">
        <v>98</v>
      </c>
      <c r="C102" s="77"/>
      <c r="D102" s="30"/>
      <c r="E102" s="30"/>
      <c r="F102" s="30"/>
      <c r="G102" s="78"/>
      <c r="H102" s="79"/>
      <c r="I102" s="29"/>
      <c r="J102" s="77"/>
      <c r="K102" s="30"/>
      <c r="L102" s="43" t="str">
        <f aca="false">IF(OR(ChangeLog[[#This Row],[Title]]="",N(ChangeLog[[#This Row],[Raised]])=0,AND(ChangeLog[[#This Row],[Status]]&lt;&gt;"Submitted",ChangeLog[[#This Row],[Status]]&lt;&gt;"Under Review")),"",MAX(0,StatusDate-ChangeLog[[#This Row],[Raised]]))</f>
        <v/>
      </c>
      <c r="M102" s="29"/>
      <c r="N102" s="24" t="str">
        <f aca="false">IF(N(ChangeLog[[#This Row],[Task UID]])=0,"",IFERROR(INDEX(tsk_Name,MATCH(ChangeLog[[#This Row],[Task UID]],tsk_UID,0)),"UID "&amp;ChangeLog[[#This Row],[Task UID]]&amp;" not found"))</f>
        <v/>
      </c>
    </row>
    <row r="103" customFormat="false" ht="15" hidden="false" customHeight="false" outlineLevel="0" collapsed="false">
      <c r="B103" s="29" t="n">
        <v>99</v>
      </c>
      <c r="C103" s="77"/>
      <c r="D103" s="30"/>
      <c r="E103" s="30"/>
      <c r="F103" s="30"/>
      <c r="G103" s="78"/>
      <c r="H103" s="79"/>
      <c r="I103" s="29"/>
      <c r="J103" s="77"/>
      <c r="K103" s="30"/>
      <c r="L103" s="43" t="str">
        <f aca="false">IF(OR(ChangeLog[[#This Row],[Title]]="",N(ChangeLog[[#This Row],[Raised]])=0,AND(ChangeLog[[#This Row],[Status]]&lt;&gt;"Submitted",ChangeLog[[#This Row],[Status]]&lt;&gt;"Under Review")),"",MAX(0,StatusDate-ChangeLog[[#This Row],[Raised]]))</f>
        <v/>
      </c>
      <c r="M103" s="29"/>
      <c r="N103" s="24" t="str">
        <f aca="false">IF(N(ChangeLog[[#This Row],[Task UID]])=0,"",IFERROR(INDEX(tsk_Name,MATCH(ChangeLog[[#This Row],[Task UID]],tsk_UID,0)),"UID "&amp;ChangeLog[[#This Row],[Task UID]]&amp;" not found"))</f>
        <v/>
      </c>
    </row>
    <row r="104" customFormat="false" ht="15" hidden="false" customHeight="false" outlineLevel="0" collapsed="false">
      <c r="B104" s="29" t="n">
        <v>100</v>
      </c>
      <c r="C104" s="77"/>
      <c r="D104" s="30"/>
      <c r="E104" s="30"/>
      <c r="F104" s="30"/>
      <c r="G104" s="78"/>
      <c r="H104" s="79"/>
      <c r="I104" s="29"/>
      <c r="J104" s="77"/>
      <c r="K104" s="30"/>
      <c r="L104" s="43" t="str">
        <f aca="false">IF(OR(ChangeLog[[#This Row],[Title]]="",N(ChangeLog[[#This Row],[Raised]])=0,AND(ChangeLog[[#This Row],[Status]]&lt;&gt;"Submitted",ChangeLog[[#This Row],[Status]]&lt;&gt;"Under Review")),"",MAX(0,StatusDate-ChangeLog[[#This Row],[Raised]]))</f>
        <v/>
      </c>
      <c r="M104" s="29"/>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31">
      <formula>I5="Rejected"</formula>
    </cfRule>
    <cfRule type="expression" priority="5" aboveAverage="0" equalAverage="0" bottom="0" percent="0" rank="0" text="" dxfId="30">
      <formula>I5="Submitted"</formula>
    </cfRule>
    <cfRule type="expression" priority="6" aboveAverage="0" equalAverage="0" bottom="0" percent="0" rank="0" text="" dxfId="30">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346</v>
      </c>
    </row>
    <row r="2" customFormat="false" ht="15" hidden="false" customHeight="false" outlineLevel="0" collapsed="false">
      <c r="A2" s="8" t="s">
        <v>347</v>
      </c>
    </row>
    <row r="4" customFormat="false" ht="23.85" hidden="false" customHeight="false" outlineLevel="0" collapsed="false">
      <c r="B4" s="9" t="s">
        <v>348</v>
      </c>
      <c r="C4" s="9" t="s">
        <v>208</v>
      </c>
      <c r="D4" s="9" t="s">
        <v>207</v>
      </c>
      <c r="E4" s="9" t="s">
        <v>209</v>
      </c>
      <c r="F4" s="9" t="s">
        <v>349</v>
      </c>
      <c r="G4" s="9" t="s">
        <v>350</v>
      </c>
      <c r="H4" s="9" t="s">
        <v>351</v>
      </c>
      <c r="I4" s="9" t="s">
        <v>212</v>
      </c>
      <c r="J4" s="9" t="s">
        <v>213</v>
      </c>
      <c r="K4" s="9" t="s">
        <v>214</v>
      </c>
      <c r="L4" s="9" t="s">
        <v>215</v>
      </c>
      <c r="M4" s="9" t="s">
        <v>216</v>
      </c>
      <c r="N4" s="9" t="s">
        <v>352</v>
      </c>
      <c r="O4" s="9" t="s">
        <v>353</v>
      </c>
      <c r="P4" s="9" t="s">
        <v>354</v>
      </c>
      <c r="Q4" s="9" t="s">
        <v>355</v>
      </c>
      <c r="R4" s="9" t="s">
        <v>356</v>
      </c>
      <c r="S4" s="9" t="s">
        <v>357</v>
      </c>
      <c r="T4" s="9" t="s">
        <v>131</v>
      </c>
    </row>
    <row r="5" customFormat="false" ht="15" hidden="false" customHeight="false" outlineLevel="0" collapsed="false">
      <c r="B5" s="48" t="n">
        <f aca="false">StatusDate</f>
        <v>46320</v>
      </c>
      <c r="C5" s="48" t="n">
        <f aca="false">ProjectFinish</f>
        <v>46393</v>
      </c>
      <c r="D5" s="48" t="n">
        <f aca="false">PlannedFinish</f>
        <v>46393</v>
      </c>
      <c r="E5" s="49" t="n">
        <f aca="false">FinishVarianceDays</f>
        <v>0</v>
      </c>
      <c r="F5" s="50" t="n">
        <f aca="false">evm_PctEarned</f>
        <v>0.49000689179876</v>
      </c>
      <c r="G5" s="50" t="n">
        <f aca="false">evm_PctPlanned</f>
        <v>0.626464507236389</v>
      </c>
      <c r="H5" s="51" t="n">
        <f aca="false">evm_BAC</f>
        <v>58040</v>
      </c>
      <c r="I5" s="51" t="n">
        <f aca="false">evm_PV</f>
        <v>36360</v>
      </c>
      <c r="J5" s="51" t="n">
        <f aca="false">evm_EV</f>
        <v>28440</v>
      </c>
      <c r="K5" s="51" t="n">
        <f aca="false">evm_AC</f>
        <v>30440</v>
      </c>
      <c r="L5" s="52" t="n">
        <f aca="false">evm_SPI</f>
        <v>0.782178217821782</v>
      </c>
      <c r="M5" s="52" t="n">
        <f aca="false">evm_CPI</f>
        <v>0.934296977660972</v>
      </c>
      <c r="N5" s="51" t="n">
        <f aca="false">evm_EAC</f>
        <v>62121.5752461322</v>
      </c>
      <c r="O5" s="55" t="n">
        <f aca="false">agl_Done</f>
        <v>33</v>
      </c>
      <c r="P5" s="55" t="n">
        <f aca="false">TotalPoints</f>
        <v>82</v>
      </c>
      <c r="Q5" s="53" t="n">
        <f aca="false">COUNTIFS(raid_Type,"Risk",raid_Status,"&lt;&gt;Closed")</f>
        <v>2</v>
      </c>
      <c r="R5" s="53" t="n">
        <f aca="false">COUNTIFS(raid_Type,"Issue",raid_Status,"&lt;&gt;Closed")</f>
        <v>1</v>
      </c>
      <c r="S5" s="53" t="n">
        <f aca="false">COUNTIF(chg_Status,"Submitted")+COUNTIF(chg_Status,"Under Review")</f>
        <v>1</v>
      </c>
      <c r="T5" s="80" t="str">
        <f aca="false">ProjectRAG</f>
        <v>Red</v>
      </c>
    </row>
    <row r="7" customFormat="false" ht="15" hidden="false" customHeight="false" outlineLevel="0" collapsed="false">
      <c r="B7" s="36" t="s">
        <v>358</v>
      </c>
    </row>
    <row r="8" customFormat="false" ht="23.85" hidden="false" customHeight="false" outlineLevel="0" collapsed="false">
      <c r="B8" s="27" t="s">
        <v>348</v>
      </c>
      <c r="C8" s="27" t="s">
        <v>208</v>
      </c>
      <c r="D8" s="27" t="s">
        <v>207</v>
      </c>
      <c r="E8" s="27" t="s">
        <v>209</v>
      </c>
      <c r="F8" s="27" t="s">
        <v>349</v>
      </c>
      <c r="G8" s="27" t="s">
        <v>350</v>
      </c>
      <c r="H8" s="27" t="s">
        <v>351</v>
      </c>
      <c r="I8" s="27" t="s">
        <v>212</v>
      </c>
      <c r="J8" s="27" t="s">
        <v>213</v>
      </c>
      <c r="K8" s="27" t="s">
        <v>214</v>
      </c>
      <c r="L8" s="27" t="s">
        <v>215</v>
      </c>
      <c r="M8" s="27" t="s">
        <v>216</v>
      </c>
      <c r="N8" s="27" t="s">
        <v>352</v>
      </c>
      <c r="O8" s="27" t="s">
        <v>353</v>
      </c>
      <c r="P8" s="27" t="s">
        <v>354</v>
      </c>
      <c r="Q8" s="27" t="s">
        <v>355</v>
      </c>
      <c r="R8" s="27" t="s">
        <v>356</v>
      </c>
      <c r="S8" s="27" t="s">
        <v>357</v>
      </c>
      <c r="T8" s="27" t="s">
        <v>131</v>
      </c>
    </row>
    <row r="9" customFormat="false" ht="15" hidden="false" customHeight="false" outlineLevel="0" collapsed="false">
      <c r="B9" s="81" t="n">
        <v>46292</v>
      </c>
      <c r="C9" s="81" t="n">
        <v>46384</v>
      </c>
      <c r="D9" s="81" t="n">
        <v>46384</v>
      </c>
      <c r="E9" s="78" t="n">
        <v>0</v>
      </c>
      <c r="F9" s="82" t="n">
        <v>0.17</v>
      </c>
      <c r="G9" s="82" t="n">
        <v>0.19</v>
      </c>
      <c r="H9" s="83" t="n">
        <v>58040</v>
      </c>
      <c r="I9" s="83" t="n">
        <v>11028</v>
      </c>
      <c r="J9" s="83" t="n">
        <v>9867</v>
      </c>
      <c r="K9" s="83" t="n">
        <v>10064</v>
      </c>
      <c r="L9" s="84" t="n">
        <v>0.89</v>
      </c>
      <c r="M9" s="84" t="n">
        <v>0.98</v>
      </c>
      <c r="N9" s="83" t="n">
        <v>59199</v>
      </c>
      <c r="O9" s="85" t="n">
        <v>5</v>
      </c>
      <c r="P9" s="85" t="n">
        <v>76</v>
      </c>
      <c r="Q9" s="86" t="n">
        <v>2</v>
      </c>
      <c r="R9" s="86" t="n">
        <v>0</v>
      </c>
      <c r="S9" s="86" t="n">
        <v>0</v>
      </c>
      <c r="T9" s="87" t="s">
        <v>359</v>
      </c>
    </row>
    <row r="10" customFormat="false" ht="15" hidden="false" customHeight="false" outlineLevel="0" collapsed="false">
      <c r="B10" s="81" t="n">
        <v>46299</v>
      </c>
      <c r="C10" s="81" t="n">
        <v>46385</v>
      </c>
      <c r="D10" s="81" t="n">
        <v>46384</v>
      </c>
      <c r="E10" s="78" t="n">
        <v>1</v>
      </c>
      <c r="F10" s="82" t="n">
        <v>0.27</v>
      </c>
      <c r="G10" s="82" t="n">
        <v>0.31</v>
      </c>
      <c r="H10" s="83" t="n">
        <v>58040</v>
      </c>
      <c r="I10" s="83" t="n">
        <v>17992</v>
      </c>
      <c r="J10" s="83" t="n">
        <v>15671</v>
      </c>
      <c r="K10" s="83" t="n">
        <v>16298</v>
      </c>
      <c r="L10" s="84" t="n">
        <v>0.87</v>
      </c>
      <c r="M10" s="84" t="n">
        <v>0.96</v>
      </c>
      <c r="N10" s="83" t="n">
        <v>60362</v>
      </c>
      <c r="O10" s="85" t="n">
        <v>18</v>
      </c>
      <c r="P10" s="85" t="n">
        <v>78</v>
      </c>
      <c r="Q10" s="86" t="n">
        <v>3</v>
      </c>
      <c r="R10" s="86" t="n">
        <v>0</v>
      </c>
      <c r="S10" s="86" t="n">
        <v>1</v>
      </c>
      <c r="T10" s="87" t="s">
        <v>359</v>
      </c>
    </row>
    <row r="11" customFormat="false" ht="15" hidden="false" customHeight="false" outlineLevel="0" collapsed="false">
      <c r="B11" s="81" t="n">
        <v>46306</v>
      </c>
      <c r="C11" s="81" t="n">
        <v>46387</v>
      </c>
      <c r="D11" s="81" t="n">
        <v>46384</v>
      </c>
      <c r="E11" s="78" t="n">
        <v>3</v>
      </c>
      <c r="F11" s="82" t="n">
        <v>0.36</v>
      </c>
      <c r="G11" s="82" t="n">
        <v>0.43</v>
      </c>
      <c r="H11" s="83" t="n">
        <v>58040</v>
      </c>
      <c r="I11" s="83" t="n">
        <v>24957</v>
      </c>
      <c r="J11" s="83" t="n">
        <v>20894</v>
      </c>
      <c r="K11" s="83" t="n">
        <v>21939</v>
      </c>
      <c r="L11" s="84" t="n">
        <v>0.84</v>
      </c>
      <c r="M11" s="84" t="n">
        <v>0.95</v>
      </c>
      <c r="N11" s="83" t="n">
        <v>60943</v>
      </c>
      <c r="O11" s="85" t="n">
        <v>23</v>
      </c>
      <c r="P11" s="85" t="n">
        <v>82</v>
      </c>
      <c r="Q11" s="86" t="n">
        <v>3</v>
      </c>
      <c r="R11" s="86" t="n">
        <v>0</v>
      </c>
      <c r="S11" s="86" t="n">
        <v>0</v>
      </c>
      <c r="T11" s="87" t="s">
        <v>360</v>
      </c>
    </row>
    <row r="12" customFormat="false" ht="15" hidden="false" customHeight="false" outlineLevel="0" collapsed="false">
      <c r="B12" s="81" t="n">
        <v>46313</v>
      </c>
      <c r="C12" s="81" t="n">
        <v>46391</v>
      </c>
      <c r="D12" s="81" t="n">
        <v>46384</v>
      </c>
      <c r="E12" s="78" t="n">
        <v>5</v>
      </c>
      <c r="F12" s="82" t="n">
        <v>0.44</v>
      </c>
      <c r="G12" s="82" t="n">
        <v>0.54</v>
      </c>
      <c r="H12" s="83" t="n">
        <v>58040</v>
      </c>
      <c r="I12" s="83" t="n">
        <v>31342</v>
      </c>
      <c r="J12" s="83" t="n">
        <v>25538</v>
      </c>
      <c r="K12" s="83" t="n">
        <v>27070</v>
      </c>
      <c r="L12" s="84" t="n">
        <v>0.81</v>
      </c>
      <c r="M12" s="84" t="n">
        <v>0.94</v>
      </c>
      <c r="N12" s="83" t="n">
        <v>61522</v>
      </c>
      <c r="O12" s="85" t="n">
        <v>33</v>
      </c>
      <c r="P12" s="85" t="n">
        <v>82</v>
      </c>
      <c r="Q12" s="86" t="n">
        <v>4</v>
      </c>
      <c r="R12" s="86" t="n">
        <v>1</v>
      </c>
      <c r="S12" s="86" t="n">
        <v>0</v>
      </c>
      <c r="T12" s="87" t="s">
        <v>360</v>
      </c>
    </row>
    <row r="13" customFormat="false" ht="15" hidden="false" customHeight="false" outlineLevel="0" collapsed="false">
      <c r="B13" s="81"/>
      <c r="C13" s="81"/>
      <c r="D13" s="81"/>
      <c r="E13" s="78"/>
      <c r="F13" s="82"/>
      <c r="G13" s="82"/>
      <c r="H13" s="83"/>
      <c r="I13" s="83"/>
      <c r="J13" s="83"/>
      <c r="K13" s="83"/>
      <c r="L13" s="84"/>
      <c r="M13" s="84"/>
      <c r="N13" s="83"/>
      <c r="O13" s="85"/>
      <c r="P13" s="85"/>
      <c r="Q13" s="86"/>
      <c r="R13" s="86"/>
      <c r="S13" s="86"/>
      <c r="T13" s="87"/>
    </row>
    <row r="14" customFormat="false" ht="15" hidden="false" customHeight="false" outlineLevel="0" collapsed="false">
      <c r="B14" s="81"/>
      <c r="C14" s="81"/>
      <c r="D14" s="81"/>
      <c r="E14" s="78"/>
      <c r="F14" s="82"/>
      <c r="G14" s="82"/>
      <c r="H14" s="83"/>
      <c r="I14" s="83"/>
      <c r="J14" s="83"/>
      <c r="K14" s="83"/>
      <c r="L14" s="84"/>
      <c r="M14" s="84"/>
      <c r="N14" s="83"/>
      <c r="O14" s="85"/>
      <c r="P14" s="85"/>
      <c r="Q14" s="86"/>
      <c r="R14" s="86"/>
      <c r="S14" s="86"/>
      <c r="T14" s="87"/>
    </row>
    <row r="15" customFormat="false" ht="15" hidden="false" customHeight="false" outlineLevel="0" collapsed="false">
      <c r="B15" s="81"/>
      <c r="C15" s="81"/>
      <c r="D15" s="81"/>
      <c r="E15" s="78"/>
      <c r="F15" s="82"/>
      <c r="G15" s="82"/>
      <c r="H15" s="83"/>
      <c r="I15" s="83"/>
      <c r="J15" s="83"/>
      <c r="K15" s="83"/>
      <c r="L15" s="84"/>
      <c r="M15" s="84"/>
      <c r="N15" s="83"/>
      <c r="O15" s="85"/>
      <c r="P15" s="85"/>
      <c r="Q15" s="86"/>
      <c r="R15" s="86"/>
      <c r="S15" s="86"/>
      <c r="T15" s="87"/>
    </row>
    <row r="16" customFormat="false" ht="15" hidden="false" customHeight="false" outlineLevel="0" collapsed="false">
      <c r="B16" s="81"/>
      <c r="C16" s="81"/>
      <c r="D16" s="81"/>
      <c r="E16" s="78"/>
      <c r="F16" s="82"/>
      <c r="G16" s="82"/>
      <c r="H16" s="83"/>
      <c r="I16" s="83"/>
      <c r="J16" s="83"/>
      <c r="K16" s="83"/>
      <c r="L16" s="84"/>
      <c r="M16" s="84"/>
      <c r="N16" s="83"/>
      <c r="O16" s="85"/>
      <c r="P16" s="85"/>
      <c r="Q16" s="86"/>
      <c r="R16" s="86"/>
      <c r="S16" s="86"/>
      <c r="T16" s="87"/>
    </row>
    <row r="17" customFormat="false" ht="15" hidden="false" customHeight="false" outlineLevel="0" collapsed="false">
      <c r="B17" s="81"/>
      <c r="C17" s="81"/>
      <c r="D17" s="81"/>
      <c r="E17" s="78"/>
      <c r="F17" s="82"/>
      <c r="G17" s="82"/>
      <c r="H17" s="83"/>
      <c r="I17" s="83"/>
      <c r="J17" s="83"/>
      <c r="K17" s="83"/>
      <c r="L17" s="84"/>
      <c r="M17" s="84"/>
      <c r="N17" s="83"/>
      <c r="O17" s="85"/>
      <c r="P17" s="85"/>
      <c r="Q17" s="86"/>
      <c r="R17" s="86"/>
      <c r="S17" s="86"/>
      <c r="T17" s="87"/>
    </row>
    <row r="18" customFormat="false" ht="15" hidden="false" customHeight="false" outlineLevel="0" collapsed="false">
      <c r="B18" s="81"/>
      <c r="C18" s="81"/>
      <c r="D18" s="81"/>
      <c r="E18" s="78"/>
      <c r="F18" s="82"/>
      <c r="G18" s="82"/>
      <c r="H18" s="83"/>
      <c r="I18" s="83"/>
      <c r="J18" s="83"/>
      <c r="K18" s="83"/>
      <c r="L18" s="84"/>
      <c r="M18" s="84"/>
      <c r="N18" s="83"/>
      <c r="O18" s="85"/>
      <c r="P18" s="85"/>
      <c r="Q18" s="86"/>
      <c r="R18" s="86"/>
      <c r="S18" s="86"/>
      <c r="T18" s="87"/>
    </row>
    <row r="19" customFormat="false" ht="15" hidden="false" customHeight="false" outlineLevel="0" collapsed="false">
      <c r="B19" s="81"/>
      <c r="C19" s="81"/>
      <c r="D19" s="81"/>
      <c r="E19" s="78"/>
      <c r="F19" s="82"/>
      <c r="G19" s="82"/>
      <c r="H19" s="83"/>
      <c r="I19" s="83"/>
      <c r="J19" s="83"/>
      <c r="K19" s="83"/>
      <c r="L19" s="84"/>
      <c r="M19" s="84"/>
      <c r="N19" s="83"/>
      <c r="O19" s="85"/>
      <c r="P19" s="85"/>
      <c r="Q19" s="86"/>
      <c r="R19" s="86"/>
      <c r="S19" s="86"/>
      <c r="T19" s="87"/>
    </row>
    <row r="20" customFormat="false" ht="15" hidden="false" customHeight="false" outlineLevel="0" collapsed="false">
      <c r="B20" s="81"/>
      <c r="C20" s="81"/>
      <c r="D20" s="81"/>
      <c r="E20" s="78"/>
      <c r="F20" s="82"/>
      <c r="G20" s="82"/>
      <c r="H20" s="83"/>
      <c r="I20" s="83"/>
      <c r="J20" s="83"/>
      <c r="K20" s="83"/>
      <c r="L20" s="84"/>
      <c r="M20" s="84"/>
      <c r="N20" s="83"/>
      <c r="O20" s="85"/>
      <c r="P20" s="85"/>
      <c r="Q20" s="86"/>
      <c r="R20" s="86"/>
      <c r="S20" s="86"/>
      <c r="T20" s="87"/>
    </row>
    <row r="21" customFormat="false" ht="15" hidden="false" customHeight="false" outlineLevel="0" collapsed="false">
      <c r="B21" s="81"/>
      <c r="C21" s="81"/>
      <c r="D21" s="81"/>
      <c r="E21" s="78"/>
      <c r="F21" s="82"/>
      <c r="G21" s="82"/>
      <c r="H21" s="83"/>
      <c r="I21" s="83"/>
      <c r="J21" s="83"/>
      <c r="K21" s="83"/>
      <c r="L21" s="84"/>
      <c r="M21" s="84"/>
      <c r="N21" s="83"/>
      <c r="O21" s="85"/>
      <c r="P21" s="85"/>
      <c r="Q21" s="86"/>
      <c r="R21" s="86"/>
      <c r="S21" s="86"/>
      <c r="T21" s="87"/>
    </row>
    <row r="22" customFormat="false" ht="15" hidden="false" customHeight="false" outlineLevel="0" collapsed="false">
      <c r="B22" s="81"/>
      <c r="C22" s="81"/>
      <c r="D22" s="81"/>
      <c r="E22" s="78"/>
      <c r="F22" s="82"/>
      <c r="G22" s="82"/>
      <c r="H22" s="83"/>
      <c r="I22" s="83"/>
      <c r="J22" s="83"/>
      <c r="K22" s="83"/>
      <c r="L22" s="84"/>
      <c r="M22" s="84"/>
      <c r="N22" s="83"/>
      <c r="O22" s="85"/>
      <c r="P22" s="85"/>
      <c r="Q22" s="86"/>
      <c r="R22" s="86"/>
      <c r="S22" s="86"/>
      <c r="T22" s="87"/>
    </row>
    <row r="23" customFormat="false" ht="15" hidden="false" customHeight="false" outlineLevel="0" collapsed="false">
      <c r="B23" s="81"/>
      <c r="C23" s="81"/>
      <c r="D23" s="81"/>
      <c r="E23" s="78"/>
      <c r="F23" s="82"/>
      <c r="G23" s="82"/>
      <c r="H23" s="83"/>
      <c r="I23" s="83"/>
      <c r="J23" s="83"/>
      <c r="K23" s="83"/>
      <c r="L23" s="84"/>
      <c r="M23" s="84"/>
      <c r="N23" s="83"/>
      <c r="O23" s="85"/>
      <c r="P23" s="85"/>
      <c r="Q23" s="86"/>
      <c r="R23" s="86"/>
      <c r="S23" s="86"/>
      <c r="T23" s="87"/>
    </row>
    <row r="24" customFormat="false" ht="15" hidden="false" customHeight="false" outlineLevel="0" collapsed="false">
      <c r="B24" s="81"/>
      <c r="C24" s="81"/>
      <c r="D24" s="81"/>
      <c r="E24" s="78"/>
      <c r="F24" s="82"/>
      <c r="G24" s="82"/>
      <c r="H24" s="83"/>
      <c r="I24" s="83"/>
      <c r="J24" s="83"/>
      <c r="K24" s="83"/>
      <c r="L24" s="84"/>
      <c r="M24" s="84"/>
      <c r="N24" s="83"/>
      <c r="O24" s="85"/>
      <c r="P24" s="85"/>
      <c r="Q24" s="86"/>
      <c r="R24" s="86"/>
      <c r="S24" s="86"/>
      <c r="T24" s="87"/>
    </row>
    <row r="25" customFormat="false" ht="15" hidden="false" customHeight="false" outlineLevel="0" collapsed="false">
      <c r="B25" s="81"/>
      <c r="C25" s="81"/>
      <c r="D25" s="81"/>
      <c r="E25" s="78"/>
      <c r="F25" s="82"/>
      <c r="G25" s="82"/>
      <c r="H25" s="83"/>
      <c r="I25" s="83"/>
      <c r="J25" s="83"/>
      <c r="K25" s="83"/>
      <c r="L25" s="84"/>
      <c r="M25" s="84"/>
      <c r="N25" s="83"/>
      <c r="O25" s="85"/>
      <c r="P25" s="85"/>
      <c r="Q25" s="86"/>
      <c r="R25" s="86"/>
      <c r="S25" s="86"/>
      <c r="T25" s="87"/>
    </row>
    <row r="26" customFormat="false" ht="15" hidden="false" customHeight="false" outlineLevel="0" collapsed="false">
      <c r="B26" s="81"/>
      <c r="C26" s="81"/>
      <c r="D26" s="81"/>
      <c r="E26" s="78"/>
      <c r="F26" s="82"/>
      <c r="G26" s="82"/>
      <c r="H26" s="83"/>
      <c r="I26" s="83"/>
      <c r="J26" s="83"/>
      <c r="K26" s="83"/>
      <c r="L26" s="84"/>
      <c r="M26" s="84"/>
      <c r="N26" s="83"/>
      <c r="O26" s="85"/>
      <c r="P26" s="85"/>
      <c r="Q26" s="86"/>
      <c r="R26" s="86"/>
      <c r="S26" s="86"/>
      <c r="T26" s="87"/>
    </row>
    <row r="27" customFormat="false" ht="15" hidden="false" customHeight="false" outlineLevel="0" collapsed="false">
      <c r="B27" s="81"/>
      <c r="C27" s="81"/>
      <c r="D27" s="81"/>
      <c r="E27" s="78"/>
      <c r="F27" s="82"/>
      <c r="G27" s="82"/>
      <c r="H27" s="83"/>
      <c r="I27" s="83"/>
      <c r="J27" s="83"/>
      <c r="K27" s="83"/>
      <c r="L27" s="84"/>
      <c r="M27" s="84"/>
      <c r="N27" s="83"/>
      <c r="O27" s="85"/>
      <c r="P27" s="85"/>
      <c r="Q27" s="86"/>
      <c r="R27" s="86"/>
      <c r="S27" s="86"/>
      <c r="T27" s="87"/>
    </row>
    <row r="28" customFormat="false" ht="15" hidden="false" customHeight="false" outlineLevel="0" collapsed="false">
      <c r="B28" s="81"/>
      <c r="C28" s="81"/>
      <c r="D28" s="81"/>
      <c r="E28" s="78"/>
      <c r="F28" s="82"/>
      <c r="G28" s="82"/>
      <c r="H28" s="83"/>
      <c r="I28" s="83"/>
      <c r="J28" s="83"/>
      <c r="K28" s="83"/>
      <c r="L28" s="84"/>
      <c r="M28" s="84"/>
      <c r="N28" s="83"/>
      <c r="O28" s="85"/>
      <c r="P28" s="85"/>
      <c r="Q28" s="86"/>
      <c r="R28" s="86"/>
      <c r="S28" s="86"/>
      <c r="T28" s="87"/>
    </row>
    <row r="29" customFormat="false" ht="15" hidden="false" customHeight="false" outlineLevel="0" collapsed="false">
      <c r="B29" s="81"/>
      <c r="C29" s="81"/>
      <c r="D29" s="81"/>
      <c r="E29" s="78"/>
      <c r="F29" s="82"/>
      <c r="G29" s="82"/>
      <c r="H29" s="83"/>
      <c r="I29" s="83"/>
      <c r="J29" s="83"/>
      <c r="K29" s="83"/>
      <c r="L29" s="84"/>
      <c r="M29" s="84"/>
      <c r="N29" s="83"/>
      <c r="O29" s="85"/>
      <c r="P29" s="85"/>
      <c r="Q29" s="86"/>
      <c r="R29" s="86"/>
      <c r="S29" s="86"/>
      <c r="T29" s="87"/>
    </row>
    <row r="30" customFormat="false" ht="15" hidden="false" customHeight="false" outlineLevel="0" collapsed="false">
      <c r="B30" s="81"/>
      <c r="C30" s="81"/>
      <c r="D30" s="81"/>
      <c r="E30" s="78"/>
      <c r="F30" s="82"/>
      <c r="G30" s="82"/>
      <c r="H30" s="83"/>
      <c r="I30" s="83"/>
      <c r="J30" s="83"/>
      <c r="K30" s="83"/>
      <c r="L30" s="84"/>
      <c r="M30" s="84"/>
      <c r="N30" s="83"/>
      <c r="O30" s="85"/>
      <c r="P30" s="85"/>
      <c r="Q30" s="86"/>
      <c r="R30" s="86"/>
      <c r="S30" s="86"/>
      <c r="T30" s="87"/>
    </row>
    <row r="31" customFormat="false" ht="15" hidden="false" customHeight="false" outlineLevel="0" collapsed="false">
      <c r="B31" s="81"/>
      <c r="C31" s="81"/>
      <c r="D31" s="81"/>
      <c r="E31" s="78"/>
      <c r="F31" s="82"/>
      <c r="G31" s="82"/>
      <c r="H31" s="83"/>
      <c r="I31" s="83"/>
      <c r="J31" s="83"/>
      <c r="K31" s="83"/>
      <c r="L31" s="84"/>
      <c r="M31" s="84"/>
      <c r="N31" s="83"/>
      <c r="O31" s="85"/>
      <c r="P31" s="85"/>
      <c r="Q31" s="86"/>
      <c r="R31" s="86"/>
      <c r="S31" s="86"/>
      <c r="T31" s="87"/>
    </row>
    <row r="32" customFormat="false" ht="15" hidden="false" customHeight="false" outlineLevel="0" collapsed="false">
      <c r="B32" s="81"/>
      <c r="C32" s="81"/>
      <c r="D32" s="81"/>
      <c r="E32" s="78"/>
      <c r="F32" s="82"/>
      <c r="G32" s="82"/>
      <c r="H32" s="83"/>
      <c r="I32" s="83"/>
      <c r="J32" s="83"/>
      <c r="K32" s="83"/>
      <c r="L32" s="84"/>
      <c r="M32" s="84"/>
      <c r="N32" s="83"/>
      <c r="O32" s="85"/>
      <c r="P32" s="85"/>
      <c r="Q32" s="86"/>
      <c r="R32" s="86"/>
      <c r="S32" s="86"/>
      <c r="T32" s="87"/>
    </row>
    <row r="33" customFormat="false" ht="15" hidden="false" customHeight="false" outlineLevel="0" collapsed="false">
      <c r="B33" s="81"/>
      <c r="C33" s="81"/>
      <c r="D33" s="81"/>
      <c r="E33" s="78"/>
      <c r="F33" s="82"/>
      <c r="G33" s="82"/>
      <c r="H33" s="83"/>
      <c r="I33" s="83"/>
      <c r="J33" s="83"/>
      <c r="K33" s="83"/>
      <c r="L33" s="84"/>
      <c r="M33" s="84"/>
      <c r="N33" s="83"/>
      <c r="O33" s="85"/>
      <c r="P33" s="85"/>
      <c r="Q33" s="86"/>
      <c r="R33" s="86"/>
      <c r="S33" s="86"/>
      <c r="T33" s="87"/>
    </row>
    <row r="34" customFormat="false" ht="15" hidden="false" customHeight="false" outlineLevel="0" collapsed="false">
      <c r="B34" s="81"/>
      <c r="C34" s="81"/>
      <c r="D34" s="81"/>
      <c r="E34" s="78"/>
      <c r="F34" s="82"/>
      <c r="G34" s="82"/>
      <c r="H34" s="83"/>
      <c r="I34" s="83"/>
      <c r="J34" s="83"/>
      <c r="K34" s="83"/>
      <c r="L34" s="84"/>
      <c r="M34" s="84"/>
      <c r="N34" s="83"/>
      <c r="O34" s="85"/>
      <c r="P34" s="85"/>
      <c r="Q34" s="86"/>
      <c r="R34" s="86"/>
      <c r="S34" s="86"/>
      <c r="T34" s="87"/>
    </row>
    <row r="35" customFormat="false" ht="15" hidden="false" customHeight="false" outlineLevel="0" collapsed="false">
      <c r="B35" s="81"/>
      <c r="C35" s="81"/>
      <c r="D35" s="81"/>
      <c r="E35" s="78"/>
      <c r="F35" s="82"/>
      <c r="G35" s="82"/>
      <c r="H35" s="83"/>
      <c r="I35" s="83"/>
      <c r="J35" s="83"/>
      <c r="K35" s="83"/>
      <c r="L35" s="84"/>
      <c r="M35" s="84"/>
      <c r="N35" s="83"/>
      <c r="O35" s="85"/>
      <c r="P35" s="85"/>
      <c r="Q35" s="86"/>
      <c r="R35" s="86"/>
      <c r="S35" s="86"/>
      <c r="T35" s="87"/>
    </row>
    <row r="36" customFormat="false" ht="15" hidden="false" customHeight="false" outlineLevel="0" collapsed="false">
      <c r="B36" s="81"/>
      <c r="C36" s="81"/>
      <c r="D36" s="81"/>
      <c r="E36" s="78"/>
      <c r="F36" s="82"/>
      <c r="G36" s="82"/>
      <c r="H36" s="83"/>
      <c r="I36" s="83"/>
      <c r="J36" s="83"/>
      <c r="K36" s="83"/>
      <c r="L36" s="84"/>
      <c r="M36" s="84"/>
      <c r="N36" s="83"/>
      <c r="O36" s="85"/>
      <c r="P36" s="85"/>
      <c r="Q36" s="86"/>
      <c r="R36" s="86"/>
      <c r="S36" s="86"/>
      <c r="T36" s="87"/>
    </row>
    <row r="37" customFormat="false" ht="15" hidden="false" customHeight="false" outlineLevel="0" collapsed="false">
      <c r="B37" s="81"/>
      <c r="C37" s="81"/>
      <c r="D37" s="81"/>
      <c r="E37" s="78"/>
      <c r="F37" s="82"/>
      <c r="G37" s="82"/>
      <c r="H37" s="83"/>
      <c r="I37" s="83"/>
      <c r="J37" s="83"/>
      <c r="K37" s="83"/>
      <c r="L37" s="84"/>
      <c r="M37" s="84"/>
      <c r="N37" s="83"/>
      <c r="O37" s="85"/>
      <c r="P37" s="85"/>
      <c r="Q37" s="86"/>
      <c r="R37" s="86"/>
      <c r="S37" s="86"/>
      <c r="T37" s="87"/>
    </row>
    <row r="38" customFormat="false" ht="15" hidden="false" customHeight="false" outlineLevel="0" collapsed="false">
      <c r="B38" s="81"/>
      <c r="C38" s="81"/>
      <c r="D38" s="81"/>
      <c r="E38" s="78"/>
      <c r="F38" s="82"/>
      <c r="G38" s="82"/>
      <c r="H38" s="83"/>
      <c r="I38" s="83"/>
      <c r="J38" s="83"/>
      <c r="K38" s="83"/>
      <c r="L38" s="84"/>
      <c r="M38" s="84"/>
      <c r="N38" s="83"/>
      <c r="O38" s="85"/>
      <c r="P38" s="85"/>
      <c r="Q38" s="86"/>
      <c r="R38" s="86"/>
      <c r="S38" s="86"/>
      <c r="T38" s="87"/>
    </row>
    <row r="39" customFormat="false" ht="15" hidden="false" customHeight="false" outlineLevel="0" collapsed="false">
      <c r="B39" s="81"/>
      <c r="C39" s="81"/>
      <c r="D39" s="81"/>
      <c r="E39" s="78"/>
      <c r="F39" s="82"/>
      <c r="G39" s="82"/>
      <c r="H39" s="83"/>
      <c r="I39" s="83"/>
      <c r="J39" s="83"/>
      <c r="K39" s="83"/>
      <c r="L39" s="84"/>
      <c r="M39" s="84"/>
      <c r="N39" s="83"/>
      <c r="O39" s="85"/>
      <c r="P39" s="85"/>
      <c r="Q39" s="86"/>
      <c r="R39" s="86"/>
      <c r="S39" s="86"/>
      <c r="T39" s="87"/>
    </row>
    <row r="40" customFormat="false" ht="15" hidden="false" customHeight="false" outlineLevel="0" collapsed="false">
      <c r="B40" s="81"/>
      <c r="C40" s="81"/>
      <c r="D40" s="81"/>
      <c r="E40" s="78"/>
      <c r="F40" s="82"/>
      <c r="G40" s="82"/>
      <c r="H40" s="83"/>
      <c r="I40" s="83"/>
      <c r="J40" s="83"/>
      <c r="K40" s="83"/>
      <c r="L40" s="84"/>
      <c r="M40" s="84"/>
      <c r="N40" s="83"/>
      <c r="O40" s="85"/>
      <c r="P40" s="85"/>
      <c r="Q40" s="86"/>
      <c r="R40" s="86"/>
      <c r="S40" s="86"/>
      <c r="T40" s="87"/>
    </row>
    <row r="41" customFormat="false" ht="15" hidden="false" customHeight="false" outlineLevel="0" collapsed="false">
      <c r="B41" s="81"/>
      <c r="C41" s="81"/>
      <c r="D41" s="81"/>
      <c r="E41" s="78"/>
      <c r="F41" s="82"/>
      <c r="G41" s="82"/>
      <c r="H41" s="83"/>
      <c r="I41" s="83"/>
      <c r="J41" s="83"/>
      <c r="K41" s="83"/>
      <c r="L41" s="84"/>
      <c r="M41" s="84"/>
      <c r="N41" s="83"/>
      <c r="O41" s="85"/>
      <c r="P41" s="85"/>
      <c r="Q41" s="86"/>
      <c r="R41" s="86"/>
      <c r="S41" s="86"/>
      <c r="T41" s="87"/>
    </row>
    <row r="42" customFormat="false" ht="15" hidden="false" customHeight="false" outlineLevel="0" collapsed="false">
      <c r="B42" s="81"/>
      <c r="C42" s="81"/>
      <c r="D42" s="81"/>
      <c r="E42" s="78"/>
      <c r="F42" s="82"/>
      <c r="G42" s="82"/>
      <c r="H42" s="83"/>
      <c r="I42" s="83"/>
      <c r="J42" s="83"/>
      <c r="K42" s="83"/>
      <c r="L42" s="84"/>
      <c r="M42" s="84"/>
      <c r="N42" s="83"/>
      <c r="O42" s="85"/>
      <c r="P42" s="85"/>
      <c r="Q42" s="86"/>
      <c r="R42" s="86"/>
      <c r="S42" s="86"/>
      <c r="T42" s="87"/>
    </row>
    <row r="43" customFormat="false" ht="15" hidden="false" customHeight="false" outlineLevel="0" collapsed="false">
      <c r="B43" s="81"/>
      <c r="C43" s="81"/>
      <c r="D43" s="81"/>
      <c r="E43" s="78"/>
      <c r="F43" s="82"/>
      <c r="G43" s="82"/>
      <c r="H43" s="83"/>
      <c r="I43" s="83"/>
      <c r="J43" s="83"/>
      <c r="K43" s="83"/>
      <c r="L43" s="84"/>
      <c r="M43" s="84"/>
      <c r="N43" s="83"/>
      <c r="O43" s="85"/>
      <c r="P43" s="85"/>
      <c r="Q43" s="86"/>
      <c r="R43" s="86"/>
      <c r="S43" s="86"/>
      <c r="T43" s="87"/>
    </row>
    <row r="44" customFormat="false" ht="15" hidden="false" customHeight="false" outlineLevel="0" collapsed="false">
      <c r="B44" s="81"/>
      <c r="C44" s="81"/>
      <c r="D44" s="81"/>
      <c r="E44" s="78"/>
      <c r="F44" s="82"/>
      <c r="G44" s="82"/>
      <c r="H44" s="83"/>
      <c r="I44" s="83"/>
      <c r="J44" s="83"/>
      <c r="K44" s="83"/>
      <c r="L44" s="84"/>
      <c r="M44" s="84"/>
      <c r="N44" s="83"/>
      <c r="O44" s="85"/>
      <c r="P44" s="85"/>
      <c r="Q44" s="86"/>
      <c r="R44" s="86"/>
      <c r="S44" s="86"/>
      <c r="T44" s="87"/>
    </row>
    <row r="45" customFormat="false" ht="15" hidden="false" customHeight="false" outlineLevel="0" collapsed="false">
      <c r="B45" s="81"/>
      <c r="C45" s="81"/>
      <c r="D45" s="81"/>
      <c r="E45" s="78"/>
      <c r="F45" s="82"/>
      <c r="G45" s="82"/>
      <c r="H45" s="83"/>
      <c r="I45" s="83"/>
      <c r="J45" s="83"/>
      <c r="K45" s="83"/>
      <c r="L45" s="84"/>
      <c r="M45" s="84"/>
      <c r="N45" s="83"/>
      <c r="O45" s="85"/>
      <c r="P45" s="85"/>
      <c r="Q45" s="86"/>
      <c r="R45" s="86"/>
      <c r="S45" s="86"/>
      <c r="T45" s="87"/>
    </row>
    <row r="46" customFormat="false" ht="15" hidden="false" customHeight="false" outlineLevel="0" collapsed="false">
      <c r="B46" s="81"/>
      <c r="C46" s="81"/>
      <c r="D46" s="81"/>
      <c r="E46" s="78"/>
      <c r="F46" s="82"/>
      <c r="G46" s="82"/>
      <c r="H46" s="83"/>
      <c r="I46" s="83"/>
      <c r="J46" s="83"/>
      <c r="K46" s="83"/>
      <c r="L46" s="84"/>
      <c r="M46" s="84"/>
      <c r="N46" s="83"/>
      <c r="O46" s="85"/>
      <c r="P46" s="85"/>
      <c r="Q46" s="86"/>
      <c r="R46" s="86"/>
      <c r="S46" s="86"/>
      <c r="T46" s="87"/>
    </row>
    <row r="47" customFormat="false" ht="15" hidden="false" customHeight="false" outlineLevel="0" collapsed="false">
      <c r="B47" s="81"/>
      <c r="C47" s="81"/>
      <c r="D47" s="81"/>
      <c r="E47" s="78"/>
      <c r="F47" s="82"/>
      <c r="G47" s="82"/>
      <c r="H47" s="83"/>
      <c r="I47" s="83"/>
      <c r="J47" s="83"/>
      <c r="K47" s="83"/>
      <c r="L47" s="84"/>
      <c r="M47" s="84"/>
      <c r="N47" s="83"/>
      <c r="O47" s="85"/>
      <c r="P47" s="85"/>
      <c r="Q47" s="86"/>
      <c r="R47" s="86"/>
      <c r="S47" s="86"/>
      <c r="T47" s="87"/>
    </row>
    <row r="48" customFormat="false" ht="15" hidden="false" customHeight="false" outlineLevel="0" collapsed="false">
      <c r="B48" s="81"/>
      <c r="C48" s="81"/>
      <c r="D48" s="81"/>
      <c r="E48" s="78"/>
      <c r="F48" s="82"/>
      <c r="G48" s="82"/>
      <c r="H48" s="83"/>
      <c r="I48" s="83"/>
      <c r="J48" s="83"/>
      <c r="K48" s="83"/>
      <c r="L48" s="84"/>
      <c r="M48" s="84"/>
      <c r="N48" s="83"/>
      <c r="O48" s="85"/>
      <c r="P48" s="85"/>
      <c r="Q48" s="86"/>
      <c r="R48" s="86"/>
      <c r="S48" s="86"/>
      <c r="T48" s="87"/>
    </row>
    <row r="49" customFormat="false" ht="15" hidden="false" customHeight="false" outlineLevel="0" collapsed="false">
      <c r="B49" s="81"/>
      <c r="C49" s="81"/>
      <c r="D49" s="81"/>
      <c r="E49" s="78"/>
      <c r="F49" s="82"/>
      <c r="G49" s="82"/>
      <c r="H49" s="83"/>
      <c r="I49" s="83"/>
      <c r="J49" s="83"/>
      <c r="K49" s="83"/>
      <c r="L49" s="84"/>
      <c r="M49" s="84"/>
      <c r="N49" s="83"/>
      <c r="O49" s="85"/>
      <c r="P49" s="85"/>
      <c r="Q49" s="86"/>
      <c r="R49" s="86"/>
      <c r="S49" s="86"/>
      <c r="T49" s="87"/>
    </row>
    <row r="50" customFormat="false" ht="15" hidden="false" customHeight="false" outlineLevel="0" collapsed="false">
      <c r="B50" s="81"/>
      <c r="C50" s="81"/>
      <c r="D50" s="81"/>
      <c r="E50" s="78"/>
      <c r="F50" s="82"/>
      <c r="G50" s="82"/>
      <c r="H50" s="83"/>
      <c r="I50" s="83"/>
      <c r="J50" s="83"/>
      <c r="K50" s="83"/>
      <c r="L50" s="84"/>
      <c r="M50" s="84"/>
      <c r="N50" s="83"/>
      <c r="O50" s="85"/>
      <c r="P50" s="85"/>
      <c r="Q50" s="86"/>
      <c r="R50" s="86"/>
      <c r="S50" s="86"/>
      <c r="T50" s="87"/>
    </row>
    <row r="51" customFormat="false" ht="15" hidden="false" customHeight="false" outlineLevel="0" collapsed="false">
      <c r="B51" s="81"/>
      <c r="C51" s="81"/>
      <c r="D51" s="81"/>
      <c r="E51" s="78"/>
      <c r="F51" s="82"/>
      <c r="G51" s="82"/>
      <c r="H51" s="83"/>
      <c r="I51" s="83"/>
      <c r="J51" s="83"/>
      <c r="K51" s="83"/>
      <c r="L51" s="84"/>
      <c r="M51" s="84"/>
      <c r="N51" s="83"/>
      <c r="O51" s="85"/>
      <c r="P51" s="85"/>
      <c r="Q51" s="86"/>
      <c r="R51" s="86"/>
      <c r="S51" s="86"/>
      <c r="T51" s="87"/>
    </row>
    <row r="52" customFormat="false" ht="15" hidden="false" customHeight="false" outlineLevel="0" collapsed="false">
      <c r="B52" s="81"/>
      <c r="C52" s="81"/>
      <c r="D52" s="81"/>
      <c r="E52" s="78"/>
      <c r="F52" s="82"/>
      <c r="G52" s="82"/>
      <c r="H52" s="83"/>
      <c r="I52" s="83"/>
      <c r="J52" s="83"/>
      <c r="K52" s="83"/>
      <c r="L52" s="84"/>
      <c r="M52" s="84"/>
      <c r="N52" s="83"/>
      <c r="O52" s="85"/>
      <c r="P52" s="85"/>
      <c r="Q52" s="86"/>
      <c r="R52" s="86"/>
      <c r="S52" s="86"/>
      <c r="T52" s="87"/>
    </row>
    <row r="53" customFormat="false" ht="15" hidden="false" customHeight="false" outlineLevel="0" collapsed="false">
      <c r="B53" s="81"/>
      <c r="C53" s="81"/>
      <c r="D53" s="81"/>
      <c r="E53" s="78"/>
      <c r="F53" s="82"/>
      <c r="G53" s="82"/>
      <c r="H53" s="83"/>
      <c r="I53" s="83"/>
      <c r="J53" s="83"/>
      <c r="K53" s="83"/>
      <c r="L53" s="84"/>
      <c r="M53" s="84"/>
      <c r="N53" s="83"/>
      <c r="O53" s="85"/>
      <c r="P53" s="85"/>
      <c r="Q53" s="86"/>
      <c r="R53" s="86"/>
      <c r="S53" s="86"/>
      <c r="T53" s="87"/>
    </row>
    <row r="54" customFormat="false" ht="15" hidden="false" customHeight="false" outlineLevel="0" collapsed="false">
      <c r="B54" s="81"/>
      <c r="C54" s="81"/>
      <c r="D54" s="81"/>
      <c r="E54" s="78"/>
      <c r="F54" s="82"/>
      <c r="G54" s="82"/>
      <c r="H54" s="83"/>
      <c r="I54" s="83"/>
      <c r="J54" s="83"/>
      <c r="K54" s="83"/>
      <c r="L54" s="84"/>
      <c r="M54" s="84"/>
      <c r="N54" s="83"/>
      <c r="O54" s="85"/>
      <c r="P54" s="85"/>
      <c r="Q54" s="86"/>
      <c r="R54" s="86"/>
      <c r="S54" s="86"/>
      <c r="T54" s="87"/>
    </row>
    <row r="55" customFormat="false" ht="15" hidden="false" customHeight="false" outlineLevel="0" collapsed="false">
      <c r="B55" s="81"/>
      <c r="C55" s="81"/>
      <c r="D55" s="81"/>
      <c r="E55" s="78"/>
      <c r="F55" s="82"/>
      <c r="G55" s="82"/>
      <c r="H55" s="83"/>
      <c r="I55" s="83"/>
      <c r="J55" s="83"/>
      <c r="K55" s="83"/>
      <c r="L55" s="84"/>
      <c r="M55" s="84"/>
      <c r="N55" s="83"/>
      <c r="O55" s="85"/>
      <c r="P55" s="85"/>
      <c r="Q55" s="86"/>
      <c r="R55" s="86"/>
      <c r="S55" s="86"/>
      <c r="T55" s="87"/>
    </row>
    <row r="56" customFormat="false" ht="15" hidden="false" customHeight="false" outlineLevel="0" collapsed="false">
      <c r="B56" s="81"/>
      <c r="C56" s="81"/>
      <c r="D56" s="81"/>
      <c r="E56" s="78"/>
      <c r="F56" s="82"/>
      <c r="G56" s="82"/>
      <c r="H56" s="83"/>
      <c r="I56" s="83"/>
      <c r="J56" s="83"/>
      <c r="K56" s="83"/>
      <c r="L56" s="84"/>
      <c r="M56" s="84"/>
      <c r="N56" s="83"/>
      <c r="O56" s="85"/>
      <c r="P56" s="85"/>
      <c r="Q56" s="86"/>
      <c r="R56" s="86"/>
      <c r="S56" s="86"/>
      <c r="T56" s="87"/>
    </row>
    <row r="57" customFormat="false" ht="15" hidden="false" customHeight="false" outlineLevel="0" collapsed="false">
      <c r="B57" s="81"/>
      <c r="C57" s="81"/>
      <c r="D57" s="81"/>
      <c r="E57" s="78"/>
      <c r="F57" s="82"/>
      <c r="G57" s="82"/>
      <c r="H57" s="83"/>
      <c r="I57" s="83"/>
      <c r="J57" s="83"/>
      <c r="K57" s="83"/>
      <c r="L57" s="84"/>
      <c r="M57" s="84"/>
      <c r="N57" s="83"/>
      <c r="O57" s="85"/>
      <c r="P57" s="85"/>
      <c r="Q57" s="86"/>
      <c r="R57" s="86"/>
      <c r="S57" s="86"/>
      <c r="T57" s="87"/>
    </row>
    <row r="58" customFormat="false" ht="15" hidden="false" customHeight="false" outlineLevel="0" collapsed="false">
      <c r="B58" s="81"/>
      <c r="C58" s="81"/>
      <c r="D58" s="81"/>
      <c r="E58" s="78"/>
      <c r="F58" s="82"/>
      <c r="G58" s="82"/>
      <c r="H58" s="83"/>
      <c r="I58" s="83"/>
      <c r="J58" s="83"/>
      <c r="K58" s="83"/>
      <c r="L58" s="84"/>
      <c r="M58" s="84"/>
      <c r="N58" s="83"/>
      <c r="O58" s="85"/>
      <c r="P58" s="85"/>
      <c r="Q58" s="86"/>
      <c r="R58" s="86"/>
      <c r="S58" s="86"/>
      <c r="T58" s="87"/>
    </row>
    <row r="59" customFormat="false" ht="15" hidden="false" customHeight="false" outlineLevel="0" collapsed="false">
      <c r="B59" s="81"/>
      <c r="C59" s="81"/>
      <c r="D59" s="81"/>
      <c r="E59" s="78"/>
      <c r="F59" s="82"/>
      <c r="G59" s="82"/>
      <c r="H59" s="83"/>
      <c r="I59" s="83"/>
      <c r="J59" s="83"/>
      <c r="K59" s="83"/>
      <c r="L59" s="84"/>
      <c r="M59" s="84"/>
      <c r="N59" s="83"/>
      <c r="O59" s="85"/>
      <c r="P59" s="85"/>
      <c r="Q59" s="86"/>
      <c r="R59" s="86"/>
      <c r="S59" s="86"/>
      <c r="T59" s="87"/>
    </row>
    <row r="60" customFormat="false" ht="15" hidden="false" customHeight="false" outlineLevel="0" collapsed="false">
      <c r="B60" s="81"/>
      <c r="C60" s="81"/>
      <c r="D60" s="81"/>
      <c r="E60" s="78"/>
      <c r="F60" s="82"/>
      <c r="G60" s="82"/>
      <c r="H60" s="83"/>
      <c r="I60" s="83"/>
      <c r="J60" s="83"/>
      <c r="K60" s="83"/>
      <c r="L60" s="84"/>
      <c r="M60" s="84"/>
      <c r="N60" s="83"/>
      <c r="O60" s="85"/>
      <c r="P60" s="85"/>
      <c r="Q60" s="86"/>
      <c r="R60" s="86"/>
      <c r="S60" s="86"/>
      <c r="T60" s="87"/>
    </row>
    <row r="61" customFormat="false" ht="15" hidden="false" customHeight="false" outlineLevel="0" collapsed="false">
      <c r="B61" s="81"/>
      <c r="C61" s="81"/>
      <c r="D61" s="81"/>
      <c r="E61" s="78"/>
      <c r="F61" s="82"/>
      <c r="G61" s="82"/>
      <c r="H61" s="83"/>
      <c r="I61" s="83"/>
      <c r="J61" s="83"/>
      <c r="K61" s="83"/>
      <c r="L61" s="84"/>
      <c r="M61" s="84"/>
      <c r="N61" s="83"/>
      <c r="O61" s="85"/>
      <c r="P61" s="85"/>
      <c r="Q61" s="86"/>
      <c r="R61" s="86"/>
      <c r="S61" s="86"/>
      <c r="T61" s="87"/>
    </row>
    <row r="62" customFormat="false" ht="15" hidden="false" customHeight="false" outlineLevel="0" collapsed="false">
      <c r="B62" s="81"/>
      <c r="C62" s="81"/>
      <c r="D62" s="81"/>
      <c r="E62" s="78"/>
      <c r="F62" s="82"/>
      <c r="G62" s="82"/>
      <c r="H62" s="83"/>
      <c r="I62" s="83"/>
      <c r="J62" s="83"/>
      <c r="K62" s="83"/>
      <c r="L62" s="84"/>
      <c r="M62" s="84"/>
      <c r="N62" s="83"/>
      <c r="O62" s="85"/>
      <c r="P62" s="85"/>
      <c r="Q62" s="86"/>
      <c r="R62" s="86"/>
      <c r="S62" s="86"/>
      <c r="T62" s="87"/>
    </row>
    <row r="63" customFormat="false" ht="15" hidden="false" customHeight="false" outlineLevel="0" collapsed="false">
      <c r="B63" s="81"/>
      <c r="C63" s="81"/>
      <c r="D63" s="81"/>
      <c r="E63" s="78"/>
      <c r="F63" s="82"/>
      <c r="G63" s="82"/>
      <c r="H63" s="83"/>
      <c r="I63" s="83"/>
      <c r="J63" s="83"/>
      <c r="K63" s="83"/>
      <c r="L63" s="84"/>
      <c r="M63" s="84"/>
      <c r="N63" s="83"/>
      <c r="O63" s="85"/>
      <c r="P63" s="85"/>
      <c r="Q63" s="86"/>
      <c r="R63" s="86"/>
      <c r="S63" s="86"/>
      <c r="T63" s="87"/>
    </row>
    <row r="64" customFormat="false" ht="15" hidden="false" customHeight="false" outlineLevel="0" collapsed="false">
      <c r="B64" s="81"/>
      <c r="C64" s="81"/>
      <c r="D64" s="81"/>
      <c r="E64" s="78"/>
      <c r="F64" s="82"/>
      <c r="G64" s="82"/>
      <c r="H64" s="83"/>
      <c r="I64" s="83"/>
      <c r="J64" s="83"/>
      <c r="K64" s="83"/>
      <c r="L64" s="84"/>
      <c r="M64" s="84"/>
      <c r="N64" s="83"/>
      <c r="O64" s="85"/>
      <c r="P64" s="85"/>
      <c r="Q64" s="86"/>
      <c r="R64" s="86"/>
      <c r="S64" s="86"/>
      <c r="T64" s="87"/>
    </row>
    <row r="65" customFormat="false" ht="15" hidden="false" customHeight="false" outlineLevel="0" collapsed="false">
      <c r="B65" s="81"/>
      <c r="C65" s="81"/>
      <c r="D65" s="81"/>
      <c r="E65" s="78"/>
      <c r="F65" s="82"/>
      <c r="G65" s="82"/>
      <c r="H65" s="83"/>
      <c r="I65" s="83"/>
      <c r="J65" s="83"/>
      <c r="K65" s="83"/>
      <c r="L65" s="84"/>
      <c r="M65" s="84"/>
      <c r="N65" s="83"/>
      <c r="O65" s="85"/>
      <c r="P65" s="85"/>
      <c r="Q65" s="86"/>
      <c r="R65" s="86"/>
      <c r="S65" s="86"/>
      <c r="T65" s="87"/>
    </row>
    <row r="66" customFormat="false" ht="15" hidden="false" customHeight="false" outlineLevel="0" collapsed="false">
      <c r="B66" s="81"/>
      <c r="C66" s="81"/>
      <c r="D66" s="81"/>
      <c r="E66" s="78"/>
      <c r="F66" s="82"/>
      <c r="G66" s="82"/>
      <c r="H66" s="83"/>
      <c r="I66" s="83"/>
      <c r="J66" s="83"/>
      <c r="K66" s="83"/>
      <c r="L66" s="84"/>
      <c r="M66" s="84"/>
      <c r="N66" s="83"/>
      <c r="O66" s="85"/>
      <c r="P66" s="85"/>
      <c r="Q66" s="86"/>
      <c r="R66" s="86"/>
      <c r="S66" s="86"/>
      <c r="T66" s="87"/>
    </row>
    <row r="67" customFormat="false" ht="15" hidden="false" customHeight="false" outlineLevel="0" collapsed="false">
      <c r="B67" s="81"/>
      <c r="C67" s="81"/>
      <c r="D67" s="81"/>
      <c r="E67" s="78"/>
      <c r="F67" s="82"/>
      <c r="G67" s="82"/>
      <c r="H67" s="83"/>
      <c r="I67" s="83"/>
      <c r="J67" s="83"/>
      <c r="K67" s="83"/>
      <c r="L67" s="84"/>
      <c r="M67" s="84"/>
      <c r="N67" s="83"/>
      <c r="O67" s="85"/>
      <c r="P67" s="85"/>
      <c r="Q67" s="86"/>
      <c r="R67" s="86"/>
      <c r="S67" s="86"/>
      <c r="T67" s="87"/>
    </row>
    <row r="68" customFormat="false" ht="15" hidden="false" customHeight="false" outlineLevel="0" collapsed="false">
      <c r="B68" s="81"/>
      <c r="C68" s="81"/>
      <c r="D68" s="81"/>
      <c r="E68" s="78"/>
      <c r="F68" s="82"/>
      <c r="G68" s="82"/>
      <c r="H68" s="83"/>
      <c r="I68" s="83"/>
      <c r="J68" s="83"/>
      <c r="K68" s="83"/>
      <c r="L68" s="84"/>
      <c r="M68" s="84"/>
      <c r="N68" s="83"/>
      <c r="O68" s="85"/>
      <c r="P68" s="85"/>
      <c r="Q68" s="86"/>
      <c r="R68" s="86"/>
      <c r="S68" s="86"/>
      <c r="T68" s="8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361</v>
      </c>
    </row>
    <row r="2" customFormat="false" ht="15" hidden="false" customHeight="false" outlineLevel="0" collapsed="false">
      <c r="A2" s="8" t="s">
        <v>362</v>
      </c>
    </row>
    <row r="4" customFormat="false" ht="15" hidden="false" customHeight="false" outlineLevel="0" collapsed="false">
      <c r="B4" s="9" t="s">
        <v>363</v>
      </c>
      <c r="C4" s="9" t="s">
        <v>94</v>
      </c>
      <c r="D4" s="9" t="s">
        <v>364</v>
      </c>
      <c r="E4" s="9" t="s">
        <v>198</v>
      </c>
    </row>
    <row r="5" customFormat="false" ht="15" hidden="false" customHeight="false" outlineLevel="0" collapsed="false">
      <c r="B5" s="68" t="s">
        <v>365</v>
      </c>
      <c r="C5" s="88" t="s">
        <v>366</v>
      </c>
      <c r="D5" s="89" t="s">
        <v>367</v>
      </c>
      <c r="E5" s="8" t="s">
        <v>368</v>
      </c>
    </row>
    <row r="6" customFormat="false" ht="15" hidden="false" customHeight="false" outlineLevel="0" collapsed="false">
      <c r="B6" s="68" t="s">
        <v>369</v>
      </c>
      <c r="C6" s="88" t="s">
        <v>295</v>
      </c>
      <c r="D6" s="89" t="s">
        <v>370</v>
      </c>
      <c r="E6" s="8"/>
    </row>
    <row r="7" customFormat="false" ht="15" hidden="false" customHeight="false" outlineLevel="0" collapsed="false">
      <c r="B7" s="68" t="s">
        <v>371</v>
      </c>
      <c r="C7" s="77" t="n">
        <v>46272</v>
      </c>
      <c r="D7" s="89" t="s">
        <v>372</v>
      </c>
      <c r="E7" s="8" t="s">
        <v>373</v>
      </c>
    </row>
    <row r="8" customFormat="false" ht="15" hidden="false" customHeight="false" outlineLevel="0" collapsed="false">
      <c r="B8" s="68" t="s">
        <v>374</v>
      </c>
      <c r="C8" s="25" t="n">
        <f aca="false">MAX(1,N(ProjectStartDate))</f>
        <v>46272</v>
      </c>
      <c r="D8" s="89" t="s">
        <v>375</v>
      </c>
      <c r="E8" s="8" t="s">
        <v>376</v>
      </c>
    </row>
    <row r="9" customFormat="false" ht="15" hidden="false" customHeight="false" outlineLevel="0" collapsed="false">
      <c r="B9" s="68" t="s">
        <v>377</v>
      </c>
      <c r="C9" s="77" t="n">
        <v>46320</v>
      </c>
      <c r="D9" s="89" t="s">
        <v>378</v>
      </c>
      <c r="E9" s="8" t="s">
        <v>379</v>
      </c>
    </row>
    <row r="10" customFormat="false" ht="15" hidden="false" customHeight="false" outlineLevel="0" collapsed="false">
      <c r="B10" s="68" t="s">
        <v>380</v>
      </c>
      <c r="C10" s="25" t="n">
        <f aca="false">IF(N(StatusDateInput)&gt;0,StatusDateInput,ProjectStart)</f>
        <v>46320</v>
      </c>
      <c r="D10" s="89" t="s">
        <v>381</v>
      </c>
      <c r="E10" s="8" t="s">
        <v>382</v>
      </c>
    </row>
    <row r="11" customFormat="false" ht="15" hidden="false" customHeight="false" outlineLevel="0" collapsed="false">
      <c r="B11" s="68" t="s">
        <v>383</v>
      </c>
      <c r="C11" s="25" t="n">
        <f aca="false">WORKDAY.INTL(StatusDate-1,1,WorkWeek,Holidays)</f>
        <v>46321</v>
      </c>
      <c r="D11" s="89" t="s">
        <v>384</v>
      </c>
      <c r="E11" s="8"/>
    </row>
    <row r="12" customFormat="false" ht="15" hidden="false" customHeight="false" outlineLevel="0" collapsed="false">
      <c r="B12" s="68" t="s">
        <v>385</v>
      </c>
      <c r="C12" s="88" t="s">
        <v>386</v>
      </c>
      <c r="D12" s="89" t="s">
        <v>387</v>
      </c>
      <c r="E12" s="8" t="s">
        <v>388</v>
      </c>
    </row>
    <row r="13" customFormat="false" ht="15" hidden="false" customHeight="false" outlineLevel="0" collapsed="false">
      <c r="B13" s="68" t="s">
        <v>389</v>
      </c>
      <c r="C13" s="90" t="n">
        <v>8</v>
      </c>
      <c r="D13" s="89" t="s">
        <v>390</v>
      </c>
      <c r="E13" s="8" t="s">
        <v>391</v>
      </c>
    </row>
    <row r="14" customFormat="false" ht="15" hidden="false" customHeight="false" outlineLevel="0" collapsed="false">
      <c r="B14" s="68" t="s">
        <v>392</v>
      </c>
      <c r="C14" s="91" t="n">
        <v>1</v>
      </c>
      <c r="D14" s="89" t="s">
        <v>393</v>
      </c>
      <c r="E14" s="8" t="s">
        <v>394</v>
      </c>
    </row>
    <row r="15" customFormat="false" ht="15" hidden="false" customHeight="false" outlineLevel="0" collapsed="false">
      <c r="B15" s="68" t="s">
        <v>395</v>
      </c>
      <c r="C15" s="88" t="s">
        <v>386</v>
      </c>
      <c r="D15" s="89" t="s">
        <v>396</v>
      </c>
      <c r="E15" s="8" t="s">
        <v>397</v>
      </c>
    </row>
    <row r="16" customFormat="false" ht="15" hidden="false" customHeight="false" outlineLevel="0" collapsed="false">
      <c r="B16" s="68" t="s">
        <v>398</v>
      </c>
      <c r="C16" s="88" t="s">
        <v>386</v>
      </c>
      <c r="D16" s="89" t="s">
        <v>399</v>
      </c>
      <c r="E16" s="8"/>
    </row>
    <row r="17" customFormat="false" ht="15" hidden="false" customHeight="false" outlineLevel="0" collapsed="false">
      <c r="B17" s="68" t="s">
        <v>400</v>
      </c>
      <c r="C17" s="88" t="s">
        <v>386</v>
      </c>
      <c r="D17" s="89" t="s">
        <v>401</v>
      </c>
      <c r="E17" s="8"/>
    </row>
    <row r="18" customFormat="false" ht="15" hidden="false" customHeight="false" outlineLevel="0" collapsed="false">
      <c r="B18" s="68" t="s">
        <v>402</v>
      </c>
      <c r="C18" s="88" t="s">
        <v>386</v>
      </c>
      <c r="D18" s="89" t="s">
        <v>403</v>
      </c>
      <c r="E18" s="8"/>
    </row>
    <row r="19" customFormat="false" ht="15" hidden="false" customHeight="false" outlineLevel="0" collapsed="false">
      <c r="B19" s="68" t="s">
        <v>404</v>
      </c>
      <c r="C19" s="88" t="s">
        <v>386</v>
      </c>
      <c r="D19" s="89" t="s">
        <v>405</v>
      </c>
      <c r="E19" s="8"/>
    </row>
    <row r="20" customFormat="false" ht="15" hidden="false" customHeight="false" outlineLevel="0" collapsed="false">
      <c r="B20" s="68" t="s">
        <v>406</v>
      </c>
      <c r="C20" s="88" t="s">
        <v>407</v>
      </c>
      <c r="D20" s="89" t="s">
        <v>408</v>
      </c>
      <c r="E20" s="8"/>
    </row>
    <row r="21" customFormat="false" ht="15" hidden="false" customHeight="false" outlineLevel="0" collapsed="false">
      <c r="B21" s="68" t="s">
        <v>409</v>
      </c>
      <c r="C21" s="88" t="s">
        <v>407</v>
      </c>
      <c r="D21" s="89" t="s">
        <v>410</v>
      </c>
      <c r="E21" s="8"/>
    </row>
    <row r="22" customFormat="false" ht="15" hidden="false" customHeight="false" outlineLevel="0" collapsed="false">
      <c r="B22" s="68" t="s">
        <v>411</v>
      </c>
      <c r="C22" s="92" t="str">
        <f aca="false">IF(WorkMon="Yes","0","1")&amp;IF(WorkTue="Yes","0","1")&amp;IF(WorkWed="Yes","0","1")&amp;IF(WorkThu="Yes","0","1")&amp;IF(WorkFri="Yes","0","1")&amp;IF(WorkSat="Yes","0","1")&amp;IF(WorkSun="Yes","0","1")</f>
        <v>0000011</v>
      </c>
      <c r="D22" s="89" t="s">
        <v>412</v>
      </c>
      <c r="E22" s="8" t="s">
        <v>413</v>
      </c>
    </row>
    <row r="23" customFormat="false" ht="15" hidden="false" customHeight="false" outlineLevel="0" collapsed="false">
      <c r="B23" s="68" t="s">
        <v>414</v>
      </c>
      <c r="C23" s="77" t="n">
        <f aca="false">ProjectStart-WEEKDAY(ProjectStart,3)</f>
        <v>46272</v>
      </c>
      <c r="D23" s="89" t="s">
        <v>415</v>
      </c>
      <c r="E23" s="8" t="s">
        <v>416</v>
      </c>
    </row>
    <row r="24" customFormat="false" ht="15" hidden="false" customHeight="false" outlineLevel="0" collapsed="false">
      <c r="B24" s="68" t="s">
        <v>417</v>
      </c>
      <c r="C24" s="93" t="n">
        <v>1</v>
      </c>
      <c r="D24" s="89" t="s">
        <v>418</v>
      </c>
      <c r="E24" s="8" t="s">
        <v>419</v>
      </c>
    </row>
    <row r="25" customFormat="false" ht="15" hidden="false" customHeight="false" outlineLevel="0" collapsed="false">
      <c r="B25" s="68" t="s">
        <v>420</v>
      </c>
      <c r="C25" s="77" t="n">
        <f aca="false">ProjectStart</f>
        <v>46272</v>
      </c>
      <c r="D25" s="89" t="s">
        <v>421</v>
      </c>
      <c r="E25" s="8" t="s">
        <v>422</v>
      </c>
    </row>
    <row r="26" customFormat="false" ht="15" hidden="false" customHeight="false" outlineLevel="0" collapsed="false">
      <c r="B26" s="68" t="s">
        <v>423</v>
      </c>
      <c r="C26" s="93" t="n">
        <v>14</v>
      </c>
      <c r="D26" s="89" t="s">
        <v>424</v>
      </c>
      <c r="E26" s="8" t="s">
        <v>425</v>
      </c>
    </row>
    <row r="27" customFormat="false" ht="15" hidden="false" customHeight="false" outlineLevel="0" collapsed="false">
      <c r="B27" s="68" t="s">
        <v>426</v>
      </c>
      <c r="C27" s="93" t="n">
        <v>12</v>
      </c>
      <c r="D27" s="89" t="s">
        <v>427</v>
      </c>
      <c r="E27" s="8" t="s">
        <v>428</v>
      </c>
    </row>
    <row r="28" customFormat="false" ht="15" hidden="false" customHeight="false" outlineLevel="0" collapsed="false">
      <c r="B28" s="68" t="s">
        <v>429</v>
      </c>
      <c r="C28" s="88" t="s">
        <v>430</v>
      </c>
      <c r="D28" s="89" t="s">
        <v>431</v>
      </c>
      <c r="E28" s="8" t="s">
        <v>432</v>
      </c>
    </row>
    <row r="29" customFormat="false" ht="15" hidden="false" customHeight="false" outlineLevel="0" collapsed="false">
      <c r="B29" s="68" t="s">
        <v>433</v>
      </c>
      <c r="C29" s="25" t="n">
        <f aca="false">INDEX(spr_End,SprintCount)</f>
        <v>46439</v>
      </c>
      <c r="D29" s="89" t="s">
        <v>434</v>
      </c>
      <c r="E29" s="8"/>
    </row>
    <row r="30" customFormat="false" ht="15" hidden="false" customHeight="false" outlineLevel="0" collapsed="false">
      <c r="B30" s="68" t="s">
        <v>435</v>
      </c>
      <c r="C30" s="92" t="str">
        <f aca="false">IF(OR(StatusDate&lt;Sprint1Start,StatusDate&gt;SprintLastEnd),"",INDEX(spr_Name,MATCH(StatusDate,spr_Start,1)))</f>
        <v>Sprint 4</v>
      </c>
      <c r="D30" s="89" t="s">
        <v>436</v>
      </c>
      <c r="E30" s="8" t="s">
        <v>437</v>
      </c>
    </row>
    <row r="31" customFormat="false" ht="15" hidden="false" customHeight="false" outlineLevel="0" collapsed="false">
      <c r="B31" s="68" t="s">
        <v>438</v>
      </c>
      <c r="C31" s="25" t="n">
        <f aca="false">IF(CurrentSprint="","",INDEX(spr_Start,MATCH(CurrentSprint,spr_Name,0)))</f>
        <v>46314</v>
      </c>
      <c r="D31" s="89" t="s">
        <v>439</v>
      </c>
      <c r="E31" s="8"/>
    </row>
    <row r="32" customFormat="false" ht="15" hidden="false" customHeight="false" outlineLevel="0" collapsed="false">
      <c r="B32" s="68" t="s">
        <v>440</v>
      </c>
      <c r="C32" s="25" t="n">
        <f aca="false">IF(CurrentSprint="","",INDEX(spr_End,MATCH(CurrentSprint,spr_Name,0)))</f>
        <v>46327</v>
      </c>
      <c r="D32" s="89" t="s">
        <v>441</v>
      </c>
      <c r="E32" s="8"/>
    </row>
    <row r="33" customFormat="false" ht="15" hidden="false" customHeight="false" outlineLevel="0" collapsed="false">
      <c r="B33" s="68" t="s">
        <v>442</v>
      </c>
      <c r="C33" s="74" t="n">
        <f aca="false">SUM(tsk_LeafPoints)</f>
        <v>82</v>
      </c>
      <c r="D33" s="89" t="s">
        <v>443</v>
      </c>
      <c r="E33" s="8" t="s">
        <v>444</v>
      </c>
    </row>
    <row r="34" customFormat="false" ht="15" hidden="false" customHeight="false" outlineLevel="0" collapsed="false">
      <c r="B34" s="68" t="s">
        <v>445</v>
      </c>
      <c r="C34" s="93" t="n">
        <v>0</v>
      </c>
      <c r="D34" s="89" t="s">
        <v>446</v>
      </c>
      <c r="E34" s="8" t="s">
        <v>447</v>
      </c>
    </row>
    <row r="35" customFormat="false" ht="15" hidden="false" customHeight="false" outlineLevel="0" collapsed="false">
      <c r="B35" s="68" t="s">
        <v>448</v>
      </c>
      <c r="C35" s="25" t="n">
        <f aca="false">MAX(tsk_FcFinish)</f>
        <v>46393</v>
      </c>
      <c r="D35" s="89" t="s">
        <v>449</v>
      </c>
      <c r="E35" s="8" t="s">
        <v>450</v>
      </c>
    </row>
    <row r="36" customFormat="false" ht="15" hidden="false" customHeight="false" outlineLevel="0" collapsed="false">
      <c r="B36" s="68" t="s">
        <v>451</v>
      </c>
      <c r="C36" s="25" t="n">
        <f aca="false">MAX(tsk_PlanFinish)</f>
        <v>46393</v>
      </c>
      <c r="D36" s="89" t="s">
        <v>452</v>
      </c>
      <c r="E36" s="8" t="s">
        <v>453</v>
      </c>
    </row>
    <row r="37" customFormat="false" ht="15" hidden="false" customHeight="false" outlineLevel="0" collapsed="false">
      <c r="B37" s="68" t="s">
        <v>454</v>
      </c>
      <c r="C37" s="94" t="n">
        <f aca="false">IF(ProjectFinish&gt;=PlannedFinish,NETWORKDAYS.INTL(PlannedFinish,ProjectFinish,WorkWeek,Holidays)-1,1-NETWORKDAYS.INTL(ProjectFinish,PlannedFinish,WorkWeek,Holidays))</f>
        <v>0</v>
      </c>
      <c r="D37" s="89" t="s">
        <v>455</v>
      </c>
      <c r="E37" s="8" t="s">
        <v>456</v>
      </c>
    </row>
    <row r="38" customFormat="false" ht="15" hidden="false" customHeight="false" outlineLevel="0" collapsed="false">
      <c r="B38" s="68" t="s">
        <v>457</v>
      </c>
      <c r="C38" s="93" t="n">
        <v>10</v>
      </c>
      <c r="D38" s="89" t="s">
        <v>458</v>
      </c>
      <c r="E38" s="8" t="s">
        <v>459</v>
      </c>
    </row>
    <row r="39" customFormat="false" ht="15" hidden="false" customHeight="false" outlineLevel="0" collapsed="false">
      <c r="B39" s="68" t="s">
        <v>460</v>
      </c>
      <c r="C39" s="25" t="n">
        <f aca="false">WORKDAY.INTL(StatusDate-1,LookaheadDays,WorkWeek,Holidays)</f>
        <v>46332</v>
      </c>
      <c r="D39" s="89" t="s">
        <v>461</v>
      </c>
      <c r="E39" s="8"/>
    </row>
    <row r="40" customFormat="false" ht="15" hidden="false" customHeight="false" outlineLevel="0" collapsed="false">
      <c r="B40" s="68" t="s">
        <v>462</v>
      </c>
      <c r="C40" s="93" t="n">
        <v>3</v>
      </c>
      <c r="D40" s="89" t="s">
        <v>463</v>
      </c>
      <c r="E40" s="8" t="s">
        <v>464</v>
      </c>
    </row>
    <row r="41" customFormat="false" ht="15" hidden="false" customHeight="false" outlineLevel="0" collapsed="false">
      <c r="B41" s="68" t="s">
        <v>465</v>
      </c>
      <c r="C41" s="93" t="n">
        <v>10</v>
      </c>
      <c r="D41" s="89" t="s">
        <v>466</v>
      </c>
      <c r="E41" s="8"/>
    </row>
    <row r="42" customFormat="false" ht="15" hidden="false" customHeight="false" outlineLevel="0" collapsed="false">
      <c r="B42" s="68" t="s">
        <v>467</v>
      </c>
      <c r="C42" s="95" t="n">
        <v>0.95</v>
      </c>
      <c r="D42" s="89" t="s">
        <v>468</v>
      </c>
      <c r="E42" s="8" t="s">
        <v>469</v>
      </c>
    </row>
    <row r="43" customFormat="false" ht="15" hidden="false" customHeight="false" outlineLevel="0" collapsed="false">
      <c r="B43" s="68" t="s">
        <v>470</v>
      </c>
      <c r="C43" s="95" t="n">
        <v>0.85</v>
      </c>
      <c r="D43" s="89" t="s">
        <v>471</v>
      </c>
      <c r="E43" s="8"/>
    </row>
    <row r="44" customFormat="false" ht="15" hidden="false" customHeight="false" outlineLevel="0" collapsed="false">
      <c r="B44" s="68" t="s">
        <v>472</v>
      </c>
      <c r="C44" s="93" t="n">
        <v>15</v>
      </c>
      <c r="D44" s="89" t="s">
        <v>473</v>
      </c>
      <c r="E44" s="8" t="s">
        <v>474</v>
      </c>
    </row>
    <row r="45" customFormat="false" ht="15" hidden="false" customHeight="false" outlineLevel="0" collapsed="false">
      <c r="B45" s="68" t="s">
        <v>475</v>
      </c>
      <c r="C45" s="93" t="n">
        <v>8</v>
      </c>
      <c r="D45" s="89" t="s">
        <v>476</v>
      </c>
      <c r="E45" s="8"/>
    </row>
    <row r="46" customFormat="false" ht="15" hidden="false" customHeight="false" outlineLevel="0" collapsed="false">
      <c r="B46" s="68" t="s">
        <v>477</v>
      </c>
      <c r="C46" s="77" t="n">
        <f aca="false">MAX(2,StatusDate-WEEKDAY(StatusDate,3)-14)</f>
        <v>46300</v>
      </c>
      <c r="D46" s="89" t="s">
        <v>478</v>
      </c>
      <c r="E46" s="8" t="s">
        <v>479</v>
      </c>
    </row>
    <row r="47" customFormat="false" ht="15" hidden="false" customHeight="false" outlineLevel="0" collapsed="false">
      <c r="B47" s="68" t="s">
        <v>480</v>
      </c>
      <c r="C47" s="96" t="n">
        <f aca="false">MAX(tsk_UID)+1</f>
        <v>201</v>
      </c>
      <c r="D47" s="89" t="s">
        <v>481</v>
      </c>
      <c r="E47" s="8" t="s">
        <v>482</v>
      </c>
    </row>
  </sheetData>
  <conditionalFormatting sqref="C7">
    <cfRule type="expression" priority="2" aboveAverage="0" equalAverage="0" bottom="0" percent="0" rank="0" text="" dxfId="32">
      <formula>N(C7)=0</formula>
    </cfRule>
  </conditionalFormatting>
  <conditionalFormatting sqref="C9">
    <cfRule type="expression" priority="3" aboveAverage="0" equalAverage="0" bottom="0" percent="0" rank="0" text="" dxfId="32">
      <formula>N(C9)=0</formula>
    </cfRule>
  </conditionalFormatting>
  <dataValidations count="3">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7"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DS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8"/>
    <col collapsed="false" customWidth="true" hidden="false" outlineLevel="0" max="7" min="7" style="0" width="9"/>
    <col collapsed="false" customWidth="true" hidden="false" outlineLevel="0" max="8" min="8" style="0" width="7"/>
    <col collapsed="false" customWidth="true" hidden="false" outlineLevel="0" max="10" min="9" style="0" width="6"/>
    <col collapsed="false" customWidth="true" hidden="false" outlineLevel="0" max="11" min="11" style="0" width="7"/>
    <col collapsed="false" customWidth="true" hidden="false" outlineLevel="0" max="13" min="12" style="0" width="6"/>
    <col collapsed="false" customWidth="true" hidden="false" outlineLevel="0" max="21" min="14" style="0" width="15"/>
    <col collapsed="false" customWidth="true" hidden="false" outlineLevel="0" max="23" min="22" style="0" width="8"/>
    <col collapsed="false" customWidth="true" hidden="false" outlineLevel="0" max="25" min="24" style="0" width="15"/>
    <col collapsed="false" customWidth="true" hidden="false" outlineLevel="0" max="28" min="26" style="0" width="8"/>
    <col collapsed="false" customWidth="true" hidden="false" outlineLevel="0" max="29" min="29" style="0" width="12"/>
    <col collapsed="false" customWidth="true" hidden="false" outlineLevel="0" max="30" min="30" style="0" width="24"/>
    <col collapsed="false" customWidth="true" hidden="false" outlineLevel="0" max="32" min="31" style="0" width="9"/>
    <col collapsed="false" customWidth="true" hidden="false" outlineLevel="0" max="33" min="33" style="0" width="12"/>
    <col collapsed="false" customWidth="true" hidden="false" outlineLevel="0" max="34" min="34" style="0" width="16"/>
    <col collapsed="false" customWidth="true" hidden="false" outlineLevel="0" max="35" min="35" style="0" width="7"/>
    <col collapsed="false" customWidth="true" hidden="false" outlineLevel="0" max="37" min="36" style="0" width="9"/>
    <col collapsed="false" customWidth="true" hidden="false" outlineLevel="0" max="40" min="38" style="0" width="11"/>
    <col collapsed="false" customWidth="true" hidden="false" outlineLevel="0" max="41" min="41" style="0" width="10"/>
    <col collapsed="false" customWidth="true" hidden="false" outlineLevel="0" max="42" min="42" style="0" width="8"/>
    <col collapsed="false" customWidth="true" hidden="false" outlineLevel="0" max="43" min="43" style="0" width="14"/>
    <col collapsed="false" customWidth="true" hidden="false" outlineLevel="0" max="44" min="44" style="0" width="40"/>
    <col collapsed="false" customWidth="true" hidden="false" outlineLevel="0" max="46" min="45" style="0" width="15"/>
    <col collapsed="false" customWidth="true" hidden="false" outlineLevel="0" max="48" min="47" style="0" width="9"/>
    <col collapsed="false" customWidth="true" hidden="false" outlineLevel="0" max="49" min="49" style="0" width="11"/>
    <col collapsed="false" customWidth="true" hidden="false" outlineLevel="0" max="51" min="50" style="0" width="15"/>
    <col collapsed="false" customWidth="true" hidden="false" outlineLevel="0" max="53" min="52" style="0" width="9"/>
    <col collapsed="false" customWidth="true" hidden="false" outlineLevel="0" max="54" min="54" style="0" width="11"/>
    <col collapsed="false" customWidth="true" hidden="false" outlineLevel="0" max="56" min="55" style="0" width="9"/>
    <col collapsed="false" customWidth="true" hidden="false" outlineLevel="0" max="61" min="57" style="0" width="11"/>
    <col collapsed="false" customWidth="true" hidden="true" outlineLevel="1" max="123" min="62" style="0" width="11"/>
  </cols>
  <sheetData>
    <row r="1" customFormat="false" ht="19.7" hidden="false" customHeight="false" outlineLevel="0" collapsed="false">
      <c r="A1" s="26" t="str">
        <f aca="false">ProjectName&amp;"  -  Task Entry"</f>
        <v>Customer Portal Implementation  -  Task Entry</v>
      </c>
    </row>
    <row r="2" customFormat="false" ht="15" hidden="false" customHeight="false" outlineLevel="0" collapsed="false">
      <c r="A2" s="8" t="s">
        <v>483</v>
      </c>
    </row>
    <row r="3" customFormat="false" ht="15" hidden="false" customHeight="false" outlineLevel="0" collapsed="false">
      <c r="A3" s="36" t="str">
        <f aca="false">"Next free UID for a new row: "&amp;NextFreeUID</f>
        <v>Next free UID for a new row: 201</v>
      </c>
    </row>
    <row r="4" customFormat="false" ht="15" hidden="false" customHeight="false" outlineLevel="0" collapsed="false">
      <c r="A4" s="36" t="s">
        <v>484</v>
      </c>
      <c r="F4" s="36" t="s">
        <v>485</v>
      </c>
      <c r="P4" s="36" t="s">
        <v>486</v>
      </c>
      <c r="V4" s="36" t="s">
        <v>487</v>
      </c>
      <c r="X4" s="36" t="s">
        <v>488</v>
      </c>
      <c r="AC4" s="36" t="s">
        <v>489</v>
      </c>
      <c r="AE4" s="36" t="s">
        <v>490</v>
      </c>
      <c r="AH4" s="36" t="s">
        <v>491</v>
      </c>
      <c r="AS4" s="36" t="s">
        <v>492</v>
      </c>
      <c r="BC4" s="36" t="s">
        <v>493</v>
      </c>
      <c r="BF4" s="36" t="s">
        <v>494</v>
      </c>
      <c r="BJ4" s="36" t="s">
        <v>495</v>
      </c>
    </row>
    <row r="5" customFormat="false" ht="42" hidden="false" customHeight="true" outlineLevel="0" collapsed="false">
      <c r="A5" s="9" t="s">
        <v>496</v>
      </c>
      <c r="B5" s="27" t="s">
        <v>497</v>
      </c>
      <c r="C5" s="9" t="s">
        <v>205</v>
      </c>
      <c r="D5" s="27" t="s">
        <v>498</v>
      </c>
      <c r="E5" s="27" t="s">
        <v>499</v>
      </c>
      <c r="F5" s="27" t="s">
        <v>57</v>
      </c>
      <c r="G5" s="27" t="s">
        <v>226</v>
      </c>
      <c r="H5" s="27" t="s">
        <v>500</v>
      </c>
      <c r="I5" s="27" t="s">
        <v>501</v>
      </c>
      <c r="J5" s="27" t="s">
        <v>502</v>
      </c>
      <c r="K5" s="27" t="s">
        <v>503</v>
      </c>
      <c r="L5" s="27" t="s">
        <v>504</v>
      </c>
      <c r="M5" s="27" t="s">
        <v>505</v>
      </c>
      <c r="N5" s="27" t="s">
        <v>506</v>
      </c>
      <c r="O5" s="27" t="s">
        <v>221</v>
      </c>
      <c r="P5" s="9" t="s">
        <v>507</v>
      </c>
      <c r="Q5" s="9" t="s">
        <v>207</v>
      </c>
      <c r="R5" s="27" t="s">
        <v>508</v>
      </c>
      <c r="S5" s="27" t="s">
        <v>509</v>
      </c>
      <c r="T5" s="9" t="s">
        <v>225</v>
      </c>
      <c r="U5" s="9" t="s">
        <v>208</v>
      </c>
      <c r="V5" s="9" t="s">
        <v>510</v>
      </c>
      <c r="W5" s="9" t="s">
        <v>209</v>
      </c>
      <c r="X5" s="9" t="s">
        <v>104</v>
      </c>
      <c r="Y5" s="9" t="s">
        <v>511</v>
      </c>
      <c r="Z5" s="9" t="s">
        <v>227</v>
      </c>
      <c r="AA5" s="9" t="s">
        <v>512</v>
      </c>
      <c r="AB5" s="9" t="s">
        <v>224</v>
      </c>
      <c r="AC5" s="9" t="s">
        <v>222</v>
      </c>
      <c r="AD5" s="9" t="s">
        <v>513</v>
      </c>
      <c r="AE5" s="27" t="s">
        <v>514</v>
      </c>
      <c r="AF5" s="9" t="s">
        <v>210</v>
      </c>
      <c r="AG5" s="9" t="s">
        <v>95</v>
      </c>
      <c r="AH5" s="27" t="s">
        <v>223</v>
      </c>
      <c r="AI5" s="27" t="s">
        <v>515</v>
      </c>
      <c r="AJ5" s="9" t="s">
        <v>516</v>
      </c>
      <c r="AK5" s="9" t="s">
        <v>231</v>
      </c>
      <c r="AL5" s="9" t="s">
        <v>234</v>
      </c>
      <c r="AM5" s="27" t="s">
        <v>235</v>
      </c>
      <c r="AN5" s="27" t="s">
        <v>517</v>
      </c>
      <c r="AO5" s="9" t="s">
        <v>518</v>
      </c>
      <c r="AP5" s="27" t="s">
        <v>263</v>
      </c>
      <c r="AQ5" s="9" t="s">
        <v>55</v>
      </c>
      <c r="AR5" s="27" t="s">
        <v>198</v>
      </c>
      <c r="AS5" s="9" t="s">
        <v>519</v>
      </c>
      <c r="AT5" s="9" t="s">
        <v>520</v>
      </c>
      <c r="AU5" s="9" t="s">
        <v>521</v>
      </c>
      <c r="AV5" s="9" t="s">
        <v>522</v>
      </c>
      <c r="AW5" s="9" t="s">
        <v>523</v>
      </c>
      <c r="AX5" s="27" t="s">
        <v>524</v>
      </c>
      <c r="AY5" s="27" t="s">
        <v>525</v>
      </c>
      <c r="AZ5" s="27" t="s">
        <v>526</v>
      </c>
      <c r="BA5" s="27" t="s">
        <v>527</v>
      </c>
      <c r="BB5" s="27" t="s">
        <v>528</v>
      </c>
      <c r="BC5" s="9" t="s">
        <v>529</v>
      </c>
      <c r="BD5" s="9" t="s">
        <v>530</v>
      </c>
      <c r="BE5" s="9" t="s">
        <v>531</v>
      </c>
      <c r="BF5" s="9" t="s">
        <v>211</v>
      </c>
      <c r="BG5" s="9" t="s">
        <v>212</v>
      </c>
      <c r="BH5" s="9" t="s">
        <v>213</v>
      </c>
      <c r="BI5" s="9" t="s">
        <v>214</v>
      </c>
      <c r="BJ5" s="40" t="s">
        <v>532</v>
      </c>
      <c r="BK5" s="40" t="s">
        <v>533</v>
      </c>
      <c r="BL5" s="40" t="s">
        <v>534</v>
      </c>
      <c r="BM5" s="40" t="s">
        <v>535</v>
      </c>
      <c r="BN5" s="40" t="s">
        <v>536</v>
      </c>
      <c r="BO5" s="40" t="s">
        <v>537</v>
      </c>
      <c r="BP5" s="40" t="s">
        <v>538</v>
      </c>
      <c r="BQ5" s="40" t="s">
        <v>539</v>
      </c>
      <c r="BR5" s="40" t="s">
        <v>540</v>
      </c>
      <c r="BS5" s="40" t="s">
        <v>541</v>
      </c>
      <c r="BT5" s="40" t="s">
        <v>542</v>
      </c>
      <c r="BU5" s="40" t="s">
        <v>543</v>
      </c>
      <c r="BV5" s="40" t="s">
        <v>544</v>
      </c>
      <c r="BW5" s="40" t="s">
        <v>545</v>
      </c>
      <c r="BX5" s="40" t="s">
        <v>546</v>
      </c>
      <c r="BY5" s="40" t="s">
        <v>547</v>
      </c>
      <c r="BZ5" s="40" t="s">
        <v>548</v>
      </c>
      <c r="CA5" s="40" t="s">
        <v>549</v>
      </c>
      <c r="CB5" s="40" t="s">
        <v>550</v>
      </c>
      <c r="CC5" s="40" t="s">
        <v>551</v>
      </c>
      <c r="CD5" s="40" t="s">
        <v>552</v>
      </c>
      <c r="CE5" s="40" t="s">
        <v>553</v>
      </c>
      <c r="CF5" s="40" t="s">
        <v>554</v>
      </c>
      <c r="CG5" s="40" t="s">
        <v>555</v>
      </c>
      <c r="CH5" s="40" t="s">
        <v>556</v>
      </c>
      <c r="CI5" s="40" t="s">
        <v>557</v>
      </c>
      <c r="CJ5" s="40" t="s">
        <v>558</v>
      </c>
      <c r="CK5" s="40" t="s">
        <v>559</v>
      </c>
      <c r="CL5" s="40" t="s">
        <v>560</v>
      </c>
      <c r="CM5" s="40" t="s">
        <v>561</v>
      </c>
      <c r="CN5" s="40" t="s">
        <v>562</v>
      </c>
      <c r="CO5" s="40" t="s">
        <v>563</v>
      </c>
      <c r="CP5" s="40" t="s">
        <v>564</v>
      </c>
      <c r="CQ5" s="40" t="s">
        <v>565</v>
      </c>
      <c r="CR5" s="40" t="s">
        <v>566</v>
      </c>
      <c r="CS5" s="40" t="s">
        <v>567</v>
      </c>
      <c r="CT5" s="40" t="s">
        <v>568</v>
      </c>
      <c r="CU5" s="40" t="s">
        <v>569</v>
      </c>
      <c r="CV5" s="40" t="s">
        <v>570</v>
      </c>
      <c r="CW5" s="40" t="s">
        <v>571</v>
      </c>
      <c r="CX5" s="40" t="s">
        <v>572</v>
      </c>
      <c r="CY5" s="40" t="s">
        <v>573</v>
      </c>
      <c r="CZ5" s="40" t="s">
        <v>574</v>
      </c>
      <c r="DA5" s="40" t="s">
        <v>575</v>
      </c>
      <c r="DB5" s="40" t="s">
        <v>576</v>
      </c>
      <c r="DC5" s="40" t="s">
        <v>577</v>
      </c>
      <c r="DD5" s="40" t="s">
        <v>578</v>
      </c>
      <c r="DE5" s="40" t="s">
        <v>579</v>
      </c>
      <c r="DF5" s="40" t="s">
        <v>580</v>
      </c>
      <c r="DG5" s="40" t="s">
        <v>581</v>
      </c>
      <c r="DH5" s="40" t="s">
        <v>582</v>
      </c>
      <c r="DI5" s="40" t="s">
        <v>583</v>
      </c>
      <c r="DJ5" s="40" t="s">
        <v>584</v>
      </c>
      <c r="DK5" s="40" t="s">
        <v>585</v>
      </c>
      <c r="DL5" s="40" t="s">
        <v>586</v>
      </c>
      <c r="DM5" s="40" t="s">
        <v>587</v>
      </c>
      <c r="DN5" s="40" t="s">
        <v>588</v>
      </c>
      <c r="DO5" s="40" t="s">
        <v>589</v>
      </c>
      <c r="DP5" s="40" t="s">
        <v>590</v>
      </c>
      <c r="DQ5" s="40" t="s">
        <v>591</v>
      </c>
      <c r="DR5" s="40" t="s">
        <v>592</v>
      </c>
      <c r="DS5" s="40" t="s">
        <v>593</v>
      </c>
    </row>
    <row r="6" customFormat="false" ht="15" hidden="false" customHeight="false" outlineLevel="0" collapsed="false">
      <c r="A6" s="28" t="n">
        <f aca="false">IF(Tasks[[#This Row],[Task Name]]="","",COUNTA(Tasks[[#Headers],[Task Name]]:Tasks[[#This Row],[Task Name]])-1)</f>
        <v>1</v>
      </c>
      <c r="B6" s="29" t="n">
        <v>1</v>
      </c>
      <c r="C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D6" s="29" t="n">
        <v>1</v>
      </c>
      <c r="E6" s="30" t="s">
        <v>594</v>
      </c>
      <c r="F6" s="29" t="s">
        <v>595</v>
      </c>
      <c r="G6" s="29"/>
      <c r="H6" s="29"/>
      <c r="I6" s="29"/>
      <c r="J6" s="29"/>
      <c r="K6" s="29"/>
      <c r="L6" s="29"/>
      <c r="M6" s="29"/>
      <c r="N6" s="77"/>
      <c r="O6" s="77"/>
      <c r="P6" s="25" t="n">
        <f aca="false">IF(Tasks[[#This Row],[Task Name]]="","",IF(N(Tasks[[#This Row],[Baseline Start]])&gt;0,Tasks[[#This Row],[Baseline Start]],Tasks[[#This Row],[_CalcStart]]))</f>
        <v>46272</v>
      </c>
      <c r="Q6" s="25" t="n">
        <f aca="false">IF(Tasks[[#This Row],[Task Name]]="","",IF(N(Tasks[[#This Row],[Baseline Finish]])&gt;0,Tasks[[#This Row],[Baseline Finish]],Tasks[[#This Row],[_CalcFinish]]))</f>
        <v>46276</v>
      </c>
      <c r="R6" s="77"/>
      <c r="S6" s="77"/>
      <c r="T6" s="25" t="n">
        <f aca="false">IF(Tasks[[#This Row],[Task Name]]="","",IF(Tasks[[#This Row],[_IsSummary]],MIN(INDEX(Tasks[_LeafFcstStart],Tasks[[#This Row],[_Row]]+1):INDEX(Tasks[_LeafFcstStart],Tasks[[#This Row],[_Row]]+Tasks[[#This Row],[_Descendants]])),Tasks[[#This Row],[_LeafFcstStart]]))</f>
        <v>46272</v>
      </c>
      <c r="U6" s="25" t="n">
        <f aca="false">IF(Tasks[[#This Row],[Task Name]]="","",IF(Tasks[[#This Row],[_IsSummary]],MAX(INDEX(Tasks[_LeafFcstFinish],Tasks[[#This Row],[_Row]]+1):INDEX(Tasks[_LeafFcstFinish],Tasks[[#This Row],[_Row]]+Tasks[[#This Row],[_Descendants]])),Tasks[[#This Row],[_LeafFcstFinish]]))</f>
        <v>46279</v>
      </c>
      <c r="V6"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6"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6" s="25" t="n">
        <f aca="false">IF(Tasks[[#This Row],[Task Name]]="","",IF(Tasks[[#This Row],[_IsSummary]],MIN(INDEX(Tasks[_LeafLateStart],Tasks[[#This Row],[_Row]]+1):INDEX(Tasks[_LeafLateStart],Tasks[[#This Row],[_Row]]+Tasks[[#This Row],[_Descendants]])),Tasks[[#This Row],[_LeafLateStart]]))</f>
        <v>46279</v>
      </c>
      <c r="Y6" s="25" t="n">
        <f aca="false">IF(Tasks[[#This Row],[Task Name]]="","",IF(Tasks[[#This Row],[_IsSummary]],MAX(INDEX(Tasks[_LeafLateFinish],Tasks[[#This Row],[_Row]]+1):INDEX(Tasks[_LeafLateFinish],Tasks[[#This Row],[_Row]]+Tasks[[#This Row],[_Descendants]])),Tasks[[#This Row],[_LeafLateFinish]]))</f>
        <v>46283</v>
      </c>
      <c r="Z6" s="43" t="n">
        <f aca="false">IF(Tasks[[#This Row],[Task Name]]="","",IF(Tasks[[#This Row],[_IsSummary]],MIN(INDEX(Tasks[_LeafTotalSlack],Tasks[[#This Row],[_Row]]+1):INDEX(Tasks[_LeafTotalSlack],Tasks[[#This Row],[_Row]]+Tasks[[#This Row],[_Descendants]])),Tasks[[#This Row],[_LeafTotalSlack]]))</f>
        <v>4</v>
      </c>
      <c r="AA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 s="28" t="str">
        <f aca="false">IF(Tasks[[#This Row],[Task Name]]="","",IF(IF(Tasks[[#This Row],[_IsSummary]],COUNTIF(INDEX(Tasks[_LeafCritical],Tasks[[#This Row],[_Row]]+1):INDEX(Tasks[_LeafCritical],Tasks[[#This Row],[_Row]]+Tasks[[#This Row],[_Descendants]]),TRUE())&gt;0,Tasks[[#This Row],[_LeafCritical]]),"Yes",""))</f>
        <v/>
      </c>
      <c r="AC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 s="24" t="str">
        <f aca="false">IF(Tasks[[#This Row],[Task Name]]="","",TRIM(IF(Tasks[[#This Row],[_Pred1Problem]]&lt;&gt;"","Pred 1: "&amp;Tasks[[#This Row],[_Pred1Problem]]&amp;". ","")&amp;IF(Tasks[[#This Row],[_Pred2Problem]]&lt;&gt;"","Pred 2: "&amp;Tasks[[#This Row],[_Pred2Problem]]&amp;".","")))</f>
        <v/>
      </c>
      <c r="AE6" s="91"/>
      <c r="AF6"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6" s="28" t="str">
        <f aca="false">IF(Tasks[[#This Row],[Task Name]]="","",IF(Tasks[[#This Row],[Progress]]&gt;=1,"Complete",IF(OR(N(Tasks[[#This Row],[Actual Start]])&gt;0,Tasks[[#This Row],[Progress]]&gt;0),IF(Tasks[[#This Row],[Finish Var]]&gt;0,"Behind","In Progress"),IF(Tasks[[#This Row],[Planned Start]]&lt;StatusDate,"Late Start","Not Started"))))</f>
        <v>Complete</v>
      </c>
      <c r="AH6" s="30"/>
      <c r="AI6" s="91"/>
      <c r="AJ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 s="98" t="n">
        <f aca="false">IF(Tasks[[#This Row],[Task Name]]="","",IF(Tasks[[#This Row],[_IsSummary]],SUM(INDEX(Tasks[_LeafWork],Tasks[[#This Row],[_Row]]+1):INDEX(Tasks[_LeafWork],Tasks[[#This Row],[_Row]]+Tasks[[#This Row],[_Descendants]])),Tasks[[#This Row],[_LeafWork]]))</f>
        <v>40</v>
      </c>
      <c r="AL6" s="99" t="n">
        <f aca="false">IF(Tasks[[#This Row],[Task Name]]="","",IF(Tasks[[#This Row],[_IsSummary]],SUM(INDEX(Tasks[_LeafCost],Tasks[[#This Row],[_Row]]+1):INDEX(Tasks[_LeafCost],Tasks[[#This Row],[_Row]]+Tasks[[#This Row],[_Descendants]])),Tasks[[#This Row],[_LeafCost]]))</f>
        <v>3400</v>
      </c>
      <c r="AM6" s="100"/>
      <c r="AN6" s="29"/>
      <c r="AO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 s="85"/>
      <c r="AQ6" s="24" t="str">
        <f aca="false">IF(Tasks[[#This Row],[Task Name]]="","",Tasks[[#This Row],[_Pred1IDText]]&amp;IF(AND(Tasks[[#This Row],[_Pred1IDText]]&lt;&gt;"",Tasks[[#This Row],[_Pred2IDText]]&lt;&gt;""),",","")&amp;Tasks[[#This Row],[_Pred2IDText]])</f>
        <v/>
      </c>
      <c r="AR6" s="30" t="s">
        <v>596</v>
      </c>
      <c r="AS6" s="25" t="n">
        <f aca="false">IF(Tasks[[#This Row],[Task Name]]="","",Tasks[[#This Row],[Forecast Start]])</f>
        <v>46272</v>
      </c>
      <c r="AT6" s="25" t="n">
        <f aca="false">IF(Tasks[[#This Row],[Task Name]]="","",Tasks[[#This Row],[Forecast Finish]])</f>
        <v>46279</v>
      </c>
      <c r="AU6" s="28" t="n">
        <f aca="false">IF(Tasks[[#This Row],[Task Name]]="","",IF(Tasks[[#This Row],[_IsSummary]],NETWORKDAYS.INTL(Tasks[[#This Row],[Forecast Start]],Tasks[[#This Row],[Forecast Finish]],WorkWeek,Holidays),N(Tasks[[#This Row],[Duration]])))</f>
        <v>6</v>
      </c>
      <c r="AV6" s="98" t="n">
        <f aca="false">IF(Tasks[[#This Row],[Task Name]]="","",Tasks[[#This Row],[Work]])</f>
        <v>40</v>
      </c>
      <c r="AW6" s="99" t="n">
        <f aca="false">IF(Tasks[[#This Row],[Task Name]]="","",Tasks[[#This Row],[Cost]])</f>
        <v>3400</v>
      </c>
      <c r="AX6" s="77"/>
      <c r="AY6" s="77"/>
      <c r="AZ6" s="29"/>
      <c r="BA6" s="101"/>
      <c r="BB6" s="100"/>
      <c r="BC6" s="28" t="str">
        <f aca="false">IF(OR(Tasks[[#This Row],[Task Name]]="",Tasks[[#This Row],[Baseline Duration]]=""),"",Tasks[[#This Row],[BL Source Duration]]-N(Tasks[[#This Row],[Baseline Duration]]))</f>
        <v/>
      </c>
      <c r="BD6" s="98" t="str">
        <f aca="false">IF(OR(Tasks[[#This Row],[Task Name]]="",Tasks[[#This Row],[Baseline Work]]=""),"",Tasks[[#This Row],[Work]]-N(Tasks[[#This Row],[Baseline Work]]))</f>
        <v/>
      </c>
      <c r="BE6" s="99" t="str">
        <f aca="false">IF(OR(Tasks[[#This Row],[Task Name]]="",Tasks[[#This Row],[Baseline Cost]]=""),"",Tasks[[#This Row],[Cost]]-N(Tasks[[#This Row],[Baseline Cost]]))</f>
        <v/>
      </c>
      <c r="BF6" s="99" t="n">
        <f aca="false">IF(Tasks[[#This Row],[Task Name]]="","",IF(Tasks[[#This Row],[_IsSummary]],SUM(INDEX(Tasks[_LeafBudget],Tasks[[#This Row],[_Row]]+1):INDEX(Tasks[_LeafBudget],Tasks[[#This Row],[_Row]]+Tasks[[#This Row],[_Descendants]])),Tasks[[#This Row],[_LeafBudget]]))</f>
        <v>3400</v>
      </c>
      <c r="BG6" s="99" t="n">
        <f aca="false">IF(Tasks[[#This Row],[Task Name]]="","",IF(Tasks[[#This Row],[_IsSummary]],SUM(INDEX(Tasks[_LeafPV],Tasks[[#This Row],[_Row]]+1):INDEX(Tasks[_LeafPV],Tasks[[#This Row],[_Row]]+Tasks[[#This Row],[_Descendants]])),Tasks[[#This Row],[_LeafPV]]))</f>
        <v>3400</v>
      </c>
      <c r="BH6" s="99" t="n">
        <f aca="false">IF(Tasks[[#This Row],[Task Name]]="","",IF(Tasks[[#This Row],[_IsSummary]],SUM(INDEX(Tasks[_LeafEV],Tasks[[#This Row],[_Row]]+1):INDEX(Tasks[_LeafEV],Tasks[[#This Row],[_Row]]+Tasks[[#This Row],[_Descendants]])),Tasks[[#This Row],[_LeafEV]]))</f>
        <v>3400</v>
      </c>
      <c r="BI6" s="99" t="n">
        <f aca="false">IF(Tasks[[#This Row],[Task Name]]="","",IF(Tasks[[#This Row],[_IsSummary]],SUM(INDEX(Tasks[_LeafAC],Tasks[[#This Row],[_Row]]+1):INDEX(Tasks[_LeafAC],Tasks[[#This Row],[_Row]]+Tasks[[#This Row],[_Descendants]])),Tasks[[#This Row],[_LeafAC]]))</f>
        <v>4160</v>
      </c>
      <c r="BJ6" s="41" t="n">
        <f aca="false">IF(Tasks[[#This Row],[Task Name]]="","",MAX(1,N(Tasks[[#This Row],[Level]])))</f>
        <v>1</v>
      </c>
      <c r="BK6" s="41" t="n">
        <f aca="false">ROW()-ROW(Tasks[[#Headers],[ID]])</f>
        <v>1</v>
      </c>
      <c r="BL6" s="41" t="n">
        <f aca="false">IF(OR(Tasks[[#This Row],[Task Name]]="",Tasks[[#This Row],[_Level]]&lt;=1),0,IFERROR(LOOKUP(2,1/(Tasks[[#Headers],[_Level]]:Tasks[[#This Row],[_Level]]=Tasks[[#This Row],[_Level]]-1),ROW(Tasks[[#Headers],[_Level]]:Tasks[[#This Row],[_Level]])),0))</f>
        <v>0</v>
      </c>
      <c r="BM6" s="41" t="n">
        <f aca="false">IFERROR(N(INDEX(Tasks[_Level],Tasks[[#This Row],[_Row]]+1)),0)</f>
        <v>2</v>
      </c>
      <c r="BN6" s="102" t="b">
        <f aca="false">AND(Tasks[[#This Row],[Task Name]]&lt;&gt;"",Tasks[[#This Row],[_NextLevel]]&gt;Tasks[[#This Row],[_Level]])</f>
        <v>1</v>
      </c>
      <c r="BO6" s="41" t="n">
        <f aca="false">IF(Tasks[[#This Row],[_IsSummary]],COUNTIF(Tasks[WBS],Tasks[[#This Row],[WBS]]&amp;".*"),0)</f>
        <v>3</v>
      </c>
      <c r="BP6" s="41" t="n">
        <f aca="false">IF(AND(Tasks[[#This Row],[Task Name]]&lt;&gt;"",NOT(Tasks[[#This Row],[_IsSummary]])),1,0)</f>
        <v>0</v>
      </c>
      <c r="BQ6" s="41" t="n">
        <f aca="false">IF(N(Tasks[[#This Row],[Pred1 UID]])=0,0,IFERROR(MATCH(Tasks[[#This Row],[Pred1 UID]],Tasks[UID],0),-1))</f>
        <v>0</v>
      </c>
      <c r="BR6" s="41" t="n">
        <f aca="false">IF(N(Tasks[[#This Row],[Pred2 UID]])=0,0,IFERROR(MATCH(Tasks[[#This Row],[Pred2 UID]],Tasks[UID],0),-1))</f>
        <v>0</v>
      </c>
      <c r="BS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 s="103" t="str">
        <f aca="false">IF(NOT(Tasks[[#This Row],[_IsLeaf]]=1),"",IF(N(Tasks[[#This Row],[Duration]])&lt;=0,Tasks[[#This Row],[_LeafCalcStart]],WORKDAY.INTL(Tasks[[#This Row],[_LeafCalcStart]],Tasks[[#This Row],[Duration]]-1,WorkWeek,Holidays)))</f>
        <v/>
      </c>
      <c r="BU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 s="41" t="n">
        <f aca="false">IF(NOT(Tasks[[#This Row],[_IsLeaf]]=1),0,IF(N(Tasks[[#This Row],[Actual Finish]])&gt;0,1,MIN(1,N(Tasks[[#This Row],[% Complete]]))))</f>
        <v>0</v>
      </c>
      <c r="BX6" s="41" t="n">
        <f aca="false">IF(OR(NOT(Tasks[[#This Row],[_IsLeaf]]=1),Tasks[[#This Row],[Resource]]=""),0,N(Tasks[[#This Row],[Duration]])*HoursPerDay*IF(Tasks[[#This Row],[Units]]="",DefaultUnits,Tasks[[#This Row],[Units]]))</f>
        <v>0</v>
      </c>
      <c r="BY6" s="41" t="n">
        <f aca="false">IF(Tasks[[#This Row],[_LeafWork]]=0,0,Tasks[[#This Row],[_LeafWork]]*IFERROR(INDEX(res_Rate,MATCH(Tasks[[#This Row],[Resource]],res_Name,0)),0))</f>
        <v>0</v>
      </c>
      <c r="BZ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 s="41" t="n">
        <f aca="false">IF(NOT(Tasks[[#This Row],[_IsLeaf]]=1),0,MAX(_xlfn.MAXIFS(Tasks[_Row],Tasks[Pred1 UID],Tasks[[#This Row],[UID]]),_xlfn.MAXIFS(Tasks[_Row],Tasks[Pred2 UID],Tasks[[#This Row],[UID]])))</f>
        <v>0</v>
      </c>
      <c r="CE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 s="103" t="str">
        <f aca="false">IF(NOT(Tasks[[#This Row],[_IsLeaf]]=1),"",MIN(ProjectFinish,IF(N(Tasks[[#This Row],[Deadline]])&gt;0,Tasks[[#This Row],[Deadline]],2958465),Tasks[[#This Row],[_SuccessorFinishLimit]]))</f>
        <v/>
      </c>
      <c r="CG6" s="103" t="str">
        <f aca="false">IF(NOT(Tasks[[#This Row],[_IsLeaf]]=1),"",IF(N(Tasks[[#This Row],[Duration]])&lt;=0,Tasks[[#This Row],[_LeafLateFinish]],WORKDAY.INTL(Tasks[[#This Row],[_LeafLateFinish]],-(Tasks[[#This Row],[Duration]]-1),WorkWeek,Holidays)))</f>
        <v/>
      </c>
      <c r="CH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 s="102" t="b">
        <f aca="false">AND(Tasks[[#This Row],[_IsLeaf]]=1,Tasks[[#This Row],[_LeafProgress]]&lt;1,N(Tasks[[#This Row],[_LeafTotalSlack]])&lt;=CriticalSlackDays)</f>
        <v>0</v>
      </c>
      <c r="CJ6" s="103" t="n">
        <f aca="false">IF(Tasks[[#This Row],[Task Name]]="","",IF(Tasks[[#This Row],[_IsSummary]],MIN(INDEX(Tasks[_LeafCalcStart],Tasks[[#This Row],[_Row]]+1):INDEX(Tasks[_LeafCalcStart],Tasks[[#This Row],[_Row]]+Tasks[[#This Row],[_Descendants]])),Tasks[[#This Row],[_LeafCalcStart]]))</f>
        <v>46272</v>
      </c>
      <c r="CK6" s="103" t="n">
        <f aca="false">IF(Tasks[[#This Row],[Task Name]]="","",IF(Tasks[[#This Row],[_IsSummary]],MAX(INDEX(Tasks[_LeafCalcFinish],Tasks[[#This Row],[_Row]]+1):INDEX(Tasks[_LeafCalcFinish],Tasks[[#This Row],[_Row]]+Tasks[[#This Row],[_Descendants]])),Tasks[[#This Row],[_LeafCalcFinish]]))</f>
        <v>46276</v>
      </c>
      <c r="CL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 s="41" t="n">
        <f aca="false">IF(AND(Tasks[[#This Row],[_IsLeaf]]=1,Tasks[[#This Row],[_LeafWork]]&gt;0),NETWORKDAYS.INTL(ProjectStart,Tasks[[#This Row],[_LeafFcstStart]],WorkWeek,Holidays),0)</f>
        <v>0</v>
      </c>
      <c r="CS6" s="41" t="n">
        <f aca="false">IF(AND(Tasks[[#This Row],[_IsLeaf]]=1,Tasks[[#This Row],[_LeafWork]]&gt;0),MAX(Tasks[[#This Row],[_StartWorkday]],NETWORKDAYS.INTL(ProjectStart,Tasks[[#This Row],[_LeafFcstFinish]],WorkWeek,Holidays)),0)</f>
        <v>0</v>
      </c>
      <c r="CT6" s="41" t="n">
        <f aca="false">IF(AND(Tasks[[#This Row],[_IsLeaf]]=1,Tasks[[#This Row],[_LeafWork]]&gt;0),Tasks[[#This Row],[_LeafWork]]/(Tasks[[#This Row],[_FinishWorkday]]-Tasks[[#This Row],[_StartWorkday]]+1),0)</f>
        <v>0</v>
      </c>
      <c r="CU6" s="41" t="n">
        <f aca="false">Tasks[[#This Row],[_WorkPerWorkday]]*(Tasks[[#This Row],[_StartWorkday]]-1)</f>
        <v>-0</v>
      </c>
      <c r="CV6" s="41" t="n">
        <f aca="false">IF(Tasks[[#This Row],[_IsLeaf]]=1,MAX(N(Tasks[[#This Row],[Duration]]),0.1),0)</f>
        <v>0</v>
      </c>
      <c r="CW6" s="41" t="n">
        <f aca="false">Tasks[[#This Row],[_WeightDur]]*Tasks[[#This Row],[_LeafProgress]]</f>
        <v>0</v>
      </c>
      <c r="CX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 s="41" t="str">
        <f aca="false">IF(Tasks[[#This Row],[Task Name]]="","",Tasks[[#This Row],[_Pred1UIDText]]&amp;IF(AND(Tasks[[#This Row],[_Pred1UIDText]]&lt;&gt;"",Tasks[[#This Row],[_Pred2UIDText]]&lt;&gt;""),",","")&amp;Tasks[[#This Row],[_Pred2UIDText]])</f>
        <v/>
      </c>
      <c r="DC6" s="41" t="str">
        <f aca="false">IF(AND(Tasks[[#This Row],[_IsLeaf]]=1,N(Tasks[[#This Row],[Duration]])=0,Tasks[[#This Row],[_LeafProgress]]&lt;1),Tasks[[#This Row],[_LeafFcstFinish]]+Tasks[[#This Row],[_Row]]/100000,"")</f>
        <v/>
      </c>
      <c r="DD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 s="41" t="n">
        <f aca="false">IF(NOT(Tasks[[#This Row],[_IsLeaf]]=1),0,IF(Tasks[[#This Row],[Baseline Cost]]="",Tasks[[#This Row],[_LeafCost]],N(Tasks[[#This Row],[Baseline Cost]])))</f>
        <v>0</v>
      </c>
      <c r="DF6" s="41" t="n">
        <f aca="false">Tasks[[#This Row],[_LeafBudget]]*Tasks[[#This Row],[_PlannedPct]]</f>
        <v>0</v>
      </c>
      <c r="DG6" s="41" t="n">
        <f aca="false">Tasks[[#This Row],[_LeafBudget]]*Tasks[[#This Row],[_LeafProgress]]</f>
        <v>0</v>
      </c>
      <c r="DH6" s="41" t="n">
        <f aca="false">IF(NOT(Tasks[[#This Row],[_IsLeaf]]=1),0,IF(Tasks[[#This Row],[Actual Cost]]="",Tasks[[#This Row],[_LeafCost]]*Tasks[[#This Row],[_LeafProgress]],N(Tasks[[#This Row],[Actual Cost]])))</f>
        <v>0</v>
      </c>
      <c r="DI6" s="41" t="str">
        <f aca="false">IF(Tasks[[#This Row],[Task Name]]="","",LEFT(Tasks[[#This Row],[WBS]],FIND(".",Tasks[[#This Row],[WBS]]&amp;".")-1))</f>
        <v>1</v>
      </c>
      <c r="DJ6" s="41" t="n">
        <f aca="false">IF(AND(Tasks[[#This Row],[Task Name]]&lt;&gt;"",Tasks[[#This Row],[_Level]]=1),Tasks[[#This Row],[_Row]],"")</f>
        <v>1</v>
      </c>
      <c r="DK6" s="41" t="str">
        <f aca="false">IF(AND(Tasks[[#This Row],[_IsLeaf]]=1,N(Tasks[[#This Row],[Duration]])=0),Tasks[[#This Row],[Planned Finish]]+Tasks[[#This Row],[_Row]]/100000,"")</f>
        <v/>
      </c>
      <c r="DL6" s="41" t="str">
        <f aca="false">IF(AND(Tasks[[#This Row],[_IsLeaf]]=1,Tasks[[#This Row],[_LeafProgress]]&lt;1,OR(N(Tasks[[#This Row],[Finish Var]])&gt;0,Tasks[[#This Row],[Status]]="Late Start")),MAX(0,Tasks[[#This Row],[Finish Var]])+1-Tasks[[#This Row],[_Row]]/1000000,"")</f>
        <v/>
      </c>
      <c r="DM6" s="41" t="str">
        <f aca="false">IF(AND(Tasks[[#This Row],[_IsLeaf]]=1,N(Tasks[[#This Row],[Actual Start]])=0,Tasks[[#This Row],[_LeafFcstStart]]&gt;=StatusDate,Tasks[[#This Row],[_LeafFcstStart]]&lt;=LookaheadEnd),Tasks[[#This Row],[_LeafFcstStart]]+Tasks[[#This Row],[_Row]]/100000,"")</f>
        <v/>
      </c>
      <c r="DN6" s="41" t="str">
        <f aca="false">IF(AND(Tasks[[#This Row],[_IsLeaf]]=1,Tasks[[#This Row],[_LeafProgress]]&lt;1,Tasks[[#This Row],[_LeafFcstFinish]]&gt;=StatusDate,Tasks[[#This Row],[_LeafFcstFinish]]&lt;=LookaheadEnd),Tasks[[#This Row],[_LeafFcstFinish]]+Tasks[[#This Row],[_Row]]/100000,"")</f>
        <v/>
      </c>
      <c r="DO6" s="41" t="str">
        <f aca="false">IF(Tasks[[#This Row],[_LeafCritical]],Tasks[[#This Row],[_LeafFcstStart]]+Tasks[[#This Row],[_Row]]/100000,"")</f>
        <v/>
      </c>
      <c r="DP6" s="41" t="n">
        <f aca="false">Tasks[[#This Row],[_LeafWork]]*Tasks[[#This Row],[_LeafProgress]]</f>
        <v>0</v>
      </c>
      <c r="DQ6" s="103" t="str">
        <f aca="false">IF(AND(Tasks[[#This Row],[_IsLeaf]]=1,Tasks[[#This Row],[_LeafProgress]]&gt;=1),IF(N(Tasks[[#This Row],[Actual Finish]])&gt;0,Tasks[[#This Row],[Actual Finish]],Tasks[[#This Row],[_LeafFcstFinish]]),"")</f>
        <v/>
      </c>
      <c r="DR6" s="41" t="n">
        <f aca="false">IF(Tasks[[#This Row],[_IsLeaf]]=1,N(Tasks[[#This Row],[Story Points]]),0)</f>
        <v>0</v>
      </c>
      <c r="DS6" s="41" t="str">
        <f aca="false">IF(AND(Tasks[[#This Row],[_IsLeaf]]=1,CurrentSprint&lt;&gt;"",Tasks[[#This Row],[Sprint]]=CurrentSprint),Tasks[[#This Row],[_Row]],"")</f>
        <v/>
      </c>
    </row>
    <row r="7" customFormat="false" ht="15" hidden="false" customHeight="false" outlineLevel="0" collapsed="false">
      <c r="A7" s="28" t="n">
        <f aca="false">IF(Tasks[[#This Row],[Task Name]]="","",COUNTA(Tasks[[#Headers],[Task Name]]:Tasks[[#This Row],[Task Name]])-1)</f>
        <v>2</v>
      </c>
      <c r="B7" s="29" t="n">
        <v>2</v>
      </c>
      <c r="C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D7" s="29" t="n">
        <v>2</v>
      </c>
      <c r="E7" s="30" t="s">
        <v>597</v>
      </c>
      <c r="F7" s="29" t="s">
        <v>595</v>
      </c>
      <c r="G7" s="29" t="n">
        <v>3</v>
      </c>
      <c r="H7" s="29"/>
      <c r="I7" s="29"/>
      <c r="J7" s="29"/>
      <c r="K7" s="29"/>
      <c r="L7" s="29"/>
      <c r="M7" s="29"/>
      <c r="N7" s="77"/>
      <c r="O7" s="77"/>
      <c r="P7" s="25" t="n">
        <f aca="false">IF(Tasks[[#This Row],[Task Name]]="","",IF(N(Tasks[[#This Row],[Baseline Start]])&gt;0,Tasks[[#This Row],[Baseline Start]],Tasks[[#This Row],[_CalcStart]]))</f>
        <v>46272</v>
      </c>
      <c r="Q7" s="25" t="n">
        <f aca="false">IF(Tasks[[#This Row],[Task Name]]="","",IF(N(Tasks[[#This Row],[Baseline Finish]])&gt;0,Tasks[[#This Row],[Baseline Finish]],Tasks[[#This Row],[_CalcFinish]]))</f>
        <v>46274</v>
      </c>
      <c r="R7" s="77" t="n">
        <v>46272</v>
      </c>
      <c r="S7" s="77" t="n">
        <v>46275</v>
      </c>
      <c r="T7" s="25" t="n">
        <f aca="false">IF(Tasks[[#This Row],[Task Name]]="","",IF(Tasks[[#This Row],[_IsSummary]],MIN(INDEX(Tasks[_LeafFcstStart],Tasks[[#This Row],[_Row]]+1):INDEX(Tasks[_LeafFcstStart],Tasks[[#This Row],[_Row]]+Tasks[[#This Row],[_Descendants]])),Tasks[[#This Row],[_LeafFcstStart]]))</f>
        <v>46272</v>
      </c>
      <c r="U7" s="25" t="n">
        <f aca="false">IF(Tasks[[#This Row],[Task Name]]="","",IF(Tasks[[#This Row],[_IsSummary]],MAX(INDEX(Tasks[_LeafFcstFinish],Tasks[[#This Row],[_Row]]+1):INDEX(Tasks[_LeafFcstFinish],Tasks[[#This Row],[_Row]]+Tasks[[#This Row],[_Descendants]])),Tasks[[#This Row],[_LeafFcstFinish]]))</f>
        <v>46275</v>
      </c>
      <c r="V7"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7"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7" s="25" t="n">
        <f aca="false">IF(Tasks[[#This Row],[Task Name]]="","",IF(Tasks[[#This Row],[_IsSummary]],MIN(INDEX(Tasks[_LeafLateStart],Tasks[[#This Row],[_Row]]+1):INDEX(Tasks[_LeafLateStart],Tasks[[#This Row],[_Row]]+Tasks[[#This Row],[_Descendants]])),Tasks[[#This Row],[_LeafLateStart]]))</f>
        <v>46279</v>
      </c>
      <c r="Y7" s="25" t="n">
        <f aca="false">IF(Tasks[[#This Row],[Task Name]]="","",IF(Tasks[[#This Row],[_IsSummary]],MAX(INDEX(Tasks[_LeafLateFinish],Tasks[[#This Row],[_Row]]+1):INDEX(Tasks[_LeafLateFinish],Tasks[[#This Row],[_Row]]+Tasks[[#This Row],[_Descendants]])),Tasks[[#This Row],[_LeafLateFinish]]))</f>
        <v>46281</v>
      </c>
      <c r="Z7" s="43" t="n">
        <f aca="false">IF(Tasks[[#This Row],[Task Name]]="","",IF(Tasks[[#This Row],[_IsSummary]],MIN(INDEX(Tasks[_LeafTotalSlack],Tasks[[#This Row],[_Row]]+1):INDEX(Tasks[_LeafTotalSlack],Tasks[[#This Row],[_Row]]+Tasks[[#This Row],[_Descendants]])),Tasks[[#This Row],[_LeafTotalSlack]]))</f>
        <v>4</v>
      </c>
      <c r="AA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7" s="28" t="str">
        <f aca="false">IF(Tasks[[#This Row],[Task Name]]="","",IF(IF(Tasks[[#This Row],[_IsSummary]],COUNTIF(INDEX(Tasks[_LeafCritical],Tasks[[#This Row],[_Row]]+1):INDEX(Tasks[_LeafCritical],Tasks[[#This Row],[_Row]]+Tasks[[#This Row],[_Descendants]]),TRUE())&gt;0,Tasks[[#This Row],[_LeafCritical]]),"Yes",""))</f>
        <v/>
      </c>
      <c r="AC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 s="24" t="str">
        <f aca="false">IF(Tasks[[#This Row],[Task Name]]="","",TRIM(IF(Tasks[[#This Row],[_Pred1Problem]]&lt;&gt;"","Pred 1: "&amp;Tasks[[#This Row],[_Pred1Problem]]&amp;". ","")&amp;IF(Tasks[[#This Row],[_Pred2Problem]]&lt;&gt;"","Pred 2: "&amp;Tasks[[#This Row],[_Pred2Problem]]&amp;".","")))</f>
        <v/>
      </c>
      <c r="AE7" s="91" t="n">
        <v>1</v>
      </c>
      <c r="AF7"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7" s="28" t="str">
        <f aca="false">IF(Tasks[[#This Row],[Task Name]]="","",IF(Tasks[[#This Row],[Progress]]&gt;=1,"Complete",IF(OR(N(Tasks[[#This Row],[Actual Start]])&gt;0,Tasks[[#This Row],[Progress]]&gt;0),IF(Tasks[[#This Row],[Finish Var]]&gt;0,"Behind","In Progress"),IF(Tasks[[#This Row],[Planned Start]]&lt;StatusDate,"Late Start","Not Started"))))</f>
        <v>Complete</v>
      </c>
      <c r="AH7" s="30" t="s">
        <v>295</v>
      </c>
      <c r="AI7" s="91"/>
      <c r="AJ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 s="98" t="n">
        <f aca="false">IF(Tasks[[#This Row],[Task Name]]="","",IF(Tasks[[#This Row],[_IsSummary]],SUM(INDEX(Tasks[_LeafWork],Tasks[[#This Row],[_Row]]+1):INDEX(Tasks[_LeafWork],Tasks[[#This Row],[_Row]]+Tasks[[#This Row],[_Descendants]])),Tasks[[#This Row],[_LeafWork]]))</f>
        <v>24</v>
      </c>
      <c r="AL7" s="99" t="n">
        <f aca="false">IF(Tasks[[#This Row],[Task Name]]="","",IF(Tasks[[#This Row],[_IsSummary]],SUM(INDEX(Tasks[_LeafCost],Tasks[[#This Row],[_Row]]+1):INDEX(Tasks[_LeafCost],Tasks[[#This Row],[_Row]]+Tasks[[#This Row],[_Descendants]])),Tasks[[#This Row],[_LeafCost]]))</f>
        <v>2280</v>
      </c>
      <c r="AM7" s="100" t="n">
        <v>3040</v>
      </c>
      <c r="AN7" s="29"/>
      <c r="AO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P7" s="85" t="n">
        <v>3</v>
      </c>
      <c r="AQ7" s="24" t="str">
        <f aca="false">IF(Tasks[[#This Row],[Task Name]]="","",Tasks[[#This Row],[_Pred1IDText]]&amp;IF(AND(Tasks[[#This Row],[_Pred1IDText]]&lt;&gt;"",Tasks[[#This Row],[_Pred2IDText]]&lt;&gt;""),",","")&amp;Tasks[[#This Row],[_Pred2IDText]])</f>
        <v/>
      </c>
      <c r="AR7" s="30" t="s">
        <v>598</v>
      </c>
      <c r="AS7" s="25" t="n">
        <f aca="false">IF(Tasks[[#This Row],[Task Name]]="","",Tasks[[#This Row],[Forecast Start]])</f>
        <v>46272</v>
      </c>
      <c r="AT7" s="25" t="n">
        <f aca="false">IF(Tasks[[#This Row],[Task Name]]="","",Tasks[[#This Row],[Forecast Finish]])</f>
        <v>46275</v>
      </c>
      <c r="AU7" s="28" t="n">
        <f aca="false">IF(Tasks[[#This Row],[Task Name]]="","",IF(Tasks[[#This Row],[_IsSummary]],NETWORKDAYS.INTL(Tasks[[#This Row],[Forecast Start]],Tasks[[#This Row],[Forecast Finish]],WorkWeek,Holidays),N(Tasks[[#This Row],[Duration]])))</f>
        <v>3</v>
      </c>
      <c r="AV7" s="98" t="n">
        <f aca="false">IF(Tasks[[#This Row],[Task Name]]="","",Tasks[[#This Row],[Work]])</f>
        <v>24</v>
      </c>
      <c r="AW7" s="99" t="n">
        <f aca="false">IF(Tasks[[#This Row],[Task Name]]="","",Tasks[[#This Row],[Cost]])</f>
        <v>2280</v>
      </c>
      <c r="AX7" s="77"/>
      <c r="AY7" s="77"/>
      <c r="AZ7" s="29"/>
      <c r="BA7" s="101"/>
      <c r="BB7" s="100"/>
      <c r="BC7" s="28" t="str">
        <f aca="false">IF(OR(Tasks[[#This Row],[Task Name]]="",Tasks[[#This Row],[Baseline Duration]]=""),"",Tasks[[#This Row],[BL Source Duration]]-N(Tasks[[#This Row],[Baseline Duration]]))</f>
        <v/>
      </c>
      <c r="BD7" s="98" t="str">
        <f aca="false">IF(OR(Tasks[[#This Row],[Task Name]]="",Tasks[[#This Row],[Baseline Work]]=""),"",Tasks[[#This Row],[Work]]-N(Tasks[[#This Row],[Baseline Work]]))</f>
        <v/>
      </c>
      <c r="BE7" s="99" t="str">
        <f aca="false">IF(OR(Tasks[[#This Row],[Task Name]]="",Tasks[[#This Row],[Baseline Cost]]=""),"",Tasks[[#This Row],[Cost]]-N(Tasks[[#This Row],[Baseline Cost]]))</f>
        <v/>
      </c>
      <c r="BF7" s="99" t="n">
        <f aca="false">IF(Tasks[[#This Row],[Task Name]]="","",IF(Tasks[[#This Row],[_IsSummary]],SUM(INDEX(Tasks[_LeafBudget],Tasks[[#This Row],[_Row]]+1):INDEX(Tasks[_LeafBudget],Tasks[[#This Row],[_Row]]+Tasks[[#This Row],[_Descendants]])),Tasks[[#This Row],[_LeafBudget]]))</f>
        <v>2280</v>
      </c>
      <c r="BG7" s="99" t="n">
        <f aca="false">IF(Tasks[[#This Row],[Task Name]]="","",IF(Tasks[[#This Row],[_IsSummary]],SUM(INDEX(Tasks[_LeafPV],Tasks[[#This Row],[_Row]]+1):INDEX(Tasks[_LeafPV],Tasks[[#This Row],[_Row]]+Tasks[[#This Row],[_Descendants]])),Tasks[[#This Row],[_LeafPV]]))</f>
        <v>2280</v>
      </c>
      <c r="BH7" s="99" t="n">
        <f aca="false">IF(Tasks[[#This Row],[Task Name]]="","",IF(Tasks[[#This Row],[_IsSummary]],SUM(INDEX(Tasks[_LeafEV],Tasks[[#This Row],[_Row]]+1):INDEX(Tasks[_LeafEV],Tasks[[#This Row],[_Row]]+Tasks[[#This Row],[_Descendants]])),Tasks[[#This Row],[_LeafEV]]))</f>
        <v>2280</v>
      </c>
      <c r="BI7" s="99" t="n">
        <f aca="false">IF(Tasks[[#This Row],[Task Name]]="","",IF(Tasks[[#This Row],[_IsSummary]],SUM(INDEX(Tasks[_LeafAC],Tasks[[#This Row],[_Row]]+1):INDEX(Tasks[_LeafAC],Tasks[[#This Row],[_Row]]+Tasks[[#This Row],[_Descendants]])),Tasks[[#This Row],[_LeafAC]]))</f>
        <v>3040</v>
      </c>
      <c r="BJ7" s="41" t="n">
        <f aca="false">IF(Tasks[[#This Row],[Task Name]]="","",MAX(1,N(Tasks[[#This Row],[Level]])))</f>
        <v>2</v>
      </c>
      <c r="BK7" s="41" t="n">
        <f aca="false">ROW()-ROW(Tasks[[#Headers],[ID]])</f>
        <v>2</v>
      </c>
      <c r="BL7" s="41" t="n">
        <f aca="false">IF(OR(Tasks[[#This Row],[Task Name]]="",Tasks[[#This Row],[_Level]]&lt;=1),0,IFERROR(LOOKUP(2,1/(Tasks[[#Headers],[_Level]]:Tasks[[#This Row],[_Level]]=Tasks[[#This Row],[_Level]]-1),ROW(Tasks[[#Headers],[_Level]]:Tasks[[#This Row],[_Level]])),0))</f>
        <v>6</v>
      </c>
      <c r="BM7" s="41" t="n">
        <f aca="false">IFERROR(N(INDEX(Tasks[_Level],Tasks[[#This Row],[_Row]]+1)),0)</f>
        <v>2</v>
      </c>
      <c r="BN7" s="102" t="b">
        <f aca="false">AND(Tasks[[#This Row],[Task Name]]&lt;&gt;"",Tasks[[#This Row],[_NextLevel]]&gt;Tasks[[#This Row],[_Level]])</f>
        <v>0</v>
      </c>
      <c r="BO7" s="41" t="n">
        <f aca="false">IF(Tasks[[#This Row],[_IsSummary]],COUNTIF(Tasks[WBS],Tasks[[#This Row],[WBS]]&amp;".*"),0)</f>
        <v>0</v>
      </c>
      <c r="BP7" s="41" t="n">
        <f aca="false">IF(AND(Tasks[[#This Row],[Task Name]]&lt;&gt;"",NOT(Tasks[[#This Row],[_IsSummary]])),1,0)</f>
        <v>1</v>
      </c>
      <c r="BQ7" s="41" t="n">
        <f aca="false">IF(N(Tasks[[#This Row],[Pred1 UID]])=0,0,IFERROR(MATCH(Tasks[[#This Row],[Pred1 UID]],Tasks[UID],0),-1))</f>
        <v>0</v>
      </c>
      <c r="BR7" s="41" t="n">
        <f aca="false">IF(N(Tasks[[#This Row],[Pred2 UID]])=0,0,IFERROR(MATCH(Tasks[[#This Row],[Pred2 UID]],Tasks[UID],0),-1))</f>
        <v>0</v>
      </c>
      <c r="BS7"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46272</v>
      </c>
      <c r="BT7" s="103" t="n">
        <f aca="false">IF(NOT(Tasks[[#This Row],[_IsLeaf]]=1),"",IF(N(Tasks[[#This Row],[Duration]])&lt;=0,Tasks[[#This Row],[_LeafCalcStart]],WORKDAY.INTL(Tasks[[#This Row],[_LeafCalcStart]],Tasks[[#This Row],[Duration]]-1,WorkWeek,Holidays)))</f>
        <v>46274</v>
      </c>
      <c r="BU7"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46272</v>
      </c>
      <c r="BV7"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46275</v>
      </c>
      <c r="BW7" s="41" t="n">
        <f aca="false">IF(NOT(Tasks[[#This Row],[_IsLeaf]]=1),0,IF(N(Tasks[[#This Row],[Actual Finish]])&gt;0,1,MIN(1,N(Tasks[[#This Row],[% Complete]]))))</f>
        <v>1</v>
      </c>
      <c r="BX7" s="41" t="n">
        <f aca="false">IF(OR(NOT(Tasks[[#This Row],[_IsLeaf]]=1),Tasks[[#This Row],[Resource]]=""),0,N(Tasks[[#This Row],[Duration]])*HoursPerDay*IF(Tasks[[#This Row],[Units]]="",DefaultUnits,Tasks[[#This Row],[Units]]))</f>
        <v>24</v>
      </c>
      <c r="BY7" s="41" t="n">
        <f aca="false">IF(Tasks[[#This Row],[_LeafWork]]=0,0,Tasks[[#This Row],[_LeafWork]]*IFERROR(INDEX(res_Rate,MATCH(Tasks[[#This Row],[Resource]],res_Name,0)),0))</f>
        <v>2280</v>
      </c>
      <c r="BZ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 s="41" t="n">
        <f aca="false">IF(NOT(Tasks[[#This Row],[_IsLeaf]]=1),0,MAX(_xlfn.MAXIFS(Tasks[_Row],Tasks[Pred1 UID],Tasks[[#This Row],[UID]]),_xlfn.MAXIFS(Tasks[_Row],Tasks[Pred2 UID],Tasks[[#This Row],[UID]])))</f>
        <v>3</v>
      </c>
      <c r="CE7"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46281</v>
      </c>
      <c r="CF7" s="103" t="n">
        <f aca="false">IF(NOT(Tasks[[#This Row],[_IsLeaf]]=1),"",MIN(ProjectFinish,IF(N(Tasks[[#This Row],[Deadline]])&gt;0,Tasks[[#This Row],[Deadline]],2958465),Tasks[[#This Row],[_SuccessorFinishLimit]]))</f>
        <v>46281</v>
      </c>
      <c r="CG7" s="103" t="n">
        <f aca="false">IF(NOT(Tasks[[#This Row],[_IsLeaf]]=1),"",IF(N(Tasks[[#This Row],[Duration]])&lt;=0,Tasks[[#This Row],[_LeafLateFinish]],WORKDAY.INTL(Tasks[[#This Row],[_LeafLateFinish]],-(Tasks[[#This Row],[Duration]]-1),WorkWeek,Holidays)))</f>
        <v>46279</v>
      </c>
      <c r="CH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I7" s="102" t="b">
        <f aca="false">AND(Tasks[[#This Row],[_IsLeaf]]=1,Tasks[[#This Row],[_LeafProgress]]&lt;1,N(Tasks[[#This Row],[_LeafTotalSlack]])&lt;=CriticalSlackDays)</f>
        <v>0</v>
      </c>
      <c r="CJ7" s="103" t="n">
        <f aca="false">IF(Tasks[[#This Row],[Task Name]]="","",IF(Tasks[[#This Row],[_IsSummary]],MIN(INDEX(Tasks[_LeafCalcStart],Tasks[[#This Row],[_Row]]+1):INDEX(Tasks[_LeafCalcStart],Tasks[[#This Row],[_Row]]+Tasks[[#This Row],[_Descendants]])),Tasks[[#This Row],[_LeafCalcStart]]))</f>
        <v>46272</v>
      </c>
      <c r="CK7" s="103" t="n">
        <f aca="false">IF(Tasks[[#This Row],[Task Name]]="","",IF(Tasks[[#This Row],[_IsSummary]],MAX(INDEX(Tasks[_LeafCalcFinish],Tasks[[#This Row],[_Row]]+1):INDEX(Tasks[_LeafCalcFinish],Tasks[[#This Row],[_Row]]+Tasks[[#This Row],[_Descendants]])),Tasks[[#This Row],[_LeafCalcFinish]]))</f>
        <v>46274</v>
      </c>
      <c r="CL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 s="41" t="n">
        <f aca="false">IF(AND(Tasks[[#This Row],[_IsLeaf]]=1,Tasks[[#This Row],[_LeafWork]]&gt;0),NETWORKDAYS.INTL(ProjectStart,Tasks[[#This Row],[_LeafFcstStart]],WorkWeek,Holidays),0)</f>
        <v>1</v>
      </c>
      <c r="CS7" s="41" t="n">
        <f aca="false">IF(AND(Tasks[[#This Row],[_IsLeaf]]=1,Tasks[[#This Row],[_LeafWork]]&gt;0),MAX(Tasks[[#This Row],[_StartWorkday]],NETWORKDAYS.INTL(ProjectStart,Tasks[[#This Row],[_LeafFcstFinish]],WorkWeek,Holidays)),0)</f>
        <v>4</v>
      </c>
      <c r="CT7" s="41" t="n">
        <f aca="false">IF(AND(Tasks[[#This Row],[_IsLeaf]]=1,Tasks[[#This Row],[_LeafWork]]&gt;0),Tasks[[#This Row],[_LeafWork]]/(Tasks[[#This Row],[_FinishWorkday]]-Tasks[[#This Row],[_StartWorkday]]+1),0)</f>
        <v>6</v>
      </c>
      <c r="CU7" s="41" t="n">
        <f aca="false">Tasks[[#This Row],[_WorkPerWorkday]]*(Tasks[[#This Row],[_StartWorkday]]-1)</f>
        <v>0</v>
      </c>
      <c r="CV7" s="41" t="n">
        <f aca="false">IF(Tasks[[#This Row],[_IsLeaf]]=1,MAX(N(Tasks[[#This Row],[Duration]]),0.1),0)</f>
        <v>3</v>
      </c>
      <c r="CW7" s="41" t="n">
        <f aca="false">Tasks[[#This Row],[_WeightDur]]*Tasks[[#This Row],[_LeafProgress]]</f>
        <v>3</v>
      </c>
      <c r="CX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 s="41" t="str">
        <f aca="false">IF(Tasks[[#This Row],[Task Name]]="","",Tasks[[#This Row],[_Pred1UIDText]]&amp;IF(AND(Tasks[[#This Row],[_Pred1UIDText]]&lt;&gt;"",Tasks[[#This Row],[_Pred2UIDText]]&lt;&gt;""),",","")&amp;Tasks[[#This Row],[_Pred2UIDText]])</f>
        <v/>
      </c>
      <c r="DC7" s="41" t="str">
        <f aca="false">IF(AND(Tasks[[#This Row],[_IsLeaf]]=1,N(Tasks[[#This Row],[Duration]])=0,Tasks[[#This Row],[_LeafProgress]]&lt;1),Tasks[[#This Row],[_LeafFcstFinish]]+Tasks[[#This Row],[_Row]]/100000,"")</f>
        <v/>
      </c>
      <c r="DD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7" s="41" t="n">
        <f aca="false">IF(NOT(Tasks[[#This Row],[_IsLeaf]]=1),0,IF(Tasks[[#This Row],[Baseline Cost]]="",Tasks[[#This Row],[_LeafCost]],N(Tasks[[#This Row],[Baseline Cost]])))</f>
        <v>2280</v>
      </c>
      <c r="DF7" s="41" t="n">
        <f aca="false">Tasks[[#This Row],[_LeafBudget]]*Tasks[[#This Row],[_PlannedPct]]</f>
        <v>2280</v>
      </c>
      <c r="DG7" s="41" t="n">
        <f aca="false">Tasks[[#This Row],[_LeafBudget]]*Tasks[[#This Row],[_LeafProgress]]</f>
        <v>2280</v>
      </c>
      <c r="DH7" s="41" t="n">
        <f aca="false">IF(NOT(Tasks[[#This Row],[_IsLeaf]]=1),0,IF(Tasks[[#This Row],[Actual Cost]]="",Tasks[[#This Row],[_LeafCost]]*Tasks[[#This Row],[_LeafProgress]],N(Tasks[[#This Row],[Actual Cost]])))</f>
        <v>3040</v>
      </c>
      <c r="DI7" s="41" t="str">
        <f aca="false">IF(Tasks[[#This Row],[Task Name]]="","",LEFT(Tasks[[#This Row],[WBS]],FIND(".",Tasks[[#This Row],[WBS]]&amp;".")-1))</f>
        <v>1</v>
      </c>
      <c r="DJ7" s="41" t="str">
        <f aca="false">IF(AND(Tasks[[#This Row],[Task Name]]&lt;&gt;"",Tasks[[#This Row],[_Level]]=1),Tasks[[#This Row],[_Row]],"")</f>
        <v/>
      </c>
      <c r="DK7" s="41" t="str">
        <f aca="false">IF(AND(Tasks[[#This Row],[_IsLeaf]]=1,N(Tasks[[#This Row],[Duration]])=0),Tasks[[#This Row],[Planned Finish]]+Tasks[[#This Row],[_Row]]/100000,"")</f>
        <v/>
      </c>
      <c r="DL7" s="41" t="str">
        <f aca="false">IF(AND(Tasks[[#This Row],[_IsLeaf]]=1,Tasks[[#This Row],[_LeafProgress]]&lt;1,OR(N(Tasks[[#This Row],[Finish Var]])&gt;0,Tasks[[#This Row],[Status]]="Late Start")),MAX(0,Tasks[[#This Row],[Finish Var]])+1-Tasks[[#This Row],[_Row]]/1000000,"")</f>
        <v/>
      </c>
      <c r="DM7" s="41" t="str">
        <f aca="false">IF(AND(Tasks[[#This Row],[_IsLeaf]]=1,N(Tasks[[#This Row],[Actual Start]])=0,Tasks[[#This Row],[_LeafFcstStart]]&gt;=StatusDate,Tasks[[#This Row],[_LeafFcstStart]]&lt;=LookaheadEnd),Tasks[[#This Row],[_LeafFcstStart]]+Tasks[[#This Row],[_Row]]/100000,"")</f>
        <v/>
      </c>
      <c r="DN7" s="41" t="str">
        <f aca="false">IF(AND(Tasks[[#This Row],[_IsLeaf]]=1,Tasks[[#This Row],[_LeafProgress]]&lt;1,Tasks[[#This Row],[_LeafFcstFinish]]&gt;=StatusDate,Tasks[[#This Row],[_LeafFcstFinish]]&lt;=LookaheadEnd),Tasks[[#This Row],[_LeafFcstFinish]]+Tasks[[#This Row],[_Row]]/100000,"")</f>
        <v/>
      </c>
      <c r="DO7" s="41" t="str">
        <f aca="false">IF(Tasks[[#This Row],[_LeafCritical]],Tasks[[#This Row],[_LeafFcstStart]]+Tasks[[#This Row],[_Row]]/100000,"")</f>
        <v/>
      </c>
      <c r="DP7" s="41" t="n">
        <f aca="false">Tasks[[#This Row],[_LeafWork]]*Tasks[[#This Row],[_LeafProgress]]</f>
        <v>24</v>
      </c>
      <c r="DQ7" s="103" t="n">
        <f aca="false">IF(AND(Tasks[[#This Row],[_IsLeaf]]=1,Tasks[[#This Row],[_LeafProgress]]&gt;=1),IF(N(Tasks[[#This Row],[Actual Finish]])&gt;0,Tasks[[#This Row],[Actual Finish]],Tasks[[#This Row],[_LeafFcstFinish]]),"")</f>
        <v>46275</v>
      </c>
      <c r="DR7" s="41" t="n">
        <f aca="false">IF(Tasks[[#This Row],[_IsLeaf]]=1,N(Tasks[[#This Row],[Story Points]]),0)</f>
        <v>3</v>
      </c>
      <c r="DS7" s="41" t="str">
        <f aca="false">IF(AND(Tasks[[#This Row],[_IsLeaf]]=1,CurrentSprint&lt;&gt;"",Tasks[[#This Row],[Sprint]]=CurrentSprint),Tasks[[#This Row],[_Row]],"")</f>
        <v/>
      </c>
    </row>
    <row r="8" customFormat="false" ht="15" hidden="false" customHeight="false" outlineLevel="0" collapsed="false">
      <c r="A8" s="28" t="n">
        <f aca="false">IF(Tasks[[#This Row],[Task Name]]="","",COUNTA(Tasks[[#Headers],[Task Name]]:Tasks[[#This Row],[Task Name]])-1)</f>
        <v>3</v>
      </c>
      <c r="B8" s="29" t="n">
        <v>3</v>
      </c>
      <c r="C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D8" s="29" t="n">
        <v>2</v>
      </c>
      <c r="E8" s="30" t="s">
        <v>599</v>
      </c>
      <c r="F8" s="29" t="s">
        <v>595</v>
      </c>
      <c r="G8" s="29" t="n">
        <v>2</v>
      </c>
      <c r="H8" s="29" t="n">
        <v>2</v>
      </c>
      <c r="I8" s="29" t="s">
        <v>600</v>
      </c>
      <c r="J8" s="29"/>
      <c r="K8" s="29"/>
      <c r="L8" s="29"/>
      <c r="M8" s="29"/>
      <c r="N8" s="77"/>
      <c r="O8" s="77"/>
      <c r="P8" s="25" t="n">
        <f aca="false">IF(Tasks[[#This Row],[Task Name]]="","",IF(N(Tasks[[#This Row],[Baseline Start]])&gt;0,Tasks[[#This Row],[Baseline Start]],Tasks[[#This Row],[_CalcStart]]))</f>
        <v>46275</v>
      </c>
      <c r="Q8" s="25" t="n">
        <f aca="false">IF(Tasks[[#This Row],[Task Name]]="","",IF(N(Tasks[[#This Row],[Baseline Finish]])&gt;0,Tasks[[#This Row],[Baseline Finish]],Tasks[[#This Row],[_CalcFinish]]))</f>
        <v>46276</v>
      </c>
      <c r="R8" s="77" t="n">
        <v>46276</v>
      </c>
      <c r="S8" s="77" t="n">
        <v>46279</v>
      </c>
      <c r="T8" s="25" t="n">
        <f aca="false">IF(Tasks[[#This Row],[Task Name]]="","",IF(Tasks[[#This Row],[_IsSummary]],MIN(INDEX(Tasks[_LeafFcstStart],Tasks[[#This Row],[_Row]]+1):INDEX(Tasks[_LeafFcstStart],Tasks[[#This Row],[_Row]]+Tasks[[#This Row],[_Descendants]])),Tasks[[#This Row],[_LeafFcstStart]]))</f>
        <v>46276</v>
      </c>
      <c r="U8" s="25" t="n">
        <f aca="false">IF(Tasks[[#This Row],[Task Name]]="","",IF(Tasks[[#This Row],[_IsSummary]],MAX(INDEX(Tasks[_LeafFcstFinish],Tasks[[#This Row],[_Row]]+1):INDEX(Tasks[_LeafFcstFinish],Tasks[[#This Row],[_Row]]+Tasks[[#This Row],[_Descendants]])),Tasks[[#This Row],[_LeafFcstFinish]]))</f>
        <v>46279</v>
      </c>
      <c r="V8"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8"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8" s="25" t="n">
        <f aca="false">IF(Tasks[[#This Row],[Task Name]]="","",IF(Tasks[[#This Row],[_IsSummary]],MIN(INDEX(Tasks[_LeafLateStart],Tasks[[#This Row],[_Row]]+1):INDEX(Tasks[_LeafLateStart],Tasks[[#This Row],[_Row]]+Tasks[[#This Row],[_Descendants]])),Tasks[[#This Row],[_LeafLateStart]]))</f>
        <v>46282</v>
      </c>
      <c r="Y8" s="25" t="n">
        <f aca="false">IF(Tasks[[#This Row],[Task Name]]="","",IF(Tasks[[#This Row],[_IsSummary]],MAX(INDEX(Tasks[_LeafLateFinish],Tasks[[#This Row],[_Row]]+1):INDEX(Tasks[_LeafLateFinish],Tasks[[#This Row],[_Row]]+Tasks[[#This Row],[_Descendants]])),Tasks[[#This Row],[_LeafLateFinish]]))</f>
        <v>46283</v>
      </c>
      <c r="Z8" s="43" t="n">
        <f aca="false">IF(Tasks[[#This Row],[Task Name]]="","",IF(Tasks[[#This Row],[_IsSummary]],MIN(INDEX(Tasks[_LeafTotalSlack],Tasks[[#This Row],[_Row]]+1):INDEX(Tasks[_LeafTotalSlack],Tasks[[#This Row],[_Row]]+Tasks[[#This Row],[_Descendants]])),Tasks[[#This Row],[_LeafTotalSlack]]))</f>
        <v>4</v>
      </c>
      <c r="AA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8" s="28" t="str">
        <f aca="false">IF(Tasks[[#This Row],[Task Name]]="","",IF(IF(Tasks[[#This Row],[_IsSummary]],COUNTIF(INDEX(Tasks[_LeafCritical],Tasks[[#This Row],[_Row]]+1):INDEX(Tasks[_LeafCritical],Tasks[[#This Row],[_Row]]+Tasks[[#This Row],[_Descendants]]),TRUE())&gt;0,Tasks[[#This Row],[_LeafCritical]]),"Yes",""))</f>
        <v/>
      </c>
      <c r="AC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 s="24" t="str">
        <f aca="false">IF(Tasks[[#This Row],[Task Name]]="","",TRIM(IF(Tasks[[#This Row],[_Pred1Problem]]&lt;&gt;"","Pred 1: "&amp;Tasks[[#This Row],[_Pred1Problem]]&amp;". ","")&amp;IF(Tasks[[#This Row],[_Pred2Problem]]&lt;&gt;"","Pred 2: "&amp;Tasks[[#This Row],[_Pred2Problem]]&amp;".","")))</f>
        <v/>
      </c>
      <c r="AE8" s="91" t="n">
        <v>1</v>
      </c>
      <c r="AF8"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8" s="28" t="str">
        <f aca="false">IF(Tasks[[#This Row],[Task Name]]="","",IF(Tasks[[#This Row],[Progress]]&gt;=1,"Complete",IF(OR(N(Tasks[[#This Row],[Actual Start]])&gt;0,Tasks[[#This Row],[Progress]]&gt;0),IF(Tasks[[#This Row],[Finish Var]]&gt;0,"Behind","In Progress"),IF(Tasks[[#This Row],[Planned Start]]&lt;StatusDate,"Late Start","Not Started"))))</f>
        <v>Complete</v>
      </c>
      <c r="AH8" s="30" t="s">
        <v>300</v>
      </c>
      <c r="AI8" s="91"/>
      <c r="AJ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 s="98" t="n">
        <f aca="false">IF(Tasks[[#This Row],[Task Name]]="","",IF(Tasks[[#This Row],[_IsSummary]],SUM(INDEX(Tasks[_LeafWork],Tasks[[#This Row],[_Row]]+1):INDEX(Tasks[_LeafWork],Tasks[[#This Row],[_Row]]+Tasks[[#This Row],[_Descendants]])),Tasks[[#This Row],[_LeafWork]]))</f>
        <v>16</v>
      </c>
      <c r="AL8" s="99" t="n">
        <f aca="false">IF(Tasks[[#This Row],[Task Name]]="","",IF(Tasks[[#This Row],[_IsSummary]],SUM(INDEX(Tasks[_LeafCost],Tasks[[#This Row],[_Row]]+1):INDEX(Tasks[_LeafCost],Tasks[[#This Row],[_Row]]+Tasks[[#This Row],[_Descendants]])),Tasks[[#This Row],[_LeafCost]]))</f>
        <v>1120</v>
      </c>
      <c r="AM8" s="100"/>
      <c r="AN8" s="29"/>
      <c r="AO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P8" s="85" t="n">
        <v>2</v>
      </c>
      <c r="AQ8" s="24" t="str">
        <f aca="false">IF(Tasks[[#This Row],[Task Name]]="","",Tasks[[#This Row],[_Pred1IDText]]&amp;IF(AND(Tasks[[#This Row],[_Pred1IDText]]&lt;&gt;"",Tasks[[#This Row],[_Pred2IDText]]&lt;&gt;""),",","")&amp;Tasks[[#This Row],[_Pred2IDText]])</f>
        <v>2</v>
      </c>
      <c r="AR8" s="30"/>
      <c r="AS8" s="25" t="n">
        <f aca="false">IF(Tasks[[#This Row],[Task Name]]="","",Tasks[[#This Row],[Forecast Start]])</f>
        <v>46276</v>
      </c>
      <c r="AT8" s="25" t="n">
        <f aca="false">IF(Tasks[[#This Row],[Task Name]]="","",Tasks[[#This Row],[Forecast Finish]])</f>
        <v>46279</v>
      </c>
      <c r="AU8" s="28" t="n">
        <f aca="false">IF(Tasks[[#This Row],[Task Name]]="","",IF(Tasks[[#This Row],[_IsSummary]],NETWORKDAYS.INTL(Tasks[[#This Row],[Forecast Start]],Tasks[[#This Row],[Forecast Finish]],WorkWeek,Holidays),N(Tasks[[#This Row],[Duration]])))</f>
        <v>2</v>
      </c>
      <c r="AV8" s="98" t="n">
        <f aca="false">IF(Tasks[[#This Row],[Task Name]]="","",Tasks[[#This Row],[Work]])</f>
        <v>16</v>
      </c>
      <c r="AW8" s="99" t="n">
        <f aca="false">IF(Tasks[[#This Row],[Task Name]]="","",Tasks[[#This Row],[Cost]])</f>
        <v>1120</v>
      </c>
      <c r="AX8" s="77"/>
      <c r="AY8" s="77"/>
      <c r="AZ8" s="29"/>
      <c r="BA8" s="101"/>
      <c r="BB8" s="100"/>
      <c r="BC8" s="28" t="str">
        <f aca="false">IF(OR(Tasks[[#This Row],[Task Name]]="",Tasks[[#This Row],[Baseline Duration]]=""),"",Tasks[[#This Row],[BL Source Duration]]-N(Tasks[[#This Row],[Baseline Duration]]))</f>
        <v/>
      </c>
      <c r="BD8" s="98" t="str">
        <f aca="false">IF(OR(Tasks[[#This Row],[Task Name]]="",Tasks[[#This Row],[Baseline Work]]=""),"",Tasks[[#This Row],[Work]]-N(Tasks[[#This Row],[Baseline Work]]))</f>
        <v/>
      </c>
      <c r="BE8" s="99" t="str">
        <f aca="false">IF(OR(Tasks[[#This Row],[Task Name]]="",Tasks[[#This Row],[Baseline Cost]]=""),"",Tasks[[#This Row],[Cost]]-N(Tasks[[#This Row],[Baseline Cost]]))</f>
        <v/>
      </c>
      <c r="BF8" s="99" t="n">
        <f aca="false">IF(Tasks[[#This Row],[Task Name]]="","",IF(Tasks[[#This Row],[_IsSummary]],SUM(INDEX(Tasks[_LeafBudget],Tasks[[#This Row],[_Row]]+1):INDEX(Tasks[_LeafBudget],Tasks[[#This Row],[_Row]]+Tasks[[#This Row],[_Descendants]])),Tasks[[#This Row],[_LeafBudget]]))</f>
        <v>1120</v>
      </c>
      <c r="BG8" s="99" t="n">
        <f aca="false">IF(Tasks[[#This Row],[Task Name]]="","",IF(Tasks[[#This Row],[_IsSummary]],SUM(INDEX(Tasks[_LeafPV],Tasks[[#This Row],[_Row]]+1):INDEX(Tasks[_LeafPV],Tasks[[#This Row],[_Row]]+Tasks[[#This Row],[_Descendants]])),Tasks[[#This Row],[_LeafPV]]))</f>
        <v>1120</v>
      </c>
      <c r="BH8" s="99" t="n">
        <f aca="false">IF(Tasks[[#This Row],[Task Name]]="","",IF(Tasks[[#This Row],[_IsSummary]],SUM(INDEX(Tasks[_LeafEV],Tasks[[#This Row],[_Row]]+1):INDEX(Tasks[_LeafEV],Tasks[[#This Row],[_Row]]+Tasks[[#This Row],[_Descendants]])),Tasks[[#This Row],[_LeafEV]]))</f>
        <v>1120</v>
      </c>
      <c r="BI8" s="99" t="n">
        <f aca="false">IF(Tasks[[#This Row],[Task Name]]="","",IF(Tasks[[#This Row],[_IsSummary]],SUM(INDEX(Tasks[_LeafAC],Tasks[[#This Row],[_Row]]+1):INDEX(Tasks[_LeafAC],Tasks[[#This Row],[_Row]]+Tasks[[#This Row],[_Descendants]])),Tasks[[#This Row],[_LeafAC]]))</f>
        <v>1120</v>
      </c>
      <c r="BJ8" s="41" t="n">
        <f aca="false">IF(Tasks[[#This Row],[Task Name]]="","",MAX(1,N(Tasks[[#This Row],[Level]])))</f>
        <v>2</v>
      </c>
      <c r="BK8" s="41" t="n">
        <f aca="false">ROW()-ROW(Tasks[[#Headers],[ID]])</f>
        <v>3</v>
      </c>
      <c r="BL8" s="41" t="n">
        <f aca="false">IF(OR(Tasks[[#This Row],[Task Name]]="",Tasks[[#This Row],[_Level]]&lt;=1),0,IFERROR(LOOKUP(2,1/(Tasks[[#Headers],[_Level]]:Tasks[[#This Row],[_Level]]=Tasks[[#This Row],[_Level]]-1),ROW(Tasks[[#Headers],[_Level]]:Tasks[[#This Row],[_Level]])),0))</f>
        <v>6</v>
      </c>
      <c r="BM8" s="41" t="n">
        <f aca="false">IFERROR(N(INDEX(Tasks[_Level],Tasks[[#This Row],[_Row]]+1)),0)</f>
        <v>2</v>
      </c>
      <c r="BN8" s="102" t="b">
        <f aca="false">AND(Tasks[[#This Row],[Task Name]]&lt;&gt;"",Tasks[[#This Row],[_NextLevel]]&gt;Tasks[[#This Row],[_Level]])</f>
        <v>0</v>
      </c>
      <c r="BO8" s="41" t="n">
        <f aca="false">IF(Tasks[[#This Row],[_IsSummary]],COUNTIF(Tasks[WBS],Tasks[[#This Row],[WBS]]&amp;".*"),0)</f>
        <v>0</v>
      </c>
      <c r="BP8" s="41" t="n">
        <f aca="false">IF(AND(Tasks[[#This Row],[Task Name]]&lt;&gt;"",NOT(Tasks[[#This Row],[_IsSummary]])),1,0)</f>
        <v>1</v>
      </c>
      <c r="BQ8" s="41" t="n">
        <f aca="false">IF(N(Tasks[[#This Row],[Pred1 UID]])=0,0,IFERROR(MATCH(Tasks[[#This Row],[Pred1 UID]],Tasks[UID],0),-1))</f>
        <v>2</v>
      </c>
      <c r="BR8" s="41" t="n">
        <f aca="false">IF(N(Tasks[[#This Row],[Pred2 UID]])=0,0,IFERROR(MATCH(Tasks[[#This Row],[Pred2 UID]],Tasks[UID],0),-1))</f>
        <v>0</v>
      </c>
      <c r="BS8"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46275</v>
      </c>
      <c r="BT8" s="103" t="n">
        <f aca="false">IF(NOT(Tasks[[#This Row],[_IsLeaf]]=1),"",IF(N(Tasks[[#This Row],[Duration]])&lt;=0,Tasks[[#This Row],[_LeafCalcStart]],WORKDAY.INTL(Tasks[[#This Row],[_LeafCalcStart]],Tasks[[#This Row],[Duration]]-1,WorkWeek,Holidays)))</f>
        <v>46276</v>
      </c>
      <c r="BU8"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46276</v>
      </c>
      <c r="BV8"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BW8" s="41" t="n">
        <f aca="false">IF(NOT(Tasks[[#This Row],[_IsLeaf]]=1),0,IF(N(Tasks[[#This Row],[Actual Finish]])&gt;0,1,MIN(1,N(Tasks[[#This Row],[% Complete]]))))</f>
        <v>1</v>
      </c>
      <c r="BX8" s="41" t="n">
        <f aca="false">IF(OR(NOT(Tasks[[#This Row],[_IsLeaf]]=1),Tasks[[#This Row],[Resource]]=""),0,N(Tasks[[#This Row],[Duration]])*HoursPerDay*IF(Tasks[[#This Row],[Units]]="",DefaultUnits,Tasks[[#This Row],[Units]]))</f>
        <v>16</v>
      </c>
      <c r="BY8" s="41" t="n">
        <f aca="false">IF(Tasks[[#This Row],[_LeafWork]]=0,0,Tasks[[#This Row],[_LeafWork]]*IFERROR(INDEX(res_Rate,MATCH(Tasks[[#This Row],[Resource]],res_Name,0)),0))</f>
        <v>1120</v>
      </c>
      <c r="BZ8"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2912184</v>
      </c>
      <c r="CA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 s="41" t="n">
        <f aca="false">IF(NOT(Tasks[[#This Row],[_IsLeaf]]=1),0,MAX(_xlfn.MAXIFS(Tasks[_Row],Tasks[Pred1 UID],Tasks[[#This Row],[UID]]),_xlfn.MAXIFS(Tasks[_Row],Tasks[Pred2 UID],Tasks[[#This Row],[UID]])))</f>
        <v>4</v>
      </c>
      <c r="CE8"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46283</v>
      </c>
      <c r="CF8" s="103" t="n">
        <f aca="false">IF(NOT(Tasks[[#This Row],[_IsLeaf]]=1),"",MIN(ProjectFinish,IF(N(Tasks[[#This Row],[Deadline]])&gt;0,Tasks[[#This Row],[Deadline]],2958465),Tasks[[#This Row],[_SuccessorFinishLimit]]))</f>
        <v>46283</v>
      </c>
      <c r="CG8" s="103" t="n">
        <f aca="false">IF(NOT(Tasks[[#This Row],[_IsLeaf]]=1),"",IF(N(Tasks[[#This Row],[Duration]])&lt;=0,Tasks[[#This Row],[_LeafLateFinish]],WORKDAY.INTL(Tasks[[#This Row],[_LeafLateFinish]],-(Tasks[[#This Row],[Duration]]-1),WorkWeek,Holidays)))</f>
        <v>46282</v>
      </c>
      <c r="CH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I8" s="102" t="b">
        <f aca="false">AND(Tasks[[#This Row],[_IsLeaf]]=1,Tasks[[#This Row],[_LeafProgress]]&lt;1,N(Tasks[[#This Row],[_LeafTotalSlack]])&lt;=CriticalSlackDays)</f>
        <v>0</v>
      </c>
      <c r="CJ8" s="103" t="n">
        <f aca="false">IF(Tasks[[#This Row],[Task Name]]="","",IF(Tasks[[#This Row],[_IsSummary]],MIN(INDEX(Tasks[_LeafCalcStart],Tasks[[#This Row],[_Row]]+1):INDEX(Tasks[_LeafCalcStart],Tasks[[#This Row],[_Row]]+Tasks[[#This Row],[_Descendants]])),Tasks[[#This Row],[_LeafCalcStart]]))</f>
        <v>46275</v>
      </c>
      <c r="CK8" s="103" t="n">
        <f aca="false">IF(Tasks[[#This Row],[Task Name]]="","",IF(Tasks[[#This Row],[_IsSummary]],MAX(INDEX(Tasks[_LeafCalcFinish],Tasks[[#This Row],[_Row]]+1):INDEX(Tasks[_LeafCalcFinish],Tasks[[#This Row],[_Row]]+Tasks[[#This Row],[_Descendants]])),Tasks[[#This Row],[_LeafCalcFinish]]))</f>
        <v>46276</v>
      </c>
      <c r="CL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46275</v>
      </c>
      <c r="CO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46276</v>
      </c>
      <c r="CQ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 s="41" t="n">
        <f aca="false">IF(AND(Tasks[[#This Row],[_IsLeaf]]=1,Tasks[[#This Row],[_LeafWork]]&gt;0),NETWORKDAYS.INTL(ProjectStart,Tasks[[#This Row],[_LeafFcstStart]],WorkWeek,Holidays),0)</f>
        <v>5</v>
      </c>
      <c r="CS8" s="41" t="n">
        <f aca="false">IF(AND(Tasks[[#This Row],[_IsLeaf]]=1,Tasks[[#This Row],[_LeafWork]]&gt;0),MAX(Tasks[[#This Row],[_StartWorkday]],NETWORKDAYS.INTL(ProjectStart,Tasks[[#This Row],[_LeafFcstFinish]],WorkWeek,Holidays)),0)</f>
        <v>6</v>
      </c>
      <c r="CT8" s="41" t="n">
        <f aca="false">IF(AND(Tasks[[#This Row],[_IsLeaf]]=1,Tasks[[#This Row],[_LeafWork]]&gt;0),Tasks[[#This Row],[_LeafWork]]/(Tasks[[#This Row],[_FinishWorkday]]-Tasks[[#This Row],[_StartWorkday]]+1),0)</f>
        <v>8</v>
      </c>
      <c r="CU8" s="41" t="n">
        <f aca="false">Tasks[[#This Row],[_WorkPerWorkday]]*(Tasks[[#This Row],[_StartWorkday]]-1)</f>
        <v>32</v>
      </c>
      <c r="CV8" s="41" t="n">
        <f aca="false">IF(Tasks[[#This Row],[_IsLeaf]]=1,MAX(N(Tasks[[#This Row],[Duration]]),0.1),0)</f>
        <v>2</v>
      </c>
      <c r="CW8" s="41" t="n">
        <f aca="false">Tasks[[#This Row],[_WeightDur]]*Tasks[[#This Row],[_LeafProgress]]</f>
        <v>2</v>
      </c>
      <c r="CX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v>
      </c>
      <c r="CY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v>
      </c>
      <c r="DA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 s="41" t="str">
        <f aca="false">IF(Tasks[[#This Row],[Task Name]]="","",Tasks[[#This Row],[_Pred1UIDText]]&amp;IF(AND(Tasks[[#This Row],[_Pred1UIDText]]&lt;&gt;"",Tasks[[#This Row],[_Pred2UIDText]]&lt;&gt;""),",","")&amp;Tasks[[#This Row],[_Pred2UIDText]])</f>
        <v>2</v>
      </c>
      <c r="DC8" s="41" t="str">
        <f aca="false">IF(AND(Tasks[[#This Row],[_IsLeaf]]=1,N(Tasks[[#This Row],[Duration]])=0,Tasks[[#This Row],[_LeafProgress]]&lt;1),Tasks[[#This Row],[_LeafFcstFinish]]+Tasks[[#This Row],[_Row]]/100000,"")</f>
        <v/>
      </c>
      <c r="DD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8" s="41" t="n">
        <f aca="false">IF(NOT(Tasks[[#This Row],[_IsLeaf]]=1),0,IF(Tasks[[#This Row],[Baseline Cost]]="",Tasks[[#This Row],[_LeafCost]],N(Tasks[[#This Row],[Baseline Cost]])))</f>
        <v>1120</v>
      </c>
      <c r="DF8" s="41" t="n">
        <f aca="false">Tasks[[#This Row],[_LeafBudget]]*Tasks[[#This Row],[_PlannedPct]]</f>
        <v>1120</v>
      </c>
      <c r="DG8" s="41" t="n">
        <f aca="false">Tasks[[#This Row],[_LeafBudget]]*Tasks[[#This Row],[_LeafProgress]]</f>
        <v>1120</v>
      </c>
      <c r="DH8" s="41" t="n">
        <f aca="false">IF(NOT(Tasks[[#This Row],[_IsLeaf]]=1),0,IF(Tasks[[#This Row],[Actual Cost]]="",Tasks[[#This Row],[_LeafCost]]*Tasks[[#This Row],[_LeafProgress]],N(Tasks[[#This Row],[Actual Cost]])))</f>
        <v>1120</v>
      </c>
      <c r="DI8" s="41" t="str">
        <f aca="false">IF(Tasks[[#This Row],[Task Name]]="","",LEFT(Tasks[[#This Row],[WBS]],FIND(".",Tasks[[#This Row],[WBS]]&amp;".")-1))</f>
        <v>1</v>
      </c>
      <c r="DJ8" s="41" t="str">
        <f aca="false">IF(AND(Tasks[[#This Row],[Task Name]]&lt;&gt;"",Tasks[[#This Row],[_Level]]=1),Tasks[[#This Row],[_Row]],"")</f>
        <v/>
      </c>
      <c r="DK8" s="41" t="str">
        <f aca="false">IF(AND(Tasks[[#This Row],[_IsLeaf]]=1,N(Tasks[[#This Row],[Duration]])=0),Tasks[[#This Row],[Planned Finish]]+Tasks[[#This Row],[_Row]]/100000,"")</f>
        <v/>
      </c>
      <c r="DL8" s="41" t="str">
        <f aca="false">IF(AND(Tasks[[#This Row],[_IsLeaf]]=1,Tasks[[#This Row],[_LeafProgress]]&lt;1,OR(N(Tasks[[#This Row],[Finish Var]])&gt;0,Tasks[[#This Row],[Status]]="Late Start")),MAX(0,Tasks[[#This Row],[Finish Var]])+1-Tasks[[#This Row],[_Row]]/1000000,"")</f>
        <v/>
      </c>
      <c r="DM8" s="41" t="str">
        <f aca="false">IF(AND(Tasks[[#This Row],[_IsLeaf]]=1,N(Tasks[[#This Row],[Actual Start]])=0,Tasks[[#This Row],[_LeafFcstStart]]&gt;=StatusDate,Tasks[[#This Row],[_LeafFcstStart]]&lt;=LookaheadEnd),Tasks[[#This Row],[_LeafFcstStart]]+Tasks[[#This Row],[_Row]]/100000,"")</f>
        <v/>
      </c>
      <c r="DN8" s="41" t="str">
        <f aca="false">IF(AND(Tasks[[#This Row],[_IsLeaf]]=1,Tasks[[#This Row],[_LeafProgress]]&lt;1,Tasks[[#This Row],[_LeafFcstFinish]]&gt;=StatusDate,Tasks[[#This Row],[_LeafFcstFinish]]&lt;=LookaheadEnd),Tasks[[#This Row],[_LeafFcstFinish]]+Tasks[[#This Row],[_Row]]/100000,"")</f>
        <v/>
      </c>
      <c r="DO8" s="41" t="str">
        <f aca="false">IF(Tasks[[#This Row],[_LeafCritical]],Tasks[[#This Row],[_LeafFcstStart]]+Tasks[[#This Row],[_Row]]/100000,"")</f>
        <v/>
      </c>
      <c r="DP8" s="41" t="n">
        <f aca="false">Tasks[[#This Row],[_LeafWork]]*Tasks[[#This Row],[_LeafProgress]]</f>
        <v>16</v>
      </c>
      <c r="DQ8" s="103" t="n">
        <f aca="false">IF(AND(Tasks[[#This Row],[_IsLeaf]]=1,Tasks[[#This Row],[_LeafProgress]]&gt;=1),IF(N(Tasks[[#This Row],[Actual Finish]])&gt;0,Tasks[[#This Row],[Actual Finish]],Tasks[[#This Row],[_LeafFcstFinish]]),"")</f>
        <v>46279</v>
      </c>
      <c r="DR8" s="41" t="n">
        <f aca="false">IF(Tasks[[#This Row],[_IsLeaf]]=1,N(Tasks[[#This Row],[Story Points]]),0)</f>
        <v>2</v>
      </c>
      <c r="DS8" s="41" t="str">
        <f aca="false">IF(AND(Tasks[[#This Row],[_IsLeaf]]=1,CurrentSprint&lt;&gt;"",Tasks[[#This Row],[Sprint]]=CurrentSprint),Tasks[[#This Row],[_Row]],"")</f>
        <v/>
      </c>
    </row>
    <row r="9" customFormat="false" ht="15" hidden="false" customHeight="false" outlineLevel="0" collapsed="false">
      <c r="A9" s="28" t="n">
        <f aca="false">IF(Tasks[[#This Row],[Task Name]]="","",COUNTA(Tasks[[#Headers],[Task Name]]:Tasks[[#This Row],[Task Name]])-1)</f>
        <v>4</v>
      </c>
      <c r="B9" s="29" t="n">
        <v>4</v>
      </c>
      <c r="C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D9" s="29" t="n">
        <v>2</v>
      </c>
      <c r="E9" s="30" t="s">
        <v>601</v>
      </c>
      <c r="F9" s="29" t="s">
        <v>595</v>
      </c>
      <c r="G9" s="29" t="n">
        <v>0</v>
      </c>
      <c r="H9" s="29" t="n">
        <v>3</v>
      </c>
      <c r="I9" s="29" t="s">
        <v>600</v>
      </c>
      <c r="J9" s="29"/>
      <c r="K9" s="29"/>
      <c r="L9" s="29"/>
      <c r="M9" s="29"/>
      <c r="N9" s="77"/>
      <c r="O9" s="77"/>
      <c r="P9" s="25" t="n">
        <f aca="false">IF(Tasks[[#This Row],[Task Name]]="","",IF(N(Tasks[[#This Row],[Baseline Start]])&gt;0,Tasks[[#This Row],[Baseline Start]],Tasks[[#This Row],[_CalcStart]]))</f>
        <v>46276</v>
      </c>
      <c r="Q9" s="25" t="n">
        <f aca="false">IF(Tasks[[#This Row],[Task Name]]="","",IF(N(Tasks[[#This Row],[Baseline Finish]])&gt;0,Tasks[[#This Row],[Baseline Finish]],Tasks[[#This Row],[_CalcFinish]]))</f>
        <v>46276</v>
      </c>
      <c r="R9" s="77" t="n">
        <v>46279</v>
      </c>
      <c r="S9" s="77" t="n">
        <v>46279</v>
      </c>
      <c r="T9" s="25" t="n">
        <f aca="false">IF(Tasks[[#This Row],[Task Name]]="","",IF(Tasks[[#This Row],[_IsSummary]],MIN(INDEX(Tasks[_LeafFcstStart],Tasks[[#This Row],[_Row]]+1):INDEX(Tasks[_LeafFcstStart],Tasks[[#This Row],[_Row]]+Tasks[[#This Row],[_Descendants]])),Tasks[[#This Row],[_LeafFcstStart]]))</f>
        <v>46279</v>
      </c>
      <c r="U9" s="25" t="n">
        <f aca="false">IF(Tasks[[#This Row],[Task Name]]="","",IF(Tasks[[#This Row],[_IsSummary]],MAX(INDEX(Tasks[_LeafFcstFinish],Tasks[[#This Row],[_Row]]+1):INDEX(Tasks[_LeafFcstFinish],Tasks[[#This Row],[_Row]]+Tasks[[#This Row],[_Descendants]])),Tasks[[#This Row],[_LeafFcstFinish]]))</f>
        <v>46279</v>
      </c>
      <c r="V9"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9" s="43"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X9" s="25" t="n">
        <f aca="false">IF(Tasks[[#This Row],[Task Name]]="","",IF(Tasks[[#This Row],[_IsSummary]],MIN(INDEX(Tasks[_LeafLateStart],Tasks[[#This Row],[_Row]]+1):INDEX(Tasks[_LeafLateStart],Tasks[[#This Row],[_Row]]+Tasks[[#This Row],[_Descendants]])),Tasks[[#This Row],[_LeafLateStart]]))</f>
        <v>46283</v>
      </c>
      <c r="Y9" s="25" t="n">
        <f aca="false">IF(Tasks[[#This Row],[Task Name]]="","",IF(Tasks[[#This Row],[_IsSummary]],MAX(INDEX(Tasks[_LeafLateFinish],Tasks[[#This Row],[_Row]]+1):INDEX(Tasks[_LeafLateFinish],Tasks[[#This Row],[_Row]]+Tasks[[#This Row],[_Descendants]])),Tasks[[#This Row],[_LeafLateFinish]]))</f>
        <v>46283</v>
      </c>
      <c r="Z9" s="43" t="n">
        <f aca="false">IF(Tasks[[#This Row],[Task Name]]="","",IF(Tasks[[#This Row],[_IsSummary]],MIN(INDEX(Tasks[_LeafTotalSlack],Tasks[[#This Row],[_Row]]+1):INDEX(Tasks[_LeafTotalSlack],Tasks[[#This Row],[_Row]]+Tasks[[#This Row],[_Descendants]])),Tasks[[#This Row],[_LeafTotalSlack]]))</f>
        <v>4</v>
      </c>
      <c r="AA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9" s="28" t="str">
        <f aca="false">IF(Tasks[[#This Row],[Task Name]]="","",IF(IF(Tasks[[#This Row],[_IsSummary]],COUNTIF(INDEX(Tasks[_LeafCritical],Tasks[[#This Row],[_Row]]+1):INDEX(Tasks[_LeafCritical],Tasks[[#This Row],[_Row]]+Tasks[[#This Row],[_Descendants]]),TRUE())&gt;0,Tasks[[#This Row],[_LeafCritical]]),"Yes",""))</f>
        <v/>
      </c>
      <c r="AC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 s="24" t="str">
        <f aca="false">IF(Tasks[[#This Row],[Task Name]]="","",TRIM(IF(Tasks[[#This Row],[_Pred1Problem]]&lt;&gt;"","Pred 1: "&amp;Tasks[[#This Row],[_Pred1Problem]]&amp;". ","")&amp;IF(Tasks[[#This Row],[_Pred2Problem]]&lt;&gt;"","Pred 2: "&amp;Tasks[[#This Row],[_Pred2Problem]]&amp;".","")))</f>
        <v/>
      </c>
      <c r="AE9" s="91" t="n">
        <v>1</v>
      </c>
      <c r="AF9"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9" s="28" t="str">
        <f aca="false">IF(Tasks[[#This Row],[Task Name]]="","",IF(Tasks[[#This Row],[Progress]]&gt;=1,"Complete",IF(OR(N(Tasks[[#This Row],[Actual Start]])&gt;0,Tasks[[#This Row],[Progress]]&gt;0),IF(Tasks[[#This Row],[Finish Var]]&gt;0,"Behind","In Progress"),IF(Tasks[[#This Row],[Planned Start]]&lt;StatusDate,"Late Start","Not Started"))))</f>
        <v>Complete</v>
      </c>
      <c r="AH9" s="30"/>
      <c r="AI9" s="91"/>
      <c r="AJ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 s="98" t="n">
        <f aca="false">IF(Tasks[[#This Row],[Task Name]]="","",IF(Tasks[[#This Row],[_IsSummary]],SUM(INDEX(Tasks[_LeafWork],Tasks[[#This Row],[_Row]]+1):INDEX(Tasks[_LeafWork],Tasks[[#This Row],[_Row]]+Tasks[[#This Row],[_Descendants]])),Tasks[[#This Row],[_LeafWork]]))</f>
        <v>0</v>
      </c>
      <c r="AL9" s="99" t="n">
        <f aca="false">IF(Tasks[[#This Row],[Task Name]]="","",IF(Tasks[[#This Row],[_IsSummary]],SUM(INDEX(Tasks[_LeafCost],Tasks[[#This Row],[_Row]]+1):INDEX(Tasks[_LeafCost],Tasks[[#This Row],[_Row]]+Tasks[[#This Row],[_Descendants]])),Tasks[[#This Row],[_LeafCost]]))</f>
        <v>0</v>
      </c>
      <c r="AM9" s="100"/>
      <c r="AN9" s="29"/>
      <c r="AO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P9" s="85"/>
      <c r="AQ9" s="24" t="str">
        <f aca="false">IF(Tasks[[#This Row],[Task Name]]="","",Tasks[[#This Row],[_Pred1IDText]]&amp;IF(AND(Tasks[[#This Row],[_Pred1IDText]]&lt;&gt;"",Tasks[[#This Row],[_Pred2IDText]]&lt;&gt;""),",","")&amp;Tasks[[#This Row],[_Pred2IDText]])</f>
        <v>3</v>
      </c>
      <c r="AR9" s="30" t="s">
        <v>602</v>
      </c>
      <c r="AS9" s="25" t="n">
        <f aca="false">IF(Tasks[[#This Row],[Task Name]]="","",Tasks[[#This Row],[Forecast Start]])</f>
        <v>46279</v>
      </c>
      <c r="AT9" s="25" t="n">
        <f aca="false">IF(Tasks[[#This Row],[Task Name]]="","",Tasks[[#This Row],[Forecast Finish]])</f>
        <v>46279</v>
      </c>
      <c r="AU9" s="28" t="n">
        <f aca="false">IF(Tasks[[#This Row],[Task Name]]="","",IF(Tasks[[#This Row],[_IsSummary]],NETWORKDAYS.INTL(Tasks[[#This Row],[Forecast Start]],Tasks[[#This Row],[Forecast Finish]],WorkWeek,Holidays),N(Tasks[[#This Row],[Duration]])))</f>
        <v>0</v>
      </c>
      <c r="AV9" s="98" t="n">
        <f aca="false">IF(Tasks[[#This Row],[Task Name]]="","",Tasks[[#This Row],[Work]])</f>
        <v>0</v>
      </c>
      <c r="AW9" s="99" t="n">
        <f aca="false">IF(Tasks[[#This Row],[Task Name]]="","",Tasks[[#This Row],[Cost]])</f>
        <v>0</v>
      </c>
      <c r="AX9" s="77"/>
      <c r="AY9" s="77"/>
      <c r="AZ9" s="29"/>
      <c r="BA9" s="101"/>
      <c r="BB9" s="100"/>
      <c r="BC9" s="28" t="str">
        <f aca="false">IF(OR(Tasks[[#This Row],[Task Name]]="",Tasks[[#This Row],[Baseline Duration]]=""),"",Tasks[[#This Row],[BL Source Duration]]-N(Tasks[[#This Row],[Baseline Duration]]))</f>
        <v/>
      </c>
      <c r="BD9" s="98" t="str">
        <f aca="false">IF(OR(Tasks[[#This Row],[Task Name]]="",Tasks[[#This Row],[Baseline Work]]=""),"",Tasks[[#This Row],[Work]]-N(Tasks[[#This Row],[Baseline Work]]))</f>
        <v/>
      </c>
      <c r="BE9" s="99" t="str">
        <f aca="false">IF(OR(Tasks[[#This Row],[Task Name]]="",Tasks[[#This Row],[Baseline Cost]]=""),"",Tasks[[#This Row],[Cost]]-N(Tasks[[#This Row],[Baseline Cost]]))</f>
        <v/>
      </c>
      <c r="BF9" s="99" t="n">
        <f aca="false">IF(Tasks[[#This Row],[Task Name]]="","",IF(Tasks[[#This Row],[_IsSummary]],SUM(INDEX(Tasks[_LeafBudget],Tasks[[#This Row],[_Row]]+1):INDEX(Tasks[_LeafBudget],Tasks[[#This Row],[_Row]]+Tasks[[#This Row],[_Descendants]])),Tasks[[#This Row],[_LeafBudget]]))</f>
        <v>0</v>
      </c>
      <c r="BG9" s="99" t="n">
        <f aca="false">IF(Tasks[[#This Row],[Task Name]]="","",IF(Tasks[[#This Row],[_IsSummary]],SUM(INDEX(Tasks[_LeafPV],Tasks[[#This Row],[_Row]]+1):INDEX(Tasks[_LeafPV],Tasks[[#This Row],[_Row]]+Tasks[[#This Row],[_Descendants]])),Tasks[[#This Row],[_LeafPV]]))</f>
        <v>0</v>
      </c>
      <c r="BH9" s="99" t="n">
        <f aca="false">IF(Tasks[[#This Row],[Task Name]]="","",IF(Tasks[[#This Row],[_IsSummary]],SUM(INDEX(Tasks[_LeafEV],Tasks[[#This Row],[_Row]]+1):INDEX(Tasks[_LeafEV],Tasks[[#This Row],[_Row]]+Tasks[[#This Row],[_Descendants]])),Tasks[[#This Row],[_LeafEV]]))</f>
        <v>0</v>
      </c>
      <c r="BI9" s="99" t="n">
        <f aca="false">IF(Tasks[[#This Row],[Task Name]]="","",IF(Tasks[[#This Row],[_IsSummary]],SUM(INDEX(Tasks[_LeafAC],Tasks[[#This Row],[_Row]]+1):INDEX(Tasks[_LeafAC],Tasks[[#This Row],[_Row]]+Tasks[[#This Row],[_Descendants]])),Tasks[[#This Row],[_LeafAC]]))</f>
        <v>0</v>
      </c>
      <c r="BJ9" s="41" t="n">
        <f aca="false">IF(Tasks[[#This Row],[Task Name]]="","",MAX(1,N(Tasks[[#This Row],[Level]])))</f>
        <v>2</v>
      </c>
      <c r="BK9" s="41" t="n">
        <f aca="false">ROW()-ROW(Tasks[[#Headers],[ID]])</f>
        <v>4</v>
      </c>
      <c r="BL9" s="41" t="n">
        <f aca="false">IF(OR(Tasks[[#This Row],[Task Name]]="",Tasks[[#This Row],[_Level]]&lt;=1),0,IFERROR(LOOKUP(2,1/(Tasks[[#Headers],[_Level]]:Tasks[[#This Row],[_Level]]=Tasks[[#This Row],[_Level]]-1),ROW(Tasks[[#Headers],[_Level]]:Tasks[[#This Row],[_Level]])),0))</f>
        <v>6</v>
      </c>
      <c r="BM9" s="41" t="n">
        <f aca="false">IFERROR(N(INDEX(Tasks[_Level],Tasks[[#This Row],[_Row]]+1)),0)</f>
        <v>1</v>
      </c>
      <c r="BN9" s="102" t="b">
        <f aca="false">AND(Tasks[[#This Row],[Task Name]]&lt;&gt;"",Tasks[[#This Row],[_NextLevel]]&gt;Tasks[[#This Row],[_Level]])</f>
        <v>0</v>
      </c>
      <c r="BO9" s="41" t="n">
        <f aca="false">IF(Tasks[[#This Row],[_IsSummary]],COUNTIF(Tasks[WBS],Tasks[[#This Row],[WBS]]&amp;".*"),0)</f>
        <v>0</v>
      </c>
      <c r="BP9" s="41" t="n">
        <f aca="false">IF(AND(Tasks[[#This Row],[Task Name]]&lt;&gt;"",NOT(Tasks[[#This Row],[_IsSummary]])),1,0)</f>
        <v>1</v>
      </c>
      <c r="BQ9" s="41" t="n">
        <f aca="false">IF(N(Tasks[[#This Row],[Pred1 UID]])=0,0,IFERROR(MATCH(Tasks[[#This Row],[Pred1 UID]],Tasks[UID],0),-1))</f>
        <v>3</v>
      </c>
      <c r="BR9" s="41" t="n">
        <f aca="false">IF(N(Tasks[[#This Row],[Pred2 UID]])=0,0,IFERROR(MATCH(Tasks[[#This Row],[Pred2 UID]],Tasks[UID],0),-1))</f>
        <v>0</v>
      </c>
      <c r="BS9"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46276</v>
      </c>
      <c r="BT9" s="103" t="n">
        <f aca="false">IF(NOT(Tasks[[#This Row],[_IsLeaf]]=1),"",IF(N(Tasks[[#This Row],[Duration]])&lt;=0,Tasks[[#This Row],[_LeafCalcStart]],WORKDAY.INTL(Tasks[[#This Row],[_LeafCalcStart]],Tasks[[#This Row],[Duration]]-1,WorkWeek,Holidays)))</f>
        <v>46276</v>
      </c>
      <c r="BU9"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46279</v>
      </c>
      <c r="BV9"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BW9" s="41" t="n">
        <f aca="false">IF(NOT(Tasks[[#This Row],[_IsLeaf]]=1),0,IF(N(Tasks[[#This Row],[Actual Finish]])&gt;0,1,MIN(1,N(Tasks[[#This Row],[% Complete]]))))</f>
        <v>1</v>
      </c>
      <c r="BX9" s="41" t="n">
        <f aca="false">IF(OR(NOT(Tasks[[#This Row],[_IsLeaf]]=1),Tasks[[#This Row],[Resource]]=""),0,N(Tasks[[#This Row],[Duration]])*HoursPerDay*IF(Tasks[[#This Row],[Units]]="",DefaultUnits,Tasks[[#This Row],[Units]]))</f>
        <v>0</v>
      </c>
      <c r="BY9" s="41" t="n">
        <f aca="false">IF(Tasks[[#This Row],[_LeafWork]]=0,0,Tasks[[#This Row],[_LeafWork]]*IFERROR(INDEX(res_Rate,MATCH(Tasks[[#This Row],[Resource]],res_Name,0)),0))</f>
        <v>0</v>
      </c>
      <c r="BZ9"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CA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 s="41" t="n">
        <f aca="false">IF(NOT(Tasks[[#This Row],[_IsLeaf]]=1),0,MAX(_xlfn.MAXIFS(Tasks[_Row],Tasks[Pred1 UID],Tasks[[#This Row],[UID]]),_xlfn.MAXIFS(Tasks[_Row],Tasks[Pred2 UID],Tasks[[#This Row],[UID]])))</f>
        <v>6</v>
      </c>
      <c r="CE9"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46283</v>
      </c>
      <c r="CF9" s="103" t="n">
        <f aca="false">IF(NOT(Tasks[[#This Row],[_IsLeaf]]=1),"",MIN(ProjectFinish,IF(N(Tasks[[#This Row],[Deadline]])&gt;0,Tasks[[#This Row],[Deadline]],2958465),Tasks[[#This Row],[_SuccessorFinishLimit]]))</f>
        <v>46283</v>
      </c>
      <c r="CG9" s="103" t="n">
        <f aca="false">IF(NOT(Tasks[[#This Row],[_IsLeaf]]=1),"",IF(N(Tasks[[#This Row],[Duration]])&lt;=0,Tasks[[#This Row],[_LeafLateFinish]],WORKDAY.INTL(Tasks[[#This Row],[_LeafLateFinish]],-(Tasks[[#This Row],[Duration]]-1),WorkWeek,Holidays)))</f>
        <v>46283</v>
      </c>
      <c r="CH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CI9" s="102" t="b">
        <f aca="false">AND(Tasks[[#This Row],[_IsLeaf]]=1,Tasks[[#This Row],[_LeafProgress]]&lt;1,N(Tasks[[#This Row],[_LeafTotalSlack]])&lt;=CriticalSlackDays)</f>
        <v>0</v>
      </c>
      <c r="CJ9" s="103" t="n">
        <f aca="false">IF(Tasks[[#This Row],[Task Name]]="","",IF(Tasks[[#This Row],[_IsSummary]],MIN(INDEX(Tasks[_LeafCalcStart],Tasks[[#This Row],[_Row]]+1):INDEX(Tasks[_LeafCalcStart],Tasks[[#This Row],[_Row]]+Tasks[[#This Row],[_Descendants]])),Tasks[[#This Row],[_LeafCalcStart]]))</f>
        <v>46276</v>
      </c>
      <c r="CK9" s="103" t="n">
        <f aca="false">IF(Tasks[[#This Row],[Task Name]]="","",IF(Tasks[[#This Row],[_IsSummary]],MAX(INDEX(Tasks[_LeafCalcFinish],Tasks[[#This Row],[_Row]]+1):INDEX(Tasks[_LeafCalcFinish],Tasks[[#This Row],[_Row]]+Tasks[[#This Row],[_Descendants]])),Tasks[[#This Row],[_LeafCalcFinish]]))</f>
        <v>46276</v>
      </c>
      <c r="CL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46276</v>
      </c>
      <c r="CO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46279</v>
      </c>
      <c r="CQ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 s="41" t="n">
        <f aca="false">IF(AND(Tasks[[#This Row],[_IsLeaf]]=1,Tasks[[#This Row],[_LeafWork]]&gt;0),NETWORKDAYS.INTL(ProjectStart,Tasks[[#This Row],[_LeafFcstStart]],WorkWeek,Holidays),0)</f>
        <v>0</v>
      </c>
      <c r="CS9" s="41" t="n">
        <f aca="false">IF(AND(Tasks[[#This Row],[_IsLeaf]]=1,Tasks[[#This Row],[_LeafWork]]&gt;0),MAX(Tasks[[#This Row],[_StartWorkday]],NETWORKDAYS.INTL(ProjectStart,Tasks[[#This Row],[_LeafFcstFinish]],WorkWeek,Holidays)),0)</f>
        <v>0</v>
      </c>
      <c r="CT9" s="41" t="n">
        <f aca="false">IF(AND(Tasks[[#This Row],[_IsLeaf]]=1,Tasks[[#This Row],[_LeafWork]]&gt;0),Tasks[[#This Row],[_LeafWork]]/(Tasks[[#This Row],[_FinishWorkday]]-Tasks[[#This Row],[_StartWorkday]]+1),0)</f>
        <v>0</v>
      </c>
      <c r="CU9" s="41" t="n">
        <f aca="false">Tasks[[#This Row],[_WorkPerWorkday]]*(Tasks[[#This Row],[_StartWorkday]]-1)</f>
        <v>-0</v>
      </c>
      <c r="CV9" s="41" t="n">
        <f aca="false">IF(Tasks[[#This Row],[_IsLeaf]]=1,MAX(N(Tasks[[#This Row],[Duration]]),0.1),0)</f>
        <v>0.1</v>
      </c>
      <c r="CW9" s="41" t="n">
        <f aca="false">Tasks[[#This Row],[_WeightDur]]*Tasks[[#This Row],[_LeafProgress]]</f>
        <v>0.1</v>
      </c>
      <c r="CX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3</v>
      </c>
      <c r="CY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3</v>
      </c>
      <c r="DA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 s="41" t="str">
        <f aca="false">IF(Tasks[[#This Row],[Task Name]]="","",Tasks[[#This Row],[_Pred1UIDText]]&amp;IF(AND(Tasks[[#This Row],[_Pred1UIDText]]&lt;&gt;"",Tasks[[#This Row],[_Pred2UIDText]]&lt;&gt;""),",","")&amp;Tasks[[#This Row],[_Pred2UIDText]])</f>
        <v>3</v>
      </c>
      <c r="DC9" s="41" t="str">
        <f aca="false">IF(AND(Tasks[[#This Row],[_IsLeaf]]=1,N(Tasks[[#This Row],[Duration]])=0,Tasks[[#This Row],[_LeafProgress]]&lt;1),Tasks[[#This Row],[_LeafFcstFinish]]+Tasks[[#This Row],[_Row]]/100000,"")</f>
        <v/>
      </c>
      <c r="DD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9" s="41" t="n">
        <f aca="false">IF(NOT(Tasks[[#This Row],[_IsLeaf]]=1),0,IF(Tasks[[#This Row],[Baseline Cost]]="",Tasks[[#This Row],[_LeafCost]],N(Tasks[[#This Row],[Baseline Cost]])))</f>
        <v>0</v>
      </c>
      <c r="DF9" s="41" t="n">
        <f aca="false">Tasks[[#This Row],[_LeafBudget]]*Tasks[[#This Row],[_PlannedPct]]</f>
        <v>0</v>
      </c>
      <c r="DG9" s="41" t="n">
        <f aca="false">Tasks[[#This Row],[_LeafBudget]]*Tasks[[#This Row],[_LeafProgress]]</f>
        <v>0</v>
      </c>
      <c r="DH9" s="41" t="n">
        <f aca="false">IF(NOT(Tasks[[#This Row],[_IsLeaf]]=1),0,IF(Tasks[[#This Row],[Actual Cost]]="",Tasks[[#This Row],[_LeafCost]]*Tasks[[#This Row],[_LeafProgress]],N(Tasks[[#This Row],[Actual Cost]])))</f>
        <v>0</v>
      </c>
      <c r="DI9" s="41" t="str">
        <f aca="false">IF(Tasks[[#This Row],[Task Name]]="","",LEFT(Tasks[[#This Row],[WBS]],FIND(".",Tasks[[#This Row],[WBS]]&amp;".")-1))</f>
        <v>1</v>
      </c>
      <c r="DJ9" s="41" t="str">
        <f aca="false">IF(AND(Tasks[[#This Row],[Task Name]]&lt;&gt;"",Tasks[[#This Row],[_Level]]=1),Tasks[[#This Row],[_Row]],"")</f>
        <v/>
      </c>
      <c r="DK9" s="104" t="n">
        <f aca="false">IF(AND(Tasks[[#This Row],[_IsLeaf]]=1,N(Tasks[[#This Row],[Duration]])=0),Tasks[[#This Row],[Planned Finish]]+Tasks[[#This Row],[_Row]]/100000,"")</f>
        <v>46276.00004</v>
      </c>
      <c r="DL9" s="41" t="str">
        <f aca="false">IF(AND(Tasks[[#This Row],[_IsLeaf]]=1,Tasks[[#This Row],[_LeafProgress]]&lt;1,OR(N(Tasks[[#This Row],[Finish Var]])&gt;0,Tasks[[#This Row],[Status]]="Late Start")),MAX(0,Tasks[[#This Row],[Finish Var]])+1-Tasks[[#This Row],[_Row]]/1000000,"")</f>
        <v/>
      </c>
      <c r="DM9" s="41" t="str">
        <f aca="false">IF(AND(Tasks[[#This Row],[_IsLeaf]]=1,N(Tasks[[#This Row],[Actual Start]])=0,Tasks[[#This Row],[_LeafFcstStart]]&gt;=StatusDate,Tasks[[#This Row],[_LeafFcstStart]]&lt;=LookaheadEnd),Tasks[[#This Row],[_LeafFcstStart]]+Tasks[[#This Row],[_Row]]/100000,"")</f>
        <v/>
      </c>
      <c r="DN9" s="41" t="str">
        <f aca="false">IF(AND(Tasks[[#This Row],[_IsLeaf]]=1,Tasks[[#This Row],[_LeafProgress]]&lt;1,Tasks[[#This Row],[_LeafFcstFinish]]&gt;=StatusDate,Tasks[[#This Row],[_LeafFcstFinish]]&lt;=LookaheadEnd),Tasks[[#This Row],[_LeafFcstFinish]]+Tasks[[#This Row],[_Row]]/100000,"")</f>
        <v/>
      </c>
      <c r="DO9" s="41" t="str">
        <f aca="false">IF(Tasks[[#This Row],[_LeafCritical]],Tasks[[#This Row],[_LeafFcstStart]]+Tasks[[#This Row],[_Row]]/100000,"")</f>
        <v/>
      </c>
      <c r="DP9" s="41" t="n">
        <f aca="false">Tasks[[#This Row],[_LeafWork]]*Tasks[[#This Row],[_LeafProgress]]</f>
        <v>0</v>
      </c>
      <c r="DQ9" s="103" t="n">
        <f aca="false">IF(AND(Tasks[[#This Row],[_IsLeaf]]=1,Tasks[[#This Row],[_LeafProgress]]&gt;=1),IF(N(Tasks[[#This Row],[Actual Finish]])&gt;0,Tasks[[#This Row],[Actual Finish]],Tasks[[#This Row],[_LeafFcstFinish]]),"")</f>
        <v>46279</v>
      </c>
      <c r="DR9" s="41" t="n">
        <f aca="false">IF(Tasks[[#This Row],[_IsLeaf]]=1,N(Tasks[[#This Row],[Story Points]]),0)</f>
        <v>0</v>
      </c>
      <c r="DS9" s="41" t="str">
        <f aca="false">IF(AND(Tasks[[#This Row],[_IsLeaf]]=1,CurrentSprint&lt;&gt;"",Tasks[[#This Row],[Sprint]]=CurrentSprint),Tasks[[#This Row],[_Row]],"")</f>
        <v/>
      </c>
    </row>
    <row r="10" customFormat="false" ht="15" hidden="false" customHeight="false" outlineLevel="0" collapsed="false">
      <c r="A10" s="28" t="n">
        <f aca="false">IF(Tasks[[#This Row],[Task Name]]="","",COUNTA(Tasks[[#Headers],[Task Name]]:Tasks[[#This Row],[Task Name]])-1)</f>
        <v>5</v>
      </c>
      <c r="B10" s="29" t="n">
        <v>5</v>
      </c>
      <c r="C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D10" s="29" t="n">
        <v>1</v>
      </c>
      <c r="E10" s="30" t="s">
        <v>603</v>
      </c>
      <c r="F10" s="29" t="s">
        <v>595</v>
      </c>
      <c r="G10" s="29"/>
      <c r="H10" s="29"/>
      <c r="I10" s="29"/>
      <c r="J10" s="29"/>
      <c r="K10" s="29"/>
      <c r="L10" s="29"/>
      <c r="M10" s="29"/>
      <c r="N10" s="77"/>
      <c r="O10" s="77"/>
      <c r="P10" s="25" t="n">
        <f aca="false">IF(Tasks[[#This Row],[Task Name]]="","",IF(N(Tasks[[#This Row],[Baseline Start]])&gt;0,Tasks[[#This Row],[Baseline Start]],Tasks[[#This Row],[_CalcStart]]))</f>
        <v>46279</v>
      </c>
      <c r="Q10" s="25" t="n">
        <f aca="false">IF(Tasks[[#This Row],[Task Name]]="","",IF(N(Tasks[[#This Row],[Baseline Finish]])&gt;0,Tasks[[#This Row],[Baseline Finish]],Tasks[[#This Row],[_CalcFinish]]))</f>
        <v>46296</v>
      </c>
      <c r="R10" s="77"/>
      <c r="S10" s="77"/>
      <c r="T10" s="25" t="n">
        <f aca="false">IF(Tasks[[#This Row],[Task Name]]="","",IF(Tasks[[#This Row],[_IsSummary]],MIN(INDEX(Tasks[_LeafFcstStart],Tasks[[#This Row],[_Row]]+1):INDEX(Tasks[_LeafFcstStart],Tasks[[#This Row],[_Row]]+Tasks[[#This Row],[_Descendants]])),Tasks[[#This Row],[_LeafFcstStart]]))</f>
        <v>46280</v>
      </c>
      <c r="U10" s="25" t="n">
        <f aca="false">IF(Tasks[[#This Row],[Task Name]]="","",IF(Tasks[[#This Row],[_IsSummary]],MAX(INDEX(Tasks[_LeafFcstFinish],Tasks[[#This Row],[_Row]]+1):INDEX(Tasks[_LeafFcstFinish],Tasks[[#This Row],[_Row]]+Tasks[[#This Row],[_Descendants]])),Tasks[[#This Row],[_LeafFcstFinish]]))</f>
        <v>46301</v>
      </c>
      <c r="V10"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10"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X10" s="25" t="n">
        <f aca="false">IF(Tasks[[#This Row],[Task Name]]="","",IF(Tasks[[#This Row],[_IsSummary]],MIN(INDEX(Tasks[_LeafLateStart],Tasks[[#This Row],[_Row]]+1):INDEX(Tasks[_LeafLateStart],Tasks[[#This Row],[_Row]]+Tasks[[#This Row],[_Descendants]])),Tasks[[#This Row],[_LeafLateStart]]))</f>
        <v>46286</v>
      </c>
      <c r="Y10" s="25" t="n">
        <f aca="false">IF(Tasks[[#This Row],[Task Name]]="","",IF(Tasks[[#This Row],[_IsSummary]],MAX(INDEX(Tasks[_LeafLateFinish],Tasks[[#This Row],[_Row]]+1):INDEX(Tasks[_LeafLateFinish],Tasks[[#This Row],[_Row]]+Tasks[[#This Row],[_Descendants]])),Tasks[[#This Row],[_LeafLateFinish]]))</f>
        <v>46303</v>
      </c>
      <c r="Z10" s="43" t="n">
        <f aca="false">IF(Tasks[[#This Row],[Task Name]]="","",IF(Tasks[[#This Row],[_IsSummary]],MIN(INDEX(Tasks[_LeafTotalSlack],Tasks[[#This Row],[_Row]]+1):INDEX(Tasks[_LeafTotalSlack],Tasks[[#This Row],[_Row]]+Tasks[[#This Row],[_Descendants]])),Tasks[[#This Row],[_LeafTotalSlack]]))</f>
        <v>2</v>
      </c>
      <c r="AA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 s="28" t="str">
        <f aca="false">IF(Tasks[[#This Row],[Task Name]]="","",IF(IF(Tasks[[#This Row],[_IsSummary]],COUNTIF(INDEX(Tasks[_LeafCritical],Tasks[[#This Row],[_Row]]+1):INDEX(Tasks[_LeafCritical],Tasks[[#This Row],[_Row]]+Tasks[[#This Row],[_Descendants]]),TRUE())&gt;0,Tasks[[#This Row],[_LeafCritical]]),"Yes",""))</f>
        <v/>
      </c>
      <c r="AC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 s="24" t="str">
        <f aca="false">IF(Tasks[[#This Row],[Task Name]]="","",TRIM(IF(Tasks[[#This Row],[_Pred1Problem]]&lt;&gt;"","Pred 1: "&amp;Tasks[[#This Row],[_Pred1Problem]]&amp;". ","")&amp;IF(Tasks[[#This Row],[_Pred2Problem]]&lt;&gt;"","Pred 2: "&amp;Tasks[[#This Row],[_Pred2Problem]]&amp;".","")))</f>
        <v/>
      </c>
      <c r="AE10" s="91"/>
      <c r="AF10"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0" s="28" t="str">
        <f aca="false">IF(Tasks[[#This Row],[Task Name]]="","",IF(Tasks[[#This Row],[Progress]]&gt;=1,"Complete",IF(OR(N(Tasks[[#This Row],[Actual Start]])&gt;0,Tasks[[#This Row],[Progress]]&gt;0),IF(Tasks[[#This Row],[Finish Var]]&gt;0,"Behind","In Progress"),IF(Tasks[[#This Row],[Planned Start]]&lt;StatusDate,"Late Start","Not Started"))))</f>
        <v>Complete</v>
      </c>
      <c r="AH10" s="30"/>
      <c r="AI10" s="91"/>
      <c r="AJ1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 s="98" t="n">
        <f aca="false">IF(Tasks[[#This Row],[Task Name]]="","",IF(Tasks[[#This Row],[_IsSummary]],SUM(INDEX(Tasks[_LeafWork],Tasks[[#This Row],[_Row]]+1):INDEX(Tasks[_LeafWork],Tasks[[#This Row],[_Row]]+Tasks[[#This Row],[_Descendants]])),Tasks[[#This Row],[_LeafWork]]))</f>
        <v>152</v>
      </c>
      <c r="AL10" s="99" t="n">
        <f aca="false">IF(Tasks[[#This Row],[Task Name]]="","",IF(Tasks[[#This Row],[_IsSummary]],SUM(INDEX(Tasks[_LeafCost],Tasks[[#This Row],[_Row]]+1):INDEX(Tasks[_LeafCost],Tasks[[#This Row],[_Row]]+Tasks[[#This Row],[_Descendants]])),Tasks[[#This Row],[_LeafCost]]))</f>
        <v>12480</v>
      </c>
      <c r="AM10" s="100"/>
      <c r="AN10" s="29"/>
      <c r="AO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 s="85"/>
      <c r="AQ10" s="24" t="str">
        <f aca="false">IF(Tasks[[#This Row],[Task Name]]="","",Tasks[[#This Row],[_Pred1IDText]]&amp;IF(AND(Tasks[[#This Row],[_Pred1IDText]]&lt;&gt;"",Tasks[[#This Row],[_Pred2IDText]]&lt;&gt;""),",","")&amp;Tasks[[#This Row],[_Pred2IDText]])</f>
        <v/>
      </c>
      <c r="AR10" s="30"/>
      <c r="AS10" s="25" t="n">
        <f aca="false">IF(Tasks[[#This Row],[Task Name]]="","",Tasks[[#This Row],[Forecast Start]])</f>
        <v>46280</v>
      </c>
      <c r="AT10" s="25" t="n">
        <f aca="false">IF(Tasks[[#This Row],[Task Name]]="","",Tasks[[#This Row],[Forecast Finish]])</f>
        <v>46301</v>
      </c>
      <c r="AU10" s="28" t="n">
        <f aca="false">IF(Tasks[[#This Row],[Task Name]]="","",IF(Tasks[[#This Row],[_IsSummary]],NETWORKDAYS.INTL(Tasks[[#This Row],[Forecast Start]],Tasks[[#This Row],[Forecast Finish]],WorkWeek,Holidays),N(Tasks[[#This Row],[Duration]])))</f>
        <v>16</v>
      </c>
      <c r="AV10" s="98" t="n">
        <f aca="false">IF(Tasks[[#This Row],[Task Name]]="","",Tasks[[#This Row],[Work]])</f>
        <v>152</v>
      </c>
      <c r="AW10" s="99" t="n">
        <f aca="false">IF(Tasks[[#This Row],[Task Name]]="","",Tasks[[#This Row],[Cost]])</f>
        <v>12480</v>
      </c>
      <c r="AX10" s="77"/>
      <c r="AY10" s="77"/>
      <c r="AZ10" s="29"/>
      <c r="BA10" s="101"/>
      <c r="BB10" s="100"/>
      <c r="BC10" s="28" t="str">
        <f aca="false">IF(OR(Tasks[[#This Row],[Task Name]]="",Tasks[[#This Row],[Baseline Duration]]=""),"",Tasks[[#This Row],[BL Source Duration]]-N(Tasks[[#This Row],[Baseline Duration]]))</f>
        <v/>
      </c>
      <c r="BD10" s="98" t="str">
        <f aca="false">IF(OR(Tasks[[#This Row],[Task Name]]="",Tasks[[#This Row],[Baseline Work]]=""),"",Tasks[[#This Row],[Work]]-N(Tasks[[#This Row],[Baseline Work]]))</f>
        <v/>
      </c>
      <c r="BE10" s="99" t="str">
        <f aca="false">IF(OR(Tasks[[#This Row],[Task Name]]="",Tasks[[#This Row],[Baseline Cost]]=""),"",Tasks[[#This Row],[Cost]]-N(Tasks[[#This Row],[Baseline Cost]]))</f>
        <v/>
      </c>
      <c r="BF10" s="99" t="n">
        <f aca="false">IF(Tasks[[#This Row],[Task Name]]="","",IF(Tasks[[#This Row],[_IsSummary]],SUM(INDEX(Tasks[_LeafBudget],Tasks[[#This Row],[_Row]]+1):INDEX(Tasks[_LeafBudget],Tasks[[#This Row],[_Row]]+Tasks[[#This Row],[_Descendants]])),Tasks[[#This Row],[_LeafBudget]]))</f>
        <v>12480</v>
      </c>
      <c r="BG10" s="99" t="n">
        <f aca="false">IF(Tasks[[#This Row],[Task Name]]="","",IF(Tasks[[#This Row],[_IsSummary]],SUM(INDEX(Tasks[_LeafPV],Tasks[[#This Row],[_Row]]+1):INDEX(Tasks[_LeafPV],Tasks[[#This Row],[_Row]]+Tasks[[#This Row],[_Descendants]])),Tasks[[#This Row],[_LeafPV]]))</f>
        <v>12480</v>
      </c>
      <c r="BH10" s="99" t="n">
        <f aca="false">IF(Tasks[[#This Row],[Task Name]]="","",IF(Tasks[[#This Row],[_IsSummary]],SUM(INDEX(Tasks[_LeafEV],Tasks[[#This Row],[_Row]]+1):INDEX(Tasks[_LeafEV],Tasks[[#This Row],[_Row]]+Tasks[[#This Row],[_Descendants]])),Tasks[[#This Row],[_LeafEV]]))</f>
        <v>12480</v>
      </c>
      <c r="BI10" s="99" t="n">
        <f aca="false">IF(Tasks[[#This Row],[Task Name]]="","",IF(Tasks[[#This Row],[_IsSummary]],SUM(INDEX(Tasks[_LeafAC],Tasks[[#This Row],[_Row]]+1):INDEX(Tasks[_LeafAC],Tasks[[#This Row],[_Row]]+Tasks[[#This Row],[_Descendants]])),Tasks[[#This Row],[_LeafAC]]))</f>
        <v>13040</v>
      </c>
      <c r="BJ10" s="41" t="n">
        <f aca="false">IF(Tasks[[#This Row],[Task Name]]="","",MAX(1,N(Tasks[[#This Row],[Level]])))</f>
        <v>1</v>
      </c>
      <c r="BK10" s="41" t="n">
        <f aca="false">ROW()-ROW(Tasks[[#Headers],[ID]])</f>
        <v>5</v>
      </c>
      <c r="BL10" s="41" t="n">
        <f aca="false">IF(OR(Tasks[[#This Row],[Task Name]]="",Tasks[[#This Row],[_Level]]&lt;=1),0,IFERROR(LOOKUP(2,1/(Tasks[[#Headers],[_Level]]:Tasks[[#This Row],[_Level]]=Tasks[[#This Row],[_Level]]-1),ROW(Tasks[[#Headers],[_Level]]:Tasks[[#This Row],[_Level]])),0))</f>
        <v>0</v>
      </c>
      <c r="BM10" s="41" t="n">
        <f aca="false">IFERROR(N(INDEX(Tasks[_Level],Tasks[[#This Row],[_Row]]+1)),0)</f>
        <v>2</v>
      </c>
      <c r="BN10" s="102" t="b">
        <f aca="false">AND(Tasks[[#This Row],[Task Name]]&lt;&gt;"",Tasks[[#This Row],[_NextLevel]]&gt;Tasks[[#This Row],[_Level]])</f>
        <v>1</v>
      </c>
      <c r="BO10" s="41" t="n">
        <f aca="false">IF(Tasks[[#This Row],[_IsSummary]],COUNTIF(Tasks[WBS],Tasks[[#This Row],[WBS]]&amp;".*"),0)</f>
        <v>4</v>
      </c>
      <c r="BP10" s="41" t="n">
        <f aca="false">IF(AND(Tasks[[#This Row],[Task Name]]&lt;&gt;"",NOT(Tasks[[#This Row],[_IsSummary]])),1,0)</f>
        <v>0</v>
      </c>
      <c r="BQ10" s="41" t="n">
        <f aca="false">IF(N(Tasks[[#This Row],[Pred1 UID]])=0,0,IFERROR(MATCH(Tasks[[#This Row],[Pred1 UID]],Tasks[UID],0),-1))</f>
        <v>0</v>
      </c>
      <c r="BR10" s="41" t="n">
        <f aca="false">IF(N(Tasks[[#This Row],[Pred2 UID]])=0,0,IFERROR(MATCH(Tasks[[#This Row],[Pred2 UID]],Tasks[UID],0),-1))</f>
        <v>0</v>
      </c>
      <c r="BS1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 s="103" t="str">
        <f aca="false">IF(NOT(Tasks[[#This Row],[_IsLeaf]]=1),"",IF(N(Tasks[[#This Row],[Duration]])&lt;=0,Tasks[[#This Row],[_LeafCalcStart]],WORKDAY.INTL(Tasks[[#This Row],[_LeafCalcStart]],Tasks[[#This Row],[Duration]]-1,WorkWeek,Holidays)))</f>
        <v/>
      </c>
      <c r="BU1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 s="41" t="n">
        <f aca="false">IF(NOT(Tasks[[#This Row],[_IsLeaf]]=1),0,IF(N(Tasks[[#This Row],[Actual Finish]])&gt;0,1,MIN(1,N(Tasks[[#This Row],[% Complete]]))))</f>
        <v>0</v>
      </c>
      <c r="BX10" s="41" t="n">
        <f aca="false">IF(OR(NOT(Tasks[[#This Row],[_IsLeaf]]=1),Tasks[[#This Row],[Resource]]=""),0,N(Tasks[[#This Row],[Duration]])*HoursPerDay*IF(Tasks[[#This Row],[Units]]="",DefaultUnits,Tasks[[#This Row],[Units]]))</f>
        <v>0</v>
      </c>
      <c r="BY10" s="41" t="n">
        <f aca="false">IF(Tasks[[#This Row],[_LeafWork]]=0,0,Tasks[[#This Row],[_LeafWork]]*IFERROR(INDEX(res_Rate,MATCH(Tasks[[#This Row],[Resource]],res_Name,0)),0))</f>
        <v>0</v>
      </c>
      <c r="BZ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 s="41" t="n">
        <f aca="false">IF(NOT(Tasks[[#This Row],[_IsLeaf]]=1),0,MAX(_xlfn.MAXIFS(Tasks[_Row],Tasks[Pred1 UID],Tasks[[#This Row],[UID]]),_xlfn.MAXIFS(Tasks[_Row],Tasks[Pred2 UID],Tasks[[#This Row],[UID]])))</f>
        <v>0</v>
      </c>
      <c r="CE1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 s="103" t="str">
        <f aca="false">IF(NOT(Tasks[[#This Row],[_IsLeaf]]=1),"",MIN(ProjectFinish,IF(N(Tasks[[#This Row],[Deadline]])&gt;0,Tasks[[#This Row],[Deadline]],2958465),Tasks[[#This Row],[_SuccessorFinishLimit]]))</f>
        <v/>
      </c>
      <c r="CG10" s="103" t="str">
        <f aca="false">IF(NOT(Tasks[[#This Row],[_IsLeaf]]=1),"",IF(N(Tasks[[#This Row],[Duration]])&lt;=0,Tasks[[#This Row],[_LeafLateFinish]],WORKDAY.INTL(Tasks[[#This Row],[_LeafLateFinish]],-(Tasks[[#This Row],[Duration]]-1),WorkWeek,Holidays)))</f>
        <v/>
      </c>
      <c r="CH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 s="102" t="b">
        <f aca="false">AND(Tasks[[#This Row],[_IsLeaf]]=1,Tasks[[#This Row],[_LeafProgress]]&lt;1,N(Tasks[[#This Row],[_LeafTotalSlack]])&lt;=CriticalSlackDays)</f>
        <v>0</v>
      </c>
      <c r="CJ10" s="103" t="n">
        <f aca="false">IF(Tasks[[#This Row],[Task Name]]="","",IF(Tasks[[#This Row],[_IsSummary]],MIN(INDEX(Tasks[_LeafCalcStart],Tasks[[#This Row],[_Row]]+1):INDEX(Tasks[_LeafCalcStart],Tasks[[#This Row],[_Row]]+Tasks[[#This Row],[_Descendants]])),Tasks[[#This Row],[_LeafCalcStart]]))</f>
        <v>46279</v>
      </c>
      <c r="CK10" s="103" t="n">
        <f aca="false">IF(Tasks[[#This Row],[Task Name]]="","",IF(Tasks[[#This Row],[_IsSummary]],MAX(INDEX(Tasks[_LeafCalcFinish],Tasks[[#This Row],[_Row]]+1):INDEX(Tasks[_LeafCalcFinish],Tasks[[#This Row],[_Row]]+Tasks[[#This Row],[_Descendants]])),Tasks[[#This Row],[_LeafCalcFinish]]))</f>
        <v>46296</v>
      </c>
      <c r="CL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 s="41" t="n">
        <f aca="false">IF(AND(Tasks[[#This Row],[_IsLeaf]]=1,Tasks[[#This Row],[_LeafWork]]&gt;0),NETWORKDAYS.INTL(ProjectStart,Tasks[[#This Row],[_LeafFcstStart]],WorkWeek,Holidays),0)</f>
        <v>0</v>
      </c>
      <c r="CS10" s="41" t="n">
        <f aca="false">IF(AND(Tasks[[#This Row],[_IsLeaf]]=1,Tasks[[#This Row],[_LeafWork]]&gt;0),MAX(Tasks[[#This Row],[_StartWorkday]],NETWORKDAYS.INTL(ProjectStart,Tasks[[#This Row],[_LeafFcstFinish]],WorkWeek,Holidays)),0)</f>
        <v>0</v>
      </c>
      <c r="CT10" s="41" t="n">
        <f aca="false">IF(AND(Tasks[[#This Row],[_IsLeaf]]=1,Tasks[[#This Row],[_LeafWork]]&gt;0),Tasks[[#This Row],[_LeafWork]]/(Tasks[[#This Row],[_FinishWorkday]]-Tasks[[#This Row],[_StartWorkday]]+1),0)</f>
        <v>0</v>
      </c>
      <c r="CU10" s="41" t="n">
        <f aca="false">Tasks[[#This Row],[_WorkPerWorkday]]*(Tasks[[#This Row],[_StartWorkday]]-1)</f>
        <v>-0</v>
      </c>
      <c r="CV10" s="41" t="n">
        <f aca="false">IF(Tasks[[#This Row],[_IsLeaf]]=1,MAX(N(Tasks[[#This Row],[Duration]]),0.1),0)</f>
        <v>0</v>
      </c>
      <c r="CW10" s="41" t="n">
        <f aca="false">Tasks[[#This Row],[_WeightDur]]*Tasks[[#This Row],[_LeafProgress]]</f>
        <v>0</v>
      </c>
      <c r="CX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 s="41" t="str">
        <f aca="false">IF(Tasks[[#This Row],[Task Name]]="","",Tasks[[#This Row],[_Pred1UIDText]]&amp;IF(AND(Tasks[[#This Row],[_Pred1UIDText]]&lt;&gt;"",Tasks[[#This Row],[_Pred2UIDText]]&lt;&gt;""),",","")&amp;Tasks[[#This Row],[_Pred2UIDText]])</f>
        <v/>
      </c>
      <c r="DC10" s="41" t="str">
        <f aca="false">IF(AND(Tasks[[#This Row],[_IsLeaf]]=1,N(Tasks[[#This Row],[Duration]])=0,Tasks[[#This Row],[_LeafProgress]]&lt;1),Tasks[[#This Row],[_LeafFcstFinish]]+Tasks[[#This Row],[_Row]]/100000,"")</f>
        <v/>
      </c>
      <c r="DD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 s="41" t="n">
        <f aca="false">IF(NOT(Tasks[[#This Row],[_IsLeaf]]=1),0,IF(Tasks[[#This Row],[Baseline Cost]]="",Tasks[[#This Row],[_LeafCost]],N(Tasks[[#This Row],[Baseline Cost]])))</f>
        <v>0</v>
      </c>
      <c r="DF10" s="41" t="n">
        <f aca="false">Tasks[[#This Row],[_LeafBudget]]*Tasks[[#This Row],[_PlannedPct]]</f>
        <v>0</v>
      </c>
      <c r="DG10" s="41" t="n">
        <f aca="false">Tasks[[#This Row],[_LeafBudget]]*Tasks[[#This Row],[_LeafProgress]]</f>
        <v>0</v>
      </c>
      <c r="DH10" s="41" t="n">
        <f aca="false">IF(NOT(Tasks[[#This Row],[_IsLeaf]]=1),0,IF(Tasks[[#This Row],[Actual Cost]]="",Tasks[[#This Row],[_LeafCost]]*Tasks[[#This Row],[_LeafProgress]],N(Tasks[[#This Row],[Actual Cost]])))</f>
        <v>0</v>
      </c>
      <c r="DI10" s="41" t="str">
        <f aca="false">IF(Tasks[[#This Row],[Task Name]]="","",LEFT(Tasks[[#This Row],[WBS]],FIND(".",Tasks[[#This Row],[WBS]]&amp;".")-1))</f>
        <v>2</v>
      </c>
      <c r="DJ10" s="41" t="n">
        <f aca="false">IF(AND(Tasks[[#This Row],[Task Name]]&lt;&gt;"",Tasks[[#This Row],[_Level]]=1),Tasks[[#This Row],[_Row]],"")</f>
        <v>5</v>
      </c>
      <c r="DK10" s="41" t="str">
        <f aca="false">IF(AND(Tasks[[#This Row],[_IsLeaf]]=1,N(Tasks[[#This Row],[Duration]])=0),Tasks[[#This Row],[Planned Finish]]+Tasks[[#This Row],[_Row]]/100000,"")</f>
        <v/>
      </c>
      <c r="DL10" s="41" t="str">
        <f aca="false">IF(AND(Tasks[[#This Row],[_IsLeaf]]=1,Tasks[[#This Row],[_LeafProgress]]&lt;1,OR(N(Tasks[[#This Row],[Finish Var]])&gt;0,Tasks[[#This Row],[Status]]="Late Start")),MAX(0,Tasks[[#This Row],[Finish Var]])+1-Tasks[[#This Row],[_Row]]/1000000,"")</f>
        <v/>
      </c>
      <c r="DM10" s="41" t="str">
        <f aca="false">IF(AND(Tasks[[#This Row],[_IsLeaf]]=1,N(Tasks[[#This Row],[Actual Start]])=0,Tasks[[#This Row],[_LeafFcstStart]]&gt;=StatusDate,Tasks[[#This Row],[_LeafFcstStart]]&lt;=LookaheadEnd),Tasks[[#This Row],[_LeafFcstStart]]+Tasks[[#This Row],[_Row]]/100000,"")</f>
        <v/>
      </c>
      <c r="DN10" s="41" t="str">
        <f aca="false">IF(AND(Tasks[[#This Row],[_IsLeaf]]=1,Tasks[[#This Row],[_LeafProgress]]&lt;1,Tasks[[#This Row],[_LeafFcstFinish]]&gt;=StatusDate,Tasks[[#This Row],[_LeafFcstFinish]]&lt;=LookaheadEnd),Tasks[[#This Row],[_LeafFcstFinish]]+Tasks[[#This Row],[_Row]]/100000,"")</f>
        <v/>
      </c>
      <c r="DO10" s="41" t="str">
        <f aca="false">IF(Tasks[[#This Row],[_LeafCritical]],Tasks[[#This Row],[_LeafFcstStart]]+Tasks[[#This Row],[_Row]]/100000,"")</f>
        <v/>
      </c>
      <c r="DP10" s="41" t="n">
        <f aca="false">Tasks[[#This Row],[_LeafWork]]*Tasks[[#This Row],[_LeafProgress]]</f>
        <v>0</v>
      </c>
      <c r="DQ10" s="103" t="str">
        <f aca="false">IF(AND(Tasks[[#This Row],[_IsLeaf]]=1,Tasks[[#This Row],[_LeafProgress]]&gt;=1),IF(N(Tasks[[#This Row],[Actual Finish]])&gt;0,Tasks[[#This Row],[Actual Finish]],Tasks[[#This Row],[_LeafFcstFinish]]),"")</f>
        <v/>
      </c>
      <c r="DR10" s="41" t="n">
        <f aca="false">IF(Tasks[[#This Row],[_IsLeaf]]=1,N(Tasks[[#This Row],[Story Points]]),0)</f>
        <v>0</v>
      </c>
      <c r="DS10" s="41" t="str">
        <f aca="false">IF(AND(Tasks[[#This Row],[_IsLeaf]]=1,CurrentSprint&lt;&gt;"",Tasks[[#This Row],[Sprint]]=CurrentSprint),Tasks[[#This Row],[_Row]],"")</f>
        <v/>
      </c>
    </row>
    <row r="11" customFormat="false" ht="15" hidden="false" customHeight="false" outlineLevel="0" collapsed="false">
      <c r="A11" s="28" t="n">
        <f aca="false">IF(Tasks[[#This Row],[Task Name]]="","",COUNTA(Tasks[[#Headers],[Task Name]]:Tasks[[#This Row],[Task Name]])-1)</f>
        <v>6</v>
      </c>
      <c r="B11" s="29" t="n">
        <v>6</v>
      </c>
      <c r="C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D11" s="29" t="n">
        <v>2</v>
      </c>
      <c r="E11" s="30" t="s">
        <v>604</v>
      </c>
      <c r="F11" s="29" t="s">
        <v>595</v>
      </c>
      <c r="G11" s="29" t="n">
        <v>8</v>
      </c>
      <c r="H11" s="29" t="n">
        <v>4</v>
      </c>
      <c r="I11" s="29" t="s">
        <v>600</v>
      </c>
      <c r="J11" s="29"/>
      <c r="K11" s="29"/>
      <c r="L11" s="29"/>
      <c r="M11" s="29"/>
      <c r="N11" s="77"/>
      <c r="O11" s="77"/>
      <c r="P11" s="25" t="n">
        <f aca="false">IF(Tasks[[#This Row],[Task Name]]="","",IF(N(Tasks[[#This Row],[Baseline Start]])&gt;0,Tasks[[#This Row],[Baseline Start]],Tasks[[#This Row],[_CalcStart]]))</f>
        <v>46279</v>
      </c>
      <c r="Q11" s="25" t="n">
        <f aca="false">IF(Tasks[[#This Row],[Task Name]]="","",IF(N(Tasks[[#This Row],[Baseline Finish]])&gt;0,Tasks[[#This Row],[Baseline Finish]],Tasks[[#This Row],[_CalcFinish]]))</f>
        <v>46288</v>
      </c>
      <c r="R11" s="77" t="n">
        <v>46280</v>
      </c>
      <c r="S11" s="77" t="n">
        <v>46290</v>
      </c>
      <c r="T11" s="25" t="n">
        <f aca="false">IF(Tasks[[#This Row],[Task Name]]="","",IF(Tasks[[#This Row],[_IsSummary]],MIN(INDEX(Tasks[_LeafFcstStart],Tasks[[#This Row],[_Row]]+1):INDEX(Tasks[_LeafFcstStart],Tasks[[#This Row],[_Row]]+Tasks[[#This Row],[_Descendants]])),Tasks[[#This Row],[_LeafFcstStart]]))</f>
        <v>46280</v>
      </c>
      <c r="U11" s="25" t="n">
        <f aca="false">IF(Tasks[[#This Row],[Task Name]]="","",IF(Tasks[[#This Row],[_IsSummary]],MAX(INDEX(Tasks[_LeafFcstFinish],Tasks[[#This Row],[_Row]]+1):INDEX(Tasks[_LeafFcstFinish],Tasks[[#This Row],[_Row]]+Tasks[[#This Row],[_Descendants]])),Tasks[[#This Row],[_LeafFcstFinish]]))</f>
        <v>46290</v>
      </c>
      <c r="V11"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11" s="43"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X11" s="25" t="n">
        <f aca="false">IF(Tasks[[#This Row],[Task Name]]="","",IF(Tasks[[#This Row],[_IsSummary]],MIN(INDEX(Tasks[_LeafLateStart],Tasks[[#This Row],[_Row]]+1):INDEX(Tasks[_LeafLateStart],Tasks[[#This Row],[_Row]]+Tasks[[#This Row],[_Descendants]])),Tasks[[#This Row],[_LeafLateStart]]))</f>
        <v>46286</v>
      </c>
      <c r="Y11" s="25" t="n">
        <f aca="false">IF(Tasks[[#This Row],[Task Name]]="","",IF(Tasks[[#This Row],[_IsSummary]],MAX(INDEX(Tasks[_LeafLateFinish],Tasks[[#This Row],[_Row]]+1):INDEX(Tasks[_LeafLateFinish],Tasks[[#This Row],[_Row]]+Tasks[[#This Row],[_Descendants]])),Tasks[[#This Row],[_LeafLateFinish]]))</f>
        <v>46295</v>
      </c>
      <c r="Z11" s="43" t="n">
        <f aca="false">IF(Tasks[[#This Row],[Task Name]]="","",IF(Tasks[[#This Row],[_IsSummary]],MIN(INDEX(Tasks[_LeafTotalSlack],Tasks[[#This Row],[_Row]]+1):INDEX(Tasks[_LeafTotalSlack],Tasks[[#This Row],[_Row]]+Tasks[[#This Row],[_Descendants]])),Tasks[[#This Row],[_LeafTotalSlack]]))</f>
        <v>3</v>
      </c>
      <c r="AA1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1" s="28" t="str">
        <f aca="false">IF(Tasks[[#This Row],[Task Name]]="","",IF(IF(Tasks[[#This Row],[_IsSummary]],COUNTIF(INDEX(Tasks[_LeafCritical],Tasks[[#This Row],[_Row]]+1):INDEX(Tasks[_LeafCritical],Tasks[[#This Row],[_Row]]+Tasks[[#This Row],[_Descendants]]),TRUE())&gt;0,Tasks[[#This Row],[_LeafCritical]]),"Yes",""))</f>
        <v/>
      </c>
      <c r="AC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 s="24" t="str">
        <f aca="false">IF(Tasks[[#This Row],[Task Name]]="","",TRIM(IF(Tasks[[#This Row],[_Pred1Problem]]&lt;&gt;"","Pred 1: "&amp;Tasks[[#This Row],[_Pred1Problem]]&amp;". ","")&amp;IF(Tasks[[#This Row],[_Pred2Problem]]&lt;&gt;"","Pred 2: "&amp;Tasks[[#This Row],[_Pred2Problem]]&amp;".","")))</f>
        <v/>
      </c>
      <c r="AE11" s="91" t="n">
        <v>1</v>
      </c>
      <c r="AF11"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1" s="28" t="str">
        <f aca="false">IF(Tasks[[#This Row],[Task Name]]="","",IF(Tasks[[#This Row],[Progress]]&gt;=1,"Complete",IF(OR(N(Tasks[[#This Row],[Actual Start]])&gt;0,Tasks[[#This Row],[Progress]]&gt;0),IF(Tasks[[#This Row],[Finish Var]]&gt;0,"Behind","In Progress"),IF(Tasks[[#This Row],[Planned Start]]&lt;StatusDate,"Late Start","Not Started"))))</f>
        <v>Complete</v>
      </c>
      <c r="AH11" s="30" t="s">
        <v>300</v>
      </c>
      <c r="AI11" s="91"/>
      <c r="AJ1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 s="98" t="n">
        <f aca="false">IF(Tasks[[#This Row],[Task Name]]="","",IF(Tasks[[#This Row],[_IsSummary]],SUM(INDEX(Tasks[_LeafWork],Tasks[[#This Row],[_Row]]+1):INDEX(Tasks[_LeafWork],Tasks[[#This Row],[_Row]]+Tasks[[#This Row],[_Descendants]])),Tasks[[#This Row],[_LeafWork]]))</f>
        <v>64</v>
      </c>
      <c r="AL11" s="99" t="n">
        <f aca="false">IF(Tasks[[#This Row],[Task Name]]="","",IF(Tasks[[#This Row],[_IsSummary]],SUM(INDEX(Tasks[_LeafCost],Tasks[[#This Row],[_Row]]+1):INDEX(Tasks[_LeafCost],Tasks[[#This Row],[_Row]]+Tasks[[#This Row],[_Descendants]])),Tasks[[#This Row],[_LeafCost]]))</f>
        <v>4480</v>
      </c>
      <c r="AM11" s="100" t="n">
        <v>5040</v>
      </c>
      <c r="AN11" s="29"/>
      <c r="AO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P11" s="85" t="n">
        <v>8</v>
      </c>
      <c r="AQ11" s="24" t="str">
        <f aca="false">IF(Tasks[[#This Row],[Task Name]]="","",Tasks[[#This Row],[_Pred1IDText]]&amp;IF(AND(Tasks[[#This Row],[_Pred1IDText]]&lt;&gt;"",Tasks[[#This Row],[_Pred2IDText]]&lt;&gt;""),",","")&amp;Tasks[[#This Row],[_Pred2IDText]])</f>
        <v>4</v>
      </c>
      <c r="AR11" s="30"/>
      <c r="AS11" s="25" t="n">
        <f aca="false">IF(Tasks[[#This Row],[Task Name]]="","",Tasks[[#This Row],[Forecast Start]])</f>
        <v>46280</v>
      </c>
      <c r="AT11" s="25" t="n">
        <f aca="false">IF(Tasks[[#This Row],[Task Name]]="","",Tasks[[#This Row],[Forecast Finish]])</f>
        <v>46290</v>
      </c>
      <c r="AU11" s="28" t="n">
        <f aca="false">IF(Tasks[[#This Row],[Task Name]]="","",IF(Tasks[[#This Row],[_IsSummary]],NETWORKDAYS.INTL(Tasks[[#This Row],[Forecast Start]],Tasks[[#This Row],[Forecast Finish]],WorkWeek,Holidays),N(Tasks[[#This Row],[Duration]])))</f>
        <v>8</v>
      </c>
      <c r="AV11" s="98" t="n">
        <f aca="false">IF(Tasks[[#This Row],[Task Name]]="","",Tasks[[#This Row],[Work]])</f>
        <v>64</v>
      </c>
      <c r="AW11" s="99" t="n">
        <f aca="false">IF(Tasks[[#This Row],[Task Name]]="","",Tasks[[#This Row],[Cost]])</f>
        <v>4480</v>
      </c>
      <c r="AX11" s="77"/>
      <c r="AY11" s="77"/>
      <c r="AZ11" s="29"/>
      <c r="BA11" s="101"/>
      <c r="BB11" s="100"/>
      <c r="BC11" s="28" t="str">
        <f aca="false">IF(OR(Tasks[[#This Row],[Task Name]]="",Tasks[[#This Row],[Baseline Duration]]=""),"",Tasks[[#This Row],[BL Source Duration]]-N(Tasks[[#This Row],[Baseline Duration]]))</f>
        <v/>
      </c>
      <c r="BD11" s="98" t="str">
        <f aca="false">IF(OR(Tasks[[#This Row],[Task Name]]="",Tasks[[#This Row],[Baseline Work]]=""),"",Tasks[[#This Row],[Work]]-N(Tasks[[#This Row],[Baseline Work]]))</f>
        <v/>
      </c>
      <c r="BE11" s="99" t="str">
        <f aca="false">IF(OR(Tasks[[#This Row],[Task Name]]="",Tasks[[#This Row],[Baseline Cost]]=""),"",Tasks[[#This Row],[Cost]]-N(Tasks[[#This Row],[Baseline Cost]]))</f>
        <v/>
      </c>
      <c r="BF11" s="99" t="n">
        <f aca="false">IF(Tasks[[#This Row],[Task Name]]="","",IF(Tasks[[#This Row],[_IsSummary]],SUM(INDEX(Tasks[_LeafBudget],Tasks[[#This Row],[_Row]]+1):INDEX(Tasks[_LeafBudget],Tasks[[#This Row],[_Row]]+Tasks[[#This Row],[_Descendants]])),Tasks[[#This Row],[_LeafBudget]]))</f>
        <v>4480</v>
      </c>
      <c r="BG11" s="99" t="n">
        <f aca="false">IF(Tasks[[#This Row],[Task Name]]="","",IF(Tasks[[#This Row],[_IsSummary]],SUM(INDEX(Tasks[_LeafPV],Tasks[[#This Row],[_Row]]+1):INDEX(Tasks[_LeafPV],Tasks[[#This Row],[_Row]]+Tasks[[#This Row],[_Descendants]])),Tasks[[#This Row],[_LeafPV]]))</f>
        <v>4480</v>
      </c>
      <c r="BH11" s="99" t="n">
        <f aca="false">IF(Tasks[[#This Row],[Task Name]]="","",IF(Tasks[[#This Row],[_IsSummary]],SUM(INDEX(Tasks[_LeafEV],Tasks[[#This Row],[_Row]]+1):INDEX(Tasks[_LeafEV],Tasks[[#This Row],[_Row]]+Tasks[[#This Row],[_Descendants]])),Tasks[[#This Row],[_LeafEV]]))</f>
        <v>4480</v>
      </c>
      <c r="BI11" s="99" t="n">
        <f aca="false">IF(Tasks[[#This Row],[Task Name]]="","",IF(Tasks[[#This Row],[_IsSummary]],SUM(INDEX(Tasks[_LeafAC],Tasks[[#This Row],[_Row]]+1):INDEX(Tasks[_LeafAC],Tasks[[#This Row],[_Row]]+Tasks[[#This Row],[_Descendants]])),Tasks[[#This Row],[_LeafAC]]))</f>
        <v>5040</v>
      </c>
      <c r="BJ11" s="41" t="n">
        <f aca="false">IF(Tasks[[#This Row],[Task Name]]="","",MAX(1,N(Tasks[[#This Row],[Level]])))</f>
        <v>2</v>
      </c>
      <c r="BK11" s="41" t="n">
        <f aca="false">ROW()-ROW(Tasks[[#Headers],[ID]])</f>
        <v>6</v>
      </c>
      <c r="BL11" s="41" t="n">
        <f aca="false">IF(OR(Tasks[[#This Row],[Task Name]]="",Tasks[[#This Row],[_Level]]&lt;=1),0,IFERROR(LOOKUP(2,1/(Tasks[[#Headers],[_Level]]:Tasks[[#This Row],[_Level]]=Tasks[[#This Row],[_Level]]-1),ROW(Tasks[[#Headers],[_Level]]:Tasks[[#This Row],[_Level]])),0))</f>
        <v>10</v>
      </c>
      <c r="BM11" s="41" t="n">
        <f aca="false">IFERROR(N(INDEX(Tasks[_Level],Tasks[[#This Row],[_Row]]+1)),0)</f>
        <v>2</v>
      </c>
      <c r="BN11" s="102" t="b">
        <f aca="false">AND(Tasks[[#This Row],[Task Name]]&lt;&gt;"",Tasks[[#This Row],[_NextLevel]]&gt;Tasks[[#This Row],[_Level]])</f>
        <v>0</v>
      </c>
      <c r="BO11" s="41" t="n">
        <f aca="false">IF(Tasks[[#This Row],[_IsSummary]],COUNTIF(Tasks[WBS],Tasks[[#This Row],[WBS]]&amp;".*"),0)</f>
        <v>0</v>
      </c>
      <c r="BP11" s="41" t="n">
        <f aca="false">IF(AND(Tasks[[#This Row],[Task Name]]&lt;&gt;"",NOT(Tasks[[#This Row],[_IsSummary]])),1,0)</f>
        <v>1</v>
      </c>
      <c r="BQ11" s="41" t="n">
        <f aca="false">IF(N(Tasks[[#This Row],[Pred1 UID]])=0,0,IFERROR(MATCH(Tasks[[#This Row],[Pred1 UID]],Tasks[UID],0),-1))</f>
        <v>4</v>
      </c>
      <c r="BR11" s="41" t="n">
        <f aca="false">IF(N(Tasks[[#This Row],[Pred2 UID]])=0,0,IFERROR(MATCH(Tasks[[#This Row],[Pred2 UID]],Tasks[UID],0),-1))</f>
        <v>0</v>
      </c>
      <c r="BS11"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46279</v>
      </c>
      <c r="BT11" s="103" t="n">
        <f aca="false">IF(NOT(Tasks[[#This Row],[_IsLeaf]]=1),"",IF(N(Tasks[[#This Row],[Duration]])&lt;=0,Tasks[[#This Row],[_LeafCalcStart]],WORKDAY.INTL(Tasks[[#This Row],[_LeafCalcStart]],Tasks[[#This Row],[Duration]]-1,WorkWeek,Holidays)))</f>
        <v>46288</v>
      </c>
      <c r="BU11"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46280</v>
      </c>
      <c r="BV11"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BW11" s="41" t="n">
        <f aca="false">IF(NOT(Tasks[[#This Row],[_IsLeaf]]=1),0,IF(N(Tasks[[#This Row],[Actual Finish]])&gt;0,1,MIN(1,N(Tasks[[#This Row],[% Complete]]))))</f>
        <v>1</v>
      </c>
      <c r="BX11" s="41" t="n">
        <f aca="false">IF(OR(NOT(Tasks[[#This Row],[_IsLeaf]]=1),Tasks[[#This Row],[Resource]]=""),0,N(Tasks[[#This Row],[Duration]])*HoursPerDay*IF(Tasks[[#This Row],[Units]]="",DefaultUnits,Tasks[[#This Row],[Units]]))</f>
        <v>64</v>
      </c>
      <c r="BY11" s="41" t="n">
        <f aca="false">IF(Tasks[[#This Row],[_LeafWork]]=0,0,Tasks[[#This Row],[_LeafWork]]*IFERROR(INDEX(res_Rate,MATCH(Tasks[[#This Row],[Resource]],res_Name,0)),0))</f>
        <v>4480</v>
      </c>
      <c r="BZ11"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CA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 s="41" t="n">
        <f aca="false">IF(NOT(Tasks[[#This Row],[_IsLeaf]]=1),0,MAX(_xlfn.MAXIFS(Tasks[_Row],Tasks[Pred1 UID],Tasks[[#This Row],[UID]]),_xlfn.MAXIFS(Tasks[_Row],Tasks[Pred2 UID],Tasks[[#This Row],[UID]])))</f>
        <v>8</v>
      </c>
      <c r="CE11"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46295</v>
      </c>
      <c r="CF11" s="103" t="n">
        <f aca="false">IF(NOT(Tasks[[#This Row],[_IsLeaf]]=1),"",MIN(ProjectFinish,IF(N(Tasks[[#This Row],[Deadline]])&gt;0,Tasks[[#This Row],[Deadline]],2958465),Tasks[[#This Row],[_SuccessorFinishLimit]]))</f>
        <v>46295</v>
      </c>
      <c r="CG11" s="103" t="n">
        <f aca="false">IF(NOT(Tasks[[#This Row],[_IsLeaf]]=1),"",IF(N(Tasks[[#This Row],[Duration]])&lt;=0,Tasks[[#This Row],[_LeafLateFinish]],WORKDAY.INTL(Tasks[[#This Row],[_LeafLateFinish]],-(Tasks[[#This Row],[Duration]]-1),WorkWeek,Holidays)))</f>
        <v>46286</v>
      </c>
      <c r="CH1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CI11" s="102" t="b">
        <f aca="false">AND(Tasks[[#This Row],[_IsLeaf]]=1,Tasks[[#This Row],[_LeafProgress]]&lt;1,N(Tasks[[#This Row],[_LeafTotalSlack]])&lt;=CriticalSlackDays)</f>
        <v>0</v>
      </c>
      <c r="CJ11" s="103" t="n">
        <f aca="false">IF(Tasks[[#This Row],[Task Name]]="","",IF(Tasks[[#This Row],[_IsSummary]],MIN(INDEX(Tasks[_LeafCalcStart],Tasks[[#This Row],[_Row]]+1):INDEX(Tasks[_LeafCalcStart],Tasks[[#This Row],[_Row]]+Tasks[[#This Row],[_Descendants]])),Tasks[[#This Row],[_LeafCalcStart]]))</f>
        <v>46279</v>
      </c>
      <c r="CK11" s="103" t="n">
        <f aca="false">IF(Tasks[[#This Row],[Task Name]]="","",IF(Tasks[[#This Row],[_IsSummary]],MAX(INDEX(Tasks[_LeafCalcFinish],Tasks[[#This Row],[_Row]]+1):INDEX(Tasks[_LeafCalcFinish],Tasks[[#This Row],[_Row]]+Tasks[[#This Row],[_Descendants]])),Tasks[[#This Row],[_LeafCalcFinish]]))</f>
        <v>46288</v>
      </c>
      <c r="CL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46279</v>
      </c>
      <c r="CO1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46280</v>
      </c>
      <c r="CQ1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 s="41" t="n">
        <f aca="false">IF(AND(Tasks[[#This Row],[_IsLeaf]]=1,Tasks[[#This Row],[_LeafWork]]&gt;0),NETWORKDAYS.INTL(ProjectStart,Tasks[[#This Row],[_LeafFcstStart]],WorkWeek,Holidays),0)</f>
        <v>7</v>
      </c>
      <c r="CS11" s="41" t="n">
        <f aca="false">IF(AND(Tasks[[#This Row],[_IsLeaf]]=1,Tasks[[#This Row],[_LeafWork]]&gt;0),MAX(Tasks[[#This Row],[_StartWorkday]],NETWORKDAYS.INTL(ProjectStart,Tasks[[#This Row],[_LeafFcstFinish]],WorkWeek,Holidays)),0)</f>
        <v>15</v>
      </c>
      <c r="CT11" s="41" t="n">
        <f aca="false">IF(AND(Tasks[[#This Row],[_IsLeaf]]=1,Tasks[[#This Row],[_LeafWork]]&gt;0),Tasks[[#This Row],[_LeafWork]]/(Tasks[[#This Row],[_FinishWorkday]]-Tasks[[#This Row],[_StartWorkday]]+1),0)</f>
        <v>7.11111111111111</v>
      </c>
      <c r="CU11" s="41" t="n">
        <f aca="false">Tasks[[#This Row],[_WorkPerWorkday]]*(Tasks[[#This Row],[_StartWorkday]]-1)</f>
        <v>42.6666666666667</v>
      </c>
      <c r="CV11" s="41" t="n">
        <f aca="false">IF(Tasks[[#This Row],[_IsLeaf]]=1,MAX(N(Tasks[[#This Row],[Duration]]),0.1),0)</f>
        <v>8</v>
      </c>
      <c r="CW11" s="41" t="n">
        <f aca="false">Tasks[[#This Row],[_WeightDur]]*Tasks[[#This Row],[_LeafProgress]]</f>
        <v>8</v>
      </c>
      <c r="CX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4</v>
      </c>
      <c r="CY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4</v>
      </c>
      <c r="DA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 s="41" t="str">
        <f aca="false">IF(Tasks[[#This Row],[Task Name]]="","",Tasks[[#This Row],[_Pred1UIDText]]&amp;IF(AND(Tasks[[#This Row],[_Pred1UIDText]]&lt;&gt;"",Tasks[[#This Row],[_Pred2UIDText]]&lt;&gt;""),",","")&amp;Tasks[[#This Row],[_Pred2UIDText]])</f>
        <v>4</v>
      </c>
      <c r="DC11" s="41" t="str">
        <f aca="false">IF(AND(Tasks[[#This Row],[_IsLeaf]]=1,N(Tasks[[#This Row],[Duration]])=0,Tasks[[#This Row],[_LeafProgress]]&lt;1),Tasks[[#This Row],[_LeafFcstFinish]]+Tasks[[#This Row],[_Row]]/100000,"")</f>
        <v/>
      </c>
      <c r="DD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11" s="41" t="n">
        <f aca="false">IF(NOT(Tasks[[#This Row],[_IsLeaf]]=1),0,IF(Tasks[[#This Row],[Baseline Cost]]="",Tasks[[#This Row],[_LeafCost]],N(Tasks[[#This Row],[Baseline Cost]])))</f>
        <v>4480</v>
      </c>
      <c r="DF11" s="41" t="n">
        <f aca="false">Tasks[[#This Row],[_LeafBudget]]*Tasks[[#This Row],[_PlannedPct]]</f>
        <v>4480</v>
      </c>
      <c r="DG11" s="41" t="n">
        <f aca="false">Tasks[[#This Row],[_LeafBudget]]*Tasks[[#This Row],[_LeafProgress]]</f>
        <v>4480</v>
      </c>
      <c r="DH11" s="41" t="n">
        <f aca="false">IF(NOT(Tasks[[#This Row],[_IsLeaf]]=1),0,IF(Tasks[[#This Row],[Actual Cost]]="",Tasks[[#This Row],[_LeafCost]]*Tasks[[#This Row],[_LeafProgress]],N(Tasks[[#This Row],[Actual Cost]])))</f>
        <v>5040</v>
      </c>
      <c r="DI11" s="41" t="str">
        <f aca="false">IF(Tasks[[#This Row],[Task Name]]="","",LEFT(Tasks[[#This Row],[WBS]],FIND(".",Tasks[[#This Row],[WBS]]&amp;".")-1))</f>
        <v>2</v>
      </c>
      <c r="DJ11" s="41" t="str">
        <f aca="false">IF(AND(Tasks[[#This Row],[Task Name]]&lt;&gt;"",Tasks[[#This Row],[_Level]]=1),Tasks[[#This Row],[_Row]],"")</f>
        <v/>
      </c>
      <c r="DK11" s="41" t="str">
        <f aca="false">IF(AND(Tasks[[#This Row],[_IsLeaf]]=1,N(Tasks[[#This Row],[Duration]])=0),Tasks[[#This Row],[Planned Finish]]+Tasks[[#This Row],[_Row]]/100000,"")</f>
        <v/>
      </c>
      <c r="DL11" s="41" t="str">
        <f aca="false">IF(AND(Tasks[[#This Row],[_IsLeaf]]=1,Tasks[[#This Row],[_LeafProgress]]&lt;1,OR(N(Tasks[[#This Row],[Finish Var]])&gt;0,Tasks[[#This Row],[Status]]="Late Start")),MAX(0,Tasks[[#This Row],[Finish Var]])+1-Tasks[[#This Row],[_Row]]/1000000,"")</f>
        <v/>
      </c>
      <c r="DM11" s="41" t="str">
        <f aca="false">IF(AND(Tasks[[#This Row],[_IsLeaf]]=1,N(Tasks[[#This Row],[Actual Start]])=0,Tasks[[#This Row],[_LeafFcstStart]]&gt;=StatusDate,Tasks[[#This Row],[_LeafFcstStart]]&lt;=LookaheadEnd),Tasks[[#This Row],[_LeafFcstStart]]+Tasks[[#This Row],[_Row]]/100000,"")</f>
        <v/>
      </c>
      <c r="DN11" s="41" t="str">
        <f aca="false">IF(AND(Tasks[[#This Row],[_IsLeaf]]=1,Tasks[[#This Row],[_LeafProgress]]&lt;1,Tasks[[#This Row],[_LeafFcstFinish]]&gt;=StatusDate,Tasks[[#This Row],[_LeafFcstFinish]]&lt;=LookaheadEnd),Tasks[[#This Row],[_LeafFcstFinish]]+Tasks[[#This Row],[_Row]]/100000,"")</f>
        <v/>
      </c>
      <c r="DO11" s="41" t="str">
        <f aca="false">IF(Tasks[[#This Row],[_LeafCritical]],Tasks[[#This Row],[_LeafFcstStart]]+Tasks[[#This Row],[_Row]]/100000,"")</f>
        <v/>
      </c>
      <c r="DP11" s="41" t="n">
        <f aca="false">Tasks[[#This Row],[_LeafWork]]*Tasks[[#This Row],[_LeafProgress]]</f>
        <v>64</v>
      </c>
      <c r="DQ11" s="103" t="n">
        <f aca="false">IF(AND(Tasks[[#This Row],[_IsLeaf]]=1,Tasks[[#This Row],[_LeafProgress]]&gt;=1),IF(N(Tasks[[#This Row],[Actual Finish]])&gt;0,Tasks[[#This Row],[Actual Finish]],Tasks[[#This Row],[_LeafFcstFinish]]),"")</f>
        <v>46290</v>
      </c>
      <c r="DR11" s="41" t="n">
        <f aca="false">IF(Tasks[[#This Row],[_IsLeaf]]=1,N(Tasks[[#This Row],[Story Points]]),0)</f>
        <v>8</v>
      </c>
      <c r="DS11" s="41" t="str">
        <f aca="false">IF(AND(Tasks[[#This Row],[_IsLeaf]]=1,CurrentSprint&lt;&gt;"",Tasks[[#This Row],[Sprint]]=CurrentSprint),Tasks[[#This Row],[_Row]],"")</f>
        <v/>
      </c>
    </row>
    <row r="12" customFormat="false" ht="15" hidden="false" customHeight="false" outlineLevel="0" collapsed="false">
      <c r="A12" s="28" t="n">
        <f aca="false">IF(Tasks[[#This Row],[Task Name]]="","",COUNTA(Tasks[[#Headers],[Task Name]]:Tasks[[#This Row],[Task Name]])-1)</f>
        <v>7</v>
      </c>
      <c r="B12" s="29" t="n">
        <v>7</v>
      </c>
      <c r="C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D12" s="29" t="n">
        <v>2</v>
      </c>
      <c r="E12" s="30" t="s">
        <v>605</v>
      </c>
      <c r="F12" s="29" t="s">
        <v>595</v>
      </c>
      <c r="G12" s="29" t="n">
        <v>5</v>
      </c>
      <c r="H12" s="29" t="n">
        <v>6</v>
      </c>
      <c r="I12" s="29" t="s">
        <v>606</v>
      </c>
      <c r="J12" s="29" t="n">
        <v>3</v>
      </c>
      <c r="K12" s="29"/>
      <c r="L12" s="29"/>
      <c r="M12" s="29"/>
      <c r="N12" s="77"/>
      <c r="O12" s="77"/>
      <c r="P12" s="25" t="n">
        <f aca="false">IF(Tasks[[#This Row],[Task Name]]="","",IF(N(Tasks[[#This Row],[Baseline Start]])&gt;0,Tasks[[#This Row],[Baseline Start]],Tasks[[#This Row],[_CalcStart]]))</f>
        <v>46282</v>
      </c>
      <c r="Q12" s="25" t="n">
        <f aca="false">IF(Tasks[[#This Row],[Task Name]]="","",IF(N(Tasks[[#This Row],[Baseline Finish]])&gt;0,Tasks[[#This Row],[Baseline Finish]],Tasks[[#This Row],[_CalcFinish]]))</f>
        <v>46288</v>
      </c>
      <c r="R12" s="77" t="n">
        <v>46283</v>
      </c>
      <c r="S12" s="77" t="n">
        <v>46290</v>
      </c>
      <c r="T12" s="25" t="n">
        <f aca="false">IF(Tasks[[#This Row],[Task Name]]="","",IF(Tasks[[#This Row],[_IsSummary]],MIN(INDEX(Tasks[_LeafFcstStart],Tasks[[#This Row],[_Row]]+1):INDEX(Tasks[_LeafFcstStart],Tasks[[#This Row],[_Row]]+Tasks[[#This Row],[_Descendants]])),Tasks[[#This Row],[_LeafFcstStart]]))</f>
        <v>46283</v>
      </c>
      <c r="U12" s="25" t="n">
        <f aca="false">IF(Tasks[[#This Row],[Task Name]]="","",IF(Tasks[[#This Row],[_IsSummary]],MAX(INDEX(Tasks[_LeafFcstFinish],Tasks[[#This Row],[_Row]]+1):INDEX(Tasks[_LeafFcstFinish],Tasks[[#This Row],[_Row]]+Tasks[[#This Row],[_Descendants]])),Tasks[[#This Row],[_LeafFcstFinish]]))</f>
        <v>46290</v>
      </c>
      <c r="V12" s="43" t="n">
        <f aca="false">IF(Tasks[[#This Row],[Task Name]]="","",IF(Tasks[[#This Row],[Forecast Start]]&gt;=Tasks[[#This Row],[Planned Start]],NETWORKDAYS.INTL(Tasks[[#This Row],[Planned Start]],Tasks[[#This Row],[Forecast Start]],WorkWeek,Holidays)-1,1-NETWORKDAYS.INTL(Tasks[[#This Row],[Forecast Start]],Tasks[[#This Row],[Planned Start]],WorkWeek,Holidays)))</f>
        <v>1</v>
      </c>
      <c r="W12" s="43"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X12" s="25" t="n">
        <f aca="false">IF(Tasks[[#This Row],[Task Name]]="","",IF(Tasks[[#This Row],[_IsSummary]],MIN(INDEX(Tasks[_LeafLateStart],Tasks[[#This Row],[_Row]]+1):INDEX(Tasks[_LeafLateStart],Tasks[[#This Row],[_Row]]+Tasks[[#This Row],[_Descendants]])),Tasks[[#This Row],[_LeafLateStart]]))</f>
        <v>46297</v>
      </c>
      <c r="Y12" s="25" t="n">
        <f aca="false">IF(Tasks[[#This Row],[Task Name]]="","",IF(Tasks[[#This Row],[_IsSummary]],MAX(INDEX(Tasks[_LeafLateFinish],Tasks[[#This Row],[_Row]]+1):INDEX(Tasks[_LeafLateFinish],Tasks[[#This Row],[_Row]]+Tasks[[#This Row],[_Descendants]])),Tasks[[#This Row],[_LeafLateFinish]]))</f>
        <v>46303</v>
      </c>
      <c r="Z12" s="43" t="n">
        <f aca="false">IF(Tasks[[#This Row],[Task Name]]="","",IF(Tasks[[#This Row],[_IsSummary]],MIN(INDEX(Tasks[_LeafTotalSlack],Tasks[[#This Row],[_Row]]+1):INDEX(Tasks[_LeafTotalSlack],Tasks[[#This Row],[_Row]]+Tasks[[#This Row],[_Descendants]])),Tasks[[#This Row],[_LeafTotalSlack]]))</f>
        <v>9</v>
      </c>
      <c r="AA12"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7</v>
      </c>
      <c r="AB12" s="28" t="str">
        <f aca="false">IF(Tasks[[#This Row],[Task Name]]="","",IF(IF(Tasks[[#This Row],[_IsSummary]],COUNTIF(INDEX(Tasks[_LeafCritical],Tasks[[#This Row],[_Row]]+1):INDEX(Tasks[_LeafCritical],Tasks[[#This Row],[_Row]]+Tasks[[#This Row],[_Descendants]]),TRUE())&gt;0,Tasks[[#This Row],[_LeafCritical]]),"Yes",""))</f>
        <v/>
      </c>
      <c r="AC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 s="24" t="str">
        <f aca="false">IF(Tasks[[#This Row],[Task Name]]="","",TRIM(IF(Tasks[[#This Row],[_Pred1Problem]]&lt;&gt;"","Pred 1: "&amp;Tasks[[#This Row],[_Pred1Problem]]&amp;". ","")&amp;IF(Tasks[[#This Row],[_Pred2Problem]]&lt;&gt;"","Pred 2: "&amp;Tasks[[#This Row],[_Pred2Problem]]&amp;".","")))</f>
        <v/>
      </c>
      <c r="AE12" s="91" t="n">
        <v>1</v>
      </c>
      <c r="AF12"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2" s="28" t="str">
        <f aca="false">IF(Tasks[[#This Row],[Task Name]]="","",IF(Tasks[[#This Row],[Progress]]&gt;=1,"Complete",IF(OR(N(Tasks[[#This Row],[Actual Start]])&gt;0,Tasks[[#This Row],[Progress]]&gt;0),IF(Tasks[[#This Row],[Finish Var]]&gt;0,"Behind","In Progress"),IF(Tasks[[#This Row],[Planned Start]]&lt;StatusDate,"Late Start","Not Started"))))</f>
        <v>Complete</v>
      </c>
      <c r="AH12" s="30" t="s">
        <v>304</v>
      </c>
      <c r="AI12" s="91"/>
      <c r="AJ1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 s="98" t="n">
        <f aca="false">IF(Tasks[[#This Row],[Task Name]]="","",IF(Tasks[[#This Row],[_IsSummary]],SUM(INDEX(Tasks[_LeafWork],Tasks[[#This Row],[_Row]]+1):INDEX(Tasks[_LeafWork],Tasks[[#This Row],[_Row]]+Tasks[[#This Row],[_Descendants]])),Tasks[[#This Row],[_LeafWork]]))</f>
        <v>40</v>
      </c>
      <c r="AL12" s="99" t="n">
        <f aca="false">IF(Tasks[[#This Row],[Task Name]]="","",IF(Tasks[[#This Row],[_IsSummary]],SUM(INDEX(Tasks[_LeafCost],Tasks[[#This Row],[_Row]]+1):INDEX(Tasks[_LeafCost],Tasks[[#This Row],[_Row]]+Tasks[[#This Row],[_Descendants]])),Tasks[[#This Row],[_LeafCost]]))</f>
        <v>4400</v>
      </c>
      <c r="AM12" s="100"/>
      <c r="AN12" s="29"/>
      <c r="AO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AP12" s="85" t="n">
        <v>5</v>
      </c>
      <c r="AQ12" s="24" t="str">
        <f aca="false">IF(Tasks[[#This Row],[Task Name]]="","",Tasks[[#This Row],[_Pred1IDText]]&amp;IF(AND(Tasks[[#This Row],[_Pred1IDText]]&lt;&gt;"",Tasks[[#This Row],[_Pred2IDText]]&lt;&gt;""),",","")&amp;Tasks[[#This Row],[_Pred2IDText]])</f>
        <v>6SS+3d</v>
      </c>
      <c r="AR12" s="30" t="s">
        <v>607</v>
      </c>
      <c r="AS12" s="25" t="n">
        <f aca="false">IF(Tasks[[#This Row],[Task Name]]="","",Tasks[[#This Row],[Forecast Start]])</f>
        <v>46283</v>
      </c>
      <c r="AT12" s="25" t="n">
        <f aca="false">IF(Tasks[[#This Row],[Task Name]]="","",Tasks[[#This Row],[Forecast Finish]])</f>
        <v>46290</v>
      </c>
      <c r="AU12" s="28" t="n">
        <f aca="false">IF(Tasks[[#This Row],[Task Name]]="","",IF(Tasks[[#This Row],[_IsSummary]],NETWORKDAYS.INTL(Tasks[[#This Row],[Forecast Start]],Tasks[[#This Row],[Forecast Finish]],WorkWeek,Holidays),N(Tasks[[#This Row],[Duration]])))</f>
        <v>5</v>
      </c>
      <c r="AV12" s="98" t="n">
        <f aca="false">IF(Tasks[[#This Row],[Task Name]]="","",Tasks[[#This Row],[Work]])</f>
        <v>40</v>
      </c>
      <c r="AW12" s="99" t="n">
        <f aca="false">IF(Tasks[[#This Row],[Task Name]]="","",Tasks[[#This Row],[Cost]])</f>
        <v>4400</v>
      </c>
      <c r="AX12" s="77"/>
      <c r="AY12" s="77"/>
      <c r="AZ12" s="29"/>
      <c r="BA12" s="101"/>
      <c r="BB12" s="100"/>
      <c r="BC12" s="28" t="str">
        <f aca="false">IF(OR(Tasks[[#This Row],[Task Name]]="",Tasks[[#This Row],[Baseline Duration]]=""),"",Tasks[[#This Row],[BL Source Duration]]-N(Tasks[[#This Row],[Baseline Duration]]))</f>
        <v/>
      </c>
      <c r="BD12" s="98" t="str">
        <f aca="false">IF(OR(Tasks[[#This Row],[Task Name]]="",Tasks[[#This Row],[Baseline Work]]=""),"",Tasks[[#This Row],[Work]]-N(Tasks[[#This Row],[Baseline Work]]))</f>
        <v/>
      </c>
      <c r="BE12" s="99" t="str">
        <f aca="false">IF(OR(Tasks[[#This Row],[Task Name]]="",Tasks[[#This Row],[Baseline Cost]]=""),"",Tasks[[#This Row],[Cost]]-N(Tasks[[#This Row],[Baseline Cost]]))</f>
        <v/>
      </c>
      <c r="BF12" s="99" t="n">
        <f aca="false">IF(Tasks[[#This Row],[Task Name]]="","",IF(Tasks[[#This Row],[_IsSummary]],SUM(INDEX(Tasks[_LeafBudget],Tasks[[#This Row],[_Row]]+1):INDEX(Tasks[_LeafBudget],Tasks[[#This Row],[_Row]]+Tasks[[#This Row],[_Descendants]])),Tasks[[#This Row],[_LeafBudget]]))</f>
        <v>4400</v>
      </c>
      <c r="BG12" s="99" t="n">
        <f aca="false">IF(Tasks[[#This Row],[Task Name]]="","",IF(Tasks[[#This Row],[_IsSummary]],SUM(INDEX(Tasks[_LeafPV],Tasks[[#This Row],[_Row]]+1):INDEX(Tasks[_LeafPV],Tasks[[#This Row],[_Row]]+Tasks[[#This Row],[_Descendants]])),Tasks[[#This Row],[_LeafPV]]))</f>
        <v>4400</v>
      </c>
      <c r="BH12" s="99" t="n">
        <f aca="false">IF(Tasks[[#This Row],[Task Name]]="","",IF(Tasks[[#This Row],[_IsSummary]],SUM(INDEX(Tasks[_LeafEV],Tasks[[#This Row],[_Row]]+1):INDEX(Tasks[_LeafEV],Tasks[[#This Row],[_Row]]+Tasks[[#This Row],[_Descendants]])),Tasks[[#This Row],[_LeafEV]]))</f>
        <v>4400</v>
      </c>
      <c r="BI12" s="99" t="n">
        <f aca="false">IF(Tasks[[#This Row],[Task Name]]="","",IF(Tasks[[#This Row],[_IsSummary]],SUM(INDEX(Tasks[_LeafAC],Tasks[[#This Row],[_Row]]+1):INDEX(Tasks[_LeafAC],Tasks[[#This Row],[_Row]]+Tasks[[#This Row],[_Descendants]])),Tasks[[#This Row],[_LeafAC]]))</f>
        <v>4400</v>
      </c>
      <c r="BJ12" s="41" t="n">
        <f aca="false">IF(Tasks[[#This Row],[Task Name]]="","",MAX(1,N(Tasks[[#This Row],[Level]])))</f>
        <v>2</v>
      </c>
      <c r="BK12" s="41" t="n">
        <f aca="false">ROW()-ROW(Tasks[[#Headers],[ID]])</f>
        <v>7</v>
      </c>
      <c r="BL12" s="41" t="n">
        <f aca="false">IF(OR(Tasks[[#This Row],[Task Name]]="",Tasks[[#This Row],[_Level]]&lt;=1),0,IFERROR(LOOKUP(2,1/(Tasks[[#Headers],[_Level]]:Tasks[[#This Row],[_Level]]=Tasks[[#This Row],[_Level]]-1),ROW(Tasks[[#Headers],[_Level]]:Tasks[[#This Row],[_Level]])),0))</f>
        <v>10</v>
      </c>
      <c r="BM12" s="41" t="n">
        <f aca="false">IFERROR(N(INDEX(Tasks[_Level],Tasks[[#This Row],[_Row]]+1)),0)</f>
        <v>2</v>
      </c>
      <c r="BN12" s="102" t="b">
        <f aca="false">AND(Tasks[[#This Row],[Task Name]]&lt;&gt;"",Tasks[[#This Row],[_NextLevel]]&gt;Tasks[[#This Row],[_Level]])</f>
        <v>0</v>
      </c>
      <c r="BO12" s="41" t="n">
        <f aca="false">IF(Tasks[[#This Row],[_IsSummary]],COUNTIF(Tasks[WBS],Tasks[[#This Row],[WBS]]&amp;".*"),0)</f>
        <v>0</v>
      </c>
      <c r="BP12" s="41" t="n">
        <f aca="false">IF(AND(Tasks[[#This Row],[Task Name]]&lt;&gt;"",NOT(Tasks[[#This Row],[_IsSummary]])),1,0)</f>
        <v>1</v>
      </c>
      <c r="BQ12" s="41" t="n">
        <f aca="false">IF(N(Tasks[[#This Row],[Pred1 UID]])=0,0,IFERROR(MATCH(Tasks[[#This Row],[Pred1 UID]],Tasks[UID],0),-1))</f>
        <v>6</v>
      </c>
      <c r="BR12" s="41" t="n">
        <f aca="false">IF(N(Tasks[[#This Row],[Pred2 UID]])=0,0,IFERROR(MATCH(Tasks[[#This Row],[Pred2 UID]],Tasks[UID],0),-1))</f>
        <v>0</v>
      </c>
      <c r="BS12"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46282</v>
      </c>
      <c r="BT12" s="103" t="n">
        <f aca="false">IF(NOT(Tasks[[#This Row],[_IsLeaf]]=1),"",IF(N(Tasks[[#This Row],[Duration]])&lt;=0,Tasks[[#This Row],[_LeafCalcStart]],WORKDAY.INTL(Tasks[[#This Row],[_LeafCalcStart]],Tasks[[#This Row],[Duration]]-1,WorkWeek,Holidays)))</f>
        <v>46288</v>
      </c>
      <c r="BU12"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46283</v>
      </c>
      <c r="BV12"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BW12" s="41" t="n">
        <f aca="false">IF(NOT(Tasks[[#This Row],[_IsLeaf]]=1),0,IF(N(Tasks[[#This Row],[Actual Finish]])&gt;0,1,MIN(1,N(Tasks[[#This Row],[% Complete]]))))</f>
        <v>1</v>
      </c>
      <c r="BX12" s="41" t="n">
        <f aca="false">IF(OR(NOT(Tasks[[#This Row],[_IsLeaf]]=1),Tasks[[#This Row],[Resource]]=""),0,N(Tasks[[#This Row],[Duration]])*HoursPerDay*IF(Tasks[[#This Row],[Units]]="",DefaultUnits,Tasks[[#This Row],[Units]]))</f>
        <v>40</v>
      </c>
      <c r="BY12" s="41" t="n">
        <f aca="false">IF(Tasks[[#This Row],[_LeafWork]]=0,0,Tasks[[#This Row],[_LeafWork]]*IFERROR(INDEX(res_Rate,MATCH(Tasks[[#This Row],[Resource]],res_Name,0)),0))</f>
        <v>4400</v>
      </c>
      <c r="BZ12"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A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 s="41" t="n">
        <f aca="false">IF(NOT(Tasks[[#This Row],[_IsLeaf]]=1),0,MAX(_xlfn.MAXIFS(Tasks[_Row],Tasks[Pred1 UID],Tasks[[#This Row],[UID]]),_xlfn.MAXIFS(Tasks[_Row],Tasks[Pred2 UID],Tasks[[#This Row],[UID]])))</f>
        <v>9</v>
      </c>
      <c r="CE12"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46303</v>
      </c>
      <c r="CF12" s="103" t="n">
        <f aca="false">IF(NOT(Tasks[[#This Row],[_IsLeaf]]=1),"",MIN(ProjectFinish,IF(N(Tasks[[#This Row],[Deadline]])&gt;0,Tasks[[#This Row],[Deadline]],2958465),Tasks[[#This Row],[_SuccessorFinishLimit]]))</f>
        <v>46303</v>
      </c>
      <c r="CG12" s="103" t="n">
        <f aca="false">IF(NOT(Tasks[[#This Row],[_IsLeaf]]=1),"",IF(N(Tasks[[#This Row],[Duration]])&lt;=0,Tasks[[#This Row],[_LeafLateFinish]],WORKDAY.INTL(Tasks[[#This Row],[_LeafLateFinish]],-(Tasks[[#This Row],[Duration]]-1),WorkWeek,Holidays)))</f>
        <v>46297</v>
      </c>
      <c r="CH12"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9</v>
      </c>
      <c r="CI12" s="102" t="b">
        <f aca="false">AND(Tasks[[#This Row],[_IsLeaf]]=1,Tasks[[#This Row],[_LeafProgress]]&lt;1,N(Tasks[[#This Row],[_LeafTotalSlack]])&lt;=CriticalSlackDays)</f>
        <v>0</v>
      </c>
      <c r="CJ12" s="103" t="n">
        <f aca="false">IF(Tasks[[#This Row],[Task Name]]="","",IF(Tasks[[#This Row],[_IsSummary]],MIN(INDEX(Tasks[_LeafCalcStart],Tasks[[#This Row],[_Row]]+1):INDEX(Tasks[_LeafCalcStart],Tasks[[#This Row],[_Row]]+Tasks[[#This Row],[_Descendants]])),Tasks[[#This Row],[_LeafCalcStart]]))</f>
        <v>46282</v>
      </c>
      <c r="CK12" s="103" t="n">
        <f aca="false">IF(Tasks[[#This Row],[Task Name]]="","",IF(Tasks[[#This Row],[_IsSummary]],MAX(INDEX(Tasks[_LeafCalcFinish],Tasks[[#This Row],[_Row]]+1):INDEX(Tasks[_LeafCalcFinish],Tasks[[#This Row],[_Row]]+Tasks[[#This Row],[_Descendants]])),Tasks[[#This Row],[_LeafCalcFinish]]))</f>
        <v>46288</v>
      </c>
      <c r="CL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46282</v>
      </c>
      <c r="CO1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46283</v>
      </c>
      <c r="CQ1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 s="41" t="n">
        <f aca="false">IF(AND(Tasks[[#This Row],[_IsLeaf]]=1,Tasks[[#This Row],[_LeafWork]]&gt;0),NETWORKDAYS.INTL(ProjectStart,Tasks[[#This Row],[_LeafFcstStart]],WorkWeek,Holidays),0)</f>
        <v>10</v>
      </c>
      <c r="CS12" s="41" t="n">
        <f aca="false">IF(AND(Tasks[[#This Row],[_IsLeaf]]=1,Tasks[[#This Row],[_LeafWork]]&gt;0),MAX(Tasks[[#This Row],[_StartWorkday]],NETWORKDAYS.INTL(ProjectStart,Tasks[[#This Row],[_LeafFcstFinish]],WorkWeek,Holidays)),0)</f>
        <v>15</v>
      </c>
      <c r="CT12" s="41" t="n">
        <f aca="false">IF(AND(Tasks[[#This Row],[_IsLeaf]]=1,Tasks[[#This Row],[_LeafWork]]&gt;0),Tasks[[#This Row],[_LeafWork]]/(Tasks[[#This Row],[_FinishWorkday]]-Tasks[[#This Row],[_StartWorkday]]+1),0)</f>
        <v>6.66666666666667</v>
      </c>
      <c r="CU12" s="41" t="n">
        <f aca="false">Tasks[[#This Row],[_WorkPerWorkday]]*(Tasks[[#This Row],[_StartWorkday]]-1)</f>
        <v>60</v>
      </c>
      <c r="CV12" s="41" t="n">
        <f aca="false">IF(Tasks[[#This Row],[_IsLeaf]]=1,MAX(N(Tasks[[#This Row],[Duration]]),0.1),0)</f>
        <v>5</v>
      </c>
      <c r="CW12" s="41" t="n">
        <f aca="false">Tasks[[#This Row],[_WeightDur]]*Tasks[[#This Row],[_LeafProgress]]</f>
        <v>5</v>
      </c>
      <c r="CX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6SS+3d</v>
      </c>
      <c r="CY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6SS+3d</v>
      </c>
      <c r="DA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 s="41" t="str">
        <f aca="false">IF(Tasks[[#This Row],[Task Name]]="","",Tasks[[#This Row],[_Pred1UIDText]]&amp;IF(AND(Tasks[[#This Row],[_Pred1UIDText]]&lt;&gt;"",Tasks[[#This Row],[_Pred2UIDText]]&lt;&gt;""),",","")&amp;Tasks[[#This Row],[_Pred2UIDText]])</f>
        <v>6SS+3d</v>
      </c>
      <c r="DC12" s="41" t="str">
        <f aca="false">IF(AND(Tasks[[#This Row],[_IsLeaf]]=1,N(Tasks[[#This Row],[Duration]])=0,Tasks[[#This Row],[_LeafProgress]]&lt;1),Tasks[[#This Row],[_LeafFcstFinish]]+Tasks[[#This Row],[_Row]]/100000,"")</f>
        <v/>
      </c>
      <c r="DD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12" s="41" t="n">
        <f aca="false">IF(NOT(Tasks[[#This Row],[_IsLeaf]]=1),0,IF(Tasks[[#This Row],[Baseline Cost]]="",Tasks[[#This Row],[_LeafCost]],N(Tasks[[#This Row],[Baseline Cost]])))</f>
        <v>4400</v>
      </c>
      <c r="DF12" s="41" t="n">
        <f aca="false">Tasks[[#This Row],[_LeafBudget]]*Tasks[[#This Row],[_PlannedPct]]</f>
        <v>4400</v>
      </c>
      <c r="DG12" s="41" t="n">
        <f aca="false">Tasks[[#This Row],[_LeafBudget]]*Tasks[[#This Row],[_LeafProgress]]</f>
        <v>4400</v>
      </c>
      <c r="DH12" s="41" t="n">
        <f aca="false">IF(NOT(Tasks[[#This Row],[_IsLeaf]]=1),0,IF(Tasks[[#This Row],[Actual Cost]]="",Tasks[[#This Row],[_LeafCost]]*Tasks[[#This Row],[_LeafProgress]],N(Tasks[[#This Row],[Actual Cost]])))</f>
        <v>4400</v>
      </c>
      <c r="DI12" s="41" t="str">
        <f aca="false">IF(Tasks[[#This Row],[Task Name]]="","",LEFT(Tasks[[#This Row],[WBS]],FIND(".",Tasks[[#This Row],[WBS]]&amp;".")-1))</f>
        <v>2</v>
      </c>
      <c r="DJ12" s="41" t="str">
        <f aca="false">IF(AND(Tasks[[#This Row],[Task Name]]&lt;&gt;"",Tasks[[#This Row],[_Level]]=1),Tasks[[#This Row],[_Row]],"")</f>
        <v/>
      </c>
      <c r="DK12" s="41" t="str">
        <f aca="false">IF(AND(Tasks[[#This Row],[_IsLeaf]]=1,N(Tasks[[#This Row],[Duration]])=0),Tasks[[#This Row],[Planned Finish]]+Tasks[[#This Row],[_Row]]/100000,"")</f>
        <v/>
      </c>
      <c r="DL12" s="41" t="str">
        <f aca="false">IF(AND(Tasks[[#This Row],[_IsLeaf]]=1,Tasks[[#This Row],[_LeafProgress]]&lt;1,OR(N(Tasks[[#This Row],[Finish Var]])&gt;0,Tasks[[#This Row],[Status]]="Late Start")),MAX(0,Tasks[[#This Row],[Finish Var]])+1-Tasks[[#This Row],[_Row]]/1000000,"")</f>
        <v/>
      </c>
      <c r="DM12" s="41" t="str">
        <f aca="false">IF(AND(Tasks[[#This Row],[_IsLeaf]]=1,N(Tasks[[#This Row],[Actual Start]])=0,Tasks[[#This Row],[_LeafFcstStart]]&gt;=StatusDate,Tasks[[#This Row],[_LeafFcstStart]]&lt;=LookaheadEnd),Tasks[[#This Row],[_LeafFcstStart]]+Tasks[[#This Row],[_Row]]/100000,"")</f>
        <v/>
      </c>
      <c r="DN12" s="41" t="str">
        <f aca="false">IF(AND(Tasks[[#This Row],[_IsLeaf]]=1,Tasks[[#This Row],[_LeafProgress]]&lt;1,Tasks[[#This Row],[_LeafFcstFinish]]&gt;=StatusDate,Tasks[[#This Row],[_LeafFcstFinish]]&lt;=LookaheadEnd),Tasks[[#This Row],[_LeafFcstFinish]]+Tasks[[#This Row],[_Row]]/100000,"")</f>
        <v/>
      </c>
      <c r="DO12" s="41" t="str">
        <f aca="false">IF(Tasks[[#This Row],[_LeafCritical]],Tasks[[#This Row],[_LeafFcstStart]]+Tasks[[#This Row],[_Row]]/100000,"")</f>
        <v/>
      </c>
      <c r="DP12" s="41" t="n">
        <f aca="false">Tasks[[#This Row],[_LeafWork]]*Tasks[[#This Row],[_LeafProgress]]</f>
        <v>40</v>
      </c>
      <c r="DQ12" s="103" t="n">
        <f aca="false">IF(AND(Tasks[[#This Row],[_IsLeaf]]=1,Tasks[[#This Row],[_LeafProgress]]&gt;=1),IF(N(Tasks[[#This Row],[Actual Finish]])&gt;0,Tasks[[#This Row],[Actual Finish]],Tasks[[#This Row],[_LeafFcstFinish]]),"")</f>
        <v>46290</v>
      </c>
      <c r="DR12" s="41" t="n">
        <f aca="false">IF(Tasks[[#This Row],[_IsLeaf]]=1,N(Tasks[[#This Row],[Story Points]]),0)</f>
        <v>5</v>
      </c>
      <c r="DS12" s="41" t="str">
        <f aca="false">IF(AND(Tasks[[#This Row],[_IsLeaf]]=1,CurrentSprint&lt;&gt;"",Tasks[[#This Row],[Sprint]]=CurrentSprint),Tasks[[#This Row],[_Row]],"")</f>
        <v/>
      </c>
    </row>
    <row r="13" customFormat="false" ht="15" hidden="false" customHeight="false" outlineLevel="0" collapsed="false">
      <c r="A13" s="28" t="n">
        <f aca="false">IF(Tasks[[#This Row],[Task Name]]="","",COUNTA(Tasks[[#Headers],[Task Name]]:Tasks[[#This Row],[Task Name]])-1)</f>
        <v>8</v>
      </c>
      <c r="B13" s="29" t="n">
        <v>8</v>
      </c>
      <c r="C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D13" s="29" t="n">
        <v>2</v>
      </c>
      <c r="E13" s="30" t="s">
        <v>608</v>
      </c>
      <c r="F13" s="29" t="s">
        <v>595</v>
      </c>
      <c r="G13" s="29" t="n">
        <v>6</v>
      </c>
      <c r="H13" s="29" t="n">
        <v>6</v>
      </c>
      <c r="I13" s="29" t="s">
        <v>600</v>
      </c>
      <c r="J13" s="29"/>
      <c r="K13" s="29"/>
      <c r="L13" s="29"/>
      <c r="M13" s="29"/>
      <c r="N13" s="77"/>
      <c r="O13" s="77"/>
      <c r="P13" s="25" t="n">
        <f aca="false">IF(Tasks[[#This Row],[Task Name]]="","",IF(N(Tasks[[#This Row],[Baseline Start]])&gt;0,Tasks[[#This Row],[Baseline Start]],Tasks[[#This Row],[_CalcStart]]))</f>
        <v>46289</v>
      </c>
      <c r="Q13" s="25" t="n">
        <f aca="false">IF(Tasks[[#This Row],[Task Name]]="","",IF(N(Tasks[[#This Row],[Baseline Finish]])&gt;0,Tasks[[#This Row],[Baseline Finish]],Tasks[[#This Row],[_CalcFinish]]))</f>
        <v>46296</v>
      </c>
      <c r="R13" s="77" t="n">
        <v>46293</v>
      </c>
      <c r="S13" s="77" t="n">
        <v>46301</v>
      </c>
      <c r="T13" s="25" t="n">
        <f aca="false">IF(Tasks[[#This Row],[Task Name]]="","",IF(Tasks[[#This Row],[_IsSummary]],MIN(INDEX(Tasks[_LeafFcstStart],Tasks[[#This Row],[_Row]]+1):INDEX(Tasks[_LeafFcstStart],Tasks[[#This Row],[_Row]]+Tasks[[#This Row],[_Descendants]])),Tasks[[#This Row],[_LeafFcstStart]]))</f>
        <v>46293</v>
      </c>
      <c r="U13" s="25" t="n">
        <f aca="false">IF(Tasks[[#This Row],[Task Name]]="","",IF(Tasks[[#This Row],[_IsSummary]],MAX(INDEX(Tasks[_LeafFcstFinish],Tasks[[#This Row],[_Row]]+1):INDEX(Tasks[_LeafFcstFinish],Tasks[[#This Row],[_Row]]+Tasks[[#This Row],[_Descendants]])),Tasks[[#This Row],[_LeafFcstFinish]]))</f>
        <v>46301</v>
      </c>
      <c r="V13" s="43" t="n">
        <f aca="false">IF(Tasks[[#This Row],[Task Name]]="","",IF(Tasks[[#This Row],[Forecast Start]]&gt;=Tasks[[#This Row],[Planned Start]],NETWORKDAYS.INTL(Tasks[[#This Row],[Planned Start]],Tasks[[#This Row],[Forecast Start]],WorkWeek,Holidays)-1,1-NETWORKDAYS.INTL(Tasks[[#This Row],[Forecast Start]],Tasks[[#This Row],[Planned Start]],WorkWeek,Holidays)))</f>
        <v>2</v>
      </c>
      <c r="W13"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X13" s="25" t="n">
        <f aca="false">IF(Tasks[[#This Row],[Task Name]]="","",IF(Tasks[[#This Row],[_IsSummary]],MIN(INDEX(Tasks[_LeafLateStart],Tasks[[#This Row],[_Row]]+1):INDEX(Tasks[_LeafLateStart],Tasks[[#This Row],[_Row]]+Tasks[[#This Row],[_Descendants]])),Tasks[[#This Row],[_LeafLateStart]]))</f>
        <v>46296</v>
      </c>
      <c r="Y13" s="25" t="n">
        <f aca="false">IF(Tasks[[#This Row],[Task Name]]="","",IF(Tasks[[#This Row],[_IsSummary]],MAX(INDEX(Tasks[_LeafLateFinish],Tasks[[#This Row],[_Row]]+1):INDEX(Tasks[_LeafLateFinish],Tasks[[#This Row],[_Row]]+Tasks[[#This Row],[_Descendants]])),Tasks[[#This Row],[_LeafLateFinish]]))</f>
        <v>46303</v>
      </c>
      <c r="Z13" s="43" t="n">
        <f aca="false">IF(Tasks[[#This Row],[Task Name]]="","",IF(Tasks[[#This Row],[_IsSummary]],MIN(INDEX(Tasks[_LeafTotalSlack],Tasks[[#This Row],[_Row]]+1):INDEX(Tasks[_LeafTotalSlack],Tasks[[#This Row],[_Row]]+Tasks[[#This Row],[_Descendants]])),Tasks[[#This Row],[_LeafTotalSlack]]))</f>
        <v>2</v>
      </c>
      <c r="AA1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3" s="28" t="str">
        <f aca="false">IF(Tasks[[#This Row],[Task Name]]="","",IF(IF(Tasks[[#This Row],[_IsSummary]],COUNTIF(INDEX(Tasks[_LeafCritical],Tasks[[#This Row],[_Row]]+1):INDEX(Tasks[_LeafCritical],Tasks[[#This Row],[_Row]]+Tasks[[#This Row],[_Descendants]]),TRUE())&gt;0,Tasks[[#This Row],[_LeafCritical]]),"Yes",""))</f>
        <v/>
      </c>
      <c r="AC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 s="24" t="str">
        <f aca="false">IF(Tasks[[#This Row],[Task Name]]="","",TRIM(IF(Tasks[[#This Row],[_Pred1Problem]]&lt;&gt;"","Pred 1: "&amp;Tasks[[#This Row],[_Pred1Problem]]&amp;". ","")&amp;IF(Tasks[[#This Row],[_Pred2Problem]]&lt;&gt;"","Pred 2: "&amp;Tasks[[#This Row],[_Pred2Problem]]&amp;".","")))</f>
        <v/>
      </c>
      <c r="AE13" s="91" t="n">
        <v>1</v>
      </c>
      <c r="AF13"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3" s="28" t="str">
        <f aca="false">IF(Tasks[[#This Row],[Task Name]]="","",IF(Tasks[[#This Row],[Progress]]&gt;=1,"Complete",IF(OR(N(Tasks[[#This Row],[Actual Start]])&gt;0,Tasks[[#This Row],[Progress]]&gt;0),IF(Tasks[[#This Row],[Finish Var]]&gt;0,"Behind","In Progress"),IF(Tasks[[#This Row],[Planned Start]]&lt;StatusDate,"Late Start","Not Started"))))</f>
        <v>Complete</v>
      </c>
      <c r="AH13" s="30" t="s">
        <v>291</v>
      </c>
      <c r="AI13" s="91"/>
      <c r="AJ1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 s="98" t="n">
        <f aca="false">IF(Tasks[[#This Row],[Task Name]]="","",IF(Tasks[[#This Row],[_IsSummary]],SUM(INDEX(Tasks[_LeafWork],Tasks[[#This Row],[_Row]]+1):INDEX(Tasks[_LeafWork],Tasks[[#This Row],[_Row]]+Tasks[[#This Row],[_Descendants]])),Tasks[[#This Row],[_LeafWork]]))</f>
        <v>48</v>
      </c>
      <c r="AL13" s="99" t="n">
        <f aca="false">IF(Tasks[[#This Row],[Task Name]]="","",IF(Tasks[[#This Row],[_IsSummary]],SUM(INDEX(Tasks[_LeafCost],Tasks[[#This Row],[_Row]]+1):INDEX(Tasks[_LeafCost],Tasks[[#This Row],[_Row]]+Tasks[[#This Row],[_Descendants]])),Tasks[[#This Row],[_LeafCost]]))</f>
        <v>3600</v>
      </c>
      <c r="AM13" s="100"/>
      <c r="AN13" s="29"/>
      <c r="AO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2</v>
      </c>
      <c r="AP13" s="85" t="n">
        <v>5</v>
      </c>
      <c r="AQ13" s="24" t="str">
        <f aca="false">IF(Tasks[[#This Row],[Task Name]]="","",Tasks[[#This Row],[_Pred1IDText]]&amp;IF(AND(Tasks[[#This Row],[_Pred1IDText]]&lt;&gt;"",Tasks[[#This Row],[_Pred2IDText]]&lt;&gt;""),",","")&amp;Tasks[[#This Row],[_Pred2IDText]])</f>
        <v>6</v>
      </c>
      <c r="AR13" s="30"/>
      <c r="AS13" s="25" t="n">
        <f aca="false">IF(Tasks[[#This Row],[Task Name]]="","",Tasks[[#This Row],[Forecast Start]])</f>
        <v>46293</v>
      </c>
      <c r="AT13" s="25" t="n">
        <f aca="false">IF(Tasks[[#This Row],[Task Name]]="","",Tasks[[#This Row],[Forecast Finish]])</f>
        <v>46301</v>
      </c>
      <c r="AU13" s="28" t="n">
        <f aca="false">IF(Tasks[[#This Row],[Task Name]]="","",IF(Tasks[[#This Row],[_IsSummary]],NETWORKDAYS.INTL(Tasks[[#This Row],[Forecast Start]],Tasks[[#This Row],[Forecast Finish]],WorkWeek,Holidays),N(Tasks[[#This Row],[Duration]])))</f>
        <v>6</v>
      </c>
      <c r="AV13" s="98" t="n">
        <f aca="false">IF(Tasks[[#This Row],[Task Name]]="","",Tasks[[#This Row],[Work]])</f>
        <v>48</v>
      </c>
      <c r="AW13" s="99" t="n">
        <f aca="false">IF(Tasks[[#This Row],[Task Name]]="","",Tasks[[#This Row],[Cost]])</f>
        <v>3600</v>
      </c>
      <c r="AX13" s="77"/>
      <c r="AY13" s="77"/>
      <c r="AZ13" s="29"/>
      <c r="BA13" s="101"/>
      <c r="BB13" s="100"/>
      <c r="BC13" s="28" t="str">
        <f aca="false">IF(OR(Tasks[[#This Row],[Task Name]]="",Tasks[[#This Row],[Baseline Duration]]=""),"",Tasks[[#This Row],[BL Source Duration]]-N(Tasks[[#This Row],[Baseline Duration]]))</f>
        <v/>
      </c>
      <c r="BD13" s="98" t="str">
        <f aca="false">IF(OR(Tasks[[#This Row],[Task Name]]="",Tasks[[#This Row],[Baseline Work]]=""),"",Tasks[[#This Row],[Work]]-N(Tasks[[#This Row],[Baseline Work]]))</f>
        <v/>
      </c>
      <c r="BE13" s="99" t="str">
        <f aca="false">IF(OR(Tasks[[#This Row],[Task Name]]="",Tasks[[#This Row],[Baseline Cost]]=""),"",Tasks[[#This Row],[Cost]]-N(Tasks[[#This Row],[Baseline Cost]]))</f>
        <v/>
      </c>
      <c r="BF13" s="99" t="n">
        <f aca="false">IF(Tasks[[#This Row],[Task Name]]="","",IF(Tasks[[#This Row],[_IsSummary]],SUM(INDEX(Tasks[_LeafBudget],Tasks[[#This Row],[_Row]]+1):INDEX(Tasks[_LeafBudget],Tasks[[#This Row],[_Row]]+Tasks[[#This Row],[_Descendants]])),Tasks[[#This Row],[_LeafBudget]]))</f>
        <v>3600</v>
      </c>
      <c r="BG13" s="99" t="n">
        <f aca="false">IF(Tasks[[#This Row],[Task Name]]="","",IF(Tasks[[#This Row],[_IsSummary]],SUM(INDEX(Tasks[_LeafPV],Tasks[[#This Row],[_Row]]+1):INDEX(Tasks[_LeafPV],Tasks[[#This Row],[_Row]]+Tasks[[#This Row],[_Descendants]])),Tasks[[#This Row],[_LeafPV]]))</f>
        <v>3600</v>
      </c>
      <c r="BH13" s="99" t="n">
        <f aca="false">IF(Tasks[[#This Row],[Task Name]]="","",IF(Tasks[[#This Row],[_IsSummary]],SUM(INDEX(Tasks[_LeafEV],Tasks[[#This Row],[_Row]]+1):INDEX(Tasks[_LeafEV],Tasks[[#This Row],[_Row]]+Tasks[[#This Row],[_Descendants]])),Tasks[[#This Row],[_LeafEV]]))</f>
        <v>3600</v>
      </c>
      <c r="BI13" s="99" t="n">
        <f aca="false">IF(Tasks[[#This Row],[Task Name]]="","",IF(Tasks[[#This Row],[_IsSummary]],SUM(INDEX(Tasks[_LeafAC],Tasks[[#This Row],[_Row]]+1):INDEX(Tasks[_LeafAC],Tasks[[#This Row],[_Row]]+Tasks[[#This Row],[_Descendants]])),Tasks[[#This Row],[_LeafAC]]))</f>
        <v>3600</v>
      </c>
      <c r="BJ13" s="41" t="n">
        <f aca="false">IF(Tasks[[#This Row],[Task Name]]="","",MAX(1,N(Tasks[[#This Row],[Level]])))</f>
        <v>2</v>
      </c>
      <c r="BK13" s="41" t="n">
        <f aca="false">ROW()-ROW(Tasks[[#Headers],[ID]])</f>
        <v>8</v>
      </c>
      <c r="BL13" s="41" t="n">
        <f aca="false">IF(OR(Tasks[[#This Row],[Task Name]]="",Tasks[[#This Row],[_Level]]&lt;=1),0,IFERROR(LOOKUP(2,1/(Tasks[[#Headers],[_Level]]:Tasks[[#This Row],[_Level]]=Tasks[[#This Row],[_Level]]-1),ROW(Tasks[[#Headers],[_Level]]:Tasks[[#This Row],[_Level]])),0))</f>
        <v>10</v>
      </c>
      <c r="BM13" s="41" t="n">
        <f aca="false">IFERROR(N(INDEX(Tasks[_Level],Tasks[[#This Row],[_Row]]+1)),0)</f>
        <v>2</v>
      </c>
      <c r="BN13" s="102" t="b">
        <f aca="false">AND(Tasks[[#This Row],[Task Name]]&lt;&gt;"",Tasks[[#This Row],[_NextLevel]]&gt;Tasks[[#This Row],[_Level]])</f>
        <v>0</v>
      </c>
      <c r="BO13" s="41" t="n">
        <f aca="false">IF(Tasks[[#This Row],[_IsSummary]],COUNTIF(Tasks[WBS],Tasks[[#This Row],[WBS]]&amp;".*"),0)</f>
        <v>0</v>
      </c>
      <c r="BP13" s="41" t="n">
        <f aca="false">IF(AND(Tasks[[#This Row],[Task Name]]&lt;&gt;"",NOT(Tasks[[#This Row],[_IsSummary]])),1,0)</f>
        <v>1</v>
      </c>
      <c r="BQ13" s="41" t="n">
        <f aca="false">IF(N(Tasks[[#This Row],[Pred1 UID]])=0,0,IFERROR(MATCH(Tasks[[#This Row],[Pred1 UID]],Tasks[UID],0),-1))</f>
        <v>6</v>
      </c>
      <c r="BR13" s="41" t="n">
        <f aca="false">IF(N(Tasks[[#This Row],[Pred2 UID]])=0,0,IFERROR(MATCH(Tasks[[#This Row],[Pred2 UID]],Tasks[UID],0),-1))</f>
        <v>0</v>
      </c>
      <c r="BS13"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46289</v>
      </c>
      <c r="BT13" s="103" t="n">
        <f aca="false">IF(NOT(Tasks[[#This Row],[_IsLeaf]]=1),"",IF(N(Tasks[[#This Row],[Duration]])&lt;=0,Tasks[[#This Row],[_LeafCalcStart]],WORKDAY.INTL(Tasks[[#This Row],[_LeafCalcStart]],Tasks[[#This Row],[Duration]]-1,WorkWeek,Holidays)))</f>
        <v>46296</v>
      </c>
      <c r="BU13"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46293</v>
      </c>
      <c r="BV13"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BW13" s="41" t="n">
        <f aca="false">IF(NOT(Tasks[[#This Row],[_IsLeaf]]=1),0,IF(N(Tasks[[#This Row],[Actual Finish]])&gt;0,1,MIN(1,N(Tasks[[#This Row],[% Complete]]))))</f>
        <v>1</v>
      </c>
      <c r="BX13" s="41" t="n">
        <f aca="false">IF(OR(NOT(Tasks[[#This Row],[_IsLeaf]]=1),Tasks[[#This Row],[Resource]]=""),0,N(Tasks[[#This Row],[Duration]])*HoursPerDay*IF(Tasks[[#This Row],[Units]]="",DefaultUnits,Tasks[[#This Row],[Units]]))</f>
        <v>48</v>
      </c>
      <c r="BY13" s="41" t="n">
        <f aca="false">IF(Tasks[[#This Row],[_LeafWork]]=0,0,Tasks[[#This Row],[_LeafWork]]*IFERROR(INDEX(res_Rate,MATCH(Tasks[[#This Row],[Resource]],res_Name,0)),0))</f>
        <v>3600</v>
      </c>
      <c r="BZ13"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2912170</v>
      </c>
      <c r="CA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 s="41" t="n">
        <f aca="false">IF(NOT(Tasks[[#This Row],[_IsLeaf]]=1),0,MAX(_xlfn.MAXIFS(Tasks[_Row],Tasks[Pred1 UID],Tasks[[#This Row],[UID]]),_xlfn.MAXIFS(Tasks[_Row],Tasks[Pred2 UID],Tasks[[#This Row],[UID]])))</f>
        <v>9</v>
      </c>
      <c r="CE13"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46303</v>
      </c>
      <c r="CF13" s="103" t="n">
        <f aca="false">IF(NOT(Tasks[[#This Row],[_IsLeaf]]=1),"",MIN(ProjectFinish,IF(N(Tasks[[#This Row],[Deadline]])&gt;0,Tasks[[#This Row],[Deadline]],2958465),Tasks[[#This Row],[_SuccessorFinishLimit]]))</f>
        <v>46303</v>
      </c>
      <c r="CG13" s="103" t="n">
        <f aca="false">IF(NOT(Tasks[[#This Row],[_IsLeaf]]=1),"",IF(N(Tasks[[#This Row],[Duration]])&lt;=0,Tasks[[#This Row],[_LeafLateFinish]],WORKDAY.INTL(Tasks[[#This Row],[_LeafLateFinish]],-(Tasks[[#This Row],[Duration]]-1),WorkWeek,Holidays)))</f>
        <v>46296</v>
      </c>
      <c r="CH1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I13" s="102" t="b">
        <f aca="false">AND(Tasks[[#This Row],[_IsLeaf]]=1,Tasks[[#This Row],[_LeafProgress]]&lt;1,N(Tasks[[#This Row],[_LeafTotalSlack]])&lt;=CriticalSlackDays)</f>
        <v>0</v>
      </c>
      <c r="CJ13" s="103" t="n">
        <f aca="false">IF(Tasks[[#This Row],[Task Name]]="","",IF(Tasks[[#This Row],[_IsSummary]],MIN(INDEX(Tasks[_LeafCalcStart],Tasks[[#This Row],[_Row]]+1):INDEX(Tasks[_LeafCalcStart],Tasks[[#This Row],[_Row]]+Tasks[[#This Row],[_Descendants]])),Tasks[[#This Row],[_LeafCalcStart]]))</f>
        <v>46289</v>
      </c>
      <c r="CK13" s="103" t="n">
        <f aca="false">IF(Tasks[[#This Row],[Task Name]]="","",IF(Tasks[[#This Row],[_IsSummary]],MAX(INDEX(Tasks[_LeafCalcFinish],Tasks[[#This Row],[_Row]]+1):INDEX(Tasks[_LeafCalcFinish],Tasks[[#This Row],[_Row]]+Tasks[[#This Row],[_Descendants]])),Tasks[[#This Row],[_LeafCalcFinish]]))</f>
        <v>46296</v>
      </c>
      <c r="CL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46289</v>
      </c>
      <c r="CO1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46293</v>
      </c>
      <c r="CQ1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 s="41" t="n">
        <f aca="false">IF(AND(Tasks[[#This Row],[_IsLeaf]]=1,Tasks[[#This Row],[_LeafWork]]&gt;0),NETWORKDAYS.INTL(ProjectStart,Tasks[[#This Row],[_LeafFcstStart]],WorkWeek,Holidays),0)</f>
        <v>16</v>
      </c>
      <c r="CS13" s="41" t="n">
        <f aca="false">IF(AND(Tasks[[#This Row],[_IsLeaf]]=1,Tasks[[#This Row],[_LeafWork]]&gt;0),MAX(Tasks[[#This Row],[_StartWorkday]],NETWORKDAYS.INTL(ProjectStart,Tasks[[#This Row],[_LeafFcstFinish]],WorkWeek,Holidays)),0)</f>
        <v>22</v>
      </c>
      <c r="CT13" s="41" t="n">
        <f aca="false">IF(AND(Tasks[[#This Row],[_IsLeaf]]=1,Tasks[[#This Row],[_LeafWork]]&gt;0),Tasks[[#This Row],[_LeafWork]]/(Tasks[[#This Row],[_FinishWorkday]]-Tasks[[#This Row],[_StartWorkday]]+1),0)</f>
        <v>6.85714285714286</v>
      </c>
      <c r="CU13" s="41" t="n">
        <f aca="false">Tasks[[#This Row],[_WorkPerWorkday]]*(Tasks[[#This Row],[_StartWorkday]]-1)</f>
        <v>102.857142857143</v>
      </c>
      <c r="CV13" s="41" t="n">
        <f aca="false">IF(Tasks[[#This Row],[_IsLeaf]]=1,MAX(N(Tasks[[#This Row],[Duration]]),0.1),0)</f>
        <v>6</v>
      </c>
      <c r="CW13" s="41" t="n">
        <f aca="false">Tasks[[#This Row],[_WeightDur]]*Tasks[[#This Row],[_LeafProgress]]</f>
        <v>6</v>
      </c>
      <c r="CX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6</v>
      </c>
      <c r="CY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6</v>
      </c>
      <c r="DA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 s="41" t="str">
        <f aca="false">IF(Tasks[[#This Row],[Task Name]]="","",Tasks[[#This Row],[_Pred1UIDText]]&amp;IF(AND(Tasks[[#This Row],[_Pred1UIDText]]&lt;&gt;"",Tasks[[#This Row],[_Pred2UIDText]]&lt;&gt;""),",","")&amp;Tasks[[#This Row],[_Pred2UIDText]])</f>
        <v>6</v>
      </c>
      <c r="DC13" s="41" t="str">
        <f aca="false">IF(AND(Tasks[[#This Row],[_IsLeaf]]=1,N(Tasks[[#This Row],[Duration]])=0,Tasks[[#This Row],[_LeafProgress]]&lt;1),Tasks[[#This Row],[_LeafFcstFinish]]+Tasks[[#This Row],[_Row]]/100000,"")</f>
        <v/>
      </c>
      <c r="DD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13" s="41" t="n">
        <f aca="false">IF(NOT(Tasks[[#This Row],[_IsLeaf]]=1),0,IF(Tasks[[#This Row],[Baseline Cost]]="",Tasks[[#This Row],[_LeafCost]],N(Tasks[[#This Row],[Baseline Cost]])))</f>
        <v>3600</v>
      </c>
      <c r="DF13" s="41" t="n">
        <f aca="false">Tasks[[#This Row],[_LeafBudget]]*Tasks[[#This Row],[_PlannedPct]]</f>
        <v>3600</v>
      </c>
      <c r="DG13" s="41" t="n">
        <f aca="false">Tasks[[#This Row],[_LeafBudget]]*Tasks[[#This Row],[_LeafProgress]]</f>
        <v>3600</v>
      </c>
      <c r="DH13" s="41" t="n">
        <f aca="false">IF(NOT(Tasks[[#This Row],[_IsLeaf]]=1),0,IF(Tasks[[#This Row],[Actual Cost]]="",Tasks[[#This Row],[_LeafCost]]*Tasks[[#This Row],[_LeafProgress]],N(Tasks[[#This Row],[Actual Cost]])))</f>
        <v>3600</v>
      </c>
      <c r="DI13" s="41" t="str">
        <f aca="false">IF(Tasks[[#This Row],[Task Name]]="","",LEFT(Tasks[[#This Row],[WBS]],FIND(".",Tasks[[#This Row],[WBS]]&amp;".")-1))</f>
        <v>2</v>
      </c>
      <c r="DJ13" s="41" t="str">
        <f aca="false">IF(AND(Tasks[[#This Row],[Task Name]]&lt;&gt;"",Tasks[[#This Row],[_Level]]=1),Tasks[[#This Row],[_Row]],"")</f>
        <v/>
      </c>
      <c r="DK13" s="41" t="str">
        <f aca="false">IF(AND(Tasks[[#This Row],[_IsLeaf]]=1,N(Tasks[[#This Row],[Duration]])=0),Tasks[[#This Row],[Planned Finish]]+Tasks[[#This Row],[_Row]]/100000,"")</f>
        <v/>
      </c>
      <c r="DL13" s="41" t="str">
        <f aca="false">IF(AND(Tasks[[#This Row],[_IsLeaf]]=1,Tasks[[#This Row],[_LeafProgress]]&lt;1,OR(N(Tasks[[#This Row],[Finish Var]])&gt;0,Tasks[[#This Row],[Status]]="Late Start")),MAX(0,Tasks[[#This Row],[Finish Var]])+1-Tasks[[#This Row],[_Row]]/1000000,"")</f>
        <v/>
      </c>
      <c r="DM13" s="41" t="str">
        <f aca="false">IF(AND(Tasks[[#This Row],[_IsLeaf]]=1,N(Tasks[[#This Row],[Actual Start]])=0,Tasks[[#This Row],[_LeafFcstStart]]&gt;=StatusDate,Tasks[[#This Row],[_LeafFcstStart]]&lt;=LookaheadEnd),Tasks[[#This Row],[_LeafFcstStart]]+Tasks[[#This Row],[_Row]]/100000,"")</f>
        <v/>
      </c>
      <c r="DN13" s="41" t="str">
        <f aca="false">IF(AND(Tasks[[#This Row],[_IsLeaf]]=1,Tasks[[#This Row],[_LeafProgress]]&lt;1,Tasks[[#This Row],[_LeafFcstFinish]]&gt;=StatusDate,Tasks[[#This Row],[_LeafFcstFinish]]&lt;=LookaheadEnd),Tasks[[#This Row],[_LeafFcstFinish]]+Tasks[[#This Row],[_Row]]/100000,"")</f>
        <v/>
      </c>
      <c r="DO13" s="41" t="str">
        <f aca="false">IF(Tasks[[#This Row],[_LeafCritical]],Tasks[[#This Row],[_LeafFcstStart]]+Tasks[[#This Row],[_Row]]/100000,"")</f>
        <v/>
      </c>
      <c r="DP13" s="41" t="n">
        <f aca="false">Tasks[[#This Row],[_LeafWork]]*Tasks[[#This Row],[_LeafProgress]]</f>
        <v>48</v>
      </c>
      <c r="DQ13" s="103" t="n">
        <f aca="false">IF(AND(Tasks[[#This Row],[_IsLeaf]]=1,Tasks[[#This Row],[_LeafProgress]]&gt;=1),IF(N(Tasks[[#This Row],[Actual Finish]])&gt;0,Tasks[[#This Row],[Actual Finish]],Tasks[[#This Row],[_LeafFcstFinish]]),"")</f>
        <v>46301</v>
      </c>
      <c r="DR13" s="41" t="n">
        <f aca="false">IF(Tasks[[#This Row],[_IsLeaf]]=1,N(Tasks[[#This Row],[Story Points]]),0)</f>
        <v>5</v>
      </c>
      <c r="DS13" s="41" t="str">
        <f aca="false">IF(AND(Tasks[[#This Row],[_IsLeaf]]=1,CurrentSprint&lt;&gt;"",Tasks[[#This Row],[Sprint]]=CurrentSprint),Tasks[[#This Row],[_Row]],"")</f>
        <v/>
      </c>
    </row>
    <row r="14" customFormat="false" ht="15" hidden="false" customHeight="false" outlineLevel="0" collapsed="false">
      <c r="A14" s="28" t="n">
        <f aca="false">IF(Tasks[[#This Row],[Task Name]]="","",COUNTA(Tasks[[#Headers],[Task Name]]:Tasks[[#This Row],[Task Name]])-1)</f>
        <v>9</v>
      </c>
      <c r="B14" s="29" t="n">
        <v>9</v>
      </c>
      <c r="C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2.4</v>
      </c>
      <c r="D14" s="29" t="n">
        <v>2</v>
      </c>
      <c r="E14" s="30" t="s">
        <v>609</v>
      </c>
      <c r="F14" s="29" t="s">
        <v>595</v>
      </c>
      <c r="G14" s="29" t="n">
        <v>0</v>
      </c>
      <c r="H14" s="29" t="n">
        <v>7</v>
      </c>
      <c r="I14" s="29" t="s">
        <v>600</v>
      </c>
      <c r="J14" s="29"/>
      <c r="K14" s="29" t="n">
        <v>8</v>
      </c>
      <c r="L14" s="29" t="s">
        <v>600</v>
      </c>
      <c r="M14" s="29"/>
      <c r="N14" s="77"/>
      <c r="O14" s="77"/>
      <c r="P14" s="25" t="n">
        <f aca="false">IF(Tasks[[#This Row],[Task Name]]="","",IF(N(Tasks[[#This Row],[Baseline Start]])&gt;0,Tasks[[#This Row],[Baseline Start]],Tasks[[#This Row],[_CalcStart]]))</f>
        <v>46296</v>
      </c>
      <c r="Q14" s="25" t="n">
        <f aca="false">IF(Tasks[[#This Row],[Task Name]]="","",IF(N(Tasks[[#This Row],[Baseline Finish]])&gt;0,Tasks[[#This Row],[Baseline Finish]],Tasks[[#This Row],[_CalcFinish]]))</f>
        <v>46296</v>
      </c>
      <c r="R14" s="77" t="n">
        <v>46301</v>
      </c>
      <c r="S14" s="77" t="n">
        <v>46301</v>
      </c>
      <c r="T14" s="25" t="n">
        <f aca="false">IF(Tasks[[#This Row],[Task Name]]="","",IF(Tasks[[#This Row],[_IsSummary]],MIN(INDEX(Tasks[_LeafFcstStart],Tasks[[#This Row],[_Row]]+1):INDEX(Tasks[_LeafFcstStart],Tasks[[#This Row],[_Row]]+Tasks[[#This Row],[_Descendants]])),Tasks[[#This Row],[_LeafFcstStart]]))</f>
        <v>46301</v>
      </c>
      <c r="U14" s="25" t="n">
        <f aca="false">IF(Tasks[[#This Row],[Task Name]]="","",IF(Tasks[[#This Row],[_IsSummary]],MAX(INDEX(Tasks[_LeafFcstFinish],Tasks[[#This Row],[_Row]]+1):INDEX(Tasks[_LeafFcstFinish],Tasks[[#This Row],[_Row]]+Tasks[[#This Row],[_Descendants]])),Tasks[[#This Row],[_LeafFcstFinish]]))</f>
        <v>46301</v>
      </c>
      <c r="V14"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4" s="43"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X14" s="25" t="n">
        <f aca="false">IF(Tasks[[#This Row],[Task Name]]="","",IF(Tasks[[#This Row],[_IsSummary]],MIN(INDEX(Tasks[_LeafLateStart],Tasks[[#This Row],[_Row]]+1):INDEX(Tasks[_LeafLateStart],Tasks[[#This Row],[_Row]]+Tasks[[#This Row],[_Descendants]])),Tasks[[#This Row],[_LeafLateStart]]))</f>
        <v>46303</v>
      </c>
      <c r="Y14" s="25" t="n">
        <f aca="false">IF(Tasks[[#This Row],[Task Name]]="","",IF(Tasks[[#This Row],[_IsSummary]],MAX(INDEX(Tasks[_LeafLateFinish],Tasks[[#This Row],[_Row]]+1):INDEX(Tasks[_LeafLateFinish],Tasks[[#This Row],[_Row]]+Tasks[[#This Row],[_Descendants]])),Tasks[[#This Row],[_LeafLateFinish]]))</f>
        <v>46303</v>
      </c>
      <c r="Z14" s="43" t="n">
        <f aca="false">IF(Tasks[[#This Row],[Task Name]]="","",IF(Tasks[[#This Row],[_IsSummary]],MIN(INDEX(Tasks[_LeafTotalSlack],Tasks[[#This Row],[_Row]]+1):INDEX(Tasks[_LeafTotalSlack],Tasks[[#This Row],[_Row]]+Tasks[[#This Row],[_Descendants]])),Tasks[[#This Row],[_LeafTotalSlack]]))</f>
        <v>2</v>
      </c>
      <c r="AA1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4" s="28" t="str">
        <f aca="false">IF(Tasks[[#This Row],[Task Name]]="","",IF(IF(Tasks[[#This Row],[_IsSummary]],COUNTIF(INDEX(Tasks[_LeafCritical],Tasks[[#This Row],[_Row]]+1):INDEX(Tasks[_LeafCritical],Tasks[[#This Row],[_Row]]+Tasks[[#This Row],[_Descendants]]),TRUE())&gt;0,Tasks[[#This Row],[_LeafCritical]]),"Yes",""))</f>
        <v/>
      </c>
      <c r="AC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 s="24" t="str">
        <f aca="false">IF(Tasks[[#This Row],[Task Name]]="","",TRIM(IF(Tasks[[#This Row],[_Pred1Problem]]&lt;&gt;"","Pred 1: "&amp;Tasks[[#This Row],[_Pred1Problem]]&amp;". ","")&amp;IF(Tasks[[#This Row],[_Pred2Problem]]&lt;&gt;"","Pred 2: "&amp;Tasks[[#This Row],[_Pred2Problem]]&amp;".","")))</f>
        <v/>
      </c>
      <c r="AE14" s="91" t="n">
        <v>1</v>
      </c>
      <c r="AF14"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4" s="28" t="str">
        <f aca="false">IF(Tasks[[#This Row],[Task Name]]="","",IF(Tasks[[#This Row],[Progress]]&gt;=1,"Complete",IF(OR(N(Tasks[[#This Row],[Actual Start]])&gt;0,Tasks[[#This Row],[Progress]]&gt;0),IF(Tasks[[#This Row],[Finish Var]]&gt;0,"Behind","In Progress"),IF(Tasks[[#This Row],[Planned Start]]&lt;StatusDate,"Late Start","Not Started"))))</f>
        <v>Complete</v>
      </c>
      <c r="AH14" s="30"/>
      <c r="AI14" s="91"/>
      <c r="AJ1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 s="98" t="n">
        <f aca="false">IF(Tasks[[#This Row],[Task Name]]="","",IF(Tasks[[#This Row],[_IsSummary]],SUM(INDEX(Tasks[_LeafWork],Tasks[[#This Row],[_Row]]+1):INDEX(Tasks[_LeafWork],Tasks[[#This Row],[_Row]]+Tasks[[#This Row],[_Descendants]])),Tasks[[#This Row],[_LeafWork]]))</f>
        <v>0</v>
      </c>
      <c r="AL14" s="99" t="n">
        <f aca="false">IF(Tasks[[#This Row],[Task Name]]="","",IF(Tasks[[#This Row],[_IsSummary]],SUM(INDEX(Tasks[_LeafCost],Tasks[[#This Row],[_Row]]+1):INDEX(Tasks[_LeafCost],Tasks[[#This Row],[_Row]]+Tasks[[#This Row],[_Descendants]])),Tasks[[#This Row],[_LeafCost]]))</f>
        <v>0</v>
      </c>
      <c r="AM14" s="100"/>
      <c r="AN14" s="29"/>
      <c r="AO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P14" s="85"/>
      <c r="AQ14" s="24" t="str">
        <f aca="false">IF(Tasks[[#This Row],[Task Name]]="","",Tasks[[#This Row],[_Pred1IDText]]&amp;IF(AND(Tasks[[#This Row],[_Pred1IDText]]&lt;&gt;"",Tasks[[#This Row],[_Pred2IDText]]&lt;&gt;""),",","")&amp;Tasks[[#This Row],[_Pred2IDText]])</f>
        <v>7,8</v>
      </c>
      <c r="AR14" s="30" t="s">
        <v>610</v>
      </c>
      <c r="AS14" s="25" t="n">
        <f aca="false">IF(Tasks[[#This Row],[Task Name]]="","",Tasks[[#This Row],[Forecast Start]])</f>
        <v>46301</v>
      </c>
      <c r="AT14" s="25" t="n">
        <f aca="false">IF(Tasks[[#This Row],[Task Name]]="","",Tasks[[#This Row],[Forecast Finish]])</f>
        <v>46301</v>
      </c>
      <c r="AU14" s="28" t="n">
        <f aca="false">IF(Tasks[[#This Row],[Task Name]]="","",IF(Tasks[[#This Row],[_IsSummary]],NETWORKDAYS.INTL(Tasks[[#This Row],[Forecast Start]],Tasks[[#This Row],[Forecast Finish]],WorkWeek,Holidays),N(Tasks[[#This Row],[Duration]])))</f>
        <v>0</v>
      </c>
      <c r="AV14" s="98" t="n">
        <f aca="false">IF(Tasks[[#This Row],[Task Name]]="","",Tasks[[#This Row],[Work]])</f>
        <v>0</v>
      </c>
      <c r="AW14" s="99" t="n">
        <f aca="false">IF(Tasks[[#This Row],[Task Name]]="","",Tasks[[#This Row],[Cost]])</f>
        <v>0</v>
      </c>
      <c r="AX14" s="77"/>
      <c r="AY14" s="77"/>
      <c r="AZ14" s="29"/>
      <c r="BA14" s="101"/>
      <c r="BB14" s="100"/>
      <c r="BC14" s="28" t="str">
        <f aca="false">IF(OR(Tasks[[#This Row],[Task Name]]="",Tasks[[#This Row],[Baseline Duration]]=""),"",Tasks[[#This Row],[BL Source Duration]]-N(Tasks[[#This Row],[Baseline Duration]]))</f>
        <v/>
      </c>
      <c r="BD14" s="98" t="str">
        <f aca="false">IF(OR(Tasks[[#This Row],[Task Name]]="",Tasks[[#This Row],[Baseline Work]]=""),"",Tasks[[#This Row],[Work]]-N(Tasks[[#This Row],[Baseline Work]]))</f>
        <v/>
      </c>
      <c r="BE14" s="99" t="str">
        <f aca="false">IF(OR(Tasks[[#This Row],[Task Name]]="",Tasks[[#This Row],[Baseline Cost]]=""),"",Tasks[[#This Row],[Cost]]-N(Tasks[[#This Row],[Baseline Cost]]))</f>
        <v/>
      </c>
      <c r="BF14" s="99" t="n">
        <f aca="false">IF(Tasks[[#This Row],[Task Name]]="","",IF(Tasks[[#This Row],[_IsSummary]],SUM(INDEX(Tasks[_LeafBudget],Tasks[[#This Row],[_Row]]+1):INDEX(Tasks[_LeafBudget],Tasks[[#This Row],[_Row]]+Tasks[[#This Row],[_Descendants]])),Tasks[[#This Row],[_LeafBudget]]))</f>
        <v>0</v>
      </c>
      <c r="BG14" s="99" t="n">
        <f aca="false">IF(Tasks[[#This Row],[Task Name]]="","",IF(Tasks[[#This Row],[_IsSummary]],SUM(INDEX(Tasks[_LeafPV],Tasks[[#This Row],[_Row]]+1):INDEX(Tasks[_LeafPV],Tasks[[#This Row],[_Row]]+Tasks[[#This Row],[_Descendants]])),Tasks[[#This Row],[_LeafPV]]))</f>
        <v>0</v>
      </c>
      <c r="BH14" s="99" t="n">
        <f aca="false">IF(Tasks[[#This Row],[Task Name]]="","",IF(Tasks[[#This Row],[_IsSummary]],SUM(INDEX(Tasks[_LeafEV],Tasks[[#This Row],[_Row]]+1):INDEX(Tasks[_LeafEV],Tasks[[#This Row],[_Row]]+Tasks[[#This Row],[_Descendants]])),Tasks[[#This Row],[_LeafEV]]))</f>
        <v>0</v>
      </c>
      <c r="BI14" s="99" t="n">
        <f aca="false">IF(Tasks[[#This Row],[Task Name]]="","",IF(Tasks[[#This Row],[_IsSummary]],SUM(INDEX(Tasks[_LeafAC],Tasks[[#This Row],[_Row]]+1):INDEX(Tasks[_LeafAC],Tasks[[#This Row],[_Row]]+Tasks[[#This Row],[_Descendants]])),Tasks[[#This Row],[_LeafAC]]))</f>
        <v>0</v>
      </c>
      <c r="BJ14" s="41" t="n">
        <f aca="false">IF(Tasks[[#This Row],[Task Name]]="","",MAX(1,N(Tasks[[#This Row],[Level]])))</f>
        <v>2</v>
      </c>
      <c r="BK14" s="41" t="n">
        <f aca="false">ROW()-ROW(Tasks[[#Headers],[ID]])</f>
        <v>9</v>
      </c>
      <c r="BL14" s="41" t="n">
        <f aca="false">IF(OR(Tasks[[#This Row],[Task Name]]="",Tasks[[#This Row],[_Level]]&lt;=1),0,IFERROR(LOOKUP(2,1/(Tasks[[#Headers],[_Level]]:Tasks[[#This Row],[_Level]]=Tasks[[#This Row],[_Level]]-1),ROW(Tasks[[#Headers],[_Level]]:Tasks[[#This Row],[_Level]])),0))</f>
        <v>10</v>
      </c>
      <c r="BM14" s="41" t="n">
        <f aca="false">IFERROR(N(INDEX(Tasks[_Level],Tasks[[#This Row],[_Row]]+1)),0)</f>
        <v>1</v>
      </c>
      <c r="BN14" s="102" t="b">
        <f aca="false">AND(Tasks[[#This Row],[Task Name]]&lt;&gt;"",Tasks[[#This Row],[_NextLevel]]&gt;Tasks[[#This Row],[_Level]])</f>
        <v>0</v>
      </c>
      <c r="BO14" s="41" t="n">
        <f aca="false">IF(Tasks[[#This Row],[_IsSummary]],COUNTIF(Tasks[WBS],Tasks[[#This Row],[WBS]]&amp;".*"),0)</f>
        <v>0</v>
      </c>
      <c r="BP14" s="41" t="n">
        <f aca="false">IF(AND(Tasks[[#This Row],[Task Name]]&lt;&gt;"",NOT(Tasks[[#This Row],[_IsSummary]])),1,0)</f>
        <v>1</v>
      </c>
      <c r="BQ14" s="41" t="n">
        <f aca="false">IF(N(Tasks[[#This Row],[Pred1 UID]])=0,0,IFERROR(MATCH(Tasks[[#This Row],[Pred1 UID]],Tasks[UID],0),-1))</f>
        <v>7</v>
      </c>
      <c r="BR14" s="41" t="n">
        <f aca="false">IF(N(Tasks[[#This Row],[Pred2 UID]])=0,0,IFERROR(MATCH(Tasks[[#This Row],[Pred2 UID]],Tasks[UID],0),-1))</f>
        <v>8</v>
      </c>
      <c r="BS14"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46296</v>
      </c>
      <c r="BT14" s="103" t="n">
        <f aca="false">IF(NOT(Tasks[[#This Row],[_IsLeaf]]=1),"",IF(N(Tasks[[#This Row],[Duration]])&lt;=0,Tasks[[#This Row],[_LeafCalcStart]],WORKDAY.INTL(Tasks[[#This Row],[_LeafCalcStart]],Tasks[[#This Row],[Duration]]-1,WorkWeek,Holidays)))</f>
        <v>46296</v>
      </c>
      <c r="BU14"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46301</v>
      </c>
      <c r="BV14"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BW14" s="41" t="n">
        <f aca="false">IF(NOT(Tasks[[#This Row],[_IsLeaf]]=1),0,IF(N(Tasks[[#This Row],[Actual Finish]])&gt;0,1,MIN(1,N(Tasks[[#This Row],[% Complete]]))))</f>
        <v>1</v>
      </c>
      <c r="BX14" s="41" t="n">
        <f aca="false">IF(OR(NOT(Tasks[[#This Row],[_IsLeaf]]=1),Tasks[[#This Row],[Resource]]=""),0,N(Tasks[[#This Row],[Duration]])*HoursPerDay*IF(Tasks[[#This Row],[Units]]="",DefaultUnits,Tasks[[#This Row],[Units]]))</f>
        <v>0</v>
      </c>
      <c r="BY14" s="41" t="n">
        <f aca="false">IF(Tasks[[#This Row],[_LeafWork]]=0,0,Tasks[[#This Row],[_LeafWork]]*IFERROR(INDEX(res_Rate,MATCH(Tasks[[#This Row],[Resource]],res_Name,0)),0))</f>
        <v>0</v>
      </c>
      <c r="BZ14"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A14"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2912162</v>
      </c>
      <c r="CB1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99993</v>
      </c>
      <c r="CC14"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D14" s="41" t="n">
        <f aca="false">IF(NOT(Tasks[[#This Row],[_IsLeaf]]=1),0,MAX(_xlfn.MAXIFS(Tasks[_Row],Tasks[Pred1 UID],Tasks[[#This Row],[UID]]),_xlfn.MAXIFS(Tasks[_Row],Tasks[Pred2 UID],Tasks[[#This Row],[UID]])))</f>
        <v>16</v>
      </c>
      <c r="CE14"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46303</v>
      </c>
      <c r="CF14" s="103" t="n">
        <f aca="false">IF(NOT(Tasks[[#This Row],[_IsLeaf]]=1),"",MIN(ProjectFinish,IF(N(Tasks[[#This Row],[Deadline]])&gt;0,Tasks[[#This Row],[Deadline]],2958465),Tasks[[#This Row],[_SuccessorFinishLimit]]))</f>
        <v>46303</v>
      </c>
      <c r="CG14" s="103" t="n">
        <f aca="false">IF(NOT(Tasks[[#This Row],[_IsLeaf]]=1),"",IF(N(Tasks[[#This Row],[Duration]])&lt;=0,Tasks[[#This Row],[_LeafLateFinish]],WORKDAY.INTL(Tasks[[#This Row],[_LeafLateFinish]],-(Tasks[[#This Row],[Duration]]-1),WorkWeek,Holidays)))</f>
        <v>46303</v>
      </c>
      <c r="CH1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I14" s="102" t="b">
        <f aca="false">AND(Tasks[[#This Row],[_IsLeaf]]=1,Tasks[[#This Row],[_LeafProgress]]&lt;1,N(Tasks[[#This Row],[_LeafTotalSlack]])&lt;=CriticalSlackDays)</f>
        <v>0</v>
      </c>
      <c r="CJ14" s="103" t="n">
        <f aca="false">IF(Tasks[[#This Row],[Task Name]]="","",IF(Tasks[[#This Row],[_IsSummary]],MIN(INDEX(Tasks[_LeafCalcStart],Tasks[[#This Row],[_Row]]+1):INDEX(Tasks[_LeafCalcStart],Tasks[[#This Row],[_Row]]+Tasks[[#This Row],[_Descendants]])),Tasks[[#This Row],[_LeafCalcStart]]))</f>
        <v>46296</v>
      </c>
      <c r="CK14" s="103" t="n">
        <f aca="false">IF(Tasks[[#This Row],[Task Name]]="","",IF(Tasks[[#This Row],[_IsSummary]],MAX(INDEX(Tasks[_LeafCalcFinish],Tasks[[#This Row],[_Row]]+1):INDEX(Tasks[_LeafCalcFinish],Tasks[[#This Row],[_Row]]+Tasks[[#This Row],[_Descendants]])),Tasks[[#This Row],[_LeafCalcFinish]]))</f>
        <v>46296</v>
      </c>
      <c r="CL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46288</v>
      </c>
      <c r="CO1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46296</v>
      </c>
      <c r="CP1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46290</v>
      </c>
      <c r="CQ1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46301</v>
      </c>
      <c r="CR14" s="41" t="n">
        <f aca="false">IF(AND(Tasks[[#This Row],[_IsLeaf]]=1,Tasks[[#This Row],[_LeafWork]]&gt;0),NETWORKDAYS.INTL(ProjectStart,Tasks[[#This Row],[_LeafFcstStart]],WorkWeek,Holidays),0)</f>
        <v>0</v>
      </c>
      <c r="CS14" s="41" t="n">
        <f aca="false">IF(AND(Tasks[[#This Row],[_IsLeaf]]=1,Tasks[[#This Row],[_LeafWork]]&gt;0),MAX(Tasks[[#This Row],[_StartWorkday]],NETWORKDAYS.INTL(ProjectStart,Tasks[[#This Row],[_LeafFcstFinish]],WorkWeek,Holidays)),0)</f>
        <v>0</v>
      </c>
      <c r="CT14" s="41" t="n">
        <f aca="false">IF(AND(Tasks[[#This Row],[_IsLeaf]]=1,Tasks[[#This Row],[_LeafWork]]&gt;0),Tasks[[#This Row],[_LeafWork]]/(Tasks[[#This Row],[_FinishWorkday]]-Tasks[[#This Row],[_StartWorkday]]+1),0)</f>
        <v>0</v>
      </c>
      <c r="CU14" s="41" t="n">
        <f aca="false">Tasks[[#This Row],[_WorkPerWorkday]]*(Tasks[[#This Row],[_StartWorkday]]-1)</f>
        <v>-0</v>
      </c>
      <c r="CV14" s="41" t="n">
        <f aca="false">IF(Tasks[[#This Row],[_IsLeaf]]=1,MAX(N(Tasks[[#This Row],[Duration]]),0.1),0)</f>
        <v>0.1</v>
      </c>
      <c r="CW14" s="41" t="n">
        <f aca="false">Tasks[[#This Row],[_WeightDur]]*Tasks[[#This Row],[_LeafProgress]]</f>
        <v>0.1</v>
      </c>
      <c r="CX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7</v>
      </c>
      <c r="CY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8</v>
      </c>
      <c r="CZ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7</v>
      </c>
      <c r="DA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8</v>
      </c>
      <c r="DB14" s="41" t="str">
        <f aca="false">IF(Tasks[[#This Row],[Task Name]]="","",Tasks[[#This Row],[_Pred1UIDText]]&amp;IF(AND(Tasks[[#This Row],[_Pred1UIDText]]&lt;&gt;"",Tasks[[#This Row],[_Pred2UIDText]]&lt;&gt;""),",","")&amp;Tasks[[#This Row],[_Pred2UIDText]])</f>
        <v>7,8</v>
      </c>
      <c r="DC14" s="41" t="str">
        <f aca="false">IF(AND(Tasks[[#This Row],[_IsLeaf]]=1,N(Tasks[[#This Row],[Duration]])=0,Tasks[[#This Row],[_LeafProgress]]&lt;1),Tasks[[#This Row],[_LeafFcstFinish]]+Tasks[[#This Row],[_Row]]/100000,"")</f>
        <v/>
      </c>
      <c r="DD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14" s="41" t="n">
        <f aca="false">IF(NOT(Tasks[[#This Row],[_IsLeaf]]=1),0,IF(Tasks[[#This Row],[Baseline Cost]]="",Tasks[[#This Row],[_LeafCost]],N(Tasks[[#This Row],[Baseline Cost]])))</f>
        <v>0</v>
      </c>
      <c r="DF14" s="41" t="n">
        <f aca="false">Tasks[[#This Row],[_LeafBudget]]*Tasks[[#This Row],[_PlannedPct]]</f>
        <v>0</v>
      </c>
      <c r="DG14" s="41" t="n">
        <f aca="false">Tasks[[#This Row],[_LeafBudget]]*Tasks[[#This Row],[_LeafProgress]]</f>
        <v>0</v>
      </c>
      <c r="DH14" s="41" t="n">
        <f aca="false">IF(NOT(Tasks[[#This Row],[_IsLeaf]]=1),0,IF(Tasks[[#This Row],[Actual Cost]]="",Tasks[[#This Row],[_LeafCost]]*Tasks[[#This Row],[_LeafProgress]],N(Tasks[[#This Row],[Actual Cost]])))</f>
        <v>0</v>
      </c>
      <c r="DI14" s="41" t="str">
        <f aca="false">IF(Tasks[[#This Row],[Task Name]]="","",LEFT(Tasks[[#This Row],[WBS]],FIND(".",Tasks[[#This Row],[WBS]]&amp;".")-1))</f>
        <v>2</v>
      </c>
      <c r="DJ14" s="41" t="str">
        <f aca="false">IF(AND(Tasks[[#This Row],[Task Name]]&lt;&gt;"",Tasks[[#This Row],[_Level]]=1),Tasks[[#This Row],[_Row]],"")</f>
        <v/>
      </c>
      <c r="DK14" s="104" t="n">
        <f aca="false">IF(AND(Tasks[[#This Row],[_IsLeaf]]=1,N(Tasks[[#This Row],[Duration]])=0),Tasks[[#This Row],[Planned Finish]]+Tasks[[#This Row],[_Row]]/100000,"")</f>
        <v>46296.00009</v>
      </c>
      <c r="DL14" s="41" t="str">
        <f aca="false">IF(AND(Tasks[[#This Row],[_IsLeaf]]=1,Tasks[[#This Row],[_LeafProgress]]&lt;1,OR(N(Tasks[[#This Row],[Finish Var]])&gt;0,Tasks[[#This Row],[Status]]="Late Start")),MAX(0,Tasks[[#This Row],[Finish Var]])+1-Tasks[[#This Row],[_Row]]/1000000,"")</f>
        <v/>
      </c>
      <c r="DM14" s="41" t="str">
        <f aca="false">IF(AND(Tasks[[#This Row],[_IsLeaf]]=1,N(Tasks[[#This Row],[Actual Start]])=0,Tasks[[#This Row],[_LeafFcstStart]]&gt;=StatusDate,Tasks[[#This Row],[_LeafFcstStart]]&lt;=LookaheadEnd),Tasks[[#This Row],[_LeafFcstStart]]+Tasks[[#This Row],[_Row]]/100000,"")</f>
        <v/>
      </c>
      <c r="DN14" s="41" t="str">
        <f aca="false">IF(AND(Tasks[[#This Row],[_IsLeaf]]=1,Tasks[[#This Row],[_LeafProgress]]&lt;1,Tasks[[#This Row],[_LeafFcstFinish]]&gt;=StatusDate,Tasks[[#This Row],[_LeafFcstFinish]]&lt;=LookaheadEnd),Tasks[[#This Row],[_LeafFcstFinish]]+Tasks[[#This Row],[_Row]]/100000,"")</f>
        <v/>
      </c>
      <c r="DO14" s="41" t="str">
        <f aca="false">IF(Tasks[[#This Row],[_LeafCritical]],Tasks[[#This Row],[_LeafFcstStart]]+Tasks[[#This Row],[_Row]]/100000,"")</f>
        <v/>
      </c>
      <c r="DP14" s="41" t="n">
        <f aca="false">Tasks[[#This Row],[_LeafWork]]*Tasks[[#This Row],[_LeafProgress]]</f>
        <v>0</v>
      </c>
      <c r="DQ14" s="103" t="n">
        <f aca="false">IF(AND(Tasks[[#This Row],[_IsLeaf]]=1,Tasks[[#This Row],[_LeafProgress]]&gt;=1),IF(N(Tasks[[#This Row],[Actual Finish]])&gt;0,Tasks[[#This Row],[Actual Finish]],Tasks[[#This Row],[_LeafFcstFinish]]),"")</f>
        <v>46301</v>
      </c>
      <c r="DR14" s="41" t="n">
        <f aca="false">IF(Tasks[[#This Row],[_IsLeaf]]=1,N(Tasks[[#This Row],[Story Points]]),0)</f>
        <v>0</v>
      </c>
      <c r="DS14" s="41" t="str">
        <f aca="false">IF(AND(Tasks[[#This Row],[_IsLeaf]]=1,CurrentSprint&lt;&gt;"",Tasks[[#This Row],[Sprint]]=CurrentSprint),Tasks[[#This Row],[_Row]],"")</f>
        <v/>
      </c>
    </row>
    <row r="15" customFormat="false" ht="15" hidden="false" customHeight="false" outlineLevel="0" collapsed="false">
      <c r="A15" s="28" t="n">
        <f aca="false">IF(Tasks[[#This Row],[Task Name]]="","",COUNTA(Tasks[[#Headers],[Task Name]]:Tasks[[#This Row],[Task Name]])-1)</f>
        <v>10</v>
      </c>
      <c r="B15" s="29" t="n">
        <v>10</v>
      </c>
      <c r="C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D15" s="29" t="n">
        <v>1</v>
      </c>
      <c r="E15" s="30" t="s">
        <v>611</v>
      </c>
      <c r="F15" s="29" t="s">
        <v>595</v>
      </c>
      <c r="G15" s="29"/>
      <c r="H15" s="29"/>
      <c r="I15" s="29"/>
      <c r="J15" s="29"/>
      <c r="K15" s="29"/>
      <c r="L15" s="29"/>
      <c r="M15" s="29"/>
      <c r="N15" s="77"/>
      <c r="O15" s="77"/>
      <c r="P15" s="25" t="n">
        <f aca="false">IF(Tasks[[#This Row],[Task Name]]="","",IF(N(Tasks[[#This Row],[Baseline Start]])&gt;0,Tasks[[#This Row],[Baseline Start]],Tasks[[#This Row],[_CalcStart]]))</f>
        <v>46297</v>
      </c>
      <c r="Q15" s="25" t="n">
        <f aca="false">IF(Tasks[[#This Row],[Task Name]]="","",IF(N(Tasks[[#This Row],[Baseline Finish]])&gt;0,Tasks[[#This Row],[Baseline Finish]],Tasks[[#This Row],[_CalcFinish]]))</f>
        <v>46325</v>
      </c>
      <c r="R15" s="77"/>
      <c r="S15" s="77"/>
      <c r="T15" s="25" t="n">
        <f aca="false">IF(Tasks[[#This Row],[Task Name]]="","",IF(Tasks[[#This Row],[_IsSummary]],MIN(INDEX(Tasks[_LeafFcstStart],Tasks[[#This Row],[_Row]]+1):INDEX(Tasks[_LeafFcstStart],Tasks[[#This Row],[_Row]]+Tasks[[#This Row],[_Descendants]])),Tasks[[#This Row],[_LeafFcstStart]]))</f>
        <v>46302</v>
      </c>
      <c r="U15" s="25" t="n">
        <f aca="false">IF(Tasks[[#This Row],[Task Name]]="","",IF(Tasks[[#This Row],[_IsSummary]],MAX(INDEX(Tasks[_LeafFcstFinish],Tasks[[#This Row],[_Row]]+1):INDEX(Tasks[_LeafFcstFinish],Tasks[[#This Row],[_Row]]+Tasks[[#This Row],[_Descendants]])),Tasks[[#This Row],[_LeafFcstFinish]]))</f>
        <v>46335</v>
      </c>
      <c r="V15"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5"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5" s="25" t="n">
        <f aca="false">IF(Tasks[[#This Row],[Task Name]]="","",IF(Tasks[[#This Row],[_IsSummary]],MIN(INDEX(Tasks[_LeafLateStart],Tasks[[#This Row],[_Row]]+1):INDEX(Tasks[_LeafLateStart],Tasks[[#This Row],[_Row]]+Tasks[[#This Row],[_Descendants]])),Tasks[[#This Row],[_LeafLateStart]]))</f>
        <v>46304</v>
      </c>
      <c r="Y15" s="25" t="n">
        <f aca="false">IF(Tasks[[#This Row],[Task Name]]="","",IF(Tasks[[#This Row],[_IsSummary]],MAX(INDEX(Tasks[_LeafLateFinish],Tasks[[#This Row],[_Row]]+1):INDEX(Tasks[_LeafLateFinish],Tasks[[#This Row],[_Row]]+Tasks[[#This Row],[_Descendants]])),Tasks[[#This Row],[_LeafLateFinish]]))</f>
        <v>46332</v>
      </c>
      <c r="Z15" s="43" t="n">
        <f aca="false">IF(Tasks[[#This Row],[Task Name]]="","",IF(Tasks[[#This Row],[_IsSummary]],MIN(INDEX(Tasks[_LeafTotalSlack],Tasks[[#This Row],[_Row]]+1):INDEX(Tasks[_LeafTotalSlack],Tasks[[#This Row],[_Row]]+Tasks[[#This Row],[_Descendants]])),Tasks[[#This Row],[_LeafTotalSlack]]))</f>
        <v>-1</v>
      </c>
      <c r="AA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 s="28" t="str">
        <f aca="false">IF(Tasks[[#This Row],[Task Name]]="","",IF(IF(Tasks[[#This Row],[_IsSummary]],COUNTIF(INDEX(Tasks[_LeafCritical],Tasks[[#This Row],[_Row]]+1):INDEX(Tasks[_LeafCritical],Tasks[[#This Row],[_Row]]+Tasks[[#This Row],[_Descendants]]),TRUE())&gt;0,Tasks[[#This Row],[_LeafCritical]]),"Yes",""))</f>
        <v>Yes</v>
      </c>
      <c r="AC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 s="24" t="str">
        <f aca="false">IF(Tasks[[#This Row],[Task Name]]="","",TRIM(IF(Tasks[[#This Row],[_Pred1Problem]]&lt;&gt;"","Pred 1: "&amp;Tasks[[#This Row],[_Pred1Problem]]&amp;". ","")&amp;IF(Tasks[[#This Row],[_Pred2Problem]]&lt;&gt;"","Pred 2: "&amp;Tasks[[#This Row],[_Pred2Problem]]&amp;".","")))</f>
        <v/>
      </c>
      <c r="AE15" s="91"/>
      <c r="AF15"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0.451306413301663</v>
      </c>
      <c r="AG15" s="28" t="str">
        <f aca="false">IF(Tasks[[#This Row],[Task Name]]="","",IF(Tasks[[#This Row],[Progress]]&gt;=1,"Complete",IF(OR(N(Tasks[[#This Row],[Actual Start]])&gt;0,Tasks[[#This Row],[Progress]]&gt;0),IF(Tasks[[#This Row],[Finish Var]]&gt;0,"Behind","In Progress"),IF(Tasks[[#This Row],[Planned Start]]&lt;StatusDate,"Late Start","Not Started"))))</f>
        <v>Behind</v>
      </c>
      <c r="AH15" s="30"/>
      <c r="AI15" s="91"/>
      <c r="AJ1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 s="98" t="n">
        <f aca="false">IF(Tasks[[#This Row],[Task Name]]="","",IF(Tasks[[#This Row],[_IsSummary]],SUM(INDEX(Tasks[_LeafWork],Tasks[[#This Row],[_Row]]+1):INDEX(Tasks[_LeafWork],Tasks[[#This Row],[_Row]]+Tasks[[#This Row],[_Descendants]])),Tasks[[#This Row],[_LeafWork]]))</f>
        <v>324</v>
      </c>
      <c r="AL15" s="99" t="n">
        <f aca="false">IF(Tasks[[#This Row],[Task Name]]="","",IF(Tasks[[#This Row],[_IsSummary]],SUM(INDEX(Tasks[_LeafCost],Tasks[[#This Row],[_Row]]+1):INDEX(Tasks[_LeafCost],Tasks[[#This Row],[_Row]]+Tasks[[#This Row],[_Descendants]])),Tasks[[#This Row],[_LeafCost]]))</f>
        <v>26700</v>
      </c>
      <c r="AM15" s="100"/>
      <c r="AN15" s="29"/>
      <c r="AO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 s="85"/>
      <c r="AQ15" s="24" t="str">
        <f aca="false">IF(Tasks[[#This Row],[Task Name]]="","",Tasks[[#This Row],[_Pred1IDText]]&amp;IF(AND(Tasks[[#This Row],[_Pred1IDText]]&lt;&gt;"",Tasks[[#This Row],[_Pred2IDText]]&lt;&gt;""),",","")&amp;Tasks[[#This Row],[_Pred2IDText]])</f>
        <v/>
      </c>
      <c r="AR15" s="30"/>
      <c r="AS15" s="25" t="n">
        <f aca="false">IF(Tasks[[#This Row],[Task Name]]="","",Tasks[[#This Row],[Forecast Start]])</f>
        <v>46302</v>
      </c>
      <c r="AT15" s="25" t="n">
        <f aca="false">IF(Tasks[[#This Row],[Task Name]]="","",Tasks[[#This Row],[Forecast Finish]])</f>
        <v>46335</v>
      </c>
      <c r="AU15" s="28" t="n">
        <f aca="false">IF(Tasks[[#This Row],[Task Name]]="","",IF(Tasks[[#This Row],[_IsSummary]],NETWORKDAYS.INTL(Tasks[[#This Row],[Forecast Start]],Tasks[[#This Row],[Forecast Finish]],WorkWeek,Holidays),N(Tasks[[#This Row],[Duration]])))</f>
        <v>24</v>
      </c>
      <c r="AV15" s="98" t="n">
        <f aca="false">IF(Tasks[[#This Row],[Task Name]]="","",Tasks[[#This Row],[Work]])</f>
        <v>324</v>
      </c>
      <c r="AW15" s="99" t="n">
        <f aca="false">IF(Tasks[[#This Row],[Task Name]]="","",Tasks[[#This Row],[Cost]])</f>
        <v>26700</v>
      </c>
      <c r="AX15" s="77"/>
      <c r="AY15" s="77"/>
      <c r="AZ15" s="29"/>
      <c r="BA15" s="101"/>
      <c r="BB15" s="100"/>
      <c r="BC15" s="28" t="str">
        <f aca="false">IF(OR(Tasks[[#This Row],[Task Name]]="",Tasks[[#This Row],[Baseline Duration]]=""),"",Tasks[[#This Row],[BL Source Duration]]-N(Tasks[[#This Row],[Baseline Duration]]))</f>
        <v/>
      </c>
      <c r="BD15" s="98" t="str">
        <f aca="false">IF(OR(Tasks[[#This Row],[Task Name]]="",Tasks[[#This Row],[Baseline Work]]=""),"",Tasks[[#This Row],[Work]]-N(Tasks[[#This Row],[Baseline Work]]))</f>
        <v/>
      </c>
      <c r="BE15" s="99" t="str">
        <f aca="false">IF(OR(Tasks[[#This Row],[Task Name]]="",Tasks[[#This Row],[Baseline Cost]]=""),"",Tasks[[#This Row],[Cost]]-N(Tasks[[#This Row],[Baseline Cost]]))</f>
        <v/>
      </c>
      <c r="BF15" s="99" t="n">
        <f aca="false">IF(Tasks[[#This Row],[Task Name]]="","",IF(Tasks[[#This Row],[_IsSummary]],SUM(INDEX(Tasks[_LeafBudget],Tasks[[#This Row],[_Row]]+1):INDEX(Tasks[_LeafBudget],Tasks[[#This Row],[_Row]]+Tasks[[#This Row],[_Descendants]])),Tasks[[#This Row],[_LeafBudget]]))</f>
        <v>26700</v>
      </c>
      <c r="BG15" s="99" t="n">
        <f aca="false">IF(Tasks[[#This Row],[Task Name]]="","",IF(Tasks[[#This Row],[_IsSummary]],SUM(INDEX(Tasks[_LeafPV],Tasks[[#This Row],[_Row]]+1):INDEX(Tasks[_LeafPV],Tasks[[#This Row],[_Row]]+Tasks[[#This Row],[_Descendants]])),Tasks[[#This Row],[_LeafPV]]))</f>
        <v>20480</v>
      </c>
      <c r="BH15" s="99" t="n">
        <f aca="false">IF(Tasks[[#This Row],[Task Name]]="","",IF(Tasks[[#This Row],[_IsSummary]],SUM(INDEX(Tasks[_LeafEV],Tasks[[#This Row],[_Row]]+1):INDEX(Tasks[_LeafEV],Tasks[[#This Row],[_Row]]+Tasks[[#This Row],[_Descendants]])),Tasks[[#This Row],[_LeafEV]]))</f>
        <v>12560</v>
      </c>
      <c r="BI15" s="99" t="n">
        <f aca="false">IF(Tasks[[#This Row],[Task Name]]="","",IF(Tasks[[#This Row],[_IsSummary]],SUM(INDEX(Tasks[_LeafAC],Tasks[[#This Row],[_Row]]+1):INDEX(Tasks[_LeafAC],Tasks[[#This Row],[_Row]]+Tasks[[#This Row],[_Descendants]])),Tasks[[#This Row],[_LeafAC]]))</f>
        <v>13240</v>
      </c>
      <c r="BJ15" s="41" t="n">
        <f aca="false">IF(Tasks[[#This Row],[Task Name]]="","",MAX(1,N(Tasks[[#This Row],[Level]])))</f>
        <v>1</v>
      </c>
      <c r="BK15" s="41" t="n">
        <f aca="false">ROW()-ROW(Tasks[[#Headers],[ID]])</f>
        <v>10</v>
      </c>
      <c r="BL15" s="41" t="n">
        <f aca="false">IF(OR(Tasks[[#This Row],[Task Name]]="",Tasks[[#This Row],[_Level]]&lt;=1),0,IFERROR(LOOKUP(2,1/(Tasks[[#Headers],[_Level]]:Tasks[[#This Row],[_Level]]=Tasks[[#This Row],[_Level]]-1),ROW(Tasks[[#Headers],[_Level]]:Tasks[[#This Row],[_Level]])),0))</f>
        <v>0</v>
      </c>
      <c r="BM15" s="41" t="n">
        <f aca="false">IFERROR(N(INDEX(Tasks[_Level],Tasks[[#This Row],[_Row]]+1)),0)</f>
        <v>2</v>
      </c>
      <c r="BN15" s="102" t="b">
        <f aca="false">AND(Tasks[[#This Row],[Task Name]]&lt;&gt;"",Tasks[[#This Row],[_NextLevel]]&gt;Tasks[[#This Row],[_Level]])</f>
        <v>1</v>
      </c>
      <c r="BO15" s="41" t="n">
        <f aca="false">IF(Tasks[[#This Row],[_IsSummary]],COUNTIF(Tasks[WBS],Tasks[[#This Row],[WBS]]&amp;".*"),0)</f>
        <v>9</v>
      </c>
      <c r="BP15" s="41" t="n">
        <f aca="false">IF(AND(Tasks[[#This Row],[Task Name]]&lt;&gt;"",NOT(Tasks[[#This Row],[_IsSummary]])),1,0)</f>
        <v>0</v>
      </c>
      <c r="BQ15" s="41" t="n">
        <f aca="false">IF(N(Tasks[[#This Row],[Pred1 UID]])=0,0,IFERROR(MATCH(Tasks[[#This Row],[Pred1 UID]],Tasks[UID],0),-1))</f>
        <v>0</v>
      </c>
      <c r="BR15" s="41" t="n">
        <f aca="false">IF(N(Tasks[[#This Row],[Pred2 UID]])=0,0,IFERROR(MATCH(Tasks[[#This Row],[Pred2 UID]],Tasks[UID],0),-1))</f>
        <v>0</v>
      </c>
      <c r="BS1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 s="103" t="str">
        <f aca="false">IF(NOT(Tasks[[#This Row],[_IsLeaf]]=1),"",IF(N(Tasks[[#This Row],[Duration]])&lt;=0,Tasks[[#This Row],[_LeafCalcStart]],WORKDAY.INTL(Tasks[[#This Row],[_LeafCalcStart]],Tasks[[#This Row],[Duration]]-1,WorkWeek,Holidays)))</f>
        <v/>
      </c>
      <c r="BU1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 s="41" t="n">
        <f aca="false">IF(NOT(Tasks[[#This Row],[_IsLeaf]]=1),0,IF(N(Tasks[[#This Row],[Actual Finish]])&gt;0,1,MIN(1,N(Tasks[[#This Row],[% Complete]]))))</f>
        <v>0</v>
      </c>
      <c r="BX15" s="41" t="n">
        <f aca="false">IF(OR(NOT(Tasks[[#This Row],[_IsLeaf]]=1),Tasks[[#This Row],[Resource]]=""),0,N(Tasks[[#This Row],[Duration]])*HoursPerDay*IF(Tasks[[#This Row],[Units]]="",DefaultUnits,Tasks[[#This Row],[Units]]))</f>
        <v>0</v>
      </c>
      <c r="BY15" s="41" t="n">
        <f aca="false">IF(Tasks[[#This Row],[_LeafWork]]=0,0,Tasks[[#This Row],[_LeafWork]]*IFERROR(INDEX(res_Rate,MATCH(Tasks[[#This Row],[Resource]],res_Name,0)),0))</f>
        <v>0</v>
      </c>
      <c r="BZ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 s="41" t="n">
        <f aca="false">IF(NOT(Tasks[[#This Row],[_IsLeaf]]=1),0,MAX(_xlfn.MAXIFS(Tasks[_Row],Tasks[Pred1 UID],Tasks[[#This Row],[UID]]),_xlfn.MAXIFS(Tasks[_Row],Tasks[Pred2 UID],Tasks[[#This Row],[UID]])))</f>
        <v>0</v>
      </c>
      <c r="CE1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 s="103" t="str">
        <f aca="false">IF(NOT(Tasks[[#This Row],[_IsLeaf]]=1),"",MIN(ProjectFinish,IF(N(Tasks[[#This Row],[Deadline]])&gt;0,Tasks[[#This Row],[Deadline]],2958465),Tasks[[#This Row],[_SuccessorFinishLimit]]))</f>
        <v/>
      </c>
      <c r="CG15" s="103" t="str">
        <f aca="false">IF(NOT(Tasks[[#This Row],[_IsLeaf]]=1),"",IF(N(Tasks[[#This Row],[Duration]])&lt;=0,Tasks[[#This Row],[_LeafLateFinish]],WORKDAY.INTL(Tasks[[#This Row],[_LeafLateFinish]],-(Tasks[[#This Row],[Duration]]-1),WorkWeek,Holidays)))</f>
        <v/>
      </c>
      <c r="CH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 s="102" t="b">
        <f aca="false">AND(Tasks[[#This Row],[_IsLeaf]]=1,Tasks[[#This Row],[_LeafProgress]]&lt;1,N(Tasks[[#This Row],[_LeafTotalSlack]])&lt;=CriticalSlackDays)</f>
        <v>0</v>
      </c>
      <c r="CJ15" s="103" t="n">
        <f aca="false">IF(Tasks[[#This Row],[Task Name]]="","",IF(Tasks[[#This Row],[_IsSummary]],MIN(INDEX(Tasks[_LeafCalcStart],Tasks[[#This Row],[_Row]]+1):INDEX(Tasks[_LeafCalcStart],Tasks[[#This Row],[_Row]]+Tasks[[#This Row],[_Descendants]])),Tasks[[#This Row],[_LeafCalcStart]]))</f>
        <v>46297</v>
      </c>
      <c r="CK15" s="103" t="n">
        <f aca="false">IF(Tasks[[#This Row],[Task Name]]="","",IF(Tasks[[#This Row],[_IsSummary]],MAX(INDEX(Tasks[_LeafCalcFinish],Tasks[[#This Row],[_Row]]+1):INDEX(Tasks[_LeafCalcFinish],Tasks[[#This Row],[_Row]]+Tasks[[#This Row],[_Descendants]])),Tasks[[#This Row],[_LeafCalcFinish]]))</f>
        <v>46325</v>
      </c>
      <c r="CL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 s="41" t="n">
        <f aca="false">IF(AND(Tasks[[#This Row],[_IsLeaf]]=1,Tasks[[#This Row],[_LeafWork]]&gt;0),NETWORKDAYS.INTL(ProjectStart,Tasks[[#This Row],[_LeafFcstStart]],WorkWeek,Holidays),0)</f>
        <v>0</v>
      </c>
      <c r="CS15" s="41" t="n">
        <f aca="false">IF(AND(Tasks[[#This Row],[_IsLeaf]]=1,Tasks[[#This Row],[_LeafWork]]&gt;0),MAX(Tasks[[#This Row],[_StartWorkday]],NETWORKDAYS.INTL(ProjectStart,Tasks[[#This Row],[_LeafFcstFinish]],WorkWeek,Holidays)),0)</f>
        <v>0</v>
      </c>
      <c r="CT15" s="41" t="n">
        <f aca="false">IF(AND(Tasks[[#This Row],[_IsLeaf]]=1,Tasks[[#This Row],[_LeafWork]]&gt;0),Tasks[[#This Row],[_LeafWork]]/(Tasks[[#This Row],[_FinishWorkday]]-Tasks[[#This Row],[_StartWorkday]]+1),0)</f>
        <v>0</v>
      </c>
      <c r="CU15" s="41" t="n">
        <f aca="false">Tasks[[#This Row],[_WorkPerWorkday]]*(Tasks[[#This Row],[_StartWorkday]]-1)</f>
        <v>-0</v>
      </c>
      <c r="CV15" s="41" t="n">
        <f aca="false">IF(Tasks[[#This Row],[_IsLeaf]]=1,MAX(N(Tasks[[#This Row],[Duration]]),0.1),0)</f>
        <v>0</v>
      </c>
      <c r="CW15" s="41" t="n">
        <f aca="false">Tasks[[#This Row],[_WeightDur]]*Tasks[[#This Row],[_LeafProgress]]</f>
        <v>0</v>
      </c>
      <c r="CX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 s="41" t="str">
        <f aca="false">IF(Tasks[[#This Row],[Task Name]]="","",Tasks[[#This Row],[_Pred1UIDText]]&amp;IF(AND(Tasks[[#This Row],[_Pred1UIDText]]&lt;&gt;"",Tasks[[#This Row],[_Pred2UIDText]]&lt;&gt;""),",","")&amp;Tasks[[#This Row],[_Pred2UIDText]])</f>
        <v/>
      </c>
      <c r="DC15" s="41" t="str">
        <f aca="false">IF(AND(Tasks[[#This Row],[_IsLeaf]]=1,N(Tasks[[#This Row],[Duration]])=0,Tasks[[#This Row],[_LeafProgress]]&lt;1),Tasks[[#This Row],[_LeafFcstFinish]]+Tasks[[#This Row],[_Row]]/100000,"")</f>
        <v/>
      </c>
      <c r="DD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 s="41" t="n">
        <f aca="false">IF(NOT(Tasks[[#This Row],[_IsLeaf]]=1),0,IF(Tasks[[#This Row],[Baseline Cost]]="",Tasks[[#This Row],[_LeafCost]],N(Tasks[[#This Row],[Baseline Cost]])))</f>
        <v>0</v>
      </c>
      <c r="DF15" s="41" t="n">
        <f aca="false">Tasks[[#This Row],[_LeafBudget]]*Tasks[[#This Row],[_PlannedPct]]</f>
        <v>0</v>
      </c>
      <c r="DG15" s="41" t="n">
        <f aca="false">Tasks[[#This Row],[_LeafBudget]]*Tasks[[#This Row],[_LeafProgress]]</f>
        <v>0</v>
      </c>
      <c r="DH15" s="41" t="n">
        <f aca="false">IF(NOT(Tasks[[#This Row],[_IsLeaf]]=1),0,IF(Tasks[[#This Row],[Actual Cost]]="",Tasks[[#This Row],[_LeafCost]]*Tasks[[#This Row],[_LeafProgress]],N(Tasks[[#This Row],[Actual Cost]])))</f>
        <v>0</v>
      </c>
      <c r="DI15" s="41" t="str">
        <f aca="false">IF(Tasks[[#This Row],[Task Name]]="","",LEFT(Tasks[[#This Row],[WBS]],FIND(".",Tasks[[#This Row],[WBS]]&amp;".")-1))</f>
        <v>3</v>
      </c>
      <c r="DJ15" s="41" t="n">
        <f aca="false">IF(AND(Tasks[[#This Row],[Task Name]]&lt;&gt;"",Tasks[[#This Row],[_Level]]=1),Tasks[[#This Row],[_Row]],"")</f>
        <v>10</v>
      </c>
      <c r="DK15" s="41" t="str">
        <f aca="false">IF(AND(Tasks[[#This Row],[_IsLeaf]]=1,N(Tasks[[#This Row],[Duration]])=0),Tasks[[#This Row],[Planned Finish]]+Tasks[[#This Row],[_Row]]/100000,"")</f>
        <v/>
      </c>
      <c r="DL15" s="41" t="str">
        <f aca="false">IF(AND(Tasks[[#This Row],[_IsLeaf]]=1,Tasks[[#This Row],[_LeafProgress]]&lt;1,OR(N(Tasks[[#This Row],[Finish Var]])&gt;0,Tasks[[#This Row],[Status]]="Late Start")),MAX(0,Tasks[[#This Row],[Finish Var]])+1-Tasks[[#This Row],[_Row]]/1000000,"")</f>
        <v/>
      </c>
      <c r="DM15" s="41" t="str">
        <f aca="false">IF(AND(Tasks[[#This Row],[_IsLeaf]]=1,N(Tasks[[#This Row],[Actual Start]])=0,Tasks[[#This Row],[_LeafFcstStart]]&gt;=StatusDate,Tasks[[#This Row],[_LeafFcstStart]]&lt;=LookaheadEnd),Tasks[[#This Row],[_LeafFcstStart]]+Tasks[[#This Row],[_Row]]/100000,"")</f>
        <v/>
      </c>
      <c r="DN15" s="41" t="str">
        <f aca="false">IF(AND(Tasks[[#This Row],[_IsLeaf]]=1,Tasks[[#This Row],[_LeafProgress]]&lt;1,Tasks[[#This Row],[_LeafFcstFinish]]&gt;=StatusDate,Tasks[[#This Row],[_LeafFcstFinish]]&lt;=LookaheadEnd),Tasks[[#This Row],[_LeafFcstFinish]]+Tasks[[#This Row],[_Row]]/100000,"")</f>
        <v/>
      </c>
      <c r="DO15" s="41" t="str">
        <f aca="false">IF(Tasks[[#This Row],[_LeafCritical]],Tasks[[#This Row],[_LeafFcstStart]]+Tasks[[#This Row],[_Row]]/100000,"")</f>
        <v/>
      </c>
      <c r="DP15" s="41" t="n">
        <f aca="false">Tasks[[#This Row],[_LeafWork]]*Tasks[[#This Row],[_LeafProgress]]</f>
        <v>0</v>
      </c>
      <c r="DQ15" s="103" t="str">
        <f aca="false">IF(AND(Tasks[[#This Row],[_IsLeaf]]=1,Tasks[[#This Row],[_LeafProgress]]&gt;=1),IF(N(Tasks[[#This Row],[Actual Finish]])&gt;0,Tasks[[#This Row],[Actual Finish]],Tasks[[#This Row],[_LeafFcstFinish]]),"")</f>
        <v/>
      </c>
      <c r="DR15" s="41" t="n">
        <f aca="false">IF(Tasks[[#This Row],[_IsLeaf]]=1,N(Tasks[[#This Row],[Story Points]]),0)</f>
        <v>0</v>
      </c>
      <c r="DS15" s="41" t="str">
        <f aca="false">IF(AND(Tasks[[#This Row],[_IsLeaf]]=1,CurrentSprint&lt;&gt;"",Tasks[[#This Row],[Sprint]]=CurrentSprint),Tasks[[#This Row],[_Row]],"")</f>
        <v/>
      </c>
    </row>
    <row r="16" customFormat="false" ht="15" hidden="false" customHeight="false" outlineLevel="0" collapsed="false">
      <c r="A16" s="28" t="n">
        <f aca="false">IF(Tasks[[#This Row],[Task Name]]="","",COUNTA(Tasks[[#Headers],[Task Name]]:Tasks[[#This Row],[Task Name]])-1)</f>
        <v>11</v>
      </c>
      <c r="B16" s="29" t="n">
        <v>11</v>
      </c>
      <c r="C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D16" s="29" t="n">
        <v>2</v>
      </c>
      <c r="E16" s="30" t="s">
        <v>612</v>
      </c>
      <c r="F16" s="29" t="s">
        <v>595</v>
      </c>
      <c r="G16" s="29"/>
      <c r="H16" s="29"/>
      <c r="I16" s="29"/>
      <c r="J16" s="29"/>
      <c r="K16" s="29"/>
      <c r="L16" s="29"/>
      <c r="M16" s="29"/>
      <c r="N16" s="77"/>
      <c r="O16" s="77"/>
      <c r="P16" s="25" t="n">
        <f aca="false">IF(Tasks[[#This Row],[Task Name]]="","",IF(N(Tasks[[#This Row],[Baseline Start]])&gt;0,Tasks[[#This Row],[Baseline Start]],Tasks[[#This Row],[_CalcStart]]))</f>
        <v>46297</v>
      </c>
      <c r="Q16" s="25" t="n">
        <f aca="false">IF(Tasks[[#This Row],[Task Name]]="","",IF(N(Tasks[[#This Row],[Baseline Finish]])&gt;0,Tasks[[#This Row],[Baseline Finish]],Tasks[[#This Row],[_CalcFinish]]))</f>
        <v>46325</v>
      </c>
      <c r="R16" s="77"/>
      <c r="S16" s="77"/>
      <c r="T16" s="25" t="n">
        <f aca="false">IF(Tasks[[#This Row],[Task Name]]="","",IF(Tasks[[#This Row],[_IsSummary]],MIN(INDEX(Tasks[_LeafFcstStart],Tasks[[#This Row],[_Row]]+1):INDEX(Tasks[_LeafFcstStart],Tasks[[#This Row],[_Row]]+Tasks[[#This Row],[_Descendants]])),Tasks[[#This Row],[_LeafFcstStart]]))</f>
        <v>46302</v>
      </c>
      <c r="U16" s="25" t="n">
        <f aca="false">IF(Tasks[[#This Row],[Task Name]]="","",IF(Tasks[[#This Row],[_IsSummary]],MAX(INDEX(Tasks[_LeafFcstFinish],Tasks[[#This Row],[_Row]]+1):INDEX(Tasks[_LeafFcstFinish],Tasks[[#This Row],[_Row]]+Tasks[[#This Row],[_Descendants]])),Tasks[[#This Row],[_LeafFcstFinish]]))</f>
        <v>46335</v>
      </c>
      <c r="V16"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6"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6" s="25" t="n">
        <f aca="false">IF(Tasks[[#This Row],[Task Name]]="","",IF(Tasks[[#This Row],[_IsSummary]],MIN(INDEX(Tasks[_LeafLateStart],Tasks[[#This Row],[_Row]]+1):INDEX(Tasks[_LeafLateStart],Tasks[[#This Row],[_Row]]+Tasks[[#This Row],[_Descendants]])),Tasks[[#This Row],[_LeafLateStart]]))</f>
        <v>46304</v>
      </c>
      <c r="Y16" s="25" t="n">
        <f aca="false">IF(Tasks[[#This Row],[Task Name]]="","",IF(Tasks[[#This Row],[_IsSummary]],MAX(INDEX(Tasks[_LeafLateFinish],Tasks[[#This Row],[_Row]]+1):INDEX(Tasks[_LeafLateFinish],Tasks[[#This Row],[_Row]]+Tasks[[#This Row],[_Descendants]])),Tasks[[#This Row],[_LeafLateFinish]]))</f>
        <v>46332</v>
      </c>
      <c r="Z16" s="43" t="n">
        <f aca="false">IF(Tasks[[#This Row],[Task Name]]="","",IF(Tasks[[#This Row],[_IsSummary]],MIN(INDEX(Tasks[_LeafTotalSlack],Tasks[[#This Row],[_Row]]+1):INDEX(Tasks[_LeafTotalSlack],Tasks[[#This Row],[_Row]]+Tasks[[#This Row],[_Descendants]])),Tasks[[#This Row],[_LeafTotalSlack]]))</f>
        <v>-1</v>
      </c>
      <c r="AA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 s="28" t="str">
        <f aca="false">IF(Tasks[[#This Row],[Task Name]]="","",IF(IF(Tasks[[#This Row],[_IsSummary]],COUNTIF(INDEX(Tasks[_LeafCritical],Tasks[[#This Row],[_Row]]+1):INDEX(Tasks[_LeafCritical],Tasks[[#This Row],[_Row]]+Tasks[[#This Row],[_Descendants]]),TRUE())&gt;0,Tasks[[#This Row],[_LeafCritical]]),"Yes",""))</f>
        <v>Yes</v>
      </c>
      <c r="AC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 s="24" t="str">
        <f aca="false">IF(Tasks[[#This Row],[Task Name]]="","",TRIM(IF(Tasks[[#This Row],[_Pred1Problem]]&lt;&gt;"","Pred 1: "&amp;Tasks[[#This Row],[_Pred1Problem]]&amp;". ","")&amp;IF(Tasks[[#This Row],[_Pred2Problem]]&lt;&gt;"","Pred 2: "&amp;Tasks[[#This Row],[_Pred2Problem]]&amp;".","")))</f>
        <v/>
      </c>
      <c r="AE16" s="91"/>
      <c r="AF16"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0.476190476190476</v>
      </c>
      <c r="AG16" s="28" t="str">
        <f aca="false">IF(Tasks[[#This Row],[Task Name]]="","",IF(Tasks[[#This Row],[Progress]]&gt;=1,"Complete",IF(OR(N(Tasks[[#This Row],[Actual Start]])&gt;0,Tasks[[#This Row],[Progress]]&gt;0),IF(Tasks[[#This Row],[Finish Var]]&gt;0,"Behind","In Progress"),IF(Tasks[[#This Row],[Planned Start]]&lt;StatusDate,"Late Start","Not Started"))))</f>
        <v>Behind</v>
      </c>
      <c r="AH16" s="30"/>
      <c r="AI16" s="91"/>
      <c r="AJ1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 s="98" t="n">
        <f aca="false">IF(Tasks[[#This Row],[Task Name]]="","",IF(Tasks[[#This Row],[_IsSummary]],SUM(INDEX(Tasks[_LeafWork],Tasks[[#This Row],[_Row]]+1):INDEX(Tasks[_LeafWork],Tasks[[#This Row],[_Row]]+Tasks[[#This Row],[_Descendants]])),Tasks[[#This Row],[_LeafWork]]))</f>
        <v>168</v>
      </c>
      <c r="AL16" s="99" t="n">
        <f aca="false">IF(Tasks[[#This Row],[Task Name]]="","",IF(Tasks[[#This Row],[_IsSummary]],SUM(INDEX(Tasks[_LeafCost],Tasks[[#This Row],[_Row]]+1):INDEX(Tasks[_LeafCost],Tasks[[#This Row],[_Row]]+Tasks[[#This Row],[_Descendants]])),Tasks[[#This Row],[_LeafCost]]))</f>
        <v>14280</v>
      </c>
      <c r="AM16" s="100"/>
      <c r="AN16" s="29"/>
      <c r="AO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 s="85"/>
      <c r="AQ16" s="24" t="str">
        <f aca="false">IF(Tasks[[#This Row],[Task Name]]="","",Tasks[[#This Row],[_Pred1IDText]]&amp;IF(AND(Tasks[[#This Row],[_Pred1IDText]]&lt;&gt;"",Tasks[[#This Row],[_Pred2IDText]]&lt;&gt;""),",","")&amp;Tasks[[#This Row],[_Pred2IDText]])</f>
        <v/>
      </c>
      <c r="AR16" s="30" t="s">
        <v>613</v>
      </c>
      <c r="AS16" s="25" t="n">
        <f aca="false">IF(Tasks[[#This Row],[Task Name]]="","",Tasks[[#This Row],[Forecast Start]])</f>
        <v>46302</v>
      </c>
      <c r="AT16" s="25" t="n">
        <f aca="false">IF(Tasks[[#This Row],[Task Name]]="","",Tasks[[#This Row],[Forecast Finish]])</f>
        <v>46335</v>
      </c>
      <c r="AU16" s="28" t="n">
        <f aca="false">IF(Tasks[[#This Row],[Task Name]]="","",IF(Tasks[[#This Row],[_IsSummary]],NETWORKDAYS.INTL(Tasks[[#This Row],[Forecast Start]],Tasks[[#This Row],[Forecast Finish]],WorkWeek,Holidays),N(Tasks[[#This Row],[Duration]])))</f>
        <v>24</v>
      </c>
      <c r="AV16" s="98" t="n">
        <f aca="false">IF(Tasks[[#This Row],[Task Name]]="","",Tasks[[#This Row],[Work]])</f>
        <v>168</v>
      </c>
      <c r="AW16" s="99" t="n">
        <f aca="false">IF(Tasks[[#This Row],[Task Name]]="","",Tasks[[#This Row],[Cost]])</f>
        <v>14280</v>
      </c>
      <c r="AX16" s="77"/>
      <c r="AY16" s="77"/>
      <c r="AZ16" s="29"/>
      <c r="BA16" s="101"/>
      <c r="BB16" s="100"/>
      <c r="BC16" s="28" t="str">
        <f aca="false">IF(OR(Tasks[[#This Row],[Task Name]]="",Tasks[[#This Row],[Baseline Duration]]=""),"",Tasks[[#This Row],[BL Source Duration]]-N(Tasks[[#This Row],[Baseline Duration]]))</f>
        <v/>
      </c>
      <c r="BD16" s="98" t="str">
        <f aca="false">IF(OR(Tasks[[#This Row],[Task Name]]="",Tasks[[#This Row],[Baseline Work]]=""),"",Tasks[[#This Row],[Work]]-N(Tasks[[#This Row],[Baseline Work]]))</f>
        <v/>
      </c>
      <c r="BE16" s="99" t="str">
        <f aca="false">IF(OR(Tasks[[#This Row],[Task Name]]="",Tasks[[#This Row],[Baseline Cost]]=""),"",Tasks[[#This Row],[Cost]]-N(Tasks[[#This Row],[Baseline Cost]]))</f>
        <v/>
      </c>
      <c r="BF16" s="99" t="n">
        <f aca="false">IF(Tasks[[#This Row],[Task Name]]="","",IF(Tasks[[#This Row],[_IsSummary]],SUM(INDEX(Tasks[_LeafBudget],Tasks[[#This Row],[_Row]]+1):INDEX(Tasks[_LeafBudget],Tasks[[#This Row],[_Row]]+Tasks[[#This Row],[_Descendants]])),Tasks[[#This Row],[_LeafBudget]]))</f>
        <v>14280</v>
      </c>
      <c r="BG16" s="99" t="n">
        <f aca="false">IF(Tasks[[#This Row],[Task Name]]="","",IF(Tasks[[#This Row],[_IsSummary]],SUM(INDEX(Tasks[_LeafPV],Tasks[[#This Row],[_Row]]+1):INDEX(Tasks[_LeafPV],Tasks[[#This Row],[_Row]]+Tasks[[#This Row],[_Descendants]])),Tasks[[#This Row],[_LeafPV]]))</f>
        <v>10880</v>
      </c>
      <c r="BH16" s="99" t="n">
        <f aca="false">IF(Tasks[[#This Row],[Task Name]]="","",IF(Tasks[[#This Row],[_IsSummary]],SUM(INDEX(Tasks[_LeafEV],Tasks[[#This Row],[_Row]]+1):INDEX(Tasks[_LeafEV],Tasks[[#This Row],[_Row]]+Tasks[[#This Row],[_Descendants]])),Tasks[[#This Row],[_LeafEV]]))</f>
        <v>6800</v>
      </c>
      <c r="BI16" s="99" t="n">
        <f aca="false">IF(Tasks[[#This Row],[Task Name]]="","",IF(Tasks[[#This Row],[_IsSummary]],SUM(INDEX(Tasks[_LeafAC],Tasks[[#This Row],[_Row]]+1):INDEX(Tasks[_LeafAC],Tasks[[#This Row],[_Row]]+Tasks[[#This Row],[_Descendants]])),Tasks[[#This Row],[_LeafAC]]))</f>
        <v>7480</v>
      </c>
      <c r="BJ16" s="41" t="n">
        <f aca="false">IF(Tasks[[#This Row],[Task Name]]="","",MAX(1,N(Tasks[[#This Row],[Level]])))</f>
        <v>2</v>
      </c>
      <c r="BK16" s="41" t="n">
        <f aca="false">ROW()-ROW(Tasks[[#Headers],[ID]])</f>
        <v>11</v>
      </c>
      <c r="BL16" s="41" t="n">
        <f aca="false">IF(OR(Tasks[[#This Row],[Task Name]]="",Tasks[[#This Row],[_Level]]&lt;=1),0,IFERROR(LOOKUP(2,1/(Tasks[[#Headers],[_Level]]:Tasks[[#This Row],[_Level]]=Tasks[[#This Row],[_Level]]-1),ROW(Tasks[[#Headers],[_Level]]:Tasks[[#This Row],[_Level]])),0))</f>
        <v>15</v>
      </c>
      <c r="BM16" s="41" t="n">
        <f aca="false">IFERROR(N(INDEX(Tasks[_Level],Tasks[[#This Row],[_Row]]+1)),0)</f>
        <v>3</v>
      </c>
      <c r="BN16" s="102" t="b">
        <f aca="false">AND(Tasks[[#This Row],[Task Name]]&lt;&gt;"",Tasks[[#This Row],[_NextLevel]]&gt;Tasks[[#This Row],[_Level]])</f>
        <v>1</v>
      </c>
      <c r="BO16" s="41" t="n">
        <f aca="false">IF(Tasks[[#This Row],[_IsSummary]],COUNTIF(Tasks[WBS],Tasks[[#This Row],[WBS]]&amp;".*"),0)</f>
        <v>3</v>
      </c>
      <c r="BP16" s="41" t="n">
        <f aca="false">IF(AND(Tasks[[#This Row],[Task Name]]&lt;&gt;"",NOT(Tasks[[#This Row],[_IsSummary]])),1,0)</f>
        <v>0</v>
      </c>
      <c r="BQ16" s="41" t="n">
        <f aca="false">IF(N(Tasks[[#This Row],[Pred1 UID]])=0,0,IFERROR(MATCH(Tasks[[#This Row],[Pred1 UID]],Tasks[UID],0),-1))</f>
        <v>0</v>
      </c>
      <c r="BR16" s="41" t="n">
        <f aca="false">IF(N(Tasks[[#This Row],[Pred2 UID]])=0,0,IFERROR(MATCH(Tasks[[#This Row],[Pred2 UID]],Tasks[UID],0),-1))</f>
        <v>0</v>
      </c>
      <c r="BS1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 s="103" t="str">
        <f aca="false">IF(NOT(Tasks[[#This Row],[_IsLeaf]]=1),"",IF(N(Tasks[[#This Row],[Duration]])&lt;=0,Tasks[[#This Row],[_LeafCalcStart]],WORKDAY.INTL(Tasks[[#This Row],[_LeafCalcStart]],Tasks[[#This Row],[Duration]]-1,WorkWeek,Holidays)))</f>
        <v/>
      </c>
      <c r="BU1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 s="41" t="n">
        <f aca="false">IF(NOT(Tasks[[#This Row],[_IsLeaf]]=1),0,IF(N(Tasks[[#This Row],[Actual Finish]])&gt;0,1,MIN(1,N(Tasks[[#This Row],[% Complete]]))))</f>
        <v>0</v>
      </c>
      <c r="BX16" s="41" t="n">
        <f aca="false">IF(OR(NOT(Tasks[[#This Row],[_IsLeaf]]=1),Tasks[[#This Row],[Resource]]=""),0,N(Tasks[[#This Row],[Duration]])*HoursPerDay*IF(Tasks[[#This Row],[Units]]="",DefaultUnits,Tasks[[#This Row],[Units]]))</f>
        <v>0</v>
      </c>
      <c r="BY16" s="41" t="n">
        <f aca="false">IF(Tasks[[#This Row],[_LeafWork]]=0,0,Tasks[[#This Row],[_LeafWork]]*IFERROR(INDEX(res_Rate,MATCH(Tasks[[#This Row],[Resource]],res_Name,0)),0))</f>
        <v>0</v>
      </c>
      <c r="BZ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 s="41" t="n">
        <f aca="false">IF(NOT(Tasks[[#This Row],[_IsLeaf]]=1),0,MAX(_xlfn.MAXIFS(Tasks[_Row],Tasks[Pred1 UID],Tasks[[#This Row],[UID]]),_xlfn.MAXIFS(Tasks[_Row],Tasks[Pred2 UID],Tasks[[#This Row],[UID]])))</f>
        <v>0</v>
      </c>
      <c r="CE1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 s="103" t="str">
        <f aca="false">IF(NOT(Tasks[[#This Row],[_IsLeaf]]=1),"",MIN(ProjectFinish,IF(N(Tasks[[#This Row],[Deadline]])&gt;0,Tasks[[#This Row],[Deadline]],2958465),Tasks[[#This Row],[_SuccessorFinishLimit]]))</f>
        <v/>
      </c>
      <c r="CG16" s="103" t="str">
        <f aca="false">IF(NOT(Tasks[[#This Row],[_IsLeaf]]=1),"",IF(N(Tasks[[#This Row],[Duration]])&lt;=0,Tasks[[#This Row],[_LeafLateFinish]],WORKDAY.INTL(Tasks[[#This Row],[_LeafLateFinish]],-(Tasks[[#This Row],[Duration]]-1),WorkWeek,Holidays)))</f>
        <v/>
      </c>
      <c r="CH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 s="102" t="b">
        <f aca="false">AND(Tasks[[#This Row],[_IsLeaf]]=1,Tasks[[#This Row],[_LeafProgress]]&lt;1,N(Tasks[[#This Row],[_LeafTotalSlack]])&lt;=CriticalSlackDays)</f>
        <v>0</v>
      </c>
      <c r="CJ16" s="103" t="n">
        <f aca="false">IF(Tasks[[#This Row],[Task Name]]="","",IF(Tasks[[#This Row],[_IsSummary]],MIN(INDEX(Tasks[_LeafCalcStart],Tasks[[#This Row],[_Row]]+1):INDEX(Tasks[_LeafCalcStart],Tasks[[#This Row],[_Row]]+Tasks[[#This Row],[_Descendants]])),Tasks[[#This Row],[_LeafCalcStart]]))</f>
        <v>46297</v>
      </c>
      <c r="CK16" s="103" t="n">
        <f aca="false">IF(Tasks[[#This Row],[Task Name]]="","",IF(Tasks[[#This Row],[_IsSummary]],MAX(INDEX(Tasks[_LeafCalcFinish],Tasks[[#This Row],[_Row]]+1):INDEX(Tasks[_LeafCalcFinish],Tasks[[#This Row],[_Row]]+Tasks[[#This Row],[_Descendants]])),Tasks[[#This Row],[_LeafCalcFinish]]))</f>
        <v>46325</v>
      </c>
      <c r="CL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 s="41" t="n">
        <f aca="false">IF(AND(Tasks[[#This Row],[_IsLeaf]]=1,Tasks[[#This Row],[_LeafWork]]&gt;0),NETWORKDAYS.INTL(ProjectStart,Tasks[[#This Row],[_LeafFcstStart]],WorkWeek,Holidays),0)</f>
        <v>0</v>
      </c>
      <c r="CS16" s="41" t="n">
        <f aca="false">IF(AND(Tasks[[#This Row],[_IsLeaf]]=1,Tasks[[#This Row],[_LeafWork]]&gt;0),MAX(Tasks[[#This Row],[_StartWorkday]],NETWORKDAYS.INTL(ProjectStart,Tasks[[#This Row],[_LeafFcstFinish]],WorkWeek,Holidays)),0)</f>
        <v>0</v>
      </c>
      <c r="CT16" s="41" t="n">
        <f aca="false">IF(AND(Tasks[[#This Row],[_IsLeaf]]=1,Tasks[[#This Row],[_LeafWork]]&gt;0),Tasks[[#This Row],[_LeafWork]]/(Tasks[[#This Row],[_FinishWorkday]]-Tasks[[#This Row],[_StartWorkday]]+1),0)</f>
        <v>0</v>
      </c>
      <c r="CU16" s="41" t="n">
        <f aca="false">Tasks[[#This Row],[_WorkPerWorkday]]*(Tasks[[#This Row],[_StartWorkday]]-1)</f>
        <v>-0</v>
      </c>
      <c r="CV16" s="41" t="n">
        <f aca="false">IF(Tasks[[#This Row],[_IsLeaf]]=1,MAX(N(Tasks[[#This Row],[Duration]]),0.1),0)</f>
        <v>0</v>
      </c>
      <c r="CW16" s="41" t="n">
        <f aca="false">Tasks[[#This Row],[_WeightDur]]*Tasks[[#This Row],[_LeafProgress]]</f>
        <v>0</v>
      </c>
      <c r="CX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 s="41" t="str">
        <f aca="false">IF(Tasks[[#This Row],[Task Name]]="","",Tasks[[#This Row],[_Pred1UIDText]]&amp;IF(AND(Tasks[[#This Row],[_Pred1UIDText]]&lt;&gt;"",Tasks[[#This Row],[_Pred2UIDText]]&lt;&gt;""),",","")&amp;Tasks[[#This Row],[_Pred2UIDText]])</f>
        <v/>
      </c>
      <c r="DC16" s="41" t="str">
        <f aca="false">IF(AND(Tasks[[#This Row],[_IsLeaf]]=1,N(Tasks[[#This Row],[Duration]])=0,Tasks[[#This Row],[_LeafProgress]]&lt;1),Tasks[[#This Row],[_LeafFcstFinish]]+Tasks[[#This Row],[_Row]]/100000,"")</f>
        <v/>
      </c>
      <c r="DD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 s="41" t="n">
        <f aca="false">IF(NOT(Tasks[[#This Row],[_IsLeaf]]=1),0,IF(Tasks[[#This Row],[Baseline Cost]]="",Tasks[[#This Row],[_LeafCost]],N(Tasks[[#This Row],[Baseline Cost]])))</f>
        <v>0</v>
      </c>
      <c r="DF16" s="41" t="n">
        <f aca="false">Tasks[[#This Row],[_LeafBudget]]*Tasks[[#This Row],[_PlannedPct]]</f>
        <v>0</v>
      </c>
      <c r="DG16" s="41" t="n">
        <f aca="false">Tasks[[#This Row],[_LeafBudget]]*Tasks[[#This Row],[_LeafProgress]]</f>
        <v>0</v>
      </c>
      <c r="DH16" s="41" t="n">
        <f aca="false">IF(NOT(Tasks[[#This Row],[_IsLeaf]]=1),0,IF(Tasks[[#This Row],[Actual Cost]]="",Tasks[[#This Row],[_LeafCost]]*Tasks[[#This Row],[_LeafProgress]],N(Tasks[[#This Row],[Actual Cost]])))</f>
        <v>0</v>
      </c>
      <c r="DI16" s="41" t="str">
        <f aca="false">IF(Tasks[[#This Row],[Task Name]]="","",LEFT(Tasks[[#This Row],[WBS]],FIND(".",Tasks[[#This Row],[WBS]]&amp;".")-1))</f>
        <v>3</v>
      </c>
      <c r="DJ16" s="41" t="str">
        <f aca="false">IF(AND(Tasks[[#This Row],[Task Name]]&lt;&gt;"",Tasks[[#This Row],[_Level]]=1),Tasks[[#This Row],[_Row]],"")</f>
        <v/>
      </c>
      <c r="DK16" s="41" t="str">
        <f aca="false">IF(AND(Tasks[[#This Row],[_IsLeaf]]=1,N(Tasks[[#This Row],[Duration]])=0),Tasks[[#This Row],[Planned Finish]]+Tasks[[#This Row],[_Row]]/100000,"")</f>
        <v/>
      </c>
      <c r="DL16" s="41" t="str">
        <f aca="false">IF(AND(Tasks[[#This Row],[_IsLeaf]]=1,Tasks[[#This Row],[_LeafProgress]]&lt;1,OR(N(Tasks[[#This Row],[Finish Var]])&gt;0,Tasks[[#This Row],[Status]]="Late Start")),MAX(0,Tasks[[#This Row],[Finish Var]])+1-Tasks[[#This Row],[_Row]]/1000000,"")</f>
        <v/>
      </c>
      <c r="DM16" s="41" t="str">
        <f aca="false">IF(AND(Tasks[[#This Row],[_IsLeaf]]=1,N(Tasks[[#This Row],[Actual Start]])=0,Tasks[[#This Row],[_LeafFcstStart]]&gt;=StatusDate,Tasks[[#This Row],[_LeafFcstStart]]&lt;=LookaheadEnd),Tasks[[#This Row],[_LeafFcstStart]]+Tasks[[#This Row],[_Row]]/100000,"")</f>
        <v/>
      </c>
      <c r="DN16" s="41" t="str">
        <f aca="false">IF(AND(Tasks[[#This Row],[_IsLeaf]]=1,Tasks[[#This Row],[_LeafProgress]]&lt;1,Tasks[[#This Row],[_LeafFcstFinish]]&gt;=StatusDate,Tasks[[#This Row],[_LeafFcstFinish]]&lt;=LookaheadEnd),Tasks[[#This Row],[_LeafFcstFinish]]+Tasks[[#This Row],[_Row]]/100000,"")</f>
        <v/>
      </c>
      <c r="DO16" s="41" t="str">
        <f aca="false">IF(Tasks[[#This Row],[_LeafCritical]],Tasks[[#This Row],[_LeafFcstStart]]+Tasks[[#This Row],[_Row]]/100000,"")</f>
        <v/>
      </c>
      <c r="DP16" s="41" t="n">
        <f aca="false">Tasks[[#This Row],[_LeafWork]]*Tasks[[#This Row],[_LeafProgress]]</f>
        <v>0</v>
      </c>
      <c r="DQ16" s="103" t="str">
        <f aca="false">IF(AND(Tasks[[#This Row],[_IsLeaf]]=1,Tasks[[#This Row],[_LeafProgress]]&gt;=1),IF(N(Tasks[[#This Row],[Actual Finish]])&gt;0,Tasks[[#This Row],[Actual Finish]],Tasks[[#This Row],[_LeafFcstFinish]]),"")</f>
        <v/>
      </c>
      <c r="DR16" s="41" t="n">
        <f aca="false">IF(Tasks[[#This Row],[_IsLeaf]]=1,N(Tasks[[#This Row],[Story Points]]),0)</f>
        <v>0</v>
      </c>
      <c r="DS16" s="41" t="str">
        <f aca="false">IF(AND(Tasks[[#This Row],[_IsLeaf]]=1,CurrentSprint&lt;&gt;"",Tasks[[#This Row],[Sprint]]=CurrentSprint),Tasks[[#This Row],[_Row]],"")</f>
        <v/>
      </c>
    </row>
    <row r="17" customFormat="false" ht="15" hidden="false" customHeight="false" outlineLevel="0" collapsed="false">
      <c r="A17" s="28" t="n">
        <f aca="false">IF(Tasks[[#This Row],[Task Name]]="","",COUNTA(Tasks[[#Headers],[Task Name]]:Tasks[[#This Row],[Task Name]])-1)</f>
        <v>12</v>
      </c>
      <c r="B17" s="29" t="n">
        <v>12</v>
      </c>
      <c r="C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3.1.1</v>
      </c>
      <c r="D17" s="29" t="n">
        <v>3</v>
      </c>
      <c r="E17" s="30" t="s">
        <v>614</v>
      </c>
      <c r="F17" s="29" t="s">
        <v>595</v>
      </c>
      <c r="G17" s="29" t="n">
        <v>5</v>
      </c>
      <c r="H17" s="29" t="n">
        <v>9</v>
      </c>
      <c r="I17" s="29" t="s">
        <v>600</v>
      </c>
      <c r="J17" s="29"/>
      <c r="K17" s="29"/>
      <c r="L17" s="29"/>
      <c r="M17" s="29"/>
      <c r="N17" s="77"/>
      <c r="O17" s="77"/>
      <c r="P17" s="25" t="n">
        <f aca="false">IF(Tasks[[#This Row],[Task Name]]="","",IF(N(Tasks[[#This Row],[Baseline Start]])&gt;0,Tasks[[#This Row],[Baseline Start]],Tasks[[#This Row],[_CalcStart]]))</f>
        <v>46297</v>
      </c>
      <c r="Q17" s="25" t="n">
        <f aca="false">IF(Tasks[[#This Row],[Task Name]]="","",IF(N(Tasks[[#This Row],[Baseline Finish]])&gt;0,Tasks[[#This Row],[Baseline Finish]],Tasks[[#This Row],[_CalcFinish]]))</f>
        <v>46303</v>
      </c>
      <c r="R17" s="77" t="n">
        <v>46302</v>
      </c>
      <c r="S17" s="77" t="n">
        <v>46309</v>
      </c>
      <c r="T17" s="25" t="n">
        <f aca="false">IF(Tasks[[#This Row],[Task Name]]="","",IF(Tasks[[#This Row],[_IsSummary]],MIN(INDEX(Tasks[_LeafFcstStart],Tasks[[#This Row],[_Row]]+1):INDEX(Tasks[_LeafFcstStart],Tasks[[#This Row],[_Row]]+Tasks[[#This Row],[_Descendants]])),Tasks[[#This Row],[_LeafFcstStart]]))</f>
        <v>46302</v>
      </c>
      <c r="U17" s="25" t="n">
        <f aca="false">IF(Tasks[[#This Row],[Task Name]]="","",IF(Tasks[[#This Row],[_IsSummary]],MAX(INDEX(Tasks[_LeafFcstFinish],Tasks[[#This Row],[_Row]]+1):INDEX(Tasks[_LeafFcstFinish],Tasks[[#This Row],[_Row]]+Tasks[[#This Row],[_Descendants]])),Tasks[[#This Row],[_LeafFcstFinish]]))</f>
        <v>46309</v>
      </c>
      <c r="V17"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17" s="43" t="n">
        <f aca="false">IF(Tasks[[#This Row],[Task Name]]="","",IF(Tasks[[#This Row],[Forecast Finish]]&gt;=Tasks[[#This Row],[Planned Finish]],NETWORKDAYS.INTL(Tasks[[#This Row],[Planned Finish]],Tasks[[#This Row],[Forecast Finish]],WorkWeek,Holidays)-1,1-NETWORKDAYS.INTL(Tasks[[#This Row],[Forecast Finish]],Tasks[[#This Row],[Planned Finish]],WorkWeek,Holidays)))</f>
        <v>4</v>
      </c>
      <c r="X17" s="25" t="n">
        <f aca="false">IF(Tasks[[#This Row],[Task Name]]="","",IF(Tasks[[#This Row],[_IsSummary]],MIN(INDEX(Tasks[_LeafLateStart],Tasks[[#This Row],[_Row]]+1):INDEX(Tasks[_LeafLateStart],Tasks[[#This Row],[_Row]]+Tasks[[#This Row],[_Descendants]])),Tasks[[#This Row],[_LeafLateStart]]))</f>
        <v>46304</v>
      </c>
      <c r="Y17" s="25" t="n">
        <f aca="false">IF(Tasks[[#This Row],[Task Name]]="","",IF(Tasks[[#This Row],[_IsSummary]],MAX(INDEX(Tasks[_LeafLateFinish],Tasks[[#This Row],[_Row]]+1):INDEX(Tasks[_LeafLateFinish],Tasks[[#This Row],[_Row]]+Tasks[[#This Row],[_Descendants]])),Tasks[[#This Row],[_LeafLateFinish]]))</f>
        <v>46310</v>
      </c>
      <c r="Z17" s="43" t="n">
        <f aca="false">IF(Tasks[[#This Row],[Task Name]]="","",IF(Tasks[[#This Row],[_IsSummary]],MIN(INDEX(Tasks[_LeafTotalSlack],Tasks[[#This Row],[_Row]]+1):INDEX(Tasks[_LeafTotalSlack],Tasks[[#This Row],[_Row]]+Tasks[[#This Row],[_Descendants]])),Tasks[[#This Row],[_LeafTotalSlack]]))</f>
        <v>1</v>
      </c>
      <c r="AA1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17" s="28" t="str">
        <f aca="false">IF(Tasks[[#This Row],[Task Name]]="","",IF(IF(Tasks[[#This Row],[_IsSummary]],COUNTIF(INDEX(Tasks[_LeafCritical],Tasks[[#This Row],[_Row]]+1):INDEX(Tasks[_LeafCritical],Tasks[[#This Row],[_Row]]+Tasks[[#This Row],[_Descendants]]),TRUE())&gt;0,Tasks[[#This Row],[_LeafCritical]]),"Yes",""))</f>
        <v/>
      </c>
      <c r="AC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 s="24" t="str">
        <f aca="false">IF(Tasks[[#This Row],[Task Name]]="","",TRIM(IF(Tasks[[#This Row],[_Pred1Problem]]&lt;&gt;"","Pred 1: "&amp;Tasks[[#This Row],[_Pred1Problem]]&amp;". ","")&amp;IF(Tasks[[#This Row],[_Pred2Problem]]&lt;&gt;"","Pred 2: "&amp;Tasks[[#This Row],[_Pred2Problem]]&amp;".","")))</f>
        <v/>
      </c>
      <c r="AE17" s="91" t="n">
        <v>1</v>
      </c>
      <c r="AF17"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17" s="28" t="str">
        <f aca="false">IF(Tasks[[#This Row],[Task Name]]="","",IF(Tasks[[#This Row],[Progress]]&gt;=1,"Complete",IF(OR(N(Tasks[[#This Row],[Actual Start]])&gt;0,Tasks[[#This Row],[Progress]]&gt;0),IF(Tasks[[#This Row],[Finish Var]]&gt;0,"Behind","In Progress"),IF(Tasks[[#This Row],[Planned Start]]&lt;StatusDate,"Late Start","Not Started"))))</f>
        <v>Complete</v>
      </c>
      <c r="AH17" s="30" t="s">
        <v>286</v>
      </c>
      <c r="AI17" s="91"/>
      <c r="AJ1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 s="98" t="n">
        <f aca="false">IF(Tasks[[#This Row],[Task Name]]="","",IF(Tasks[[#This Row],[_IsSummary]],SUM(INDEX(Tasks[_LeafWork],Tasks[[#This Row],[_Row]]+1):INDEX(Tasks[_LeafWork],Tasks[[#This Row],[_Row]]+Tasks[[#This Row],[_Descendants]])),Tasks[[#This Row],[_LeafWork]]))</f>
        <v>40</v>
      </c>
      <c r="AL17" s="99" t="n">
        <f aca="false">IF(Tasks[[#This Row],[Task Name]]="","",IF(Tasks[[#This Row],[_IsSummary]],SUM(INDEX(Tasks[_LeafCost],Tasks[[#This Row],[_Row]]+1):INDEX(Tasks[_LeafCost],Tasks[[#This Row],[_Row]]+Tasks[[#This Row],[_Descendants]])),Tasks[[#This Row],[_LeafCost]]))</f>
        <v>3400</v>
      </c>
      <c r="AM17" s="100"/>
      <c r="AN17" s="29"/>
      <c r="AO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P17" s="85" t="n">
        <v>5</v>
      </c>
      <c r="AQ17" s="24" t="str">
        <f aca="false">IF(Tasks[[#This Row],[Task Name]]="","",Tasks[[#This Row],[_Pred1IDText]]&amp;IF(AND(Tasks[[#This Row],[_Pred1IDText]]&lt;&gt;"",Tasks[[#This Row],[_Pred2IDText]]&lt;&gt;""),",","")&amp;Tasks[[#This Row],[_Pred2IDText]])</f>
        <v>9</v>
      </c>
      <c r="AR17" s="30"/>
      <c r="AS17" s="25" t="n">
        <f aca="false">IF(Tasks[[#This Row],[Task Name]]="","",Tasks[[#This Row],[Forecast Start]])</f>
        <v>46302</v>
      </c>
      <c r="AT17" s="25" t="n">
        <f aca="false">IF(Tasks[[#This Row],[Task Name]]="","",Tasks[[#This Row],[Forecast Finish]])</f>
        <v>46309</v>
      </c>
      <c r="AU17" s="28" t="n">
        <f aca="false">IF(Tasks[[#This Row],[Task Name]]="","",IF(Tasks[[#This Row],[_IsSummary]],NETWORKDAYS.INTL(Tasks[[#This Row],[Forecast Start]],Tasks[[#This Row],[Forecast Finish]],WorkWeek,Holidays),N(Tasks[[#This Row],[Duration]])))</f>
        <v>5</v>
      </c>
      <c r="AV17" s="98" t="n">
        <f aca="false">IF(Tasks[[#This Row],[Task Name]]="","",Tasks[[#This Row],[Work]])</f>
        <v>40</v>
      </c>
      <c r="AW17" s="99" t="n">
        <f aca="false">IF(Tasks[[#This Row],[Task Name]]="","",Tasks[[#This Row],[Cost]])</f>
        <v>3400</v>
      </c>
      <c r="AX17" s="77"/>
      <c r="AY17" s="77"/>
      <c r="AZ17" s="29"/>
      <c r="BA17" s="101"/>
      <c r="BB17" s="100"/>
      <c r="BC17" s="28" t="str">
        <f aca="false">IF(OR(Tasks[[#This Row],[Task Name]]="",Tasks[[#This Row],[Baseline Duration]]=""),"",Tasks[[#This Row],[BL Source Duration]]-N(Tasks[[#This Row],[Baseline Duration]]))</f>
        <v/>
      </c>
      <c r="BD17" s="98" t="str">
        <f aca="false">IF(OR(Tasks[[#This Row],[Task Name]]="",Tasks[[#This Row],[Baseline Work]]=""),"",Tasks[[#This Row],[Work]]-N(Tasks[[#This Row],[Baseline Work]]))</f>
        <v/>
      </c>
      <c r="BE17" s="99" t="str">
        <f aca="false">IF(OR(Tasks[[#This Row],[Task Name]]="",Tasks[[#This Row],[Baseline Cost]]=""),"",Tasks[[#This Row],[Cost]]-N(Tasks[[#This Row],[Baseline Cost]]))</f>
        <v/>
      </c>
      <c r="BF17" s="99" t="n">
        <f aca="false">IF(Tasks[[#This Row],[Task Name]]="","",IF(Tasks[[#This Row],[_IsSummary]],SUM(INDEX(Tasks[_LeafBudget],Tasks[[#This Row],[_Row]]+1):INDEX(Tasks[_LeafBudget],Tasks[[#This Row],[_Row]]+Tasks[[#This Row],[_Descendants]])),Tasks[[#This Row],[_LeafBudget]]))</f>
        <v>3400</v>
      </c>
      <c r="BG17" s="99" t="n">
        <f aca="false">IF(Tasks[[#This Row],[Task Name]]="","",IF(Tasks[[#This Row],[_IsSummary]],SUM(INDEX(Tasks[_LeafPV],Tasks[[#This Row],[_Row]]+1):INDEX(Tasks[_LeafPV],Tasks[[#This Row],[_Row]]+Tasks[[#This Row],[_Descendants]])),Tasks[[#This Row],[_LeafPV]]))</f>
        <v>3400</v>
      </c>
      <c r="BH17" s="99" t="n">
        <f aca="false">IF(Tasks[[#This Row],[Task Name]]="","",IF(Tasks[[#This Row],[_IsSummary]],SUM(INDEX(Tasks[_LeafEV],Tasks[[#This Row],[_Row]]+1):INDEX(Tasks[_LeafEV],Tasks[[#This Row],[_Row]]+Tasks[[#This Row],[_Descendants]])),Tasks[[#This Row],[_LeafEV]]))</f>
        <v>3400</v>
      </c>
      <c r="BI17" s="99" t="n">
        <f aca="false">IF(Tasks[[#This Row],[Task Name]]="","",IF(Tasks[[#This Row],[_IsSummary]],SUM(INDEX(Tasks[_LeafAC],Tasks[[#This Row],[_Row]]+1):INDEX(Tasks[_LeafAC],Tasks[[#This Row],[_Row]]+Tasks[[#This Row],[_Descendants]])),Tasks[[#This Row],[_LeafAC]]))</f>
        <v>3400</v>
      </c>
      <c r="BJ17" s="41" t="n">
        <f aca="false">IF(Tasks[[#This Row],[Task Name]]="","",MAX(1,N(Tasks[[#This Row],[Level]])))</f>
        <v>3</v>
      </c>
      <c r="BK17" s="41" t="n">
        <f aca="false">ROW()-ROW(Tasks[[#Headers],[ID]])</f>
        <v>12</v>
      </c>
      <c r="BL17" s="41" t="n">
        <f aca="false">IF(OR(Tasks[[#This Row],[Task Name]]="",Tasks[[#This Row],[_Level]]&lt;=1),0,IFERROR(LOOKUP(2,1/(Tasks[[#Headers],[_Level]]:Tasks[[#This Row],[_Level]]=Tasks[[#This Row],[_Level]]-1),ROW(Tasks[[#Headers],[_Level]]:Tasks[[#This Row],[_Level]])),0))</f>
        <v>16</v>
      </c>
      <c r="BM17" s="41" t="n">
        <f aca="false">IFERROR(N(INDEX(Tasks[_Level],Tasks[[#This Row],[_Row]]+1)),0)</f>
        <v>3</v>
      </c>
      <c r="BN17" s="102" t="b">
        <f aca="false">AND(Tasks[[#This Row],[Task Name]]&lt;&gt;"",Tasks[[#This Row],[_NextLevel]]&gt;Tasks[[#This Row],[_Level]])</f>
        <v>0</v>
      </c>
      <c r="BO17" s="41" t="n">
        <f aca="false">IF(Tasks[[#This Row],[_IsSummary]],COUNTIF(Tasks[WBS],Tasks[[#This Row],[WBS]]&amp;".*"),0)</f>
        <v>0</v>
      </c>
      <c r="BP17" s="41" t="n">
        <f aca="false">IF(AND(Tasks[[#This Row],[Task Name]]&lt;&gt;"",NOT(Tasks[[#This Row],[_IsSummary]])),1,0)</f>
        <v>1</v>
      </c>
      <c r="BQ17" s="41" t="n">
        <f aca="false">IF(N(Tasks[[#This Row],[Pred1 UID]])=0,0,IFERROR(MATCH(Tasks[[#This Row],[Pred1 UID]],Tasks[UID],0),-1))</f>
        <v>9</v>
      </c>
      <c r="BR17" s="41" t="n">
        <f aca="false">IF(N(Tasks[[#This Row],[Pred2 UID]])=0,0,IFERROR(MATCH(Tasks[[#This Row],[Pred2 UID]],Tasks[UID],0),-1))</f>
        <v>0</v>
      </c>
      <c r="BS17"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46297</v>
      </c>
      <c r="BT17" s="103" t="n">
        <f aca="false">IF(NOT(Tasks[[#This Row],[_IsLeaf]]=1),"",IF(N(Tasks[[#This Row],[Duration]])&lt;=0,Tasks[[#This Row],[_LeafCalcStart]],WORKDAY.INTL(Tasks[[#This Row],[_LeafCalcStart]],Tasks[[#This Row],[Duration]]-1,WorkWeek,Holidays)))</f>
        <v>46303</v>
      </c>
      <c r="BU17"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46302</v>
      </c>
      <c r="BV17"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46309</v>
      </c>
      <c r="BW17" s="41" t="n">
        <f aca="false">IF(NOT(Tasks[[#This Row],[_IsLeaf]]=1),0,IF(N(Tasks[[#This Row],[Actual Finish]])&gt;0,1,MIN(1,N(Tasks[[#This Row],[% Complete]]))))</f>
        <v>1</v>
      </c>
      <c r="BX17" s="41" t="n">
        <f aca="false">IF(OR(NOT(Tasks[[#This Row],[_IsLeaf]]=1),Tasks[[#This Row],[Resource]]=""),0,N(Tasks[[#This Row],[Duration]])*HoursPerDay*IF(Tasks[[#This Row],[Units]]="",DefaultUnits,Tasks[[#This Row],[Units]]))</f>
        <v>40</v>
      </c>
      <c r="BY17" s="41" t="n">
        <f aca="false">IF(Tasks[[#This Row],[_LeafWork]]=0,0,Tasks[[#This Row],[_LeafWork]]*IFERROR(INDEX(res_Rate,MATCH(Tasks[[#This Row],[Resource]],res_Name,0)),0))</f>
        <v>3400</v>
      </c>
      <c r="BZ17"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A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 s="41" t="n">
        <f aca="false">IF(NOT(Tasks[[#This Row],[_IsLeaf]]=1),0,MAX(_xlfn.MAXIFS(Tasks[_Row],Tasks[Pred1 UID],Tasks[[#This Row],[UID]]),_xlfn.MAXIFS(Tasks[_Row],Tasks[Pred2 UID],Tasks[[#This Row],[UID]])))</f>
        <v>13</v>
      </c>
      <c r="CE17"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46310</v>
      </c>
      <c r="CF17" s="103" t="n">
        <f aca="false">IF(NOT(Tasks[[#This Row],[_IsLeaf]]=1),"",MIN(ProjectFinish,IF(N(Tasks[[#This Row],[Deadline]])&gt;0,Tasks[[#This Row],[Deadline]],2958465),Tasks[[#This Row],[_SuccessorFinishLimit]]))</f>
        <v>46310</v>
      </c>
      <c r="CG17" s="103" t="n">
        <f aca="false">IF(NOT(Tasks[[#This Row],[_IsLeaf]]=1),"",IF(N(Tasks[[#This Row],[Duration]])&lt;=0,Tasks[[#This Row],[_LeafLateFinish]],WORKDAY.INTL(Tasks[[#This Row],[_LeafLateFinish]],-(Tasks[[#This Row],[Duration]]-1),WorkWeek,Holidays)))</f>
        <v>46304</v>
      </c>
      <c r="CH1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I17" s="102" t="b">
        <f aca="false">AND(Tasks[[#This Row],[_IsLeaf]]=1,Tasks[[#This Row],[_LeafProgress]]&lt;1,N(Tasks[[#This Row],[_LeafTotalSlack]])&lt;=CriticalSlackDays)</f>
        <v>0</v>
      </c>
      <c r="CJ17" s="103" t="n">
        <f aca="false">IF(Tasks[[#This Row],[Task Name]]="","",IF(Tasks[[#This Row],[_IsSummary]],MIN(INDEX(Tasks[_LeafCalcStart],Tasks[[#This Row],[_Row]]+1):INDEX(Tasks[_LeafCalcStart],Tasks[[#This Row],[_Row]]+Tasks[[#This Row],[_Descendants]])),Tasks[[#This Row],[_LeafCalcStart]]))</f>
        <v>46297</v>
      </c>
      <c r="CK17" s="103" t="n">
        <f aca="false">IF(Tasks[[#This Row],[Task Name]]="","",IF(Tasks[[#This Row],[_IsSummary]],MAX(INDEX(Tasks[_LeafCalcFinish],Tasks[[#This Row],[_Row]]+1):INDEX(Tasks[_LeafCalcFinish],Tasks[[#This Row],[_Row]]+Tasks[[#This Row],[_Descendants]])),Tasks[[#This Row],[_LeafCalcFinish]]))</f>
        <v>46303</v>
      </c>
      <c r="CL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CO1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CQ1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 s="41" t="n">
        <f aca="false">IF(AND(Tasks[[#This Row],[_IsLeaf]]=1,Tasks[[#This Row],[_LeafWork]]&gt;0),NETWORKDAYS.INTL(ProjectStart,Tasks[[#This Row],[_LeafFcstStart]],WorkWeek,Holidays),0)</f>
        <v>23</v>
      </c>
      <c r="CS17" s="41" t="n">
        <f aca="false">IF(AND(Tasks[[#This Row],[_IsLeaf]]=1,Tasks[[#This Row],[_LeafWork]]&gt;0),MAX(Tasks[[#This Row],[_StartWorkday]],NETWORKDAYS.INTL(ProjectStart,Tasks[[#This Row],[_LeafFcstFinish]],WorkWeek,Holidays)),0)</f>
        <v>28</v>
      </c>
      <c r="CT17" s="41" t="n">
        <f aca="false">IF(AND(Tasks[[#This Row],[_IsLeaf]]=1,Tasks[[#This Row],[_LeafWork]]&gt;0),Tasks[[#This Row],[_LeafWork]]/(Tasks[[#This Row],[_FinishWorkday]]-Tasks[[#This Row],[_StartWorkday]]+1),0)</f>
        <v>6.66666666666667</v>
      </c>
      <c r="CU17" s="41" t="n">
        <f aca="false">Tasks[[#This Row],[_WorkPerWorkday]]*(Tasks[[#This Row],[_StartWorkday]]-1)</f>
        <v>146.666666666667</v>
      </c>
      <c r="CV17" s="41" t="n">
        <f aca="false">IF(Tasks[[#This Row],[_IsLeaf]]=1,MAX(N(Tasks[[#This Row],[Duration]]),0.1),0)</f>
        <v>5</v>
      </c>
      <c r="CW17" s="41" t="n">
        <f aca="false">Tasks[[#This Row],[_WeightDur]]*Tasks[[#This Row],[_LeafProgress]]</f>
        <v>5</v>
      </c>
      <c r="CX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9</v>
      </c>
      <c r="CY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9</v>
      </c>
      <c r="DA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 s="41" t="str">
        <f aca="false">IF(Tasks[[#This Row],[Task Name]]="","",Tasks[[#This Row],[_Pred1UIDText]]&amp;IF(AND(Tasks[[#This Row],[_Pred1UIDText]]&lt;&gt;"",Tasks[[#This Row],[_Pred2UIDText]]&lt;&gt;""),",","")&amp;Tasks[[#This Row],[_Pred2UIDText]])</f>
        <v>9</v>
      </c>
      <c r="DC17" s="41" t="str">
        <f aca="false">IF(AND(Tasks[[#This Row],[_IsLeaf]]=1,N(Tasks[[#This Row],[Duration]])=0,Tasks[[#This Row],[_LeafProgress]]&lt;1),Tasks[[#This Row],[_LeafFcstFinish]]+Tasks[[#This Row],[_Row]]/100000,"")</f>
        <v/>
      </c>
      <c r="DD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17" s="41" t="n">
        <f aca="false">IF(NOT(Tasks[[#This Row],[_IsLeaf]]=1),0,IF(Tasks[[#This Row],[Baseline Cost]]="",Tasks[[#This Row],[_LeafCost]],N(Tasks[[#This Row],[Baseline Cost]])))</f>
        <v>3400</v>
      </c>
      <c r="DF17" s="41" t="n">
        <f aca="false">Tasks[[#This Row],[_LeafBudget]]*Tasks[[#This Row],[_PlannedPct]]</f>
        <v>3400</v>
      </c>
      <c r="DG17" s="41" t="n">
        <f aca="false">Tasks[[#This Row],[_LeafBudget]]*Tasks[[#This Row],[_LeafProgress]]</f>
        <v>3400</v>
      </c>
      <c r="DH17" s="41" t="n">
        <f aca="false">IF(NOT(Tasks[[#This Row],[_IsLeaf]]=1),0,IF(Tasks[[#This Row],[Actual Cost]]="",Tasks[[#This Row],[_LeafCost]]*Tasks[[#This Row],[_LeafProgress]],N(Tasks[[#This Row],[Actual Cost]])))</f>
        <v>3400</v>
      </c>
      <c r="DI17" s="41" t="str">
        <f aca="false">IF(Tasks[[#This Row],[Task Name]]="","",LEFT(Tasks[[#This Row],[WBS]],FIND(".",Tasks[[#This Row],[WBS]]&amp;".")-1))</f>
        <v>3</v>
      </c>
      <c r="DJ17" s="41" t="str">
        <f aca="false">IF(AND(Tasks[[#This Row],[Task Name]]&lt;&gt;"",Tasks[[#This Row],[_Level]]=1),Tasks[[#This Row],[_Row]],"")</f>
        <v/>
      </c>
      <c r="DK17" s="41" t="str">
        <f aca="false">IF(AND(Tasks[[#This Row],[_IsLeaf]]=1,N(Tasks[[#This Row],[Duration]])=0),Tasks[[#This Row],[Planned Finish]]+Tasks[[#This Row],[_Row]]/100000,"")</f>
        <v/>
      </c>
      <c r="DL17" s="41" t="str">
        <f aca="false">IF(AND(Tasks[[#This Row],[_IsLeaf]]=1,Tasks[[#This Row],[_LeafProgress]]&lt;1,OR(N(Tasks[[#This Row],[Finish Var]])&gt;0,Tasks[[#This Row],[Status]]="Late Start")),MAX(0,Tasks[[#This Row],[Finish Var]])+1-Tasks[[#This Row],[_Row]]/1000000,"")</f>
        <v/>
      </c>
      <c r="DM17" s="41" t="str">
        <f aca="false">IF(AND(Tasks[[#This Row],[_IsLeaf]]=1,N(Tasks[[#This Row],[Actual Start]])=0,Tasks[[#This Row],[_LeafFcstStart]]&gt;=StatusDate,Tasks[[#This Row],[_LeafFcstStart]]&lt;=LookaheadEnd),Tasks[[#This Row],[_LeafFcstStart]]+Tasks[[#This Row],[_Row]]/100000,"")</f>
        <v/>
      </c>
      <c r="DN17" s="41" t="str">
        <f aca="false">IF(AND(Tasks[[#This Row],[_IsLeaf]]=1,Tasks[[#This Row],[_LeafProgress]]&lt;1,Tasks[[#This Row],[_LeafFcstFinish]]&gt;=StatusDate,Tasks[[#This Row],[_LeafFcstFinish]]&lt;=LookaheadEnd),Tasks[[#This Row],[_LeafFcstFinish]]+Tasks[[#This Row],[_Row]]/100000,"")</f>
        <v/>
      </c>
      <c r="DO17" s="41" t="str">
        <f aca="false">IF(Tasks[[#This Row],[_LeafCritical]],Tasks[[#This Row],[_LeafFcstStart]]+Tasks[[#This Row],[_Row]]/100000,"")</f>
        <v/>
      </c>
      <c r="DP17" s="41" t="n">
        <f aca="false">Tasks[[#This Row],[_LeafWork]]*Tasks[[#This Row],[_LeafProgress]]</f>
        <v>40</v>
      </c>
      <c r="DQ17" s="103" t="n">
        <f aca="false">IF(AND(Tasks[[#This Row],[_IsLeaf]]=1,Tasks[[#This Row],[_LeafProgress]]&gt;=1),IF(N(Tasks[[#This Row],[Actual Finish]])&gt;0,Tasks[[#This Row],[Actual Finish]],Tasks[[#This Row],[_LeafFcstFinish]]),"")</f>
        <v>46309</v>
      </c>
      <c r="DR17" s="41" t="n">
        <f aca="false">IF(Tasks[[#This Row],[_IsLeaf]]=1,N(Tasks[[#This Row],[Story Points]]),0)</f>
        <v>5</v>
      </c>
      <c r="DS17" s="41" t="str">
        <f aca="false">IF(AND(Tasks[[#This Row],[_IsLeaf]]=1,CurrentSprint&lt;&gt;"",Tasks[[#This Row],[Sprint]]=CurrentSprint),Tasks[[#This Row],[_Row]],"")</f>
        <v/>
      </c>
    </row>
    <row r="18" customFormat="false" ht="15" hidden="false" customHeight="false" outlineLevel="0" collapsed="false">
      <c r="A18" s="28" t="n">
        <f aca="false">IF(Tasks[[#This Row],[Task Name]]="","",COUNTA(Tasks[[#Headers],[Task Name]]:Tasks[[#This Row],[Task Name]])-1)</f>
        <v>13</v>
      </c>
      <c r="B18" s="29" t="n">
        <v>13</v>
      </c>
      <c r="C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3.1.2</v>
      </c>
      <c r="D18" s="29" t="n">
        <v>3</v>
      </c>
      <c r="E18" s="30" t="s">
        <v>615</v>
      </c>
      <c r="F18" s="29" t="s">
        <v>595</v>
      </c>
      <c r="G18" s="29" t="n">
        <v>10</v>
      </c>
      <c r="H18" s="29" t="n">
        <v>12</v>
      </c>
      <c r="I18" s="29" t="s">
        <v>600</v>
      </c>
      <c r="J18" s="29"/>
      <c r="K18" s="29"/>
      <c r="L18" s="29"/>
      <c r="M18" s="29"/>
      <c r="N18" s="77"/>
      <c r="O18" s="77"/>
      <c r="P18" s="25" t="n">
        <f aca="false">IF(Tasks[[#This Row],[Task Name]]="","",IF(N(Tasks[[#This Row],[Baseline Start]])&gt;0,Tasks[[#This Row],[Baseline Start]],Tasks[[#This Row],[_CalcStart]]))</f>
        <v>46304</v>
      </c>
      <c r="Q18" s="25" t="n">
        <f aca="false">IF(Tasks[[#This Row],[Task Name]]="","",IF(N(Tasks[[#This Row],[Baseline Finish]])&gt;0,Tasks[[#This Row],[Baseline Finish]],Tasks[[#This Row],[_CalcFinish]]))</f>
        <v>46317</v>
      </c>
      <c r="R18" s="77" t="n">
        <v>46310</v>
      </c>
      <c r="S18" s="77"/>
      <c r="T18" s="25" t="n">
        <f aca="false">IF(Tasks[[#This Row],[Task Name]]="","",IF(Tasks[[#This Row],[_IsSummary]],MIN(INDEX(Tasks[_LeafFcstStart],Tasks[[#This Row],[_Row]]+1):INDEX(Tasks[_LeafFcstStart],Tasks[[#This Row],[_Row]]+Tasks[[#This Row],[_Descendants]])),Tasks[[#This Row],[_LeafFcstStart]]))</f>
        <v>46310</v>
      </c>
      <c r="U18" s="25" t="n">
        <f aca="false">IF(Tasks[[#This Row],[Task Name]]="","",IF(Tasks[[#This Row],[_IsSummary]],MAX(INDEX(Tasks[_LeafFcstFinish],Tasks[[#This Row],[_Row]]+1):INDEX(Tasks[_LeafFcstFinish],Tasks[[#This Row],[_Row]]+Tasks[[#This Row],[_Descendants]])),Tasks[[#This Row],[_LeafFcstFinish]]))</f>
        <v>46325</v>
      </c>
      <c r="V18" s="43" t="n">
        <f aca="false">IF(Tasks[[#This Row],[Task Name]]="","",IF(Tasks[[#This Row],[Forecast Start]]&gt;=Tasks[[#This Row],[Planned Start]],NETWORKDAYS.INTL(Tasks[[#This Row],[Planned Start]],Tasks[[#This Row],[Forecast Start]],WorkWeek,Holidays)-1,1-NETWORKDAYS.INTL(Tasks[[#This Row],[Forecast Start]],Tasks[[#This Row],[Planned Start]],WorkWeek,Holidays)))</f>
        <v>4</v>
      </c>
      <c r="W18"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8" s="25" t="n">
        <f aca="false">IF(Tasks[[#This Row],[Task Name]]="","",IF(Tasks[[#This Row],[_IsSummary]],MIN(INDEX(Tasks[_LeafLateStart],Tasks[[#This Row],[_Row]]+1):INDEX(Tasks[_LeafLateStart],Tasks[[#This Row],[_Row]]+Tasks[[#This Row],[_Descendants]])),Tasks[[#This Row],[_LeafLateStart]]))</f>
        <v>46311</v>
      </c>
      <c r="Y18" s="25" t="n">
        <f aca="false">IF(Tasks[[#This Row],[Task Name]]="","",IF(Tasks[[#This Row],[_IsSummary]],MAX(INDEX(Tasks[_LeafLateFinish],Tasks[[#This Row],[_Row]]+1):INDEX(Tasks[_LeafLateFinish],Tasks[[#This Row],[_Row]]+Tasks[[#This Row],[_Descendants]])),Tasks[[#This Row],[_LeafLateFinish]]))</f>
        <v>46324</v>
      </c>
      <c r="Z18" s="43" t="n">
        <f aca="false">IF(Tasks[[#This Row],[Task Name]]="","",IF(Tasks[[#This Row],[_IsSummary]],MIN(INDEX(Tasks[_LeafTotalSlack],Tasks[[#This Row],[_Row]]+1):INDEX(Tasks[_LeafTotalSlack],Tasks[[#This Row],[_Row]]+Tasks[[#This Row],[_Descendants]])),Tasks[[#This Row],[_LeafTotalSlack]]))</f>
        <v>-1</v>
      </c>
      <c r="AA1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v>
      </c>
      <c r="AB18" s="28" t="str">
        <f aca="false">IF(Tasks[[#This Row],[Task Name]]="","",IF(IF(Tasks[[#This Row],[_IsSummary]],COUNTIF(INDEX(Tasks[_LeafCritical],Tasks[[#This Row],[_Row]]+1):INDEX(Tasks[_LeafCritical],Tasks[[#This Row],[_Row]]+Tasks[[#This Row],[_Descendants]]),TRUE())&gt;0,Tasks[[#This Row],[_LeafCritical]]),"Yes",""))</f>
        <v>Yes</v>
      </c>
      <c r="AC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 s="24" t="str">
        <f aca="false">IF(Tasks[[#This Row],[Task Name]]="","",TRIM(IF(Tasks[[#This Row],[_Pred1Problem]]&lt;&gt;"","Pred 1: "&amp;Tasks[[#This Row],[_Pred1Problem]]&amp;". ","")&amp;IF(Tasks[[#This Row],[_Pred2Problem]]&lt;&gt;"","Pred 2: "&amp;Tasks[[#This Row],[_Pred2Problem]]&amp;".","")))</f>
        <v/>
      </c>
      <c r="AE18" s="91" t="n">
        <v>0.5</v>
      </c>
      <c r="AF18"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0.5</v>
      </c>
      <c r="AG18" s="28" t="str">
        <f aca="false">IF(Tasks[[#This Row],[Task Name]]="","",IF(Tasks[[#This Row],[Progress]]&gt;=1,"Complete",IF(OR(N(Tasks[[#This Row],[Actual Start]])&gt;0,Tasks[[#This Row],[Progress]]&gt;0),IF(Tasks[[#This Row],[Finish Var]]&gt;0,"Behind","In Progress"),IF(Tasks[[#This Row],[Planned Start]]&lt;StatusDate,"Late Start","Not Started"))))</f>
        <v>Behind</v>
      </c>
      <c r="AH18" s="30" t="s">
        <v>286</v>
      </c>
      <c r="AI18" s="91"/>
      <c r="AJ1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Yes</v>
      </c>
      <c r="AK18" s="98" t="n">
        <f aca="false">IF(Tasks[[#This Row],[Task Name]]="","",IF(Tasks[[#This Row],[_IsSummary]],SUM(INDEX(Tasks[_LeafWork],Tasks[[#This Row],[_Row]]+1):INDEX(Tasks[_LeafWork],Tasks[[#This Row],[_Row]]+Tasks[[#This Row],[_Descendants]])),Tasks[[#This Row],[_LeafWork]]))</f>
        <v>80</v>
      </c>
      <c r="AL18" s="99" t="n">
        <f aca="false">IF(Tasks[[#This Row],[Task Name]]="","",IF(Tasks[[#This Row],[_IsSummary]],SUM(INDEX(Tasks[_LeafCost],Tasks[[#This Row],[_Row]]+1):INDEX(Tasks[_LeafCost],Tasks[[#This Row],[_Row]]+Tasks[[#This Row],[_Descendants]])),Tasks[[#This Row],[_LeafCost]]))</f>
        <v>6800</v>
      </c>
      <c r="AM18" s="100" t="n">
        <v>4080</v>
      </c>
      <c r="AN18" s="29"/>
      <c r="AO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P18" s="85" t="n">
        <v>8</v>
      </c>
      <c r="AQ18" s="24" t="str">
        <f aca="false">IF(Tasks[[#This Row],[Task Name]]="","",Tasks[[#This Row],[_Pred1IDText]]&amp;IF(AND(Tasks[[#This Row],[_Pred1IDText]]&lt;&gt;"",Tasks[[#This Row],[_Pred2IDText]]&lt;&gt;""),",","")&amp;Tasks[[#This Row],[_Pred2IDText]])</f>
        <v>12</v>
      </c>
      <c r="AR18" s="30" t="s">
        <v>616</v>
      </c>
      <c r="AS18" s="25" t="n">
        <f aca="false">IF(Tasks[[#This Row],[Task Name]]="","",Tasks[[#This Row],[Forecast Start]])</f>
        <v>46310</v>
      </c>
      <c r="AT18" s="25" t="n">
        <f aca="false">IF(Tasks[[#This Row],[Task Name]]="","",Tasks[[#This Row],[Forecast Finish]])</f>
        <v>46325</v>
      </c>
      <c r="AU18" s="28" t="n">
        <f aca="false">IF(Tasks[[#This Row],[Task Name]]="","",IF(Tasks[[#This Row],[_IsSummary]],NETWORKDAYS.INTL(Tasks[[#This Row],[Forecast Start]],Tasks[[#This Row],[Forecast Finish]],WorkWeek,Holidays),N(Tasks[[#This Row],[Duration]])))</f>
        <v>10</v>
      </c>
      <c r="AV18" s="98" t="n">
        <f aca="false">IF(Tasks[[#This Row],[Task Name]]="","",Tasks[[#This Row],[Work]])</f>
        <v>80</v>
      </c>
      <c r="AW18" s="99" t="n">
        <f aca="false">IF(Tasks[[#This Row],[Task Name]]="","",Tasks[[#This Row],[Cost]])</f>
        <v>6800</v>
      </c>
      <c r="AX18" s="77"/>
      <c r="AY18" s="77"/>
      <c r="AZ18" s="29"/>
      <c r="BA18" s="101"/>
      <c r="BB18" s="100"/>
      <c r="BC18" s="28" t="str">
        <f aca="false">IF(OR(Tasks[[#This Row],[Task Name]]="",Tasks[[#This Row],[Baseline Duration]]=""),"",Tasks[[#This Row],[BL Source Duration]]-N(Tasks[[#This Row],[Baseline Duration]]))</f>
        <v/>
      </c>
      <c r="BD18" s="98" t="str">
        <f aca="false">IF(OR(Tasks[[#This Row],[Task Name]]="",Tasks[[#This Row],[Baseline Work]]=""),"",Tasks[[#This Row],[Work]]-N(Tasks[[#This Row],[Baseline Work]]))</f>
        <v/>
      </c>
      <c r="BE18" s="99" t="str">
        <f aca="false">IF(OR(Tasks[[#This Row],[Task Name]]="",Tasks[[#This Row],[Baseline Cost]]=""),"",Tasks[[#This Row],[Cost]]-N(Tasks[[#This Row],[Baseline Cost]]))</f>
        <v/>
      </c>
      <c r="BF18" s="99" t="n">
        <f aca="false">IF(Tasks[[#This Row],[Task Name]]="","",IF(Tasks[[#This Row],[_IsSummary]],SUM(INDEX(Tasks[_LeafBudget],Tasks[[#This Row],[_Row]]+1):INDEX(Tasks[_LeafBudget],Tasks[[#This Row],[_Row]]+Tasks[[#This Row],[_Descendants]])),Tasks[[#This Row],[_LeafBudget]]))</f>
        <v>6800</v>
      </c>
      <c r="BG18" s="99" t="n">
        <f aca="false">IF(Tasks[[#This Row],[Task Name]]="","",IF(Tasks[[#This Row],[_IsSummary]],SUM(INDEX(Tasks[_LeafPV],Tasks[[#This Row],[_Row]]+1):INDEX(Tasks[_LeafPV],Tasks[[#This Row],[_Row]]+Tasks[[#This Row],[_Descendants]])),Tasks[[#This Row],[_LeafPV]]))</f>
        <v>6800</v>
      </c>
      <c r="BH18" s="99" t="n">
        <f aca="false">IF(Tasks[[#This Row],[Task Name]]="","",IF(Tasks[[#This Row],[_IsSummary]],SUM(INDEX(Tasks[_LeafEV],Tasks[[#This Row],[_Row]]+1):INDEX(Tasks[_LeafEV],Tasks[[#This Row],[_Row]]+Tasks[[#This Row],[_Descendants]])),Tasks[[#This Row],[_LeafEV]]))</f>
        <v>3400</v>
      </c>
      <c r="BI18" s="99" t="n">
        <f aca="false">IF(Tasks[[#This Row],[Task Name]]="","",IF(Tasks[[#This Row],[_IsSummary]],SUM(INDEX(Tasks[_LeafAC],Tasks[[#This Row],[_Row]]+1):INDEX(Tasks[_LeafAC],Tasks[[#This Row],[_Row]]+Tasks[[#This Row],[_Descendants]])),Tasks[[#This Row],[_LeafAC]]))</f>
        <v>4080</v>
      </c>
      <c r="BJ18" s="41" t="n">
        <f aca="false">IF(Tasks[[#This Row],[Task Name]]="","",MAX(1,N(Tasks[[#This Row],[Level]])))</f>
        <v>3</v>
      </c>
      <c r="BK18" s="41" t="n">
        <f aca="false">ROW()-ROW(Tasks[[#Headers],[ID]])</f>
        <v>13</v>
      </c>
      <c r="BL18" s="41" t="n">
        <f aca="false">IF(OR(Tasks[[#This Row],[Task Name]]="",Tasks[[#This Row],[_Level]]&lt;=1),0,IFERROR(LOOKUP(2,1/(Tasks[[#Headers],[_Level]]:Tasks[[#This Row],[_Level]]=Tasks[[#This Row],[_Level]]-1),ROW(Tasks[[#Headers],[_Level]]:Tasks[[#This Row],[_Level]])),0))</f>
        <v>16</v>
      </c>
      <c r="BM18" s="41" t="n">
        <f aca="false">IFERROR(N(INDEX(Tasks[_Level],Tasks[[#This Row],[_Row]]+1)),0)</f>
        <v>3</v>
      </c>
      <c r="BN18" s="102" t="b">
        <f aca="false">AND(Tasks[[#This Row],[Task Name]]&lt;&gt;"",Tasks[[#This Row],[_NextLevel]]&gt;Tasks[[#This Row],[_Level]])</f>
        <v>0</v>
      </c>
      <c r="BO18" s="41" t="n">
        <f aca="false">IF(Tasks[[#This Row],[_IsSummary]],COUNTIF(Tasks[WBS],Tasks[[#This Row],[WBS]]&amp;".*"),0)</f>
        <v>0</v>
      </c>
      <c r="BP18" s="41" t="n">
        <f aca="false">IF(AND(Tasks[[#This Row],[Task Name]]&lt;&gt;"",NOT(Tasks[[#This Row],[_IsSummary]])),1,0)</f>
        <v>1</v>
      </c>
      <c r="BQ18" s="41" t="n">
        <f aca="false">IF(N(Tasks[[#This Row],[Pred1 UID]])=0,0,IFERROR(MATCH(Tasks[[#This Row],[Pred1 UID]],Tasks[UID],0),-1))</f>
        <v>12</v>
      </c>
      <c r="BR18" s="41" t="n">
        <f aca="false">IF(N(Tasks[[#This Row],[Pred2 UID]])=0,0,IFERROR(MATCH(Tasks[[#This Row],[Pred2 UID]],Tasks[UID],0),-1))</f>
        <v>0</v>
      </c>
      <c r="BS18"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46304</v>
      </c>
      <c r="BT18" s="103" t="n">
        <f aca="false">IF(NOT(Tasks[[#This Row],[_IsLeaf]]=1),"",IF(N(Tasks[[#This Row],[Duration]])&lt;=0,Tasks[[#This Row],[_LeafCalcStart]],WORKDAY.INTL(Tasks[[#This Row],[_LeafCalcStart]],Tasks[[#This Row],[Duration]]-1,WorkWeek,Holidays)))</f>
        <v>46317</v>
      </c>
      <c r="BU18"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46310</v>
      </c>
      <c r="BV18"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46325</v>
      </c>
      <c r="BW18" s="41" t="n">
        <f aca="false">IF(NOT(Tasks[[#This Row],[_IsLeaf]]=1),0,IF(N(Tasks[[#This Row],[Actual Finish]])&gt;0,1,MIN(1,N(Tasks[[#This Row],[% Complete]]))))</f>
        <v>0.5</v>
      </c>
      <c r="BX18" s="41" t="n">
        <f aca="false">IF(OR(NOT(Tasks[[#This Row],[_IsLeaf]]=1),Tasks[[#This Row],[Resource]]=""),0,N(Tasks[[#This Row],[Duration]])*HoursPerDay*IF(Tasks[[#This Row],[Units]]="",DefaultUnits,Tasks[[#This Row],[Units]]))</f>
        <v>80</v>
      </c>
      <c r="BY18" s="41" t="n">
        <f aca="false">IF(Tasks[[#This Row],[_LeafWork]]=0,0,Tasks[[#This Row],[_LeafWork]]*IFERROR(INDEX(res_Rate,MATCH(Tasks[[#This Row],[Resource]],res_Name,0)),0))</f>
        <v>6800</v>
      </c>
      <c r="BZ18"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2912155</v>
      </c>
      <c r="CA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 s="41" t="n">
        <f aca="false">IF(NOT(Tasks[[#This Row],[_IsLeaf]]=1),0,MAX(_xlfn.MAXIFS(Tasks[_Row],Tasks[Pred1 UID],Tasks[[#This Row],[UID]]),_xlfn.MAXIFS(Tasks[_Row],Tasks[Pred2 UID],Tasks[[#This Row],[UID]])))</f>
        <v>17</v>
      </c>
      <c r="CE18"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46324</v>
      </c>
      <c r="CF18" s="103" t="n">
        <f aca="false">IF(NOT(Tasks[[#This Row],[_IsLeaf]]=1),"",MIN(ProjectFinish,IF(N(Tasks[[#This Row],[Deadline]])&gt;0,Tasks[[#This Row],[Deadline]],2958465),Tasks[[#This Row],[_SuccessorFinishLimit]]))</f>
        <v>46324</v>
      </c>
      <c r="CG18" s="103" t="n">
        <f aca="false">IF(NOT(Tasks[[#This Row],[_IsLeaf]]=1),"",IF(N(Tasks[[#This Row],[Duration]])&lt;=0,Tasks[[#This Row],[_LeafLateFinish]],WORKDAY.INTL(Tasks[[#This Row],[_LeafLateFinish]],-(Tasks[[#This Row],[Duration]]-1),WorkWeek,Holidays)))</f>
        <v>46311</v>
      </c>
      <c r="CH1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I18" s="102" t="b">
        <f aca="false">AND(Tasks[[#This Row],[_IsLeaf]]=1,Tasks[[#This Row],[_LeafProgress]]&lt;1,N(Tasks[[#This Row],[_LeafTotalSlack]])&lt;=CriticalSlackDays)</f>
        <v>1</v>
      </c>
      <c r="CJ18" s="103" t="n">
        <f aca="false">IF(Tasks[[#This Row],[Task Name]]="","",IF(Tasks[[#This Row],[_IsSummary]],MIN(INDEX(Tasks[_LeafCalcStart],Tasks[[#This Row],[_Row]]+1):INDEX(Tasks[_LeafCalcStart],Tasks[[#This Row],[_Row]]+Tasks[[#This Row],[_Descendants]])),Tasks[[#This Row],[_LeafCalcStart]]))</f>
        <v>46304</v>
      </c>
      <c r="CK18" s="103" t="n">
        <f aca="false">IF(Tasks[[#This Row],[Task Name]]="","",IF(Tasks[[#This Row],[_IsSummary]],MAX(INDEX(Tasks[_LeafCalcFinish],Tasks[[#This Row],[_Row]]+1):INDEX(Tasks[_LeafCalcFinish],Tasks[[#This Row],[_Row]]+Tasks[[#This Row],[_Descendants]])),Tasks[[#This Row],[_LeafCalcFinish]]))</f>
        <v>46317</v>
      </c>
      <c r="CL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46304</v>
      </c>
      <c r="CO1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46310</v>
      </c>
      <c r="CQ1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 s="41" t="n">
        <f aca="false">IF(AND(Tasks[[#This Row],[_IsLeaf]]=1,Tasks[[#This Row],[_LeafWork]]&gt;0),NETWORKDAYS.INTL(ProjectStart,Tasks[[#This Row],[_LeafFcstStart]],WorkWeek,Holidays),0)</f>
        <v>29</v>
      </c>
      <c r="CS18" s="41" t="n">
        <f aca="false">IF(AND(Tasks[[#This Row],[_IsLeaf]]=1,Tasks[[#This Row],[_LeafWork]]&gt;0),MAX(Tasks[[#This Row],[_StartWorkday]],NETWORKDAYS.INTL(ProjectStart,Tasks[[#This Row],[_LeafFcstFinish]],WorkWeek,Holidays)),0)</f>
        <v>40</v>
      </c>
      <c r="CT18" s="41" t="n">
        <f aca="false">IF(AND(Tasks[[#This Row],[_IsLeaf]]=1,Tasks[[#This Row],[_LeafWork]]&gt;0),Tasks[[#This Row],[_LeafWork]]/(Tasks[[#This Row],[_FinishWorkday]]-Tasks[[#This Row],[_StartWorkday]]+1),0)</f>
        <v>6.66666666666667</v>
      </c>
      <c r="CU18" s="41" t="n">
        <f aca="false">Tasks[[#This Row],[_WorkPerWorkday]]*(Tasks[[#This Row],[_StartWorkday]]-1)</f>
        <v>186.666666666667</v>
      </c>
      <c r="CV18" s="41" t="n">
        <f aca="false">IF(Tasks[[#This Row],[_IsLeaf]]=1,MAX(N(Tasks[[#This Row],[Duration]]),0.1),0)</f>
        <v>10</v>
      </c>
      <c r="CW18" s="41" t="n">
        <f aca="false">Tasks[[#This Row],[_WeightDur]]*Tasks[[#This Row],[_LeafProgress]]</f>
        <v>5</v>
      </c>
      <c r="CX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12</v>
      </c>
      <c r="CY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12</v>
      </c>
      <c r="DA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 s="41" t="str">
        <f aca="false">IF(Tasks[[#This Row],[Task Name]]="","",Tasks[[#This Row],[_Pred1UIDText]]&amp;IF(AND(Tasks[[#This Row],[_Pred1UIDText]]&lt;&gt;"",Tasks[[#This Row],[_Pred2UIDText]]&lt;&gt;""),",","")&amp;Tasks[[#This Row],[_Pred2UIDText]])</f>
        <v>12</v>
      </c>
      <c r="DC18" s="41" t="str">
        <f aca="false">IF(AND(Tasks[[#This Row],[_IsLeaf]]=1,N(Tasks[[#This Row],[Duration]])=0,Tasks[[#This Row],[_LeafProgress]]&lt;1),Tasks[[#This Row],[_LeafFcstFinish]]+Tasks[[#This Row],[_Row]]/100000,"")</f>
        <v/>
      </c>
      <c r="DD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18" s="41" t="n">
        <f aca="false">IF(NOT(Tasks[[#This Row],[_IsLeaf]]=1),0,IF(Tasks[[#This Row],[Baseline Cost]]="",Tasks[[#This Row],[_LeafCost]],N(Tasks[[#This Row],[Baseline Cost]])))</f>
        <v>6800</v>
      </c>
      <c r="DF18" s="41" t="n">
        <f aca="false">Tasks[[#This Row],[_LeafBudget]]*Tasks[[#This Row],[_PlannedPct]]</f>
        <v>6800</v>
      </c>
      <c r="DG18" s="41" t="n">
        <f aca="false">Tasks[[#This Row],[_LeafBudget]]*Tasks[[#This Row],[_LeafProgress]]</f>
        <v>3400</v>
      </c>
      <c r="DH18" s="41" t="n">
        <f aca="false">IF(NOT(Tasks[[#This Row],[_IsLeaf]]=1),0,IF(Tasks[[#This Row],[Actual Cost]]="",Tasks[[#This Row],[_LeafCost]]*Tasks[[#This Row],[_LeafProgress]],N(Tasks[[#This Row],[Actual Cost]])))</f>
        <v>4080</v>
      </c>
      <c r="DI18" s="41" t="str">
        <f aca="false">IF(Tasks[[#This Row],[Task Name]]="","",LEFT(Tasks[[#This Row],[WBS]],FIND(".",Tasks[[#This Row],[WBS]]&amp;".")-1))</f>
        <v>3</v>
      </c>
      <c r="DJ18" s="41" t="str">
        <f aca="false">IF(AND(Tasks[[#This Row],[Task Name]]&lt;&gt;"",Tasks[[#This Row],[_Level]]=1),Tasks[[#This Row],[_Row]],"")</f>
        <v/>
      </c>
      <c r="DK18" s="41" t="str">
        <f aca="false">IF(AND(Tasks[[#This Row],[_IsLeaf]]=1,N(Tasks[[#This Row],[Duration]])=0),Tasks[[#This Row],[Planned Finish]]+Tasks[[#This Row],[_Row]]/100000,"")</f>
        <v/>
      </c>
      <c r="DL18" s="41" t="n">
        <f aca="false">IF(AND(Tasks[[#This Row],[_IsLeaf]]=1,Tasks[[#This Row],[_LeafProgress]]&lt;1,OR(N(Tasks[[#This Row],[Finish Var]])&gt;0,Tasks[[#This Row],[Status]]="Late Start")),MAX(0,Tasks[[#This Row],[Finish Var]])+1-Tasks[[#This Row],[_Row]]/1000000,"")</f>
        <v>6.999987</v>
      </c>
      <c r="DM18" s="41" t="str">
        <f aca="false">IF(AND(Tasks[[#This Row],[_IsLeaf]]=1,N(Tasks[[#This Row],[Actual Start]])=0,Tasks[[#This Row],[_LeafFcstStart]]&gt;=StatusDate,Tasks[[#This Row],[_LeafFcstStart]]&lt;=LookaheadEnd),Tasks[[#This Row],[_LeafFcstStart]]+Tasks[[#This Row],[_Row]]/100000,"")</f>
        <v/>
      </c>
      <c r="DN18" s="104" t="n">
        <f aca="false">IF(AND(Tasks[[#This Row],[_IsLeaf]]=1,Tasks[[#This Row],[_LeafProgress]]&lt;1,Tasks[[#This Row],[_LeafFcstFinish]]&gt;=StatusDate,Tasks[[#This Row],[_LeafFcstFinish]]&lt;=LookaheadEnd),Tasks[[#This Row],[_LeafFcstFinish]]+Tasks[[#This Row],[_Row]]/100000,"")</f>
        <v>46325.00013</v>
      </c>
      <c r="DO18" s="104" t="n">
        <f aca="false">IF(Tasks[[#This Row],[_LeafCritical]],Tasks[[#This Row],[_LeafFcstStart]]+Tasks[[#This Row],[_Row]]/100000,"")</f>
        <v>46310.00013</v>
      </c>
      <c r="DP18" s="41" t="n">
        <f aca="false">Tasks[[#This Row],[_LeafWork]]*Tasks[[#This Row],[_LeafProgress]]</f>
        <v>40</v>
      </c>
      <c r="DQ18" s="103" t="str">
        <f aca="false">IF(AND(Tasks[[#This Row],[_IsLeaf]]=1,Tasks[[#This Row],[_LeafProgress]]&gt;=1),IF(N(Tasks[[#This Row],[Actual Finish]])&gt;0,Tasks[[#This Row],[Actual Finish]],Tasks[[#This Row],[_LeafFcstFinish]]),"")</f>
        <v/>
      </c>
      <c r="DR18" s="41" t="n">
        <f aca="false">IF(Tasks[[#This Row],[_IsLeaf]]=1,N(Tasks[[#This Row],[Story Points]]),0)</f>
        <v>8</v>
      </c>
      <c r="DS18" s="41" t="str">
        <f aca="false">IF(AND(Tasks[[#This Row],[_IsLeaf]]=1,CurrentSprint&lt;&gt;"",Tasks[[#This Row],[Sprint]]=CurrentSprint),Tasks[[#This Row],[_Row]],"")</f>
        <v/>
      </c>
    </row>
    <row r="19" customFormat="false" ht="15" hidden="false" customHeight="false" outlineLevel="0" collapsed="false">
      <c r="A19" s="28" t="n">
        <f aca="false">IF(Tasks[[#This Row],[Task Name]]="","",COUNTA(Tasks[[#Headers],[Task Name]]:Tasks[[#This Row],[Task Name]])-1)</f>
        <v>14</v>
      </c>
      <c r="B19" s="29" t="n">
        <v>14</v>
      </c>
      <c r="C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3.1.3</v>
      </c>
      <c r="D19" s="29" t="n">
        <v>3</v>
      </c>
      <c r="E19" s="30" t="s">
        <v>617</v>
      </c>
      <c r="F19" s="29" t="s">
        <v>595</v>
      </c>
      <c r="G19" s="29" t="n">
        <v>6</v>
      </c>
      <c r="H19" s="29" t="n">
        <v>13</v>
      </c>
      <c r="I19" s="29" t="s">
        <v>600</v>
      </c>
      <c r="J19" s="29"/>
      <c r="K19" s="29"/>
      <c r="L19" s="29"/>
      <c r="M19" s="29"/>
      <c r="N19" s="77"/>
      <c r="O19" s="77"/>
      <c r="P19" s="25" t="n">
        <f aca="false">IF(Tasks[[#This Row],[Task Name]]="","",IF(N(Tasks[[#This Row],[Baseline Start]])&gt;0,Tasks[[#This Row],[Baseline Start]],Tasks[[#This Row],[_CalcStart]]))</f>
        <v>46318</v>
      </c>
      <c r="Q19" s="25" t="n">
        <f aca="false">IF(Tasks[[#This Row],[Task Name]]="","",IF(N(Tasks[[#This Row],[Baseline Finish]])&gt;0,Tasks[[#This Row],[Baseline Finish]],Tasks[[#This Row],[_CalcFinish]]))</f>
        <v>46325</v>
      </c>
      <c r="R19" s="77"/>
      <c r="S19" s="77"/>
      <c r="T19" s="25" t="n">
        <f aca="false">IF(Tasks[[#This Row],[Task Name]]="","",IF(Tasks[[#This Row],[_IsSummary]],MIN(INDEX(Tasks[_LeafFcstStart],Tasks[[#This Row],[_Row]]+1):INDEX(Tasks[_LeafFcstStart],Tasks[[#This Row],[_Row]]+Tasks[[#This Row],[_Descendants]])),Tasks[[#This Row],[_LeafFcstStart]]))</f>
        <v>46328</v>
      </c>
      <c r="U19" s="25" t="n">
        <f aca="false">IF(Tasks[[#This Row],[Task Name]]="","",IF(Tasks[[#This Row],[_IsSummary]],MAX(INDEX(Tasks[_LeafFcstFinish],Tasks[[#This Row],[_Row]]+1):INDEX(Tasks[_LeafFcstFinish],Tasks[[#This Row],[_Row]]+Tasks[[#This Row],[_Descendants]])),Tasks[[#This Row],[_LeafFcstFinish]]))</f>
        <v>46335</v>
      </c>
      <c r="V19"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19"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19" s="25" t="n">
        <f aca="false">IF(Tasks[[#This Row],[Task Name]]="","",IF(Tasks[[#This Row],[_IsSummary]],MIN(INDEX(Tasks[_LeafLateStart],Tasks[[#This Row],[_Row]]+1):INDEX(Tasks[_LeafLateStart],Tasks[[#This Row],[_Row]]+Tasks[[#This Row],[_Descendants]])),Tasks[[#This Row],[_LeafLateStart]]))</f>
        <v>46325</v>
      </c>
      <c r="Y19" s="25" t="n">
        <f aca="false">IF(Tasks[[#This Row],[Task Name]]="","",IF(Tasks[[#This Row],[_IsSummary]],MAX(INDEX(Tasks[_LeafLateFinish],Tasks[[#This Row],[_Row]]+1):INDEX(Tasks[_LeafLateFinish],Tasks[[#This Row],[_Row]]+Tasks[[#This Row],[_Descendants]])),Tasks[[#This Row],[_LeafLateFinish]]))</f>
        <v>46332</v>
      </c>
      <c r="Z19" s="43" t="n">
        <f aca="false">IF(Tasks[[#This Row],[Task Name]]="","",IF(Tasks[[#This Row],[_IsSummary]],MIN(INDEX(Tasks[_LeafTotalSlack],Tasks[[#This Row],[_Row]]+1):INDEX(Tasks[_LeafTotalSlack],Tasks[[#This Row],[_Row]]+Tasks[[#This Row],[_Descendants]])),Tasks[[#This Row],[_LeafTotalSlack]]))</f>
        <v>-1</v>
      </c>
      <c r="AA1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v>
      </c>
      <c r="AB19" s="28" t="str">
        <f aca="false">IF(Tasks[[#This Row],[Task Name]]="","",IF(IF(Tasks[[#This Row],[_IsSummary]],COUNTIF(INDEX(Tasks[_LeafCritical],Tasks[[#This Row],[_Row]]+1):INDEX(Tasks[_LeafCritical],Tasks[[#This Row],[_Row]]+Tasks[[#This Row],[_Descendants]]),TRUE())&gt;0,Tasks[[#This Row],[_LeafCritical]]),"Yes",""))</f>
        <v>Yes</v>
      </c>
      <c r="AC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 s="24" t="str">
        <f aca="false">IF(Tasks[[#This Row],[Task Name]]="","",TRIM(IF(Tasks[[#This Row],[_Pred1Problem]]&lt;&gt;"","Pred 1: "&amp;Tasks[[#This Row],[_Pred1Problem]]&amp;". ","")&amp;IF(Tasks[[#This Row],[_Pred2Problem]]&lt;&gt;"","Pred 2: "&amp;Tasks[[#This Row],[_Pred2Problem]]&amp;".","")))</f>
        <v/>
      </c>
      <c r="AE19" s="91"/>
      <c r="AF19"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19" s="28" t="str">
        <f aca="false">IF(Tasks[[#This Row],[Task Name]]="","",IF(Tasks[[#This Row],[Progress]]&gt;=1,"Complete",IF(OR(N(Tasks[[#This Row],[Actual Start]])&gt;0,Tasks[[#This Row],[Progress]]&gt;0),IF(Tasks[[#This Row],[Finish Var]]&gt;0,"Behind","In Progress"),IF(Tasks[[#This Row],[Planned Start]]&lt;StatusDate,"Late Start","Not Started"))))</f>
        <v>Late Start</v>
      </c>
      <c r="AH19" s="30" t="s">
        <v>286</v>
      </c>
      <c r="AI19" s="91"/>
      <c r="AJ1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 s="98" t="n">
        <f aca="false">IF(Tasks[[#This Row],[Task Name]]="","",IF(Tasks[[#This Row],[_IsSummary]],SUM(INDEX(Tasks[_LeafWork],Tasks[[#This Row],[_Row]]+1):INDEX(Tasks[_LeafWork],Tasks[[#This Row],[_Row]]+Tasks[[#This Row],[_Descendants]])),Tasks[[#This Row],[_LeafWork]]))</f>
        <v>48</v>
      </c>
      <c r="AL19" s="99" t="n">
        <f aca="false">IF(Tasks[[#This Row],[Task Name]]="","",IF(Tasks[[#This Row],[_IsSummary]],SUM(INDEX(Tasks[_LeafCost],Tasks[[#This Row],[_Row]]+1):INDEX(Tasks[_LeafCost],Tasks[[#This Row],[_Row]]+Tasks[[#This Row],[_Descendants]])),Tasks[[#This Row],[_LeafCost]]))</f>
        <v>4080</v>
      </c>
      <c r="AM19" s="100"/>
      <c r="AN19" s="29"/>
      <c r="AO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P19" s="85" t="n">
        <v>5</v>
      </c>
      <c r="AQ19" s="24" t="str">
        <f aca="false">IF(Tasks[[#This Row],[Task Name]]="","",Tasks[[#This Row],[_Pred1IDText]]&amp;IF(AND(Tasks[[#This Row],[_Pred1IDText]]&lt;&gt;"",Tasks[[#This Row],[_Pred2IDText]]&lt;&gt;""),",","")&amp;Tasks[[#This Row],[_Pred2IDText]])</f>
        <v>13</v>
      </c>
      <c r="AR19" s="30"/>
      <c r="AS19" s="25" t="n">
        <f aca="false">IF(Tasks[[#This Row],[Task Name]]="","",Tasks[[#This Row],[Forecast Start]])</f>
        <v>46328</v>
      </c>
      <c r="AT19" s="25" t="n">
        <f aca="false">IF(Tasks[[#This Row],[Task Name]]="","",Tasks[[#This Row],[Forecast Finish]])</f>
        <v>46335</v>
      </c>
      <c r="AU19" s="28" t="n">
        <f aca="false">IF(Tasks[[#This Row],[Task Name]]="","",IF(Tasks[[#This Row],[_IsSummary]],NETWORKDAYS.INTL(Tasks[[#This Row],[Forecast Start]],Tasks[[#This Row],[Forecast Finish]],WorkWeek,Holidays),N(Tasks[[#This Row],[Duration]])))</f>
        <v>6</v>
      </c>
      <c r="AV19" s="98" t="n">
        <f aca="false">IF(Tasks[[#This Row],[Task Name]]="","",Tasks[[#This Row],[Work]])</f>
        <v>48</v>
      </c>
      <c r="AW19" s="99" t="n">
        <f aca="false">IF(Tasks[[#This Row],[Task Name]]="","",Tasks[[#This Row],[Cost]])</f>
        <v>4080</v>
      </c>
      <c r="AX19" s="77"/>
      <c r="AY19" s="77"/>
      <c r="AZ19" s="29"/>
      <c r="BA19" s="101"/>
      <c r="BB19" s="100"/>
      <c r="BC19" s="28" t="str">
        <f aca="false">IF(OR(Tasks[[#This Row],[Task Name]]="",Tasks[[#This Row],[Baseline Duration]]=""),"",Tasks[[#This Row],[BL Source Duration]]-N(Tasks[[#This Row],[Baseline Duration]]))</f>
        <v/>
      </c>
      <c r="BD19" s="98" t="str">
        <f aca="false">IF(OR(Tasks[[#This Row],[Task Name]]="",Tasks[[#This Row],[Baseline Work]]=""),"",Tasks[[#This Row],[Work]]-N(Tasks[[#This Row],[Baseline Work]]))</f>
        <v/>
      </c>
      <c r="BE19" s="99" t="str">
        <f aca="false">IF(OR(Tasks[[#This Row],[Task Name]]="",Tasks[[#This Row],[Baseline Cost]]=""),"",Tasks[[#This Row],[Cost]]-N(Tasks[[#This Row],[Baseline Cost]]))</f>
        <v/>
      </c>
      <c r="BF19" s="99" t="n">
        <f aca="false">IF(Tasks[[#This Row],[Task Name]]="","",IF(Tasks[[#This Row],[_IsSummary]],SUM(INDEX(Tasks[_LeafBudget],Tasks[[#This Row],[_Row]]+1):INDEX(Tasks[_LeafBudget],Tasks[[#This Row],[_Row]]+Tasks[[#This Row],[_Descendants]])),Tasks[[#This Row],[_LeafBudget]]))</f>
        <v>4080</v>
      </c>
      <c r="BG19" s="99" t="n">
        <f aca="false">IF(Tasks[[#This Row],[Task Name]]="","",IF(Tasks[[#This Row],[_IsSummary]],SUM(INDEX(Tasks[_LeafPV],Tasks[[#This Row],[_Row]]+1):INDEX(Tasks[_LeafPV],Tasks[[#This Row],[_Row]]+Tasks[[#This Row],[_Descendants]])),Tasks[[#This Row],[_LeafPV]]))</f>
        <v>680</v>
      </c>
      <c r="BH19" s="99" t="n">
        <f aca="false">IF(Tasks[[#This Row],[Task Name]]="","",IF(Tasks[[#This Row],[_IsSummary]],SUM(INDEX(Tasks[_LeafEV],Tasks[[#This Row],[_Row]]+1):INDEX(Tasks[_LeafEV],Tasks[[#This Row],[_Row]]+Tasks[[#This Row],[_Descendants]])),Tasks[[#This Row],[_LeafEV]]))</f>
        <v>0</v>
      </c>
      <c r="BI19" s="99" t="n">
        <f aca="false">IF(Tasks[[#This Row],[Task Name]]="","",IF(Tasks[[#This Row],[_IsSummary]],SUM(INDEX(Tasks[_LeafAC],Tasks[[#This Row],[_Row]]+1):INDEX(Tasks[_LeafAC],Tasks[[#This Row],[_Row]]+Tasks[[#This Row],[_Descendants]])),Tasks[[#This Row],[_LeafAC]]))</f>
        <v>0</v>
      </c>
      <c r="BJ19" s="41" t="n">
        <f aca="false">IF(Tasks[[#This Row],[Task Name]]="","",MAX(1,N(Tasks[[#This Row],[Level]])))</f>
        <v>3</v>
      </c>
      <c r="BK19" s="41" t="n">
        <f aca="false">ROW()-ROW(Tasks[[#Headers],[ID]])</f>
        <v>14</v>
      </c>
      <c r="BL19" s="41" t="n">
        <f aca="false">IF(OR(Tasks[[#This Row],[Task Name]]="",Tasks[[#This Row],[_Level]]&lt;=1),0,IFERROR(LOOKUP(2,1/(Tasks[[#Headers],[_Level]]:Tasks[[#This Row],[_Level]]=Tasks[[#This Row],[_Level]]-1),ROW(Tasks[[#Headers],[_Level]]:Tasks[[#This Row],[_Level]])),0))</f>
        <v>16</v>
      </c>
      <c r="BM19" s="41" t="n">
        <f aca="false">IFERROR(N(INDEX(Tasks[_Level],Tasks[[#This Row],[_Row]]+1)),0)</f>
        <v>2</v>
      </c>
      <c r="BN19" s="102" t="b">
        <f aca="false">AND(Tasks[[#This Row],[Task Name]]&lt;&gt;"",Tasks[[#This Row],[_NextLevel]]&gt;Tasks[[#This Row],[_Level]])</f>
        <v>0</v>
      </c>
      <c r="BO19" s="41" t="n">
        <f aca="false">IF(Tasks[[#This Row],[_IsSummary]],COUNTIF(Tasks[WBS],Tasks[[#This Row],[WBS]]&amp;".*"),0)</f>
        <v>0</v>
      </c>
      <c r="BP19" s="41" t="n">
        <f aca="false">IF(AND(Tasks[[#This Row],[Task Name]]&lt;&gt;"",NOT(Tasks[[#This Row],[_IsSummary]])),1,0)</f>
        <v>1</v>
      </c>
      <c r="BQ19" s="41" t="n">
        <f aca="false">IF(N(Tasks[[#This Row],[Pred1 UID]])=0,0,IFERROR(MATCH(Tasks[[#This Row],[Pred1 UID]],Tasks[UID],0),-1))</f>
        <v>13</v>
      </c>
      <c r="BR19" s="41" t="n">
        <f aca="false">IF(N(Tasks[[#This Row],[Pred2 UID]])=0,0,IFERROR(MATCH(Tasks[[#This Row],[Pred2 UID]],Tasks[UID],0),-1))</f>
        <v>0</v>
      </c>
      <c r="BS19"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46318</v>
      </c>
      <c r="BT19" s="103" t="n">
        <f aca="false">IF(NOT(Tasks[[#This Row],[_IsLeaf]]=1),"",IF(N(Tasks[[#This Row],[Duration]])&lt;=0,Tasks[[#This Row],[_LeafCalcStart]],WORKDAY.INTL(Tasks[[#This Row],[_LeafCalcStart]],Tasks[[#This Row],[Duration]]-1,WorkWeek,Holidays)))</f>
        <v>46325</v>
      </c>
      <c r="BU19"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46328</v>
      </c>
      <c r="BV19"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BW19" s="41" t="n">
        <f aca="false">IF(NOT(Tasks[[#This Row],[_IsLeaf]]=1),0,IF(N(Tasks[[#This Row],[Actual Finish]])&gt;0,1,MIN(1,N(Tasks[[#This Row],[% Complete]]))))</f>
        <v>0</v>
      </c>
      <c r="BX19" s="41" t="n">
        <f aca="false">IF(OR(NOT(Tasks[[#This Row],[_IsLeaf]]=1),Tasks[[#This Row],[Resource]]=""),0,N(Tasks[[#This Row],[Duration]])*HoursPerDay*IF(Tasks[[#This Row],[Units]]="",DefaultUnits,Tasks[[#This Row],[Units]]))</f>
        <v>48</v>
      </c>
      <c r="BY19" s="41" t="n">
        <f aca="false">IF(Tasks[[#This Row],[_LeafWork]]=0,0,Tasks[[#This Row],[_LeafWork]]*IFERROR(INDEX(res_Rate,MATCH(Tasks[[#This Row],[Resource]],res_Name,0)),0))</f>
        <v>4080</v>
      </c>
      <c r="BZ19"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2912141</v>
      </c>
      <c r="CA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 s="41" t="n">
        <f aca="false">IF(NOT(Tasks[[#This Row],[_IsLeaf]]=1),0,MAX(_xlfn.MAXIFS(Tasks[_Row],Tasks[Pred1 UID],Tasks[[#This Row],[UID]]),_xlfn.MAXIFS(Tasks[_Row],Tasks[Pred2 UID],Tasks[[#This Row],[UID]])))</f>
        <v>19</v>
      </c>
      <c r="CE19"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46332</v>
      </c>
      <c r="CF19" s="103" t="n">
        <f aca="false">IF(NOT(Tasks[[#This Row],[_IsLeaf]]=1),"",MIN(ProjectFinish,IF(N(Tasks[[#This Row],[Deadline]])&gt;0,Tasks[[#This Row],[Deadline]],2958465),Tasks[[#This Row],[_SuccessorFinishLimit]]))</f>
        <v>46332</v>
      </c>
      <c r="CG19" s="103" t="n">
        <f aca="false">IF(NOT(Tasks[[#This Row],[_IsLeaf]]=1),"",IF(N(Tasks[[#This Row],[Duration]])&lt;=0,Tasks[[#This Row],[_LeafLateFinish]],WORKDAY.INTL(Tasks[[#This Row],[_LeafLateFinish]],-(Tasks[[#This Row],[Duration]]-1),WorkWeek,Holidays)))</f>
        <v>46325</v>
      </c>
      <c r="CH1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I19" s="102" t="b">
        <f aca="false">AND(Tasks[[#This Row],[_IsLeaf]]=1,Tasks[[#This Row],[_LeafProgress]]&lt;1,N(Tasks[[#This Row],[_LeafTotalSlack]])&lt;=CriticalSlackDays)</f>
        <v>1</v>
      </c>
      <c r="CJ19" s="103" t="n">
        <f aca="false">IF(Tasks[[#This Row],[Task Name]]="","",IF(Tasks[[#This Row],[_IsSummary]],MIN(INDEX(Tasks[_LeafCalcStart],Tasks[[#This Row],[_Row]]+1):INDEX(Tasks[_LeafCalcStart],Tasks[[#This Row],[_Row]]+Tasks[[#This Row],[_Descendants]])),Tasks[[#This Row],[_LeafCalcStart]]))</f>
        <v>46318</v>
      </c>
      <c r="CK19" s="103" t="n">
        <f aca="false">IF(Tasks[[#This Row],[Task Name]]="","",IF(Tasks[[#This Row],[_IsSummary]],MAX(INDEX(Tasks[_LeafCalcFinish],Tasks[[#This Row],[_Row]]+1):INDEX(Tasks[_LeafCalcFinish],Tasks[[#This Row],[_Row]]+Tasks[[#This Row],[_Descendants]])),Tasks[[#This Row],[_LeafCalcFinish]]))</f>
        <v>46325</v>
      </c>
      <c r="CL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46318</v>
      </c>
      <c r="CO1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46328</v>
      </c>
      <c r="CQ1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 s="41" t="n">
        <f aca="false">IF(AND(Tasks[[#This Row],[_IsLeaf]]=1,Tasks[[#This Row],[_LeafWork]]&gt;0),NETWORKDAYS.INTL(ProjectStart,Tasks[[#This Row],[_LeafFcstStart]],WorkWeek,Holidays),0)</f>
        <v>41</v>
      </c>
      <c r="CS19" s="41" t="n">
        <f aca="false">IF(AND(Tasks[[#This Row],[_IsLeaf]]=1,Tasks[[#This Row],[_LeafWork]]&gt;0),MAX(Tasks[[#This Row],[_StartWorkday]],NETWORKDAYS.INTL(ProjectStart,Tasks[[#This Row],[_LeafFcstFinish]],WorkWeek,Holidays)),0)</f>
        <v>46</v>
      </c>
      <c r="CT19" s="41" t="n">
        <f aca="false">IF(AND(Tasks[[#This Row],[_IsLeaf]]=1,Tasks[[#This Row],[_LeafWork]]&gt;0),Tasks[[#This Row],[_LeafWork]]/(Tasks[[#This Row],[_FinishWorkday]]-Tasks[[#This Row],[_StartWorkday]]+1),0)</f>
        <v>8</v>
      </c>
      <c r="CU19" s="41" t="n">
        <f aca="false">Tasks[[#This Row],[_WorkPerWorkday]]*(Tasks[[#This Row],[_StartWorkday]]-1)</f>
        <v>320</v>
      </c>
      <c r="CV19" s="41" t="n">
        <f aca="false">IF(Tasks[[#This Row],[_IsLeaf]]=1,MAX(N(Tasks[[#This Row],[Duration]]),0.1),0)</f>
        <v>6</v>
      </c>
      <c r="CW19" s="41" t="n">
        <f aca="false">Tasks[[#This Row],[_WeightDur]]*Tasks[[#This Row],[_LeafProgress]]</f>
        <v>0</v>
      </c>
      <c r="CX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13</v>
      </c>
      <c r="CY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13</v>
      </c>
      <c r="DA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 s="41" t="str">
        <f aca="false">IF(Tasks[[#This Row],[Task Name]]="","",Tasks[[#This Row],[_Pred1UIDText]]&amp;IF(AND(Tasks[[#This Row],[_Pred1UIDText]]&lt;&gt;"",Tasks[[#This Row],[_Pred2UIDText]]&lt;&gt;""),",","")&amp;Tasks[[#This Row],[_Pred2UIDText]])</f>
        <v>13</v>
      </c>
      <c r="DC19" s="41" t="str">
        <f aca="false">IF(AND(Tasks[[#This Row],[_IsLeaf]]=1,N(Tasks[[#This Row],[Duration]])=0,Tasks[[#This Row],[_LeafProgress]]&lt;1),Tasks[[#This Row],[_LeafFcstFinish]]+Tasks[[#This Row],[_Row]]/100000,"")</f>
        <v/>
      </c>
      <c r="DD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0.166666666666667</v>
      </c>
      <c r="DE19" s="41" t="n">
        <f aca="false">IF(NOT(Tasks[[#This Row],[_IsLeaf]]=1),0,IF(Tasks[[#This Row],[Baseline Cost]]="",Tasks[[#This Row],[_LeafCost]],N(Tasks[[#This Row],[Baseline Cost]])))</f>
        <v>4080</v>
      </c>
      <c r="DF19" s="41" t="n">
        <f aca="false">Tasks[[#This Row],[_LeafBudget]]*Tasks[[#This Row],[_PlannedPct]]</f>
        <v>680</v>
      </c>
      <c r="DG19" s="41" t="n">
        <f aca="false">Tasks[[#This Row],[_LeafBudget]]*Tasks[[#This Row],[_LeafProgress]]</f>
        <v>0</v>
      </c>
      <c r="DH19" s="41" t="n">
        <f aca="false">IF(NOT(Tasks[[#This Row],[_IsLeaf]]=1),0,IF(Tasks[[#This Row],[Actual Cost]]="",Tasks[[#This Row],[_LeafCost]]*Tasks[[#This Row],[_LeafProgress]],N(Tasks[[#This Row],[Actual Cost]])))</f>
        <v>0</v>
      </c>
      <c r="DI19" s="41" t="str">
        <f aca="false">IF(Tasks[[#This Row],[Task Name]]="","",LEFT(Tasks[[#This Row],[WBS]],FIND(".",Tasks[[#This Row],[WBS]]&amp;".")-1))</f>
        <v>3</v>
      </c>
      <c r="DJ19" s="41" t="str">
        <f aca="false">IF(AND(Tasks[[#This Row],[Task Name]]&lt;&gt;"",Tasks[[#This Row],[_Level]]=1),Tasks[[#This Row],[_Row]],"")</f>
        <v/>
      </c>
      <c r="DK19" s="41" t="str">
        <f aca="false">IF(AND(Tasks[[#This Row],[_IsLeaf]]=1,N(Tasks[[#This Row],[Duration]])=0),Tasks[[#This Row],[Planned Finish]]+Tasks[[#This Row],[_Row]]/100000,"")</f>
        <v/>
      </c>
      <c r="DL19" s="41" t="n">
        <f aca="false">IF(AND(Tasks[[#This Row],[_IsLeaf]]=1,Tasks[[#This Row],[_LeafProgress]]&lt;1,OR(N(Tasks[[#This Row],[Finish Var]])&gt;0,Tasks[[#This Row],[Status]]="Late Start")),MAX(0,Tasks[[#This Row],[Finish Var]])+1-Tasks[[#This Row],[_Row]]/1000000,"")</f>
        <v>6.999986</v>
      </c>
      <c r="DM19" s="104" t="n">
        <f aca="false">IF(AND(Tasks[[#This Row],[_IsLeaf]]=1,N(Tasks[[#This Row],[Actual Start]])=0,Tasks[[#This Row],[_LeafFcstStart]]&gt;=StatusDate,Tasks[[#This Row],[_LeafFcstStart]]&lt;=LookaheadEnd),Tasks[[#This Row],[_LeafFcstStart]]+Tasks[[#This Row],[_Row]]/100000,"")</f>
        <v>46328.00014</v>
      </c>
      <c r="DN19" s="41" t="str">
        <f aca="false">IF(AND(Tasks[[#This Row],[_IsLeaf]]=1,Tasks[[#This Row],[_LeafProgress]]&lt;1,Tasks[[#This Row],[_LeafFcstFinish]]&gt;=StatusDate,Tasks[[#This Row],[_LeafFcstFinish]]&lt;=LookaheadEnd),Tasks[[#This Row],[_LeafFcstFinish]]+Tasks[[#This Row],[_Row]]/100000,"")</f>
        <v/>
      </c>
      <c r="DO19" s="104" t="n">
        <f aca="false">IF(Tasks[[#This Row],[_LeafCritical]],Tasks[[#This Row],[_LeafFcstStart]]+Tasks[[#This Row],[_Row]]/100000,"")</f>
        <v>46328.00014</v>
      </c>
      <c r="DP19" s="41" t="n">
        <f aca="false">Tasks[[#This Row],[_LeafWork]]*Tasks[[#This Row],[_LeafProgress]]</f>
        <v>0</v>
      </c>
      <c r="DQ19" s="103" t="str">
        <f aca="false">IF(AND(Tasks[[#This Row],[_IsLeaf]]=1,Tasks[[#This Row],[_LeafProgress]]&gt;=1),IF(N(Tasks[[#This Row],[Actual Finish]])&gt;0,Tasks[[#This Row],[Actual Finish]],Tasks[[#This Row],[_LeafFcstFinish]]),"")</f>
        <v/>
      </c>
      <c r="DR19" s="41" t="n">
        <f aca="false">IF(Tasks[[#This Row],[_IsLeaf]]=1,N(Tasks[[#This Row],[Story Points]]),0)</f>
        <v>5</v>
      </c>
      <c r="DS19" s="41" t="str">
        <f aca="false">IF(AND(Tasks[[#This Row],[_IsLeaf]]=1,CurrentSprint&lt;&gt;"",Tasks[[#This Row],[Sprint]]=CurrentSprint),Tasks[[#This Row],[_Row]],"")</f>
        <v/>
      </c>
    </row>
    <row r="20" customFormat="false" ht="15" hidden="false" customHeight="false" outlineLevel="0" collapsed="false">
      <c r="A20" s="28" t="n">
        <f aca="false">IF(Tasks[[#This Row],[Task Name]]="","",COUNTA(Tasks[[#Headers],[Task Name]]:Tasks[[#This Row],[Task Name]])-1)</f>
        <v>15</v>
      </c>
      <c r="B20" s="29" t="n">
        <v>15</v>
      </c>
      <c r="C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D20" s="29" t="n">
        <v>2</v>
      </c>
      <c r="E20" s="30" t="s">
        <v>618</v>
      </c>
      <c r="F20" s="29" t="s">
        <v>595</v>
      </c>
      <c r="G20" s="29"/>
      <c r="H20" s="29"/>
      <c r="I20" s="29"/>
      <c r="J20" s="29"/>
      <c r="K20" s="29"/>
      <c r="L20" s="29"/>
      <c r="M20" s="29"/>
      <c r="N20" s="77"/>
      <c r="O20" s="77"/>
      <c r="P20" s="25" t="n">
        <f aca="false">IF(Tasks[[#This Row],[Task Name]]="","",IF(N(Tasks[[#This Row],[Baseline Start]])&gt;0,Tasks[[#This Row],[Baseline Start]],Tasks[[#This Row],[_CalcStart]]))</f>
        <v>46297</v>
      </c>
      <c r="Q20" s="25" t="n">
        <f aca="false">IF(Tasks[[#This Row],[Task Name]]="","",IF(N(Tasks[[#This Row],[Baseline Finish]])&gt;0,Tasks[[#This Row],[Baseline Finish]],Tasks[[#This Row],[_CalcFinish]]))</f>
        <v>46324</v>
      </c>
      <c r="R20" s="77"/>
      <c r="S20" s="77"/>
      <c r="T20" s="25" t="n">
        <f aca="false">IF(Tasks[[#This Row],[Task Name]]="","",IF(Tasks[[#This Row],[_IsSummary]],MIN(INDEX(Tasks[_LeafFcstStart],Tasks[[#This Row],[_Row]]+1):INDEX(Tasks[_LeafFcstStart],Tasks[[#This Row],[_Row]]+Tasks[[#This Row],[_Descendants]])),Tasks[[#This Row],[_LeafFcstStart]]))</f>
        <v>46302</v>
      </c>
      <c r="U20" s="25" t="n">
        <f aca="false">IF(Tasks[[#This Row],[Task Name]]="","",IF(Tasks[[#This Row],[_IsSummary]],MAX(INDEX(Tasks[_LeafFcstFinish],Tasks[[#This Row],[_Row]]+1):INDEX(Tasks[_LeafFcstFinish],Tasks[[#This Row],[_Row]]+Tasks[[#This Row],[_Descendants]])),Tasks[[#This Row],[_LeafFcstFinish]]))</f>
        <v>46332</v>
      </c>
      <c r="V20"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20"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0" s="25" t="n">
        <f aca="false">IF(Tasks[[#This Row],[Task Name]]="","",IF(Tasks[[#This Row],[_IsSummary]],MIN(INDEX(Tasks[_LeafLateStart],Tasks[[#This Row],[_Row]]+1):INDEX(Tasks[_LeafLateStart],Tasks[[#This Row],[_Row]]+Tasks[[#This Row],[_Descendants]])),Tasks[[#This Row],[_LeafLateStart]]))</f>
        <v>46308</v>
      </c>
      <c r="Y20" s="25" t="n">
        <f aca="false">IF(Tasks[[#This Row],[Task Name]]="","",IF(Tasks[[#This Row],[_IsSummary]],MAX(INDEX(Tasks[_LeafLateFinish],Tasks[[#This Row],[_Row]]+1):INDEX(Tasks[_LeafLateFinish],Tasks[[#This Row],[_Row]]+Tasks[[#This Row],[_Descendants]])),Tasks[[#This Row],[_LeafLateFinish]]))</f>
        <v>46332</v>
      </c>
      <c r="Z20" s="43" t="n">
        <f aca="false">IF(Tasks[[#This Row],[Task Name]]="","",IF(Tasks[[#This Row],[_IsSummary]],MIN(INDEX(Tasks[_LeafTotalSlack],Tasks[[#This Row],[_Row]]+1):INDEX(Tasks[_LeafTotalSlack],Tasks[[#This Row],[_Row]]+Tasks[[#This Row],[_Descendants]])),Tasks[[#This Row],[_LeafTotalSlack]]))</f>
        <v>0</v>
      </c>
      <c r="AA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 s="28" t="str">
        <f aca="false">IF(Tasks[[#This Row],[Task Name]]="","",IF(IF(Tasks[[#This Row],[_IsSummary]],COUNTIF(INDEX(Tasks[_LeafCritical],Tasks[[#This Row],[_Row]]+1):INDEX(Tasks[_LeafCritical],Tasks[[#This Row],[_Row]]+Tasks[[#This Row],[_Descendants]]),TRUE())&gt;0,Tasks[[#This Row],[_LeafCritical]]),"Yes",""))</f>
        <v>Yes</v>
      </c>
      <c r="AC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 s="24" t="str">
        <f aca="false">IF(Tasks[[#This Row],[Task Name]]="","",TRIM(IF(Tasks[[#This Row],[_Pred1Problem]]&lt;&gt;"","Pred 1: "&amp;Tasks[[#This Row],[_Pred1Problem]]&amp;". ","")&amp;IF(Tasks[[#This Row],[_Pred2Problem]]&lt;&gt;"","Pred 2: "&amp;Tasks[[#This Row],[_Pred2Problem]]&amp;".","")))</f>
        <v/>
      </c>
      <c r="AE20" s="91"/>
      <c r="AF20"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0.428571428571429</v>
      </c>
      <c r="AG20" s="28" t="str">
        <f aca="false">IF(Tasks[[#This Row],[Task Name]]="","",IF(Tasks[[#This Row],[Progress]]&gt;=1,"Complete",IF(OR(N(Tasks[[#This Row],[Actual Start]])&gt;0,Tasks[[#This Row],[Progress]]&gt;0),IF(Tasks[[#This Row],[Finish Var]]&gt;0,"Behind","In Progress"),IF(Tasks[[#This Row],[Planned Start]]&lt;StatusDate,"Late Start","Not Started"))))</f>
        <v>Behind</v>
      </c>
      <c r="AH20" s="30"/>
      <c r="AI20" s="91"/>
      <c r="AJ2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 s="98" t="n">
        <f aca="false">IF(Tasks[[#This Row],[Task Name]]="","",IF(Tasks[[#This Row],[_IsSummary]],SUM(INDEX(Tasks[_LeafWork],Tasks[[#This Row],[_Row]]+1):INDEX(Tasks[_LeafWork],Tasks[[#This Row],[_Row]]+Tasks[[#This Row],[_Descendants]])),Tasks[[#This Row],[_LeafWork]]))</f>
        <v>156</v>
      </c>
      <c r="AL20" s="99" t="n">
        <f aca="false">IF(Tasks[[#This Row],[Task Name]]="","",IF(Tasks[[#This Row],[_IsSummary]],SUM(INDEX(Tasks[_LeafCost],Tasks[[#This Row],[_Row]]+1):INDEX(Tasks[_LeafCost],Tasks[[#This Row],[_Row]]+Tasks[[#This Row],[_Descendants]])),Tasks[[#This Row],[_LeafCost]]))</f>
        <v>12420</v>
      </c>
      <c r="AM20" s="100"/>
      <c r="AN20" s="29"/>
      <c r="AO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 s="85"/>
      <c r="AQ20" s="24" t="str">
        <f aca="false">IF(Tasks[[#This Row],[Task Name]]="","",Tasks[[#This Row],[_Pred1IDText]]&amp;IF(AND(Tasks[[#This Row],[_Pred1IDText]]&lt;&gt;"",Tasks[[#This Row],[_Pred2IDText]]&lt;&gt;""),",","")&amp;Tasks[[#This Row],[_Pred2IDText]])</f>
        <v/>
      </c>
      <c r="AR20" s="30"/>
      <c r="AS20" s="25" t="n">
        <f aca="false">IF(Tasks[[#This Row],[Task Name]]="","",Tasks[[#This Row],[Forecast Start]])</f>
        <v>46302</v>
      </c>
      <c r="AT20" s="25" t="n">
        <f aca="false">IF(Tasks[[#This Row],[Task Name]]="","",Tasks[[#This Row],[Forecast Finish]])</f>
        <v>46332</v>
      </c>
      <c r="AU20" s="28" t="n">
        <f aca="false">IF(Tasks[[#This Row],[Task Name]]="","",IF(Tasks[[#This Row],[_IsSummary]],NETWORKDAYS.INTL(Tasks[[#This Row],[Forecast Start]],Tasks[[#This Row],[Forecast Finish]],WorkWeek,Holidays),N(Tasks[[#This Row],[Duration]])))</f>
        <v>23</v>
      </c>
      <c r="AV20" s="98" t="n">
        <f aca="false">IF(Tasks[[#This Row],[Task Name]]="","",Tasks[[#This Row],[Work]])</f>
        <v>156</v>
      </c>
      <c r="AW20" s="99" t="n">
        <f aca="false">IF(Tasks[[#This Row],[Task Name]]="","",Tasks[[#This Row],[Cost]])</f>
        <v>12420</v>
      </c>
      <c r="AX20" s="77"/>
      <c r="AY20" s="77"/>
      <c r="AZ20" s="29"/>
      <c r="BA20" s="101"/>
      <c r="BB20" s="100"/>
      <c r="BC20" s="28" t="str">
        <f aca="false">IF(OR(Tasks[[#This Row],[Task Name]]="",Tasks[[#This Row],[Baseline Duration]]=""),"",Tasks[[#This Row],[BL Source Duration]]-N(Tasks[[#This Row],[Baseline Duration]]))</f>
        <v/>
      </c>
      <c r="BD20" s="98" t="str">
        <f aca="false">IF(OR(Tasks[[#This Row],[Task Name]]="",Tasks[[#This Row],[Baseline Work]]=""),"",Tasks[[#This Row],[Work]]-N(Tasks[[#This Row],[Baseline Work]]))</f>
        <v/>
      </c>
      <c r="BE20" s="99" t="str">
        <f aca="false">IF(OR(Tasks[[#This Row],[Task Name]]="",Tasks[[#This Row],[Baseline Cost]]=""),"",Tasks[[#This Row],[Cost]]-N(Tasks[[#This Row],[Baseline Cost]]))</f>
        <v/>
      </c>
      <c r="BF20" s="99" t="n">
        <f aca="false">IF(Tasks[[#This Row],[Task Name]]="","",IF(Tasks[[#This Row],[_IsSummary]],SUM(INDEX(Tasks[_LeafBudget],Tasks[[#This Row],[_Row]]+1):INDEX(Tasks[_LeafBudget],Tasks[[#This Row],[_Row]]+Tasks[[#This Row],[_Descendants]])),Tasks[[#This Row],[_LeafBudget]]))</f>
        <v>12420</v>
      </c>
      <c r="BG20" s="99" t="n">
        <f aca="false">IF(Tasks[[#This Row],[Task Name]]="","",IF(Tasks[[#This Row],[_IsSummary]],SUM(INDEX(Tasks[_LeafPV],Tasks[[#This Row],[_Row]]+1):INDEX(Tasks[_LeafPV],Tasks[[#This Row],[_Row]]+Tasks[[#This Row],[_Descendants]])),Tasks[[#This Row],[_LeafPV]]))</f>
        <v>9600</v>
      </c>
      <c r="BH20" s="99" t="n">
        <f aca="false">IF(Tasks[[#This Row],[Task Name]]="","",IF(Tasks[[#This Row],[_IsSummary]],SUM(INDEX(Tasks[_LeafEV],Tasks[[#This Row],[_Row]]+1):INDEX(Tasks[_LeafEV],Tasks[[#This Row],[_Row]]+Tasks[[#This Row],[_Descendants]])),Tasks[[#This Row],[_LeafEV]]))</f>
        <v>5760</v>
      </c>
      <c r="BI20" s="99" t="n">
        <f aca="false">IF(Tasks[[#This Row],[Task Name]]="","",IF(Tasks[[#This Row],[_IsSummary]],SUM(INDEX(Tasks[_LeafAC],Tasks[[#This Row],[_Row]]+1):INDEX(Tasks[_LeafAC],Tasks[[#This Row],[_Row]]+Tasks[[#This Row],[_Descendants]])),Tasks[[#This Row],[_LeafAC]]))</f>
        <v>5760</v>
      </c>
      <c r="BJ20" s="41" t="n">
        <f aca="false">IF(Tasks[[#This Row],[Task Name]]="","",MAX(1,N(Tasks[[#This Row],[Level]])))</f>
        <v>2</v>
      </c>
      <c r="BK20" s="41" t="n">
        <f aca="false">ROW()-ROW(Tasks[[#Headers],[ID]])</f>
        <v>15</v>
      </c>
      <c r="BL20" s="41" t="n">
        <f aca="false">IF(OR(Tasks[[#This Row],[Task Name]]="",Tasks[[#This Row],[_Level]]&lt;=1),0,IFERROR(LOOKUP(2,1/(Tasks[[#Headers],[_Level]]:Tasks[[#This Row],[_Level]]=Tasks[[#This Row],[_Level]]-1),ROW(Tasks[[#Headers],[_Level]]:Tasks[[#This Row],[_Level]])),0))</f>
        <v>15</v>
      </c>
      <c r="BM20" s="41" t="n">
        <f aca="false">IFERROR(N(INDEX(Tasks[_Level],Tasks[[#This Row],[_Row]]+1)),0)</f>
        <v>3</v>
      </c>
      <c r="BN20" s="102" t="b">
        <f aca="false">AND(Tasks[[#This Row],[Task Name]]&lt;&gt;"",Tasks[[#This Row],[_NextLevel]]&gt;Tasks[[#This Row],[_Level]])</f>
        <v>1</v>
      </c>
      <c r="BO20" s="41" t="n">
        <f aca="false">IF(Tasks[[#This Row],[_IsSummary]],COUNTIF(Tasks[WBS],Tasks[[#This Row],[WBS]]&amp;".*"),0)</f>
        <v>3</v>
      </c>
      <c r="BP20" s="41" t="n">
        <f aca="false">IF(AND(Tasks[[#This Row],[Task Name]]&lt;&gt;"",NOT(Tasks[[#This Row],[_IsSummary]])),1,0)</f>
        <v>0</v>
      </c>
      <c r="BQ20" s="41" t="n">
        <f aca="false">IF(N(Tasks[[#This Row],[Pred1 UID]])=0,0,IFERROR(MATCH(Tasks[[#This Row],[Pred1 UID]],Tasks[UID],0),-1))</f>
        <v>0</v>
      </c>
      <c r="BR20" s="41" t="n">
        <f aca="false">IF(N(Tasks[[#This Row],[Pred2 UID]])=0,0,IFERROR(MATCH(Tasks[[#This Row],[Pred2 UID]],Tasks[UID],0),-1))</f>
        <v>0</v>
      </c>
      <c r="BS2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 s="103" t="str">
        <f aca="false">IF(NOT(Tasks[[#This Row],[_IsLeaf]]=1),"",IF(N(Tasks[[#This Row],[Duration]])&lt;=0,Tasks[[#This Row],[_LeafCalcStart]],WORKDAY.INTL(Tasks[[#This Row],[_LeafCalcStart]],Tasks[[#This Row],[Duration]]-1,WorkWeek,Holidays)))</f>
        <v/>
      </c>
      <c r="BU2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 s="41" t="n">
        <f aca="false">IF(NOT(Tasks[[#This Row],[_IsLeaf]]=1),0,IF(N(Tasks[[#This Row],[Actual Finish]])&gt;0,1,MIN(1,N(Tasks[[#This Row],[% Complete]]))))</f>
        <v>0</v>
      </c>
      <c r="BX20" s="41" t="n">
        <f aca="false">IF(OR(NOT(Tasks[[#This Row],[_IsLeaf]]=1),Tasks[[#This Row],[Resource]]=""),0,N(Tasks[[#This Row],[Duration]])*HoursPerDay*IF(Tasks[[#This Row],[Units]]="",DefaultUnits,Tasks[[#This Row],[Units]]))</f>
        <v>0</v>
      </c>
      <c r="BY20" s="41" t="n">
        <f aca="false">IF(Tasks[[#This Row],[_LeafWork]]=0,0,Tasks[[#This Row],[_LeafWork]]*IFERROR(INDEX(res_Rate,MATCH(Tasks[[#This Row],[Resource]],res_Name,0)),0))</f>
        <v>0</v>
      </c>
      <c r="BZ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 s="41" t="n">
        <f aca="false">IF(NOT(Tasks[[#This Row],[_IsLeaf]]=1),0,MAX(_xlfn.MAXIFS(Tasks[_Row],Tasks[Pred1 UID],Tasks[[#This Row],[UID]]),_xlfn.MAXIFS(Tasks[_Row],Tasks[Pred2 UID],Tasks[[#This Row],[UID]])))</f>
        <v>0</v>
      </c>
      <c r="CE2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 s="103" t="str">
        <f aca="false">IF(NOT(Tasks[[#This Row],[_IsLeaf]]=1),"",MIN(ProjectFinish,IF(N(Tasks[[#This Row],[Deadline]])&gt;0,Tasks[[#This Row],[Deadline]],2958465),Tasks[[#This Row],[_SuccessorFinishLimit]]))</f>
        <v/>
      </c>
      <c r="CG20" s="103" t="str">
        <f aca="false">IF(NOT(Tasks[[#This Row],[_IsLeaf]]=1),"",IF(N(Tasks[[#This Row],[Duration]])&lt;=0,Tasks[[#This Row],[_LeafLateFinish]],WORKDAY.INTL(Tasks[[#This Row],[_LeafLateFinish]],-(Tasks[[#This Row],[Duration]]-1),WorkWeek,Holidays)))</f>
        <v/>
      </c>
      <c r="CH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 s="102" t="b">
        <f aca="false">AND(Tasks[[#This Row],[_IsLeaf]]=1,Tasks[[#This Row],[_LeafProgress]]&lt;1,N(Tasks[[#This Row],[_LeafTotalSlack]])&lt;=CriticalSlackDays)</f>
        <v>0</v>
      </c>
      <c r="CJ20" s="103" t="n">
        <f aca="false">IF(Tasks[[#This Row],[Task Name]]="","",IF(Tasks[[#This Row],[_IsSummary]],MIN(INDEX(Tasks[_LeafCalcStart],Tasks[[#This Row],[_Row]]+1):INDEX(Tasks[_LeafCalcStart],Tasks[[#This Row],[_Row]]+Tasks[[#This Row],[_Descendants]])),Tasks[[#This Row],[_LeafCalcStart]]))</f>
        <v>46297</v>
      </c>
      <c r="CK20" s="103" t="n">
        <f aca="false">IF(Tasks[[#This Row],[Task Name]]="","",IF(Tasks[[#This Row],[_IsSummary]],MAX(INDEX(Tasks[_LeafCalcFinish],Tasks[[#This Row],[_Row]]+1):INDEX(Tasks[_LeafCalcFinish],Tasks[[#This Row],[_Row]]+Tasks[[#This Row],[_Descendants]])),Tasks[[#This Row],[_LeafCalcFinish]]))</f>
        <v>46324</v>
      </c>
      <c r="CL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 s="41" t="n">
        <f aca="false">IF(AND(Tasks[[#This Row],[_IsLeaf]]=1,Tasks[[#This Row],[_LeafWork]]&gt;0),NETWORKDAYS.INTL(ProjectStart,Tasks[[#This Row],[_LeafFcstStart]],WorkWeek,Holidays),0)</f>
        <v>0</v>
      </c>
      <c r="CS20" s="41" t="n">
        <f aca="false">IF(AND(Tasks[[#This Row],[_IsLeaf]]=1,Tasks[[#This Row],[_LeafWork]]&gt;0),MAX(Tasks[[#This Row],[_StartWorkday]],NETWORKDAYS.INTL(ProjectStart,Tasks[[#This Row],[_LeafFcstFinish]],WorkWeek,Holidays)),0)</f>
        <v>0</v>
      </c>
      <c r="CT20" s="41" t="n">
        <f aca="false">IF(AND(Tasks[[#This Row],[_IsLeaf]]=1,Tasks[[#This Row],[_LeafWork]]&gt;0),Tasks[[#This Row],[_LeafWork]]/(Tasks[[#This Row],[_FinishWorkday]]-Tasks[[#This Row],[_StartWorkday]]+1),0)</f>
        <v>0</v>
      </c>
      <c r="CU20" s="41" t="n">
        <f aca="false">Tasks[[#This Row],[_WorkPerWorkday]]*(Tasks[[#This Row],[_StartWorkday]]-1)</f>
        <v>-0</v>
      </c>
      <c r="CV20" s="41" t="n">
        <f aca="false">IF(Tasks[[#This Row],[_IsLeaf]]=1,MAX(N(Tasks[[#This Row],[Duration]]),0.1),0)</f>
        <v>0</v>
      </c>
      <c r="CW20" s="41" t="n">
        <f aca="false">Tasks[[#This Row],[_WeightDur]]*Tasks[[#This Row],[_LeafProgress]]</f>
        <v>0</v>
      </c>
      <c r="CX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 s="41" t="str">
        <f aca="false">IF(Tasks[[#This Row],[Task Name]]="","",Tasks[[#This Row],[_Pred1UIDText]]&amp;IF(AND(Tasks[[#This Row],[_Pred1UIDText]]&lt;&gt;"",Tasks[[#This Row],[_Pred2UIDText]]&lt;&gt;""),",","")&amp;Tasks[[#This Row],[_Pred2UIDText]])</f>
        <v/>
      </c>
      <c r="DC20" s="41" t="str">
        <f aca="false">IF(AND(Tasks[[#This Row],[_IsLeaf]]=1,N(Tasks[[#This Row],[Duration]])=0,Tasks[[#This Row],[_LeafProgress]]&lt;1),Tasks[[#This Row],[_LeafFcstFinish]]+Tasks[[#This Row],[_Row]]/100000,"")</f>
        <v/>
      </c>
      <c r="DD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 s="41" t="n">
        <f aca="false">IF(NOT(Tasks[[#This Row],[_IsLeaf]]=1),0,IF(Tasks[[#This Row],[Baseline Cost]]="",Tasks[[#This Row],[_LeafCost]],N(Tasks[[#This Row],[Baseline Cost]])))</f>
        <v>0</v>
      </c>
      <c r="DF20" s="41" t="n">
        <f aca="false">Tasks[[#This Row],[_LeafBudget]]*Tasks[[#This Row],[_PlannedPct]]</f>
        <v>0</v>
      </c>
      <c r="DG20" s="41" t="n">
        <f aca="false">Tasks[[#This Row],[_LeafBudget]]*Tasks[[#This Row],[_LeafProgress]]</f>
        <v>0</v>
      </c>
      <c r="DH20" s="41" t="n">
        <f aca="false">IF(NOT(Tasks[[#This Row],[_IsLeaf]]=1),0,IF(Tasks[[#This Row],[Actual Cost]]="",Tasks[[#This Row],[_LeafCost]]*Tasks[[#This Row],[_LeafProgress]],N(Tasks[[#This Row],[Actual Cost]])))</f>
        <v>0</v>
      </c>
      <c r="DI20" s="41" t="str">
        <f aca="false">IF(Tasks[[#This Row],[Task Name]]="","",LEFT(Tasks[[#This Row],[WBS]],FIND(".",Tasks[[#This Row],[WBS]]&amp;".")-1))</f>
        <v>3</v>
      </c>
      <c r="DJ20" s="41" t="str">
        <f aca="false">IF(AND(Tasks[[#This Row],[Task Name]]&lt;&gt;"",Tasks[[#This Row],[_Level]]=1),Tasks[[#This Row],[_Row]],"")</f>
        <v/>
      </c>
      <c r="DK20" s="41" t="str">
        <f aca="false">IF(AND(Tasks[[#This Row],[_IsLeaf]]=1,N(Tasks[[#This Row],[Duration]])=0),Tasks[[#This Row],[Planned Finish]]+Tasks[[#This Row],[_Row]]/100000,"")</f>
        <v/>
      </c>
      <c r="DL20" s="41" t="str">
        <f aca="false">IF(AND(Tasks[[#This Row],[_IsLeaf]]=1,Tasks[[#This Row],[_LeafProgress]]&lt;1,OR(N(Tasks[[#This Row],[Finish Var]])&gt;0,Tasks[[#This Row],[Status]]="Late Start")),MAX(0,Tasks[[#This Row],[Finish Var]])+1-Tasks[[#This Row],[_Row]]/1000000,"")</f>
        <v/>
      </c>
      <c r="DM20" s="41" t="str">
        <f aca="false">IF(AND(Tasks[[#This Row],[_IsLeaf]]=1,N(Tasks[[#This Row],[Actual Start]])=0,Tasks[[#This Row],[_LeafFcstStart]]&gt;=StatusDate,Tasks[[#This Row],[_LeafFcstStart]]&lt;=LookaheadEnd),Tasks[[#This Row],[_LeafFcstStart]]+Tasks[[#This Row],[_Row]]/100000,"")</f>
        <v/>
      </c>
      <c r="DN20" s="41" t="str">
        <f aca="false">IF(AND(Tasks[[#This Row],[_IsLeaf]]=1,Tasks[[#This Row],[_LeafProgress]]&lt;1,Tasks[[#This Row],[_LeafFcstFinish]]&gt;=StatusDate,Tasks[[#This Row],[_LeafFcstFinish]]&lt;=LookaheadEnd),Tasks[[#This Row],[_LeafFcstFinish]]+Tasks[[#This Row],[_Row]]/100000,"")</f>
        <v/>
      </c>
      <c r="DO20" s="41" t="str">
        <f aca="false">IF(Tasks[[#This Row],[_LeafCritical]],Tasks[[#This Row],[_LeafFcstStart]]+Tasks[[#This Row],[_Row]]/100000,"")</f>
        <v/>
      </c>
      <c r="DP20" s="41" t="n">
        <f aca="false">Tasks[[#This Row],[_LeafWork]]*Tasks[[#This Row],[_LeafProgress]]</f>
        <v>0</v>
      </c>
      <c r="DQ20" s="103" t="str">
        <f aca="false">IF(AND(Tasks[[#This Row],[_IsLeaf]]=1,Tasks[[#This Row],[_LeafProgress]]&gt;=1),IF(N(Tasks[[#This Row],[Actual Finish]])&gt;0,Tasks[[#This Row],[Actual Finish]],Tasks[[#This Row],[_LeafFcstFinish]]),"")</f>
        <v/>
      </c>
      <c r="DR20" s="41" t="n">
        <f aca="false">IF(Tasks[[#This Row],[_IsLeaf]]=1,N(Tasks[[#This Row],[Story Points]]),0)</f>
        <v>0</v>
      </c>
      <c r="DS20" s="41" t="str">
        <f aca="false">IF(AND(Tasks[[#This Row],[_IsLeaf]]=1,CurrentSprint&lt;&gt;"",Tasks[[#This Row],[Sprint]]=CurrentSprint),Tasks[[#This Row],[_Row]],"")</f>
        <v/>
      </c>
    </row>
    <row r="21" customFormat="false" ht="15" hidden="false" customHeight="false" outlineLevel="0" collapsed="false">
      <c r="A21" s="28" t="n">
        <f aca="false">IF(Tasks[[#This Row],[Task Name]]="","",COUNTA(Tasks[[#Headers],[Task Name]]:Tasks[[#This Row],[Task Name]])-1)</f>
        <v>16</v>
      </c>
      <c r="B21" s="29" t="n">
        <v>16</v>
      </c>
      <c r="C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3.2.1</v>
      </c>
      <c r="D21" s="29" t="n">
        <v>3</v>
      </c>
      <c r="E21" s="30" t="s">
        <v>619</v>
      </c>
      <c r="F21" s="29" t="s">
        <v>595</v>
      </c>
      <c r="G21" s="29" t="n">
        <v>6</v>
      </c>
      <c r="H21" s="29" t="n">
        <v>9</v>
      </c>
      <c r="I21" s="29" t="s">
        <v>600</v>
      </c>
      <c r="J21" s="29"/>
      <c r="K21" s="29"/>
      <c r="L21" s="29"/>
      <c r="M21" s="29"/>
      <c r="N21" s="77"/>
      <c r="O21" s="77"/>
      <c r="P21" s="25" t="n">
        <f aca="false">IF(Tasks[[#This Row],[Task Name]]="","",IF(N(Tasks[[#This Row],[Baseline Start]])&gt;0,Tasks[[#This Row],[Baseline Start]],Tasks[[#This Row],[_CalcStart]]))</f>
        <v>46297</v>
      </c>
      <c r="Q21" s="25" t="n">
        <f aca="false">IF(Tasks[[#This Row],[Task Name]]="","",IF(N(Tasks[[#This Row],[Baseline Finish]])&gt;0,Tasks[[#This Row],[Baseline Finish]],Tasks[[#This Row],[_CalcFinish]]))</f>
        <v>46304</v>
      </c>
      <c r="R21" s="77" t="n">
        <v>46302</v>
      </c>
      <c r="S21" s="77" t="n">
        <v>46311</v>
      </c>
      <c r="T21" s="25" t="n">
        <f aca="false">IF(Tasks[[#This Row],[Task Name]]="","",IF(Tasks[[#This Row],[_IsSummary]],MIN(INDEX(Tasks[_LeafFcstStart],Tasks[[#This Row],[_Row]]+1):INDEX(Tasks[_LeafFcstStart],Tasks[[#This Row],[_Row]]+Tasks[[#This Row],[_Descendants]])),Tasks[[#This Row],[_LeafFcstStart]]))</f>
        <v>46302</v>
      </c>
      <c r="U21" s="25" t="n">
        <f aca="false">IF(Tasks[[#This Row],[Task Name]]="","",IF(Tasks[[#This Row],[_IsSummary]],MAX(INDEX(Tasks[_LeafFcstFinish],Tasks[[#This Row],[_Row]]+1):INDEX(Tasks[_LeafFcstFinish],Tasks[[#This Row],[_Row]]+Tasks[[#This Row],[_Descendants]])),Tasks[[#This Row],[_LeafFcstFinish]]))</f>
        <v>46311</v>
      </c>
      <c r="V21" s="43" t="n">
        <f aca="false">IF(Tasks[[#This Row],[Task Name]]="","",IF(Tasks[[#This Row],[Forecast Start]]&gt;=Tasks[[#This Row],[Planned Start]],NETWORKDAYS.INTL(Tasks[[#This Row],[Planned Start]],Tasks[[#This Row],[Forecast Start]],WorkWeek,Holidays)-1,1-NETWORKDAYS.INTL(Tasks[[#This Row],[Forecast Start]],Tasks[[#This Row],[Planned Start]],WorkWeek,Holidays)))</f>
        <v>3</v>
      </c>
      <c r="W21" s="43" t="n">
        <f aca="false">IF(Tasks[[#This Row],[Task Name]]="","",IF(Tasks[[#This Row],[Forecast Finish]]&gt;=Tasks[[#This Row],[Planned Finish]],NETWORKDAYS.INTL(Tasks[[#This Row],[Planned Finish]],Tasks[[#This Row],[Forecast Finish]],WorkWeek,Holidays)-1,1-NETWORKDAYS.INTL(Tasks[[#This Row],[Forecast Finish]],Tasks[[#This Row],[Planned Finish]],WorkWeek,Holidays)))</f>
        <v>5</v>
      </c>
      <c r="X21" s="25" t="n">
        <f aca="false">IF(Tasks[[#This Row],[Task Name]]="","",IF(Tasks[[#This Row],[_IsSummary]],MIN(INDEX(Tasks[_LeafLateStart],Tasks[[#This Row],[_Row]]+1):INDEX(Tasks[_LeafLateStart],Tasks[[#This Row],[_Row]]+Tasks[[#This Row],[_Descendants]])),Tasks[[#This Row],[_LeafLateStart]]))</f>
        <v>46308</v>
      </c>
      <c r="Y21" s="25" t="n">
        <f aca="false">IF(Tasks[[#This Row],[Task Name]]="","",IF(Tasks[[#This Row],[_IsSummary]],MAX(INDEX(Tasks[_LeafLateFinish],Tasks[[#This Row],[_Row]]+1):INDEX(Tasks[_LeafLateFinish],Tasks[[#This Row],[_Row]]+Tasks[[#This Row],[_Descendants]])),Tasks[[#This Row],[_LeafLateFinish]]))</f>
        <v>46315</v>
      </c>
      <c r="Z21" s="43" t="n">
        <f aca="false">IF(Tasks[[#This Row],[Task Name]]="","",IF(Tasks[[#This Row],[_IsSummary]],MIN(INDEX(Tasks[_LeafTotalSlack],Tasks[[#This Row],[_Row]]+1):INDEX(Tasks[_LeafTotalSlack],Tasks[[#This Row],[_Row]]+Tasks[[#This Row],[_Descendants]])),Tasks[[#This Row],[_LeafTotalSlack]]))</f>
        <v>2</v>
      </c>
      <c r="AA2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1" s="28" t="str">
        <f aca="false">IF(Tasks[[#This Row],[Task Name]]="","",IF(IF(Tasks[[#This Row],[_IsSummary]],COUNTIF(INDEX(Tasks[_LeafCritical],Tasks[[#This Row],[_Row]]+1):INDEX(Tasks[_LeafCritical],Tasks[[#This Row],[_Row]]+Tasks[[#This Row],[_Descendants]]),TRUE())&gt;0,Tasks[[#This Row],[_LeafCritical]]),"Yes",""))</f>
        <v/>
      </c>
      <c r="AC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1" s="24" t="str">
        <f aca="false">IF(Tasks[[#This Row],[Task Name]]="","",TRIM(IF(Tasks[[#This Row],[_Pred1Problem]]&lt;&gt;"","Pred 1: "&amp;Tasks[[#This Row],[_Pred1Problem]]&amp;". ","")&amp;IF(Tasks[[#This Row],[_Pred2Problem]]&lt;&gt;"","Pred 2: "&amp;Tasks[[#This Row],[_Pred2Problem]]&amp;".","")))</f>
        <v/>
      </c>
      <c r="AE21" s="91" t="n">
        <v>1</v>
      </c>
      <c r="AF21"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G21" s="28" t="str">
        <f aca="false">IF(Tasks[[#This Row],[Task Name]]="","",IF(Tasks[[#This Row],[Progress]]&gt;=1,"Complete",IF(OR(N(Tasks[[#This Row],[Actual Start]])&gt;0,Tasks[[#This Row],[Progress]]&gt;0),IF(Tasks[[#This Row],[Finish Var]]&gt;0,"Behind","In Progress"),IF(Tasks[[#This Row],[Planned Start]]&lt;StatusDate,"Late Start","Not Started"))))</f>
        <v>Complete</v>
      </c>
      <c r="AH21" s="30" t="s">
        <v>620</v>
      </c>
      <c r="AI21" s="91"/>
      <c r="AJ2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1" s="98" t="n">
        <f aca="false">IF(Tasks[[#This Row],[Task Name]]="","",IF(Tasks[[#This Row],[_IsSummary]],SUM(INDEX(Tasks[_LeafWork],Tasks[[#This Row],[_Row]]+1):INDEX(Tasks[_LeafWork],Tasks[[#This Row],[_Row]]+Tasks[[#This Row],[_Descendants]])),Tasks[[#This Row],[_LeafWork]]))</f>
        <v>48</v>
      </c>
      <c r="AL21" s="99" t="n">
        <f aca="false">IF(Tasks[[#This Row],[Task Name]]="","",IF(Tasks[[#This Row],[_IsSummary]],SUM(INDEX(Tasks[_LeafCost],Tasks[[#This Row],[_Row]]+1):INDEX(Tasks[_LeafCost],Tasks[[#This Row],[_Row]]+Tasks[[#This Row],[_Descendants]])),Tasks[[#This Row],[_LeafCost]]))</f>
        <v>3840</v>
      </c>
      <c r="AM21" s="100"/>
      <c r="AN21" s="29"/>
      <c r="AO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AP21" s="85" t="n">
        <v>5</v>
      </c>
      <c r="AQ21" s="24" t="str">
        <f aca="false">IF(Tasks[[#This Row],[Task Name]]="","",Tasks[[#This Row],[_Pred1IDText]]&amp;IF(AND(Tasks[[#This Row],[_Pred1IDText]]&lt;&gt;"",Tasks[[#This Row],[_Pred2IDText]]&lt;&gt;""),",","")&amp;Tasks[[#This Row],[_Pred2IDText]])</f>
        <v>9</v>
      </c>
      <c r="AR21" s="30"/>
      <c r="AS21" s="25" t="n">
        <f aca="false">IF(Tasks[[#This Row],[Task Name]]="","",Tasks[[#This Row],[Forecast Start]])</f>
        <v>46302</v>
      </c>
      <c r="AT21" s="25" t="n">
        <f aca="false">IF(Tasks[[#This Row],[Task Name]]="","",Tasks[[#This Row],[Forecast Finish]])</f>
        <v>46311</v>
      </c>
      <c r="AU21" s="28" t="n">
        <f aca="false">IF(Tasks[[#This Row],[Task Name]]="","",IF(Tasks[[#This Row],[_IsSummary]],NETWORKDAYS.INTL(Tasks[[#This Row],[Forecast Start]],Tasks[[#This Row],[Forecast Finish]],WorkWeek,Holidays),N(Tasks[[#This Row],[Duration]])))</f>
        <v>6</v>
      </c>
      <c r="AV21" s="98" t="n">
        <f aca="false">IF(Tasks[[#This Row],[Task Name]]="","",Tasks[[#This Row],[Work]])</f>
        <v>48</v>
      </c>
      <c r="AW21" s="99" t="n">
        <f aca="false">IF(Tasks[[#This Row],[Task Name]]="","",Tasks[[#This Row],[Cost]])</f>
        <v>3840</v>
      </c>
      <c r="AX21" s="77"/>
      <c r="AY21" s="77"/>
      <c r="AZ21" s="29"/>
      <c r="BA21" s="101"/>
      <c r="BB21" s="100"/>
      <c r="BC21" s="28" t="str">
        <f aca="false">IF(OR(Tasks[[#This Row],[Task Name]]="",Tasks[[#This Row],[Baseline Duration]]=""),"",Tasks[[#This Row],[BL Source Duration]]-N(Tasks[[#This Row],[Baseline Duration]]))</f>
        <v/>
      </c>
      <c r="BD21" s="98" t="str">
        <f aca="false">IF(OR(Tasks[[#This Row],[Task Name]]="",Tasks[[#This Row],[Baseline Work]]=""),"",Tasks[[#This Row],[Work]]-N(Tasks[[#This Row],[Baseline Work]]))</f>
        <v/>
      </c>
      <c r="BE21" s="99" t="str">
        <f aca="false">IF(OR(Tasks[[#This Row],[Task Name]]="",Tasks[[#This Row],[Baseline Cost]]=""),"",Tasks[[#This Row],[Cost]]-N(Tasks[[#This Row],[Baseline Cost]]))</f>
        <v/>
      </c>
      <c r="BF21" s="99" t="n">
        <f aca="false">IF(Tasks[[#This Row],[Task Name]]="","",IF(Tasks[[#This Row],[_IsSummary]],SUM(INDEX(Tasks[_LeafBudget],Tasks[[#This Row],[_Row]]+1):INDEX(Tasks[_LeafBudget],Tasks[[#This Row],[_Row]]+Tasks[[#This Row],[_Descendants]])),Tasks[[#This Row],[_LeafBudget]]))</f>
        <v>3840</v>
      </c>
      <c r="BG21" s="99" t="n">
        <f aca="false">IF(Tasks[[#This Row],[Task Name]]="","",IF(Tasks[[#This Row],[_IsSummary]],SUM(INDEX(Tasks[_LeafPV],Tasks[[#This Row],[_Row]]+1):INDEX(Tasks[_LeafPV],Tasks[[#This Row],[_Row]]+Tasks[[#This Row],[_Descendants]])),Tasks[[#This Row],[_LeafPV]]))</f>
        <v>3840</v>
      </c>
      <c r="BH21" s="99" t="n">
        <f aca="false">IF(Tasks[[#This Row],[Task Name]]="","",IF(Tasks[[#This Row],[_IsSummary]],SUM(INDEX(Tasks[_LeafEV],Tasks[[#This Row],[_Row]]+1):INDEX(Tasks[_LeafEV],Tasks[[#This Row],[_Row]]+Tasks[[#This Row],[_Descendants]])),Tasks[[#This Row],[_LeafEV]]))</f>
        <v>3840</v>
      </c>
      <c r="BI21" s="99" t="n">
        <f aca="false">IF(Tasks[[#This Row],[Task Name]]="","",IF(Tasks[[#This Row],[_IsSummary]],SUM(INDEX(Tasks[_LeafAC],Tasks[[#This Row],[_Row]]+1):INDEX(Tasks[_LeafAC],Tasks[[#This Row],[_Row]]+Tasks[[#This Row],[_Descendants]])),Tasks[[#This Row],[_LeafAC]]))</f>
        <v>3840</v>
      </c>
      <c r="BJ21" s="41" t="n">
        <f aca="false">IF(Tasks[[#This Row],[Task Name]]="","",MAX(1,N(Tasks[[#This Row],[Level]])))</f>
        <v>3</v>
      </c>
      <c r="BK21" s="41" t="n">
        <f aca="false">ROW()-ROW(Tasks[[#Headers],[ID]])</f>
        <v>16</v>
      </c>
      <c r="BL21" s="41" t="n">
        <f aca="false">IF(OR(Tasks[[#This Row],[Task Name]]="",Tasks[[#This Row],[_Level]]&lt;=1),0,IFERROR(LOOKUP(2,1/(Tasks[[#Headers],[_Level]]:Tasks[[#This Row],[_Level]]=Tasks[[#This Row],[_Level]]-1),ROW(Tasks[[#Headers],[_Level]]:Tasks[[#This Row],[_Level]])),0))</f>
        <v>20</v>
      </c>
      <c r="BM21" s="41" t="n">
        <f aca="false">IFERROR(N(INDEX(Tasks[_Level],Tasks[[#This Row],[_Row]]+1)),0)</f>
        <v>3</v>
      </c>
      <c r="BN21" s="102" t="b">
        <f aca="false">AND(Tasks[[#This Row],[Task Name]]&lt;&gt;"",Tasks[[#This Row],[_NextLevel]]&gt;Tasks[[#This Row],[_Level]])</f>
        <v>0</v>
      </c>
      <c r="BO21" s="41" t="n">
        <f aca="false">IF(Tasks[[#This Row],[_IsSummary]],COUNTIF(Tasks[WBS],Tasks[[#This Row],[WBS]]&amp;".*"),0)</f>
        <v>0</v>
      </c>
      <c r="BP21" s="41" t="n">
        <f aca="false">IF(AND(Tasks[[#This Row],[Task Name]]&lt;&gt;"",NOT(Tasks[[#This Row],[_IsSummary]])),1,0)</f>
        <v>1</v>
      </c>
      <c r="BQ21" s="41" t="n">
        <f aca="false">IF(N(Tasks[[#This Row],[Pred1 UID]])=0,0,IFERROR(MATCH(Tasks[[#This Row],[Pred1 UID]],Tasks[UID],0),-1))</f>
        <v>9</v>
      </c>
      <c r="BR21" s="41" t="n">
        <f aca="false">IF(N(Tasks[[#This Row],[Pred2 UID]])=0,0,IFERROR(MATCH(Tasks[[#This Row],[Pred2 UID]],Tasks[UID],0),-1))</f>
        <v>0</v>
      </c>
      <c r="BS21"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46297</v>
      </c>
      <c r="BT21" s="103" t="n">
        <f aca="false">IF(NOT(Tasks[[#This Row],[_IsLeaf]]=1),"",IF(N(Tasks[[#This Row],[Duration]])&lt;=0,Tasks[[#This Row],[_LeafCalcStart]],WORKDAY.INTL(Tasks[[#This Row],[_LeafCalcStart]],Tasks[[#This Row],[Duration]]-1,WorkWeek,Holidays)))</f>
        <v>46304</v>
      </c>
      <c r="BU21"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46302</v>
      </c>
      <c r="BV21"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46311</v>
      </c>
      <c r="BW21" s="41" t="n">
        <f aca="false">IF(NOT(Tasks[[#This Row],[_IsLeaf]]=1),0,IF(N(Tasks[[#This Row],[Actual Finish]])&gt;0,1,MIN(1,N(Tasks[[#This Row],[% Complete]]))))</f>
        <v>1</v>
      </c>
      <c r="BX21" s="41" t="n">
        <f aca="false">IF(OR(NOT(Tasks[[#This Row],[_IsLeaf]]=1),Tasks[[#This Row],[Resource]]=""),0,N(Tasks[[#This Row],[Duration]])*HoursPerDay*IF(Tasks[[#This Row],[Units]]="",DefaultUnits,Tasks[[#This Row],[Units]]))</f>
        <v>48</v>
      </c>
      <c r="BY21" s="41" t="n">
        <f aca="false">IF(Tasks[[#This Row],[_LeafWork]]=0,0,Tasks[[#This Row],[_LeafWork]]*IFERROR(INDEX(res_Rate,MATCH(Tasks[[#This Row],[Resource]],res_Name,0)),0))</f>
        <v>3840</v>
      </c>
      <c r="BZ21"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2912158</v>
      </c>
      <c r="CA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1" s="41" t="n">
        <f aca="false">IF(NOT(Tasks[[#This Row],[_IsLeaf]]=1),0,MAX(_xlfn.MAXIFS(Tasks[_Row],Tasks[Pred1 UID],Tasks[[#This Row],[UID]]),_xlfn.MAXIFS(Tasks[_Row],Tasks[Pred2 UID],Tasks[[#This Row],[UID]])))</f>
        <v>17</v>
      </c>
      <c r="CE21"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46315</v>
      </c>
      <c r="CF21" s="103" t="n">
        <f aca="false">IF(NOT(Tasks[[#This Row],[_IsLeaf]]=1),"",MIN(ProjectFinish,IF(N(Tasks[[#This Row],[Deadline]])&gt;0,Tasks[[#This Row],[Deadline]],2958465),Tasks[[#This Row],[_SuccessorFinishLimit]]))</f>
        <v>46315</v>
      </c>
      <c r="CG21" s="103" t="n">
        <f aca="false">IF(NOT(Tasks[[#This Row],[_IsLeaf]]=1),"",IF(N(Tasks[[#This Row],[Duration]])&lt;=0,Tasks[[#This Row],[_LeafLateFinish]],WORKDAY.INTL(Tasks[[#This Row],[_LeafLateFinish]],-(Tasks[[#This Row],[Duration]]-1),WorkWeek,Holidays)))</f>
        <v>46308</v>
      </c>
      <c r="CH2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CI21" s="102" t="b">
        <f aca="false">AND(Tasks[[#This Row],[_IsLeaf]]=1,Tasks[[#This Row],[_LeafProgress]]&lt;1,N(Tasks[[#This Row],[_LeafTotalSlack]])&lt;=CriticalSlackDays)</f>
        <v>0</v>
      </c>
      <c r="CJ21" s="103" t="n">
        <f aca="false">IF(Tasks[[#This Row],[Task Name]]="","",IF(Tasks[[#This Row],[_IsSummary]],MIN(INDEX(Tasks[_LeafCalcStart],Tasks[[#This Row],[_Row]]+1):INDEX(Tasks[_LeafCalcStart],Tasks[[#This Row],[_Row]]+Tasks[[#This Row],[_Descendants]])),Tasks[[#This Row],[_LeafCalcStart]]))</f>
        <v>46297</v>
      </c>
      <c r="CK21" s="103" t="n">
        <f aca="false">IF(Tasks[[#This Row],[Task Name]]="","",IF(Tasks[[#This Row],[_IsSummary]],MAX(INDEX(Tasks[_LeafCalcFinish],Tasks[[#This Row],[_Row]]+1):INDEX(Tasks[_LeafCalcFinish],Tasks[[#This Row],[_Row]]+Tasks[[#This Row],[_Descendants]])),Tasks[[#This Row],[_LeafCalcFinish]]))</f>
        <v>46304</v>
      </c>
      <c r="CL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CO2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CQ2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1" s="41" t="n">
        <f aca="false">IF(AND(Tasks[[#This Row],[_IsLeaf]]=1,Tasks[[#This Row],[_LeafWork]]&gt;0),NETWORKDAYS.INTL(ProjectStart,Tasks[[#This Row],[_LeafFcstStart]],WorkWeek,Holidays),0)</f>
        <v>23</v>
      </c>
      <c r="CS21" s="41" t="n">
        <f aca="false">IF(AND(Tasks[[#This Row],[_IsLeaf]]=1,Tasks[[#This Row],[_LeafWork]]&gt;0),MAX(Tasks[[#This Row],[_StartWorkday]],NETWORKDAYS.INTL(ProjectStart,Tasks[[#This Row],[_LeafFcstFinish]],WorkWeek,Holidays)),0)</f>
        <v>30</v>
      </c>
      <c r="CT21" s="41" t="n">
        <f aca="false">IF(AND(Tasks[[#This Row],[_IsLeaf]]=1,Tasks[[#This Row],[_LeafWork]]&gt;0),Tasks[[#This Row],[_LeafWork]]/(Tasks[[#This Row],[_FinishWorkday]]-Tasks[[#This Row],[_StartWorkday]]+1),0)</f>
        <v>6</v>
      </c>
      <c r="CU21" s="41" t="n">
        <f aca="false">Tasks[[#This Row],[_WorkPerWorkday]]*(Tasks[[#This Row],[_StartWorkday]]-1)</f>
        <v>132</v>
      </c>
      <c r="CV21" s="41" t="n">
        <f aca="false">IF(Tasks[[#This Row],[_IsLeaf]]=1,MAX(N(Tasks[[#This Row],[Duration]]),0.1),0)</f>
        <v>6</v>
      </c>
      <c r="CW21" s="41" t="n">
        <f aca="false">Tasks[[#This Row],[_WeightDur]]*Tasks[[#This Row],[_LeafProgress]]</f>
        <v>6</v>
      </c>
      <c r="CX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9</v>
      </c>
      <c r="CY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9</v>
      </c>
      <c r="DA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1" s="41" t="str">
        <f aca="false">IF(Tasks[[#This Row],[Task Name]]="","",Tasks[[#This Row],[_Pred1UIDText]]&amp;IF(AND(Tasks[[#This Row],[_Pred1UIDText]]&lt;&gt;"",Tasks[[#This Row],[_Pred2UIDText]]&lt;&gt;""),",","")&amp;Tasks[[#This Row],[_Pred2UIDText]])</f>
        <v>9</v>
      </c>
      <c r="DC21" s="41" t="str">
        <f aca="false">IF(AND(Tasks[[#This Row],[_IsLeaf]]=1,N(Tasks[[#This Row],[Duration]])=0,Tasks[[#This Row],[_LeafProgress]]&lt;1),Tasks[[#This Row],[_LeafFcstFinish]]+Tasks[[#This Row],[_Row]]/100000,"")</f>
        <v/>
      </c>
      <c r="DD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DE21" s="41" t="n">
        <f aca="false">IF(NOT(Tasks[[#This Row],[_IsLeaf]]=1),0,IF(Tasks[[#This Row],[Baseline Cost]]="",Tasks[[#This Row],[_LeafCost]],N(Tasks[[#This Row],[Baseline Cost]])))</f>
        <v>3840</v>
      </c>
      <c r="DF21" s="41" t="n">
        <f aca="false">Tasks[[#This Row],[_LeafBudget]]*Tasks[[#This Row],[_PlannedPct]]</f>
        <v>3840</v>
      </c>
      <c r="DG21" s="41" t="n">
        <f aca="false">Tasks[[#This Row],[_LeafBudget]]*Tasks[[#This Row],[_LeafProgress]]</f>
        <v>3840</v>
      </c>
      <c r="DH21" s="41" t="n">
        <f aca="false">IF(NOT(Tasks[[#This Row],[_IsLeaf]]=1),0,IF(Tasks[[#This Row],[Actual Cost]]="",Tasks[[#This Row],[_LeafCost]]*Tasks[[#This Row],[_LeafProgress]],N(Tasks[[#This Row],[Actual Cost]])))</f>
        <v>3840</v>
      </c>
      <c r="DI21" s="41" t="str">
        <f aca="false">IF(Tasks[[#This Row],[Task Name]]="","",LEFT(Tasks[[#This Row],[WBS]],FIND(".",Tasks[[#This Row],[WBS]]&amp;".")-1))</f>
        <v>3</v>
      </c>
      <c r="DJ21" s="41" t="str">
        <f aca="false">IF(AND(Tasks[[#This Row],[Task Name]]&lt;&gt;"",Tasks[[#This Row],[_Level]]=1),Tasks[[#This Row],[_Row]],"")</f>
        <v/>
      </c>
      <c r="DK21" s="41" t="str">
        <f aca="false">IF(AND(Tasks[[#This Row],[_IsLeaf]]=1,N(Tasks[[#This Row],[Duration]])=0),Tasks[[#This Row],[Planned Finish]]+Tasks[[#This Row],[_Row]]/100000,"")</f>
        <v/>
      </c>
      <c r="DL21" s="41" t="str">
        <f aca="false">IF(AND(Tasks[[#This Row],[_IsLeaf]]=1,Tasks[[#This Row],[_LeafProgress]]&lt;1,OR(N(Tasks[[#This Row],[Finish Var]])&gt;0,Tasks[[#This Row],[Status]]="Late Start")),MAX(0,Tasks[[#This Row],[Finish Var]])+1-Tasks[[#This Row],[_Row]]/1000000,"")</f>
        <v/>
      </c>
      <c r="DM21" s="41" t="str">
        <f aca="false">IF(AND(Tasks[[#This Row],[_IsLeaf]]=1,N(Tasks[[#This Row],[Actual Start]])=0,Tasks[[#This Row],[_LeafFcstStart]]&gt;=StatusDate,Tasks[[#This Row],[_LeafFcstStart]]&lt;=LookaheadEnd),Tasks[[#This Row],[_LeafFcstStart]]+Tasks[[#This Row],[_Row]]/100000,"")</f>
        <v/>
      </c>
      <c r="DN21" s="41" t="str">
        <f aca="false">IF(AND(Tasks[[#This Row],[_IsLeaf]]=1,Tasks[[#This Row],[_LeafProgress]]&lt;1,Tasks[[#This Row],[_LeafFcstFinish]]&gt;=StatusDate,Tasks[[#This Row],[_LeafFcstFinish]]&lt;=LookaheadEnd),Tasks[[#This Row],[_LeafFcstFinish]]+Tasks[[#This Row],[_Row]]/100000,"")</f>
        <v/>
      </c>
      <c r="DO21" s="41" t="str">
        <f aca="false">IF(Tasks[[#This Row],[_LeafCritical]],Tasks[[#This Row],[_LeafFcstStart]]+Tasks[[#This Row],[_Row]]/100000,"")</f>
        <v/>
      </c>
      <c r="DP21" s="41" t="n">
        <f aca="false">Tasks[[#This Row],[_LeafWork]]*Tasks[[#This Row],[_LeafProgress]]</f>
        <v>48</v>
      </c>
      <c r="DQ21" s="103" t="n">
        <f aca="false">IF(AND(Tasks[[#This Row],[_IsLeaf]]=1,Tasks[[#This Row],[_LeafProgress]]&gt;=1),IF(N(Tasks[[#This Row],[Actual Finish]])&gt;0,Tasks[[#This Row],[Actual Finish]],Tasks[[#This Row],[_LeafFcstFinish]]),"")</f>
        <v>46311</v>
      </c>
      <c r="DR21" s="41" t="n">
        <f aca="false">IF(Tasks[[#This Row],[_IsLeaf]]=1,N(Tasks[[#This Row],[Story Points]]),0)</f>
        <v>5</v>
      </c>
      <c r="DS21" s="41" t="str">
        <f aca="false">IF(AND(Tasks[[#This Row],[_IsLeaf]]=1,CurrentSprint&lt;&gt;"",Tasks[[#This Row],[Sprint]]=CurrentSprint),Tasks[[#This Row],[_Row]],"")</f>
        <v/>
      </c>
    </row>
    <row r="22" customFormat="false" ht="15" hidden="false" customHeight="false" outlineLevel="0" collapsed="false">
      <c r="A22" s="28" t="n">
        <f aca="false">IF(Tasks[[#This Row],[Task Name]]="","",COUNTA(Tasks[[#Headers],[Task Name]]:Tasks[[#This Row],[Task Name]])-1)</f>
        <v>17</v>
      </c>
      <c r="B22" s="29" t="n">
        <v>17</v>
      </c>
      <c r="C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3.2.2</v>
      </c>
      <c r="D22" s="29" t="n">
        <v>3</v>
      </c>
      <c r="E22" s="30" t="s">
        <v>621</v>
      </c>
      <c r="F22" s="29" t="s">
        <v>595</v>
      </c>
      <c r="G22" s="29" t="n">
        <v>12</v>
      </c>
      <c r="H22" s="29" t="n">
        <v>16</v>
      </c>
      <c r="I22" s="29" t="s">
        <v>600</v>
      </c>
      <c r="J22" s="29"/>
      <c r="K22" s="29" t="n">
        <v>13</v>
      </c>
      <c r="L22" s="29" t="s">
        <v>606</v>
      </c>
      <c r="M22" s="29" t="n">
        <v>2</v>
      </c>
      <c r="N22" s="77"/>
      <c r="O22" s="77"/>
      <c r="P22" s="25" t="n">
        <f aca="false">IF(Tasks[[#This Row],[Task Name]]="","",IF(N(Tasks[[#This Row],[Baseline Start]])&gt;0,Tasks[[#This Row],[Baseline Start]],Tasks[[#This Row],[_CalcStart]]))</f>
        <v>46308</v>
      </c>
      <c r="Q22" s="25" t="n">
        <f aca="false">IF(Tasks[[#This Row],[Task Name]]="","",IF(N(Tasks[[#This Row],[Baseline Finish]])&gt;0,Tasks[[#This Row],[Baseline Finish]],Tasks[[#This Row],[_CalcFinish]]))</f>
        <v>46323</v>
      </c>
      <c r="R22" s="77" t="n">
        <v>46314</v>
      </c>
      <c r="S22" s="77"/>
      <c r="T22" s="25" t="n">
        <f aca="false">IF(Tasks[[#This Row],[Task Name]]="","",IF(Tasks[[#This Row],[_IsSummary]],MIN(INDEX(Tasks[_LeafFcstStart],Tasks[[#This Row],[_Row]]+1):INDEX(Tasks[_LeafFcstStart],Tasks[[#This Row],[_Row]]+Tasks[[#This Row],[_Descendants]])),Tasks[[#This Row],[_LeafFcstStart]]))</f>
        <v>46314</v>
      </c>
      <c r="U22" s="25" t="n">
        <f aca="false">IF(Tasks[[#This Row],[Task Name]]="","",IF(Tasks[[#This Row],[_IsSummary]],MAX(INDEX(Tasks[_LeafFcstFinish],Tasks[[#This Row],[_Row]]+1):INDEX(Tasks[_LeafFcstFinish],Tasks[[#This Row],[_Row]]+Tasks[[#This Row],[_Descendants]])),Tasks[[#This Row],[_LeafFcstFinish]]))</f>
        <v>46331</v>
      </c>
      <c r="V22" s="43" t="n">
        <f aca="false">IF(Tasks[[#This Row],[Task Name]]="","",IF(Tasks[[#This Row],[Forecast Start]]&gt;=Tasks[[#This Row],[Planned Start]],NETWORKDAYS.INTL(Tasks[[#This Row],[Planned Start]],Tasks[[#This Row],[Forecast Start]],WorkWeek,Holidays)-1,1-NETWORKDAYS.INTL(Tasks[[#This Row],[Forecast Start]],Tasks[[#This Row],[Planned Start]],WorkWeek,Holidays)))</f>
        <v>4</v>
      </c>
      <c r="W22"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2" s="25" t="n">
        <f aca="false">IF(Tasks[[#This Row],[Task Name]]="","",IF(Tasks[[#This Row],[_IsSummary]],MIN(INDEX(Tasks[_LeafLateStart],Tasks[[#This Row],[_Row]]+1):INDEX(Tasks[_LeafLateStart],Tasks[[#This Row],[_Row]]+Tasks[[#This Row],[_Descendants]])),Tasks[[#This Row],[_LeafLateStart]]))</f>
        <v>46316</v>
      </c>
      <c r="Y22" s="25" t="n">
        <f aca="false">IF(Tasks[[#This Row],[Task Name]]="","",IF(Tasks[[#This Row],[_IsSummary]],MAX(INDEX(Tasks[_LeafLateFinish],Tasks[[#This Row],[_Row]]+1):INDEX(Tasks[_LeafLateFinish],Tasks[[#This Row],[_Row]]+Tasks[[#This Row],[_Descendants]])),Tasks[[#This Row],[_LeafLateFinish]]))</f>
        <v>46331</v>
      </c>
      <c r="Z22" s="43" t="n">
        <f aca="false">IF(Tasks[[#This Row],[Task Name]]="","",IF(Tasks[[#This Row],[_IsSummary]],MIN(INDEX(Tasks[_LeafTotalSlack],Tasks[[#This Row],[_Row]]+1):INDEX(Tasks[_LeafTotalSlack],Tasks[[#This Row],[_Row]]+Tasks[[#This Row],[_Descendants]])),Tasks[[#This Row],[_LeafTotalSlack]]))</f>
        <v>0</v>
      </c>
      <c r="AA22"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2" s="28" t="str">
        <f aca="false">IF(Tasks[[#This Row],[Task Name]]="","",IF(IF(Tasks[[#This Row],[_IsSummary]],COUNTIF(INDEX(Tasks[_LeafCritical],Tasks[[#This Row],[_Row]]+1):INDEX(Tasks[_LeafCritical],Tasks[[#This Row],[_Row]]+Tasks[[#This Row],[_Descendants]]),TRUE())&gt;0,Tasks[[#This Row],[_LeafCritical]]),"Yes",""))</f>
        <v>Yes</v>
      </c>
      <c r="AC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2" s="24" t="str">
        <f aca="false">IF(Tasks[[#This Row],[Task Name]]="","",TRIM(IF(Tasks[[#This Row],[_Pred1Problem]]&lt;&gt;"","Pred 1: "&amp;Tasks[[#This Row],[_Pred1Problem]]&amp;". ","")&amp;IF(Tasks[[#This Row],[_Pred2Problem]]&lt;&gt;"","Pred 2: "&amp;Tasks[[#This Row],[_Pred2Problem]]&amp;".","")))</f>
        <v/>
      </c>
      <c r="AE22" s="91" t="n">
        <v>0.25</v>
      </c>
      <c r="AF22"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0.25</v>
      </c>
      <c r="AG22" s="28" t="str">
        <f aca="false">IF(Tasks[[#This Row],[Task Name]]="","",IF(Tasks[[#This Row],[Progress]]&gt;=1,"Complete",IF(OR(N(Tasks[[#This Row],[Actual Start]])&gt;0,Tasks[[#This Row],[Progress]]&gt;0),IF(Tasks[[#This Row],[Finish Var]]&gt;0,"Behind","In Progress"),IF(Tasks[[#This Row],[Planned Start]]&lt;StatusDate,"Late Start","Not Started"))))</f>
        <v>Behind</v>
      </c>
      <c r="AH22" s="30" t="s">
        <v>620</v>
      </c>
      <c r="AI22" s="91"/>
      <c r="AJ2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2" s="98" t="n">
        <f aca="false">IF(Tasks[[#This Row],[Task Name]]="","",IF(Tasks[[#This Row],[_IsSummary]],SUM(INDEX(Tasks[_LeafWork],Tasks[[#This Row],[_Row]]+1):INDEX(Tasks[_LeafWork],Tasks[[#This Row],[_Row]]+Tasks[[#This Row],[_Descendants]])),Tasks[[#This Row],[_LeafWork]]))</f>
        <v>96</v>
      </c>
      <c r="AL22" s="99" t="n">
        <f aca="false">IF(Tasks[[#This Row],[Task Name]]="","",IF(Tasks[[#This Row],[_IsSummary]],SUM(INDEX(Tasks[_LeafCost],Tasks[[#This Row],[_Row]]+1):INDEX(Tasks[_LeafCost],Tasks[[#This Row],[_Row]]+Tasks[[#This Row],[_Descendants]])),Tasks[[#This Row],[_LeafCost]]))</f>
        <v>7680</v>
      </c>
      <c r="AM22" s="100"/>
      <c r="AN22" s="29"/>
      <c r="AO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4</v>
      </c>
      <c r="AP22" s="85" t="n">
        <v>8</v>
      </c>
      <c r="AQ22" s="24" t="str">
        <f aca="false">IF(Tasks[[#This Row],[Task Name]]="","",Tasks[[#This Row],[_Pred1IDText]]&amp;IF(AND(Tasks[[#This Row],[_Pred1IDText]]&lt;&gt;"",Tasks[[#This Row],[_Pred2IDText]]&lt;&gt;""),",","")&amp;Tasks[[#This Row],[_Pred2IDText]])</f>
        <v>16,13SS+2d</v>
      </c>
      <c r="AR22" s="30"/>
      <c r="AS22" s="25" t="n">
        <f aca="false">IF(Tasks[[#This Row],[Task Name]]="","",Tasks[[#This Row],[Forecast Start]])</f>
        <v>46314</v>
      </c>
      <c r="AT22" s="25" t="n">
        <f aca="false">IF(Tasks[[#This Row],[Task Name]]="","",Tasks[[#This Row],[Forecast Finish]])</f>
        <v>46331</v>
      </c>
      <c r="AU22" s="28" t="n">
        <f aca="false">IF(Tasks[[#This Row],[Task Name]]="","",IF(Tasks[[#This Row],[_IsSummary]],NETWORKDAYS.INTL(Tasks[[#This Row],[Forecast Start]],Tasks[[#This Row],[Forecast Finish]],WorkWeek,Holidays),N(Tasks[[#This Row],[Duration]])))</f>
        <v>12</v>
      </c>
      <c r="AV22" s="98" t="n">
        <f aca="false">IF(Tasks[[#This Row],[Task Name]]="","",Tasks[[#This Row],[Work]])</f>
        <v>96</v>
      </c>
      <c r="AW22" s="99" t="n">
        <f aca="false">IF(Tasks[[#This Row],[Task Name]]="","",Tasks[[#This Row],[Cost]])</f>
        <v>7680</v>
      </c>
      <c r="AX22" s="77"/>
      <c r="AY22" s="77"/>
      <c r="AZ22" s="29"/>
      <c r="BA22" s="101"/>
      <c r="BB22" s="100"/>
      <c r="BC22" s="28" t="str">
        <f aca="false">IF(OR(Tasks[[#This Row],[Task Name]]="",Tasks[[#This Row],[Baseline Duration]]=""),"",Tasks[[#This Row],[BL Source Duration]]-N(Tasks[[#This Row],[Baseline Duration]]))</f>
        <v/>
      </c>
      <c r="BD22" s="98" t="str">
        <f aca="false">IF(OR(Tasks[[#This Row],[Task Name]]="",Tasks[[#This Row],[Baseline Work]]=""),"",Tasks[[#This Row],[Work]]-N(Tasks[[#This Row],[Baseline Work]]))</f>
        <v/>
      </c>
      <c r="BE22" s="99" t="str">
        <f aca="false">IF(OR(Tasks[[#This Row],[Task Name]]="",Tasks[[#This Row],[Baseline Cost]]=""),"",Tasks[[#This Row],[Cost]]-N(Tasks[[#This Row],[Baseline Cost]]))</f>
        <v/>
      </c>
      <c r="BF22" s="99" t="n">
        <f aca="false">IF(Tasks[[#This Row],[Task Name]]="","",IF(Tasks[[#This Row],[_IsSummary]],SUM(INDEX(Tasks[_LeafBudget],Tasks[[#This Row],[_Row]]+1):INDEX(Tasks[_LeafBudget],Tasks[[#This Row],[_Row]]+Tasks[[#This Row],[_Descendants]])),Tasks[[#This Row],[_LeafBudget]]))</f>
        <v>7680</v>
      </c>
      <c r="BG22" s="99" t="n">
        <f aca="false">IF(Tasks[[#This Row],[Task Name]]="","",IF(Tasks[[#This Row],[_IsSummary]],SUM(INDEX(Tasks[_LeafPV],Tasks[[#This Row],[_Row]]+1):INDEX(Tasks[_LeafPV],Tasks[[#This Row],[_Row]]+Tasks[[#This Row],[_Descendants]])),Tasks[[#This Row],[_LeafPV]]))</f>
        <v>5760</v>
      </c>
      <c r="BH22" s="99" t="n">
        <f aca="false">IF(Tasks[[#This Row],[Task Name]]="","",IF(Tasks[[#This Row],[_IsSummary]],SUM(INDEX(Tasks[_LeafEV],Tasks[[#This Row],[_Row]]+1):INDEX(Tasks[_LeafEV],Tasks[[#This Row],[_Row]]+Tasks[[#This Row],[_Descendants]])),Tasks[[#This Row],[_LeafEV]]))</f>
        <v>1920</v>
      </c>
      <c r="BI22" s="99" t="n">
        <f aca="false">IF(Tasks[[#This Row],[Task Name]]="","",IF(Tasks[[#This Row],[_IsSummary]],SUM(INDEX(Tasks[_LeafAC],Tasks[[#This Row],[_Row]]+1):INDEX(Tasks[_LeafAC],Tasks[[#This Row],[_Row]]+Tasks[[#This Row],[_Descendants]])),Tasks[[#This Row],[_LeafAC]]))</f>
        <v>1920</v>
      </c>
      <c r="BJ22" s="41" t="n">
        <f aca="false">IF(Tasks[[#This Row],[Task Name]]="","",MAX(1,N(Tasks[[#This Row],[Level]])))</f>
        <v>3</v>
      </c>
      <c r="BK22" s="41" t="n">
        <f aca="false">ROW()-ROW(Tasks[[#Headers],[ID]])</f>
        <v>17</v>
      </c>
      <c r="BL22" s="41" t="n">
        <f aca="false">IF(OR(Tasks[[#This Row],[Task Name]]="",Tasks[[#This Row],[_Level]]&lt;=1),0,IFERROR(LOOKUP(2,1/(Tasks[[#Headers],[_Level]]:Tasks[[#This Row],[_Level]]=Tasks[[#This Row],[_Level]]-1),ROW(Tasks[[#Headers],[_Level]]:Tasks[[#This Row],[_Level]])),0))</f>
        <v>20</v>
      </c>
      <c r="BM22" s="41" t="n">
        <f aca="false">IFERROR(N(INDEX(Tasks[_Level],Tasks[[#This Row],[_Row]]+1)),0)</f>
        <v>3</v>
      </c>
      <c r="BN22" s="102" t="b">
        <f aca="false">AND(Tasks[[#This Row],[Task Name]]&lt;&gt;"",Tasks[[#This Row],[_NextLevel]]&gt;Tasks[[#This Row],[_Level]])</f>
        <v>0</v>
      </c>
      <c r="BO22" s="41" t="n">
        <f aca="false">IF(Tasks[[#This Row],[_IsSummary]],COUNTIF(Tasks[WBS],Tasks[[#This Row],[WBS]]&amp;".*"),0)</f>
        <v>0</v>
      </c>
      <c r="BP22" s="41" t="n">
        <f aca="false">IF(AND(Tasks[[#This Row],[Task Name]]&lt;&gt;"",NOT(Tasks[[#This Row],[_IsSummary]])),1,0)</f>
        <v>1</v>
      </c>
      <c r="BQ22" s="41" t="n">
        <f aca="false">IF(N(Tasks[[#This Row],[Pred1 UID]])=0,0,IFERROR(MATCH(Tasks[[#This Row],[Pred1 UID]],Tasks[UID],0),-1))</f>
        <v>16</v>
      </c>
      <c r="BR22" s="41" t="n">
        <f aca="false">IF(N(Tasks[[#This Row],[Pred2 UID]])=0,0,IFERROR(MATCH(Tasks[[#This Row],[Pred2 UID]],Tasks[UID],0),-1))</f>
        <v>13</v>
      </c>
      <c r="BS22"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46308</v>
      </c>
      <c r="BT22" s="103" t="n">
        <f aca="false">IF(NOT(Tasks[[#This Row],[_IsLeaf]]=1),"",IF(N(Tasks[[#This Row],[Duration]])&lt;=0,Tasks[[#This Row],[_LeafCalcStart]],WORKDAY.INTL(Tasks[[#This Row],[_LeafCalcStart]],Tasks[[#This Row],[Duration]]-1,WorkWeek,Holidays)))</f>
        <v>46323</v>
      </c>
      <c r="BU22"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46314</v>
      </c>
      <c r="BV22"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46331</v>
      </c>
      <c r="BW22" s="41" t="n">
        <f aca="false">IF(NOT(Tasks[[#This Row],[_IsLeaf]]=1),0,IF(N(Tasks[[#This Row],[Actual Finish]])&gt;0,1,MIN(1,N(Tasks[[#This Row],[% Complete]]))))</f>
        <v>0.25</v>
      </c>
      <c r="BX22" s="41" t="n">
        <f aca="false">IF(OR(NOT(Tasks[[#This Row],[_IsLeaf]]=1),Tasks[[#This Row],[Resource]]=""),0,N(Tasks[[#This Row],[Duration]])*HoursPerDay*IF(Tasks[[#This Row],[Units]]="",DefaultUnits,Tasks[[#This Row],[Units]]))</f>
        <v>96</v>
      </c>
      <c r="BY22" s="41" t="n">
        <f aca="false">IF(Tasks[[#This Row],[_LeafWork]]=0,0,Tasks[[#This Row],[_LeafWork]]*IFERROR(INDEX(res_Rate,MATCH(Tasks[[#This Row],[Resource]],res_Name,0)),0))</f>
        <v>7680</v>
      </c>
      <c r="BZ22"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2912150</v>
      </c>
      <c r="CA22"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2912140</v>
      </c>
      <c r="CB22"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22"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D22" s="41" t="n">
        <f aca="false">IF(NOT(Tasks[[#This Row],[_IsLeaf]]=1),0,MAX(_xlfn.MAXIFS(Tasks[_Row],Tasks[Pred1 UID],Tasks[[#This Row],[UID]]),_xlfn.MAXIFS(Tasks[_Row],Tasks[Pred2 UID],Tasks[[#This Row],[UID]])))</f>
        <v>18</v>
      </c>
      <c r="CE22"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46331</v>
      </c>
      <c r="CF22" s="103" t="n">
        <f aca="false">IF(NOT(Tasks[[#This Row],[_IsLeaf]]=1),"",MIN(ProjectFinish,IF(N(Tasks[[#This Row],[Deadline]])&gt;0,Tasks[[#This Row],[Deadline]],2958465),Tasks[[#This Row],[_SuccessorFinishLimit]]))</f>
        <v>46331</v>
      </c>
      <c r="CG22" s="103" t="n">
        <f aca="false">IF(NOT(Tasks[[#This Row],[_IsLeaf]]=1),"",IF(N(Tasks[[#This Row],[Duration]])&lt;=0,Tasks[[#This Row],[_LeafLateFinish]],WORKDAY.INTL(Tasks[[#This Row],[_LeafLateFinish]],-(Tasks[[#This Row],[Duration]]-1),WorkWeek,Holidays)))</f>
        <v>46316</v>
      </c>
      <c r="CH22"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22" s="102" t="b">
        <f aca="false">AND(Tasks[[#This Row],[_IsLeaf]]=1,Tasks[[#This Row],[_LeafProgress]]&lt;1,N(Tasks[[#This Row],[_LeafTotalSlack]])&lt;=CriticalSlackDays)</f>
        <v>1</v>
      </c>
      <c r="CJ22" s="103" t="n">
        <f aca="false">IF(Tasks[[#This Row],[Task Name]]="","",IF(Tasks[[#This Row],[_IsSummary]],MIN(INDEX(Tasks[_LeafCalcStart],Tasks[[#This Row],[_Row]]+1):INDEX(Tasks[_LeafCalcStart],Tasks[[#This Row],[_Row]]+Tasks[[#This Row],[_Descendants]])),Tasks[[#This Row],[_LeafCalcStart]]))</f>
        <v>46308</v>
      </c>
      <c r="CK22" s="103" t="n">
        <f aca="false">IF(Tasks[[#This Row],[Task Name]]="","",IF(Tasks[[#This Row],[_IsSummary]],MAX(INDEX(Tasks[_LeafCalcFinish],Tasks[[#This Row],[_Row]]+1):INDEX(Tasks[_LeafCalcFinish],Tasks[[#This Row],[_Row]]+Tasks[[#This Row],[_Descendants]])),Tasks[[#This Row],[_LeafCalcFinish]]))</f>
        <v>46323</v>
      </c>
      <c r="CL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46307</v>
      </c>
      <c r="CO2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46308</v>
      </c>
      <c r="CP2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46314</v>
      </c>
      <c r="CQ2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46314</v>
      </c>
      <c r="CR22" s="41" t="n">
        <f aca="false">IF(AND(Tasks[[#This Row],[_IsLeaf]]=1,Tasks[[#This Row],[_LeafWork]]&gt;0),NETWORKDAYS.INTL(ProjectStart,Tasks[[#This Row],[_LeafFcstStart]],WorkWeek,Holidays),0)</f>
        <v>31</v>
      </c>
      <c r="CS22" s="41" t="n">
        <f aca="false">IF(AND(Tasks[[#This Row],[_IsLeaf]]=1,Tasks[[#This Row],[_LeafWork]]&gt;0),MAX(Tasks[[#This Row],[_StartWorkday]],NETWORKDAYS.INTL(ProjectStart,Tasks[[#This Row],[_LeafFcstFinish]],WorkWeek,Holidays)),0)</f>
        <v>44</v>
      </c>
      <c r="CT22" s="41" t="n">
        <f aca="false">IF(AND(Tasks[[#This Row],[_IsLeaf]]=1,Tasks[[#This Row],[_LeafWork]]&gt;0),Tasks[[#This Row],[_LeafWork]]/(Tasks[[#This Row],[_FinishWorkday]]-Tasks[[#This Row],[_StartWorkday]]+1),0)</f>
        <v>6.85714285714286</v>
      </c>
      <c r="CU22" s="41" t="n">
        <f aca="false">Tasks[[#This Row],[_WorkPerWorkday]]*(Tasks[[#This Row],[_StartWorkday]]-1)</f>
        <v>205.714285714286</v>
      </c>
      <c r="CV22" s="41" t="n">
        <f aca="false">IF(Tasks[[#This Row],[_IsLeaf]]=1,MAX(N(Tasks[[#This Row],[Duration]]),0.1),0)</f>
        <v>12</v>
      </c>
      <c r="CW22" s="41" t="n">
        <f aca="false">Tasks[[#This Row],[_WeightDur]]*Tasks[[#This Row],[_LeafProgress]]</f>
        <v>3</v>
      </c>
      <c r="CX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16</v>
      </c>
      <c r="CY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13SS+2d</v>
      </c>
      <c r="CZ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16</v>
      </c>
      <c r="DA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13SS+2d</v>
      </c>
      <c r="DB22" s="41" t="str">
        <f aca="false">IF(Tasks[[#This Row],[Task Name]]="","",Tasks[[#This Row],[_Pred1UIDText]]&amp;IF(AND(Tasks[[#This Row],[_Pred1UIDText]]&lt;&gt;"",Tasks[[#This Row],[_Pred2UIDText]]&lt;&gt;""),",","")&amp;Tasks[[#This Row],[_Pred2UIDText]])</f>
        <v>16,13SS+2d</v>
      </c>
      <c r="DC22" s="41" t="str">
        <f aca="false">IF(AND(Tasks[[#This Row],[_IsLeaf]]=1,N(Tasks[[#This Row],[Duration]])=0,Tasks[[#This Row],[_LeafProgress]]&lt;1),Tasks[[#This Row],[_LeafFcstFinish]]+Tasks[[#This Row],[_Row]]/100000,"")</f>
        <v/>
      </c>
      <c r="DD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0.75</v>
      </c>
      <c r="DE22" s="41" t="n">
        <f aca="false">IF(NOT(Tasks[[#This Row],[_IsLeaf]]=1),0,IF(Tasks[[#This Row],[Baseline Cost]]="",Tasks[[#This Row],[_LeafCost]],N(Tasks[[#This Row],[Baseline Cost]])))</f>
        <v>7680</v>
      </c>
      <c r="DF22" s="41" t="n">
        <f aca="false">Tasks[[#This Row],[_LeafBudget]]*Tasks[[#This Row],[_PlannedPct]]</f>
        <v>5760</v>
      </c>
      <c r="DG22" s="41" t="n">
        <f aca="false">Tasks[[#This Row],[_LeafBudget]]*Tasks[[#This Row],[_LeafProgress]]</f>
        <v>1920</v>
      </c>
      <c r="DH22" s="41" t="n">
        <f aca="false">IF(NOT(Tasks[[#This Row],[_IsLeaf]]=1),0,IF(Tasks[[#This Row],[Actual Cost]]="",Tasks[[#This Row],[_LeafCost]]*Tasks[[#This Row],[_LeafProgress]],N(Tasks[[#This Row],[Actual Cost]])))</f>
        <v>1920</v>
      </c>
      <c r="DI22" s="41" t="str">
        <f aca="false">IF(Tasks[[#This Row],[Task Name]]="","",LEFT(Tasks[[#This Row],[WBS]],FIND(".",Tasks[[#This Row],[WBS]]&amp;".")-1))</f>
        <v>3</v>
      </c>
      <c r="DJ22" s="41" t="str">
        <f aca="false">IF(AND(Tasks[[#This Row],[Task Name]]&lt;&gt;"",Tasks[[#This Row],[_Level]]=1),Tasks[[#This Row],[_Row]],"")</f>
        <v/>
      </c>
      <c r="DK22" s="41" t="str">
        <f aca="false">IF(AND(Tasks[[#This Row],[_IsLeaf]]=1,N(Tasks[[#This Row],[Duration]])=0),Tasks[[#This Row],[Planned Finish]]+Tasks[[#This Row],[_Row]]/100000,"")</f>
        <v/>
      </c>
      <c r="DL22" s="41" t="n">
        <f aca="false">IF(AND(Tasks[[#This Row],[_IsLeaf]]=1,Tasks[[#This Row],[_LeafProgress]]&lt;1,OR(N(Tasks[[#This Row],[Finish Var]])&gt;0,Tasks[[#This Row],[Status]]="Late Start")),MAX(0,Tasks[[#This Row],[Finish Var]])+1-Tasks[[#This Row],[_Row]]/1000000,"")</f>
        <v>6.999983</v>
      </c>
      <c r="DM22" s="41" t="str">
        <f aca="false">IF(AND(Tasks[[#This Row],[_IsLeaf]]=1,N(Tasks[[#This Row],[Actual Start]])=0,Tasks[[#This Row],[_LeafFcstStart]]&gt;=StatusDate,Tasks[[#This Row],[_LeafFcstStart]]&lt;=LookaheadEnd),Tasks[[#This Row],[_LeafFcstStart]]+Tasks[[#This Row],[_Row]]/100000,"")</f>
        <v/>
      </c>
      <c r="DN22" s="104" t="n">
        <f aca="false">IF(AND(Tasks[[#This Row],[_IsLeaf]]=1,Tasks[[#This Row],[_LeafProgress]]&lt;1,Tasks[[#This Row],[_LeafFcstFinish]]&gt;=StatusDate,Tasks[[#This Row],[_LeafFcstFinish]]&lt;=LookaheadEnd),Tasks[[#This Row],[_LeafFcstFinish]]+Tasks[[#This Row],[_Row]]/100000,"")</f>
        <v>46331.00017</v>
      </c>
      <c r="DO22" s="104" t="n">
        <f aca="false">IF(Tasks[[#This Row],[_LeafCritical]],Tasks[[#This Row],[_LeafFcstStart]]+Tasks[[#This Row],[_Row]]/100000,"")</f>
        <v>46314.00017</v>
      </c>
      <c r="DP22" s="41" t="n">
        <f aca="false">Tasks[[#This Row],[_LeafWork]]*Tasks[[#This Row],[_LeafProgress]]</f>
        <v>24</v>
      </c>
      <c r="DQ22" s="103" t="str">
        <f aca="false">IF(AND(Tasks[[#This Row],[_IsLeaf]]=1,Tasks[[#This Row],[_LeafProgress]]&gt;=1),IF(N(Tasks[[#This Row],[Actual Finish]])&gt;0,Tasks[[#This Row],[Actual Finish]],Tasks[[#This Row],[_LeafFcstFinish]]),"")</f>
        <v/>
      </c>
      <c r="DR22" s="41" t="n">
        <f aca="false">IF(Tasks[[#This Row],[_IsLeaf]]=1,N(Tasks[[#This Row],[Story Points]]),0)</f>
        <v>8</v>
      </c>
      <c r="DS22" s="41" t="n">
        <f aca="false">IF(AND(Tasks[[#This Row],[_IsLeaf]]=1,CurrentSprint&lt;&gt;"",Tasks[[#This Row],[Sprint]]=CurrentSprint),Tasks[[#This Row],[_Row]],"")</f>
        <v>17</v>
      </c>
    </row>
    <row r="23" customFormat="false" ht="15" hidden="false" customHeight="false" outlineLevel="0" collapsed="false">
      <c r="A23" s="28" t="n">
        <f aca="false">IF(Tasks[[#This Row],[Task Name]]="","",COUNTA(Tasks[[#Headers],[Task Name]]:Tasks[[#This Row],[Task Name]])-1)</f>
        <v>18</v>
      </c>
      <c r="B23" s="29" t="n">
        <v>18</v>
      </c>
      <c r="C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3.2.3</v>
      </c>
      <c r="D23" s="29" t="n">
        <v>3</v>
      </c>
      <c r="E23" s="30" t="s">
        <v>622</v>
      </c>
      <c r="F23" s="29" t="s">
        <v>595</v>
      </c>
      <c r="G23" s="29" t="n">
        <v>3</v>
      </c>
      <c r="H23" s="29" t="n">
        <v>17</v>
      </c>
      <c r="I23" s="29" t="s">
        <v>623</v>
      </c>
      <c r="J23" s="29" t="n">
        <v>1</v>
      </c>
      <c r="K23" s="29"/>
      <c r="L23" s="29"/>
      <c r="M23" s="29"/>
      <c r="N23" s="77"/>
      <c r="O23" s="77"/>
      <c r="P23" s="25" t="n">
        <f aca="false">IF(Tasks[[#This Row],[Task Name]]="","",IF(N(Tasks[[#This Row],[Baseline Start]])&gt;0,Tasks[[#This Row],[Baseline Start]],Tasks[[#This Row],[_CalcStart]]))</f>
        <v>46322</v>
      </c>
      <c r="Q23" s="25" t="n">
        <f aca="false">IF(Tasks[[#This Row],[Task Name]]="","",IF(N(Tasks[[#This Row],[Baseline Finish]])&gt;0,Tasks[[#This Row],[Baseline Finish]],Tasks[[#This Row],[_CalcFinish]]))</f>
        <v>46324</v>
      </c>
      <c r="R23" s="77"/>
      <c r="S23" s="77"/>
      <c r="T23" s="25" t="n">
        <f aca="false">IF(Tasks[[#This Row],[Task Name]]="","",IF(Tasks[[#This Row],[_IsSummary]],MIN(INDEX(Tasks[_LeafFcstStart],Tasks[[#This Row],[_Row]]+1):INDEX(Tasks[_LeafFcstStart],Tasks[[#This Row],[_Row]]+Tasks[[#This Row],[_Descendants]])),Tasks[[#This Row],[_LeafFcstStart]]))</f>
        <v>46330</v>
      </c>
      <c r="U23" s="25" t="n">
        <f aca="false">IF(Tasks[[#This Row],[Task Name]]="","",IF(Tasks[[#This Row],[_IsSummary]],MAX(INDEX(Tasks[_LeafFcstFinish],Tasks[[#This Row],[_Row]]+1):INDEX(Tasks[_LeafFcstFinish],Tasks[[#This Row],[_Row]]+Tasks[[#This Row],[_Descendants]])),Tasks[[#This Row],[_LeafFcstFinish]]))</f>
        <v>46332</v>
      </c>
      <c r="V23"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3"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3" s="25" t="n">
        <f aca="false">IF(Tasks[[#This Row],[Task Name]]="","",IF(Tasks[[#This Row],[_IsSummary]],MIN(INDEX(Tasks[_LeafLateStart],Tasks[[#This Row],[_Row]]+1):INDEX(Tasks[_LeafLateStart],Tasks[[#This Row],[_Row]]+Tasks[[#This Row],[_Descendants]])),Tasks[[#This Row],[_LeafLateStart]]))</f>
        <v>46330</v>
      </c>
      <c r="Y23" s="25" t="n">
        <f aca="false">IF(Tasks[[#This Row],[Task Name]]="","",IF(Tasks[[#This Row],[_IsSummary]],MAX(INDEX(Tasks[_LeafLateFinish],Tasks[[#This Row],[_Row]]+1):INDEX(Tasks[_LeafLateFinish],Tasks[[#This Row],[_Row]]+Tasks[[#This Row],[_Descendants]])),Tasks[[#This Row],[_LeafLateFinish]]))</f>
        <v>46332</v>
      </c>
      <c r="Z23" s="43" t="n">
        <f aca="false">IF(Tasks[[#This Row],[Task Name]]="","",IF(Tasks[[#This Row],[_IsSummary]],MIN(INDEX(Tasks[_LeafTotalSlack],Tasks[[#This Row],[_Row]]+1):INDEX(Tasks[_LeafTotalSlack],Tasks[[#This Row],[_Row]]+Tasks[[#This Row],[_Descendants]])),Tasks[[#This Row],[_LeafTotalSlack]]))</f>
        <v>0</v>
      </c>
      <c r="AA2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3" s="28" t="str">
        <f aca="false">IF(Tasks[[#This Row],[Task Name]]="","",IF(IF(Tasks[[#This Row],[_IsSummary]],COUNTIF(INDEX(Tasks[_LeafCritical],Tasks[[#This Row],[_Row]]+1):INDEX(Tasks[_LeafCritical],Tasks[[#This Row],[_Row]]+Tasks[[#This Row],[_Descendants]]),TRUE())&gt;0,Tasks[[#This Row],[_LeafCritical]]),"Yes",""))</f>
        <v>Yes</v>
      </c>
      <c r="AC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3" s="24" t="str">
        <f aca="false">IF(Tasks[[#This Row],[Task Name]]="","",TRIM(IF(Tasks[[#This Row],[_Pred1Problem]]&lt;&gt;"","Pred 1: "&amp;Tasks[[#This Row],[_Pred1Problem]]&amp;". ","")&amp;IF(Tasks[[#This Row],[_Pred2Problem]]&lt;&gt;"","Pred 2: "&amp;Tasks[[#This Row],[_Pred2Problem]]&amp;".","")))</f>
        <v/>
      </c>
      <c r="AE23" s="91"/>
      <c r="AF23"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3" s="28" t="str">
        <f aca="false">IF(Tasks[[#This Row],[Task Name]]="","",IF(Tasks[[#This Row],[Progress]]&gt;=1,"Complete",IF(OR(N(Tasks[[#This Row],[Actual Start]])&gt;0,Tasks[[#This Row],[Progress]]&gt;0),IF(Tasks[[#This Row],[Finish Var]]&gt;0,"Behind","In Progress"),IF(Tasks[[#This Row],[Planned Start]]&lt;StatusDate,"Late Start","Not Started"))))</f>
        <v>Not Started</v>
      </c>
      <c r="AH23" s="30" t="s">
        <v>291</v>
      </c>
      <c r="AI23" s="91" t="n">
        <v>0.5</v>
      </c>
      <c r="AJ2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3" s="98" t="n">
        <f aca="false">IF(Tasks[[#This Row],[Task Name]]="","",IF(Tasks[[#This Row],[_IsSummary]],SUM(INDEX(Tasks[_LeafWork],Tasks[[#This Row],[_Row]]+1):INDEX(Tasks[_LeafWork],Tasks[[#This Row],[_Row]]+Tasks[[#This Row],[_Descendants]])),Tasks[[#This Row],[_LeafWork]]))</f>
        <v>12</v>
      </c>
      <c r="AL23" s="99" t="n">
        <f aca="false">IF(Tasks[[#This Row],[Task Name]]="","",IF(Tasks[[#This Row],[_IsSummary]],SUM(INDEX(Tasks[_LeafCost],Tasks[[#This Row],[_Row]]+1):INDEX(Tasks[_LeafCost],Tasks[[#This Row],[_Row]]+Tasks[[#This Row],[_Descendants]])),Tasks[[#This Row],[_LeafCost]]))</f>
        <v>900</v>
      </c>
      <c r="AM23" s="100"/>
      <c r="AN23" s="29"/>
      <c r="AO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P23" s="85" t="n">
        <v>3</v>
      </c>
      <c r="AQ23" s="24" t="str">
        <f aca="false">IF(Tasks[[#This Row],[Task Name]]="","",Tasks[[#This Row],[_Pred1IDText]]&amp;IF(AND(Tasks[[#This Row],[_Pred1IDText]]&lt;&gt;"",Tasks[[#This Row],[_Pred2IDText]]&lt;&gt;""),",","")&amp;Tasks[[#This Row],[_Pred2IDText]])</f>
        <v>17FF+1d</v>
      </c>
      <c r="AR23" s="30" t="s">
        <v>624</v>
      </c>
      <c r="AS23" s="25" t="n">
        <f aca="false">IF(Tasks[[#This Row],[Task Name]]="","",Tasks[[#This Row],[Forecast Start]])</f>
        <v>46330</v>
      </c>
      <c r="AT23" s="25" t="n">
        <f aca="false">IF(Tasks[[#This Row],[Task Name]]="","",Tasks[[#This Row],[Forecast Finish]])</f>
        <v>46332</v>
      </c>
      <c r="AU23" s="28" t="n">
        <f aca="false">IF(Tasks[[#This Row],[Task Name]]="","",IF(Tasks[[#This Row],[_IsSummary]],NETWORKDAYS.INTL(Tasks[[#This Row],[Forecast Start]],Tasks[[#This Row],[Forecast Finish]],WorkWeek,Holidays),N(Tasks[[#This Row],[Duration]])))</f>
        <v>3</v>
      </c>
      <c r="AV23" s="98" t="n">
        <f aca="false">IF(Tasks[[#This Row],[Task Name]]="","",Tasks[[#This Row],[Work]])</f>
        <v>12</v>
      </c>
      <c r="AW23" s="99" t="n">
        <f aca="false">IF(Tasks[[#This Row],[Task Name]]="","",Tasks[[#This Row],[Cost]])</f>
        <v>900</v>
      </c>
      <c r="AX23" s="77"/>
      <c r="AY23" s="77"/>
      <c r="AZ23" s="29"/>
      <c r="BA23" s="101"/>
      <c r="BB23" s="100"/>
      <c r="BC23" s="28" t="str">
        <f aca="false">IF(OR(Tasks[[#This Row],[Task Name]]="",Tasks[[#This Row],[Baseline Duration]]=""),"",Tasks[[#This Row],[BL Source Duration]]-N(Tasks[[#This Row],[Baseline Duration]]))</f>
        <v/>
      </c>
      <c r="BD23" s="98" t="str">
        <f aca="false">IF(OR(Tasks[[#This Row],[Task Name]]="",Tasks[[#This Row],[Baseline Work]]=""),"",Tasks[[#This Row],[Work]]-N(Tasks[[#This Row],[Baseline Work]]))</f>
        <v/>
      </c>
      <c r="BE23" s="99" t="str">
        <f aca="false">IF(OR(Tasks[[#This Row],[Task Name]]="",Tasks[[#This Row],[Baseline Cost]]=""),"",Tasks[[#This Row],[Cost]]-N(Tasks[[#This Row],[Baseline Cost]]))</f>
        <v/>
      </c>
      <c r="BF23" s="99" t="n">
        <f aca="false">IF(Tasks[[#This Row],[Task Name]]="","",IF(Tasks[[#This Row],[_IsSummary]],SUM(INDEX(Tasks[_LeafBudget],Tasks[[#This Row],[_Row]]+1):INDEX(Tasks[_LeafBudget],Tasks[[#This Row],[_Row]]+Tasks[[#This Row],[_Descendants]])),Tasks[[#This Row],[_LeafBudget]]))</f>
        <v>900</v>
      </c>
      <c r="BG23" s="99" t="n">
        <f aca="false">IF(Tasks[[#This Row],[Task Name]]="","",IF(Tasks[[#This Row],[_IsSummary]],SUM(INDEX(Tasks[_LeafPV],Tasks[[#This Row],[_Row]]+1):INDEX(Tasks[_LeafPV],Tasks[[#This Row],[_Row]]+Tasks[[#This Row],[_Descendants]])),Tasks[[#This Row],[_LeafPV]]))</f>
        <v>0</v>
      </c>
      <c r="BH23" s="99" t="n">
        <f aca="false">IF(Tasks[[#This Row],[Task Name]]="","",IF(Tasks[[#This Row],[_IsSummary]],SUM(INDEX(Tasks[_LeafEV],Tasks[[#This Row],[_Row]]+1):INDEX(Tasks[_LeafEV],Tasks[[#This Row],[_Row]]+Tasks[[#This Row],[_Descendants]])),Tasks[[#This Row],[_LeafEV]]))</f>
        <v>0</v>
      </c>
      <c r="BI23" s="99" t="n">
        <f aca="false">IF(Tasks[[#This Row],[Task Name]]="","",IF(Tasks[[#This Row],[_IsSummary]],SUM(INDEX(Tasks[_LeafAC],Tasks[[#This Row],[_Row]]+1):INDEX(Tasks[_LeafAC],Tasks[[#This Row],[_Row]]+Tasks[[#This Row],[_Descendants]])),Tasks[[#This Row],[_LeafAC]]))</f>
        <v>0</v>
      </c>
      <c r="BJ23" s="41" t="n">
        <f aca="false">IF(Tasks[[#This Row],[Task Name]]="","",MAX(1,N(Tasks[[#This Row],[Level]])))</f>
        <v>3</v>
      </c>
      <c r="BK23" s="41" t="n">
        <f aca="false">ROW()-ROW(Tasks[[#Headers],[ID]])</f>
        <v>18</v>
      </c>
      <c r="BL23" s="41" t="n">
        <f aca="false">IF(OR(Tasks[[#This Row],[Task Name]]="",Tasks[[#This Row],[_Level]]&lt;=1),0,IFERROR(LOOKUP(2,1/(Tasks[[#Headers],[_Level]]:Tasks[[#This Row],[_Level]]=Tasks[[#This Row],[_Level]]-1),ROW(Tasks[[#Headers],[_Level]]:Tasks[[#This Row],[_Level]])),0))</f>
        <v>20</v>
      </c>
      <c r="BM23" s="41" t="n">
        <f aca="false">IFERROR(N(INDEX(Tasks[_Level],Tasks[[#This Row],[_Row]]+1)),0)</f>
        <v>2</v>
      </c>
      <c r="BN23" s="102" t="b">
        <f aca="false">AND(Tasks[[#This Row],[Task Name]]&lt;&gt;"",Tasks[[#This Row],[_NextLevel]]&gt;Tasks[[#This Row],[_Level]])</f>
        <v>0</v>
      </c>
      <c r="BO23" s="41" t="n">
        <f aca="false">IF(Tasks[[#This Row],[_IsSummary]],COUNTIF(Tasks[WBS],Tasks[[#This Row],[WBS]]&amp;".*"),0)</f>
        <v>0</v>
      </c>
      <c r="BP23" s="41" t="n">
        <f aca="false">IF(AND(Tasks[[#This Row],[Task Name]]&lt;&gt;"",NOT(Tasks[[#This Row],[_IsSummary]])),1,0)</f>
        <v>1</v>
      </c>
      <c r="BQ23" s="41" t="n">
        <f aca="false">IF(N(Tasks[[#This Row],[Pred1 UID]])=0,0,IFERROR(MATCH(Tasks[[#This Row],[Pred1 UID]],Tasks[UID],0),-1))</f>
        <v>17</v>
      </c>
      <c r="BR23" s="41" t="n">
        <f aca="false">IF(N(Tasks[[#This Row],[Pred2 UID]])=0,0,IFERROR(MATCH(Tasks[[#This Row],[Pred2 UID]],Tasks[UID],0),-1))</f>
        <v>0</v>
      </c>
      <c r="BS23"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46322</v>
      </c>
      <c r="BT23" s="103" t="n">
        <f aca="false">IF(NOT(Tasks[[#This Row],[_IsLeaf]]=1),"",IF(N(Tasks[[#This Row],[Duration]])&lt;=0,Tasks[[#This Row],[_LeafCalcStart]],WORKDAY.INTL(Tasks[[#This Row],[_LeafCalcStart]],Tasks[[#This Row],[Duration]]-1,WorkWeek,Holidays)))</f>
        <v>46324</v>
      </c>
      <c r="BU23"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46330</v>
      </c>
      <c r="BV23"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46332</v>
      </c>
      <c r="BW23" s="41" t="n">
        <f aca="false">IF(NOT(Tasks[[#This Row],[_IsLeaf]]=1),0,IF(N(Tasks[[#This Row],[Actual Finish]])&gt;0,1,MIN(1,N(Tasks[[#This Row],[% Complete]]))))</f>
        <v>0</v>
      </c>
      <c r="BX23" s="41" t="n">
        <f aca="false">IF(OR(NOT(Tasks[[#This Row],[_IsLeaf]]=1),Tasks[[#This Row],[Resource]]=""),0,N(Tasks[[#This Row],[Duration]])*HoursPerDay*IF(Tasks[[#This Row],[Units]]="",DefaultUnits,Tasks[[#This Row],[Units]]))</f>
        <v>12</v>
      </c>
      <c r="BY23" s="41" t="n">
        <f aca="false">IF(Tasks[[#This Row],[_LeafWork]]=0,0,Tasks[[#This Row],[_LeafWork]]*IFERROR(INDEX(res_Rate,MATCH(Tasks[[#This Row],[Resource]],res_Name,0)),0))</f>
        <v>900</v>
      </c>
      <c r="BZ23"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2912134</v>
      </c>
      <c r="CA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3"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3" s="41" t="n">
        <f aca="false">IF(NOT(Tasks[[#This Row],[_IsLeaf]]=1),0,MAX(_xlfn.MAXIFS(Tasks[_Row],Tasks[Pred1 UID],Tasks[[#This Row],[UID]]),_xlfn.MAXIFS(Tasks[_Row],Tasks[Pred2 UID],Tasks[[#This Row],[UID]])))</f>
        <v>19</v>
      </c>
      <c r="CE23"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46332</v>
      </c>
      <c r="CF23" s="103" t="n">
        <f aca="false">IF(NOT(Tasks[[#This Row],[_IsLeaf]]=1),"",MIN(ProjectFinish,IF(N(Tasks[[#This Row],[Deadline]])&gt;0,Tasks[[#This Row],[Deadline]],2958465),Tasks[[#This Row],[_SuccessorFinishLimit]]))</f>
        <v>46332</v>
      </c>
      <c r="CG23" s="103" t="n">
        <f aca="false">IF(NOT(Tasks[[#This Row],[_IsLeaf]]=1),"",IF(N(Tasks[[#This Row],[Duration]])&lt;=0,Tasks[[#This Row],[_LeafLateFinish]],WORKDAY.INTL(Tasks[[#This Row],[_LeafLateFinish]],-(Tasks[[#This Row],[Duration]]-1),WorkWeek,Holidays)))</f>
        <v>46330</v>
      </c>
      <c r="CH2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23" s="102" t="b">
        <f aca="false">AND(Tasks[[#This Row],[_IsLeaf]]=1,Tasks[[#This Row],[_LeafProgress]]&lt;1,N(Tasks[[#This Row],[_LeafTotalSlack]])&lt;=CriticalSlackDays)</f>
        <v>1</v>
      </c>
      <c r="CJ23" s="103" t="n">
        <f aca="false">IF(Tasks[[#This Row],[Task Name]]="","",IF(Tasks[[#This Row],[_IsSummary]],MIN(INDEX(Tasks[_LeafCalcStart],Tasks[[#This Row],[_Row]]+1):INDEX(Tasks[_LeafCalcStart],Tasks[[#This Row],[_Row]]+Tasks[[#This Row],[_Descendants]])),Tasks[[#This Row],[_LeafCalcStart]]))</f>
        <v>46322</v>
      </c>
      <c r="CK23" s="103" t="n">
        <f aca="false">IF(Tasks[[#This Row],[Task Name]]="","",IF(Tasks[[#This Row],[_IsSummary]],MAX(INDEX(Tasks[_LeafCalcFinish],Tasks[[#This Row],[_Row]]+1):INDEX(Tasks[_LeafCalcFinish],Tasks[[#This Row],[_Row]]+Tasks[[#This Row],[_Descendants]])),Tasks[[#This Row],[_LeafCalcFinish]]))</f>
        <v>46324</v>
      </c>
      <c r="CL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46322</v>
      </c>
      <c r="CO2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46330</v>
      </c>
      <c r="CQ2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3" s="41" t="n">
        <f aca="false">IF(AND(Tasks[[#This Row],[_IsLeaf]]=1,Tasks[[#This Row],[_LeafWork]]&gt;0),NETWORKDAYS.INTL(ProjectStart,Tasks[[#This Row],[_LeafFcstStart]],WorkWeek,Holidays),0)</f>
        <v>43</v>
      </c>
      <c r="CS23" s="41" t="n">
        <f aca="false">IF(AND(Tasks[[#This Row],[_IsLeaf]]=1,Tasks[[#This Row],[_LeafWork]]&gt;0),MAX(Tasks[[#This Row],[_StartWorkday]],NETWORKDAYS.INTL(ProjectStart,Tasks[[#This Row],[_LeafFcstFinish]],WorkWeek,Holidays)),0)</f>
        <v>45</v>
      </c>
      <c r="CT23" s="41" t="n">
        <f aca="false">IF(AND(Tasks[[#This Row],[_IsLeaf]]=1,Tasks[[#This Row],[_LeafWork]]&gt;0),Tasks[[#This Row],[_LeafWork]]/(Tasks[[#This Row],[_FinishWorkday]]-Tasks[[#This Row],[_StartWorkday]]+1),0)</f>
        <v>4</v>
      </c>
      <c r="CU23" s="41" t="n">
        <f aca="false">Tasks[[#This Row],[_WorkPerWorkday]]*(Tasks[[#This Row],[_StartWorkday]]-1)</f>
        <v>168</v>
      </c>
      <c r="CV23" s="41" t="n">
        <f aca="false">IF(Tasks[[#This Row],[_IsLeaf]]=1,MAX(N(Tasks[[#This Row],[Duration]]),0.1),0)</f>
        <v>3</v>
      </c>
      <c r="CW23" s="41" t="n">
        <f aca="false">Tasks[[#This Row],[_WeightDur]]*Tasks[[#This Row],[_LeafProgress]]</f>
        <v>0</v>
      </c>
      <c r="CX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17FF+1d</v>
      </c>
      <c r="CY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17FF+1d</v>
      </c>
      <c r="DA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3" s="41" t="str">
        <f aca="false">IF(Tasks[[#This Row],[Task Name]]="","",Tasks[[#This Row],[_Pred1UIDText]]&amp;IF(AND(Tasks[[#This Row],[_Pred1UIDText]]&lt;&gt;"",Tasks[[#This Row],[_Pred2UIDText]]&lt;&gt;""),",","")&amp;Tasks[[#This Row],[_Pred2UIDText]])</f>
        <v>17FF+1d</v>
      </c>
      <c r="DC23" s="41" t="str">
        <f aca="false">IF(AND(Tasks[[#This Row],[_IsLeaf]]=1,N(Tasks[[#This Row],[Duration]])=0,Tasks[[#This Row],[_LeafProgress]]&lt;1),Tasks[[#This Row],[_LeafFcstFinish]]+Tasks[[#This Row],[_Row]]/100000,"")</f>
        <v/>
      </c>
      <c r="DD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3" s="41" t="n">
        <f aca="false">IF(NOT(Tasks[[#This Row],[_IsLeaf]]=1),0,IF(Tasks[[#This Row],[Baseline Cost]]="",Tasks[[#This Row],[_LeafCost]],N(Tasks[[#This Row],[Baseline Cost]])))</f>
        <v>900</v>
      </c>
      <c r="DF23" s="41" t="n">
        <f aca="false">Tasks[[#This Row],[_LeafBudget]]*Tasks[[#This Row],[_PlannedPct]]</f>
        <v>0</v>
      </c>
      <c r="DG23" s="41" t="n">
        <f aca="false">Tasks[[#This Row],[_LeafBudget]]*Tasks[[#This Row],[_LeafProgress]]</f>
        <v>0</v>
      </c>
      <c r="DH23" s="41" t="n">
        <f aca="false">IF(NOT(Tasks[[#This Row],[_IsLeaf]]=1),0,IF(Tasks[[#This Row],[Actual Cost]]="",Tasks[[#This Row],[_LeafCost]]*Tasks[[#This Row],[_LeafProgress]],N(Tasks[[#This Row],[Actual Cost]])))</f>
        <v>0</v>
      </c>
      <c r="DI23" s="41" t="str">
        <f aca="false">IF(Tasks[[#This Row],[Task Name]]="","",LEFT(Tasks[[#This Row],[WBS]],FIND(".",Tasks[[#This Row],[WBS]]&amp;".")-1))</f>
        <v>3</v>
      </c>
      <c r="DJ23" s="41" t="str">
        <f aca="false">IF(AND(Tasks[[#This Row],[Task Name]]&lt;&gt;"",Tasks[[#This Row],[_Level]]=1),Tasks[[#This Row],[_Row]],"")</f>
        <v/>
      </c>
      <c r="DK23" s="41" t="str">
        <f aca="false">IF(AND(Tasks[[#This Row],[_IsLeaf]]=1,N(Tasks[[#This Row],[Duration]])=0),Tasks[[#This Row],[Planned Finish]]+Tasks[[#This Row],[_Row]]/100000,"")</f>
        <v/>
      </c>
      <c r="DL23" s="41" t="n">
        <f aca="false">IF(AND(Tasks[[#This Row],[_IsLeaf]]=1,Tasks[[#This Row],[_LeafProgress]]&lt;1,OR(N(Tasks[[#This Row],[Finish Var]])&gt;0,Tasks[[#This Row],[Status]]="Late Start")),MAX(0,Tasks[[#This Row],[Finish Var]])+1-Tasks[[#This Row],[_Row]]/1000000,"")</f>
        <v>6.999982</v>
      </c>
      <c r="DM23" s="104" t="n">
        <f aca="false">IF(AND(Tasks[[#This Row],[_IsLeaf]]=1,N(Tasks[[#This Row],[Actual Start]])=0,Tasks[[#This Row],[_LeafFcstStart]]&gt;=StatusDate,Tasks[[#This Row],[_LeafFcstStart]]&lt;=LookaheadEnd),Tasks[[#This Row],[_LeafFcstStart]]+Tasks[[#This Row],[_Row]]/100000,"")</f>
        <v>46330.00018</v>
      </c>
      <c r="DN23" s="104" t="n">
        <f aca="false">IF(AND(Tasks[[#This Row],[_IsLeaf]]=1,Tasks[[#This Row],[_LeafProgress]]&lt;1,Tasks[[#This Row],[_LeafFcstFinish]]&gt;=StatusDate,Tasks[[#This Row],[_LeafFcstFinish]]&lt;=LookaheadEnd),Tasks[[#This Row],[_LeafFcstFinish]]+Tasks[[#This Row],[_Row]]/100000,"")</f>
        <v>46332.00018</v>
      </c>
      <c r="DO23" s="104" t="n">
        <f aca="false">IF(Tasks[[#This Row],[_LeafCritical]],Tasks[[#This Row],[_LeafFcstStart]]+Tasks[[#This Row],[_Row]]/100000,"")</f>
        <v>46330.00018</v>
      </c>
      <c r="DP23" s="41" t="n">
        <f aca="false">Tasks[[#This Row],[_LeafWork]]*Tasks[[#This Row],[_LeafProgress]]</f>
        <v>0</v>
      </c>
      <c r="DQ23" s="103" t="str">
        <f aca="false">IF(AND(Tasks[[#This Row],[_IsLeaf]]=1,Tasks[[#This Row],[_LeafProgress]]&gt;=1),IF(N(Tasks[[#This Row],[Actual Finish]])&gt;0,Tasks[[#This Row],[Actual Finish]],Tasks[[#This Row],[_LeafFcstFinish]]),"")</f>
        <v/>
      </c>
      <c r="DR23" s="41" t="n">
        <f aca="false">IF(Tasks[[#This Row],[_IsLeaf]]=1,N(Tasks[[#This Row],[Story Points]]),0)</f>
        <v>3</v>
      </c>
      <c r="DS23" s="41" t="str">
        <f aca="false">IF(AND(Tasks[[#This Row],[_IsLeaf]]=1,CurrentSprint&lt;&gt;"",Tasks[[#This Row],[Sprint]]=CurrentSprint),Tasks[[#This Row],[_Row]],"")</f>
        <v/>
      </c>
    </row>
    <row r="24" customFormat="false" ht="15" hidden="false" customHeight="false" outlineLevel="0" collapsed="false">
      <c r="A24" s="28" t="n">
        <f aca="false">IF(Tasks[[#This Row],[Task Name]]="","",COUNTA(Tasks[[#Headers],[Task Name]]:Tasks[[#This Row],[Task Name]])-1)</f>
        <v>19</v>
      </c>
      <c r="B24" s="29" t="n">
        <v>19</v>
      </c>
      <c r="C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D24" s="29" t="n">
        <v>2</v>
      </c>
      <c r="E24" s="30" t="s">
        <v>625</v>
      </c>
      <c r="F24" s="29" t="s">
        <v>595</v>
      </c>
      <c r="G24" s="29" t="n">
        <v>0</v>
      </c>
      <c r="H24" s="29" t="n">
        <v>14</v>
      </c>
      <c r="I24" s="29" t="s">
        <v>600</v>
      </c>
      <c r="J24" s="29"/>
      <c r="K24" s="29" t="n">
        <v>18</v>
      </c>
      <c r="L24" s="29" t="s">
        <v>600</v>
      </c>
      <c r="M24" s="29"/>
      <c r="N24" s="77"/>
      <c r="O24" s="77" t="n">
        <v>46332</v>
      </c>
      <c r="P24" s="25" t="n">
        <f aca="false">IF(Tasks[[#This Row],[Task Name]]="","",IF(N(Tasks[[#This Row],[Baseline Start]])&gt;0,Tasks[[#This Row],[Baseline Start]],Tasks[[#This Row],[_CalcStart]]))</f>
        <v>46325</v>
      </c>
      <c r="Q24" s="25" t="n">
        <f aca="false">IF(Tasks[[#This Row],[Task Name]]="","",IF(N(Tasks[[#This Row],[Baseline Finish]])&gt;0,Tasks[[#This Row],[Baseline Finish]],Tasks[[#This Row],[_CalcFinish]]))</f>
        <v>46325</v>
      </c>
      <c r="R24" s="77"/>
      <c r="S24" s="77"/>
      <c r="T24" s="25" t="n">
        <f aca="false">IF(Tasks[[#This Row],[Task Name]]="","",IF(Tasks[[#This Row],[_IsSummary]],MIN(INDEX(Tasks[_LeafFcstStart],Tasks[[#This Row],[_Row]]+1):INDEX(Tasks[_LeafFcstStart],Tasks[[#This Row],[_Row]]+Tasks[[#This Row],[_Descendants]])),Tasks[[#This Row],[_LeafFcstStart]]))</f>
        <v>46335</v>
      </c>
      <c r="U24" s="25" t="n">
        <f aca="false">IF(Tasks[[#This Row],[Task Name]]="","",IF(Tasks[[#This Row],[_IsSummary]],MAX(INDEX(Tasks[_LeafFcstFinish],Tasks[[#This Row],[_Row]]+1):INDEX(Tasks[_LeafFcstFinish],Tasks[[#This Row],[_Row]]+Tasks[[#This Row],[_Descendants]])),Tasks[[#This Row],[_LeafFcstFinish]]))</f>
        <v>46335</v>
      </c>
      <c r="V24"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4"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4" s="25" t="n">
        <f aca="false">IF(Tasks[[#This Row],[Task Name]]="","",IF(Tasks[[#This Row],[_IsSummary]],MIN(INDEX(Tasks[_LeafLateStart],Tasks[[#This Row],[_Row]]+1):INDEX(Tasks[_LeafLateStart],Tasks[[#This Row],[_Row]]+Tasks[[#This Row],[_Descendants]])),Tasks[[#This Row],[_LeafLateStart]]))</f>
        <v>46332</v>
      </c>
      <c r="Y24" s="25" t="n">
        <f aca="false">IF(Tasks[[#This Row],[Task Name]]="","",IF(Tasks[[#This Row],[_IsSummary]],MAX(INDEX(Tasks[_LeafLateFinish],Tasks[[#This Row],[_Row]]+1):INDEX(Tasks[_LeafLateFinish],Tasks[[#This Row],[_Row]]+Tasks[[#This Row],[_Descendants]])),Tasks[[#This Row],[_LeafLateFinish]]))</f>
        <v>46332</v>
      </c>
      <c r="Z24" s="43" t="n">
        <f aca="false">IF(Tasks[[#This Row],[Task Name]]="","",IF(Tasks[[#This Row],[_IsSummary]],MIN(INDEX(Tasks[_LeafTotalSlack],Tasks[[#This Row],[_Row]]+1):INDEX(Tasks[_LeafTotalSlack],Tasks[[#This Row],[_Row]]+Tasks[[#This Row],[_Descendants]])),Tasks[[#This Row],[_LeafTotalSlack]]))</f>
        <v>-1</v>
      </c>
      <c r="AA2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v>
      </c>
      <c r="AB24" s="28" t="str">
        <f aca="false">IF(Tasks[[#This Row],[Task Name]]="","",IF(IF(Tasks[[#This Row],[_IsSummary]],COUNTIF(INDEX(Tasks[_LeafCritical],Tasks[[#This Row],[_Row]]+1):INDEX(Tasks[_LeafCritical],Tasks[[#This Row],[_Row]]+Tasks[[#This Row],[_Descendants]]),TRUE())&gt;0,Tasks[[#This Row],[_LeafCritical]]),"Yes",""))</f>
        <v>Yes</v>
      </c>
      <c r="AC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Late by 1d</v>
      </c>
      <c r="AD24" s="24" t="str">
        <f aca="false">IF(Tasks[[#This Row],[Task Name]]="","",TRIM(IF(Tasks[[#This Row],[_Pred1Problem]]&lt;&gt;"","Pred 1: "&amp;Tasks[[#This Row],[_Pred1Problem]]&amp;". ","")&amp;IF(Tasks[[#This Row],[_Pred2Problem]]&lt;&gt;"","Pred 2: "&amp;Tasks[[#This Row],[_Pred2Problem]]&amp;".","")))</f>
        <v/>
      </c>
      <c r="AE24" s="91"/>
      <c r="AF24"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4" s="28" t="str">
        <f aca="false">IF(Tasks[[#This Row],[Task Name]]="","",IF(Tasks[[#This Row],[Progress]]&gt;=1,"Complete",IF(OR(N(Tasks[[#This Row],[Actual Start]])&gt;0,Tasks[[#This Row],[Progress]]&gt;0),IF(Tasks[[#This Row],[Finish Var]]&gt;0,"Behind","In Progress"),IF(Tasks[[#This Row],[Planned Start]]&lt;StatusDate,"Late Start","Not Started"))))</f>
        <v>Not Started</v>
      </c>
      <c r="AH24" s="30"/>
      <c r="AI24" s="91"/>
      <c r="AJ2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4" s="98" t="n">
        <f aca="false">IF(Tasks[[#This Row],[Task Name]]="","",IF(Tasks[[#This Row],[_IsSummary]],SUM(INDEX(Tasks[_LeafWork],Tasks[[#This Row],[_Row]]+1):INDEX(Tasks[_LeafWork],Tasks[[#This Row],[_Row]]+Tasks[[#This Row],[_Descendants]])),Tasks[[#This Row],[_LeafWork]]))</f>
        <v>0</v>
      </c>
      <c r="AL24" s="99" t="n">
        <f aca="false">IF(Tasks[[#This Row],[Task Name]]="","",IF(Tasks[[#This Row],[_IsSummary]],SUM(INDEX(Tasks[_LeafCost],Tasks[[#This Row],[_Row]]+1):INDEX(Tasks[_LeafCost],Tasks[[#This Row],[_Row]]+Tasks[[#This Row],[_Descendants]])),Tasks[[#This Row],[_LeafCost]]))</f>
        <v>0</v>
      </c>
      <c r="AM24" s="100"/>
      <c r="AN24" s="29"/>
      <c r="AO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P24" s="85"/>
      <c r="AQ24" s="24" t="str">
        <f aca="false">IF(Tasks[[#This Row],[Task Name]]="","",Tasks[[#This Row],[_Pred1IDText]]&amp;IF(AND(Tasks[[#This Row],[_Pred1IDText]]&lt;&gt;"",Tasks[[#This Row],[_Pred2IDText]]&lt;&gt;""),",","")&amp;Tasks[[#This Row],[_Pred2IDText]])</f>
        <v>14,18</v>
      </c>
      <c r="AR24" s="30" t="s">
        <v>626</v>
      </c>
      <c r="AS24" s="25" t="n">
        <f aca="false">IF(Tasks[[#This Row],[Task Name]]="","",Tasks[[#This Row],[Forecast Start]])</f>
        <v>46335</v>
      </c>
      <c r="AT24" s="25" t="n">
        <f aca="false">IF(Tasks[[#This Row],[Task Name]]="","",Tasks[[#This Row],[Forecast Finish]])</f>
        <v>46335</v>
      </c>
      <c r="AU24" s="28" t="n">
        <f aca="false">IF(Tasks[[#This Row],[Task Name]]="","",IF(Tasks[[#This Row],[_IsSummary]],NETWORKDAYS.INTL(Tasks[[#This Row],[Forecast Start]],Tasks[[#This Row],[Forecast Finish]],WorkWeek,Holidays),N(Tasks[[#This Row],[Duration]])))</f>
        <v>0</v>
      </c>
      <c r="AV24" s="98" t="n">
        <f aca="false">IF(Tasks[[#This Row],[Task Name]]="","",Tasks[[#This Row],[Work]])</f>
        <v>0</v>
      </c>
      <c r="AW24" s="99" t="n">
        <f aca="false">IF(Tasks[[#This Row],[Task Name]]="","",Tasks[[#This Row],[Cost]])</f>
        <v>0</v>
      </c>
      <c r="AX24" s="77"/>
      <c r="AY24" s="77"/>
      <c r="AZ24" s="29"/>
      <c r="BA24" s="101"/>
      <c r="BB24" s="100"/>
      <c r="BC24" s="28" t="str">
        <f aca="false">IF(OR(Tasks[[#This Row],[Task Name]]="",Tasks[[#This Row],[Baseline Duration]]=""),"",Tasks[[#This Row],[BL Source Duration]]-N(Tasks[[#This Row],[Baseline Duration]]))</f>
        <v/>
      </c>
      <c r="BD24" s="98" t="str">
        <f aca="false">IF(OR(Tasks[[#This Row],[Task Name]]="",Tasks[[#This Row],[Baseline Work]]=""),"",Tasks[[#This Row],[Work]]-N(Tasks[[#This Row],[Baseline Work]]))</f>
        <v/>
      </c>
      <c r="BE24" s="99" t="str">
        <f aca="false">IF(OR(Tasks[[#This Row],[Task Name]]="",Tasks[[#This Row],[Baseline Cost]]=""),"",Tasks[[#This Row],[Cost]]-N(Tasks[[#This Row],[Baseline Cost]]))</f>
        <v/>
      </c>
      <c r="BF24" s="99" t="n">
        <f aca="false">IF(Tasks[[#This Row],[Task Name]]="","",IF(Tasks[[#This Row],[_IsSummary]],SUM(INDEX(Tasks[_LeafBudget],Tasks[[#This Row],[_Row]]+1):INDEX(Tasks[_LeafBudget],Tasks[[#This Row],[_Row]]+Tasks[[#This Row],[_Descendants]])),Tasks[[#This Row],[_LeafBudget]]))</f>
        <v>0</v>
      </c>
      <c r="BG24" s="99" t="n">
        <f aca="false">IF(Tasks[[#This Row],[Task Name]]="","",IF(Tasks[[#This Row],[_IsSummary]],SUM(INDEX(Tasks[_LeafPV],Tasks[[#This Row],[_Row]]+1):INDEX(Tasks[_LeafPV],Tasks[[#This Row],[_Row]]+Tasks[[#This Row],[_Descendants]])),Tasks[[#This Row],[_LeafPV]]))</f>
        <v>0</v>
      </c>
      <c r="BH24" s="99" t="n">
        <f aca="false">IF(Tasks[[#This Row],[Task Name]]="","",IF(Tasks[[#This Row],[_IsSummary]],SUM(INDEX(Tasks[_LeafEV],Tasks[[#This Row],[_Row]]+1):INDEX(Tasks[_LeafEV],Tasks[[#This Row],[_Row]]+Tasks[[#This Row],[_Descendants]])),Tasks[[#This Row],[_LeafEV]]))</f>
        <v>0</v>
      </c>
      <c r="BI24" s="99" t="n">
        <f aca="false">IF(Tasks[[#This Row],[Task Name]]="","",IF(Tasks[[#This Row],[_IsSummary]],SUM(INDEX(Tasks[_LeafAC],Tasks[[#This Row],[_Row]]+1):INDEX(Tasks[_LeafAC],Tasks[[#This Row],[_Row]]+Tasks[[#This Row],[_Descendants]])),Tasks[[#This Row],[_LeafAC]]))</f>
        <v>0</v>
      </c>
      <c r="BJ24" s="41" t="n">
        <f aca="false">IF(Tasks[[#This Row],[Task Name]]="","",MAX(1,N(Tasks[[#This Row],[Level]])))</f>
        <v>2</v>
      </c>
      <c r="BK24" s="41" t="n">
        <f aca="false">ROW()-ROW(Tasks[[#Headers],[ID]])</f>
        <v>19</v>
      </c>
      <c r="BL24" s="41" t="n">
        <f aca="false">IF(OR(Tasks[[#This Row],[Task Name]]="",Tasks[[#This Row],[_Level]]&lt;=1),0,IFERROR(LOOKUP(2,1/(Tasks[[#Headers],[_Level]]:Tasks[[#This Row],[_Level]]=Tasks[[#This Row],[_Level]]-1),ROW(Tasks[[#Headers],[_Level]]:Tasks[[#This Row],[_Level]])),0))</f>
        <v>15</v>
      </c>
      <c r="BM24" s="41" t="n">
        <f aca="false">IFERROR(N(INDEX(Tasks[_Level],Tasks[[#This Row],[_Row]]+1)),0)</f>
        <v>1</v>
      </c>
      <c r="BN24" s="102" t="b">
        <f aca="false">AND(Tasks[[#This Row],[Task Name]]&lt;&gt;"",Tasks[[#This Row],[_NextLevel]]&gt;Tasks[[#This Row],[_Level]])</f>
        <v>0</v>
      </c>
      <c r="BO24" s="41" t="n">
        <f aca="false">IF(Tasks[[#This Row],[_IsSummary]],COUNTIF(Tasks[WBS],Tasks[[#This Row],[WBS]]&amp;".*"),0)</f>
        <v>0</v>
      </c>
      <c r="BP24" s="41" t="n">
        <f aca="false">IF(AND(Tasks[[#This Row],[Task Name]]&lt;&gt;"",NOT(Tasks[[#This Row],[_IsSummary]])),1,0)</f>
        <v>1</v>
      </c>
      <c r="BQ24" s="41" t="n">
        <f aca="false">IF(N(Tasks[[#This Row],[Pred1 UID]])=0,0,IFERROR(MATCH(Tasks[[#This Row],[Pred1 UID]],Tasks[UID],0),-1))</f>
        <v>14</v>
      </c>
      <c r="BR24" s="41" t="n">
        <f aca="false">IF(N(Tasks[[#This Row],[Pred2 UID]])=0,0,IFERROR(MATCH(Tasks[[#This Row],[Pred2 UID]],Tasks[UID],0),-1))</f>
        <v>18</v>
      </c>
      <c r="BS24"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46325</v>
      </c>
      <c r="BT24" s="103" t="n">
        <f aca="false">IF(NOT(Tasks[[#This Row],[_IsLeaf]]=1),"",IF(N(Tasks[[#This Row],[Duration]])&lt;=0,Tasks[[#This Row],[_LeafCalcStart]],WORKDAY.INTL(Tasks[[#This Row],[_LeafCalcStart]],Tasks[[#This Row],[Duration]]-1,WorkWeek,Holidays)))</f>
        <v>46325</v>
      </c>
      <c r="BU24"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46335</v>
      </c>
      <c r="BV24"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BW24" s="41" t="n">
        <f aca="false">IF(NOT(Tasks[[#This Row],[_IsLeaf]]=1),0,IF(N(Tasks[[#This Row],[Actual Finish]])&gt;0,1,MIN(1,N(Tasks[[#This Row],[% Complete]]))))</f>
        <v>0</v>
      </c>
      <c r="BX24" s="41" t="n">
        <f aca="false">IF(OR(NOT(Tasks[[#This Row],[_IsLeaf]]=1),Tasks[[#This Row],[Resource]]=""),0,N(Tasks[[#This Row],[Duration]])*HoursPerDay*IF(Tasks[[#This Row],[Units]]="",DefaultUnits,Tasks[[#This Row],[Units]]))</f>
        <v>0</v>
      </c>
      <c r="BY24" s="41" t="n">
        <f aca="false">IF(Tasks[[#This Row],[_LeafWork]]=0,0,Tasks[[#This Row],[_LeafWork]]*IFERROR(INDEX(res_Rate,MATCH(Tasks[[#This Row],[Resource]],res_Name,0)),0))</f>
        <v>0</v>
      </c>
      <c r="BZ24"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2912133</v>
      </c>
      <c r="CA24"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2912133</v>
      </c>
      <c r="CB2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24"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99999</v>
      </c>
      <c r="CD24" s="41" t="n">
        <f aca="false">IF(NOT(Tasks[[#This Row],[_IsLeaf]]=1),0,MAX(_xlfn.MAXIFS(Tasks[_Row],Tasks[Pred1 UID],Tasks[[#This Row],[UID]]),_xlfn.MAXIFS(Tasks[_Row],Tasks[Pred2 UID],Tasks[[#This Row],[UID]])))</f>
        <v>21</v>
      </c>
      <c r="CE24"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46350</v>
      </c>
      <c r="CF24" s="103" t="n">
        <f aca="false">IF(NOT(Tasks[[#This Row],[_IsLeaf]]=1),"",MIN(ProjectFinish,IF(N(Tasks[[#This Row],[Deadline]])&gt;0,Tasks[[#This Row],[Deadline]],2958465),Tasks[[#This Row],[_SuccessorFinishLimit]]))</f>
        <v>46332</v>
      </c>
      <c r="CG24" s="103" t="n">
        <f aca="false">IF(NOT(Tasks[[#This Row],[_IsLeaf]]=1),"",IF(N(Tasks[[#This Row],[Duration]])&lt;=0,Tasks[[#This Row],[_LeafLateFinish]],WORKDAY.INTL(Tasks[[#This Row],[_LeafLateFinish]],-(Tasks[[#This Row],[Duration]]-1),WorkWeek,Holidays)))</f>
        <v>46332</v>
      </c>
      <c r="CH2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CI24" s="102" t="b">
        <f aca="false">AND(Tasks[[#This Row],[_IsLeaf]]=1,Tasks[[#This Row],[_LeafProgress]]&lt;1,N(Tasks[[#This Row],[_LeafTotalSlack]])&lt;=CriticalSlackDays)</f>
        <v>1</v>
      </c>
      <c r="CJ24" s="103" t="n">
        <f aca="false">IF(Tasks[[#This Row],[Task Name]]="","",IF(Tasks[[#This Row],[_IsSummary]],MIN(INDEX(Tasks[_LeafCalcStart],Tasks[[#This Row],[_Row]]+1):INDEX(Tasks[_LeafCalcStart],Tasks[[#This Row],[_Row]]+Tasks[[#This Row],[_Descendants]])),Tasks[[#This Row],[_LeafCalcStart]]))</f>
        <v>46325</v>
      </c>
      <c r="CK24" s="103" t="n">
        <f aca="false">IF(Tasks[[#This Row],[Task Name]]="","",IF(Tasks[[#This Row],[_IsSummary]],MAX(INDEX(Tasks[_LeafCalcFinish],Tasks[[#This Row],[_Row]]+1):INDEX(Tasks[_LeafCalcFinish],Tasks[[#This Row],[_Row]]+Tasks[[#This Row],[_Descendants]])),Tasks[[#This Row],[_LeafCalcFinish]]))</f>
        <v>46325</v>
      </c>
      <c r="CL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46325</v>
      </c>
      <c r="CO2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46324</v>
      </c>
      <c r="CP2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46335</v>
      </c>
      <c r="CQ2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46332</v>
      </c>
      <c r="CR24" s="41" t="n">
        <f aca="false">IF(AND(Tasks[[#This Row],[_IsLeaf]]=1,Tasks[[#This Row],[_LeafWork]]&gt;0),NETWORKDAYS.INTL(ProjectStart,Tasks[[#This Row],[_LeafFcstStart]],WorkWeek,Holidays),0)</f>
        <v>0</v>
      </c>
      <c r="CS24" s="41" t="n">
        <f aca="false">IF(AND(Tasks[[#This Row],[_IsLeaf]]=1,Tasks[[#This Row],[_LeafWork]]&gt;0),MAX(Tasks[[#This Row],[_StartWorkday]],NETWORKDAYS.INTL(ProjectStart,Tasks[[#This Row],[_LeafFcstFinish]],WorkWeek,Holidays)),0)</f>
        <v>0</v>
      </c>
      <c r="CT24" s="41" t="n">
        <f aca="false">IF(AND(Tasks[[#This Row],[_IsLeaf]]=1,Tasks[[#This Row],[_LeafWork]]&gt;0),Tasks[[#This Row],[_LeafWork]]/(Tasks[[#This Row],[_FinishWorkday]]-Tasks[[#This Row],[_StartWorkday]]+1),0)</f>
        <v>0</v>
      </c>
      <c r="CU24" s="41" t="n">
        <f aca="false">Tasks[[#This Row],[_WorkPerWorkday]]*(Tasks[[#This Row],[_StartWorkday]]-1)</f>
        <v>-0</v>
      </c>
      <c r="CV24" s="41" t="n">
        <f aca="false">IF(Tasks[[#This Row],[_IsLeaf]]=1,MAX(N(Tasks[[#This Row],[Duration]]),0.1),0)</f>
        <v>0.1</v>
      </c>
      <c r="CW24" s="41" t="n">
        <f aca="false">Tasks[[#This Row],[_WeightDur]]*Tasks[[#This Row],[_LeafProgress]]</f>
        <v>0</v>
      </c>
      <c r="CX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14</v>
      </c>
      <c r="CY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18</v>
      </c>
      <c r="CZ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14</v>
      </c>
      <c r="DA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18</v>
      </c>
      <c r="DB24" s="41" t="str">
        <f aca="false">IF(Tasks[[#This Row],[Task Name]]="","",Tasks[[#This Row],[_Pred1UIDText]]&amp;IF(AND(Tasks[[#This Row],[_Pred1UIDText]]&lt;&gt;"",Tasks[[#This Row],[_Pred2UIDText]]&lt;&gt;""),",","")&amp;Tasks[[#This Row],[_Pred2UIDText]])</f>
        <v>14,18</v>
      </c>
      <c r="DC24" s="104" t="n">
        <f aca="false">IF(AND(Tasks[[#This Row],[_IsLeaf]]=1,N(Tasks[[#This Row],[Duration]])=0,Tasks[[#This Row],[_LeafProgress]]&lt;1),Tasks[[#This Row],[_LeafFcstFinish]]+Tasks[[#This Row],[_Row]]/100000,"")</f>
        <v>46335.00019</v>
      </c>
      <c r="DD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4" s="41" t="n">
        <f aca="false">IF(NOT(Tasks[[#This Row],[_IsLeaf]]=1),0,IF(Tasks[[#This Row],[Baseline Cost]]="",Tasks[[#This Row],[_LeafCost]],N(Tasks[[#This Row],[Baseline Cost]])))</f>
        <v>0</v>
      </c>
      <c r="DF24" s="41" t="n">
        <f aca="false">Tasks[[#This Row],[_LeafBudget]]*Tasks[[#This Row],[_PlannedPct]]</f>
        <v>0</v>
      </c>
      <c r="DG24" s="41" t="n">
        <f aca="false">Tasks[[#This Row],[_LeafBudget]]*Tasks[[#This Row],[_LeafProgress]]</f>
        <v>0</v>
      </c>
      <c r="DH24" s="41" t="n">
        <f aca="false">IF(NOT(Tasks[[#This Row],[_IsLeaf]]=1),0,IF(Tasks[[#This Row],[Actual Cost]]="",Tasks[[#This Row],[_LeafCost]]*Tasks[[#This Row],[_LeafProgress]],N(Tasks[[#This Row],[Actual Cost]])))</f>
        <v>0</v>
      </c>
      <c r="DI24" s="41" t="str">
        <f aca="false">IF(Tasks[[#This Row],[Task Name]]="","",LEFT(Tasks[[#This Row],[WBS]],FIND(".",Tasks[[#This Row],[WBS]]&amp;".")-1))</f>
        <v>3</v>
      </c>
      <c r="DJ24" s="41" t="str">
        <f aca="false">IF(AND(Tasks[[#This Row],[Task Name]]&lt;&gt;"",Tasks[[#This Row],[_Level]]=1),Tasks[[#This Row],[_Row]],"")</f>
        <v/>
      </c>
      <c r="DK24" s="104" t="n">
        <f aca="false">IF(AND(Tasks[[#This Row],[_IsLeaf]]=1,N(Tasks[[#This Row],[Duration]])=0),Tasks[[#This Row],[Planned Finish]]+Tasks[[#This Row],[_Row]]/100000,"")</f>
        <v>46325.00019</v>
      </c>
      <c r="DL24" s="41" t="n">
        <f aca="false">IF(AND(Tasks[[#This Row],[_IsLeaf]]=1,Tasks[[#This Row],[_LeafProgress]]&lt;1,OR(N(Tasks[[#This Row],[Finish Var]])&gt;0,Tasks[[#This Row],[Status]]="Late Start")),MAX(0,Tasks[[#This Row],[Finish Var]])+1-Tasks[[#This Row],[_Row]]/1000000,"")</f>
        <v>6.999981</v>
      </c>
      <c r="DM24" s="41" t="str">
        <f aca="false">IF(AND(Tasks[[#This Row],[_IsLeaf]]=1,N(Tasks[[#This Row],[Actual Start]])=0,Tasks[[#This Row],[_LeafFcstStart]]&gt;=StatusDate,Tasks[[#This Row],[_LeafFcstStart]]&lt;=LookaheadEnd),Tasks[[#This Row],[_LeafFcstStart]]+Tasks[[#This Row],[_Row]]/100000,"")</f>
        <v/>
      </c>
      <c r="DN24" s="41" t="str">
        <f aca="false">IF(AND(Tasks[[#This Row],[_IsLeaf]]=1,Tasks[[#This Row],[_LeafProgress]]&lt;1,Tasks[[#This Row],[_LeafFcstFinish]]&gt;=StatusDate,Tasks[[#This Row],[_LeafFcstFinish]]&lt;=LookaheadEnd),Tasks[[#This Row],[_LeafFcstFinish]]+Tasks[[#This Row],[_Row]]/100000,"")</f>
        <v/>
      </c>
      <c r="DO24" s="104" t="n">
        <f aca="false">IF(Tasks[[#This Row],[_LeafCritical]],Tasks[[#This Row],[_LeafFcstStart]]+Tasks[[#This Row],[_Row]]/100000,"")</f>
        <v>46335.00019</v>
      </c>
      <c r="DP24" s="41" t="n">
        <f aca="false">Tasks[[#This Row],[_LeafWork]]*Tasks[[#This Row],[_LeafProgress]]</f>
        <v>0</v>
      </c>
      <c r="DQ24" s="103" t="str">
        <f aca="false">IF(AND(Tasks[[#This Row],[_IsLeaf]]=1,Tasks[[#This Row],[_LeafProgress]]&gt;=1),IF(N(Tasks[[#This Row],[Actual Finish]])&gt;0,Tasks[[#This Row],[Actual Finish]],Tasks[[#This Row],[_LeafFcstFinish]]),"")</f>
        <v/>
      </c>
      <c r="DR24" s="41" t="n">
        <f aca="false">IF(Tasks[[#This Row],[_IsLeaf]]=1,N(Tasks[[#This Row],[Story Points]]),0)</f>
        <v>0</v>
      </c>
      <c r="DS24" s="41" t="str">
        <f aca="false">IF(AND(Tasks[[#This Row],[_IsLeaf]]=1,CurrentSprint&lt;&gt;"",Tasks[[#This Row],[Sprint]]=CurrentSprint),Tasks[[#This Row],[_Row]],"")</f>
        <v/>
      </c>
    </row>
    <row r="25" customFormat="false" ht="15" hidden="false" customHeight="false" outlineLevel="0" collapsed="false">
      <c r="A25" s="28" t="n">
        <f aca="false">IF(Tasks[[#This Row],[Task Name]]="","",COUNTA(Tasks[[#Headers],[Task Name]]:Tasks[[#This Row],[Task Name]])-1)</f>
        <v>20</v>
      </c>
      <c r="B25" s="29" t="n">
        <v>20</v>
      </c>
      <c r="C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v>
      </c>
      <c r="D25" s="29" t="n">
        <v>1</v>
      </c>
      <c r="E25" s="30" t="s">
        <v>627</v>
      </c>
      <c r="F25" s="29" t="s">
        <v>595</v>
      </c>
      <c r="G25" s="29"/>
      <c r="H25" s="29"/>
      <c r="I25" s="29"/>
      <c r="J25" s="29"/>
      <c r="K25" s="29"/>
      <c r="L25" s="29"/>
      <c r="M25" s="29"/>
      <c r="N25" s="77"/>
      <c r="O25" s="77"/>
      <c r="P25" s="25" t="n">
        <f aca="false">IF(Tasks[[#This Row],[Task Name]]="","",IF(N(Tasks[[#This Row],[Baseline Start]])&gt;0,Tasks[[#This Row],[Baseline Start]],Tasks[[#This Row],[_CalcStart]]))</f>
        <v>46328</v>
      </c>
      <c r="Q25" s="25" t="n">
        <f aca="false">IF(Tasks[[#This Row],[Task Name]]="","",IF(N(Tasks[[#This Row],[Baseline Finish]])&gt;0,Tasks[[#This Row],[Baseline Finish]],Tasks[[#This Row],[_CalcFinish]]))</f>
        <v>46391</v>
      </c>
      <c r="R25" s="77"/>
      <c r="S25" s="77"/>
      <c r="T25" s="25" t="n">
        <f aca="false">IF(Tasks[[#This Row],[Task Name]]="","",IF(Tasks[[#This Row],[_IsSummary]],MIN(INDEX(Tasks[_LeafFcstStart],Tasks[[#This Row],[_Row]]+1):INDEX(Tasks[_LeafFcstStart],Tasks[[#This Row],[_Row]]+Tasks[[#This Row],[_Descendants]])),Tasks[[#This Row],[_LeafFcstStart]]))</f>
        <v>46336</v>
      </c>
      <c r="U25" s="25" t="n">
        <f aca="false">IF(Tasks[[#This Row],[Task Name]]="","",IF(Tasks[[#This Row],[_IsSummary]],MAX(INDEX(Tasks[_LeafFcstFinish],Tasks[[#This Row],[_Row]]+1):INDEX(Tasks[_LeafFcstFinish],Tasks[[#This Row],[_Row]]+Tasks[[#This Row],[_Descendants]])),Tasks[[#This Row],[_LeafFcstFinish]]))</f>
        <v>46391</v>
      </c>
      <c r="V25"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5"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25" s="25" t="n">
        <f aca="false">IF(Tasks[[#This Row],[Task Name]]="","",IF(Tasks[[#This Row],[_IsSummary]],MIN(INDEX(Tasks[_LeafLateStart],Tasks[[#This Row],[_Row]]+1):INDEX(Tasks[_LeafLateStart],Tasks[[#This Row],[_Row]]+Tasks[[#This Row],[_Descendants]])),Tasks[[#This Row],[_LeafLateStart]]))</f>
        <v>46351</v>
      </c>
      <c r="Y25" s="25" t="n">
        <f aca="false">IF(Tasks[[#This Row],[Task Name]]="","",IF(Tasks[[#This Row],[_IsSummary]],MAX(INDEX(Tasks[_LeafLateFinish],Tasks[[#This Row],[_Row]]+1):INDEX(Tasks[_LeafLateFinish],Tasks[[#This Row],[_Row]]+Tasks[[#This Row],[_Descendants]])),Tasks[[#This Row],[_LeafLateFinish]]))</f>
        <v>46391</v>
      </c>
      <c r="Z25" s="43" t="n">
        <f aca="false">IF(Tasks[[#This Row],[Task Name]]="","",IF(Tasks[[#This Row],[_IsSummary]],MIN(INDEX(Tasks[_LeafTotalSlack],Tasks[[#This Row],[_Row]]+1):INDEX(Tasks[_LeafTotalSlack],Tasks[[#This Row],[_Row]]+Tasks[[#This Row],[_Descendants]])),Tasks[[#This Row],[_LeafTotalSlack]]))</f>
        <v>0</v>
      </c>
      <c r="AA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5" s="28" t="str">
        <f aca="false">IF(Tasks[[#This Row],[Task Name]]="","",IF(IF(Tasks[[#This Row],[_IsSummary]],COUNTIF(INDEX(Tasks[_LeafCritical],Tasks[[#This Row],[_Row]]+1):INDEX(Tasks[_LeafCritical],Tasks[[#This Row],[_Row]]+Tasks[[#This Row],[_Descendants]]),TRUE())&gt;0,Tasks[[#This Row],[_LeafCritical]]),"Yes",""))</f>
        <v>Yes</v>
      </c>
      <c r="AC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5" s="24" t="str">
        <f aca="false">IF(Tasks[[#This Row],[Task Name]]="","",TRIM(IF(Tasks[[#This Row],[_Pred1Problem]]&lt;&gt;"","Pred 1: "&amp;Tasks[[#This Row],[_Pred1Problem]]&amp;". ","")&amp;IF(Tasks[[#This Row],[_Pred2Problem]]&lt;&gt;"","Pred 2: "&amp;Tasks[[#This Row],[_Pred2Problem]]&amp;".","")))</f>
        <v/>
      </c>
      <c r="AE25" s="91"/>
      <c r="AF25"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5" s="28" t="str">
        <f aca="false">IF(Tasks[[#This Row],[Task Name]]="","",IF(Tasks[[#This Row],[Progress]]&gt;=1,"Complete",IF(OR(N(Tasks[[#This Row],[Actual Start]])&gt;0,Tasks[[#This Row],[Progress]]&gt;0),IF(Tasks[[#This Row],[Finish Var]]&gt;0,"Behind","In Progress"),IF(Tasks[[#This Row],[Planned Start]]&lt;StatusDate,"Late Start","Not Started"))))</f>
        <v>Not Started</v>
      </c>
      <c r="AH25" s="30"/>
      <c r="AI25" s="91"/>
      <c r="AJ2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5" s="98" t="n">
        <f aca="false">IF(Tasks[[#This Row],[Task Name]]="","",IF(Tasks[[#This Row],[_IsSummary]],SUM(INDEX(Tasks[_LeafWork],Tasks[[#This Row],[_Row]]+1):INDEX(Tasks[_LeafWork],Tasks[[#This Row],[_Row]]+Tasks[[#This Row],[_Descendants]])),Tasks[[#This Row],[_LeafWork]]))</f>
        <v>180</v>
      </c>
      <c r="AL25" s="99" t="n">
        <f aca="false">IF(Tasks[[#This Row],[Task Name]]="","",IF(Tasks[[#This Row],[_IsSummary]],SUM(INDEX(Tasks[_LeafCost],Tasks[[#This Row],[_Row]]+1):INDEX(Tasks[_LeafCost],Tasks[[#This Row],[_Row]]+Tasks[[#This Row],[_Descendants]])),Tasks[[#This Row],[_LeafCost]]))</f>
        <v>13180</v>
      </c>
      <c r="AM25" s="100"/>
      <c r="AN25" s="29"/>
      <c r="AO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5" s="85"/>
      <c r="AQ25" s="24" t="str">
        <f aca="false">IF(Tasks[[#This Row],[Task Name]]="","",Tasks[[#This Row],[_Pred1IDText]]&amp;IF(AND(Tasks[[#This Row],[_Pred1IDText]]&lt;&gt;"",Tasks[[#This Row],[_Pred2IDText]]&lt;&gt;""),",","")&amp;Tasks[[#This Row],[_Pred2IDText]])</f>
        <v/>
      </c>
      <c r="AR25" s="30"/>
      <c r="AS25" s="25" t="n">
        <f aca="false">IF(Tasks[[#This Row],[Task Name]]="","",Tasks[[#This Row],[Forecast Start]])</f>
        <v>46336</v>
      </c>
      <c r="AT25" s="25" t="n">
        <f aca="false">IF(Tasks[[#This Row],[Task Name]]="","",Tasks[[#This Row],[Forecast Finish]])</f>
        <v>46391</v>
      </c>
      <c r="AU25" s="28" t="n">
        <f aca="false">IF(Tasks[[#This Row],[Task Name]]="","",IF(Tasks[[#This Row],[_IsSummary]],NETWORKDAYS.INTL(Tasks[[#This Row],[Forecast Start]],Tasks[[#This Row],[Forecast Finish]],WorkWeek,Holidays),N(Tasks[[#This Row],[Duration]])))</f>
        <v>36</v>
      </c>
      <c r="AV25" s="98" t="n">
        <f aca="false">IF(Tasks[[#This Row],[Task Name]]="","",Tasks[[#This Row],[Work]])</f>
        <v>180</v>
      </c>
      <c r="AW25" s="99" t="n">
        <f aca="false">IF(Tasks[[#This Row],[Task Name]]="","",Tasks[[#This Row],[Cost]])</f>
        <v>13180</v>
      </c>
      <c r="AX25" s="77"/>
      <c r="AY25" s="77"/>
      <c r="AZ25" s="29"/>
      <c r="BA25" s="101"/>
      <c r="BB25" s="100"/>
      <c r="BC25" s="28" t="str">
        <f aca="false">IF(OR(Tasks[[#This Row],[Task Name]]="",Tasks[[#This Row],[Baseline Duration]]=""),"",Tasks[[#This Row],[BL Source Duration]]-N(Tasks[[#This Row],[Baseline Duration]]))</f>
        <v/>
      </c>
      <c r="BD25" s="98" t="str">
        <f aca="false">IF(OR(Tasks[[#This Row],[Task Name]]="",Tasks[[#This Row],[Baseline Work]]=""),"",Tasks[[#This Row],[Work]]-N(Tasks[[#This Row],[Baseline Work]]))</f>
        <v/>
      </c>
      <c r="BE25" s="99" t="str">
        <f aca="false">IF(OR(Tasks[[#This Row],[Task Name]]="",Tasks[[#This Row],[Baseline Cost]]=""),"",Tasks[[#This Row],[Cost]]-N(Tasks[[#This Row],[Baseline Cost]]))</f>
        <v/>
      </c>
      <c r="BF25" s="99" t="n">
        <f aca="false">IF(Tasks[[#This Row],[Task Name]]="","",IF(Tasks[[#This Row],[_IsSummary]],SUM(INDEX(Tasks[_LeafBudget],Tasks[[#This Row],[_Row]]+1):INDEX(Tasks[_LeafBudget],Tasks[[#This Row],[_Row]]+Tasks[[#This Row],[_Descendants]])),Tasks[[#This Row],[_LeafBudget]]))</f>
        <v>13180</v>
      </c>
      <c r="BG25" s="99" t="n">
        <f aca="false">IF(Tasks[[#This Row],[Task Name]]="","",IF(Tasks[[#This Row],[_IsSummary]],SUM(INDEX(Tasks[_LeafPV],Tasks[[#This Row],[_Row]]+1):INDEX(Tasks[_LeafPV],Tasks[[#This Row],[_Row]]+Tasks[[#This Row],[_Descendants]])),Tasks[[#This Row],[_LeafPV]]))</f>
        <v>0</v>
      </c>
      <c r="BH25" s="99" t="n">
        <f aca="false">IF(Tasks[[#This Row],[Task Name]]="","",IF(Tasks[[#This Row],[_IsSummary]],SUM(INDEX(Tasks[_LeafEV],Tasks[[#This Row],[_Row]]+1):INDEX(Tasks[_LeafEV],Tasks[[#This Row],[_Row]]+Tasks[[#This Row],[_Descendants]])),Tasks[[#This Row],[_LeafEV]]))</f>
        <v>0</v>
      </c>
      <c r="BI25" s="99" t="n">
        <f aca="false">IF(Tasks[[#This Row],[Task Name]]="","",IF(Tasks[[#This Row],[_IsSummary]],SUM(INDEX(Tasks[_LeafAC],Tasks[[#This Row],[_Row]]+1):INDEX(Tasks[_LeafAC],Tasks[[#This Row],[_Row]]+Tasks[[#This Row],[_Descendants]])),Tasks[[#This Row],[_LeafAC]]))</f>
        <v>0</v>
      </c>
      <c r="BJ25" s="41" t="n">
        <f aca="false">IF(Tasks[[#This Row],[Task Name]]="","",MAX(1,N(Tasks[[#This Row],[Level]])))</f>
        <v>1</v>
      </c>
      <c r="BK25" s="41" t="n">
        <f aca="false">ROW()-ROW(Tasks[[#Headers],[ID]])</f>
        <v>20</v>
      </c>
      <c r="BL25" s="41" t="n">
        <f aca="false">IF(OR(Tasks[[#This Row],[Task Name]]="",Tasks[[#This Row],[_Level]]&lt;=1),0,IFERROR(LOOKUP(2,1/(Tasks[[#Headers],[_Level]]:Tasks[[#This Row],[_Level]]=Tasks[[#This Row],[_Level]]-1),ROW(Tasks[[#Headers],[_Level]]:Tasks[[#This Row],[_Level]])),0))</f>
        <v>0</v>
      </c>
      <c r="BM25" s="41" t="n">
        <f aca="false">IFERROR(N(INDEX(Tasks[_Level],Tasks[[#This Row],[_Row]]+1)),0)</f>
        <v>2</v>
      </c>
      <c r="BN25" s="102" t="b">
        <f aca="false">AND(Tasks[[#This Row],[Task Name]]&lt;&gt;"",Tasks[[#This Row],[_NextLevel]]&gt;Tasks[[#This Row],[_Level]])</f>
        <v>1</v>
      </c>
      <c r="BO25" s="41" t="n">
        <f aca="false">IF(Tasks[[#This Row],[_IsSummary]],COUNTIF(Tasks[WBS],Tasks[[#This Row],[WBS]]&amp;".*"),0)</f>
        <v>6</v>
      </c>
      <c r="BP25" s="41" t="n">
        <f aca="false">IF(AND(Tasks[[#This Row],[Task Name]]&lt;&gt;"",NOT(Tasks[[#This Row],[_IsSummary]])),1,0)</f>
        <v>0</v>
      </c>
      <c r="BQ25" s="41" t="n">
        <f aca="false">IF(N(Tasks[[#This Row],[Pred1 UID]])=0,0,IFERROR(MATCH(Tasks[[#This Row],[Pred1 UID]],Tasks[UID],0),-1))</f>
        <v>0</v>
      </c>
      <c r="BR25" s="41" t="n">
        <f aca="false">IF(N(Tasks[[#This Row],[Pred2 UID]])=0,0,IFERROR(MATCH(Tasks[[#This Row],[Pred2 UID]],Tasks[UID],0),-1))</f>
        <v>0</v>
      </c>
      <c r="BS2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5" s="103" t="str">
        <f aca="false">IF(NOT(Tasks[[#This Row],[_IsLeaf]]=1),"",IF(N(Tasks[[#This Row],[Duration]])&lt;=0,Tasks[[#This Row],[_LeafCalcStart]],WORKDAY.INTL(Tasks[[#This Row],[_LeafCalcStart]],Tasks[[#This Row],[Duration]]-1,WorkWeek,Holidays)))</f>
        <v/>
      </c>
      <c r="BU2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5" s="41" t="n">
        <f aca="false">IF(NOT(Tasks[[#This Row],[_IsLeaf]]=1),0,IF(N(Tasks[[#This Row],[Actual Finish]])&gt;0,1,MIN(1,N(Tasks[[#This Row],[% Complete]]))))</f>
        <v>0</v>
      </c>
      <c r="BX25" s="41" t="n">
        <f aca="false">IF(OR(NOT(Tasks[[#This Row],[_IsLeaf]]=1),Tasks[[#This Row],[Resource]]=""),0,N(Tasks[[#This Row],[Duration]])*HoursPerDay*IF(Tasks[[#This Row],[Units]]="",DefaultUnits,Tasks[[#This Row],[Units]]))</f>
        <v>0</v>
      </c>
      <c r="BY25" s="41" t="n">
        <f aca="false">IF(Tasks[[#This Row],[_LeafWork]]=0,0,Tasks[[#This Row],[_LeafWork]]*IFERROR(INDEX(res_Rate,MATCH(Tasks[[#This Row],[Resource]],res_Name,0)),0))</f>
        <v>0</v>
      </c>
      <c r="BZ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5" s="41" t="n">
        <f aca="false">IF(NOT(Tasks[[#This Row],[_IsLeaf]]=1),0,MAX(_xlfn.MAXIFS(Tasks[_Row],Tasks[Pred1 UID],Tasks[[#This Row],[UID]]),_xlfn.MAXIFS(Tasks[_Row],Tasks[Pred2 UID],Tasks[[#This Row],[UID]])))</f>
        <v>0</v>
      </c>
      <c r="CE2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5" s="103" t="str">
        <f aca="false">IF(NOT(Tasks[[#This Row],[_IsLeaf]]=1),"",MIN(ProjectFinish,IF(N(Tasks[[#This Row],[Deadline]])&gt;0,Tasks[[#This Row],[Deadline]],2958465),Tasks[[#This Row],[_SuccessorFinishLimit]]))</f>
        <v/>
      </c>
      <c r="CG25" s="103" t="str">
        <f aca="false">IF(NOT(Tasks[[#This Row],[_IsLeaf]]=1),"",IF(N(Tasks[[#This Row],[Duration]])&lt;=0,Tasks[[#This Row],[_LeafLateFinish]],WORKDAY.INTL(Tasks[[#This Row],[_LeafLateFinish]],-(Tasks[[#This Row],[Duration]]-1),WorkWeek,Holidays)))</f>
        <v/>
      </c>
      <c r="CH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5" s="102" t="b">
        <f aca="false">AND(Tasks[[#This Row],[_IsLeaf]]=1,Tasks[[#This Row],[_LeafProgress]]&lt;1,N(Tasks[[#This Row],[_LeafTotalSlack]])&lt;=CriticalSlackDays)</f>
        <v>0</v>
      </c>
      <c r="CJ25" s="103" t="n">
        <f aca="false">IF(Tasks[[#This Row],[Task Name]]="","",IF(Tasks[[#This Row],[_IsSummary]],MIN(INDEX(Tasks[_LeafCalcStart],Tasks[[#This Row],[_Row]]+1):INDEX(Tasks[_LeafCalcStart],Tasks[[#This Row],[_Row]]+Tasks[[#This Row],[_Descendants]])),Tasks[[#This Row],[_LeafCalcStart]]))</f>
        <v>46328</v>
      </c>
      <c r="CK25" s="103" t="n">
        <f aca="false">IF(Tasks[[#This Row],[Task Name]]="","",IF(Tasks[[#This Row],[_IsSummary]],MAX(INDEX(Tasks[_LeafCalcFinish],Tasks[[#This Row],[_Row]]+1):INDEX(Tasks[_LeafCalcFinish],Tasks[[#This Row],[_Row]]+Tasks[[#This Row],[_Descendants]])),Tasks[[#This Row],[_LeafCalcFinish]]))</f>
        <v>46391</v>
      </c>
      <c r="CL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5" s="41" t="n">
        <f aca="false">IF(AND(Tasks[[#This Row],[_IsLeaf]]=1,Tasks[[#This Row],[_LeafWork]]&gt;0),NETWORKDAYS.INTL(ProjectStart,Tasks[[#This Row],[_LeafFcstStart]],WorkWeek,Holidays),0)</f>
        <v>0</v>
      </c>
      <c r="CS25" s="41" t="n">
        <f aca="false">IF(AND(Tasks[[#This Row],[_IsLeaf]]=1,Tasks[[#This Row],[_LeafWork]]&gt;0),MAX(Tasks[[#This Row],[_StartWorkday]],NETWORKDAYS.INTL(ProjectStart,Tasks[[#This Row],[_LeafFcstFinish]],WorkWeek,Holidays)),0)</f>
        <v>0</v>
      </c>
      <c r="CT25" s="41" t="n">
        <f aca="false">IF(AND(Tasks[[#This Row],[_IsLeaf]]=1,Tasks[[#This Row],[_LeafWork]]&gt;0),Tasks[[#This Row],[_LeafWork]]/(Tasks[[#This Row],[_FinishWorkday]]-Tasks[[#This Row],[_StartWorkday]]+1),0)</f>
        <v>0</v>
      </c>
      <c r="CU25" s="41" t="n">
        <f aca="false">Tasks[[#This Row],[_WorkPerWorkday]]*(Tasks[[#This Row],[_StartWorkday]]-1)</f>
        <v>-0</v>
      </c>
      <c r="CV25" s="41" t="n">
        <f aca="false">IF(Tasks[[#This Row],[_IsLeaf]]=1,MAX(N(Tasks[[#This Row],[Duration]]),0.1),0)</f>
        <v>0</v>
      </c>
      <c r="CW25" s="41" t="n">
        <f aca="false">Tasks[[#This Row],[_WeightDur]]*Tasks[[#This Row],[_LeafProgress]]</f>
        <v>0</v>
      </c>
      <c r="CX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5" s="41" t="str">
        <f aca="false">IF(Tasks[[#This Row],[Task Name]]="","",Tasks[[#This Row],[_Pred1UIDText]]&amp;IF(AND(Tasks[[#This Row],[_Pred1UIDText]]&lt;&gt;"",Tasks[[#This Row],[_Pred2UIDText]]&lt;&gt;""),",","")&amp;Tasks[[#This Row],[_Pred2UIDText]])</f>
        <v/>
      </c>
      <c r="DC25" s="41" t="str">
        <f aca="false">IF(AND(Tasks[[#This Row],[_IsLeaf]]=1,N(Tasks[[#This Row],[Duration]])=0,Tasks[[#This Row],[_LeafProgress]]&lt;1),Tasks[[#This Row],[_LeafFcstFinish]]+Tasks[[#This Row],[_Row]]/100000,"")</f>
        <v/>
      </c>
      <c r="DD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5" s="41" t="n">
        <f aca="false">IF(NOT(Tasks[[#This Row],[_IsLeaf]]=1),0,IF(Tasks[[#This Row],[Baseline Cost]]="",Tasks[[#This Row],[_LeafCost]],N(Tasks[[#This Row],[Baseline Cost]])))</f>
        <v>0</v>
      </c>
      <c r="DF25" s="41" t="n">
        <f aca="false">Tasks[[#This Row],[_LeafBudget]]*Tasks[[#This Row],[_PlannedPct]]</f>
        <v>0</v>
      </c>
      <c r="DG25" s="41" t="n">
        <f aca="false">Tasks[[#This Row],[_LeafBudget]]*Tasks[[#This Row],[_LeafProgress]]</f>
        <v>0</v>
      </c>
      <c r="DH25" s="41" t="n">
        <f aca="false">IF(NOT(Tasks[[#This Row],[_IsLeaf]]=1),0,IF(Tasks[[#This Row],[Actual Cost]]="",Tasks[[#This Row],[_LeafCost]]*Tasks[[#This Row],[_LeafProgress]],N(Tasks[[#This Row],[Actual Cost]])))</f>
        <v>0</v>
      </c>
      <c r="DI25" s="41" t="str">
        <f aca="false">IF(Tasks[[#This Row],[Task Name]]="","",LEFT(Tasks[[#This Row],[WBS]],FIND(".",Tasks[[#This Row],[WBS]]&amp;".")-1))</f>
        <v>4</v>
      </c>
      <c r="DJ25" s="41" t="n">
        <f aca="false">IF(AND(Tasks[[#This Row],[Task Name]]&lt;&gt;"",Tasks[[#This Row],[_Level]]=1),Tasks[[#This Row],[_Row]],"")</f>
        <v>20</v>
      </c>
      <c r="DK25" s="41" t="str">
        <f aca="false">IF(AND(Tasks[[#This Row],[_IsLeaf]]=1,N(Tasks[[#This Row],[Duration]])=0),Tasks[[#This Row],[Planned Finish]]+Tasks[[#This Row],[_Row]]/100000,"")</f>
        <v/>
      </c>
      <c r="DL25" s="41" t="str">
        <f aca="false">IF(AND(Tasks[[#This Row],[_IsLeaf]]=1,Tasks[[#This Row],[_LeafProgress]]&lt;1,OR(N(Tasks[[#This Row],[Finish Var]])&gt;0,Tasks[[#This Row],[Status]]="Late Start")),MAX(0,Tasks[[#This Row],[Finish Var]])+1-Tasks[[#This Row],[_Row]]/1000000,"")</f>
        <v/>
      </c>
      <c r="DM25" s="41" t="str">
        <f aca="false">IF(AND(Tasks[[#This Row],[_IsLeaf]]=1,N(Tasks[[#This Row],[Actual Start]])=0,Tasks[[#This Row],[_LeafFcstStart]]&gt;=StatusDate,Tasks[[#This Row],[_LeafFcstStart]]&lt;=LookaheadEnd),Tasks[[#This Row],[_LeafFcstStart]]+Tasks[[#This Row],[_Row]]/100000,"")</f>
        <v/>
      </c>
      <c r="DN25" s="41" t="str">
        <f aca="false">IF(AND(Tasks[[#This Row],[_IsLeaf]]=1,Tasks[[#This Row],[_LeafProgress]]&lt;1,Tasks[[#This Row],[_LeafFcstFinish]]&gt;=StatusDate,Tasks[[#This Row],[_LeafFcstFinish]]&lt;=LookaheadEnd),Tasks[[#This Row],[_LeafFcstFinish]]+Tasks[[#This Row],[_Row]]/100000,"")</f>
        <v/>
      </c>
      <c r="DO25" s="41" t="str">
        <f aca="false">IF(Tasks[[#This Row],[_LeafCritical]],Tasks[[#This Row],[_LeafFcstStart]]+Tasks[[#This Row],[_Row]]/100000,"")</f>
        <v/>
      </c>
      <c r="DP25" s="41" t="n">
        <f aca="false">Tasks[[#This Row],[_LeafWork]]*Tasks[[#This Row],[_LeafProgress]]</f>
        <v>0</v>
      </c>
      <c r="DQ25" s="103" t="str">
        <f aca="false">IF(AND(Tasks[[#This Row],[_IsLeaf]]=1,Tasks[[#This Row],[_LeafProgress]]&gt;=1),IF(N(Tasks[[#This Row],[Actual Finish]])&gt;0,Tasks[[#This Row],[Actual Finish]],Tasks[[#This Row],[_LeafFcstFinish]]),"")</f>
        <v/>
      </c>
      <c r="DR25" s="41" t="n">
        <f aca="false">IF(Tasks[[#This Row],[_IsLeaf]]=1,N(Tasks[[#This Row],[Story Points]]),0)</f>
        <v>0</v>
      </c>
      <c r="DS25" s="41" t="str">
        <f aca="false">IF(AND(Tasks[[#This Row],[_IsLeaf]]=1,CurrentSprint&lt;&gt;"",Tasks[[#This Row],[Sprint]]=CurrentSprint),Tasks[[#This Row],[_Row]],"")</f>
        <v/>
      </c>
    </row>
    <row r="26" customFormat="false" ht="15" hidden="false" customHeight="false" outlineLevel="0" collapsed="false">
      <c r="A26" s="28" t="n">
        <f aca="false">IF(Tasks[[#This Row],[Task Name]]="","",COUNTA(Tasks[[#Headers],[Task Name]]:Tasks[[#This Row],[Task Name]])-1)</f>
        <v>21</v>
      </c>
      <c r="B26" s="29" t="n">
        <v>21</v>
      </c>
      <c r="C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4.1</v>
      </c>
      <c r="D26" s="29" t="n">
        <v>2</v>
      </c>
      <c r="E26" s="30" t="s">
        <v>628</v>
      </c>
      <c r="F26" s="29" t="s">
        <v>595</v>
      </c>
      <c r="G26" s="29" t="n">
        <v>8</v>
      </c>
      <c r="H26" s="29" t="n">
        <v>19</v>
      </c>
      <c r="I26" s="29" t="s">
        <v>600</v>
      </c>
      <c r="J26" s="29"/>
      <c r="K26" s="29"/>
      <c r="L26" s="29"/>
      <c r="M26" s="29"/>
      <c r="N26" s="77"/>
      <c r="O26" s="77"/>
      <c r="P26" s="25" t="n">
        <f aca="false">IF(Tasks[[#This Row],[Task Name]]="","",IF(N(Tasks[[#This Row],[Baseline Start]])&gt;0,Tasks[[#This Row],[Baseline Start]],Tasks[[#This Row],[_CalcStart]]))</f>
        <v>46328</v>
      </c>
      <c r="Q26" s="25" t="n">
        <f aca="false">IF(Tasks[[#This Row],[Task Name]]="","",IF(N(Tasks[[#This Row],[Baseline Finish]])&gt;0,Tasks[[#This Row],[Baseline Finish]],Tasks[[#This Row],[_CalcFinish]]))</f>
        <v>46337</v>
      </c>
      <c r="R26" s="77"/>
      <c r="S26" s="77"/>
      <c r="T26" s="25" t="n">
        <f aca="false">IF(Tasks[[#This Row],[Task Name]]="","",IF(Tasks[[#This Row],[_IsSummary]],MIN(INDEX(Tasks[_LeafFcstStart],Tasks[[#This Row],[_Row]]+1):INDEX(Tasks[_LeafFcstStart],Tasks[[#This Row],[_Row]]+Tasks[[#This Row],[_Descendants]])),Tasks[[#This Row],[_LeafFcstStart]]))</f>
        <v>46336</v>
      </c>
      <c r="U26" s="25" t="n">
        <f aca="false">IF(Tasks[[#This Row],[Task Name]]="","",IF(Tasks[[#This Row],[_IsSummary]],MAX(INDEX(Tasks[_LeafFcstFinish],Tasks[[#This Row],[_Row]]+1):INDEX(Tasks[_LeafFcstFinish],Tasks[[#This Row],[_Row]]+Tasks[[#This Row],[_Descendants]])),Tasks[[#This Row],[_LeafFcstFinish]]))</f>
        <v>46345</v>
      </c>
      <c r="V26"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6"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6" s="25" t="n">
        <f aca="false">IF(Tasks[[#This Row],[Task Name]]="","",IF(Tasks[[#This Row],[_IsSummary]],MIN(INDEX(Tasks[_LeafLateStart],Tasks[[#This Row],[_Row]]+1):INDEX(Tasks[_LeafLateStart],Tasks[[#This Row],[_Row]]+Tasks[[#This Row],[_Descendants]])),Tasks[[#This Row],[_LeafLateStart]]))</f>
        <v>46351</v>
      </c>
      <c r="Y26" s="25" t="n">
        <f aca="false">IF(Tasks[[#This Row],[Task Name]]="","",IF(Tasks[[#This Row],[_IsSummary]],MAX(INDEX(Tasks[_LeafLateFinish],Tasks[[#This Row],[_Row]]+1):INDEX(Tasks[_LeafLateFinish],Tasks[[#This Row],[_Row]]+Tasks[[#This Row],[_Descendants]])),Tasks[[#This Row],[_LeafLateFinish]]))</f>
        <v>46360</v>
      </c>
      <c r="Z26" s="43" t="n">
        <f aca="false">IF(Tasks[[#This Row],[Task Name]]="","",IF(Tasks[[#This Row],[_IsSummary]],MIN(INDEX(Tasks[_LeafTotalSlack],Tasks[[#This Row],[_Row]]+1):INDEX(Tasks[_LeafTotalSlack],Tasks[[#This Row],[_Row]]+Tasks[[#This Row],[_Descendants]])),Tasks[[#This Row],[_LeafTotalSlack]]))</f>
        <v>11</v>
      </c>
      <c r="AA26"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6" s="28" t="str">
        <f aca="false">IF(Tasks[[#This Row],[Task Name]]="","",IF(IF(Tasks[[#This Row],[_IsSummary]],COUNTIF(INDEX(Tasks[_LeafCritical],Tasks[[#This Row],[_Row]]+1):INDEX(Tasks[_LeafCritical],Tasks[[#This Row],[_Row]]+Tasks[[#This Row],[_Descendants]]),TRUE())&gt;0,Tasks[[#This Row],[_LeafCritical]]),"Yes",""))</f>
        <v/>
      </c>
      <c r="AC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6" s="24" t="str">
        <f aca="false">IF(Tasks[[#This Row],[Task Name]]="","",TRIM(IF(Tasks[[#This Row],[_Pred1Problem]]&lt;&gt;"","Pred 1: "&amp;Tasks[[#This Row],[_Pred1Problem]]&amp;". ","")&amp;IF(Tasks[[#This Row],[_Pred2Problem]]&lt;&gt;"","Pred 2: "&amp;Tasks[[#This Row],[_Pred2Problem]]&amp;".","")))</f>
        <v/>
      </c>
      <c r="AE26" s="91"/>
      <c r="AF26"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6" s="28" t="str">
        <f aca="false">IF(Tasks[[#This Row],[Task Name]]="","",IF(Tasks[[#This Row],[Progress]]&gt;=1,"Complete",IF(OR(N(Tasks[[#This Row],[Actual Start]])&gt;0,Tasks[[#This Row],[Progress]]&gt;0),IF(Tasks[[#This Row],[Finish Var]]&gt;0,"Behind","In Progress"),IF(Tasks[[#This Row],[Planned Start]]&lt;StatusDate,"Late Start","Not Started"))))</f>
        <v>Not Started</v>
      </c>
      <c r="AH26" s="30" t="s">
        <v>629</v>
      </c>
      <c r="AI26" s="91"/>
      <c r="AJ2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6" s="98" t="n">
        <f aca="false">IF(Tasks[[#This Row],[Task Name]]="","",IF(Tasks[[#This Row],[_IsSummary]],SUM(INDEX(Tasks[_LeafWork],Tasks[[#This Row],[_Row]]+1):INDEX(Tasks[_LeafWork],Tasks[[#This Row],[_Row]]+Tasks[[#This Row],[_Descendants]])),Tasks[[#This Row],[_LeafWork]]))</f>
        <v>64</v>
      </c>
      <c r="AL26" s="99" t="n">
        <f aca="false">IF(Tasks[[#This Row],[Task Name]]="","",IF(Tasks[[#This Row],[_IsSummary]],SUM(INDEX(Tasks[_LeafCost],Tasks[[#This Row],[_Row]]+1):INDEX(Tasks[_LeafCost],Tasks[[#This Row],[_Row]]+Tasks[[#This Row],[_Descendants]])),Tasks[[#This Row],[_LeafCost]]))</f>
        <v>4160</v>
      </c>
      <c r="AM26" s="100"/>
      <c r="AN26" s="29"/>
      <c r="AO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P26" s="85" t="n">
        <v>8</v>
      </c>
      <c r="AQ26" s="24" t="str">
        <f aca="false">IF(Tasks[[#This Row],[Task Name]]="","",Tasks[[#This Row],[_Pred1IDText]]&amp;IF(AND(Tasks[[#This Row],[_Pred1IDText]]&lt;&gt;"",Tasks[[#This Row],[_Pred2IDText]]&lt;&gt;""),",","")&amp;Tasks[[#This Row],[_Pred2IDText]])</f>
        <v>19</v>
      </c>
      <c r="AR26" s="30"/>
      <c r="AS26" s="25" t="n">
        <f aca="false">IF(Tasks[[#This Row],[Task Name]]="","",Tasks[[#This Row],[Forecast Start]])</f>
        <v>46336</v>
      </c>
      <c r="AT26" s="25" t="n">
        <f aca="false">IF(Tasks[[#This Row],[Task Name]]="","",Tasks[[#This Row],[Forecast Finish]])</f>
        <v>46345</v>
      </c>
      <c r="AU26" s="28" t="n">
        <f aca="false">IF(Tasks[[#This Row],[Task Name]]="","",IF(Tasks[[#This Row],[_IsSummary]],NETWORKDAYS.INTL(Tasks[[#This Row],[Forecast Start]],Tasks[[#This Row],[Forecast Finish]],WorkWeek,Holidays),N(Tasks[[#This Row],[Duration]])))</f>
        <v>8</v>
      </c>
      <c r="AV26" s="98" t="n">
        <f aca="false">IF(Tasks[[#This Row],[Task Name]]="","",Tasks[[#This Row],[Work]])</f>
        <v>64</v>
      </c>
      <c r="AW26" s="99" t="n">
        <f aca="false">IF(Tasks[[#This Row],[Task Name]]="","",Tasks[[#This Row],[Cost]])</f>
        <v>4160</v>
      </c>
      <c r="AX26" s="77"/>
      <c r="AY26" s="77"/>
      <c r="AZ26" s="29"/>
      <c r="BA26" s="101"/>
      <c r="BB26" s="100"/>
      <c r="BC26" s="28" t="str">
        <f aca="false">IF(OR(Tasks[[#This Row],[Task Name]]="",Tasks[[#This Row],[Baseline Duration]]=""),"",Tasks[[#This Row],[BL Source Duration]]-N(Tasks[[#This Row],[Baseline Duration]]))</f>
        <v/>
      </c>
      <c r="BD26" s="98" t="str">
        <f aca="false">IF(OR(Tasks[[#This Row],[Task Name]]="",Tasks[[#This Row],[Baseline Work]]=""),"",Tasks[[#This Row],[Work]]-N(Tasks[[#This Row],[Baseline Work]]))</f>
        <v/>
      </c>
      <c r="BE26" s="99" t="str">
        <f aca="false">IF(OR(Tasks[[#This Row],[Task Name]]="",Tasks[[#This Row],[Baseline Cost]]=""),"",Tasks[[#This Row],[Cost]]-N(Tasks[[#This Row],[Baseline Cost]]))</f>
        <v/>
      </c>
      <c r="BF26" s="99" t="n">
        <f aca="false">IF(Tasks[[#This Row],[Task Name]]="","",IF(Tasks[[#This Row],[_IsSummary]],SUM(INDEX(Tasks[_LeafBudget],Tasks[[#This Row],[_Row]]+1):INDEX(Tasks[_LeafBudget],Tasks[[#This Row],[_Row]]+Tasks[[#This Row],[_Descendants]])),Tasks[[#This Row],[_LeafBudget]]))</f>
        <v>4160</v>
      </c>
      <c r="BG26" s="99" t="n">
        <f aca="false">IF(Tasks[[#This Row],[Task Name]]="","",IF(Tasks[[#This Row],[_IsSummary]],SUM(INDEX(Tasks[_LeafPV],Tasks[[#This Row],[_Row]]+1):INDEX(Tasks[_LeafPV],Tasks[[#This Row],[_Row]]+Tasks[[#This Row],[_Descendants]])),Tasks[[#This Row],[_LeafPV]]))</f>
        <v>0</v>
      </c>
      <c r="BH26" s="99" t="n">
        <f aca="false">IF(Tasks[[#This Row],[Task Name]]="","",IF(Tasks[[#This Row],[_IsSummary]],SUM(INDEX(Tasks[_LeafEV],Tasks[[#This Row],[_Row]]+1):INDEX(Tasks[_LeafEV],Tasks[[#This Row],[_Row]]+Tasks[[#This Row],[_Descendants]])),Tasks[[#This Row],[_LeafEV]]))</f>
        <v>0</v>
      </c>
      <c r="BI26" s="99" t="n">
        <f aca="false">IF(Tasks[[#This Row],[Task Name]]="","",IF(Tasks[[#This Row],[_IsSummary]],SUM(INDEX(Tasks[_LeafAC],Tasks[[#This Row],[_Row]]+1):INDEX(Tasks[_LeafAC],Tasks[[#This Row],[_Row]]+Tasks[[#This Row],[_Descendants]])),Tasks[[#This Row],[_LeafAC]]))</f>
        <v>0</v>
      </c>
      <c r="BJ26" s="41" t="n">
        <f aca="false">IF(Tasks[[#This Row],[Task Name]]="","",MAX(1,N(Tasks[[#This Row],[Level]])))</f>
        <v>2</v>
      </c>
      <c r="BK26" s="41" t="n">
        <f aca="false">ROW()-ROW(Tasks[[#Headers],[ID]])</f>
        <v>21</v>
      </c>
      <c r="BL26" s="41" t="n">
        <f aca="false">IF(OR(Tasks[[#This Row],[Task Name]]="",Tasks[[#This Row],[_Level]]&lt;=1),0,IFERROR(LOOKUP(2,1/(Tasks[[#Headers],[_Level]]:Tasks[[#This Row],[_Level]]=Tasks[[#This Row],[_Level]]-1),ROW(Tasks[[#Headers],[_Level]]:Tasks[[#This Row],[_Level]])),0))</f>
        <v>25</v>
      </c>
      <c r="BM26" s="41" t="n">
        <f aca="false">IFERROR(N(INDEX(Tasks[_Level],Tasks[[#This Row],[_Row]]+1)),0)</f>
        <v>2</v>
      </c>
      <c r="BN26" s="102" t="b">
        <f aca="false">AND(Tasks[[#This Row],[Task Name]]&lt;&gt;"",Tasks[[#This Row],[_NextLevel]]&gt;Tasks[[#This Row],[_Level]])</f>
        <v>0</v>
      </c>
      <c r="BO26" s="41" t="n">
        <f aca="false">IF(Tasks[[#This Row],[_IsSummary]],COUNTIF(Tasks[WBS],Tasks[[#This Row],[WBS]]&amp;".*"),0)</f>
        <v>0</v>
      </c>
      <c r="BP26" s="41" t="n">
        <f aca="false">IF(AND(Tasks[[#This Row],[Task Name]]&lt;&gt;"",NOT(Tasks[[#This Row],[_IsSummary]])),1,0)</f>
        <v>1</v>
      </c>
      <c r="BQ26" s="41" t="n">
        <f aca="false">IF(N(Tasks[[#This Row],[Pred1 UID]])=0,0,IFERROR(MATCH(Tasks[[#This Row],[Pred1 UID]],Tasks[UID],0),-1))</f>
        <v>19</v>
      </c>
      <c r="BR26" s="41" t="n">
        <f aca="false">IF(N(Tasks[[#This Row],[Pred2 UID]])=0,0,IFERROR(MATCH(Tasks[[#This Row],[Pred2 UID]],Tasks[UID],0),-1))</f>
        <v>0</v>
      </c>
      <c r="BS26"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46328</v>
      </c>
      <c r="BT26" s="103" t="n">
        <f aca="false">IF(NOT(Tasks[[#This Row],[_IsLeaf]]=1),"",IF(N(Tasks[[#This Row],[Duration]])&lt;=0,Tasks[[#This Row],[_LeafCalcStart]],WORKDAY.INTL(Tasks[[#This Row],[_LeafCalcStart]],Tasks[[#This Row],[Duration]]-1,WorkWeek,Holidays)))</f>
        <v>46337</v>
      </c>
      <c r="BU26"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46336</v>
      </c>
      <c r="BV26"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46345</v>
      </c>
      <c r="BW26" s="41" t="n">
        <f aca="false">IF(NOT(Tasks[[#This Row],[_IsLeaf]]=1),0,IF(N(Tasks[[#This Row],[Actual Finish]])&gt;0,1,MIN(1,N(Tasks[[#This Row],[% Complete]]))))</f>
        <v>0</v>
      </c>
      <c r="BX26" s="41" t="n">
        <f aca="false">IF(OR(NOT(Tasks[[#This Row],[_IsLeaf]]=1),Tasks[[#This Row],[Resource]]=""),0,N(Tasks[[#This Row],[Duration]])*HoursPerDay*IF(Tasks[[#This Row],[Units]]="",DefaultUnits,Tasks[[#This Row],[Units]]))</f>
        <v>64</v>
      </c>
      <c r="BY26" s="41" t="n">
        <f aca="false">IF(Tasks[[#This Row],[_LeafWork]]=0,0,Tasks[[#This Row],[_LeafWork]]*IFERROR(INDEX(res_Rate,MATCH(Tasks[[#This Row],[Resource]],res_Name,0)),0))</f>
        <v>4160</v>
      </c>
      <c r="BZ26"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2912115</v>
      </c>
      <c r="CA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6"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6" s="41" t="n">
        <f aca="false">IF(NOT(Tasks[[#This Row],[_IsLeaf]]=1),0,MAX(_xlfn.MAXIFS(Tasks[_Row],Tasks[Pred1 UID],Tasks[[#This Row],[UID]]),_xlfn.MAXIFS(Tasks[_Row],Tasks[Pred2 UID],Tasks[[#This Row],[UID]])))</f>
        <v>23</v>
      </c>
      <c r="CE26"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46360</v>
      </c>
      <c r="CF26" s="103" t="n">
        <f aca="false">IF(NOT(Tasks[[#This Row],[_IsLeaf]]=1),"",MIN(ProjectFinish,IF(N(Tasks[[#This Row],[Deadline]])&gt;0,Tasks[[#This Row],[Deadline]],2958465),Tasks[[#This Row],[_SuccessorFinishLimit]]))</f>
        <v>46360</v>
      </c>
      <c r="CG26" s="103" t="n">
        <f aca="false">IF(NOT(Tasks[[#This Row],[_IsLeaf]]=1),"",IF(N(Tasks[[#This Row],[Duration]])&lt;=0,Tasks[[#This Row],[_LeafLateFinish]],WORKDAY.INTL(Tasks[[#This Row],[_LeafLateFinish]],-(Tasks[[#This Row],[Duration]]-1),WorkWeek,Holidays)))</f>
        <v>46351</v>
      </c>
      <c r="CH26"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11</v>
      </c>
      <c r="CI26" s="102" t="b">
        <f aca="false">AND(Tasks[[#This Row],[_IsLeaf]]=1,Tasks[[#This Row],[_LeafProgress]]&lt;1,N(Tasks[[#This Row],[_LeafTotalSlack]])&lt;=CriticalSlackDays)</f>
        <v>0</v>
      </c>
      <c r="CJ26" s="103" t="n">
        <f aca="false">IF(Tasks[[#This Row],[Task Name]]="","",IF(Tasks[[#This Row],[_IsSummary]],MIN(INDEX(Tasks[_LeafCalcStart],Tasks[[#This Row],[_Row]]+1):INDEX(Tasks[_LeafCalcStart],Tasks[[#This Row],[_Row]]+Tasks[[#This Row],[_Descendants]])),Tasks[[#This Row],[_LeafCalcStart]]))</f>
        <v>46328</v>
      </c>
      <c r="CK26" s="103" t="n">
        <f aca="false">IF(Tasks[[#This Row],[Task Name]]="","",IF(Tasks[[#This Row],[_IsSummary]],MAX(INDEX(Tasks[_LeafCalcFinish],Tasks[[#This Row],[_Row]]+1):INDEX(Tasks[_LeafCalcFinish],Tasks[[#This Row],[_Row]]+Tasks[[#This Row],[_Descendants]])),Tasks[[#This Row],[_LeafCalcFinish]]))</f>
        <v>46337</v>
      </c>
      <c r="CL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46328</v>
      </c>
      <c r="CO2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46336</v>
      </c>
      <c r="CQ2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6" s="41" t="n">
        <f aca="false">IF(AND(Tasks[[#This Row],[_IsLeaf]]=1,Tasks[[#This Row],[_LeafWork]]&gt;0),NETWORKDAYS.INTL(ProjectStart,Tasks[[#This Row],[_LeafFcstStart]],WorkWeek,Holidays),0)</f>
        <v>47</v>
      </c>
      <c r="CS26" s="41" t="n">
        <f aca="false">IF(AND(Tasks[[#This Row],[_IsLeaf]]=1,Tasks[[#This Row],[_LeafWork]]&gt;0),MAX(Tasks[[#This Row],[_StartWorkday]],NETWORKDAYS.INTL(ProjectStart,Tasks[[#This Row],[_LeafFcstFinish]],WorkWeek,Holidays)),0)</f>
        <v>54</v>
      </c>
      <c r="CT26" s="41" t="n">
        <f aca="false">IF(AND(Tasks[[#This Row],[_IsLeaf]]=1,Tasks[[#This Row],[_LeafWork]]&gt;0),Tasks[[#This Row],[_LeafWork]]/(Tasks[[#This Row],[_FinishWorkday]]-Tasks[[#This Row],[_StartWorkday]]+1),0)</f>
        <v>8</v>
      </c>
      <c r="CU26" s="41" t="n">
        <f aca="false">Tasks[[#This Row],[_WorkPerWorkday]]*(Tasks[[#This Row],[_StartWorkday]]-1)</f>
        <v>368</v>
      </c>
      <c r="CV26" s="41" t="n">
        <f aca="false">IF(Tasks[[#This Row],[_IsLeaf]]=1,MAX(N(Tasks[[#This Row],[Duration]]),0.1),0)</f>
        <v>8</v>
      </c>
      <c r="CW26" s="41" t="n">
        <f aca="false">Tasks[[#This Row],[_WeightDur]]*Tasks[[#This Row],[_LeafProgress]]</f>
        <v>0</v>
      </c>
      <c r="CX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19</v>
      </c>
      <c r="CY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19</v>
      </c>
      <c r="DA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6" s="41" t="str">
        <f aca="false">IF(Tasks[[#This Row],[Task Name]]="","",Tasks[[#This Row],[_Pred1UIDText]]&amp;IF(AND(Tasks[[#This Row],[_Pred1UIDText]]&lt;&gt;"",Tasks[[#This Row],[_Pred2UIDText]]&lt;&gt;""),",","")&amp;Tasks[[#This Row],[_Pred2UIDText]])</f>
        <v>19</v>
      </c>
      <c r="DC26" s="41" t="str">
        <f aca="false">IF(AND(Tasks[[#This Row],[_IsLeaf]]=1,N(Tasks[[#This Row],[Duration]])=0,Tasks[[#This Row],[_LeafProgress]]&lt;1),Tasks[[#This Row],[_LeafFcstFinish]]+Tasks[[#This Row],[_Row]]/100000,"")</f>
        <v/>
      </c>
      <c r="DD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6" s="41" t="n">
        <f aca="false">IF(NOT(Tasks[[#This Row],[_IsLeaf]]=1),0,IF(Tasks[[#This Row],[Baseline Cost]]="",Tasks[[#This Row],[_LeafCost]],N(Tasks[[#This Row],[Baseline Cost]])))</f>
        <v>4160</v>
      </c>
      <c r="DF26" s="41" t="n">
        <f aca="false">Tasks[[#This Row],[_LeafBudget]]*Tasks[[#This Row],[_PlannedPct]]</f>
        <v>0</v>
      </c>
      <c r="DG26" s="41" t="n">
        <f aca="false">Tasks[[#This Row],[_LeafBudget]]*Tasks[[#This Row],[_LeafProgress]]</f>
        <v>0</v>
      </c>
      <c r="DH26" s="41" t="n">
        <f aca="false">IF(NOT(Tasks[[#This Row],[_IsLeaf]]=1),0,IF(Tasks[[#This Row],[Actual Cost]]="",Tasks[[#This Row],[_LeafCost]]*Tasks[[#This Row],[_LeafProgress]],N(Tasks[[#This Row],[Actual Cost]])))</f>
        <v>0</v>
      </c>
      <c r="DI26" s="41" t="str">
        <f aca="false">IF(Tasks[[#This Row],[Task Name]]="","",LEFT(Tasks[[#This Row],[WBS]],FIND(".",Tasks[[#This Row],[WBS]]&amp;".")-1))</f>
        <v>4</v>
      </c>
      <c r="DJ26" s="41" t="str">
        <f aca="false">IF(AND(Tasks[[#This Row],[Task Name]]&lt;&gt;"",Tasks[[#This Row],[_Level]]=1),Tasks[[#This Row],[_Row]],"")</f>
        <v/>
      </c>
      <c r="DK26" s="41" t="str">
        <f aca="false">IF(AND(Tasks[[#This Row],[_IsLeaf]]=1,N(Tasks[[#This Row],[Duration]])=0),Tasks[[#This Row],[Planned Finish]]+Tasks[[#This Row],[_Row]]/100000,"")</f>
        <v/>
      </c>
      <c r="DL26" s="41" t="n">
        <f aca="false">IF(AND(Tasks[[#This Row],[_IsLeaf]]=1,Tasks[[#This Row],[_LeafProgress]]&lt;1,OR(N(Tasks[[#This Row],[Finish Var]])&gt;0,Tasks[[#This Row],[Status]]="Late Start")),MAX(0,Tasks[[#This Row],[Finish Var]])+1-Tasks[[#This Row],[_Row]]/1000000,"")</f>
        <v>6.999979</v>
      </c>
      <c r="DM26" s="41" t="str">
        <f aca="false">IF(AND(Tasks[[#This Row],[_IsLeaf]]=1,N(Tasks[[#This Row],[Actual Start]])=0,Tasks[[#This Row],[_LeafFcstStart]]&gt;=StatusDate,Tasks[[#This Row],[_LeafFcstStart]]&lt;=LookaheadEnd),Tasks[[#This Row],[_LeafFcstStart]]+Tasks[[#This Row],[_Row]]/100000,"")</f>
        <v/>
      </c>
      <c r="DN26" s="41" t="str">
        <f aca="false">IF(AND(Tasks[[#This Row],[_IsLeaf]]=1,Tasks[[#This Row],[_LeafProgress]]&lt;1,Tasks[[#This Row],[_LeafFcstFinish]]&gt;=StatusDate,Tasks[[#This Row],[_LeafFcstFinish]]&lt;=LookaheadEnd),Tasks[[#This Row],[_LeafFcstFinish]]+Tasks[[#This Row],[_Row]]/100000,"")</f>
        <v/>
      </c>
      <c r="DO26" s="41" t="str">
        <f aca="false">IF(Tasks[[#This Row],[_LeafCritical]],Tasks[[#This Row],[_LeafFcstStart]]+Tasks[[#This Row],[_Row]]/100000,"")</f>
        <v/>
      </c>
      <c r="DP26" s="41" t="n">
        <f aca="false">Tasks[[#This Row],[_LeafWork]]*Tasks[[#This Row],[_LeafProgress]]</f>
        <v>0</v>
      </c>
      <c r="DQ26" s="103" t="str">
        <f aca="false">IF(AND(Tasks[[#This Row],[_IsLeaf]]=1,Tasks[[#This Row],[_LeafProgress]]&gt;=1),IF(N(Tasks[[#This Row],[Actual Finish]])&gt;0,Tasks[[#This Row],[Actual Finish]],Tasks[[#This Row],[_LeafFcstFinish]]),"")</f>
        <v/>
      </c>
      <c r="DR26" s="41" t="n">
        <f aca="false">IF(Tasks[[#This Row],[_IsLeaf]]=1,N(Tasks[[#This Row],[Story Points]]),0)</f>
        <v>8</v>
      </c>
      <c r="DS26" s="41" t="str">
        <f aca="false">IF(AND(Tasks[[#This Row],[_IsLeaf]]=1,CurrentSprint&lt;&gt;"",Tasks[[#This Row],[Sprint]]=CurrentSprint),Tasks[[#This Row],[_Row]],"")</f>
        <v/>
      </c>
    </row>
    <row r="27" customFormat="false" ht="15" hidden="false" customHeight="false" outlineLevel="0" collapsed="false">
      <c r="A27" s="28" t="n">
        <f aca="false">IF(Tasks[[#This Row],[Task Name]]="","",COUNTA(Tasks[[#Headers],[Task Name]]:Tasks[[#This Row],[Task Name]])-1)</f>
        <v>22</v>
      </c>
      <c r="B27" s="29" t="n">
        <v>22</v>
      </c>
      <c r="C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4.2</v>
      </c>
      <c r="D27" s="29" t="n">
        <v>2</v>
      </c>
      <c r="E27" s="30" t="s">
        <v>630</v>
      </c>
      <c r="F27" s="29" t="s">
        <v>595</v>
      </c>
      <c r="G27" s="29" t="n">
        <v>6</v>
      </c>
      <c r="H27" s="29" t="n">
        <v>21</v>
      </c>
      <c r="I27" s="29" t="s">
        <v>600</v>
      </c>
      <c r="J27" s="29"/>
      <c r="K27" s="29"/>
      <c r="L27" s="29"/>
      <c r="M27" s="29"/>
      <c r="N27" s="77" t="n">
        <v>46363</v>
      </c>
      <c r="O27" s="77"/>
      <c r="P27" s="25" t="n">
        <f aca="false">IF(Tasks[[#This Row],[Task Name]]="","",IF(N(Tasks[[#This Row],[Baseline Start]])&gt;0,Tasks[[#This Row],[Baseline Start]],Tasks[[#This Row],[_CalcStart]]))</f>
        <v>46363</v>
      </c>
      <c r="Q27" s="25" t="n">
        <f aca="false">IF(Tasks[[#This Row],[Task Name]]="","",IF(N(Tasks[[#This Row],[Baseline Finish]])&gt;0,Tasks[[#This Row],[Baseline Finish]],Tasks[[#This Row],[_CalcFinish]]))</f>
        <v>46370</v>
      </c>
      <c r="R27" s="77"/>
      <c r="S27" s="77"/>
      <c r="T27" s="25" t="n">
        <f aca="false">IF(Tasks[[#This Row],[Task Name]]="","",IF(Tasks[[#This Row],[_IsSummary]],MIN(INDEX(Tasks[_LeafFcstStart],Tasks[[#This Row],[_Row]]+1):INDEX(Tasks[_LeafFcstStart],Tasks[[#This Row],[_Row]]+Tasks[[#This Row],[_Descendants]])),Tasks[[#This Row],[_LeafFcstStart]]))</f>
        <v>46363</v>
      </c>
      <c r="U27" s="25" t="n">
        <f aca="false">IF(Tasks[[#This Row],[Task Name]]="","",IF(Tasks[[#This Row],[_IsSummary]],MAX(INDEX(Tasks[_LeafFcstFinish],Tasks[[#This Row],[_Row]]+1):INDEX(Tasks[_LeafFcstFinish],Tasks[[#This Row],[_Row]]+Tasks[[#This Row],[_Descendants]])),Tasks[[#This Row],[_LeafFcstFinish]]))</f>
        <v>46370</v>
      </c>
      <c r="V27"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27"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27" s="25" t="n">
        <f aca="false">IF(Tasks[[#This Row],[Task Name]]="","",IF(Tasks[[#This Row],[_IsSummary]],MIN(INDEX(Tasks[_LeafLateStart],Tasks[[#This Row],[_Row]]+1):INDEX(Tasks[_LeafLateStart],Tasks[[#This Row],[_Row]]+Tasks[[#This Row],[_Descendants]])),Tasks[[#This Row],[_LeafLateStart]]))</f>
        <v>46363</v>
      </c>
      <c r="Y27" s="25" t="n">
        <f aca="false">IF(Tasks[[#This Row],[Task Name]]="","",IF(Tasks[[#This Row],[_IsSummary]],MAX(INDEX(Tasks[_LeafLateFinish],Tasks[[#This Row],[_Row]]+1):INDEX(Tasks[_LeafLateFinish],Tasks[[#This Row],[_Row]]+Tasks[[#This Row],[_Descendants]])),Tasks[[#This Row],[_LeafLateFinish]]))</f>
        <v>46370</v>
      </c>
      <c r="Z27" s="43" t="n">
        <f aca="false">IF(Tasks[[#This Row],[Task Name]]="","",IF(Tasks[[#This Row],[_IsSummary]],MIN(INDEX(Tasks[_LeafTotalSlack],Tasks[[#This Row],[_Row]]+1):INDEX(Tasks[_LeafTotalSlack],Tasks[[#This Row],[_Row]]+Tasks[[#This Row],[_Descendants]])),Tasks[[#This Row],[_LeafTotalSlack]]))</f>
        <v>0</v>
      </c>
      <c r="AA27"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7" s="28" t="str">
        <f aca="false">IF(Tasks[[#This Row],[Task Name]]="","",IF(IF(Tasks[[#This Row],[_IsSummary]],COUNTIF(INDEX(Tasks[_LeafCritical],Tasks[[#This Row],[_Row]]+1):INDEX(Tasks[_LeafCritical],Tasks[[#This Row],[_Row]]+Tasks[[#This Row],[_Descendants]]),TRUE())&gt;0,Tasks[[#This Row],[_LeafCritical]]),"Yes",""))</f>
        <v>Yes</v>
      </c>
      <c r="AC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7" s="24" t="str">
        <f aca="false">IF(Tasks[[#This Row],[Task Name]]="","",TRIM(IF(Tasks[[#This Row],[_Pred1Problem]]&lt;&gt;"","Pred 1: "&amp;Tasks[[#This Row],[_Pred1Problem]]&amp;". ","")&amp;IF(Tasks[[#This Row],[_Pred2Problem]]&lt;&gt;"","Pred 2: "&amp;Tasks[[#This Row],[_Pred2Problem]]&amp;".","")))</f>
        <v/>
      </c>
      <c r="AE27" s="91"/>
      <c r="AF27"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7" s="28" t="str">
        <f aca="false">IF(Tasks[[#This Row],[Task Name]]="","",IF(Tasks[[#This Row],[Progress]]&gt;=1,"Complete",IF(OR(N(Tasks[[#This Row],[Actual Start]])&gt;0,Tasks[[#This Row],[Progress]]&gt;0),IF(Tasks[[#This Row],[Finish Var]]&gt;0,"Behind","In Progress"),IF(Tasks[[#This Row],[Planned Start]]&lt;StatusDate,"Late Start","Not Started"))))</f>
        <v>Not Started</v>
      </c>
      <c r="AH27" s="30" t="s">
        <v>300</v>
      </c>
      <c r="AI27" s="91"/>
      <c r="AJ2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7" s="98" t="n">
        <f aca="false">IF(Tasks[[#This Row],[Task Name]]="","",IF(Tasks[[#This Row],[_IsSummary]],SUM(INDEX(Tasks[_LeafWork],Tasks[[#This Row],[_Row]]+1):INDEX(Tasks[_LeafWork],Tasks[[#This Row],[_Row]]+Tasks[[#This Row],[_Descendants]])),Tasks[[#This Row],[_LeafWork]]))</f>
        <v>48</v>
      </c>
      <c r="AL27" s="99" t="n">
        <f aca="false">IF(Tasks[[#This Row],[Task Name]]="","",IF(Tasks[[#This Row],[_IsSummary]],SUM(INDEX(Tasks[_LeafCost],Tasks[[#This Row],[_Row]]+1):INDEX(Tasks[_LeafCost],Tasks[[#This Row],[_Row]]+Tasks[[#This Row],[_Descendants]])),Tasks[[#This Row],[_LeafCost]]))</f>
        <v>3360</v>
      </c>
      <c r="AM27" s="100"/>
      <c r="AN27" s="29"/>
      <c r="AO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7</v>
      </c>
      <c r="AP27" s="85" t="n">
        <v>5</v>
      </c>
      <c r="AQ27" s="24" t="str">
        <f aca="false">IF(Tasks[[#This Row],[Task Name]]="","",Tasks[[#This Row],[_Pred1IDText]]&amp;IF(AND(Tasks[[#This Row],[_Pred1IDText]]&lt;&gt;"",Tasks[[#This Row],[_Pred2IDText]]&lt;&gt;""),",","")&amp;Tasks[[#This Row],[_Pred2IDText]])</f>
        <v>21</v>
      </c>
      <c r="AR27" s="30" t="s">
        <v>631</v>
      </c>
      <c r="AS27" s="25" t="n">
        <f aca="false">IF(Tasks[[#This Row],[Task Name]]="","",Tasks[[#This Row],[Forecast Start]])</f>
        <v>46363</v>
      </c>
      <c r="AT27" s="25" t="n">
        <f aca="false">IF(Tasks[[#This Row],[Task Name]]="","",Tasks[[#This Row],[Forecast Finish]])</f>
        <v>46370</v>
      </c>
      <c r="AU27" s="28" t="n">
        <f aca="false">IF(Tasks[[#This Row],[Task Name]]="","",IF(Tasks[[#This Row],[_IsSummary]],NETWORKDAYS.INTL(Tasks[[#This Row],[Forecast Start]],Tasks[[#This Row],[Forecast Finish]],WorkWeek,Holidays),N(Tasks[[#This Row],[Duration]])))</f>
        <v>6</v>
      </c>
      <c r="AV27" s="98" t="n">
        <f aca="false">IF(Tasks[[#This Row],[Task Name]]="","",Tasks[[#This Row],[Work]])</f>
        <v>48</v>
      </c>
      <c r="AW27" s="99" t="n">
        <f aca="false">IF(Tasks[[#This Row],[Task Name]]="","",Tasks[[#This Row],[Cost]])</f>
        <v>3360</v>
      </c>
      <c r="AX27" s="77"/>
      <c r="AY27" s="77"/>
      <c r="AZ27" s="29"/>
      <c r="BA27" s="101"/>
      <c r="BB27" s="100"/>
      <c r="BC27" s="28" t="str">
        <f aca="false">IF(OR(Tasks[[#This Row],[Task Name]]="",Tasks[[#This Row],[Baseline Duration]]=""),"",Tasks[[#This Row],[BL Source Duration]]-N(Tasks[[#This Row],[Baseline Duration]]))</f>
        <v/>
      </c>
      <c r="BD27" s="98" t="str">
        <f aca="false">IF(OR(Tasks[[#This Row],[Task Name]]="",Tasks[[#This Row],[Baseline Work]]=""),"",Tasks[[#This Row],[Work]]-N(Tasks[[#This Row],[Baseline Work]]))</f>
        <v/>
      </c>
      <c r="BE27" s="99" t="str">
        <f aca="false">IF(OR(Tasks[[#This Row],[Task Name]]="",Tasks[[#This Row],[Baseline Cost]]=""),"",Tasks[[#This Row],[Cost]]-N(Tasks[[#This Row],[Baseline Cost]]))</f>
        <v/>
      </c>
      <c r="BF27" s="99" t="n">
        <f aca="false">IF(Tasks[[#This Row],[Task Name]]="","",IF(Tasks[[#This Row],[_IsSummary]],SUM(INDEX(Tasks[_LeafBudget],Tasks[[#This Row],[_Row]]+1):INDEX(Tasks[_LeafBudget],Tasks[[#This Row],[_Row]]+Tasks[[#This Row],[_Descendants]])),Tasks[[#This Row],[_LeafBudget]]))</f>
        <v>3360</v>
      </c>
      <c r="BG27" s="99" t="n">
        <f aca="false">IF(Tasks[[#This Row],[Task Name]]="","",IF(Tasks[[#This Row],[_IsSummary]],SUM(INDEX(Tasks[_LeafPV],Tasks[[#This Row],[_Row]]+1):INDEX(Tasks[_LeafPV],Tasks[[#This Row],[_Row]]+Tasks[[#This Row],[_Descendants]])),Tasks[[#This Row],[_LeafPV]]))</f>
        <v>0</v>
      </c>
      <c r="BH27" s="99" t="n">
        <f aca="false">IF(Tasks[[#This Row],[Task Name]]="","",IF(Tasks[[#This Row],[_IsSummary]],SUM(INDEX(Tasks[_LeafEV],Tasks[[#This Row],[_Row]]+1):INDEX(Tasks[_LeafEV],Tasks[[#This Row],[_Row]]+Tasks[[#This Row],[_Descendants]])),Tasks[[#This Row],[_LeafEV]]))</f>
        <v>0</v>
      </c>
      <c r="BI27" s="99" t="n">
        <f aca="false">IF(Tasks[[#This Row],[Task Name]]="","",IF(Tasks[[#This Row],[_IsSummary]],SUM(INDEX(Tasks[_LeafAC],Tasks[[#This Row],[_Row]]+1):INDEX(Tasks[_LeafAC],Tasks[[#This Row],[_Row]]+Tasks[[#This Row],[_Descendants]])),Tasks[[#This Row],[_LeafAC]]))</f>
        <v>0</v>
      </c>
      <c r="BJ27" s="41" t="n">
        <f aca="false">IF(Tasks[[#This Row],[Task Name]]="","",MAX(1,N(Tasks[[#This Row],[Level]])))</f>
        <v>2</v>
      </c>
      <c r="BK27" s="41" t="n">
        <f aca="false">ROW()-ROW(Tasks[[#Headers],[ID]])</f>
        <v>22</v>
      </c>
      <c r="BL27" s="41" t="n">
        <f aca="false">IF(OR(Tasks[[#This Row],[Task Name]]="",Tasks[[#This Row],[_Level]]&lt;=1),0,IFERROR(LOOKUP(2,1/(Tasks[[#Headers],[_Level]]:Tasks[[#This Row],[_Level]]=Tasks[[#This Row],[_Level]]-1),ROW(Tasks[[#Headers],[_Level]]:Tasks[[#This Row],[_Level]])),0))</f>
        <v>25</v>
      </c>
      <c r="BM27" s="41" t="n">
        <f aca="false">IFERROR(N(INDEX(Tasks[_Level],Tasks[[#This Row],[_Row]]+1)),0)</f>
        <v>2</v>
      </c>
      <c r="BN27" s="102" t="b">
        <f aca="false">AND(Tasks[[#This Row],[Task Name]]&lt;&gt;"",Tasks[[#This Row],[_NextLevel]]&gt;Tasks[[#This Row],[_Level]])</f>
        <v>0</v>
      </c>
      <c r="BO27" s="41" t="n">
        <f aca="false">IF(Tasks[[#This Row],[_IsSummary]],COUNTIF(Tasks[WBS],Tasks[[#This Row],[WBS]]&amp;".*"),0)</f>
        <v>0</v>
      </c>
      <c r="BP27" s="41" t="n">
        <f aca="false">IF(AND(Tasks[[#This Row],[Task Name]]&lt;&gt;"",NOT(Tasks[[#This Row],[_IsSummary]])),1,0)</f>
        <v>1</v>
      </c>
      <c r="BQ27" s="41" t="n">
        <f aca="false">IF(N(Tasks[[#This Row],[Pred1 UID]])=0,0,IFERROR(MATCH(Tasks[[#This Row],[Pred1 UID]],Tasks[UID],0),-1))</f>
        <v>21</v>
      </c>
      <c r="BR27" s="41" t="n">
        <f aca="false">IF(N(Tasks[[#This Row],[Pred2 UID]])=0,0,IFERROR(MATCH(Tasks[[#This Row],[Pred2 UID]],Tasks[UID],0),-1))</f>
        <v>0</v>
      </c>
      <c r="BS27"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46363</v>
      </c>
      <c r="BT27" s="103" t="n">
        <f aca="false">IF(NOT(Tasks[[#This Row],[_IsLeaf]]=1),"",IF(N(Tasks[[#This Row],[Duration]])&lt;=0,Tasks[[#This Row],[_LeafCalcStart]],WORKDAY.INTL(Tasks[[#This Row],[_LeafCalcStart]],Tasks[[#This Row],[Duration]]-1,WorkWeek,Holidays)))</f>
        <v>46370</v>
      </c>
      <c r="BU27"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46363</v>
      </c>
      <c r="BV27"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46370</v>
      </c>
      <c r="BW27" s="41" t="n">
        <f aca="false">IF(NOT(Tasks[[#This Row],[_IsLeaf]]=1),0,IF(N(Tasks[[#This Row],[Actual Finish]])&gt;0,1,MIN(1,N(Tasks[[#This Row],[% Complete]]))))</f>
        <v>0</v>
      </c>
      <c r="BX27" s="41" t="n">
        <f aca="false">IF(OR(NOT(Tasks[[#This Row],[_IsLeaf]]=1),Tasks[[#This Row],[Resource]]=""),0,N(Tasks[[#This Row],[Duration]])*HoursPerDay*IF(Tasks[[#This Row],[Units]]="",DefaultUnits,Tasks[[#This Row],[Units]]))</f>
        <v>48</v>
      </c>
      <c r="BY27" s="41" t="n">
        <f aca="false">IF(Tasks[[#This Row],[_LeafWork]]=0,0,Tasks[[#This Row],[_LeafWork]]*IFERROR(INDEX(res_Rate,MATCH(Tasks[[#This Row],[Resource]],res_Name,0)),0))</f>
        <v>3360</v>
      </c>
      <c r="BZ27"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2912105</v>
      </c>
      <c r="CA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7"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99989</v>
      </c>
      <c r="CC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7" s="41" t="n">
        <f aca="false">IF(NOT(Tasks[[#This Row],[_IsLeaf]]=1),0,MAX(_xlfn.MAXIFS(Tasks[_Row],Tasks[Pred1 UID],Tasks[[#This Row],[UID]]),_xlfn.MAXIFS(Tasks[_Row],Tasks[Pred2 UID],Tasks[[#This Row],[UID]])))</f>
        <v>24</v>
      </c>
      <c r="CE27"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46370</v>
      </c>
      <c r="CF27" s="103" t="n">
        <f aca="false">IF(NOT(Tasks[[#This Row],[_IsLeaf]]=1),"",MIN(ProjectFinish,IF(N(Tasks[[#This Row],[Deadline]])&gt;0,Tasks[[#This Row],[Deadline]],2958465),Tasks[[#This Row],[_SuccessorFinishLimit]]))</f>
        <v>46370</v>
      </c>
      <c r="CG27" s="103" t="n">
        <f aca="false">IF(NOT(Tasks[[#This Row],[_IsLeaf]]=1),"",IF(N(Tasks[[#This Row],[Duration]])&lt;=0,Tasks[[#This Row],[_LeafLateFinish]],WORKDAY.INTL(Tasks[[#This Row],[_LeafLateFinish]],-(Tasks[[#This Row],[Duration]]-1),WorkWeek,Holidays)))</f>
        <v>46363</v>
      </c>
      <c r="CH27"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27" s="102" t="b">
        <f aca="false">AND(Tasks[[#This Row],[_IsLeaf]]=1,Tasks[[#This Row],[_LeafProgress]]&lt;1,N(Tasks[[#This Row],[_LeafTotalSlack]])&lt;=CriticalSlackDays)</f>
        <v>1</v>
      </c>
      <c r="CJ27" s="103" t="n">
        <f aca="false">IF(Tasks[[#This Row],[Task Name]]="","",IF(Tasks[[#This Row],[_IsSummary]],MIN(INDEX(Tasks[_LeafCalcStart],Tasks[[#This Row],[_Row]]+1):INDEX(Tasks[_LeafCalcStart],Tasks[[#This Row],[_Row]]+Tasks[[#This Row],[_Descendants]])),Tasks[[#This Row],[_LeafCalcStart]]))</f>
        <v>46363</v>
      </c>
      <c r="CK27" s="103" t="n">
        <f aca="false">IF(Tasks[[#This Row],[Task Name]]="","",IF(Tasks[[#This Row],[_IsSummary]],MAX(INDEX(Tasks[_LeafCalcFinish],Tasks[[#This Row],[_Row]]+1):INDEX(Tasks[_LeafCalcFinish],Tasks[[#This Row],[_Row]]+Tasks[[#This Row],[_Descendants]])),Tasks[[#This Row],[_LeafCalcFinish]]))</f>
        <v>46370</v>
      </c>
      <c r="CL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46338</v>
      </c>
      <c r="CO2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46346</v>
      </c>
      <c r="CQ2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7" s="41" t="n">
        <f aca="false">IF(AND(Tasks[[#This Row],[_IsLeaf]]=1,Tasks[[#This Row],[_LeafWork]]&gt;0),NETWORKDAYS.INTL(ProjectStart,Tasks[[#This Row],[_LeafFcstStart]],WorkWeek,Holidays),0)</f>
        <v>66</v>
      </c>
      <c r="CS27" s="41" t="n">
        <f aca="false">IF(AND(Tasks[[#This Row],[_IsLeaf]]=1,Tasks[[#This Row],[_LeafWork]]&gt;0),MAX(Tasks[[#This Row],[_StartWorkday]],NETWORKDAYS.INTL(ProjectStart,Tasks[[#This Row],[_LeafFcstFinish]],WorkWeek,Holidays)),0)</f>
        <v>71</v>
      </c>
      <c r="CT27" s="41" t="n">
        <f aca="false">IF(AND(Tasks[[#This Row],[_IsLeaf]]=1,Tasks[[#This Row],[_LeafWork]]&gt;0),Tasks[[#This Row],[_LeafWork]]/(Tasks[[#This Row],[_FinishWorkday]]-Tasks[[#This Row],[_StartWorkday]]+1),0)</f>
        <v>8</v>
      </c>
      <c r="CU27" s="41" t="n">
        <f aca="false">Tasks[[#This Row],[_WorkPerWorkday]]*(Tasks[[#This Row],[_StartWorkday]]-1)</f>
        <v>520</v>
      </c>
      <c r="CV27" s="41" t="n">
        <f aca="false">IF(Tasks[[#This Row],[_IsLeaf]]=1,MAX(N(Tasks[[#This Row],[Duration]]),0.1),0)</f>
        <v>6</v>
      </c>
      <c r="CW27" s="41" t="n">
        <f aca="false">Tasks[[#This Row],[_WeightDur]]*Tasks[[#This Row],[_LeafProgress]]</f>
        <v>0</v>
      </c>
      <c r="CX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21</v>
      </c>
      <c r="CY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21</v>
      </c>
      <c r="DA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7" s="41" t="str">
        <f aca="false">IF(Tasks[[#This Row],[Task Name]]="","",Tasks[[#This Row],[_Pred1UIDText]]&amp;IF(AND(Tasks[[#This Row],[_Pred1UIDText]]&lt;&gt;"",Tasks[[#This Row],[_Pred2UIDText]]&lt;&gt;""),",","")&amp;Tasks[[#This Row],[_Pred2UIDText]])</f>
        <v>21</v>
      </c>
      <c r="DC27" s="41" t="str">
        <f aca="false">IF(AND(Tasks[[#This Row],[_IsLeaf]]=1,N(Tasks[[#This Row],[Duration]])=0,Tasks[[#This Row],[_LeafProgress]]&lt;1),Tasks[[#This Row],[_LeafFcstFinish]]+Tasks[[#This Row],[_Row]]/100000,"")</f>
        <v/>
      </c>
      <c r="DD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7" s="41" t="n">
        <f aca="false">IF(NOT(Tasks[[#This Row],[_IsLeaf]]=1),0,IF(Tasks[[#This Row],[Baseline Cost]]="",Tasks[[#This Row],[_LeafCost]],N(Tasks[[#This Row],[Baseline Cost]])))</f>
        <v>3360</v>
      </c>
      <c r="DF27" s="41" t="n">
        <f aca="false">Tasks[[#This Row],[_LeafBudget]]*Tasks[[#This Row],[_PlannedPct]]</f>
        <v>0</v>
      </c>
      <c r="DG27" s="41" t="n">
        <f aca="false">Tasks[[#This Row],[_LeafBudget]]*Tasks[[#This Row],[_LeafProgress]]</f>
        <v>0</v>
      </c>
      <c r="DH27" s="41" t="n">
        <f aca="false">IF(NOT(Tasks[[#This Row],[_IsLeaf]]=1),0,IF(Tasks[[#This Row],[Actual Cost]]="",Tasks[[#This Row],[_LeafCost]]*Tasks[[#This Row],[_LeafProgress]],N(Tasks[[#This Row],[Actual Cost]])))</f>
        <v>0</v>
      </c>
      <c r="DI27" s="41" t="str">
        <f aca="false">IF(Tasks[[#This Row],[Task Name]]="","",LEFT(Tasks[[#This Row],[WBS]],FIND(".",Tasks[[#This Row],[WBS]]&amp;".")-1))</f>
        <v>4</v>
      </c>
      <c r="DJ27" s="41" t="str">
        <f aca="false">IF(AND(Tasks[[#This Row],[Task Name]]&lt;&gt;"",Tasks[[#This Row],[_Level]]=1),Tasks[[#This Row],[_Row]],"")</f>
        <v/>
      </c>
      <c r="DK27" s="41" t="str">
        <f aca="false">IF(AND(Tasks[[#This Row],[_IsLeaf]]=1,N(Tasks[[#This Row],[Duration]])=0),Tasks[[#This Row],[Planned Finish]]+Tasks[[#This Row],[_Row]]/100000,"")</f>
        <v/>
      </c>
      <c r="DL27" s="41" t="str">
        <f aca="false">IF(AND(Tasks[[#This Row],[_IsLeaf]]=1,Tasks[[#This Row],[_LeafProgress]]&lt;1,OR(N(Tasks[[#This Row],[Finish Var]])&gt;0,Tasks[[#This Row],[Status]]="Late Start")),MAX(0,Tasks[[#This Row],[Finish Var]])+1-Tasks[[#This Row],[_Row]]/1000000,"")</f>
        <v/>
      </c>
      <c r="DM27" s="41" t="str">
        <f aca="false">IF(AND(Tasks[[#This Row],[_IsLeaf]]=1,N(Tasks[[#This Row],[Actual Start]])=0,Tasks[[#This Row],[_LeafFcstStart]]&gt;=StatusDate,Tasks[[#This Row],[_LeafFcstStart]]&lt;=LookaheadEnd),Tasks[[#This Row],[_LeafFcstStart]]+Tasks[[#This Row],[_Row]]/100000,"")</f>
        <v/>
      </c>
      <c r="DN27" s="41" t="str">
        <f aca="false">IF(AND(Tasks[[#This Row],[_IsLeaf]]=1,Tasks[[#This Row],[_LeafProgress]]&lt;1,Tasks[[#This Row],[_LeafFcstFinish]]&gt;=StatusDate,Tasks[[#This Row],[_LeafFcstFinish]]&lt;=LookaheadEnd),Tasks[[#This Row],[_LeafFcstFinish]]+Tasks[[#This Row],[_Row]]/100000,"")</f>
        <v/>
      </c>
      <c r="DO27" s="104" t="n">
        <f aca="false">IF(Tasks[[#This Row],[_LeafCritical]],Tasks[[#This Row],[_LeafFcstStart]]+Tasks[[#This Row],[_Row]]/100000,"")</f>
        <v>46363.00022</v>
      </c>
      <c r="DP27" s="41" t="n">
        <f aca="false">Tasks[[#This Row],[_LeafWork]]*Tasks[[#This Row],[_LeafProgress]]</f>
        <v>0</v>
      </c>
      <c r="DQ27" s="103" t="str">
        <f aca="false">IF(AND(Tasks[[#This Row],[_IsLeaf]]=1,Tasks[[#This Row],[_LeafProgress]]&gt;=1),IF(N(Tasks[[#This Row],[Actual Finish]])&gt;0,Tasks[[#This Row],[Actual Finish]],Tasks[[#This Row],[_LeafFcstFinish]]),"")</f>
        <v/>
      </c>
      <c r="DR27" s="41" t="n">
        <f aca="false">IF(Tasks[[#This Row],[_IsLeaf]]=1,N(Tasks[[#This Row],[Story Points]]),0)</f>
        <v>5</v>
      </c>
      <c r="DS27" s="41" t="str">
        <f aca="false">IF(AND(Tasks[[#This Row],[_IsLeaf]]=1,CurrentSprint&lt;&gt;"",Tasks[[#This Row],[Sprint]]=CurrentSprint),Tasks[[#This Row],[_Row]],"")</f>
        <v/>
      </c>
    </row>
    <row r="28" customFormat="false" ht="15" hidden="false" customHeight="false" outlineLevel="0" collapsed="false">
      <c r="A28" s="28" t="n">
        <f aca="false">IF(Tasks[[#This Row],[Task Name]]="","",COUNTA(Tasks[[#Headers],[Task Name]]:Tasks[[#This Row],[Task Name]])-1)</f>
        <v>23</v>
      </c>
      <c r="B28" s="29" t="n">
        <v>23</v>
      </c>
      <c r="C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4.3</v>
      </c>
      <c r="D28" s="29" t="n">
        <v>2</v>
      </c>
      <c r="E28" s="30" t="s">
        <v>632</v>
      </c>
      <c r="F28" s="29" t="s">
        <v>595</v>
      </c>
      <c r="G28" s="29" t="n">
        <v>5</v>
      </c>
      <c r="H28" s="29" t="n">
        <v>21</v>
      </c>
      <c r="I28" s="29" t="s">
        <v>606</v>
      </c>
      <c r="J28" s="29" t="n">
        <v>2</v>
      </c>
      <c r="K28" s="29"/>
      <c r="L28" s="29"/>
      <c r="M28" s="29"/>
      <c r="N28" s="77"/>
      <c r="O28" s="77"/>
      <c r="P28" s="25" t="n">
        <f aca="false">IF(Tasks[[#This Row],[Task Name]]="","",IF(N(Tasks[[#This Row],[Baseline Start]])&gt;0,Tasks[[#This Row],[Baseline Start]],Tasks[[#This Row],[_CalcStart]]))</f>
        <v>46330</v>
      </c>
      <c r="Q28" s="25" t="n">
        <f aca="false">IF(Tasks[[#This Row],[Task Name]]="","",IF(N(Tasks[[#This Row],[Baseline Finish]])&gt;0,Tasks[[#This Row],[Baseline Finish]],Tasks[[#This Row],[_CalcFinish]]))</f>
        <v>46336</v>
      </c>
      <c r="R28" s="77"/>
      <c r="S28" s="77"/>
      <c r="T28" s="25" t="n">
        <f aca="false">IF(Tasks[[#This Row],[Task Name]]="","",IF(Tasks[[#This Row],[_IsSummary]],MIN(INDEX(Tasks[_LeafFcstStart],Tasks[[#This Row],[_Row]]+1):INDEX(Tasks[_LeafFcstStart],Tasks[[#This Row],[_Row]]+Tasks[[#This Row],[_Descendants]])),Tasks[[#This Row],[_LeafFcstStart]]))</f>
        <v>46338</v>
      </c>
      <c r="U28" s="25" t="n">
        <f aca="false">IF(Tasks[[#This Row],[Task Name]]="","",IF(Tasks[[#This Row],[_IsSummary]],MAX(INDEX(Tasks[_LeafFcstFinish],Tasks[[#This Row],[_Row]]+1):INDEX(Tasks[_LeafFcstFinish],Tasks[[#This Row],[_Row]]+Tasks[[#This Row],[_Descendants]])),Tasks[[#This Row],[_LeafFcstFinish]]))</f>
        <v>46344</v>
      </c>
      <c r="V28" s="43" t="n">
        <f aca="false">IF(Tasks[[#This Row],[Task Name]]="","",IF(Tasks[[#This Row],[Forecast Start]]&gt;=Tasks[[#This Row],[Planned Start]],NETWORKDAYS.INTL(Tasks[[#This Row],[Planned Start]],Tasks[[#This Row],[Forecast Start]],WorkWeek,Holidays)-1,1-NETWORKDAYS.INTL(Tasks[[#This Row],[Forecast Start]],Tasks[[#This Row],[Planned Start]],WorkWeek,Holidays)))</f>
        <v>6</v>
      </c>
      <c r="W28" s="43"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X28" s="25" t="n">
        <f aca="false">IF(Tasks[[#This Row],[Task Name]]="","",IF(Tasks[[#This Row],[_IsSummary]],MIN(INDEX(Tasks[_LeafLateStart],Tasks[[#This Row],[_Row]]+1):INDEX(Tasks[_LeafLateStart],Tasks[[#This Row],[_Row]]+Tasks[[#This Row],[_Descendants]])),Tasks[[#This Row],[_LeafLateStart]]))</f>
        <v>46364</v>
      </c>
      <c r="Y28" s="25" t="n">
        <f aca="false">IF(Tasks[[#This Row],[Task Name]]="","",IF(Tasks[[#This Row],[_IsSummary]],MAX(INDEX(Tasks[_LeafLateFinish],Tasks[[#This Row],[_Row]]+1):INDEX(Tasks[_LeafLateFinish],Tasks[[#This Row],[_Row]]+Tasks[[#This Row],[_Descendants]])),Tasks[[#This Row],[_LeafLateFinish]]))</f>
        <v>46370</v>
      </c>
      <c r="Z28" s="43" t="n">
        <f aca="false">IF(Tasks[[#This Row],[Task Name]]="","",IF(Tasks[[#This Row],[_IsSummary]],MIN(INDEX(Tasks[_LeafTotalSlack],Tasks[[#This Row],[_Row]]+1):INDEX(Tasks[_LeafTotalSlack],Tasks[[#This Row],[_Row]]+Tasks[[#This Row],[_Descendants]])),Tasks[[#This Row],[_LeafTotalSlack]]))</f>
        <v>18</v>
      </c>
      <c r="AA28"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18</v>
      </c>
      <c r="AB28" s="28" t="str">
        <f aca="false">IF(Tasks[[#This Row],[Task Name]]="","",IF(IF(Tasks[[#This Row],[_IsSummary]],COUNTIF(INDEX(Tasks[_LeafCritical],Tasks[[#This Row],[_Row]]+1):INDEX(Tasks[_LeafCritical],Tasks[[#This Row],[_Row]]+Tasks[[#This Row],[_Descendants]]),TRUE())&gt;0,Tasks[[#This Row],[_LeafCritical]]),"Yes",""))</f>
        <v/>
      </c>
      <c r="AC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8" s="24" t="str">
        <f aca="false">IF(Tasks[[#This Row],[Task Name]]="","",TRIM(IF(Tasks[[#This Row],[_Pred1Problem]]&lt;&gt;"","Pred 1: "&amp;Tasks[[#This Row],[_Pred1Problem]]&amp;". ","")&amp;IF(Tasks[[#This Row],[_Pred2Problem]]&lt;&gt;"","Pred 2: "&amp;Tasks[[#This Row],[_Pred2Problem]]&amp;".","")))</f>
        <v/>
      </c>
      <c r="AE28" s="91"/>
      <c r="AF28"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8" s="28" t="str">
        <f aca="false">IF(Tasks[[#This Row],[Task Name]]="","",IF(Tasks[[#This Row],[Progress]]&gt;=1,"Complete",IF(OR(N(Tasks[[#This Row],[Actual Start]])&gt;0,Tasks[[#This Row],[Progress]]&gt;0),IF(Tasks[[#This Row],[Finish Var]]&gt;0,"Behind","In Progress"),IF(Tasks[[#This Row],[Planned Start]]&lt;StatusDate,"Late Start","Not Started"))))</f>
        <v>Not Started</v>
      </c>
      <c r="AH28" s="30" t="s">
        <v>291</v>
      </c>
      <c r="AI28" s="91" t="n">
        <v>0.5</v>
      </c>
      <c r="AJ2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Yes</v>
      </c>
      <c r="AK28" s="98" t="n">
        <f aca="false">IF(Tasks[[#This Row],[Task Name]]="","",IF(Tasks[[#This Row],[_IsSummary]],SUM(INDEX(Tasks[_LeafWork],Tasks[[#This Row],[_Row]]+1):INDEX(Tasks[_LeafWork],Tasks[[#This Row],[_Row]]+Tasks[[#This Row],[_Descendants]])),Tasks[[#This Row],[_LeafWork]]))</f>
        <v>20</v>
      </c>
      <c r="AL28" s="99" t="n">
        <f aca="false">IF(Tasks[[#This Row],[Task Name]]="","",IF(Tasks[[#This Row],[_IsSummary]],SUM(INDEX(Tasks[_LeafCost],Tasks[[#This Row],[_Row]]+1):INDEX(Tasks[_LeafCost],Tasks[[#This Row],[_Row]]+Tasks[[#This Row],[_Descendants]])),Tasks[[#This Row],[_LeafCost]]))</f>
        <v>1500</v>
      </c>
      <c r="AM28" s="100"/>
      <c r="AN28" s="29"/>
      <c r="AO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AP28" s="85" t="n">
        <v>3</v>
      </c>
      <c r="AQ28" s="24" t="str">
        <f aca="false">IF(Tasks[[#This Row],[Task Name]]="","",Tasks[[#This Row],[_Pred1IDText]]&amp;IF(AND(Tasks[[#This Row],[_Pred1IDText]]&lt;&gt;"",Tasks[[#This Row],[_Pred2IDText]]&lt;&gt;""),",","")&amp;Tasks[[#This Row],[_Pred2IDText]])</f>
        <v>21SS+2d</v>
      </c>
      <c r="AR28" s="30"/>
      <c r="AS28" s="25" t="n">
        <f aca="false">IF(Tasks[[#This Row],[Task Name]]="","",Tasks[[#This Row],[Forecast Start]])</f>
        <v>46338</v>
      </c>
      <c r="AT28" s="25" t="n">
        <f aca="false">IF(Tasks[[#This Row],[Task Name]]="","",Tasks[[#This Row],[Forecast Finish]])</f>
        <v>46344</v>
      </c>
      <c r="AU28" s="28" t="n">
        <f aca="false">IF(Tasks[[#This Row],[Task Name]]="","",IF(Tasks[[#This Row],[_IsSummary]],NETWORKDAYS.INTL(Tasks[[#This Row],[Forecast Start]],Tasks[[#This Row],[Forecast Finish]],WorkWeek,Holidays),N(Tasks[[#This Row],[Duration]])))</f>
        <v>5</v>
      </c>
      <c r="AV28" s="98" t="n">
        <f aca="false">IF(Tasks[[#This Row],[Task Name]]="","",Tasks[[#This Row],[Work]])</f>
        <v>20</v>
      </c>
      <c r="AW28" s="99" t="n">
        <f aca="false">IF(Tasks[[#This Row],[Task Name]]="","",Tasks[[#This Row],[Cost]])</f>
        <v>1500</v>
      </c>
      <c r="AX28" s="77"/>
      <c r="AY28" s="77"/>
      <c r="AZ28" s="29"/>
      <c r="BA28" s="101"/>
      <c r="BB28" s="100"/>
      <c r="BC28" s="28" t="str">
        <f aca="false">IF(OR(Tasks[[#This Row],[Task Name]]="",Tasks[[#This Row],[Baseline Duration]]=""),"",Tasks[[#This Row],[BL Source Duration]]-N(Tasks[[#This Row],[Baseline Duration]]))</f>
        <v/>
      </c>
      <c r="BD28" s="98" t="str">
        <f aca="false">IF(OR(Tasks[[#This Row],[Task Name]]="",Tasks[[#This Row],[Baseline Work]]=""),"",Tasks[[#This Row],[Work]]-N(Tasks[[#This Row],[Baseline Work]]))</f>
        <v/>
      </c>
      <c r="BE28" s="99" t="str">
        <f aca="false">IF(OR(Tasks[[#This Row],[Task Name]]="",Tasks[[#This Row],[Baseline Cost]]=""),"",Tasks[[#This Row],[Cost]]-N(Tasks[[#This Row],[Baseline Cost]]))</f>
        <v/>
      </c>
      <c r="BF28" s="99" t="n">
        <f aca="false">IF(Tasks[[#This Row],[Task Name]]="","",IF(Tasks[[#This Row],[_IsSummary]],SUM(INDEX(Tasks[_LeafBudget],Tasks[[#This Row],[_Row]]+1):INDEX(Tasks[_LeafBudget],Tasks[[#This Row],[_Row]]+Tasks[[#This Row],[_Descendants]])),Tasks[[#This Row],[_LeafBudget]]))</f>
        <v>1500</v>
      </c>
      <c r="BG28" s="99" t="n">
        <f aca="false">IF(Tasks[[#This Row],[Task Name]]="","",IF(Tasks[[#This Row],[_IsSummary]],SUM(INDEX(Tasks[_LeafPV],Tasks[[#This Row],[_Row]]+1):INDEX(Tasks[_LeafPV],Tasks[[#This Row],[_Row]]+Tasks[[#This Row],[_Descendants]])),Tasks[[#This Row],[_LeafPV]]))</f>
        <v>0</v>
      </c>
      <c r="BH28" s="99" t="n">
        <f aca="false">IF(Tasks[[#This Row],[Task Name]]="","",IF(Tasks[[#This Row],[_IsSummary]],SUM(INDEX(Tasks[_LeafEV],Tasks[[#This Row],[_Row]]+1):INDEX(Tasks[_LeafEV],Tasks[[#This Row],[_Row]]+Tasks[[#This Row],[_Descendants]])),Tasks[[#This Row],[_LeafEV]]))</f>
        <v>0</v>
      </c>
      <c r="BI28" s="99" t="n">
        <f aca="false">IF(Tasks[[#This Row],[Task Name]]="","",IF(Tasks[[#This Row],[_IsSummary]],SUM(INDEX(Tasks[_LeafAC],Tasks[[#This Row],[_Row]]+1):INDEX(Tasks[_LeafAC],Tasks[[#This Row],[_Row]]+Tasks[[#This Row],[_Descendants]])),Tasks[[#This Row],[_LeafAC]]))</f>
        <v>0</v>
      </c>
      <c r="BJ28" s="41" t="n">
        <f aca="false">IF(Tasks[[#This Row],[Task Name]]="","",MAX(1,N(Tasks[[#This Row],[Level]])))</f>
        <v>2</v>
      </c>
      <c r="BK28" s="41" t="n">
        <f aca="false">ROW()-ROW(Tasks[[#Headers],[ID]])</f>
        <v>23</v>
      </c>
      <c r="BL28" s="41" t="n">
        <f aca="false">IF(OR(Tasks[[#This Row],[Task Name]]="",Tasks[[#This Row],[_Level]]&lt;=1),0,IFERROR(LOOKUP(2,1/(Tasks[[#Headers],[_Level]]:Tasks[[#This Row],[_Level]]=Tasks[[#This Row],[_Level]]-1),ROW(Tasks[[#Headers],[_Level]]:Tasks[[#This Row],[_Level]])),0))</f>
        <v>25</v>
      </c>
      <c r="BM28" s="41" t="n">
        <f aca="false">IFERROR(N(INDEX(Tasks[_Level],Tasks[[#This Row],[_Row]]+1)),0)</f>
        <v>2</v>
      </c>
      <c r="BN28" s="102" t="b">
        <f aca="false">AND(Tasks[[#This Row],[Task Name]]&lt;&gt;"",Tasks[[#This Row],[_NextLevel]]&gt;Tasks[[#This Row],[_Level]])</f>
        <v>0</v>
      </c>
      <c r="BO28" s="41" t="n">
        <f aca="false">IF(Tasks[[#This Row],[_IsSummary]],COUNTIF(Tasks[WBS],Tasks[[#This Row],[WBS]]&amp;".*"),0)</f>
        <v>0</v>
      </c>
      <c r="BP28" s="41" t="n">
        <f aca="false">IF(AND(Tasks[[#This Row],[Task Name]]&lt;&gt;"",NOT(Tasks[[#This Row],[_IsSummary]])),1,0)</f>
        <v>1</v>
      </c>
      <c r="BQ28" s="41" t="n">
        <f aca="false">IF(N(Tasks[[#This Row],[Pred1 UID]])=0,0,IFERROR(MATCH(Tasks[[#This Row],[Pred1 UID]],Tasks[UID],0),-1))</f>
        <v>21</v>
      </c>
      <c r="BR28" s="41" t="n">
        <f aca="false">IF(N(Tasks[[#This Row],[Pred2 UID]])=0,0,IFERROR(MATCH(Tasks[[#This Row],[Pred2 UID]],Tasks[UID],0),-1))</f>
        <v>0</v>
      </c>
      <c r="BS28"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46330</v>
      </c>
      <c r="BT28" s="103" t="n">
        <f aca="false">IF(NOT(Tasks[[#This Row],[_IsLeaf]]=1),"",IF(N(Tasks[[#This Row],[Duration]])&lt;=0,Tasks[[#This Row],[_LeafCalcStart]],WORKDAY.INTL(Tasks[[#This Row],[_LeafCalcStart]],Tasks[[#This Row],[Duration]]-1,WorkWeek,Holidays)))</f>
        <v>46336</v>
      </c>
      <c r="BU28"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46338</v>
      </c>
      <c r="BV28"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46344</v>
      </c>
      <c r="BW28" s="41" t="n">
        <f aca="false">IF(NOT(Tasks[[#This Row],[_IsLeaf]]=1),0,IF(N(Tasks[[#This Row],[Actual Finish]])&gt;0,1,MIN(1,N(Tasks[[#This Row],[% Complete]]))))</f>
        <v>0</v>
      </c>
      <c r="BX28" s="41" t="n">
        <f aca="false">IF(OR(NOT(Tasks[[#This Row],[_IsLeaf]]=1),Tasks[[#This Row],[Resource]]=""),0,N(Tasks[[#This Row],[Duration]])*HoursPerDay*IF(Tasks[[#This Row],[Units]]="",DefaultUnits,Tasks[[#This Row],[Units]]))</f>
        <v>20</v>
      </c>
      <c r="BY28" s="41" t="n">
        <f aca="false">IF(Tasks[[#This Row],[_LeafWork]]=0,0,Tasks[[#This Row],[_LeafWork]]*IFERROR(INDEX(res_Rate,MATCH(Tasks[[#This Row],[Resource]],res_Name,0)),0))</f>
        <v>1500</v>
      </c>
      <c r="BZ28"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A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8"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8" s="41" t="n">
        <f aca="false">IF(NOT(Tasks[[#This Row],[_IsLeaf]]=1),0,MAX(_xlfn.MAXIFS(Tasks[_Row],Tasks[Pred1 UID],Tasks[[#This Row],[UID]]),_xlfn.MAXIFS(Tasks[_Row],Tasks[Pred2 UID],Tasks[[#This Row],[UID]])))</f>
        <v>24</v>
      </c>
      <c r="CE28"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46370</v>
      </c>
      <c r="CF28" s="103" t="n">
        <f aca="false">IF(NOT(Tasks[[#This Row],[_IsLeaf]]=1),"",MIN(ProjectFinish,IF(N(Tasks[[#This Row],[Deadline]])&gt;0,Tasks[[#This Row],[Deadline]],2958465),Tasks[[#This Row],[_SuccessorFinishLimit]]))</f>
        <v>46370</v>
      </c>
      <c r="CG28" s="103" t="n">
        <f aca="false">IF(NOT(Tasks[[#This Row],[_IsLeaf]]=1),"",IF(N(Tasks[[#This Row],[Duration]])&lt;=0,Tasks[[#This Row],[_LeafLateFinish]],WORKDAY.INTL(Tasks[[#This Row],[_LeafLateFinish]],-(Tasks[[#This Row],[Duration]]-1),WorkWeek,Holidays)))</f>
        <v>46364</v>
      </c>
      <c r="CH28"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18</v>
      </c>
      <c r="CI28" s="102" t="b">
        <f aca="false">AND(Tasks[[#This Row],[_IsLeaf]]=1,Tasks[[#This Row],[_LeafProgress]]&lt;1,N(Tasks[[#This Row],[_LeafTotalSlack]])&lt;=CriticalSlackDays)</f>
        <v>0</v>
      </c>
      <c r="CJ28" s="103" t="n">
        <f aca="false">IF(Tasks[[#This Row],[Task Name]]="","",IF(Tasks[[#This Row],[_IsSummary]],MIN(INDEX(Tasks[_LeafCalcStart],Tasks[[#This Row],[_Row]]+1):INDEX(Tasks[_LeafCalcStart],Tasks[[#This Row],[_Row]]+Tasks[[#This Row],[_Descendants]])),Tasks[[#This Row],[_LeafCalcStart]]))</f>
        <v>46330</v>
      </c>
      <c r="CK28" s="103" t="n">
        <f aca="false">IF(Tasks[[#This Row],[Task Name]]="","",IF(Tasks[[#This Row],[_IsSummary]],MAX(INDEX(Tasks[_LeafCalcFinish],Tasks[[#This Row],[_Row]]+1):INDEX(Tasks[_LeafCalcFinish],Tasks[[#This Row],[_Row]]+Tasks[[#This Row],[_Descendants]])),Tasks[[#This Row],[_LeafCalcFinish]]))</f>
        <v>46336</v>
      </c>
      <c r="CL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46330</v>
      </c>
      <c r="CO2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46338</v>
      </c>
      <c r="CQ2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8" s="41" t="n">
        <f aca="false">IF(AND(Tasks[[#This Row],[_IsLeaf]]=1,Tasks[[#This Row],[_LeafWork]]&gt;0),NETWORKDAYS.INTL(ProjectStart,Tasks[[#This Row],[_LeafFcstStart]],WorkWeek,Holidays),0)</f>
        <v>49</v>
      </c>
      <c r="CS28" s="41" t="n">
        <f aca="false">IF(AND(Tasks[[#This Row],[_IsLeaf]]=1,Tasks[[#This Row],[_LeafWork]]&gt;0),MAX(Tasks[[#This Row],[_StartWorkday]],NETWORKDAYS.INTL(ProjectStart,Tasks[[#This Row],[_LeafFcstFinish]],WorkWeek,Holidays)),0)</f>
        <v>53</v>
      </c>
      <c r="CT28" s="41" t="n">
        <f aca="false">IF(AND(Tasks[[#This Row],[_IsLeaf]]=1,Tasks[[#This Row],[_LeafWork]]&gt;0),Tasks[[#This Row],[_LeafWork]]/(Tasks[[#This Row],[_FinishWorkday]]-Tasks[[#This Row],[_StartWorkday]]+1),0)</f>
        <v>4</v>
      </c>
      <c r="CU28" s="41" t="n">
        <f aca="false">Tasks[[#This Row],[_WorkPerWorkday]]*(Tasks[[#This Row],[_StartWorkday]]-1)</f>
        <v>192</v>
      </c>
      <c r="CV28" s="41" t="n">
        <f aca="false">IF(Tasks[[#This Row],[_IsLeaf]]=1,MAX(N(Tasks[[#This Row],[Duration]]),0.1),0)</f>
        <v>5</v>
      </c>
      <c r="CW28" s="41" t="n">
        <f aca="false">Tasks[[#This Row],[_WeightDur]]*Tasks[[#This Row],[_LeafProgress]]</f>
        <v>0</v>
      </c>
      <c r="CX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21SS+2d</v>
      </c>
      <c r="CY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21SS+2d</v>
      </c>
      <c r="DA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8" s="41" t="str">
        <f aca="false">IF(Tasks[[#This Row],[Task Name]]="","",Tasks[[#This Row],[_Pred1UIDText]]&amp;IF(AND(Tasks[[#This Row],[_Pred1UIDText]]&lt;&gt;"",Tasks[[#This Row],[_Pred2UIDText]]&lt;&gt;""),",","")&amp;Tasks[[#This Row],[_Pred2UIDText]])</f>
        <v>21SS+2d</v>
      </c>
      <c r="DC28" s="41" t="str">
        <f aca="false">IF(AND(Tasks[[#This Row],[_IsLeaf]]=1,N(Tasks[[#This Row],[Duration]])=0,Tasks[[#This Row],[_LeafProgress]]&lt;1),Tasks[[#This Row],[_LeafFcstFinish]]+Tasks[[#This Row],[_Row]]/100000,"")</f>
        <v/>
      </c>
      <c r="DD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8" s="41" t="n">
        <f aca="false">IF(NOT(Tasks[[#This Row],[_IsLeaf]]=1),0,IF(Tasks[[#This Row],[Baseline Cost]]="",Tasks[[#This Row],[_LeafCost]],N(Tasks[[#This Row],[Baseline Cost]])))</f>
        <v>1500</v>
      </c>
      <c r="DF28" s="41" t="n">
        <f aca="false">Tasks[[#This Row],[_LeafBudget]]*Tasks[[#This Row],[_PlannedPct]]</f>
        <v>0</v>
      </c>
      <c r="DG28" s="41" t="n">
        <f aca="false">Tasks[[#This Row],[_LeafBudget]]*Tasks[[#This Row],[_LeafProgress]]</f>
        <v>0</v>
      </c>
      <c r="DH28" s="41" t="n">
        <f aca="false">IF(NOT(Tasks[[#This Row],[_IsLeaf]]=1),0,IF(Tasks[[#This Row],[Actual Cost]]="",Tasks[[#This Row],[_LeafCost]]*Tasks[[#This Row],[_LeafProgress]],N(Tasks[[#This Row],[Actual Cost]])))</f>
        <v>0</v>
      </c>
      <c r="DI28" s="41" t="str">
        <f aca="false">IF(Tasks[[#This Row],[Task Name]]="","",LEFT(Tasks[[#This Row],[WBS]],FIND(".",Tasks[[#This Row],[WBS]]&amp;".")-1))</f>
        <v>4</v>
      </c>
      <c r="DJ28" s="41" t="str">
        <f aca="false">IF(AND(Tasks[[#This Row],[Task Name]]&lt;&gt;"",Tasks[[#This Row],[_Level]]=1),Tasks[[#This Row],[_Row]],"")</f>
        <v/>
      </c>
      <c r="DK28" s="41" t="str">
        <f aca="false">IF(AND(Tasks[[#This Row],[_IsLeaf]]=1,N(Tasks[[#This Row],[Duration]])=0),Tasks[[#This Row],[Planned Finish]]+Tasks[[#This Row],[_Row]]/100000,"")</f>
        <v/>
      </c>
      <c r="DL28" s="41" t="n">
        <f aca="false">IF(AND(Tasks[[#This Row],[_IsLeaf]]=1,Tasks[[#This Row],[_LeafProgress]]&lt;1,OR(N(Tasks[[#This Row],[Finish Var]])&gt;0,Tasks[[#This Row],[Status]]="Late Start")),MAX(0,Tasks[[#This Row],[Finish Var]])+1-Tasks[[#This Row],[_Row]]/1000000,"")</f>
        <v>6.999977</v>
      </c>
      <c r="DM28" s="41" t="str">
        <f aca="false">IF(AND(Tasks[[#This Row],[_IsLeaf]]=1,N(Tasks[[#This Row],[Actual Start]])=0,Tasks[[#This Row],[_LeafFcstStart]]&gt;=StatusDate,Tasks[[#This Row],[_LeafFcstStart]]&lt;=LookaheadEnd),Tasks[[#This Row],[_LeafFcstStart]]+Tasks[[#This Row],[_Row]]/100000,"")</f>
        <v/>
      </c>
      <c r="DN28" s="41" t="str">
        <f aca="false">IF(AND(Tasks[[#This Row],[_IsLeaf]]=1,Tasks[[#This Row],[_LeafProgress]]&lt;1,Tasks[[#This Row],[_LeafFcstFinish]]&gt;=StatusDate,Tasks[[#This Row],[_LeafFcstFinish]]&lt;=LookaheadEnd),Tasks[[#This Row],[_LeafFcstFinish]]+Tasks[[#This Row],[_Row]]/100000,"")</f>
        <v/>
      </c>
      <c r="DO28" s="41" t="str">
        <f aca="false">IF(Tasks[[#This Row],[_LeafCritical]],Tasks[[#This Row],[_LeafFcstStart]]+Tasks[[#This Row],[_Row]]/100000,"")</f>
        <v/>
      </c>
      <c r="DP28" s="41" t="n">
        <f aca="false">Tasks[[#This Row],[_LeafWork]]*Tasks[[#This Row],[_LeafProgress]]</f>
        <v>0</v>
      </c>
      <c r="DQ28" s="103" t="str">
        <f aca="false">IF(AND(Tasks[[#This Row],[_IsLeaf]]=1,Tasks[[#This Row],[_LeafProgress]]&gt;=1),IF(N(Tasks[[#This Row],[Actual Finish]])&gt;0,Tasks[[#This Row],[Actual Finish]],Tasks[[#This Row],[_LeafFcstFinish]]),"")</f>
        <v/>
      </c>
      <c r="DR28" s="41" t="n">
        <f aca="false">IF(Tasks[[#This Row],[_IsLeaf]]=1,N(Tasks[[#This Row],[Story Points]]),0)</f>
        <v>3</v>
      </c>
      <c r="DS28" s="41" t="str">
        <f aca="false">IF(AND(Tasks[[#This Row],[_IsLeaf]]=1,CurrentSprint&lt;&gt;"",Tasks[[#This Row],[Sprint]]=CurrentSprint),Tasks[[#This Row],[_Row]],"")</f>
        <v/>
      </c>
    </row>
    <row r="29" customFormat="false" ht="15" hidden="false" customHeight="false" outlineLevel="0" collapsed="false">
      <c r="A29" s="28" t="n">
        <f aca="false">IF(Tasks[[#This Row],[Task Name]]="","",COUNTA(Tasks[[#Headers],[Task Name]]:Tasks[[#This Row],[Task Name]])-1)</f>
        <v>24</v>
      </c>
      <c r="B29" s="29" t="n">
        <v>24</v>
      </c>
      <c r="C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4.4</v>
      </c>
      <c r="D29" s="29" t="n">
        <v>2</v>
      </c>
      <c r="E29" s="30" t="s">
        <v>633</v>
      </c>
      <c r="F29" s="29" t="s">
        <v>595</v>
      </c>
      <c r="G29" s="29" t="n">
        <v>1</v>
      </c>
      <c r="H29" s="29" t="n">
        <v>22</v>
      </c>
      <c r="I29" s="29" t="s">
        <v>600</v>
      </c>
      <c r="J29" s="29"/>
      <c r="K29" s="29" t="n">
        <v>23</v>
      </c>
      <c r="L29" s="29" t="s">
        <v>600</v>
      </c>
      <c r="M29" s="29"/>
      <c r="N29" s="77"/>
      <c r="O29" s="77"/>
      <c r="P29" s="25" t="n">
        <f aca="false">IF(Tasks[[#This Row],[Task Name]]="","",IF(N(Tasks[[#This Row],[Baseline Start]])&gt;0,Tasks[[#This Row],[Baseline Start]],Tasks[[#This Row],[_CalcStart]]))</f>
        <v>46371</v>
      </c>
      <c r="Q29" s="25" t="n">
        <f aca="false">IF(Tasks[[#This Row],[Task Name]]="","",IF(N(Tasks[[#This Row],[Baseline Finish]])&gt;0,Tasks[[#This Row],[Baseline Finish]],Tasks[[#This Row],[_CalcFinish]]))</f>
        <v>46371</v>
      </c>
      <c r="R29" s="77"/>
      <c r="S29" s="77"/>
      <c r="T29" s="25" t="n">
        <f aca="false">IF(Tasks[[#This Row],[Task Name]]="","",IF(Tasks[[#This Row],[_IsSummary]],MIN(INDEX(Tasks[_LeafFcstStart],Tasks[[#This Row],[_Row]]+1):INDEX(Tasks[_LeafFcstStart],Tasks[[#This Row],[_Row]]+Tasks[[#This Row],[_Descendants]])),Tasks[[#This Row],[_LeafFcstStart]]))</f>
        <v>46371</v>
      </c>
      <c r="U29" s="25" t="n">
        <f aca="false">IF(Tasks[[#This Row],[Task Name]]="","",IF(Tasks[[#This Row],[_IsSummary]],MAX(INDEX(Tasks[_LeafFcstFinish],Tasks[[#This Row],[_Row]]+1):INDEX(Tasks[_LeafFcstFinish],Tasks[[#This Row],[_Row]]+Tasks[[#This Row],[_Descendants]])),Tasks[[#This Row],[_LeafFcstFinish]]))</f>
        <v>46371</v>
      </c>
      <c r="V29"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29"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29" s="25" t="n">
        <f aca="false">IF(Tasks[[#This Row],[Task Name]]="","",IF(Tasks[[#This Row],[_IsSummary]],MIN(INDEX(Tasks[_LeafLateStart],Tasks[[#This Row],[_Row]]+1):INDEX(Tasks[_LeafLateStart],Tasks[[#This Row],[_Row]]+Tasks[[#This Row],[_Descendants]])),Tasks[[#This Row],[_LeafLateStart]]))</f>
        <v>46371</v>
      </c>
      <c r="Y29" s="25" t="n">
        <f aca="false">IF(Tasks[[#This Row],[Task Name]]="","",IF(Tasks[[#This Row],[_IsSummary]],MAX(INDEX(Tasks[_LeafLateFinish],Tasks[[#This Row],[_Row]]+1):INDEX(Tasks[_LeafLateFinish],Tasks[[#This Row],[_Row]]+Tasks[[#This Row],[_Descendants]])),Tasks[[#This Row],[_LeafLateFinish]]))</f>
        <v>46371</v>
      </c>
      <c r="Z29" s="43" t="n">
        <f aca="false">IF(Tasks[[#This Row],[Task Name]]="","",IF(Tasks[[#This Row],[_IsSummary]],MIN(INDEX(Tasks[_LeafTotalSlack],Tasks[[#This Row],[_Row]]+1):INDEX(Tasks[_LeafTotalSlack],Tasks[[#This Row],[_Row]]+Tasks[[#This Row],[_Descendants]])),Tasks[[#This Row],[_LeafTotalSlack]]))</f>
        <v>0</v>
      </c>
      <c r="AA29"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29" s="28" t="str">
        <f aca="false">IF(Tasks[[#This Row],[Task Name]]="","",IF(IF(Tasks[[#This Row],[_IsSummary]],COUNTIF(INDEX(Tasks[_LeafCritical],Tasks[[#This Row],[_Row]]+1):INDEX(Tasks[_LeafCritical],Tasks[[#This Row],[_Row]]+Tasks[[#This Row],[_Descendants]]),TRUE())&gt;0,Tasks[[#This Row],[_LeafCritical]]),"Yes",""))</f>
        <v>Yes</v>
      </c>
      <c r="AC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9" s="24" t="str">
        <f aca="false">IF(Tasks[[#This Row],[Task Name]]="","",TRIM(IF(Tasks[[#This Row],[_Pred1Problem]]&lt;&gt;"","Pred 1: "&amp;Tasks[[#This Row],[_Pred1Problem]]&amp;". ","")&amp;IF(Tasks[[#This Row],[_Pred2Problem]]&lt;&gt;"","Pred 2: "&amp;Tasks[[#This Row],[_Pred2Problem]]&amp;".","")))</f>
        <v/>
      </c>
      <c r="AE29" s="91"/>
      <c r="AF29"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29" s="28" t="str">
        <f aca="false">IF(Tasks[[#This Row],[Task Name]]="","",IF(Tasks[[#This Row],[Progress]]&gt;=1,"Complete",IF(OR(N(Tasks[[#This Row],[Actual Start]])&gt;0,Tasks[[#This Row],[Progress]]&gt;0),IF(Tasks[[#This Row],[Finish Var]]&gt;0,"Behind","In Progress"),IF(Tasks[[#This Row],[Planned Start]]&lt;StatusDate,"Late Start","Not Started"))))</f>
        <v>Not Started</v>
      </c>
      <c r="AH29" s="30" t="s">
        <v>295</v>
      </c>
      <c r="AI29" s="91"/>
      <c r="AJ2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9" s="98" t="n">
        <f aca="false">IF(Tasks[[#This Row],[Task Name]]="","",IF(Tasks[[#This Row],[_IsSummary]],SUM(INDEX(Tasks[_LeafWork],Tasks[[#This Row],[_Row]]+1):INDEX(Tasks[_LeafWork],Tasks[[#This Row],[_Row]]+Tasks[[#This Row],[_Descendants]])),Tasks[[#This Row],[_LeafWork]]))</f>
        <v>8</v>
      </c>
      <c r="AL29" s="99" t="n">
        <f aca="false">IF(Tasks[[#This Row],[Task Name]]="","",IF(Tasks[[#This Row],[_IsSummary]],SUM(INDEX(Tasks[_LeafCost],Tasks[[#This Row],[_Row]]+1):INDEX(Tasks[_LeafCost],Tasks[[#This Row],[_Row]]+Tasks[[#This Row],[_Descendants]])),Tasks[[#This Row],[_LeafCost]]))</f>
        <v>760</v>
      </c>
      <c r="AM29" s="100"/>
      <c r="AN29" s="29"/>
      <c r="AO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P29" s="85" t="n">
        <v>1</v>
      </c>
      <c r="AQ29" s="24" t="str">
        <f aca="false">IF(Tasks[[#This Row],[Task Name]]="","",Tasks[[#This Row],[_Pred1IDText]]&amp;IF(AND(Tasks[[#This Row],[_Pred1IDText]]&lt;&gt;"",Tasks[[#This Row],[_Pred2IDText]]&lt;&gt;""),",","")&amp;Tasks[[#This Row],[_Pred2IDText]])</f>
        <v>22,23</v>
      </c>
      <c r="AR29" s="30"/>
      <c r="AS29" s="25" t="n">
        <f aca="false">IF(Tasks[[#This Row],[Task Name]]="","",Tasks[[#This Row],[Forecast Start]])</f>
        <v>46371</v>
      </c>
      <c r="AT29" s="25" t="n">
        <f aca="false">IF(Tasks[[#This Row],[Task Name]]="","",Tasks[[#This Row],[Forecast Finish]])</f>
        <v>46371</v>
      </c>
      <c r="AU29" s="28" t="n">
        <f aca="false">IF(Tasks[[#This Row],[Task Name]]="","",IF(Tasks[[#This Row],[_IsSummary]],NETWORKDAYS.INTL(Tasks[[#This Row],[Forecast Start]],Tasks[[#This Row],[Forecast Finish]],WorkWeek,Holidays),N(Tasks[[#This Row],[Duration]])))</f>
        <v>1</v>
      </c>
      <c r="AV29" s="98" t="n">
        <f aca="false">IF(Tasks[[#This Row],[Task Name]]="","",Tasks[[#This Row],[Work]])</f>
        <v>8</v>
      </c>
      <c r="AW29" s="99" t="n">
        <f aca="false">IF(Tasks[[#This Row],[Task Name]]="","",Tasks[[#This Row],[Cost]])</f>
        <v>760</v>
      </c>
      <c r="AX29" s="77"/>
      <c r="AY29" s="77"/>
      <c r="AZ29" s="29"/>
      <c r="BA29" s="101"/>
      <c r="BB29" s="100"/>
      <c r="BC29" s="28" t="str">
        <f aca="false">IF(OR(Tasks[[#This Row],[Task Name]]="",Tasks[[#This Row],[Baseline Duration]]=""),"",Tasks[[#This Row],[BL Source Duration]]-N(Tasks[[#This Row],[Baseline Duration]]))</f>
        <v/>
      </c>
      <c r="BD29" s="98" t="str">
        <f aca="false">IF(OR(Tasks[[#This Row],[Task Name]]="",Tasks[[#This Row],[Baseline Work]]=""),"",Tasks[[#This Row],[Work]]-N(Tasks[[#This Row],[Baseline Work]]))</f>
        <v/>
      </c>
      <c r="BE29" s="99" t="str">
        <f aca="false">IF(OR(Tasks[[#This Row],[Task Name]]="",Tasks[[#This Row],[Baseline Cost]]=""),"",Tasks[[#This Row],[Cost]]-N(Tasks[[#This Row],[Baseline Cost]]))</f>
        <v/>
      </c>
      <c r="BF29" s="99" t="n">
        <f aca="false">IF(Tasks[[#This Row],[Task Name]]="","",IF(Tasks[[#This Row],[_IsSummary]],SUM(INDEX(Tasks[_LeafBudget],Tasks[[#This Row],[_Row]]+1):INDEX(Tasks[_LeafBudget],Tasks[[#This Row],[_Row]]+Tasks[[#This Row],[_Descendants]])),Tasks[[#This Row],[_LeafBudget]]))</f>
        <v>760</v>
      </c>
      <c r="BG29" s="99" t="n">
        <f aca="false">IF(Tasks[[#This Row],[Task Name]]="","",IF(Tasks[[#This Row],[_IsSummary]],SUM(INDEX(Tasks[_LeafPV],Tasks[[#This Row],[_Row]]+1):INDEX(Tasks[_LeafPV],Tasks[[#This Row],[_Row]]+Tasks[[#This Row],[_Descendants]])),Tasks[[#This Row],[_LeafPV]]))</f>
        <v>0</v>
      </c>
      <c r="BH29" s="99" t="n">
        <f aca="false">IF(Tasks[[#This Row],[Task Name]]="","",IF(Tasks[[#This Row],[_IsSummary]],SUM(INDEX(Tasks[_LeafEV],Tasks[[#This Row],[_Row]]+1):INDEX(Tasks[_LeafEV],Tasks[[#This Row],[_Row]]+Tasks[[#This Row],[_Descendants]])),Tasks[[#This Row],[_LeafEV]]))</f>
        <v>0</v>
      </c>
      <c r="BI29" s="99" t="n">
        <f aca="false">IF(Tasks[[#This Row],[Task Name]]="","",IF(Tasks[[#This Row],[_IsSummary]],SUM(INDEX(Tasks[_LeafAC],Tasks[[#This Row],[_Row]]+1):INDEX(Tasks[_LeafAC],Tasks[[#This Row],[_Row]]+Tasks[[#This Row],[_Descendants]])),Tasks[[#This Row],[_LeafAC]]))</f>
        <v>0</v>
      </c>
      <c r="BJ29" s="41" t="n">
        <f aca="false">IF(Tasks[[#This Row],[Task Name]]="","",MAX(1,N(Tasks[[#This Row],[Level]])))</f>
        <v>2</v>
      </c>
      <c r="BK29" s="41" t="n">
        <f aca="false">ROW()-ROW(Tasks[[#Headers],[ID]])</f>
        <v>24</v>
      </c>
      <c r="BL29" s="41" t="n">
        <f aca="false">IF(OR(Tasks[[#This Row],[Task Name]]="",Tasks[[#This Row],[_Level]]&lt;=1),0,IFERROR(LOOKUP(2,1/(Tasks[[#Headers],[_Level]]:Tasks[[#This Row],[_Level]]=Tasks[[#This Row],[_Level]]-1),ROW(Tasks[[#Headers],[_Level]]:Tasks[[#This Row],[_Level]])),0))</f>
        <v>25</v>
      </c>
      <c r="BM29" s="41" t="n">
        <f aca="false">IFERROR(N(INDEX(Tasks[_Level],Tasks[[#This Row],[_Row]]+1)),0)</f>
        <v>2</v>
      </c>
      <c r="BN29" s="102" t="b">
        <f aca="false">AND(Tasks[[#This Row],[Task Name]]&lt;&gt;"",Tasks[[#This Row],[_NextLevel]]&gt;Tasks[[#This Row],[_Level]])</f>
        <v>0</v>
      </c>
      <c r="BO29" s="41" t="n">
        <f aca="false">IF(Tasks[[#This Row],[_IsSummary]],COUNTIF(Tasks[WBS],Tasks[[#This Row],[WBS]]&amp;".*"),0)</f>
        <v>0</v>
      </c>
      <c r="BP29" s="41" t="n">
        <f aca="false">IF(AND(Tasks[[#This Row],[Task Name]]&lt;&gt;"",NOT(Tasks[[#This Row],[_IsSummary]])),1,0)</f>
        <v>1</v>
      </c>
      <c r="BQ29" s="41" t="n">
        <f aca="false">IF(N(Tasks[[#This Row],[Pred1 UID]])=0,0,IFERROR(MATCH(Tasks[[#This Row],[Pred1 UID]],Tasks[UID],0),-1))</f>
        <v>22</v>
      </c>
      <c r="BR29" s="41" t="n">
        <f aca="false">IF(N(Tasks[[#This Row],[Pred2 UID]])=0,0,IFERROR(MATCH(Tasks[[#This Row],[Pred2 UID]],Tasks[UID],0),-1))</f>
        <v>23</v>
      </c>
      <c r="BS29"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46371</v>
      </c>
      <c r="BT29" s="103" t="n">
        <f aca="false">IF(NOT(Tasks[[#This Row],[_IsLeaf]]=1),"",IF(N(Tasks[[#This Row],[Duration]])&lt;=0,Tasks[[#This Row],[_LeafCalcStart]],WORKDAY.INTL(Tasks[[#This Row],[_LeafCalcStart]],Tasks[[#This Row],[Duration]]-1,WorkWeek,Holidays)))</f>
        <v>46371</v>
      </c>
      <c r="BU29"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46371</v>
      </c>
      <c r="BV29"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BW29" s="41" t="n">
        <f aca="false">IF(NOT(Tasks[[#This Row],[_IsLeaf]]=1),0,IF(N(Tasks[[#This Row],[Actual Finish]])&gt;0,1,MIN(1,N(Tasks[[#This Row],[% Complete]]))))</f>
        <v>0</v>
      </c>
      <c r="BX29" s="41" t="n">
        <f aca="false">IF(OR(NOT(Tasks[[#This Row],[_IsLeaf]]=1),Tasks[[#This Row],[Resource]]=""),0,N(Tasks[[#This Row],[Duration]])*HoursPerDay*IF(Tasks[[#This Row],[Units]]="",DefaultUnits,Tasks[[#This Row],[Units]]))</f>
        <v>8</v>
      </c>
      <c r="BY29" s="41" t="n">
        <f aca="false">IF(Tasks[[#This Row],[_LeafWork]]=0,0,Tasks[[#This Row],[_LeafWork]]*IFERROR(INDEX(res_Rate,MATCH(Tasks[[#This Row],[Resource]],res_Name,0)),0))</f>
        <v>760</v>
      </c>
      <c r="BZ29"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2912095</v>
      </c>
      <c r="CA29" s="104"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2912095</v>
      </c>
      <c r="CB29"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29" s="41"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99982</v>
      </c>
      <c r="CD29" s="41" t="n">
        <f aca="false">IF(NOT(Tasks[[#This Row],[_IsLeaf]]=1),0,MAX(_xlfn.MAXIFS(Tasks[_Row],Tasks[Pred1 UID],Tasks[[#This Row],[UID]]),_xlfn.MAXIFS(Tasks[_Row],Tasks[Pred2 UID],Tasks[[#This Row],[UID]])))</f>
        <v>25</v>
      </c>
      <c r="CE29"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46371</v>
      </c>
      <c r="CF29" s="103" t="n">
        <f aca="false">IF(NOT(Tasks[[#This Row],[_IsLeaf]]=1),"",MIN(ProjectFinish,IF(N(Tasks[[#This Row],[Deadline]])&gt;0,Tasks[[#This Row],[Deadline]],2958465),Tasks[[#This Row],[_SuccessorFinishLimit]]))</f>
        <v>46371</v>
      </c>
      <c r="CG29" s="103" t="n">
        <f aca="false">IF(NOT(Tasks[[#This Row],[_IsLeaf]]=1),"",IF(N(Tasks[[#This Row],[Duration]])&lt;=0,Tasks[[#This Row],[_LeafLateFinish]],WORKDAY.INTL(Tasks[[#This Row],[_LeafLateFinish]],-(Tasks[[#This Row],[Duration]]-1),WorkWeek,Holidays)))</f>
        <v>46371</v>
      </c>
      <c r="CH29"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29" s="102" t="b">
        <f aca="false">AND(Tasks[[#This Row],[_IsLeaf]]=1,Tasks[[#This Row],[_LeafProgress]]&lt;1,N(Tasks[[#This Row],[_LeafTotalSlack]])&lt;=CriticalSlackDays)</f>
        <v>1</v>
      </c>
      <c r="CJ29" s="103" t="n">
        <f aca="false">IF(Tasks[[#This Row],[Task Name]]="","",IF(Tasks[[#This Row],[_IsSummary]],MIN(INDEX(Tasks[_LeafCalcStart],Tasks[[#This Row],[_Row]]+1):INDEX(Tasks[_LeafCalcStart],Tasks[[#This Row],[_Row]]+Tasks[[#This Row],[_Descendants]])),Tasks[[#This Row],[_LeafCalcStart]]))</f>
        <v>46371</v>
      </c>
      <c r="CK29" s="103" t="n">
        <f aca="false">IF(Tasks[[#This Row],[Task Name]]="","",IF(Tasks[[#This Row],[_IsSummary]],MAX(INDEX(Tasks[_LeafCalcFinish],Tasks[[#This Row],[_Row]]+1):INDEX(Tasks[_LeafCalcFinish],Tasks[[#This Row],[_Row]]+Tasks[[#This Row],[_Descendants]])),Tasks[[#This Row],[_LeafCalcFinish]]))</f>
        <v>46371</v>
      </c>
      <c r="CL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CO2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46337</v>
      </c>
      <c r="CP2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CQ2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46345</v>
      </c>
      <c r="CR29" s="41" t="n">
        <f aca="false">IF(AND(Tasks[[#This Row],[_IsLeaf]]=1,Tasks[[#This Row],[_LeafWork]]&gt;0),NETWORKDAYS.INTL(ProjectStart,Tasks[[#This Row],[_LeafFcstStart]],WorkWeek,Holidays),0)</f>
        <v>72</v>
      </c>
      <c r="CS29" s="41" t="n">
        <f aca="false">IF(AND(Tasks[[#This Row],[_IsLeaf]]=1,Tasks[[#This Row],[_LeafWork]]&gt;0),MAX(Tasks[[#This Row],[_StartWorkday]],NETWORKDAYS.INTL(ProjectStart,Tasks[[#This Row],[_LeafFcstFinish]],WorkWeek,Holidays)),0)</f>
        <v>72</v>
      </c>
      <c r="CT29" s="41" t="n">
        <f aca="false">IF(AND(Tasks[[#This Row],[_IsLeaf]]=1,Tasks[[#This Row],[_LeafWork]]&gt;0),Tasks[[#This Row],[_LeafWork]]/(Tasks[[#This Row],[_FinishWorkday]]-Tasks[[#This Row],[_StartWorkday]]+1),0)</f>
        <v>8</v>
      </c>
      <c r="CU29" s="41" t="n">
        <f aca="false">Tasks[[#This Row],[_WorkPerWorkday]]*(Tasks[[#This Row],[_StartWorkday]]-1)</f>
        <v>568</v>
      </c>
      <c r="CV29" s="41" t="n">
        <f aca="false">IF(Tasks[[#This Row],[_IsLeaf]]=1,MAX(N(Tasks[[#This Row],[Duration]]),0.1),0)</f>
        <v>1</v>
      </c>
      <c r="CW29" s="41" t="n">
        <f aca="false">Tasks[[#This Row],[_WeightDur]]*Tasks[[#This Row],[_LeafProgress]]</f>
        <v>0</v>
      </c>
      <c r="CX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22</v>
      </c>
      <c r="CY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23</v>
      </c>
      <c r="CZ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22</v>
      </c>
      <c r="DA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23</v>
      </c>
      <c r="DB29" s="41" t="str">
        <f aca="false">IF(Tasks[[#This Row],[Task Name]]="","",Tasks[[#This Row],[_Pred1UIDText]]&amp;IF(AND(Tasks[[#This Row],[_Pred1UIDText]]&lt;&gt;"",Tasks[[#This Row],[_Pred2UIDText]]&lt;&gt;""),",","")&amp;Tasks[[#This Row],[_Pred2UIDText]])</f>
        <v>22,23</v>
      </c>
      <c r="DC29" s="41" t="str">
        <f aca="false">IF(AND(Tasks[[#This Row],[_IsLeaf]]=1,N(Tasks[[#This Row],[Duration]])=0,Tasks[[#This Row],[_LeafProgress]]&lt;1),Tasks[[#This Row],[_LeafFcstFinish]]+Tasks[[#This Row],[_Row]]/100000,"")</f>
        <v/>
      </c>
      <c r="DD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9" s="41" t="n">
        <f aca="false">IF(NOT(Tasks[[#This Row],[_IsLeaf]]=1),0,IF(Tasks[[#This Row],[Baseline Cost]]="",Tasks[[#This Row],[_LeafCost]],N(Tasks[[#This Row],[Baseline Cost]])))</f>
        <v>760</v>
      </c>
      <c r="DF29" s="41" t="n">
        <f aca="false">Tasks[[#This Row],[_LeafBudget]]*Tasks[[#This Row],[_PlannedPct]]</f>
        <v>0</v>
      </c>
      <c r="DG29" s="41" t="n">
        <f aca="false">Tasks[[#This Row],[_LeafBudget]]*Tasks[[#This Row],[_LeafProgress]]</f>
        <v>0</v>
      </c>
      <c r="DH29" s="41" t="n">
        <f aca="false">IF(NOT(Tasks[[#This Row],[_IsLeaf]]=1),0,IF(Tasks[[#This Row],[Actual Cost]]="",Tasks[[#This Row],[_LeafCost]]*Tasks[[#This Row],[_LeafProgress]],N(Tasks[[#This Row],[Actual Cost]])))</f>
        <v>0</v>
      </c>
      <c r="DI29" s="41" t="str">
        <f aca="false">IF(Tasks[[#This Row],[Task Name]]="","",LEFT(Tasks[[#This Row],[WBS]],FIND(".",Tasks[[#This Row],[WBS]]&amp;".")-1))</f>
        <v>4</v>
      </c>
      <c r="DJ29" s="41" t="str">
        <f aca="false">IF(AND(Tasks[[#This Row],[Task Name]]&lt;&gt;"",Tasks[[#This Row],[_Level]]=1),Tasks[[#This Row],[_Row]],"")</f>
        <v/>
      </c>
      <c r="DK29" s="41" t="str">
        <f aca="false">IF(AND(Tasks[[#This Row],[_IsLeaf]]=1,N(Tasks[[#This Row],[Duration]])=0),Tasks[[#This Row],[Planned Finish]]+Tasks[[#This Row],[_Row]]/100000,"")</f>
        <v/>
      </c>
      <c r="DL29" s="41" t="str">
        <f aca="false">IF(AND(Tasks[[#This Row],[_IsLeaf]]=1,Tasks[[#This Row],[_LeafProgress]]&lt;1,OR(N(Tasks[[#This Row],[Finish Var]])&gt;0,Tasks[[#This Row],[Status]]="Late Start")),MAX(0,Tasks[[#This Row],[Finish Var]])+1-Tasks[[#This Row],[_Row]]/1000000,"")</f>
        <v/>
      </c>
      <c r="DM29" s="41" t="str">
        <f aca="false">IF(AND(Tasks[[#This Row],[_IsLeaf]]=1,N(Tasks[[#This Row],[Actual Start]])=0,Tasks[[#This Row],[_LeafFcstStart]]&gt;=StatusDate,Tasks[[#This Row],[_LeafFcstStart]]&lt;=LookaheadEnd),Tasks[[#This Row],[_LeafFcstStart]]+Tasks[[#This Row],[_Row]]/100000,"")</f>
        <v/>
      </c>
      <c r="DN29" s="41" t="str">
        <f aca="false">IF(AND(Tasks[[#This Row],[_IsLeaf]]=1,Tasks[[#This Row],[_LeafProgress]]&lt;1,Tasks[[#This Row],[_LeafFcstFinish]]&gt;=StatusDate,Tasks[[#This Row],[_LeafFcstFinish]]&lt;=LookaheadEnd),Tasks[[#This Row],[_LeafFcstFinish]]+Tasks[[#This Row],[_Row]]/100000,"")</f>
        <v/>
      </c>
      <c r="DO29" s="104" t="n">
        <f aca="false">IF(Tasks[[#This Row],[_LeafCritical]],Tasks[[#This Row],[_LeafFcstStart]]+Tasks[[#This Row],[_Row]]/100000,"")</f>
        <v>46371.00024</v>
      </c>
      <c r="DP29" s="41" t="n">
        <f aca="false">Tasks[[#This Row],[_LeafWork]]*Tasks[[#This Row],[_LeafProgress]]</f>
        <v>0</v>
      </c>
      <c r="DQ29" s="103" t="str">
        <f aca="false">IF(AND(Tasks[[#This Row],[_IsLeaf]]=1,Tasks[[#This Row],[_LeafProgress]]&gt;=1),IF(N(Tasks[[#This Row],[Actual Finish]])&gt;0,Tasks[[#This Row],[Actual Finish]],Tasks[[#This Row],[_LeafFcstFinish]]),"")</f>
        <v/>
      </c>
      <c r="DR29" s="41" t="n">
        <f aca="false">IF(Tasks[[#This Row],[_IsLeaf]]=1,N(Tasks[[#This Row],[Story Points]]),0)</f>
        <v>1</v>
      </c>
      <c r="DS29" s="41" t="str">
        <f aca="false">IF(AND(Tasks[[#This Row],[_IsLeaf]]=1,CurrentSprint&lt;&gt;"",Tasks[[#This Row],[Sprint]]=CurrentSprint),Tasks[[#This Row],[_Row]],"")</f>
        <v/>
      </c>
    </row>
    <row r="30" customFormat="false" ht="15" hidden="false" customHeight="false" outlineLevel="0" collapsed="false">
      <c r="A30" s="28" t="n">
        <f aca="false">IF(Tasks[[#This Row],[Task Name]]="","",COUNTA(Tasks[[#Headers],[Task Name]]:Tasks[[#This Row],[Task Name]])-1)</f>
        <v>25</v>
      </c>
      <c r="B30" s="29" t="n">
        <v>25</v>
      </c>
      <c r="C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4.5</v>
      </c>
      <c r="D30" s="29" t="n">
        <v>2</v>
      </c>
      <c r="E30" s="30" t="s">
        <v>634</v>
      </c>
      <c r="F30" s="29" t="s">
        <v>595</v>
      </c>
      <c r="G30" s="29" t="n">
        <v>0</v>
      </c>
      <c r="H30" s="29" t="n">
        <v>24</v>
      </c>
      <c r="I30" s="29" t="s">
        <v>600</v>
      </c>
      <c r="J30" s="29"/>
      <c r="K30" s="29"/>
      <c r="L30" s="29"/>
      <c r="M30" s="29"/>
      <c r="N30" s="77"/>
      <c r="O30" s="77" t="n">
        <v>46374</v>
      </c>
      <c r="P30" s="25" t="n">
        <f aca="false">IF(Tasks[[#This Row],[Task Name]]="","",IF(N(Tasks[[#This Row],[Baseline Start]])&gt;0,Tasks[[#This Row],[Baseline Start]],Tasks[[#This Row],[_CalcStart]]))</f>
        <v>46371</v>
      </c>
      <c r="Q30" s="25" t="n">
        <f aca="false">IF(Tasks[[#This Row],[Task Name]]="","",IF(N(Tasks[[#This Row],[Baseline Finish]])&gt;0,Tasks[[#This Row],[Baseline Finish]],Tasks[[#This Row],[_CalcFinish]]))</f>
        <v>46371</v>
      </c>
      <c r="R30" s="77"/>
      <c r="S30" s="77"/>
      <c r="T30" s="25" t="n">
        <f aca="false">IF(Tasks[[#This Row],[Task Name]]="","",IF(Tasks[[#This Row],[_IsSummary]],MIN(INDEX(Tasks[_LeafFcstStart],Tasks[[#This Row],[_Row]]+1):INDEX(Tasks[_LeafFcstStart],Tasks[[#This Row],[_Row]]+Tasks[[#This Row],[_Descendants]])),Tasks[[#This Row],[_LeafFcstStart]]))</f>
        <v>46371</v>
      </c>
      <c r="U30" s="25" t="n">
        <f aca="false">IF(Tasks[[#This Row],[Task Name]]="","",IF(Tasks[[#This Row],[_IsSummary]],MAX(INDEX(Tasks[_LeafFcstFinish],Tasks[[#This Row],[_Row]]+1):INDEX(Tasks[_LeafFcstFinish],Tasks[[#This Row],[_Row]]+Tasks[[#This Row],[_Descendants]])),Tasks[[#This Row],[_LeafFcstFinish]]))</f>
        <v>46371</v>
      </c>
      <c r="V30"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0"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0" s="25" t="n">
        <f aca="false">IF(Tasks[[#This Row],[Task Name]]="","",IF(Tasks[[#This Row],[_IsSummary]],MIN(INDEX(Tasks[_LeafLateStart],Tasks[[#This Row],[_Row]]+1):INDEX(Tasks[_LeafLateStart],Tasks[[#This Row],[_Row]]+Tasks[[#This Row],[_Descendants]])),Tasks[[#This Row],[_LeafLateStart]]))</f>
        <v>46371</v>
      </c>
      <c r="Y30" s="25" t="n">
        <f aca="false">IF(Tasks[[#This Row],[Task Name]]="","",IF(Tasks[[#This Row],[_IsSummary]],MAX(INDEX(Tasks[_LeafLateFinish],Tasks[[#This Row],[_Row]]+1):INDEX(Tasks[_LeafLateFinish],Tasks[[#This Row],[_Row]]+Tasks[[#This Row],[_Descendants]])),Tasks[[#This Row],[_LeafLateFinish]]))</f>
        <v>46371</v>
      </c>
      <c r="Z30" s="43" t="n">
        <f aca="false">IF(Tasks[[#This Row],[Task Name]]="","",IF(Tasks[[#This Row],[_IsSummary]],MIN(INDEX(Tasks[_LeafTotalSlack],Tasks[[#This Row],[_Row]]+1):INDEX(Tasks[_LeafTotalSlack],Tasks[[#This Row],[_Row]]+Tasks[[#This Row],[_Descendants]])),Tasks[[#This Row],[_LeafTotalSlack]]))</f>
        <v>0</v>
      </c>
      <c r="AA30"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0" s="28" t="str">
        <f aca="false">IF(Tasks[[#This Row],[Task Name]]="","",IF(IF(Tasks[[#This Row],[_IsSummary]],COUNTIF(INDEX(Tasks[_LeafCritical],Tasks[[#This Row],[_Row]]+1):INDEX(Tasks[_LeafCritical],Tasks[[#This Row],[_Row]]+Tasks[[#This Row],[_Descendants]]),TRUE())&gt;0,Tasks[[#This Row],[_LeafCritical]]),"Yes",""))</f>
        <v>Yes</v>
      </c>
      <c r="AC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OK</v>
      </c>
      <c r="AD30" s="24" t="str">
        <f aca="false">IF(Tasks[[#This Row],[Task Name]]="","",TRIM(IF(Tasks[[#This Row],[_Pred1Problem]]&lt;&gt;"","Pred 1: "&amp;Tasks[[#This Row],[_Pred1Problem]]&amp;". ","")&amp;IF(Tasks[[#This Row],[_Pred2Problem]]&lt;&gt;"","Pred 2: "&amp;Tasks[[#This Row],[_Pred2Problem]]&amp;".","")))</f>
        <v/>
      </c>
      <c r="AE30" s="91"/>
      <c r="AF30"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0" s="28" t="str">
        <f aca="false">IF(Tasks[[#This Row],[Task Name]]="","",IF(Tasks[[#This Row],[Progress]]&gt;=1,"Complete",IF(OR(N(Tasks[[#This Row],[Actual Start]])&gt;0,Tasks[[#This Row],[Progress]]&gt;0),IF(Tasks[[#This Row],[Finish Var]]&gt;0,"Behind","In Progress"),IF(Tasks[[#This Row],[Planned Start]]&lt;StatusDate,"Late Start","Not Started"))))</f>
        <v>Not Started</v>
      </c>
      <c r="AH30" s="30"/>
      <c r="AI30" s="91"/>
      <c r="AJ3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0" s="98" t="n">
        <f aca="false">IF(Tasks[[#This Row],[Task Name]]="","",IF(Tasks[[#This Row],[_IsSummary]],SUM(INDEX(Tasks[_LeafWork],Tasks[[#This Row],[_Row]]+1):INDEX(Tasks[_LeafWork],Tasks[[#This Row],[_Row]]+Tasks[[#This Row],[_Descendants]])),Tasks[[#This Row],[_LeafWork]]))</f>
        <v>0</v>
      </c>
      <c r="AL30" s="99" t="n">
        <f aca="false">IF(Tasks[[#This Row],[Task Name]]="","",IF(Tasks[[#This Row],[_IsSummary]],SUM(INDEX(Tasks[_LeafCost],Tasks[[#This Row],[_Row]]+1):INDEX(Tasks[_LeafCost],Tasks[[#This Row],[_Row]]+Tasks[[#This Row],[_Descendants]])),Tasks[[#This Row],[_LeafCost]]))</f>
        <v>0</v>
      </c>
      <c r="AM30" s="100"/>
      <c r="AN30" s="29"/>
      <c r="AO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P30" s="85"/>
      <c r="AQ30" s="24" t="str">
        <f aca="false">IF(Tasks[[#This Row],[Task Name]]="","",Tasks[[#This Row],[_Pred1IDText]]&amp;IF(AND(Tasks[[#This Row],[_Pred1IDText]]&lt;&gt;"",Tasks[[#This Row],[_Pred2IDText]]&lt;&gt;""),",","")&amp;Tasks[[#This Row],[_Pred2IDText]])</f>
        <v>24</v>
      </c>
      <c r="AR30" s="30" t="s">
        <v>635</v>
      </c>
      <c r="AS30" s="25" t="n">
        <f aca="false">IF(Tasks[[#This Row],[Task Name]]="","",Tasks[[#This Row],[Forecast Start]])</f>
        <v>46371</v>
      </c>
      <c r="AT30" s="25" t="n">
        <f aca="false">IF(Tasks[[#This Row],[Task Name]]="","",Tasks[[#This Row],[Forecast Finish]])</f>
        <v>46371</v>
      </c>
      <c r="AU30" s="28" t="n">
        <f aca="false">IF(Tasks[[#This Row],[Task Name]]="","",IF(Tasks[[#This Row],[_IsSummary]],NETWORKDAYS.INTL(Tasks[[#This Row],[Forecast Start]],Tasks[[#This Row],[Forecast Finish]],WorkWeek,Holidays),N(Tasks[[#This Row],[Duration]])))</f>
        <v>0</v>
      </c>
      <c r="AV30" s="98" t="n">
        <f aca="false">IF(Tasks[[#This Row],[Task Name]]="","",Tasks[[#This Row],[Work]])</f>
        <v>0</v>
      </c>
      <c r="AW30" s="99" t="n">
        <f aca="false">IF(Tasks[[#This Row],[Task Name]]="","",Tasks[[#This Row],[Cost]])</f>
        <v>0</v>
      </c>
      <c r="AX30" s="77"/>
      <c r="AY30" s="77"/>
      <c r="AZ30" s="29"/>
      <c r="BA30" s="101"/>
      <c r="BB30" s="100"/>
      <c r="BC30" s="28" t="str">
        <f aca="false">IF(OR(Tasks[[#This Row],[Task Name]]="",Tasks[[#This Row],[Baseline Duration]]=""),"",Tasks[[#This Row],[BL Source Duration]]-N(Tasks[[#This Row],[Baseline Duration]]))</f>
        <v/>
      </c>
      <c r="BD30" s="98" t="str">
        <f aca="false">IF(OR(Tasks[[#This Row],[Task Name]]="",Tasks[[#This Row],[Baseline Work]]=""),"",Tasks[[#This Row],[Work]]-N(Tasks[[#This Row],[Baseline Work]]))</f>
        <v/>
      </c>
      <c r="BE30" s="99" t="str">
        <f aca="false">IF(OR(Tasks[[#This Row],[Task Name]]="",Tasks[[#This Row],[Baseline Cost]]=""),"",Tasks[[#This Row],[Cost]]-N(Tasks[[#This Row],[Baseline Cost]]))</f>
        <v/>
      </c>
      <c r="BF30" s="99" t="n">
        <f aca="false">IF(Tasks[[#This Row],[Task Name]]="","",IF(Tasks[[#This Row],[_IsSummary]],SUM(INDEX(Tasks[_LeafBudget],Tasks[[#This Row],[_Row]]+1):INDEX(Tasks[_LeafBudget],Tasks[[#This Row],[_Row]]+Tasks[[#This Row],[_Descendants]])),Tasks[[#This Row],[_LeafBudget]]))</f>
        <v>0</v>
      </c>
      <c r="BG30" s="99" t="n">
        <f aca="false">IF(Tasks[[#This Row],[Task Name]]="","",IF(Tasks[[#This Row],[_IsSummary]],SUM(INDEX(Tasks[_LeafPV],Tasks[[#This Row],[_Row]]+1):INDEX(Tasks[_LeafPV],Tasks[[#This Row],[_Row]]+Tasks[[#This Row],[_Descendants]])),Tasks[[#This Row],[_LeafPV]]))</f>
        <v>0</v>
      </c>
      <c r="BH30" s="99" t="n">
        <f aca="false">IF(Tasks[[#This Row],[Task Name]]="","",IF(Tasks[[#This Row],[_IsSummary]],SUM(INDEX(Tasks[_LeafEV],Tasks[[#This Row],[_Row]]+1):INDEX(Tasks[_LeafEV],Tasks[[#This Row],[_Row]]+Tasks[[#This Row],[_Descendants]])),Tasks[[#This Row],[_LeafEV]]))</f>
        <v>0</v>
      </c>
      <c r="BI30" s="99" t="n">
        <f aca="false">IF(Tasks[[#This Row],[Task Name]]="","",IF(Tasks[[#This Row],[_IsSummary]],SUM(INDEX(Tasks[_LeafAC],Tasks[[#This Row],[_Row]]+1):INDEX(Tasks[_LeafAC],Tasks[[#This Row],[_Row]]+Tasks[[#This Row],[_Descendants]])),Tasks[[#This Row],[_LeafAC]]))</f>
        <v>0</v>
      </c>
      <c r="BJ30" s="41" t="n">
        <f aca="false">IF(Tasks[[#This Row],[Task Name]]="","",MAX(1,N(Tasks[[#This Row],[Level]])))</f>
        <v>2</v>
      </c>
      <c r="BK30" s="41" t="n">
        <f aca="false">ROW()-ROW(Tasks[[#Headers],[ID]])</f>
        <v>25</v>
      </c>
      <c r="BL30" s="41" t="n">
        <f aca="false">IF(OR(Tasks[[#This Row],[Task Name]]="",Tasks[[#This Row],[_Level]]&lt;=1),0,IFERROR(LOOKUP(2,1/(Tasks[[#Headers],[_Level]]:Tasks[[#This Row],[_Level]]=Tasks[[#This Row],[_Level]]-1),ROW(Tasks[[#Headers],[_Level]]:Tasks[[#This Row],[_Level]])),0))</f>
        <v>25</v>
      </c>
      <c r="BM30" s="41" t="n">
        <f aca="false">IFERROR(N(INDEX(Tasks[_Level],Tasks[[#This Row],[_Row]]+1)),0)</f>
        <v>2</v>
      </c>
      <c r="BN30" s="102" t="b">
        <f aca="false">AND(Tasks[[#This Row],[Task Name]]&lt;&gt;"",Tasks[[#This Row],[_NextLevel]]&gt;Tasks[[#This Row],[_Level]])</f>
        <v>0</v>
      </c>
      <c r="BO30" s="41" t="n">
        <f aca="false">IF(Tasks[[#This Row],[_IsSummary]],COUNTIF(Tasks[WBS],Tasks[[#This Row],[WBS]]&amp;".*"),0)</f>
        <v>0</v>
      </c>
      <c r="BP30" s="41" t="n">
        <f aca="false">IF(AND(Tasks[[#This Row],[Task Name]]&lt;&gt;"",NOT(Tasks[[#This Row],[_IsSummary]])),1,0)</f>
        <v>1</v>
      </c>
      <c r="BQ30" s="41" t="n">
        <f aca="false">IF(N(Tasks[[#This Row],[Pred1 UID]])=0,0,IFERROR(MATCH(Tasks[[#This Row],[Pred1 UID]],Tasks[UID],0),-1))</f>
        <v>24</v>
      </c>
      <c r="BR30" s="41" t="n">
        <f aca="false">IF(N(Tasks[[#This Row],[Pred2 UID]])=0,0,IFERROR(MATCH(Tasks[[#This Row],[Pred2 UID]],Tasks[UID],0),-1))</f>
        <v>0</v>
      </c>
      <c r="BS30"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46371</v>
      </c>
      <c r="BT30" s="103" t="n">
        <f aca="false">IF(NOT(Tasks[[#This Row],[_IsLeaf]]=1),"",IF(N(Tasks[[#This Row],[Duration]])&lt;=0,Tasks[[#This Row],[_LeafCalcStart]],WORKDAY.INTL(Tasks[[#This Row],[_LeafCalcStart]],Tasks[[#This Row],[Duration]]-1,WorkWeek,Holidays)))</f>
        <v>46371</v>
      </c>
      <c r="BU30"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46371</v>
      </c>
      <c r="BV30"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BW30" s="41" t="n">
        <f aca="false">IF(NOT(Tasks[[#This Row],[_IsLeaf]]=1),0,IF(N(Tasks[[#This Row],[Actual Finish]])&gt;0,1,MIN(1,N(Tasks[[#This Row],[% Complete]]))))</f>
        <v>0</v>
      </c>
      <c r="BX30" s="41" t="n">
        <f aca="false">IF(OR(NOT(Tasks[[#This Row],[_IsLeaf]]=1),Tasks[[#This Row],[Resource]]=""),0,N(Tasks[[#This Row],[Duration]])*HoursPerDay*IF(Tasks[[#This Row],[Units]]="",DefaultUnits,Tasks[[#This Row],[Units]]))</f>
        <v>0</v>
      </c>
      <c r="BY30" s="41" t="n">
        <f aca="false">IF(Tasks[[#This Row],[_LeafWork]]=0,0,Tasks[[#This Row],[_LeafWork]]*IFERROR(INDEX(res_Rate,MATCH(Tasks[[#This Row],[Resource]],res_Name,0)),0))</f>
        <v>0</v>
      </c>
      <c r="BZ30"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A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0"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0" s="41" t="n">
        <f aca="false">IF(NOT(Tasks[[#This Row],[_IsLeaf]]=1),0,MAX(_xlfn.MAXIFS(Tasks[_Row],Tasks[Pred1 UID],Tasks[[#This Row],[UID]]),_xlfn.MAXIFS(Tasks[_Row],Tasks[Pred2 UID],Tasks[[#This Row],[UID]])))</f>
        <v>26</v>
      </c>
      <c r="CE30"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46371</v>
      </c>
      <c r="CF30" s="103" t="n">
        <f aca="false">IF(NOT(Tasks[[#This Row],[_IsLeaf]]=1),"",MIN(ProjectFinish,IF(N(Tasks[[#This Row],[Deadline]])&gt;0,Tasks[[#This Row],[Deadline]],2958465),Tasks[[#This Row],[_SuccessorFinishLimit]]))</f>
        <v>46371</v>
      </c>
      <c r="CG30" s="103" t="n">
        <f aca="false">IF(NOT(Tasks[[#This Row],[_IsLeaf]]=1),"",IF(N(Tasks[[#This Row],[Duration]])&lt;=0,Tasks[[#This Row],[_LeafLateFinish]],WORKDAY.INTL(Tasks[[#This Row],[_LeafLateFinish]],-(Tasks[[#This Row],[Duration]]-1),WorkWeek,Holidays)))</f>
        <v>46371</v>
      </c>
      <c r="CH30"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30" s="102" t="b">
        <f aca="false">AND(Tasks[[#This Row],[_IsLeaf]]=1,Tasks[[#This Row],[_LeafProgress]]&lt;1,N(Tasks[[#This Row],[_LeafTotalSlack]])&lt;=CriticalSlackDays)</f>
        <v>1</v>
      </c>
      <c r="CJ30" s="103" t="n">
        <f aca="false">IF(Tasks[[#This Row],[Task Name]]="","",IF(Tasks[[#This Row],[_IsSummary]],MIN(INDEX(Tasks[_LeafCalcStart],Tasks[[#This Row],[_Row]]+1):INDEX(Tasks[_LeafCalcStart],Tasks[[#This Row],[_Row]]+Tasks[[#This Row],[_Descendants]])),Tasks[[#This Row],[_LeafCalcStart]]))</f>
        <v>46371</v>
      </c>
      <c r="CK30" s="103" t="n">
        <f aca="false">IF(Tasks[[#This Row],[Task Name]]="","",IF(Tasks[[#This Row],[_IsSummary]],MAX(INDEX(Tasks[_LeafCalcFinish],Tasks[[#This Row],[_Row]]+1):INDEX(Tasks[_LeafCalcFinish],Tasks[[#This Row],[_Row]]+Tasks[[#This Row],[_Descendants]])),Tasks[[#This Row],[_LeafCalcFinish]]))</f>
        <v>46371</v>
      </c>
      <c r="CL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CO3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CQ3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0" s="41" t="n">
        <f aca="false">IF(AND(Tasks[[#This Row],[_IsLeaf]]=1,Tasks[[#This Row],[_LeafWork]]&gt;0),NETWORKDAYS.INTL(ProjectStart,Tasks[[#This Row],[_LeafFcstStart]],WorkWeek,Holidays),0)</f>
        <v>0</v>
      </c>
      <c r="CS30" s="41" t="n">
        <f aca="false">IF(AND(Tasks[[#This Row],[_IsLeaf]]=1,Tasks[[#This Row],[_LeafWork]]&gt;0),MAX(Tasks[[#This Row],[_StartWorkday]],NETWORKDAYS.INTL(ProjectStart,Tasks[[#This Row],[_LeafFcstFinish]],WorkWeek,Holidays)),0)</f>
        <v>0</v>
      </c>
      <c r="CT30" s="41" t="n">
        <f aca="false">IF(AND(Tasks[[#This Row],[_IsLeaf]]=1,Tasks[[#This Row],[_LeafWork]]&gt;0),Tasks[[#This Row],[_LeafWork]]/(Tasks[[#This Row],[_FinishWorkday]]-Tasks[[#This Row],[_StartWorkday]]+1),0)</f>
        <v>0</v>
      </c>
      <c r="CU30" s="41" t="n">
        <f aca="false">Tasks[[#This Row],[_WorkPerWorkday]]*(Tasks[[#This Row],[_StartWorkday]]-1)</f>
        <v>-0</v>
      </c>
      <c r="CV30" s="41" t="n">
        <f aca="false">IF(Tasks[[#This Row],[_IsLeaf]]=1,MAX(N(Tasks[[#This Row],[Duration]]),0.1),0)</f>
        <v>0.1</v>
      </c>
      <c r="CW30" s="41" t="n">
        <f aca="false">Tasks[[#This Row],[_WeightDur]]*Tasks[[#This Row],[_LeafProgress]]</f>
        <v>0</v>
      </c>
      <c r="CX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24</v>
      </c>
      <c r="CY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24</v>
      </c>
      <c r="DA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0" s="41" t="str">
        <f aca="false">IF(Tasks[[#This Row],[Task Name]]="","",Tasks[[#This Row],[_Pred1UIDText]]&amp;IF(AND(Tasks[[#This Row],[_Pred1UIDText]]&lt;&gt;"",Tasks[[#This Row],[_Pred2UIDText]]&lt;&gt;""),",","")&amp;Tasks[[#This Row],[_Pred2UIDText]])</f>
        <v>24</v>
      </c>
      <c r="DC30" s="104" t="n">
        <f aca="false">IF(AND(Tasks[[#This Row],[_IsLeaf]]=1,N(Tasks[[#This Row],[Duration]])=0,Tasks[[#This Row],[_LeafProgress]]&lt;1),Tasks[[#This Row],[_LeafFcstFinish]]+Tasks[[#This Row],[_Row]]/100000,"")</f>
        <v>46371.00025</v>
      </c>
      <c r="DD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0" s="41" t="n">
        <f aca="false">IF(NOT(Tasks[[#This Row],[_IsLeaf]]=1),0,IF(Tasks[[#This Row],[Baseline Cost]]="",Tasks[[#This Row],[_LeafCost]],N(Tasks[[#This Row],[Baseline Cost]])))</f>
        <v>0</v>
      </c>
      <c r="DF30" s="41" t="n">
        <f aca="false">Tasks[[#This Row],[_LeafBudget]]*Tasks[[#This Row],[_PlannedPct]]</f>
        <v>0</v>
      </c>
      <c r="DG30" s="41" t="n">
        <f aca="false">Tasks[[#This Row],[_LeafBudget]]*Tasks[[#This Row],[_LeafProgress]]</f>
        <v>0</v>
      </c>
      <c r="DH30" s="41" t="n">
        <f aca="false">IF(NOT(Tasks[[#This Row],[_IsLeaf]]=1),0,IF(Tasks[[#This Row],[Actual Cost]]="",Tasks[[#This Row],[_LeafCost]]*Tasks[[#This Row],[_LeafProgress]],N(Tasks[[#This Row],[Actual Cost]])))</f>
        <v>0</v>
      </c>
      <c r="DI30" s="41" t="str">
        <f aca="false">IF(Tasks[[#This Row],[Task Name]]="","",LEFT(Tasks[[#This Row],[WBS]],FIND(".",Tasks[[#This Row],[WBS]]&amp;".")-1))</f>
        <v>4</v>
      </c>
      <c r="DJ30" s="41" t="str">
        <f aca="false">IF(AND(Tasks[[#This Row],[Task Name]]&lt;&gt;"",Tasks[[#This Row],[_Level]]=1),Tasks[[#This Row],[_Row]],"")</f>
        <v/>
      </c>
      <c r="DK30" s="104" t="n">
        <f aca="false">IF(AND(Tasks[[#This Row],[_IsLeaf]]=1,N(Tasks[[#This Row],[Duration]])=0),Tasks[[#This Row],[Planned Finish]]+Tasks[[#This Row],[_Row]]/100000,"")</f>
        <v>46371.00025</v>
      </c>
      <c r="DL30" s="41" t="str">
        <f aca="false">IF(AND(Tasks[[#This Row],[_IsLeaf]]=1,Tasks[[#This Row],[_LeafProgress]]&lt;1,OR(N(Tasks[[#This Row],[Finish Var]])&gt;0,Tasks[[#This Row],[Status]]="Late Start")),MAX(0,Tasks[[#This Row],[Finish Var]])+1-Tasks[[#This Row],[_Row]]/1000000,"")</f>
        <v/>
      </c>
      <c r="DM30" s="41" t="str">
        <f aca="false">IF(AND(Tasks[[#This Row],[_IsLeaf]]=1,N(Tasks[[#This Row],[Actual Start]])=0,Tasks[[#This Row],[_LeafFcstStart]]&gt;=StatusDate,Tasks[[#This Row],[_LeafFcstStart]]&lt;=LookaheadEnd),Tasks[[#This Row],[_LeafFcstStart]]+Tasks[[#This Row],[_Row]]/100000,"")</f>
        <v/>
      </c>
      <c r="DN30" s="41" t="str">
        <f aca="false">IF(AND(Tasks[[#This Row],[_IsLeaf]]=1,Tasks[[#This Row],[_LeafProgress]]&lt;1,Tasks[[#This Row],[_LeafFcstFinish]]&gt;=StatusDate,Tasks[[#This Row],[_LeafFcstFinish]]&lt;=LookaheadEnd),Tasks[[#This Row],[_LeafFcstFinish]]+Tasks[[#This Row],[_Row]]/100000,"")</f>
        <v/>
      </c>
      <c r="DO30" s="104" t="n">
        <f aca="false">IF(Tasks[[#This Row],[_LeafCritical]],Tasks[[#This Row],[_LeafFcstStart]]+Tasks[[#This Row],[_Row]]/100000,"")</f>
        <v>46371.00025</v>
      </c>
      <c r="DP30" s="41" t="n">
        <f aca="false">Tasks[[#This Row],[_LeafWork]]*Tasks[[#This Row],[_LeafProgress]]</f>
        <v>0</v>
      </c>
      <c r="DQ30" s="103" t="str">
        <f aca="false">IF(AND(Tasks[[#This Row],[_IsLeaf]]=1,Tasks[[#This Row],[_LeafProgress]]&gt;=1),IF(N(Tasks[[#This Row],[Actual Finish]])&gt;0,Tasks[[#This Row],[Actual Finish]],Tasks[[#This Row],[_LeafFcstFinish]]),"")</f>
        <v/>
      </c>
      <c r="DR30" s="41" t="n">
        <f aca="false">IF(Tasks[[#This Row],[_IsLeaf]]=1,N(Tasks[[#This Row],[Story Points]]),0)</f>
        <v>0</v>
      </c>
      <c r="DS30" s="41" t="str">
        <f aca="false">IF(AND(Tasks[[#This Row],[_IsLeaf]]=1,CurrentSprint&lt;&gt;"",Tasks[[#This Row],[Sprint]]=CurrentSprint),Tasks[[#This Row],[_Row]],"")</f>
        <v/>
      </c>
    </row>
    <row r="31" customFormat="false" ht="15" hidden="false" customHeight="false" outlineLevel="0" collapsed="false">
      <c r="A31" s="28" t="n">
        <f aca="false">IF(Tasks[[#This Row],[Task Name]]="","",COUNTA(Tasks[[#Headers],[Task Name]]:Tasks[[#This Row],[Task Name]])-1)</f>
        <v>26</v>
      </c>
      <c r="B31" s="29" t="n">
        <v>26</v>
      </c>
      <c r="C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4.6</v>
      </c>
      <c r="D31" s="29" t="n">
        <v>2</v>
      </c>
      <c r="E31" s="30" t="s">
        <v>636</v>
      </c>
      <c r="F31" s="29" t="s">
        <v>595</v>
      </c>
      <c r="G31" s="29" t="n">
        <v>10</v>
      </c>
      <c r="H31" s="29" t="n">
        <v>25</v>
      </c>
      <c r="I31" s="29" t="s">
        <v>600</v>
      </c>
      <c r="J31" s="29"/>
      <c r="K31" s="29"/>
      <c r="L31" s="29"/>
      <c r="M31" s="29"/>
      <c r="N31" s="77"/>
      <c r="O31" s="77"/>
      <c r="P31" s="25" t="n">
        <f aca="false">IF(Tasks[[#This Row],[Task Name]]="","",IF(N(Tasks[[#This Row],[Baseline Start]])&gt;0,Tasks[[#This Row],[Baseline Start]],Tasks[[#This Row],[_CalcStart]]))</f>
        <v>46372</v>
      </c>
      <c r="Q31" s="25" t="n">
        <f aca="false">IF(Tasks[[#This Row],[Task Name]]="","",IF(N(Tasks[[#This Row],[Baseline Finish]])&gt;0,Tasks[[#This Row],[Baseline Finish]],Tasks[[#This Row],[_CalcFinish]]))</f>
        <v>46391</v>
      </c>
      <c r="R31" s="77"/>
      <c r="S31" s="77"/>
      <c r="T31" s="25" t="n">
        <f aca="false">IF(Tasks[[#This Row],[Task Name]]="","",IF(Tasks[[#This Row],[_IsSummary]],MIN(INDEX(Tasks[_LeafFcstStart],Tasks[[#This Row],[_Row]]+1):INDEX(Tasks[_LeafFcstStart],Tasks[[#This Row],[_Row]]+Tasks[[#This Row],[_Descendants]])),Tasks[[#This Row],[_LeafFcstStart]]))</f>
        <v>46372</v>
      </c>
      <c r="U31" s="25" t="n">
        <f aca="false">IF(Tasks[[#This Row],[Task Name]]="","",IF(Tasks[[#This Row],[_IsSummary]],MAX(INDEX(Tasks[_LeafFcstFinish],Tasks[[#This Row],[_Row]]+1):INDEX(Tasks[_LeafFcstFinish],Tasks[[#This Row],[_Row]]+Tasks[[#This Row],[_Descendants]])),Tasks[[#This Row],[_LeafFcstFinish]]))</f>
        <v>46391</v>
      </c>
      <c r="V31"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1"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1" s="25" t="n">
        <f aca="false">IF(Tasks[[#This Row],[Task Name]]="","",IF(Tasks[[#This Row],[_IsSummary]],MIN(INDEX(Tasks[_LeafLateStart],Tasks[[#This Row],[_Row]]+1):INDEX(Tasks[_LeafLateStart],Tasks[[#This Row],[_Row]]+Tasks[[#This Row],[_Descendants]])),Tasks[[#This Row],[_LeafLateStart]]))</f>
        <v>46372</v>
      </c>
      <c r="Y31" s="25" t="n">
        <f aca="false">IF(Tasks[[#This Row],[Task Name]]="","",IF(Tasks[[#This Row],[_IsSummary]],MAX(INDEX(Tasks[_LeafLateFinish],Tasks[[#This Row],[_Row]]+1):INDEX(Tasks[_LeafLateFinish],Tasks[[#This Row],[_Row]]+Tasks[[#This Row],[_Descendants]])),Tasks[[#This Row],[_LeafLateFinish]]))</f>
        <v>46391</v>
      </c>
      <c r="Z31" s="43" t="n">
        <f aca="false">IF(Tasks[[#This Row],[Task Name]]="","",IF(Tasks[[#This Row],[_IsSummary]],MIN(INDEX(Tasks[_LeafTotalSlack],Tasks[[#This Row],[_Row]]+1):INDEX(Tasks[_LeafTotalSlack],Tasks[[#This Row],[_Row]]+Tasks[[#This Row],[_Descendants]])),Tasks[[#This Row],[_LeafTotalSlack]]))</f>
        <v>0</v>
      </c>
      <c r="AA31"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1" s="28" t="str">
        <f aca="false">IF(Tasks[[#This Row],[Task Name]]="","",IF(IF(Tasks[[#This Row],[_IsSummary]],COUNTIF(INDEX(Tasks[_LeafCritical],Tasks[[#This Row],[_Row]]+1):INDEX(Tasks[_LeafCritical],Tasks[[#This Row],[_Row]]+Tasks[[#This Row],[_Descendants]]),TRUE())&gt;0,Tasks[[#This Row],[_LeafCritical]]),"Yes",""))</f>
        <v>Yes</v>
      </c>
      <c r="AC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1" s="24" t="str">
        <f aca="false">IF(Tasks[[#This Row],[Task Name]]="","",TRIM(IF(Tasks[[#This Row],[_Pred1Problem]]&lt;&gt;"","Pred 1: "&amp;Tasks[[#This Row],[_Pred1Problem]]&amp;". ","")&amp;IF(Tasks[[#This Row],[_Pred2Problem]]&lt;&gt;"","Pred 2: "&amp;Tasks[[#This Row],[_Pred2Problem]]&amp;".","")))</f>
        <v/>
      </c>
      <c r="AE31" s="91"/>
      <c r="AF31"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1" s="28" t="str">
        <f aca="false">IF(Tasks[[#This Row],[Task Name]]="","",IF(Tasks[[#This Row],[Progress]]&gt;=1,"Complete",IF(OR(N(Tasks[[#This Row],[Actual Start]])&gt;0,Tasks[[#This Row],[Progress]]&gt;0),IF(Tasks[[#This Row],[Finish Var]]&gt;0,"Behind","In Progress"),IF(Tasks[[#This Row],[Planned Start]]&lt;StatusDate,"Late Start","Not Started"))))</f>
        <v>Not Started</v>
      </c>
      <c r="AH31" s="30" t="s">
        <v>286</v>
      </c>
      <c r="AI31" s="91" t="n">
        <v>0.5</v>
      </c>
      <c r="AJ3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Yes</v>
      </c>
      <c r="AK31" s="98" t="n">
        <f aca="false">IF(Tasks[[#This Row],[Task Name]]="","",IF(Tasks[[#This Row],[_IsSummary]],SUM(INDEX(Tasks[_LeafWork],Tasks[[#This Row],[_Row]]+1):INDEX(Tasks[_LeafWork],Tasks[[#This Row],[_Row]]+Tasks[[#This Row],[_Descendants]])),Tasks[[#This Row],[_LeafWork]]))</f>
        <v>40</v>
      </c>
      <c r="AL31" s="99" t="n">
        <f aca="false">IF(Tasks[[#This Row],[Task Name]]="","",IF(Tasks[[#This Row],[_IsSummary]],SUM(INDEX(Tasks[_LeafCost],Tasks[[#This Row],[_Row]]+1):INDEX(Tasks[_LeafCost],Tasks[[#This Row],[_Row]]+Tasks[[#This Row],[_Descendants]])),Tasks[[#This Row],[_LeafCost]]))</f>
        <v>3400</v>
      </c>
      <c r="AM31" s="100"/>
      <c r="AN31" s="29"/>
      <c r="AO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AP31" s="85" t="n">
        <v>5</v>
      </c>
      <c r="AQ31" s="24" t="str">
        <f aca="false">IF(Tasks[[#This Row],[Task Name]]="","",Tasks[[#This Row],[_Pred1IDText]]&amp;IF(AND(Tasks[[#This Row],[_Pred1IDText]]&lt;&gt;"",Tasks[[#This Row],[_Pred2IDText]]&lt;&gt;""),",","")&amp;Tasks[[#This Row],[_Pred2IDText]])</f>
        <v>25</v>
      </c>
      <c r="AR31" s="30"/>
      <c r="AS31" s="25" t="n">
        <f aca="false">IF(Tasks[[#This Row],[Task Name]]="","",Tasks[[#This Row],[Forecast Start]])</f>
        <v>46372</v>
      </c>
      <c r="AT31" s="25" t="n">
        <f aca="false">IF(Tasks[[#This Row],[Task Name]]="","",Tasks[[#This Row],[Forecast Finish]])</f>
        <v>46391</v>
      </c>
      <c r="AU31" s="28" t="n">
        <f aca="false">IF(Tasks[[#This Row],[Task Name]]="","",IF(Tasks[[#This Row],[_IsSummary]],NETWORKDAYS.INTL(Tasks[[#This Row],[Forecast Start]],Tasks[[#This Row],[Forecast Finish]],WorkWeek,Holidays),N(Tasks[[#This Row],[Duration]])))</f>
        <v>10</v>
      </c>
      <c r="AV31" s="98" t="n">
        <f aca="false">IF(Tasks[[#This Row],[Task Name]]="","",Tasks[[#This Row],[Work]])</f>
        <v>40</v>
      </c>
      <c r="AW31" s="99" t="n">
        <f aca="false">IF(Tasks[[#This Row],[Task Name]]="","",Tasks[[#This Row],[Cost]])</f>
        <v>3400</v>
      </c>
      <c r="AX31" s="77"/>
      <c r="AY31" s="77"/>
      <c r="AZ31" s="29"/>
      <c r="BA31" s="101"/>
      <c r="BB31" s="100"/>
      <c r="BC31" s="28" t="str">
        <f aca="false">IF(OR(Tasks[[#This Row],[Task Name]]="",Tasks[[#This Row],[Baseline Duration]]=""),"",Tasks[[#This Row],[BL Source Duration]]-N(Tasks[[#This Row],[Baseline Duration]]))</f>
        <v/>
      </c>
      <c r="BD31" s="98" t="str">
        <f aca="false">IF(OR(Tasks[[#This Row],[Task Name]]="",Tasks[[#This Row],[Baseline Work]]=""),"",Tasks[[#This Row],[Work]]-N(Tasks[[#This Row],[Baseline Work]]))</f>
        <v/>
      </c>
      <c r="BE31" s="99" t="str">
        <f aca="false">IF(OR(Tasks[[#This Row],[Task Name]]="",Tasks[[#This Row],[Baseline Cost]]=""),"",Tasks[[#This Row],[Cost]]-N(Tasks[[#This Row],[Baseline Cost]]))</f>
        <v/>
      </c>
      <c r="BF31" s="99" t="n">
        <f aca="false">IF(Tasks[[#This Row],[Task Name]]="","",IF(Tasks[[#This Row],[_IsSummary]],SUM(INDEX(Tasks[_LeafBudget],Tasks[[#This Row],[_Row]]+1):INDEX(Tasks[_LeafBudget],Tasks[[#This Row],[_Row]]+Tasks[[#This Row],[_Descendants]])),Tasks[[#This Row],[_LeafBudget]]))</f>
        <v>3400</v>
      </c>
      <c r="BG31" s="99" t="n">
        <f aca="false">IF(Tasks[[#This Row],[Task Name]]="","",IF(Tasks[[#This Row],[_IsSummary]],SUM(INDEX(Tasks[_LeafPV],Tasks[[#This Row],[_Row]]+1):INDEX(Tasks[_LeafPV],Tasks[[#This Row],[_Row]]+Tasks[[#This Row],[_Descendants]])),Tasks[[#This Row],[_LeafPV]]))</f>
        <v>0</v>
      </c>
      <c r="BH31" s="99" t="n">
        <f aca="false">IF(Tasks[[#This Row],[Task Name]]="","",IF(Tasks[[#This Row],[_IsSummary]],SUM(INDEX(Tasks[_LeafEV],Tasks[[#This Row],[_Row]]+1):INDEX(Tasks[_LeafEV],Tasks[[#This Row],[_Row]]+Tasks[[#This Row],[_Descendants]])),Tasks[[#This Row],[_LeafEV]]))</f>
        <v>0</v>
      </c>
      <c r="BI31" s="99" t="n">
        <f aca="false">IF(Tasks[[#This Row],[Task Name]]="","",IF(Tasks[[#This Row],[_IsSummary]],SUM(INDEX(Tasks[_LeafAC],Tasks[[#This Row],[_Row]]+1):INDEX(Tasks[_LeafAC],Tasks[[#This Row],[_Row]]+Tasks[[#This Row],[_Descendants]])),Tasks[[#This Row],[_LeafAC]]))</f>
        <v>0</v>
      </c>
      <c r="BJ31" s="41" t="n">
        <f aca="false">IF(Tasks[[#This Row],[Task Name]]="","",MAX(1,N(Tasks[[#This Row],[Level]])))</f>
        <v>2</v>
      </c>
      <c r="BK31" s="41" t="n">
        <f aca="false">ROW()-ROW(Tasks[[#Headers],[ID]])</f>
        <v>26</v>
      </c>
      <c r="BL31" s="41" t="n">
        <f aca="false">IF(OR(Tasks[[#This Row],[Task Name]]="",Tasks[[#This Row],[_Level]]&lt;=1),0,IFERROR(LOOKUP(2,1/(Tasks[[#Headers],[_Level]]:Tasks[[#This Row],[_Level]]=Tasks[[#This Row],[_Level]]-1),ROW(Tasks[[#Headers],[_Level]]:Tasks[[#This Row],[_Level]])),0))</f>
        <v>25</v>
      </c>
      <c r="BM31" s="41" t="n">
        <f aca="false">IFERROR(N(INDEX(Tasks[_Level],Tasks[[#This Row],[_Row]]+1)),0)</f>
        <v>1</v>
      </c>
      <c r="BN31" s="102" t="b">
        <f aca="false">AND(Tasks[[#This Row],[Task Name]]&lt;&gt;"",Tasks[[#This Row],[_NextLevel]]&gt;Tasks[[#This Row],[_Level]])</f>
        <v>0</v>
      </c>
      <c r="BO31" s="41" t="n">
        <f aca="false">IF(Tasks[[#This Row],[_IsSummary]],COUNTIF(Tasks[WBS],Tasks[[#This Row],[WBS]]&amp;".*"),0)</f>
        <v>0</v>
      </c>
      <c r="BP31" s="41" t="n">
        <f aca="false">IF(AND(Tasks[[#This Row],[Task Name]]&lt;&gt;"",NOT(Tasks[[#This Row],[_IsSummary]])),1,0)</f>
        <v>1</v>
      </c>
      <c r="BQ31" s="41" t="n">
        <f aca="false">IF(N(Tasks[[#This Row],[Pred1 UID]])=0,0,IFERROR(MATCH(Tasks[[#This Row],[Pred1 UID]],Tasks[UID],0),-1))</f>
        <v>25</v>
      </c>
      <c r="BR31" s="41" t="n">
        <f aca="false">IF(N(Tasks[[#This Row],[Pred2 UID]])=0,0,IFERROR(MATCH(Tasks[[#This Row],[Pred2 UID]],Tasks[UID],0),-1))</f>
        <v>0</v>
      </c>
      <c r="BS31"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46372</v>
      </c>
      <c r="BT31" s="103" t="n">
        <f aca="false">IF(NOT(Tasks[[#This Row],[_IsLeaf]]=1),"",IF(N(Tasks[[#This Row],[Duration]])&lt;=0,Tasks[[#This Row],[_LeafCalcStart]],WORKDAY.INTL(Tasks[[#This Row],[_LeafCalcStart]],Tasks[[#This Row],[Duration]]-1,WorkWeek,Holidays)))</f>
        <v>46391</v>
      </c>
      <c r="BU31"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46372</v>
      </c>
      <c r="BV31"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46391</v>
      </c>
      <c r="BW31" s="41" t="n">
        <f aca="false">IF(NOT(Tasks[[#This Row],[_IsLeaf]]=1),0,IF(N(Tasks[[#This Row],[Actual Finish]])&gt;0,1,MIN(1,N(Tasks[[#This Row],[% Complete]]))))</f>
        <v>0</v>
      </c>
      <c r="BX31" s="41" t="n">
        <f aca="false">IF(OR(NOT(Tasks[[#This Row],[_IsLeaf]]=1),Tasks[[#This Row],[Resource]]=""),0,N(Tasks[[#This Row],[Duration]])*HoursPerDay*IF(Tasks[[#This Row],[Units]]="",DefaultUnits,Tasks[[#This Row],[Units]]))</f>
        <v>40</v>
      </c>
      <c r="BY31" s="41" t="n">
        <f aca="false">IF(Tasks[[#This Row],[_LeafWork]]=0,0,Tasks[[#This Row],[_LeafWork]]*IFERROR(INDEX(res_Rate,MATCH(Tasks[[#This Row],[Resource]],res_Name,0)),0))</f>
        <v>3400</v>
      </c>
      <c r="BZ31"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A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1"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1" s="41" t="n">
        <f aca="false">IF(NOT(Tasks[[#This Row],[_IsLeaf]]=1),0,MAX(_xlfn.MAXIFS(Tasks[_Row],Tasks[Pred1 UID],Tasks[[#This Row],[UID]]),_xlfn.MAXIFS(Tasks[_Row],Tasks[Pred2 UID],Tasks[[#This Row],[UID]])))</f>
        <v>29</v>
      </c>
      <c r="CE31"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46391</v>
      </c>
      <c r="CF31" s="103" t="n">
        <f aca="false">IF(NOT(Tasks[[#This Row],[_IsLeaf]]=1),"",MIN(ProjectFinish,IF(N(Tasks[[#This Row],[Deadline]])&gt;0,Tasks[[#This Row],[Deadline]],2958465),Tasks[[#This Row],[_SuccessorFinishLimit]]))</f>
        <v>46391</v>
      </c>
      <c r="CG31" s="103" t="n">
        <f aca="false">IF(NOT(Tasks[[#This Row],[_IsLeaf]]=1),"",IF(N(Tasks[[#This Row],[Duration]])&lt;=0,Tasks[[#This Row],[_LeafLateFinish]],WORKDAY.INTL(Tasks[[#This Row],[_LeafLateFinish]],-(Tasks[[#This Row],[Duration]]-1),WorkWeek,Holidays)))</f>
        <v>46372</v>
      </c>
      <c r="CH31"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31" s="102" t="b">
        <f aca="false">AND(Tasks[[#This Row],[_IsLeaf]]=1,Tasks[[#This Row],[_LeafProgress]]&lt;1,N(Tasks[[#This Row],[_LeafTotalSlack]])&lt;=CriticalSlackDays)</f>
        <v>1</v>
      </c>
      <c r="CJ31" s="103" t="n">
        <f aca="false">IF(Tasks[[#This Row],[Task Name]]="","",IF(Tasks[[#This Row],[_IsSummary]],MIN(INDEX(Tasks[_LeafCalcStart],Tasks[[#This Row],[_Row]]+1):INDEX(Tasks[_LeafCalcStart],Tasks[[#This Row],[_Row]]+Tasks[[#This Row],[_Descendants]])),Tasks[[#This Row],[_LeafCalcStart]]))</f>
        <v>46372</v>
      </c>
      <c r="CK31" s="103" t="n">
        <f aca="false">IF(Tasks[[#This Row],[Task Name]]="","",IF(Tasks[[#This Row],[_IsSummary]],MAX(INDEX(Tasks[_LeafCalcFinish],Tasks[[#This Row],[_Row]]+1):INDEX(Tasks[_LeafCalcFinish],Tasks[[#This Row],[_Row]]+Tasks[[#This Row],[_Descendants]])),Tasks[[#This Row],[_LeafCalcFinish]]))</f>
        <v>46391</v>
      </c>
      <c r="CL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46372</v>
      </c>
      <c r="CO3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46372</v>
      </c>
      <c r="CQ3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1" s="41" t="n">
        <f aca="false">IF(AND(Tasks[[#This Row],[_IsLeaf]]=1,Tasks[[#This Row],[_LeafWork]]&gt;0),NETWORKDAYS.INTL(ProjectStart,Tasks[[#This Row],[_LeafFcstStart]],WorkWeek,Holidays),0)</f>
        <v>73</v>
      </c>
      <c r="CS31" s="41" t="n">
        <f aca="false">IF(AND(Tasks[[#This Row],[_IsLeaf]]=1,Tasks[[#This Row],[_LeafWork]]&gt;0),MAX(Tasks[[#This Row],[_StartWorkday]],NETWORKDAYS.INTL(ProjectStart,Tasks[[#This Row],[_LeafFcstFinish]],WorkWeek,Holidays)),0)</f>
        <v>82</v>
      </c>
      <c r="CT31" s="41" t="n">
        <f aca="false">IF(AND(Tasks[[#This Row],[_IsLeaf]]=1,Tasks[[#This Row],[_LeafWork]]&gt;0),Tasks[[#This Row],[_LeafWork]]/(Tasks[[#This Row],[_FinishWorkday]]-Tasks[[#This Row],[_StartWorkday]]+1),0)</f>
        <v>4</v>
      </c>
      <c r="CU31" s="41" t="n">
        <f aca="false">Tasks[[#This Row],[_WorkPerWorkday]]*(Tasks[[#This Row],[_StartWorkday]]-1)</f>
        <v>288</v>
      </c>
      <c r="CV31" s="41" t="n">
        <f aca="false">IF(Tasks[[#This Row],[_IsLeaf]]=1,MAX(N(Tasks[[#This Row],[Duration]]),0.1),0)</f>
        <v>10</v>
      </c>
      <c r="CW31" s="41" t="n">
        <f aca="false">Tasks[[#This Row],[_WeightDur]]*Tasks[[#This Row],[_LeafProgress]]</f>
        <v>0</v>
      </c>
      <c r="CX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25</v>
      </c>
      <c r="CY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25</v>
      </c>
      <c r="DA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1" s="41" t="str">
        <f aca="false">IF(Tasks[[#This Row],[Task Name]]="","",Tasks[[#This Row],[_Pred1UIDText]]&amp;IF(AND(Tasks[[#This Row],[_Pred1UIDText]]&lt;&gt;"",Tasks[[#This Row],[_Pred2UIDText]]&lt;&gt;""),",","")&amp;Tasks[[#This Row],[_Pred2UIDText]])</f>
        <v>25</v>
      </c>
      <c r="DC31" s="41" t="str">
        <f aca="false">IF(AND(Tasks[[#This Row],[_IsLeaf]]=1,N(Tasks[[#This Row],[Duration]])=0,Tasks[[#This Row],[_LeafProgress]]&lt;1),Tasks[[#This Row],[_LeafFcstFinish]]+Tasks[[#This Row],[_Row]]/100000,"")</f>
        <v/>
      </c>
      <c r="DD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1" s="41" t="n">
        <f aca="false">IF(NOT(Tasks[[#This Row],[_IsLeaf]]=1),0,IF(Tasks[[#This Row],[Baseline Cost]]="",Tasks[[#This Row],[_LeafCost]],N(Tasks[[#This Row],[Baseline Cost]])))</f>
        <v>3400</v>
      </c>
      <c r="DF31" s="41" t="n">
        <f aca="false">Tasks[[#This Row],[_LeafBudget]]*Tasks[[#This Row],[_PlannedPct]]</f>
        <v>0</v>
      </c>
      <c r="DG31" s="41" t="n">
        <f aca="false">Tasks[[#This Row],[_LeafBudget]]*Tasks[[#This Row],[_LeafProgress]]</f>
        <v>0</v>
      </c>
      <c r="DH31" s="41" t="n">
        <f aca="false">IF(NOT(Tasks[[#This Row],[_IsLeaf]]=1),0,IF(Tasks[[#This Row],[Actual Cost]]="",Tasks[[#This Row],[_LeafCost]]*Tasks[[#This Row],[_LeafProgress]],N(Tasks[[#This Row],[Actual Cost]])))</f>
        <v>0</v>
      </c>
      <c r="DI31" s="41" t="str">
        <f aca="false">IF(Tasks[[#This Row],[Task Name]]="","",LEFT(Tasks[[#This Row],[WBS]],FIND(".",Tasks[[#This Row],[WBS]]&amp;".")-1))</f>
        <v>4</v>
      </c>
      <c r="DJ31" s="41" t="str">
        <f aca="false">IF(AND(Tasks[[#This Row],[Task Name]]&lt;&gt;"",Tasks[[#This Row],[_Level]]=1),Tasks[[#This Row],[_Row]],"")</f>
        <v/>
      </c>
      <c r="DK31" s="41" t="str">
        <f aca="false">IF(AND(Tasks[[#This Row],[_IsLeaf]]=1,N(Tasks[[#This Row],[Duration]])=0),Tasks[[#This Row],[Planned Finish]]+Tasks[[#This Row],[_Row]]/100000,"")</f>
        <v/>
      </c>
      <c r="DL31" s="41" t="str">
        <f aca="false">IF(AND(Tasks[[#This Row],[_IsLeaf]]=1,Tasks[[#This Row],[_LeafProgress]]&lt;1,OR(N(Tasks[[#This Row],[Finish Var]])&gt;0,Tasks[[#This Row],[Status]]="Late Start")),MAX(0,Tasks[[#This Row],[Finish Var]])+1-Tasks[[#This Row],[_Row]]/1000000,"")</f>
        <v/>
      </c>
      <c r="DM31" s="41" t="str">
        <f aca="false">IF(AND(Tasks[[#This Row],[_IsLeaf]]=1,N(Tasks[[#This Row],[Actual Start]])=0,Tasks[[#This Row],[_LeafFcstStart]]&gt;=StatusDate,Tasks[[#This Row],[_LeafFcstStart]]&lt;=LookaheadEnd),Tasks[[#This Row],[_LeafFcstStart]]+Tasks[[#This Row],[_Row]]/100000,"")</f>
        <v/>
      </c>
      <c r="DN31" s="41" t="str">
        <f aca="false">IF(AND(Tasks[[#This Row],[_IsLeaf]]=1,Tasks[[#This Row],[_LeafProgress]]&lt;1,Tasks[[#This Row],[_LeafFcstFinish]]&gt;=StatusDate,Tasks[[#This Row],[_LeafFcstFinish]]&lt;=LookaheadEnd),Tasks[[#This Row],[_LeafFcstFinish]]+Tasks[[#This Row],[_Row]]/100000,"")</f>
        <v/>
      </c>
      <c r="DO31" s="104" t="n">
        <f aca="false">IF(Tasks[[#This Row],[_LeafCritical]],Tasks[[#This Row],[_LeafFcstStart]]+Tasks[[#This Row],[_Row]]/100000,"")</f>
        <v>46372.00026</v>
      </c>
      <c r="DP31" s="41" t="n">
        <f aca="false">Tasks[[#This Row],[_LeafWork]]*Tasks[[#This Row],[_LeafProgress]]</f>
        <v>0</v>
      </c>
      <c r="DQ31" s="103" t="str">
        <f aca="false">IF(AND(Tasks[[#This Row],[_IsLeaf]]=1,Tasks[[#This Row],[_LeafProgress]]&gt;=1),IF(N(Tasks[[#This Row],[Actual Finish]])&gt;0,Tasks[[#This Row],[Actual Finish]],Tasks[[#This Row],[_LeafFcstFinish]]),"")</f>
        <v/>
      </c>
      <c r="DR31" s="41" t="n">
        <f aca="false">IF(Tasks[[#This Row],[_IsLeaf]]=1,N(Tasks[[#This Row],[Story Points]]),0)</f>
        <v>5</v>
      </c>
      <c r="DS31" s="41" t="str">
        <f aca="false">IF(AND(Tasks[[#This Row],[_IsLeaf]]=1,CurrentSprint&lt;&gt;"",Tasks[[#This Row],[Sprint]]=CurrentSprint),Tasks[[#This Row],[_Row]],"")</f>
        <v/>
      </c>
    </row>
    <row r="32" customFormat="false" ht="15" hidden="false" customHeight="false" outlineLevel="0" collapsed="false">
      <c r="A32" s="28" t="n">
        <f aca="false">IF(Tasks[[#This Row],[Task Name]]="","",COUNTA(Tasks[[#Headers],[Task Name]]:Tasks[[#This Row],[Task Name]])-1)</f>
        <v>27</v>
      </c>
      <c r="B32" s="29" t="n">
        <v>27</v>
      </c>
      <c r="C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v>
      </c>
      <c r="D32" s="29" t="n">
        <v>1</v>
      </c>
      <c r="E32" s="30" t="s">
        <v>637</v>
      </c>
      <c r="F32" s="29" t="s">
        <v>595</v>
      </c>
      <c r="G32" s="29"/>
      <c r="H32" s="29"/>
      <c r="I32" s="29"/>
      <c r="J32" s="29"/>
      <c r="K32" s="29"/>
      <c r="L32" s="29"/>
      <c r="M32" s="29"/>
      <c r="N32" s="77"/>
      <c r="O32" s="77"/>
      <c r="P32" s="25" t="n">
        <f aca="false">IF(Tasks[[#This Row],[Task Name]]="","",IF(N(Tasks[[#This Row],[Baseline Start]])&gt;0,Tasks[[#This Row],[Baseline Start]],Tasks[[#This Row],[_CalcStart]]))</f>
        <v>46342</v>
      </c>
      <c r="Q32" s="25" t="n">
        <f aca="false">IF(Tasks[[#This Row],[Task Name]]="","",IF(N(Tasks[[#This Row],[Baseline Finish]])&gt;0,Tasks[[#This Row],[Baseline Finish]],Tasks[[#This Row],[_CalcFinish]]))</f>
        <v>46393</v>
      </c>
      <c r="R32" s="77"/>
      <c r="S32" s="77"/>
      <c r="T32" s="25" t="n">
        <f aca="false">IF(Tasks[[#This Row],[Task Name]]="","",IF(Tasks[[#This Row],[_IsSummary]],MIN(INDEX(Tasks[_LeafFcstStart],Tasks[[#This Row],[_Row]]+1):INDEX(Tasks[_LeafFcstStart],Tasks[[#This Row],[_Row]]+Tasks[[#This Row],[_Descendants]])),Tasks[[#This Row],[_LeafFcstStart]]))</f>
        <v>46342</v>
      </c>
      <c r="U32" s="25" t="n">
        <f aca="false">IF(Tasks[[#This Row],[Task Name]]="","",IF(Tasks[[#This Row],[_IsSummary]],MAX(INDEX(Tasks[_LeafFcstFinish],Tasks[[#This Row],[_Row]]+1):INDEX(Tasks[_LeafFcstFinish],Tasks[[#This Row],[_Row]]+Tasks[[#This Row],[_Descendants]])),Tasks[[#This Row],[_LeafFcstFinish]]))</f>
        <v>46393</v>
      </c>
      <c r="V32"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2"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2" s="25" t="n">
        <f aca="false">IF(Tasks[[#This Row],[Task Name]]="","",IF(Tasks[[#This Row],[_IsSummary]],MIN(INDEX(Tasks[_LeafLateStart],Tasks[[#This Row],[_Row]]+1):INDEX(Tasks[_LeafLateStart],Tasks[[#This Row],[_Row]]+Tasks[[#This Row],[_Descendants]])),Tasks[[#This Row],[_LeafLateStart]]))</f>
        <v>46392</v>
      </c>
      <c r="Y32" s="25" t="n">
        <f aca="false">IF(Tasks[[#This Row],[Task Name]]="","",IF(Tasks[[#This Row],[_IsSummary]],MAX(INDEX(Tasks[_LeafLateFinish],Tasks[[#This Row],[_Row]]+1):INDEX(Tasks[_LeafLateFinish],Tasks[[#This Row],[_Row]]+Tasks[[#This Row],[_Descendants]])),Tasks[[#This Row],[_LeafLateFinish]]))</f>
        <v>46393</v>
      </c>
      <c r="Z32" s="43" t="n">
        <f aca="false">IF(Tasks[[#This Row],[Task Name]]="","",IF(Tasks[[#This Row],[_IsSummary]],MIN(INDEX(Tasks[_LeafTotalSlack],Tasks[[#This Row],[_Row]]+1):INDEX(Tasks[_LeafTotalSlack],Tasks[[#This Row],[_Row]]+Tasks[[#This Row],[_Descendants]])),Tasks[[#This Row],[_LeafTotalSlack]]))</f>
        <v>0</v>
      </c>
      <c r="AA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2" s="28" t="str">
        <f aca="false">IF(Tasks[[#This Row],[Task Name]]="","",IF(IF(Tasks[[#This Row],[_IsSummary]],COUNTIF(INDEX(Tasks[_LeafCritical],Tasks[[#This Row],[_Row]]+1):INDEX(Tasks[_LeafCritical],Tasks[[#This Row],[_Row]]+Tasks[[#This Row],[_Descendants]]),TRUE())&gt;0,Tasks[[#This Row],[_LeafCritical]]),"Yes",""))</f>
        <v>Yes</v>
      </c>
      <c r="AC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2" s="24" t="str">
        <f aca="false">IF(Tasks[[#This Row],[Task Name]]="","",TRIM(IF(Tasks[[#This Row],[_Pred1Problem]]&lt;&gt;"","Pred 1: "&amp;Tasks[[#This Row],[_Pred1Problem]]&amp;". ","")&amp;IF(Tasks[[#This Row],[_Pred2Problem]]&lt;&gt;"","Pred 2: "&amp;Tasks[[#This Row],[_Pred2Problem]]&amp;".","")))</f>
        <v/>
      </c>
      <c r="AE32" s="91"/>
      <c r="AF32"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2" s="28" t="str">
        <f aca="false">IF(Tasks[[#This Row],[Task Name]]="","",IF(Tasks[[#This Row],[Progress]]&gt;=1,"Complete",IF(OR(N(Tasks[[#This Row],[Actual Start]])&gt;0,Tasks[[#This Row],[Progress]]&gt;0),IF(Tasks[[#This Row],[Finish Var]]&gt;0,"Behind","In Progress"),IF(Tasks[[#This Row],[Planned Start]]&lt;StatusDate,"Late Start","Not Started"))))</f>
        <v>Not Started</v>
      </c>
      <c r="AH32" s="30"/>
      <c r="AI32" s="91"/>
      <c r="AJ3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2" s="98" t="n">
        <f aca="false">IF(Tasks[[#This Row],[Task Name]]="","",IF(Tasks[[#This Row],[_IsSummary]],SUM(INDEX(Tasks[_LeafWork],Tasks[[#This Row],[_Row]]+1):INDEX(Tasks[_LeafWork],Tasks[[#This Row],[_Row]]+Tasks[[#This Row],[_Descendants]])),Tasks[[#This Row],[_LeafWork]]))</f>
        <v>24</v>
      </c>
      <c r="AL32" s="99" t="n">
        <f aca="false">IF(Tasks[[#This Row],[Task Name]]="","",IF(Tasks[[#This Row],[_IsSummary]],SUM(INDEX(Tasks[_LeafCost],Tasks[[#This Row],[_Row]]+1):INDEX(Tasks[_LeafCost],Tasks[[#This Row],[_Row]]+Tasks[[#This Row],[_Descendants]])),Tasks[[#This Row],[_LeafCost]]))</f>
        <v>2280</v>
      </c>
      <c r="AM32" s="100"/>
      <c r="AN32" s="29"/>
      <c r="AO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2" s="85"/>
      <c r="AQ32" s="24" t="str">
        <f aca="false">IF(Tasks[[#This Row],[Task Name]]="","",Tasks[[#This Row],[_Pred1IDText]]&amp;IF(AND(Tasks[[#This Row],[_Pred1IDText]]&lt;&gt;"",Tasks[[#This Row],[_Pred2IDText]]&lt;&gt;""),",","")&amp;Tasks[[#This Row],[_Pred2IDText]])</f>
        <v/>
      </c>
      <c r="AR32" s="30"/>
      <c r="AS32" s="25" t="n">
        <f aca="false">IF(Tasks[[#This Row],[Task Name]]="","",Tasks[[#This Row],[Forecast Start]])</f>
        <v>46342</v>
      </c>
      <c r="AT32" s="25" t="n">
        <f aca="false">IF(Tasks[[#This Row],[Task Name]]="","",Tasks[[#This Row],[Forecast Finish]])</f>
        <v>46393</v>
      </c>
      <c r="AU32" s="28" t="n">
        <f aca="false">IF(Tasks[[#This Row],[Task Name]]="","",IF(Tasks[[#This Row],[_IsSummary]],NETWORKDAYS.INTL(Tasks[[#This Row],[Forecast Start]],Tasks[[#This Row],[Forecast Finish]],WorkWeek,Holidays),N(Tasks[[#This Row],[Duration]])))</f>
        <v>34</v>
      </c>
      <c r="AV32" s="98" t="n">
        <f aca="false">IF(Tasks[[#This Row],[Task Name]]="","",Tasks[[#This Row],[Work]])</f>
        <v>24</v>
      </c>
      <c r="AW32" s="99" t="n">
        <f aca="false">IF(Tasks[[#This Row],[Task Name]]="","",Tasks[[#This Row],[Cost]])</f>
        <v>2280</v>
      </c>
      <c r="AX32" s="77"/>
      <c r="AY32" s="77"/>
      <c r="AZ32" s="29"/>
      <c r="BA32" s="101"/>
      <c r="BB32" s="100"/>
      <c r="BC32" s="28" t="str">
        <f aca="false">IF(OR(Tasks[[#This Row],[Task Name]]="",Tasks[[#This Row],[Baseline Duration]]=""),"",Tasks[[#This Row],[BL Source Duration]]-N(Tasks[[#This Row],[Baseline Duration]]))</f>
        <v/>
      </c>
      <c r="BD32" s="98" t="str">
        <f aca="false">IF(OR(Tasks[[#This Row],[Task Name]]="",Tasks[[#This Row],[Baseline Work]]=""),"",Tasks[[#This Row],[Work]]-N(Tasks[[#This Row],[Baseline Work]]))</f>
        <v/>
      </c>
      <c r="BE32" s="99" t="str">
        <f aca="false">IF(OR(Tasks[[#This Row],[Task Name]]="",Tasks[[#This Row],[Baseline Cost]]=""),"",Tasks[[#This Row],[Cost]]-N(Tasks[[#This Row],[Baseline Cost]]))</f>
        <v/>
      </c>
      <c r="BF32" s="99" t="n">
        <f aca="false">IF(Tasks[[#This Row],[Task Name]]="","",IF(Tasks[[#This Row],[_IsSummary]],SUM(INDEX(Tasks[_LeafBudget],Tasks[[#This Row],[_Row]]+1):INDEX(Tasks[_LeafBudget],Tasks[[#This Row],[_Row]]+Tasks[[#This Row],[_Descendants]])),Tasks[[#This Row],[_LeafBudget]]))</f>
        <v>2280</v>
      </c>
      <c r="BG32" s="99" t="n">
        <f aca="false">IF(Tasks[[#This Row],[Task Name]]="","",IF(Tasks[[#This Row],[_IsSummary]],SUM(INDEX(Tasks[_LeafPV],Tasks[[#This Row],[_Row]]+1):INDEX(Tasks[_LeafPV],Tasks[[#This Row],[_Row]]+Tasks[[#This Row],[_Descendants]])),Tasks[[#This Row],[_LeafPV]]))</f>
        <v>0</v>
      </c>
      <c r="BH32" s="99" t="n">
        <f aca="false">IF(Tasks[[#This Row],[Task Name]]="","",IF(Tasks[[#This Row],[_IsSummary]],SUM(INDEX(Tasks[_LeafEV],Tasks[[#This Row],[_Row]]+1):INDEX(Tasks[_LeafEV],Tasks[[#This Row],[_Row]]+Tasks[[#This Row],[_Descendants]])),Tasks[[#This Row],[_LeafEV]]))</f>
        <v>0</v>
      </c>
      <c r="BI32" s="99" t="n">
        <f aca="false">IF(Tasks[[#This Row],[Task Name]]="","",IF(Tasks[[#This Row],[_IsSummary]],SUM(INDEX(Tasks[_LeafAC],Tasks[[#This Row],[_Row]]+1):INDEX(Tasks[_LeafAC],Tasks[[#This Row],[_Row]]+Tasks[[#This Row],[_Descendants]])),Tasks[[#This Row],[_LeafAC]]))</f>
        <v>0</v>
      </c>
      <c r="BJ32" s="41" t="n">
        <f aca="false">IF(Tasks[[#This Row],[Task Name]]="","",MAX(1,N(Tasks[[#This Row],[Level]])))</f>
        <v>1</v>
      </c>
      <c r="BK32" s="41" t="n">
        <f aca="false">ROW()-ROW(Tasks[[#Headers],[ID]])</f>
        <v>27</v>
      </c>
      <c r="BL32" s="41" t="n">
        <f aca="false">IF(OR(Tasks[[#This Row],[Task Name]]="",Tasks[[#This Row],[_Level]]&lt;=1),0,IFERROR(LOOKUP(2,1/(Tasks[[#Headers],[_Level]]:Tasks[[#This Row],[_Level]]=Tasks[[#This Row],[_Level]]-1),ROW(Tasks[[#Headers],[_Level]]:Tasks[[#This Row],[_Level]])),0))</f>
        <v>0</v>
      </c>
      <c r="BM32" s="41" t="n">
        <f aca="false">IFERROR(N(INDEX(Tasks[_Level],Tasks[[#This Row],[_Row]]+1)),0)</f>
        <v>2</v>
      </c>
      <c r="BN32" s="102" t="b">
        <f aca="false">AND(Tasks[[#This Row],[Task Name]]&lt;&gt;"",Tasks[[#This Row],[_NextLevel]]&gt;Tasks[[#This Row],[_Level]])</f>
        <v>1</v>
      </c>
      <c r="BO32" s="41" t="n">
        <f aca="false">IF(Tasks[[#This Row],[_IsSummary]],COUNTIF(Tasks[WBS],Tasks[[#This Row],[WBS]]&amp;".*"),0)</f>
        <v>3</v>
      </c>
      <c r="BP32" s="41" t="n">
        <f aca="false">IF(AND(Tasks[[#This Row],[Task Name]]&lt;&gt;"",NOT(Tasks[[#This Row],[_IsSummary]])),1,0)</f>
        <v>0</v>
      </c>
      <c r="BQ32" s="41" t="n">
        <f aca="false">IF(N(Tasks[[#This Row],[Pred1 UID]])=0,0,IFERROR(MATCH(Tasks[[#This Row],[Pred1 UID]],Tasks[UID],0),-1))</f>
        <v>0</v>
      </c>
      <c r="BR32" s="41" t="n">
        <f aca="false">IF(N(Tasks[[#This Row],[Pred2 UID]])=0,0,IFERROR(MATCH(Tasks[[#This Row],[Pred2 UID]],Tasks[UID],0),-1))</f>
        <v>0</v>
      </c>
      <c r="BS3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2" s="103" t="str">
        <f aca="false">IF(NOT(Tasks[[#This Row],[_IsLeaf]]=1),"",IF(N(Tasks[[#This Row],[Duration]])&lt;=0,Tasks[[#This Row],[_LeafCalcStart]],WORKDAY.INTL(Tasks[[#This Row],[_LeafCalcStart]],Tasks[[#This Row],[Duration]]-1,WorkWeek,Holidays)))</f>
        <v/>
      </c>
      <c r="BU3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2" s="41" t="n">
        <f aca="false">IF(NOT(Tasks[[#This Row],[_IsLeaf]]=1),0,IF(N(Tasks[[#This Row],[Actual Finish]])&gt;0,1,MIN(1,N(Tasks[[#This Row],[% Complete]]))))</f>
        <v>0</v>
      </c>
      <c r="BX32" s="41" t="n">
        <f aca="false">IF(OR(NOT(Tasks[[#This Row],[_IsLeaf]]=1),Tasks[[#This Row],[Resource]]=""),0,N(Tasks[[#This Row],[Duration]])*HoursPerDay*IF(Tasks[[#This Row],[Units]]="",DefaultUnits,Tasks[[#This Row],[Units]]))</f>
        <v>0</v>
      </c>
      <c r="BY32" s="41" t="n">
        <f aca="false">IF(Tasks[[#This Row],[_LeafWork]]=0,0,Tasks[[#This Row],[_LeafWork]]*IFERROR(INDEX(res_Rate,MATCH(Tasks[[#This Row],[Resource]],res_Name,0)),0))</f>
        <v>0</v>
      </c>
      <c r="BZ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2" s="41" t="n">
        <f aca="false">IF(NOT(Tasks[[#This Row],[_IsLeaf]]=1),0,MAX(_xlfn.MAXIFS(Tasks[_Row],Tasks[Pred1 UID],Tasks[[#This Row],[UID]]),_xlfn.MAXIFS(Tasks[_Row],Tasks[Pred2 UID],Tasks[[#This Row],[UID]])))</f>
        <v>0</v>
      </c>
      <c r="CE3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2" s="103" t="str">
        <f aca="false">IF(NOT(Tasks[[#This Row],[_IsLeaf]]=1),"",MIN(ProjectFinish,IF(N(Tasks[[#This Row],[Deadline]])&gt;0,Tasks[[#This Row],[Deadline]],2958465),Tasks[[#This Row],[_SuccessorFinishLimit]]))</f>
        <v/>
      </c>
      <c r="CG32" s="103" t="str">
        <f aca="false">IF(NOT(Tasks[[#This Row],[_IsLeaf]]=1),"",IF(N(Tasks[[#This Row],[Duration]])&lt;=0,Tasks[[#This Row],[_LeafLateFinish]],WORKDAY.INTL(Tasks[[#This Row],[_LeafLateFinish]],-(Tasks[[#This Row],[Duration]]-1),WorkWeek,Holidays)))</f>
        <v/>
      </c>
      <c r="CH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2" s="102" t="b">
        <f aca="false">AND(Tasks[[#This Row],[_IsLeaf]]=1,Tasks[[#This Row],[_LeafProgress]]&lt;1,N(Tasks[[#This Row],[_LeafTotalSlack]])&lt;=CriticalSlackDays)</f>
        <v>0</v>
      </c>
      <c r="CJ32" s="103" t="n">
        <f aca="false">IF(Tasks[[#This Row],[Task Name]]="","",IF(Tasks[[#This Row],[_IsSummary]],MIN(INDEX(Tasks[_LeafCalcStart],Tasks[[#This Row],[_Row]]+1):INDEX(Tasks[_LeafCalcStart],Tasks[[#This Row],[_Row]]+Tasks[[#This Row],[_Descendants]])),Tasks[[#This Row],[_LeafCalcStart]]))</f>
        <v>46342</v>
      </c>
      <c r="CK32" s="103" t="n">
        <f aca="false">IF(Tasks[[#This Row],[Task Name]]="","",IF(Tasks[[#This Row],[_IsSummary]],MAX(INDEX(Tasks[_LeafCalcFinish],Tasks[[#This Row],[_Row]]+1):INDEX(Tasks[_LeafCalcFinish],Tasks[[#This Row],[_Row]]+Tasks[[#This Row],[_Descendants]])),Tasks[[#This Row],[_LeafCalcFinish]]))</f>
        <v>46393</v>
      </c>
      <c r="CL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2" s="41" t="n">
        <f aca="false">IF(AND(Tasks[[#This Row],[_IsLeaf]]=1,Tasks[[#This Row],[_LeafWork]]&gt;0),NETWORKDAYS.INTL(ProjectStart,Tasks[[#This Row],[_LeafFcstStart]],WorkWeek,Holidays),0)</f>
        <v>0</v>
      </c>
      <c r="CS32" s="41" t="n">
        <f aca="false">IF(AND(Tasks[[#This Row],[_IsLeaf]]=1,Tasks[[#This Row],[_LeafWork]]&gt;0),MAX(Tasks[[#This Row],[_StartWorkday]],NETWORKDAYS.INTL(ProjectStart,Tasks[[#This Row],[_LeafFcstFinish]],WorkWeek,Holidays)),0)</f>
        <v>0</v>
      </c>
      <c r="CT32" s="41" t="n">
        <f aca="false">IF(AND(Tasks[[#This Row],[_IsLeaf]]=1,Tasks[[#This Row],[_LeafWork]]&gt;0),Tasks[[#This Row],[_LeafWork]]/(Tasks[[#This Row],[_FinishWorkday]]-Tasks[[#This Row],[_StartWorkday]]+1),0)</f>
        <v>0</v>
      </c>
      <c r="CU32" s="41" t="n">
        <f aca="false">Tasks[[#This Row],[_WorkPerWorkday]]*(Tasks[[#This Row],[_StartWorkday]]-1)</f>
        <v>-0</v>
      </c>
      <c r="CV32" s="41" t="n">
        <f aca="false">IF(Tasks[[#This Row],[_IsLeaf]]=1,MAX(N(Tasks[[#This Row],[Duration]]),0.1),0)</f>
        <v>0</v>
      </c>
      <c r="CW32" s="41" t="n">
        <f aca="false">Tasks[[#This Row],[_WeightDur]]*Tasks[[#This Row],[_LeafProgress]]</f>
        <v>0</v>
      </c>
      <c r="CX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2" s="41" t="str">
        <f aca="false">IF(Tasks[[#This Row],[Task Name]]="","",Tasks[[#This Row],[_Pred1UIDText]]&amp;IF(AND(Tasks[[#This Row],[_Pred1UIDText]]&lt;&gt;"",Tasks[[#This Row],[_Pred2UIDText]]&lt;&gt;""),",","")&amp;Tasks[[#This Row],[_Pred2UIDText]])</f>
        <v/>
      </c>
      <c r="DC32" s="41" t="str">
        <f aca="false">IF(AND(Tasks[[#This Row],[_IsLeaf]]=1,N(Tasks[[#This Row],[Duration]])=0,Tasks[[#This Row],[_LeafProgress]]&lt;1),Tasks[[#This Row],[_LeafFcstFinish]]+Tasks[[#This Row],[_Row]]/100000,"")</f>
        <v/>
      </c>
      <c r="DD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2" s="41" t="n">
        <f aca="false">IF(NOT(Tasks[[#This Row],[_IsLeaf]]=1),0,IF(Tasks[[#This Row],[Baseline Cost]]="",Tasks[[#This Row],[_LeafCost]],N(Tasks[[#This Row],[Baseline Cost]])))</f>
        <v>0</v>
      </c>
      <c r="DF32" s="41" t="n">
        <f aca="false">Tasks[[#This Row],[_LeafBudget]]*Tasks[[#This Row],[_PlannedPct]]</f>
        <v>0</v>
      </c>
      <c r="DG32" s="41" t="n">
        <f aca="false">Tasks[[#This Row],[_LeafBudget]]*Tasks[[#This Row],[_LeafProgress]]</f>
        <v>0</v>
      </c>
      <c r="DH32" s="41" t="n">
        <f aca="false">IF(NOT(Tasks[[#This Row],[_IsLeaf]]=1),0,IF(Tasks[[#This Row],[Actual Cost]]="",Tasks[[#This Row],[_LeafCost]]*Tasks[[#This Row],[_LeafProgress]],N(Tasks[[#This Row],[Actual Cost]])))</f>
        <v>0</v>
      </c>
      <c r="DI32" s="41" t="str">
        <f aca="false">IF(Tasks[[#This Row],[Task Name]]="","",LEFT(Tasks[[#This Row],[WBS]],FIND(".",Tasks[[#This Row],[WBS]]&amp;".")-1))</f>
        <v>5</v>
      </c>
      <c r="DJ32" s="41" t="n">
        <f aca="false">IF(AND(Tasks[[#This Row],[Task Name]]&lt;&gt;"",Tasks[[#This Row],[_Level]]=1),Tasks[[#This Row],[_Row]],"")</f>
        <v>27</v>
      </c>
      <c r="DK32" s="41" t="str">
        <f aca="false">IF(AND(Tasks[[#This Row],[_IsLeaf]]=1,N(Tasks[[#This Row],[Duration]])=0),Tasks[[#This Row],[Planned Finish]]+Tasks[[#This Row],[_Row]]/100000,"")</f>
        <v/>
      </c>
      <c r="DL32" s="41" t="str">
        <f aca="false">IF(AND(Tasks[[#This Row],[_IsLeaf]]=1,Tasks[[#This Row],[_LeafProgress]]&lt;1,OR(N(Tasks[[#This Row],[Finish Var]])&gt;0,Tasks[[#This Row],[Status]]="Late Start")),MAX(0,Tasks[[#This Row],[Finish Var]])+1-Tasks[[#This Row],[_Row]]/1000000,"")</f>
        <v/>
      </c>
      <c r="DM32" s="41" t="str">
        <f aca="false">IF(AND(Tasks[[#This Row],[_IsLeaf]]=1,N(Tasks[[#This Row],[Actual Start]])=0,Tasks[[#This Row],[_LeafFcstStart]]&gt;=StatusDate,Tasks[[#This Row],[_LeafFcstStart]]&lt;=LookaheadEnd),Tasks[[#This Row],[_LeafFcstStart]]+Tasks[[#This Row],[_Row]]/100000,"")</f>
        <v/>
      </c>
      <c r="DN32" s="41" t="str">
        <f aca="false">IF(AND(Tasks[[#This Row],[_IsLeaf]]=1,Tasks[[#This Row],[_LeafProgress]]&lt;1,Tasks[[#This Row],[_LeafFcstFinish]]&gt;=StatusDate,Tasks[[#This Row],[_LeafFcstFinish]]&lt;=LookaheadEnd),Tasks[[#This Row],[_LeafFcstFinish]]+Tasks[[#This Row],[_Row]]/100000,"")</f>
        <v/>
      </c>
      <c r="DO32" s="41" t="str">
        <f aca="false">IF(Tasks[[#This Row],[_LeafCritical]],Tasks[[#This Row],[_LeafFcstStart]]+Tasks[[#This Row],[_Row]]/100000,"")</f>
        <v/>
      </c>
      <c r="DP32" s="41" t="n">
        <f aca="false">Tasks[[#This Row],[_LeafWork]]*Tasks[[#This Row],[_LeafProgress]]</f>
        <v>0</v>
      </c>
      <c r="DQ32" s="103" t="str">
        <f aca="false">IF(AND(Tasks[[#This Row],[_IsLeaf]]=1,Tasks[[#This Row],[_LeafProgress]]&gt;=1),IF(N(Tasks[[#This Row],[Actual Finish]])&gt;0,Tasks[[#This Row],[Actual Finish]],Tasks[[#This Row],[_LeafFcstFinish]]),"")</f>
        <v/>
      </c>
      <c r="DR32" s="41" t="n">
        <f aca="false">IF(Tasks[[#This Row],[_IsLeaf]]=1,N(Tasks[[#This Row],[Story Points]]),0)</f>
        <v>0</v>
      </c>
      <c r="DS32" s="41" t="str">
        <f aca="false">IF(AND(Tasks[[#This Row],[_IsLeaf]]=1,CurrentSprint&lt;&gt;"",Tasks[[#This Row],[Sprint]]=CurrentSprint),Tasks[[#This Row],[_Row]],"")</f>
        <v/>
      </c>
    </row>
    <row r="33" customFormat="false" ht="15" hidden="false" customHeight="false" outlineLevel="0" collapsed="false">
      <c r="A33" s="28" t="n">
        <f aca="false">IF(Tasks[[#This Row],[Task Name]]="","",COUNTA(Tasks[[#Headers],[Task Name]]:Tasks[[#This Row],[Task Name]])-1)</f>
        <v>28</v>
      </c>
      <c r="B33" s="29" t="n">
        <v>28</v>
      </c>
      <c r="C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5.1</v>
      </c>
      <c r="D33" s="29" t="n">
        <v>2</v>
      </c>
      <c r="E33" s="30" t="s">
        <v>638</v>
      </c>
      <c r="F33" s="29" t="s">
        <v>639</v>
      </c>
      <c r="G33" s="29" t="n">
        <v>1</v>
      </c>
      <c r="H33" s="29"/>
      <c r="I33" s="29"/>
      <c r="J33" s="29"/>
      <c r="K33" s="29"/>
      <c r="L33" s="29"/>
      <c r="M33" s="29"/>
      <c r="N33" s="77" t="n">
        <v>46342</v>
      </c>
      <c r="O33" s="77"/>
      <c r="P33" s="25" t="n">
        <f aca="false">IF(Tasks[[#This Row],[Task Name]]="","",IF(N(Tasks[[#This Row],[Baseline Start]])&gt;0,Tasks[[#This Row],[Baseline Start]],Tasks[[#This Row],[_CalcStart]]))</f>
        <v>46342</v>
      </c>
      <c r="Q33" s="25" t="n">
        <f aca="false">IF(Tasks[[#This Row],[Task Name]]="","",IF(N(Tasks[[#This Row],[Baseline Finish]])&gt;0,Tasks[[#This Row],[Baseline Finish]],Tasks[[#This Row],[_CalcFinish]]))</f>
        <v>46342</v>
      </c>
      <c r="R33" s="77"/>
      <c r="S33" s="77"/>
      <c r="T33" s="25" t="n">
        <f aca="false">IF(Tasks[[#This Row],[Task Name]]="","",IF(Tasks[[#This Row],[_IsSummary]],MIN(INDEX(Tasks[_LeafFcstStart],Tasks[[#This Row],[_Row]]+1):INDEX(Tasks[_LeafFcstStart],Tasks[[#This Row],[_Row]]+Tasks[[#This Row],[_Descendants]])),Tasks[[#This Row],[_LeafFcstStart]]))</f>
        <v>46342</v>
      </c>
      <c r="U33" s="25" t="n">
        <f aca="false">IF(Tasks[[#This Row],[Task Name]]="","",IF(Tasks[[#This Row],[_IsSummary]],MAX(INDEX(Tasks[_LeafFcstFinish],Tasks[[#This Row],[_Row]]+1):INDEX(Tasks[_LeafFcstFinish],Tasks[[#This Row],[_Row]]+Tasks[[#This Row],[_Descendants]])),Tasks[[#This Row],[_LeafFcstFinish]]))</f>
        <v>46342</v>
      </c>
      <c r="V33"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3"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3" s="25" t="n">
        <f aca="false">IF(Tasks[[#This Row],[Task Name]]="","",IF(Tasks[[#This Row],[_IsSummary]],MIN(INDEX(Tasks[_LeafLateStart],Tasks[[#This Row],[_Row]]+1):INDEX(Tasks[_LeafLateStart],Tasks[[#This Row],[_Row]]+Tasks[[#This Row],[_Descendants]])),Tasks[[#This Row],[_LeafLateStart]]))</f>
        <v>46393</v>
      </c>
      <c r="Y33" s="25" t="n">
        <f aca="false">IF(Tasks[[#This Row],[Task Name]]="","",IF(Tasks[[#This Row],[_IsSummary]],MAX(INDEX(Tasks[_LeafLateFinish],Tasks[[#This Row],[_Row]]+1):INDEX(Tasks[_LeafLateFinish],Tasks[[#This Row],[_Row]]+Tasks[[#This Row],[_Descendants]])),Tasks[[#This Row],[_LeafLateFinish]]))</f>
        <v>46393</v>
      </c>
      <c r="Z33" s="43" t="n">
        <f aca="false">IF(Tasks[[#This Row],[Task Name]]="","",IF(Tasks[[#This Row],[_IsSummary]],MIN(INDEX(Tasks[_LeafTotalSlack],Tasks[[#This Row],[_Row]]+1):INDEX(Tasks[_LeafTotalSlack],Tasks[[#This Row],[_Row]]+Tasks[[#This Row],[_Descendants]])),Tasks[[#This Row],[_LeafTotalSlack]]))</f>
        <v>33</v>
      </c>
      <c r="AA33"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33</v>
      </c>
      <c r="AB33" s="28" t="str">
        <f aca="false">IF(Tasks[[#This Row],[Task Name]]="","",IF(IF(Tasks[[#This Row],[_IsSummary]],COUNTIF(INDEX(Tasks[_LeafCritical],Tasks[[#This Row],[_Row]]+1):INDEX(Tasks[_LeafCritical],Tasks[[#This Row],[_Row]]+Tasks[[#This Row],[_Descendants]]),TRUE())&gt;0,Tasks[[#This Row],[_LeafCritical]]),"Yes",""))</f>
        <v/>
      </c>
      <c r="AC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3" s="24" t="str">
        <f aca="false">IF(Tasks[[#This Row],[Task Name]]="","",TRIM(IF(Tasks[[#This Row],[_Pred1Problem]]&lt;&gt;"","Pred 1: "&amp;Tasks[[#This Row],[_Pred1Problem]]&amp;". ","")&amp;IF(Tasks[[#This Row],[_Pred2Problem]]&lt;&gt;"","Pred 2: "&amp;Tasks[[#This Row],[_Pred2Problem]]&amp;".","")))</f>
        <v/>
      </c>
      <c r="AE33" s="91"/>
      <c r="AF33"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3" s="28" t="str">
        <f aca="false">IF(Tasks[[#This Row],[Task Name]]="","",IF(Tasks[[#This Row],[Progress]]&gt;=1,"Complete",IF(OR(N(Tasks[[#This Row],[Actual Start]])&gt;0,Tasks[[#This Row],[Progress]]&gt;0),IF(Tasks[[#This Row],[Finish Var]]&gt;0,"Behind","In Progress"),IF(Tasks[[#This Row],[Planned Start]]&lt;StatusDate,"Late Start","Not Started"))))</f>
        <v>Not Started</v>
      </c>
      <c r="AH33" s="30" t="s">
        <v>295</v>
      </c>
      <c r="AI33" s="91"/>
      <c r="AJ3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3" s="98" t="n">
        <f aca="false">IF(Tasks[[#This Row],[Task Name]]="","",IF(Tasks[[#This Row],[_IsSummary]],SUM(INDEX(Tasks[_LeafWork],Tasks[[#This Row],[_Row]]+1):INDEX(Tasks[_LeafWork],Tasks[[#This Row],[_Row]]+Tasks[[#This Row],[_Descendants]])),Tasks[[#This Row],[_LeafWork]]))</f>
        <v>8</v>
      </c>
      <c r="AL33" s="99" t="n">
        <f aca="false">IF(Tasks[[#This Row],[Task Name]]="","",IF(Tasks[[#This Row],[_IsSummary]],SUM(INDEX(Tasks[_LeafCost],Tasks[[#This Row],[_Row]]+1):INDEX(Tasks[_LeafCost],Tasks[[#This Row],[_Row]]+Tasks[[#This Row],[_Descendants]])),Tasks[[#This Row],[_LeafCost]]))</f>
        <v>760</v>
      </c>
      <c r="AM33" s="100"/>
      <c r="AN33" s="29"/>
      <c r="AO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6</v>
      </c>
      <c r="AP33" s="85" t="n">
        <v>1</v>
      </c>
      <c r="AQ33" s="24" t="str">
        <f aca="false">IF(Tasks[[#This Row],[Task Name]]="","",Tasks[[#This Row],[_Pred1IDText]]&amp;IF(AND(Tasks[[#This Row],[_Pred1IDText]]&lt;&gt;"",Tasks[[#This Row],[_Pred2IDText]]&lt;&gt;""),",","")&amp;Tasks[[#This Row],[_Pred2IDText]])</f>
        <v/>
      </c>
      <c r="AR33" s="30" t="s">
        <v>640</v>
      </c>
      <c r="AS33" s="25" t="n">
        <f aca="false">IF(Tasks[[#This Row],[Task Name]]="","",Tasks[[#This Row],[Forecast Start]])</f>
        <v>46342</v>
      </c>
      <c r="AT33" s="25" t="n">
        <f aca="false">IF(Tasks[[#This Row],[Task Name]]="","",Tasks[[#This Row],[Forecast Finish]])</f>
        <v>46342</v>
      </c>
      <c r="AU33" s="28" t="n">
        <f aca="false">IF(Tasks[[#This Row],[Task Name]]="","",IF(Tasks[[#This Row],[_IsSummary]],NETWORKDAYS.INTL(Tasks[[#This Row],[Forecast Start]],Tasks[[#This Row],[Forecast Finish]],WorkWeek,Holidays),N(Tasks[[#This Row],[Duration]])))</f>
        <v>1</v>
      </c>
      <c r="AV33" s="98" t="n">
        <f aca="false">IF(Tasks[[#This Row],[Task Name]]="","",Tasks[[#This Row],[Work]])</f>
        <v>8</v>
      </c>
      <c r="AW33" s="99" t="n">
        <f aca="false">IF(Tasks[[#This Row],[Task Name]]="","",Tasks[[#This Row],[Cost]])</f>
        <v>760</v>
      </c>
      <c r="AX33" s="77"/>
      <c r="AY33" s="77"/>
      <c r="AZ33" s="29"/>
      <c r="BA33" s="101"/>
      <c r="BB33" s="100"/>
      <c r="BC33" s="28" t="str">
        <f aca="false">IF(OR(Tasks[[#This Row],[Task Name]]="",Tasks[[#This Row],[Baseline Duration]]=""),"",Tasks[[#This Row],[BL Source Duration]]-N(Tasks[[#This Row],[Baseline Duration]]))</f>
        <v/>
      </c>
      <c r="BD33" s="98" t="str">
        <f aca="false">IF(OR(Tasks[[#This Row],[Task Name]]="",Tasks[[#This Row],[Baseline Work]]=""),"",Tasks[[#This Row],[Work]]-N(Tasks[[#This Row],[Baseline Work]]))</f>
        <v/>
      </c>
      <c r="BE33" s="99" t="str">
        <f aca="false">IF(OR(Tasks[[#This Row],[Task Name]]="",Tasks[[#This Row],[Baseline Cost]]=""),"",Tasks[[#This Row],[Cost]]-N(Tasks[[#This Row],[Baseline Cost]]))</f>
        <v/>
      </c>
      <c r="BF33" s="99" t="n">
        <f aca="false">IF(Tasks[[#This Row],[Task Name]]="","",IF(Tasks[[#This Row],[_IsSummary]],SUM(INDEX(Tasks[_LeafBudget],Tasks[[#This Row],[_Row]]+1):INDEX(Tasks[_LeafBudget],Tasks[[#This Row],[_Row]]+Tasks[[#This Row],[_Descendants]])),Tasks[[#This Row],[_LeafBudget]]))</f>
        <v>760</v>
      </c>
      <c r="BG33" s="99" t="n">
        <f aca="false">IF(Tasks[[#This Row],[Task Name]]="","",IF(Tasks[[#This Row],[_IsSummary]],SUM(INDEX(Tasks[_LeafPV],Tasks[[#This Row],[_Row]]+1):INDEX(Tasks[_LeafPV],Tasks[[#This Row],[_Row]]+Tasks[[#This Row],[_Descendants]])),Tasks[[#This Row],[_LeafPV]]))</f>
        <v>0</v>
      </c>
      <c r="BH33" s="99" t="n">
        <f aca="false">IF(Tasks[[#This Row],[Task Name]]="","",IF(Tasks[[#This Row],[_IsSummary]],SUM(INDEX(Tasks[_LeafEV],Tasks[[#This Row],[_Row]]+1):INDEX(Tasks[_LeafEV],Tasks[[#This Row],[_Row]]+Tasks[[#This Row],[_Descendants]])),Tasks[[#This Row],[_LeafEV]]))</f>
        <v>0</v>
      </c>
      <c r="BI33" s="99" t="n">
        <f aca="false">IF(Tasks[[#This Row],[Task Name]]="","",IF(Tasks[[#This Row],[_IsSummary]],SUM(INDEX(Tasks[_LeafAC],Tasks[[#This Row],[_Row]]+1):INDEX(Tasks[_LeafAC],Tasks[[#This Row],[_Row]]+Tasks[[#This Row],[_Descendants]])),Tasks[[#This Row],[_LeafAC]]))</f>
        <v>0</v>
      </c>
      <c r="BJ33" s="41" t="n">
        <f aca="false">IF(Tasks[[#This Row],[Task Name]]="","",MAX(1,N(Tasks[[#This Row],[Level]])))</f>
        <v>2</v>
      </c>
      <c r="BK33" s="41" t="n">
        <f aca="false">ROW()-ROW(Tasks[[#Headers],[ID]])</f>
        <v>28</v>
      </c>
      <c r="BL33" s="41" t="n">
        <f aca="false">IF(OR(Tasks[[#This Row],[Task Name]]="",Tasks[[#This Row],[_Level]]&lt;=1),0,IFERROR(LOOKUP(2,1/(Tasks[[#Headers],[_Level]]:Tasks[[#This Row],[_Level]]=Tasks[[#This Row],[_Level]]-1),ROW(Tasks[[#Headers],[_Level]]:Tasks[[#This Row],[_Level]])),0))</f>
        <v>32</v>
      </c>
      <c r="BM33" s="41" t="n">
        <f aca="false">IFERROR(N(INDEX(Tasks[_Level],Tasks[[#This Row],[_Row]]+1)),0)</f>
        <v>2</v>
      </c>
      <c r="BN33" s="102" t="b">
        <f aca="false">AND(Tasks[[#This Row],[Task Name]]&lt;&gt;"",Tasks[[#This Row],[_NextLevel]]&gt;Tasks[[#This Row],[_Level]])</f>
        <v>0</v>
      </c>
      <c r="BO33" s="41" t="n">
        <f aca="false">IF(Tasks[[#This Row],[_IsSummary]],COUNTIF(Tasks[WBS],Tasks[[#This Row],[WBS]]&amp;".*"),0)</f>
        <v>0</v>
      </c>
      <c r="BP33" s="41" t="n">
        <f aca="false">IF(AND(Tasks[[#This Row],[Task Name]]&lt;&gt;"",NOT(Tasks[[#This Row],[_IsSummary]])),1,0)</f>
        <v>1</v>
      </c>
      <c r="BQ33" s="41" t="n">
        <f aca="false">IF(N(Tasks[[#This Row],[Pred1 UID]])=0,0,IFERROR(MATCH(Tasks[[#This Row],[Pred1 UID]],Tasks[UID],0),-1))</f>
        <v>0</v>
      </c>
      <c r="BR33" s="41" t="n">
        <f aca="false">IF(N(Tasks[[#This Row],[Pred2 UID]])=0,0,IFERROR(MATCH(Tasks[[#This Row],[Pred2 UID]],Tasks[UID],0),-1))</f>
        <v>0</v>
      </c>
      <c r="BS33"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46342</v>
      </c>
      <c r="BT33" s="103" t="n">
        <f aca="false">IF(NOT(Tasks[[#This Row],[_IsLeaf]]=1),"",IF(N(Tasks[[#This Row],[Duration]])&lt;=0,Tasks[[#This Row],[_LeafCalcStart]],WORKDAY.INTL(Tasks[[#This Row],[_LeafCalcStart]],Tasks[[#This Row],[Duration]]-1,WorkWeek,Holidays)))</f>
        <v>46342</v>
      </c>
      <c r="BU33"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46342</v>
      </c>
      <c r="BV33"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46342</v>
      </c>
      <c r="BW33" s="41" t="n">
        <f aca="false">IF(NOT(Tasks[[#This Row],[_IsLeaf]]=1),0,IF(N(Tasks[[#This Row],[Actual Finish]])&gt;0,1,MIN(1,N(Tasks[[#This Row],[% Complete]]))))</f>
        <v>0</v>
      </c>
      <c r="BX33" s="41" t="n">
        <f aca="false">IF(OR(NOT(Tasks[[#This Row],[_IsLeaf]]=1),Tasks[[#This Row],[Resource]]=""),0,N(Tasks[[#This Row],[Duration]])*HoursPerDay*IF(Tasks[[#This Row],[Units]]="",DefaultUnits,Tasks[[#This Row],[Units]]))</f>
        <v>8</v>
      </c>
      <c r="BY33" s="41" t="n">
        <f aca="false">IF(Tasks[[#This Row],[_LeafWork]]=0,0,Tasks[[#This Row],[_LeafWork]]*IFERROR(INDEX(res_Rate,MATCH(Tasks[[#This Row],[Resource]],res_Name,0)),0))</f>
        <v>760</v>
      </c>
      <c r="BZ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3" s="41" t="n">
        <f aca="false">IF(NOT(Tasks[[#This Row],[_IsLeaf]]=1),0,MAX(_xlfn.MAXIFS(Tasks[_Row],Tasks[Pred1 UID],Tasks[[#This Row],[UID]]),_xlfn.MAXIFS(Tasks[_Row],Tasks[Pred2 UID],Tasks[[#This Row],[UID]])))</f>
        <v>0</v>
      </c>
      <c r="CE33"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2958465</v>
      </c>
      <c r="CF33" s="103" t="n">
        <f aca="false">IF(NOT(Tasks[[#This Row],[_IsLeaf]]=1),"",MIN(ProjectFinish,IF(N(Tasks[[#This Row],[Deadline]])&gt;0,Tasks[[#This Row],[Deadline]],2958465),Tasks[[#This Row],[_SuccessorFinishLimit]]))</f>
        <v>46393</v>
      </c>
      <c r="CG33" s="103" t="n">
        <f aca="false">IF(NOT(Tasks[[#This Row],[_IsLeaf]]=1),"",IF(N(Tasks[[#This Row],[Duration]])&lt;=0,Tasks[[#This Row],[_LeafLateFinish]],WORKDAY.INTL(Tasks[[#This Row],[_LeafLateFinish]],-(Tasks[[#This Row],[Duration]]-1),WorkWeek,Holidays)))</f>
        <v>46393</v>
      </c>
      <c r="CH33"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33</v>
      </c>
      <c r="CI33" s="102" t="b">
        <f aca="false">AND(Tasks[[#This Row],[_IsLeaf]]=1,Tasks[[#This Row],[_LeafProgress]]&lt;1,N(Tasks[[#This Row],[_LeafTotalSlack]])&lt;=CriticalSlackDays)</f>
        <v>0</v>
      </c>
      <c r="CJ33" s="103" t="n">
        <f aca="false">IF(Tasks[[#This Row],[Task Name]]="","",IF(Tasks[[#This Row],[_IsSummary]],MIN(INDEX(Tasks[_LeafCalcStart],Tasks[[#This Row],[_Row]]+1):INDEX(Tasks[_LeafCalcStart],Tasks[[#This Row],[_Row]]+Tasks[[#This Row],[_Descendants]])),Tasks[[#This Row],[_LeafCalcStart]]))</f>
        <v>46342</v>
      </c>
      <c r="CK33" s="103" t="n">
        <f aca="false">IF(Tasks[[#This Row],[Task Name]]="","",IF(Tasks[[#This Row],[_IsSummary]],MAX(INDEX(Tasks[_LeafCalcFinish],Tasks[[#This Row],[_Row]]+1):INDEX(Tasks[_LeafCalcFinish],Tasks[[#This Row],[_Row]]+Tasks[[#This Row],[_Descendants]])),Tasks[[#This Row],[_LeafCalcFinish]]))</f>
        <v>46342</v>
      </c>
      <c r="CL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3" s="41" t="n">
        <f aca="false">IF(AND(Tasks[[#This Row],[_IsLeaf]]=1,Tasks[[#This Row],[_LeafWork]]&gt;0),NETWORKDAYS.INTL(ProjectStart,Tasks[[#This Row],[_LeafFcstStart]],WorkWeek,Holidays),0)</f>
        <v>51</v>
      </c>
      <c r="CS33" s="41" t="n">
        <f aca="false">IF(AND(Tasks[[#This Row],[_IsLeaf]]=1,Tasks[[#This Row],[_LeafWork]]&gt;0),MAX(Tasks[[#This Row],[_StartWorkday]],NETWORKDAYS.INTL(ProjectStart,Tasks[[#This Row],[_LeafFcstFinish]],WorkWeek,Holidays)),0)</f>
        <v>51</v>
      </c>
      <c r="CT33" s="41" t="n">
        <f aca="false">IF(AND(Tasks[[#This Row],[_IsLeaf]]=1,Tasks[[#This Row],[_LeafWork]]&gt;0),Tasks[[#This Row],[_LeafWork]]/(Tasks[[#This Row],[_FinishWorkday]]-Tasks[[#This Row],[_StartWorkday]]+1),0)</f>
        <v>8</v>
      </c>
      <c r="CU33" s="41" t="n">
        <f aca="false">Tasks[[#This Row],[_WorkPerWorkday]]*(Tasks[[#This Row],[_StartWorkday]]-1)</f>
        <v>400</v>
      </c>
      <c r="CV33" s="41" t="n">
        <f aca="false">IF(Tasks[[#This Row],[_IsLeaf]]=1,MAX(N(Tasks[[#This Row],[Duration]]),0.1),0)</f>
        <v>1</v>
      </c>
      <c r="CW33" s="41" t="n">
        <f aca="false">Tasks[[#This Row],[_WeightDur]]*Tasks[[#This Row],[_LeafProgress]]</f>
        <v>0</v>
      </c>
      <c r="CX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3" s="41" t="str">
        <f aca="false">IF(Tasks[[#This Row],[Task Name]]="","",Tasks[[#This Row],[_Pred1UIDText]]&amp;IF(AND(Tasks[[#This Row],[_Pred1UIDText]]&lt;&gt;"",Tasks[[#This Row],[_Pred2UIDText]]&lt;&gt;""),",","")&amp;Tasks[[#This Row],[_Pred2UIDText]])</f>
        <v/>
      </c>
      <c r="DC33" s="41" t="str">
        <f aca="false">IF(AND(Tasks[[#This Row],[_IsLeaf]]=1,N(Tasks[[#This Row],[Duration]])=0,Tasks[[#This Row],[_LeafProgress]]&lt;1),Tasks[[#This Row],[_LeafFcstFinish]]+Tasks[[#This Row],[_Row]]/100000,"")</f>
        <v/>
      </c>
      <c r="DD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3" s="41" t="n">
        <f aca="false">IF(NOT(Tasks[[#This Row],[_IsLeaf]]=1),0,IF(Tasks[[#This Row],[Baseline Cost]]="",Tasks[[#This Row],[_LeafCost]],N(Tasks[[#This Row],[Baseline Cost]])))</f>
        <v>760</v>
      </c>
      <c r="DF33" s="41" t="n">
        <f aca="false">Tasks[[#This Row],[_LeafBudget]]*Tasks[[#This Row],[_PlannedPct]]</f>
        <v>0</v>
      </c>
      <c r="DG33" s="41" t="n">
        <f aca="false">Tasks[[#This Row],[_LeafBudget]]*Tasks[[#This Row],[_LeafProgress]]</f>
        <v>0</v>
      </c>
      <c r="DH33" s="41" t="n">
        <f aca="false">IF(NOT(Tasks[[#This Row],[_IsLeaf]]=1),0,IF(Tasks[[#This Row],[Actual Cost]]="",Tasks[[#This Row],[_LeafCost]]*Tasks[[#This Row],[_LeafProgress]],N(Tasks[[#This Row],[Actual Cost]])))</f>
        <v>0</v>
      </c>
      <c r="DI33" s="41" t="str">
        <f aca="false">IF(Tasks[[#This Row],[Task Name]]="","",LEFT(Tasks[[#This Row],[WBS]],FIND(".",Tasks[[#This Row],[WBS]]&amp;".")-1))</f>
        <v>5</v>
      </c>
      <c r="DJ33" s="41" t="str">
        <f aca="false">IF(AND(Tasks[[#This Row],[Task Name]]&lt;&gt;"",Tasks[[#This Row],[_Level]]=1),Tasks[[#This Row],[_Row]],"")</f>
        <v/>
      </c>
      <c r="DK33" s="41" t="str">
        <f aca="false">IF(AND(Tasks[[#This Row],[_IsLeaf]]=1,N(Tasks[[#This Row],[Duration]])=0),Tasks[[#This Row],[Planned Finish]]+Tasks[[#This Row],[_Row]]/100000,"")</f>
        <v/>
      </c>
      <c r="DL33" s="41" t="str">
        <f aca="false">IF(AND(Tasks[[#This Row],[_IsLeaf]]=1,Tasks[[#This Row],[_LeafProgress]]&lt;1,OR(N(Tasks[[#This Row],[Finish Var]])&gt;0,Tasks[[#This Row],[Status]]="Late Start")),MAX(0,Tasks[[#This Row],[Finish Var]])+1-Tasks[[#This Row],[_Row]]/1000000,"")</f>
        <v/>
      </c>
      <c r="DM33" s="41" t="str">
        <f aca="false">IF(AND(Tasks[[#This Row],[_IsLeaf]]=1,N(Tasks[[#This Row],[Actual Start]])=0,Tasks[[#This Row],[_LeafFcstStart]]&gt;=StatusDate,Tasks[[#This Row],[_LeafFcstStart]]&lt;=LookaheadEnd),Tasks[[#This Row],[_LeafFcstStart]]+Tasks[[#This Row],[_Row]]/100000,"")</f>
        <v/>
      </c>
      <c r="DN33" s="41" t="str">
        <f aca="false">IF(AND(Tasks[[#This Row],[_IsLeaf]]=1,Tasks[[#This Row],[_LeafProgress]]&lt;1,Tasks[[#This Row],[_LeafFcstFinish]]&gt;=StatusDate,Tasks[[#This Row],[_LeafFcstFinish]]&lt;=LookaheadEnd),Tasks[[#This Row],[_LeafFcstFinish]]+Tasks[[#This Row],[_Row]]/100000,"")</f>
        <v/>
      </c>
      <c r="DO33" s="41" t="str">
        <f aca="false">IF(Tasks[[#This Row],[_LeafCritical]],Tasks[[#This Row],[_LeafFcstStart]]+Tasks[[#This Row],[_Row]]/100000,"")</f>
        <v/>
      </c>
      <c r="DP33" s="41" t="n">
        <f aca="false">Tasks[[#This Row],[_LeafWork]]*Tasks[[#This Row],[_LeafProgress]]</f>
        <v>0</v>
      </c>
      <c r="DQ33" s="103" t="str">
        <f aca="false">IF(AND(Tasks[[#This Row],[_IsLeaf]]=1,Tasks[[#This Row],[_LeafProgress]]&gt;=1),IF(N(Tasks[[#This Row],[Actual Finish]])&gt;0,Tasks[[#This Row],[Actual Finish]],Tasks[[#This Row],[_LeafFcstFinish]]),"")</f>
        <v/>
      </c>
      <c r="DR33" s="41" t="n">
        <f aca="false">IF(Tasks[[#This Row],[_IsLeaf]]=1,N(Tasks[[#This Row],[Story Points]]),0)</f>
        <v>1</v>
      </c>
      <c r="DS33" s="41" t="str">
        <f aca="false">IF(AND(Tasks[[#This Row],[_IsLeaf]]=1,CurrentSprint&lt;&gt;"",Tasks[[#This Row],[Sprint]]=CurrentSprint),Tasks[[#This Row],[_Row]],"")</f>
        <v/>
      </c>
    </row>
    <row r="34" customFormat="false" ht="15" hidden="false" customHeight="false" outlineLevel="0" collapsed="false">
      <c r="A34" s="28" t="n">
        <f aca="false">IF(Tasks[[#This Row],[Task Name]]="","",COUNTA(Tasks[[#Headers],[Task Name]]:Tasks[[#This Row],[Task Name]])-1)</f>
        <v>29</v>
      </c>
      <c r="B34" s="29" t="n">
        <v>29</v>
      </c>
      <c r="C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5.2</v>
      </c>
      <c r="D34" s="29" t="n">
        <v>2</v>
      </c>
      <c r="E34" s="30" t="s">
        <v>641</v>
      </c>
      <c r="F34" s="29" t="s">
        <v>595</v>
      </c>
      <c r="G34" s="29" t="n">
        <v>2</v>
      </c>
      <c r="H34" s="29" t="n">
        <v>26</v>
      </c>
      <c r="I34" s="29" t="s">
        <v>600</v>
      </c>
      <c r="J34" s="29"/>
      <c r="K34" s="29"/>
      <c r="L34" s="29"/>
      <c r="M34" s="29"/>
      <c r="N34" s="77"/>
      <c r="O34" s="77"/>
      <c r="P34" s="25" t="n">
        <f aca="false">IF(Tasks[[#This Row],[Task Name]]="","",IF(N(Tasks[[#This Row],[Baseline Start]])&gt;0,Tasks[[#This Row],[Baseline Start]],Tasks[[#This Row],[_CalcStart]]))</f>
        <v>46392</v>
      </c>
      <c r="Q34" s="25" t="n">
        <f aca="false">IF(Tasks[[#This Row],[Task Name]]="","",IF(N(Tasks[[#This Row],[Baseline Finish]])&gt;0,Tasks[[#This Row],[Baseline Finish]],Tasks[[#This Row],[_CalcFinish]]))</f>
        <v>46393</v>
      </c>
      <c r="R34" s="77"/>
      <c r="S34" s="77"/>
      <c r="T34" s="25" t="n">
        <f aca="false">IF(Tasks[[#This Row],[Task Name]]="","",IF(Tasks[[#This Row],[_IsSummary]],MIN(INDEX(Tasks[_LeafFcstStart],Tasks[[#This Row],[_Row]]+1):INDEX(Tasks[_LeafFcstStart],Tasks[[#This Row],[_Row]]+Tasks[[#This Row],[_Descendants]])),Tasks[[#This Row],[_LeafFcstStart]]))</f>
        <v>46392</v>
      </c>
      <c r="U34" s="25" t="n">
        <f aca="false">IF(Tasks[[#This Row],[Task Name]]="","",IF(Tasks[[#This Row],[_IsSummary]],MAX(INDEX(Tasks[_LeafFcstFinish],Tasks[[#This Row],[_Row]]+1):INDEX(Tasks[_LeafFcstFinish],Tasks[[#This Row],[_Row]]+Tasks[[#This Row],[_Descendants]])),Tasks[[#This Row],[_LeafFcstFinish]]))</f>
        <v>46393</v>
      </c>
      <c r="V34"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4"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4" s="25" t="n">
        <f aca="false">IF(Tasks[[#This Row],[Task Name]]="","",IF(Tasks[[#This Row],[_IsSummary]],MIN(INDEX(Tasks[_LeafLateStart],Tasks[[#This Row],[_Row]]+1):INDEX(Tasks[_LeafLateStart],Tasks[[#This Row],[_Row]]+Tasks[[#This Row],[_Descendants]])),Tasks[[#This Row],[_LeafLateStart]]))</f>
        <v>46392</v>
      </c>
      <c r="Y34" s="25" t="n">
        <f aca="false">IF(Tasks[[#This Row],[Task Name]]="","",IF(Tasks[[#This Row],[_IsSummary]],MAX(INDEX(Tasks[_LeafLateFinish],Tasks[[#This Row],[_Row]]+1):INDEX(Tasks[_LeafLateFinish],Tasks[[#This Row],[_Row]]+Tasks[[#This Row],[_Descendants]])),Tasks[[#This Row],[_LeafLateFinish]]))</f>
        <v>46393</v>
      </c>
      <c r="Z34" s="43" t="n">
        <f aca="false">IF(Tasks[[#This Row],[Task Name]]="","",IF(Tasks[[#This Row],[_IsSummary]],MIN(INDEX(Tasks[_LeafTotalSlack],Tasks[[#This Row],[_Row]]+1):INDEX(Tasks[_LeafTotalSlack],Tasks[[#This Row],[_Row]]+Tasks[[#This Row],[_Descendants]])),Tasks[[#This Row],[_LeafTotalSlack]]))</f>
        <v>0</v>
      </c>
      <c r="AA34"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4" s="28" t="str">
        <f aca="false">IF(Tasks[[#This Row],[Task Name]]="","",IF(IF(Tasks[[#This Row],[_IsSummary]],COUNTIF(INDEX(Tasks[_LeafCritical],Tasks[[#This Row],[_Row]]+1):INDEX(Tasks[_LeafCritical],Tasks[[#This Row],[_Row]]+Tasks[[#This Row],[_Descendants]]),TRUE())&gt;0,Tasks[[#This Row],[_LeafCritical]]),"Yes",""))</f>
        <v>Yes</v>
      </c>
      <c r="AC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4" s="24" t="str">
        <f aca="false">IF(Tasks[[#This Row],[Task Name]]="","",TRIM(IF(Tasks[[#This Row],[_Pred1Problem]]&lt;&gt;"","Pred 1: "&amp;Tasks[[#This Row],[_Pred1Problem]]&amp;". ","")&amp;IF(Tasks[[#This Row],[_Pred2Problem]]&lt;&gt;"","Pred 2: "&amp;Tasks[[#This Row],[_Pred2Problem]]&amp;".","")))</f>
        <v/>
      </c>
      <c r="AE34" s="91"/>
      <c r="AF34"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4" s="28" t="str">
        <f aca="false">IF(Tasks[[#This Row],[Task Name]]="","",IF(Tasks[[#This Row],[Progress]]&gt;=1,"Complete",IF(OR(N(Tasks[[#This Row],[Actual Start]])&gt;0,Tasks[[#This Row],[Progress]]&gt;0),IF(Tasks[[#This Row],[Finish Var]]&gt;0,"Behind","In Progress"),IF(Tasks[[#This Row],[Planned Start]]&lt;StatusDate,"Late Start","Not Started"))))</f>
        <v>Not Started</v>
      </c>
      <c r="AH34" s="30" t="s">
        <v>295</v>
      </c>
      <c r="AI34" s="91"/>
      <c r="AJ3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4" s="98" t="n">
        <f aca="false">IF(Tasks[[#This Row],[Task Name]]="","",IF(Tasks[[#This Row],[_IsSummary]],SUM(INDEX(Tasks[_LeafWork],Tasks[[#This Row],[_Row]]+1):INDEX(Tasks[_LeafWork],Tasks[[#This Row],[_Row]]+Tasks[[#This Row],[_Descendants]])),Tasks[[#This Row],[_LeafWork]]))</f>
        <v>16</v>
      </c>
      <c r="AL34" s="99" t="n">
        <f aca="false">IF(Tasks[[#This Row],[Task Name]]="","",IF(Tasks[[#This Row],[_IsSummary]],SUM(INDEX(Tasks[_LeafCost],Tasks[[#This Row],[_Row]]+1):INDEX(Tasks[_LeafCost],Tasks[[#This Row],[_Row]]+Tasks[[#This Row],[_Descendants]])),Tasks[[#This Row],[_LeafCost]]))</f>
        <v>1520</v>
      </c>
      <c r="AM34" s="100"/>
      <c r="AN34" s="29"/>
      <c r="AO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AP34" s="85" t="n">
        <v>2</v>
      </c>
      <c r="AQ34" s="24" t="str">
        <f aca="false">IF(Tasks[[#This Row],[Task Name]]="","",Tasks[[#This Row],[_Pred1IDText]]&amp;IF(AND(Tasks[[#This Row],[_Pred1IDText]]&lt;&gt;"",Tasks[[#This Row],[_Pred2IDText]]&lt;&gt;""),",","")&amp;Tasks[[#This Row],[_Pred2IDText]])</f>
        <v>26</v>
      </c>
      <c r="AR34" s="30"/>
      <c r="AS34" s="25" t="n">
        <f aca="false">IF(Tasks[[#This Row],[Task Name]]="","",Tasks[[#This Row],[Forecast Start]])</f>
        <v>46392</v>
      </c>
      <c r="AT34" s="25" t="n">
        <f aca="false">IF(Tasks[[#This Row],[Task Name]]="","",Tasks[[#This Row],[Forecast Finish]])</f>
        <v>46393</v>
      </c>
      <c r="AU34" s="28" t="n">
        <f aca="false">IF(Tasks[[#This Row],[Task Name]]="","",IF(Tasks[[#This Row],[_IsSummary]],NETWORKDAYS.INTL(Tasks[[#This Row],[Forecast Start]],Tasks[[#This Row],[Forecast Finish]],WorkWeek,Holidays),N(Tasks[[#This Row],[Duration]])))</f>
        <v>2</v>
      </c>
      <c r="AV34" s="98" t="n">
        <f aca="false">IF(Tasks[[#This Row],[Task Name]]="","",Tasks[[#This Row],[Work]])</f>
        <v>16</v>
      </c>
      <c r="AW34" s="99" t="n">
        <f aca="false">IF(Tasks[[#This Row],[Task Name]]="","",Tasks[[#This Row],[Cost]])</f>
        <v>1520</v>
      </c>
      <c r="AX34" s="77"/>
      <c r="AY34" s="77"/>
      <c r="AZ34" s="29"/>
      <c r="BA34" s="101"/>
      <c r="BB34" s="100"/>
      <c r="BC34" s="28" t="str">
        <f aca="false">IF(OR(Tasks[[#This Row],[Task Name]]="",Tasks[[#This Row],[Baseline Duration]]=""),"",Tasks[[#This Row],[BL Source Duration]]-N(Tasks[[#This Row],[Baseline Duration]]))</f>
        <v/>
      </c>
      <c r="BD34" s="98" t="str">
        <f aca="false">IF(OR(Tasks[[#This Row],[Task Name]]="",Tasks[[#This Row],[Baseline Work]]=""),"",Tasks[[#This Row],[Work]]-N(Tasks[[#This Row],[Baseline Work]]))</f>
        <v/>
      </c>
      <c r="BE34" s="99" t="str">
        <f aca="false">IF(OR(Tasks[[#This Row],[Task Name]]="",Tasks[[#This Row],[Baseline Cost]]=""),"",Tasks[[#This Row],[Cost]]-N(Tasks[[#This Row],[Baseline Cost]]))</f>
        <v/>
      </c>
      <c r="BF34" s="99" t="n">
        <f aca="false">IF(Tasks[[#This Row],[Task Name]]="","",IF(Tasks[[#This Row],[_IsSummary]],SUM(INDEX(Tasks[_LeafBudget],Tasks[[#This Row],[_Row]]+1):INDEX(Tasks[_LeafBudget],Tasks[[#This Row],[_Row]]+Tasks[[#This Row],[_Descendants]])),Tasks[[#This Row],[_LeafBudget]]))</f>
        <v>1520</v>
      </c>
      <c r="BG34" s="99" t="n">
        <f aca="false">IF(Tasks[[#This Row],[Task Name]]="","",IF(Tasks[[#This Row],[_IsSummary]],SUM(INDEX(Tasks[_LeafPV],Tasks[[#This Row],[_Row]]+1):INDEX(Tasks[_LeafPV],Tasks[[#This Row],[_Row]]+Tasks[[#This Row],[_Descendants]])),Tasks[[#This Row],[_LeafPV]]))</f>
        <v>0</v>
      </c>
      <c r="BH34" s="99" t="n">
        <f aca="false">IF(Tasks[[#This Row],[Task Name]]="","",IF(Tasks[[#This Row],[_IsSummary]],SUM(INDEX(Tasks[_LeafEV],Tasks[[#This Row],[_Row]]+1):INDEX(Tasks[_LeafEV],Tasks[[#This Row],[_Row]]+Tasks[[#This Row],[_Descendants]])),Tasks[[#This Row],[_LeafEV]]))</f>
        <v>0</v>
      </c>
      <c r="BI34" s="99" t="n">
        <f aca="false">IF(Tasks[[#This Row],[Task Name]]="","",IF(Tasks[[#This Row],[_IsSummary]],SUM(INDEX(Tasks[_LeafAC],Tasks[[#This Row],[_Row]]+1):INDEX(Tasks[_LeafAC],Tasks[[#This Row],[_Row]]+Tasks[[#This Row],[_Descendants]])),Tasks[[#This Row],[_LeafAC]]))</f>
        <v>0</v>
      </c>
      <c r="BJ34" s="41" t="n">
        <f aca="false">IF(Tasks[[#This Row],[Task Name]]="","",MAX(1,N(Tasks[[#This Row],[Level]])))</f>
        <v>2</v>
      </c>
      <c r="BK34" s="41" t="n">
        <f aca="false">ROW()-ROW(Tasks[[#Headers],[ID]])</f>
        <v>29</v>
      </c>
      <c r="BL34" s="41" t="n">
        <f aca="false">IF(OR(Tasks[[#This Row],[Task Name]]="",Tasks[[#This Row],[_Level]]&lt;=1),0,IFERROR(LOOKUP(2,1/(Tasks[[#Headers],[_Level]]:Tasks[[#This Row],[_Level]]=Tasks[[#This Row],[_Level]]-1),ROW(Tasks[[#Headers],[_Level]]:Tasks[[#This Row],[_Level]])),0))</f>
        <v>32</v>
      </c>
      <c r="BM34" s="41" t="n">
        <f aca="false">IFERROR(N(INDEX(Tasks[_Level],Tasks[[#This Row],[_Row]]+1)),0)</f>
        <v>2</v>
      </c>
      <c r="BN34" s="102" t="b">
        <f aca="false">AND(Tasks[[#This Row],[Task Name]]&lt;&gt;"",Tasks[[#This Row],[_NextLevel]]&gt;Tasks[[#This Row],[_Level]])</f>
        <v>0</v>
      </c>
      <c r="BO34" s="41" t="n">
        <f aca="false">IF(Tasks[[#This Row],[_IsSummary]],COUNTIF(Tasks[WBS],Tasks[[#This Row],[WBS]]&amp;".*"),0)</f>
        <v>0</v>
      </c>
      <c r="BP34" s="41" t="n">
        <f aca="false">IF(AND(Tasks[[#This Row],[Task Name]]&lt;&gt;"",NOT(Tasks[[#This Row],[_IsSummary]])),1,0)</f>
        <v>1</v>
      </c>
      <c r="BQ34" s="41" t="n">
        <f aca="false">IF(N(Tasks[[#This Row],[Pred1 UID]])=0,0,IFERROR(MATCH(Tasks[[#This Row],[Pred1 UID]],Tasks[UID],0),-1))</f>
        <v>26</v>
      </c>
      <c r="BR34" s="41" t="n">
        <f aca="false">IF(N(Tasks[[#This Row],[Pred2 UID]])=0,0,IFERROR(MATCH(Tasks[[#This Row],[Pred2 UID]],Tasks[UID],0),-1))</f>
        <v>0</v>
      </c>
      <c r="BS34"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46392</v>
      </c>
      <c r="BT34" s="103" t="n">
        <f aca="false">IF(NOT(Tasks[[#This Row],[_IsLeaf]]=1),"",IF(N(Tasks[[#This Row],[Duration]])&lt;=0,Tasks[[#This Row],[_LeafCalcStart]],WORKDAY.INTL(Tasks[[#This Row],[_LeafCalcStart]],Tasks[[#This Row],[Duration]]-1,WorkWeek,Holidays)))</f>
        <v>46393</v>
      </c>
      <c r="BU34"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46392</v>
      </c>
      <c r="BV34"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BW34" s="41" t="n">
        <f aca="false">IF(NOT(Tasks[[#This Row],[_IsLeaf]]=1),0,IF(N(Tasks[[#This Row],[Actual Finish]])&gt;0,1,MIN(1,N(Tasks[[#This Row],[% Complete]]))))</f>
        <v>0</v>
      </c>
      <c r="BX34" s="41" t="n">
        <f aca="false">IF(OR(NOT(Tasks[[#This Row],[_IsLeaf]]=1),Tasks[[#This Row],[Resource]]=""),0,N(Tasks[[#This Row],[Duration]])*HoursPerDay*IF(Tasks[[#This Row],[Units]]="",DefaultUnits,Tasks[[#This Row],[Units]]))</f>
        <v>16</v>
      </c>
      <c r="BY34" s="41" t="n">
        <f aca="false">IF(Tasks[[#This Row],[_LeafWork]]=0,0,Tasks[[#This Row],[_LeafWork]]*IFERROR(INDEX(res_Rate,MATCH(Tasks[[#This Row],[Resource]],res_Name,0)),0))</f>
        <v>1520</v>
      </c>
      <c r="BZ34"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2912074</v>
      </c>
      <c r="CA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4"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4" s="41" t="n">
        <f aca="false">IF(NOT(Tasks[[#This Row],[_IsLeaf]]=1),0,MAX(_xlfn.MAXIFS(Tasks[_Row],Tasks[Pred1 UID],Tasks[[#This Row],[UID]]),_xlfn.MAXIFS(Tasks[_Row],Tasks[Pred2 UID],Tasks[[#This Row],[UID]])))</f>
        <v>30</v>
      </c>
      <c r="CE34"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46393</v>
      </c>
      <c r="CF34" s="103" t="n">
        <f aca="false">IF(NOT(Tasks[[#This Row],[_IsLeaf]]=1),"",MIN(ProjectFinish,IF(N(Tasks[[#This Row],[Deadline]])&gt;0,Tasks[[#This Row],[Deadline]],2958465),Tasks[[#This Row],[_SuccessorFinishLimit]]))</f>
        <v>46393</v>
      </c>
      <c r="CG34" s="103" t="n">
        <f aca="false">IF(NOT(Tasks[[#This Row],[_IsLeaf]]=1),"",IF(N(Tasks[[#This Row],[Duration]])&lt;=0,Tasks[[#This Row],[_LeafLateFinish]],WORKDAY.INTL(Tasks[[#This Row],[_LeafLateFinish]],-(Tasks[[#This Row],[Duration]]-1),WorkWeek,Holidays)))</f>
        <v>46392</v>
      </c>
      <c r="CH34"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34" s="102" t="b">
        <f aca="false">AND(Tasks[[#This Row],[_IsLeaf]]=1,Tasks[[#This Row],[_LeafProgress]]&lt;1,N(Tasks[[#This Row],[_LeafTotalSlack]])&lt;=CriticalSlackDays)</f>
        <v>1</v>
      </c>
      <c r="CJ34" s="103" t="n">
        <f aca="false">IF(Tasks[[#This Row],[Task Name]]="","",IF(Tasks[[#This Row],[_IsSummary]],MIN(INDEX(Tasks[_LeafCalcStart],Tasks[[#This Row],[_Row]]+1):INDEX(Tasks[_LeafCalcStart],Tasks[[#This Row],[_Row]]+Tasks[[#This Row],[_Descendants]])),Tasks[[#This Row],[_LeafCalcStart]]))</f>
        <v>46392</v>
      </c>
      <c r="CK34" s="103" t="n">
        <f aca="false">IF(Tasks[[#This Row],[Task Name]]="","",IF(Tasks[[#This Row],[_IsSummary]],MAX(INDEX(Tasks[_LeafCalcFinish],Tasks[[#This Row],[_Row]]+1):INDEX(Tasks[_LeafCalcFinish],Tasks[[#This Row],[_Row]]+Tasks[[#This Row],[_Descendants]])),Tasks[[#This Row],[_LeafCalcFinish]]))</f>
        <v>46393</v>
      </c>
      <c r="CL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46392</v>
      </c>
      <c r="CO3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46392</v>
      </c>
      <c r="CQ3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4" s="41" t="n">
        <f aca="false">IF(AND(Tasks[[#This Row],[_IsLeaf]]=1,Tasks[[#This Row],[_LeafWork]]&gt;0),NETWORKDAYS.INTL(ProjectStart,Tasks[[#This Row],[_LeafFcstStart]],WorkWeek,Holidays),0)</f>
        <v>83</v>
      </c>
      <c r="CS34" s="41" t="n">
        <f aca="false">IF(AND(Tasks[[#This Row],[_IsLeaf]]=1,Tasks[[#This Row],[_LeafWork]]&gt;0),MAX(Tasks[[#This Row],[_StartWorkday]],NETWORKDAYS.INTL(ProjectStart,Tasks[[#This Row],[_LeafFcstFinish]],WorkWeek,Holidays)),0)</f>
        <v>84</v>
      </c>
      <c r="CT34" s="41" t="n">
        <f aca="false">IF(AND(Tasks[[#This Row],[_IsLeaf]]=1,Tasks[[#This Row],[_LeafWork]]&gt;0),Tasks[[#This Row],[_LeafWork]]/(Tasks[[#This Row],[_FinishWorkday]]-Tasks[[#This Row],[_StartWorkday]]+1),0)</f>
        <v>8</v>
      </c>
      <c r="CU34" s="41" t="n">
        <f aca="false">Tasks[[#This Row],[_WorkPerWorkday]]*(Tasks[[#This Row],[_StartWorkday]]-1)</f>
        <v>656</v>
      </c>
      <c r="CV34" s="41" t="n">
        <f aca="false">IF(Tasks[[#This Row],[_IsLeaf]]=1,MAX(N(Tasks[[#This Row],[Duration]]),0.1),0)</f>
        <v>2</v>
      </c>
      <c r="CW34" s="41" t="n">
        <f aca="false">Tasks[[#This Row],[_WeightDur]]*Tasks[[#This Row],[_LeafProgress]]</f>
        <v>0</v>
      </c>
      <c r="CX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26</v>
      </c>
      <c r="CY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26</v>
      </c>
      <c r="DA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4" s="41" t="str">
        <f aca="false">IF(Tasks[[#This Row],[Task Name]]="","",Tasks[[#This Row],[_Pred1UIDText]]&amp;IF(AND(Tasks[[#This Row],[_Pred1UIDText]]&lt;&gt;"",Tasks[[#This Row],[_Pred2UIDText]]&lt;&gt;""),",","")&amp;Tasks[[#This Row],[_Pred2UIDText]])</f>
        <v>26</v>
      </c>
      <c r="DC34" s="41" t="str">
        <f aca="false">IF(AND(Tasks[[#This Row],[_IsLeaf]]=1,N(Tasks[[#This Row],[Duration]])=0,Tasks[[#This Row],[_LeafProgress]]&lt;1),Tasks[[#This Row],[_LeafFcstFinish]]+Tasks[[#This Row],[_Row]]/100000,"")</f>
        <v/>
      </c>
      <c r="DD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4" s="41" t="n">
        <f aca="false">IF(NOT(Tasks[[#This Row],[_IsLeaf]]=1),0,IF(Tasks[[#This Row],[Baseline Cost]]="",Tasks[[#This Row],[_LeafCost]],N(Tasks[[#This Row],[Baseline Cost]])))</f>
        <v>1520</v>
      </c>
      <c r="DF34" s="41" t="n">
        <f aca="false">Tasks[[#This Row],[_LeafBudget]]*Tasks[[#This Row],[_PlannedPct]]</f>
        <v>0</v>
      </c>
      <c r="DG34" s="41" t="n">
        <f aca="false">Tasks[[#This Row],[_LeafBudget]]*Tasks[[#This Row],[_LeafProgress]]</f>
        <v>0</v>
      </c>
      <c r="DH34" s="41" t="n">
        <f aca="false">IF(NOT(Tasks[[#This Row],[_IsLeaf]]=1),0,IF(Tasks[[#This Row],[Actual Cost]]="",Tasks[[#This Row],[_LeafCost]]*Tasks[[#This Row],[_LeafProgress]],N(Tasks[[#This Row],[Actual Cost]])))</f>
        <v>0</v>
      </c>
      <c r="DI34" s="41" t="str">
        <f aca="false">IF(Tasks[[#This Row],[Task Name]]="","",LEFT(Tasks[[#This Row],[WBS]],FIND(".",Tasks[[#This Row],[WBS]]&amp;".")-1))</f>
        <v>5</v>
      </c>
      <c r="DJ34" s="41" t="str">
        <f aca="false">IF(AND(Tasks[[#This Row],[Task Name]]&lt;&gt;"",Tasks[[#This Row],[_Level]]=1),Tasks[[#This Row],[_Row]],"")</f>
        <v/>
      </c>
      <c r="DK34" s="41" t="str">
        <f aca="false">IF(AND(Tasks[[#This Row],[_IsLeaf]]=1,N(Tasks[[#This Row],[Duration]])=0),Tasks[[#This Row],[Planned Finish]]+Tasks[[#This Row],[_Row]]/100000,"")</f>
        <v/>
      </c>
      <c r="DL34" s="41" t="str">
        <f aca="false">IF(AND(Tasks[[#This Row],[_IsLeaf]]=1,Tasks[[#This Row],[_LeafProgress]]&lt;1,OR(N(Tasks[[#This Row],[Finish Var]])&gt;0,Tasks[[#This Row],[Status]]="Late Start")),MAX(0,Tasks[[#This Row],[Finish Var]])+1-Tasks[[#This Row],[_Row]]/1000000,"")</f>
        <v/>
      </c>
      <c r="DM34" s="41" t="str">
        <f aca="false">IF(AND(Tasks[[#This Row],[_IsLeaf]]=1,N(Tasks[[#This Row],[Actual Start]])=0,Tasks[[#This Row],[_LeafFcstStart]]&gt;=StatusDate,Tasks[[#This Row],[_LeafFcstStart]]&lt;=LookaheadEnd),Tasks[[#This Row],[_LeafFcstStart]]+Tasks[[#This Row],[_Row]]/100000,"")</f>
        <v/>
      </c>
      <c r="DN34" s="41" t="str">
        <f aca="false">IF(AND(Tasks[[#This Row],[_IsLeaf]]=1,Tasks[[#This Row],[_LeafProgress]]&lt;1,Tasks[[#This Row],[_LeafFcstFinish]]&gt;=StatusDate,Tasks[[#This Row],[_LeafFcstFinish]]&lt;=LookaheadEnd),Tasks[[#This Row],[_LeafFcstFinish]]+Tasks[[#This Row],[_Row]]/100000,"")</f>
        <v/>
      </c>
      <c r="DO34" s="104" t="n">
        <f aca="false">IF(Tasks[[#This Row],[_LeafCritical]],Tasks[[#This Row],[_LeafFcstStart]]+Tasks[[#This Row],[_Row]]/100000,"")</f>
        <v>46392.00029</v>
      </c>
      <c r="DP34" s="41" t="n">
        <f aca="false">Tasks[[#This Row],[_LeafWork]]*Tasks[[#This Row],[_LeafProgress]]</f>
        <v>0</v>
      </c>
      <c r="DQ34" s="103" t="str">
        <f aca="false">IF(AND(Tasks[[#This Row],[_IsLeaf]]=1,Tasks[[#This Row],[_LeafProgress]]&gt;=1),IF(N(Tasks[[#This Row],[Actual Finish]])&gt;0,Tasks[[#This Row],[Actual Finish]],Tasks[[#This Row],[_LeafFcstFinish]]),"")</f>
        <v/>
      </c>
      <c r="DR34" s="41" t="n">
        <f aca="false">IF(Tasks[[#This Row],[_IsLeaf]]=1,N(Tasks[[#This Row],[Story Points]]),0)</f>
        <v>2</v>
      </c>
      <c r="DS34" s="41" t="str">
        <f aca="false">IF(AND(Tasks[[#This Row],[_IsLeaf]]=1,CurrentSprint&lt;&gt;"",Tasks[[#This Row],[Sprint]]=CurrentSprint),Tasks[[#This Row],[_Row]],"")</f>
        <v/>
      </c>
    </row>
    <row r="35" customFormat="false" ht="15" hidden="false" customHeight="false" outlineLevel="0" collapsed="false">
      <c r="A35" s="28" t="n">
        <f aca="false">IF(Tasks[[#This Row],[Task Name]]="","",COUNTA(Tasks[[#Headers],[Task Name]]:Tasks[[#This Row],[Task Name]])-1)</f>
        <v>30</v>
      </c>
      <c r="B35" s="29" t="n">
        <v>30</v>
      </c>
      <c r="C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5.3</v>
      </c>
      <c r="D35" s="29" t="n">
        <v>2</v>
      </c>
      <c r="E35" s="30" t="s">
        <v>642</v>
      </c>
      <c r="F35" s="29" t="s">
        <v>595</v>
      </c>
      <c r="G35" s="29" t="n">
        <v>0</v>
      </c>
      <c r="H35" s="29" t="n">
        <v>29</v>
      </c>
      <c r="I35" s="29" t="s">
        <v>600</v>
      </c>
      <c r="J35" s="29"/>
      <c r="K35" s="29"/>
      <c r="L35" s="29"/>
      <c r="M35" s="29"/>
      <c r="N35" s="77"/>
      <c r="O35" s="77"/>
      <c r="P35" s="25" t="n">
        <f aca="false">IF(Tasks[[#This Row],[Task Name]]="","",IF(N(Tasks[[#This Row],[Baseline Start]])&gt;0,Tasks[[#This Row],[Baseline Start]],Tasks[[#This Row],[_CalcStart]]))</f>
        <v>46393</v>
      </c>
      <c r="Q35" s="25" t="n">
        <f aca="false">IF(Tasks[[#This Row],[Task Name]]="","",IF(N(Tasks[[#This Row],[Baseline Finish]])&gt;0,Tasks[[#This Row],[Baseline Finish]],Tasks[[#This Row],[_CalcFinish]]))</f>
        <v>46393</v>
      </c>
      <c r="R35" s="77"/>
      <c r="S35" s="77"/>
      <c r="T35" s="25" t="n">
        <f aca="false">IF(Tasks[[#This Row],[Task Name]]="","",IF(Tasks[[#This Row],[_IsSummary]],MIN(INDEX(Tasks[_LeafFcstStart],Tasks[[#This Row],[_Row]]+1):INDEX(Tasks[_LeafFcstStart],Tasks[[#This Row],[_Row]]+Tasks[[#This Row],[_Descendants]])),Tasks[[#This Row],[_LeafFcstStart]]))</f>
        <v>46393</v>
      </c>
      <c r="U35" s="25" t="n">
        <f aca="false">IF(Tasks[[#This Row],[Task Name]]="","",IF(Tasks[[#This Row],[_IsSummary]],MAX(INDEX(Tasks[_LeafFcstFinish],Tasks[[#This Row],[_Row]]+1):INDEX(Tasks[_LeafFcstFinish],Tasks[[#This Row],[_Row]]+Tasks[[#This Row],[_Descendants]])),Tasks[[#This Row],[_LeafFcstFinish]]))</f>
        <v>46393</v>
      </c>
      <c r="V35" s="43" t="n">
        <f aca="false">IF(Tasks[[#This Row],[Task Name]]="","",IF(Tasks[[#This Row],[Forecast Start]]&gt;=Tasks[[#This Row],[Planned Start]],NETWORKDAYS.INTL(Tasks[[#This Row],[Planned Start]],Tasks[[#This Row],[Forecast Start]],WorkWeek,Holidays)-1,1-NETWORKDAYS.INTL(Tasks[[#This Row],[Forecast Start]],Tasks[[#This Row],[Planned Start]],WorkWeek,Holidays)))</f>
        <v>0</v>
      </c>
      <c r="W35" s="43"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X35" s="25" t="n">
        <f aca="false">IF(Tasks[[#This Row],[Task Name]]="","",IF(Tasks[[#This Row],[_IsSummary]],MIN(INDEX(Tasks[_LeafLateStart],Tasks[[#This Row],[_Row]]+1):INDEX(Tasks[_LeafLateStart],Tasks[[#This Row],[_Row]]+Tasks[[#This Row],[_Descendants]])),Tasks[[#This Row],[_LeafLateStart]]))</f>
        <v>46393</v>
      </c>
      <c r="Y35" s="25" t="n">
        <f aca="false">IF(Tasks[[#This Row],[Task Name]]="","",IF(Tasks[[#This Row],[_IsSummary]],MAX(INDEX(Tasks[_LeafLateFinish],Tasks[[#This Row],[_Row]]+1):INDEX(Tasks[_LeafLateFinish],Tasks[[#This Row],[_Row]]+Tasks[[#This Row],[_Descendants]])),Tasks[[#This Row],[_LeafLateFinish]]))</f>
        <v>46393</v>
      </c>
      <c r="Z35" s="43" t="n">
        <f aca="false">IF(Tasks[[#This Row],[Task Name]]="","",IF(Tasks[[#This Row],[_IsSummary]],MIN(INDEX(Tasks[_LeafTotalSlack],Tasks[[#This Row],[_Row]]+1):INDEX(Tasks[_LeafTotalSlack],Tasks[[#This Row],[_Row]]+Tasks[[#This Row],[_Descendants]])),Tasks[[#This Row],[_LeafTotalSlack]]))</f>
        <v>0</v>
      </c>
      <c r="AA35" s="28"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0</v>
      </c>
      <c r="AB35" s="28" t="str">
        <f aca="false">IF(Tasks[[#This Row],[Task Name]]="","",IF(IF(Tasks[[#This Row],[_IsSummary]],COUNTIF(INDEX(Tasks[_LeafCritical],Tasks[[#This Row],[_Row]]+1):INDEX(Tasks[_LeafCritical],Tasks[[#This Row],[_Row]]+Tasks[[#This Row],[_Descendants]]),TRUE())&gt;0,Tasks[[#This Row],[_LeafCritical]]),"Yes",""))</f>
        <v>Yes</v>
      </c>
      <c r="AC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5" s="24" t="str">
        <f aca="false">IF(Tasks[[#This Row],[Task Name]]="","",TRIM(IF(Tasks[[#This Row],[_Pred1Problem]]&lt;&gt;"","Pred 1: "&amp;Tasks[[#This Row],[_Pred1Problem]]&amp;". ","")&amp;IF(Tasks[[#This Row],[_Pred2Problem]]&lt;&gt;"","Pred 2: "&amp;Tasks[[#This Row],[_Pred2Problem]]&amp;".","")))</f>
        <v/>
      </c>
      <c r="AE35" s="91"/>
      <c r="AF35" s="9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G35" s="28" t="str">
        <f aca="false">IF(Tasks[[#This Row],[Task Name]]="","",IF(Tasks[[#This Row],[Progress]]&gt;=1,"Complete",IF(OR(N(Tasks[[#This Row],[Actual Start]])&gt;0,Tasks[[#This Row],[Progress]]&gt;0),IF(Tasks[[#This Row],[Finish Var]]&gt;0,"Behind","In Progress"),IF(Tasks[[#This Row],[Planned Start]]&lt;StatusDate,"Late Start","Not Started"))))</f>
        <v>Not Started</v>
      </c>
      <c r="AH35" s="30"/>
      <c r="AI35" s="91"/>
      <c r="AJ3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5" s="98" t="n">
        <f aca="false">IF(Tasks[[#This Row],[Task Name]]="","",IF(Tasks[[#This Row],[_IsSummary]],SUM(INDEX(Tasks[_LeafWork],Tasks[[#This Row],[_Row]]+1):INDEX(Tasks[_LeafWork],Tasks[[#This Row],[_Row]]+Tasks[[#This Row],[_Descendants]])),Tasks[[#This Row],[_LeafWork]]))</f>
        <v>0</v>
      </c>
      <c r="AL35" s="99" t="n">
        <f aca="false">IF(Tasks[[#This Row],[Task Name]]="","",IF(Tasks[[#This Row],[_IsSummary]],SUM(INDEX(Tasks[_LeafCost],Tasks[[#This Row],[_Row]]+1):INDEX(Tasks[_LeafCost],Tasks[[#This Row],[_Row]]+Tasks[[#This Row],[_Descendants]])),Tasks[[#This Row],[_LeafCost]]))</f>
        <v>0</v>
      </c>
      <c r="AM35" s="100"/>
      <c r="AN35" s="29"/>
      <c r="AO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AP35" s="85"/>
      <c r="AQ35" s="24" t="str">
        <f aca="false">IF(Tasks[[#This Row],[Task Name]]="","",Tasks[[#This Row],[_Pred1IDText]]&amp;IF(AND(Tasks[[#This Row],[_Pred1IDText]]&lt;&gt;"",Tasks[[#This Row],[_Pred2IDText]]&lt;&gt;""),",","")&amp;Tasks[[#This Row],[_Pred2IDText]])</f>
        <v>29</v>
      </c>
      <c r="AR35" s="30" t="s">
        <v>218</v>
      </c>
      <c r="AS35" s="25" t="n">
        <f aca="false">IF(Tasks[[#This Row],[Task Name]]="","",Tasks[[#This Row],[Forecast Start]])</f>
        <v>46393</v>
      </c>
      <c r="AT35" s="25" t="n">
        <f aca="false">IF(Tasks[[#This Row],[Task Name]]="","",Tasks[[#This Row],[Forecast Finish]])</f>
        <v>46393</v>
      </c>
      <c r="AU35" s="28" t="n">
        <f aca="false">IF(Tasks[[#This Row],[Task Name]]="","",IF(Tasks[[#This Row],[_IsSummary]],NETWORKDAYS.INTL(Tasks[[#This Row],[Forecast Start]],Tasks[[#This Row],[Forecast Finish]],WorkWeek,Holidays),N(Tasks[[#This Row],[Duration]])))</f>
        <v>0</v>
      </c>
      <c r="AV35" s="98" t="n">
        <f aca="false">IF(Tasks[[#This Row],[Task Name]]="","",Tasks[[#This Row],[Work]])</f>
        <v>0</v>
      </c>
      <c r="AW35" s="99" t="n">
        <f aca="false">IF(Tasks[[#This Row],[Task Name]]="","",Tasks[[#This Row],[Cost]])</f>
        <v>0</v>
      </c>
      <c r="AX35" s="77"/>
      <c r="AY35" s="77"/>
      <c r="AZ35" s="29"/>
      <c r="BA35" s="101"/>
      <c r="BB35" s="100"/>
      <c r="BC35" s="28" t="str">
        <f aca="false">IF(OR(Tasks[[#This Row],[Task Name]]="",Tasks[[#This Row],[Baseline Duration]]=""),"",Tasks[[#This Row],[BL Source Duration]]-N(Tasks[[#This Row],[Baseline Duration]]))</f>
        <v/>
      </c>
      <c r="BD35" s="98" t="str">
        <f aca="false">IF(OR(Tasks[[#This Row],[Task Name]]="",Tasks[[#This Row],[Baseline Work]]=""),"",Tasks[[#This Row],[Work]]-N(Tasks[[#This Row],[Baseline Work]]))</f>
        <v/>
      </c>
      <c r="BE35" s="99" t="str">
        <f aca="false">IF(OR(Tasks[[#This Row],[Task Name]]="",Tasks[[#This Row],[Baseline Cost]]=""),"",Tasks[[#This Row],[Cost]]-N(Tasks[[#This Row],[Baseline Cost]]))</f>
        <v/>
      </c>
      <c r="BF35" s="99" t="n">
        <f aca="false">IF(Tasks[[#This Row],[Task Name]]="","",IF(Tasks[[#This Row],[_IsSummary]],SUM(INDEX(Tasks[_LeafBudget],Tasks[[#This Row],[_Row]]+1):INDEX(Tasks[_LeafBudget],Tasks[[#This Row],[_Row]]+Tasks[[#This Row],[_Descendants]])),Tasks[[#This Row],[_LeafBudget]]))</f>
        <v>0</v>
      </c>
      <c r="BG35" s="99" t="n">
        <f aca="false">IF(Tasks[[#This Row],[Task Name]]="","",IF(Tasks[[#This Row],[_IsSummary]],SUM(INDEX(Tasks[_LeafPV],Tasks[[#This Row],[_Row]]+1):INDEX(Tasks[_LeafPV],Tasks[[#This Row],[_Row]]+Tasks[[#This Row],[_Descendants]])),Tasks[[#This Row],[_LeafPV]]))</f>
        <v>0</v>
      </c>
      <c r="BH35" s="99" t="n">
        <f aca="false">IF(Tasks[[#This Row],[Task Name]]="","",IF(Tasks[[#This Row],[_IsSummary]],SUM(INDEX(Tasks[_LeafEV],Tasks[[#This Row],[_Row]]+1):INDEX(Tasks[_LeafEV],Tasks[[#This Row],[_Row]]+Tasks[[#This Row],[_Descendants]])),Tasks[[#This Row],[_LeafEV]]))</f>
        <v>0</v>
      </c>
      <c r="BI35" s="99" t="n">
        <f aca="false">IF(Tasks[[#This Row],[Task Name]]="","",IF(Tasks[[#This Row],[_IsSummary]],SUM(INDEX(Tasks[_LeafAC],Tasks[[#This Row],[_Row]]+1):INDEX(Tasks[_LeafAC],Tasks[[#This Row],[_Row]]+Tasks[[#This Row],[_Descendants]])),Tasks[[#This Row],[_LeafAC]]))</f>
        <v>0</v>
      </c>
      <c r="BJ35" s="41" t="n">
        <f aca="false">IF(Tasks[[#This Row],[Task Name]]="","",MAX(1,N(Tasks[[#This Row],[Level]])))</f>
        <v>2</v>
      </c>
      <c r="BK35" s="41" t="n">
        <f aca="false">ROW()-ROW(Tasks[[#Headers],[ID]])</f>
        <v>30</v>
      </c>
      <c r="BL35" s="41" t="n">
        <f aca="false">IF(OR(Tasks[[#This Row],[Task Name]]="",Tasks[[#This Row],[_Level]]&lt;=1),0,IFERROR(LOOKUP(2,1/(Tasks[[#Headers],[_Level]]:Tasks[[#This Row],[_Level]]=Tasks[[#This Row],[_Level]]-1),ROW(Tasks[[#Headers],[_Level]]:Tasks[[#This Row],[_Level]])),0))</f>
        <v>32</v>
      </c>
      <c r="BM35" s="41" t="n">
        <f aca="false">IFERROR(N(INDEX(Tasks[_Level],Tasks[[#This Row],[_Row]]+1)),0)</f>
        <v>0</v>
      </c>
      <c r="BN35" s="102" t="b">
        <f aca="false">AND(Tasks[[#This Row],[Task Name]]&lt;&gt;"",Tasks[[#This Row],[_NextLevel]]&gt;Tasks[[#This Row],[_Level]])</f>
        <v>0</v>
      </c>
      <c r="BO35" s="41" t="n">
        <f aca="false">IF(Tasks[[#This Row],[_IsSummary]],COUNTIF(Tasks[WBS],Tasks[[#This Row],[WBS]]&amp;".*"),0)</f>
        <v>0</v>
      </c>
      <c r="BP35" s="41" t="n">
        <f aca="false">IF(AND(Tasks[[#This Row],[Task Name]]&lt;&gt;"",NOT(Tasks[[#This Row],[_IsSummary]])),1,0)</f>
        <v>1</v>
      </c>
      <c r="BQ35" s="41" t="n">
        <f aca="false">IF(N(Tasks[[#This Row],[Pred1 UID]])=0,0,IFERROR(MATCH(Tasks[[#This Row],[Pred1 UID]],Tasks[UID],0),-1))</f>
        <v>29</v>
      </c>
      <c r="BR35" s="41" t="n">
        <f aca="false">IF(N(Tasks[[#This Row],[Pred2 UID]])=0,0,IFERROR(MATCH(Tasks[[#This Row],[Pred2 UID]],Tasks[UID],0),-1))</f>
        <v>0</v>
      </c>
      <c r="BS35" s="103" t="n">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46393</v>
      </c>
      <c r="BT35" s="103" t="n">
        <f aca="false">IF(NOT(Tasks[[#This Row],[_IsLeaf]]=1),"",IF(N(Tasks[[#This Row],[Duration]])&lt;=0,Tasks[[#This Row],[_LeafCalcStart]],WORKDAY.INTL(Tasks[[#This Row],[_LeafCalcStart]],Tasks[[#This Row],[Duration]]-1,WorkWeek,Holidays)))</f>
        <v>46393</v>
      </c>
      <c r="BU35" s="103" t="n">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46393</v>
      </c>
      <c r="BV35" s="103"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BW35" s="41" t="n">
        <f aca="false">IF(NOT(Tasks[[#This Row],[_IsLeaf]]=1),0,IF(N(Tasks[[#This Row],[Actual Finish]])&gt;0,1,MIN(1,N(Tasks[[#This Row],[% Complete]]))))</f>
        <v>0</v>
      </c>
      <c r="BX35" s="41" t="n">
        <f aca="false">IF(OR(NOT(Tasks[[#This Row],[_IsLeaf]]=1),Tasks[[#This Row],[Resource]]=""),0,N(Tasks[[#This Row],[Duration]])*HoursPerDay*IF(Tasks[[#This Row],[Units]]="",DefaultUnits,Tasks[[#This Row],[Units]]))</f>
        <v>0</v>
      </c>
      <c r="BY35" s="41" t="n">
        <f aca="false">IF(Tasks[[#This Row],[_LeafWork]]=0,0,Tasks[[#This Row],[_LeafWork]]*IFERROR(INDEX(res_Rate,MATCH(Tasks[[#This Row],[Resource]],res_Name,0)),0))</f>
        <v>0</v>
      </c>
      <c r="BZ35" s="104"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2912072</v>
      </c>
      <c r="CA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5" s="41"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C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5" s="41" t="n">
        <f aca="false">IF(NOT(Tasks[[#This Row],[_IsLeaf]]=1),0,MAX(_xlfn.MAXIFS(Tasks[_Row],Tasks[Pred1 UID],Tasks[[#This Row],[UID]]),_xlfn.MAXIFS(Tasks[_Row],Tasks[Pred2 UID],Tasks[[#This Row],[UID]])))</f>
        <v>0</v>
      </c>
      <c r="CE35" s="103"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2958465</v>
      </c>
      <c r="CF35" s="103" t="n">
        <f aca="false">IF(NOT(Tasks[[#This Row],[_IsLeaf]]=1),"",MIN(ProjectFinish,IF(N(Tasks[[#This Row],[Deadline]])&gt;0,Tasks[[#This Row],[Deadline]],2958465),Tasks[[#This Row],[_SuccessorFinishLimit]]))</f>
        <v>46393</v>
      </c>
      <c r="CG35" s="103" t="n">
        <f aca="false">IF(NOT(Tasks[[#This Row],[_IsLeaf]]=1),"",IF(N(Tasks[[#This Row],[Duration]])&lt;=0,Tasks[[#This Row],[_LeafLateFinish]],WORKDAY.INTL(Tasks[[#This Row],[_LeafLateFinish]],-(Tasks[[#This Row],[Duration]]-1),WorkWeek,Holidays)))</f>
        <v>46393</v>
      </c>
      <c r="CH35" s="41"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CI35" s="102" t="b">
        <f aca="false">AND(Tasks[[#This Row],[_IsLeaf]]=1,Tasks[[#This Row],[_LeafProgress]]&lt;1,N(Tasks[[#This Row],[_LeafTotalSlack]])&lt;=CriticalSlackDays)</f>
        <v>1</v>
      </c>
      <c r="CJ35" s="103" t="n">
        <f aca="false">IF(Tasks[[#This Row],[Task Name]]="","",IF(Tasks[[#This Row],[_IsSummary]],MIN(INDEX(Tasks[_LeafCalcStart],Tasks[[#This Row],[_Row]]+1):INDEX(Tasks[_LeafCalcStart],Tasks[[#This Row],[_Row]]+Tasks[[#This Row],[_Descendants]])),Tasks[[#This Row],[_LeafCalcStart]]))</f>
        <v>46393</v>
      </c>
      <c r="CK35" s="103" t="n">
        <f aca="false">IF(Tasks[[#This Row],[Task Name]]="","",IF(Tasks[[#This Row],[_IsSummary]],MAX(INDEX(Tasks[_LeafCalcFinish],Tasks[[#This Row],[_Row]]+1):INDEX(Tasks[_LeafCalcFinish],Tasks[[#This Row],[_Row]]+Tasks[[#This Row],[_Descendants]])),Tasks[[#This Row],[_LeafCalcFinish]]))</f>
        <v>46393</v>
      </c>
      <c r="CL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46393</v>
      </c>
      <c r="CO3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46393</v>
      </c>
      <c r="CQ3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5" s="41" t="n">
        <f aca="false">IF(AND(Tasks[[#This Row],[_IsLeaf]]=1,Tasks[[#This Row],[_LeafWork]]&gt;0),NETWORKDAYS.INTL(ProjectStart,Tasks[[#This Row],[_LeafFcstStart]],WorkWeek,Holidays),0)</f>
        <v>0</v>
      </c>
      <c r="CS35" s="41" t="n">
        <f aca="false">IF(AND(Tasks[[#This Row],[_IsLeaf]]=1,Tasks[[#This Row],[_LeafWork]]&gt;0),MAX(Tasks[[#This Row],[_StartWorkday]],NETWORKDAYS.INTL(ProjectStart,Tasks[[#This Row],[_LeafFcstFinish]],WorkWeek,Holidays)),0)</f>
        <v>0</v>
      </c>
      <c r="CT35" s="41" t="n">
        <f aca="false">IF(AND(Tasks[[#This Row],[_IsLeaf]]=1,Tasks[[#This Row],[_LeafWork]]&gt;0),Tasks[[#This Row],[_LeafWork]]/(Tasks[[#This Row],[_FinishWorkday]]-Tasks[[#This Row],[_StartWorkday]]+1),0)</f>
        <v>0</v>
      </c>
      <c r="CU35" s="41" t="n">
        <f aca="false">Tasks[[#This Row],[_WorkPerWorkday]]*(Tasks[[#This Row],[_StartWorkday]]-1)</f>
        <v>-0</v>
      </c>
      <c r="CV35" s="41" t="n">
        <f aca="false">IF(Tasks[[#This Row],[_IsLeaf]]=1,MAX(N(Tasks[[#This Row],[Duration]]),0.1),0)</f>
        <v>0.1</v>
      </c>
      <c r="CW35" s="41" t="n">
        <f aca="false">Tasks[[#This Row],[_WeightDur]]*Tasks[[#This Row],[_LeafProgress]]</f>
        <v>0</v>
      </c>
      <c r="CX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29</v>
      </c>
      <c r="CY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29</v>
      </c>
      <c r="DA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5" s="41" t="str">
        <f aca="false">IF(Tasks[[#This Row],[Task Name]]="","",Tasks[[#This Row],[_Pred1UIDText]]&amp;IF(AND(Tasks[[#This Row],[_Pred1UIDText]]&lt;&gt;"",Tasks[[#This Row],[_Pred2UIDText]]&lt;&gt;""),",","")&amp;Tasks[[#This Row],[_Pred2UIDText]])</f>
        <v>29</v>
      </c>
      <c r="DC35" s="104" t="n">
        <f aca="false">IF(AND(Tasks[[#This Row],[_IsLeaf]]=1,N(Tasks[[#This Row],[Duration]])=0,Tasks[[#This Row],[_LeafProgress]]&lt;1),Tasks[[#This Row],[_LeafFcstFinish]]+Tasks[[#This Row],[_Row]]/100000,"")</f>
        <v>46393.0003</v>
      </c>
      <c r="DD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5" s="41" t="n">
        <f aca="false">IF(NOT(Tasks[[#This Row],[_IsLeaf]]=1),0,IF(Tasks[[#This Row],[Baseline Cost]]="",Tasks[[#This Row],[_LeafCost]],N(Tasks[[#This Row],[Baseline Cost]])))</f>
        <v>0</v>
      </c>
      <c r="DF35" s="41" t="n">
        <f aca="false">Tasks[[#This Row],[_LeafBudget]]*Tasks[[#This Row],[_PlannedPct]]</f>
        <v>0</v>
      </c>
      <c r="DG35" s="41" t="n">
        <f aca="false">Tasks[[#This Row],[_LeafBudget]]*Tasks[[#This Row],[_LeafProgress]]</f>
        <v>0</v>
      </c>
      <c r="DH35" s="41" t="n">
        <f aca="false">IF(NOT(Tasks[[#This Row],[_IsLeaf]]=1),0,IF(Tasks[[#This Row],[Actual Cost]]="",Tasks[[#This Row],[_LeafCost]]*Tasks[[#This Row],[_LeafProgress]],N(Tasks[[#This Row],[Actual Cost]])))</f>
        <v>0</v>
      </c>
      <c r="DI35" s="41" t="str">
        <f aca="false">IF(Tasks[[#This Row],[Task Name]]="","",LEFT(Tasks[[#This Row],[WBS]],FIND(".",Tasks[[#This Row],[WBS]]&amp;".")-1))</f>
        <v>5</v>
      </c>
      <c r="DJ35" s="41" t="str">
        <f aca="false">IF(AND(Tasks[[#This Row],[Task Name]]&lt;&gt;"",Tasks[[#This Row],[_Level]]=1),Tasks[[#This Row],[_Row]],"")</f>
        <v/>
      </c>
      <c r="DK35" s="104" t="n">
        <f aca="false">IF(AND(Tasks[[#This Row],[_IsLeaf]]=1,N(Tasks[[#This Row],[Duration]])=0),Tasks[[#This Row],[Planned Finish]]+Tasks[[#This Row],[_Row]]/100000,"")</f>
        <v>46393.0003</v>
      </c>
      <c r="DL35" s="41" t="str">
        <f aca="false">IF(AND(Tasks[[#This Row],[_IsLeaf]]=1,Tasks[[#This Row],[_LeafProgress]]&lt;1,OR(N(Tasks[[#This Row],[Finish Var]])&gt;0,Tasks[[#This Row],[Status]]="Late Start")),MAX(0,Tasks[[#This Row],[Finish Var]])+1-Tasks[[#This Row],[_Row]]/1000000,"")</f>
        <v/>
      </c>
      <c r="DM35" s="41" t="str">
        <f aca="false">IF(AND(Tasks[[#This Row],[_IsLeaf]]=1,N(Tasks[[#This Row],[Actual Start]])=0,Tasks[[#This Row],[_LeafFcstStart]]&gt;=StatusDate,Tasks[[#This Row],[_LeafFcstStart]]&lt;=LookaheadEnd),Tasks[[#This Row],[_LeafFcstStart]]+Tasks[[#This Row],[_Row]]/100000,"")</f>
        <v/>
      </c>
      <c r="DN35" s="41" t="str">
        <f aca="false">IF(AND(Tasks[[#This Row],[_IsLeaf]]=1,Tasks[[#This Row],[_LeafProgress]]&lt;1,Tasks[[#This Row],[_LeafFcstFinish]]&gt;=StatusDate,Tasks[[#This Row],[_LeafFcstFinish]]&lt;=LookaheadEnd),Tasks[[#This Row],[_LeafFcstFinish]]+Tasks[[#This Row],[_Row]]/100000,"")</f>
        <v/>
      </c>
      <c r="DO35" s="104" t="n">
        <f aca="false">IF(Tasks[[#This Row],[_LeafCritical]],Tasks[[#This Row],[_LeafFcstStart]]+Tasks[[#This Row],[_Row]]/100000,"")</f>
        <v>46393.0003</v>
      </c>
      <c r="DP35" s="41" t="n">
        <f aca="false">Tasks[[#This Row],[_LeafWork]]*Tasks[[#This Row],[_LeafProgress]]</f>
        <v>0</v>
      </c>
      <c r="DQ35" s="103" t="str">
        <f aca="false">IF(AND(Tasks[[#This Row],[_IsLeaf]]=1,Tasks[[#This Row],[_LeafProgress]]&gt;=1),IF(N(Tasks[[#This Row],[Actual Finish]])&gt;0,Tasks[[#This Row],[Actual Finish]],Tasks[[#This Row],[_LeafFcstFinish]]),"")</f>
        <v/>
      </c>
      <c r="DR35" s="41" t="n">
        <f aca="false">IF(Tasks[[#This Row],[_IsLeaf]]=1,N(Tasks[[#This Row],[Story Points]]),0)</f>
        <v>0</v>
      </c>
      <c r="DS35" s="41" t="str">
        <f aca="false">IF(AND(Tasks[[#This Row],[_IsLeaf]]=1,CurrentSprint&lt;&gt;"",Tasks[[#This Row],[Sprint]]=CurrentSprint),Tasks[[#This Row],[_Row]],"")</f>
        <v/>
      </c>
    </row>
    <row r="36" customFormat="false" ht="15" hidden="false" customHeight="false" outlineLevel="0" collapsed="false">
      <c r="A36" s="28" t="str">
        <f aca="false">IF(Tasks[[#This Row],[Task Name]]="","",COUNTA(Tasks[[#Headers],[Task Name]]:Tasks[[#This Row],[Task Name]])-1)</f>
        <v/>
      </c>
      <c r="B36" s="29" t="n">
        <v>31</v>
      </c>
      <c r="C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29"/>
      <c r="E36" s="30"/>
      <c r="F36" s="29"/>
      <c r="G36" s="29"/>
      <c r="H36" s="29"/>
      <c r="I36" s="29"/>
      <c r="J36" s="29"/>
      <c r="K36" s="29"/>
      <c r="L36" s="29"/>
      <c r="M36" s="29"/>
      <c r="N36" s="77"/>
      <c r="O36" s="77"/>
      <c r="P36" s="25" t="str">
        <f aca="false">IF(Tasks[[#This Row],[Task Name]]="","",IF(N(Tasks[[#This Row],[Baseline Start]])&gt;0,Tasks[[#This Row],[Baseline Start]],Tasks[[#This Row],[_CalcStart]]))</f>
        <v/>
      </c>
      <c r="Q36" s="25" t="str">
        <f aca="false">IF(Tasks[[#This Row],[Task Name]]="","",IF(N(Tasks[[#This Row],[Baseline Finish]])&gt;0,Tasks[[#This Row],[Baseline Finish]],Tasks[[#This Row],[_CalcFinish]]))</f>
        <v/>
      </c>
      <c r="R36" s="77"/>
      <c r="S36" s="77"/>
      <c r="T36" s="25" t="str">
        <f aca="false">IF(Tasks[[#This Row],[Task Name]]="","",IF(Tasks[[#This Row],[_IsSummary]],MIN(INDEX(Tasks[_LeafFcstStart],Tasks[[#This Row],[_Row]]+1):INDEX(Tasks[_LeafFcstStart],Tasks[[#This Row],[_Row]]+Tasks[[#This Row],[_Descendants]])),Tasks[[#This Row],[_LeafFcstStart]]))</f>
        <v/>
      </c>
      <c r="U36" s="25" t="str">
        <f aca="false">IF(Tasks[[#This Row],[Task Name]]="","",IF(Tasks[[#This Row],[_IsSummary]],MAX(INDEX(Tasks[_LeafFcstFinish],Tasks[[#This Row],[_Row]]+1):INDEX(Tasks[_LeafFcstFinish],Tasks[[#This Row],[_Row]]+Tasks[[#This Row],[_Descendants]])),Tasks[[#This Row],[_LeafFcstFinish]]))</f>
        <v/>
      </c>
      <c r="V3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6" s="25" t="str">
        <f aca="false">IF(Tasks[[#This Row],[Task Name]]="","",IF(Tasks[[#This Row],[_IsSummary]],MIN(INDEX(Tasks[_LeafLateStart],Tasks[[#This Row],[_Row]]+1):INDEX(Tasks[_LeafLateStart],Tasks[[#This Row],[_Row]]+Tasks[[#This Row],[_Descendants]])),Tasks[[#This Row],[_LeafLateStart]]))</f>
        <v/>
      </c>
      <c r="Y36" s="25" t="str">
        <f aca="false">IF(Tasks[[#This Row],[Task Name]]="","",IF(Tasks[[#This Row],[_IsSummary]],MAX(INDEX(Tasks[_LeafLateFinish],Tasks[[#This Row],[_Row]]+1):INDEX(Tasks[_LeafLateFinish],Tasks[[#This Row],[_Row]]+Tasks[[#This Row],[_Descendants]])),Tasks[[#This Row],[_LeafLateFinish]]))</f>
        <v/>
      </c>
      <c r="Z36" s="43" t="str">
        <f aca="false">IF(Tasks[[#This Row],[Task Name]]="","",IF(Tasks[[#This Row],[_IsSummary]],MIN(INDEX(Tasks[_LeafTotalSlack],Tasks[[#This Row],[_Row]]+1):INDEX(Tasks[_LeafTotalSlack],Tasks[[#This Row],[_Row]]+Tasks[[#This Row],[_Descendants]])),Tasks[[#This Row],[_LeafTotalSlack]]))</f>
        <v/>
      </c>
      <c r="AA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6" s="28" t="str">
        <f aca="false">IF(Tasks[[#This Row],[Task Name]]="","",IF(IF(Tasks[[#This Row],[_IsSummary]],COUNTIF(INDEX(Tasks[_LeafCritical],Tasks[[#This Row],[_Row]]+1):INDEX(Tasks[_LeafCritical],Tasks[[#This Row],[_Row]]+Tasks[[#This Row],[_Descendants]]),TRUE())&gt;0,Tasks[[#This Row],[_LeafCritical]]),"Yes",""))</f>
        <v/>
      </c>
      <c r="AC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6" s="24" t="str">
        <f aca="false">IF(Tasks[[#This Row],[Task Name]]="","",TRIM(IF(Tasks[[#This Row],[_Pred1Problem]]&lt;&gt;"","Pred 1: "&amp;Tasks[[#This Row],[_Pred1Problem]]&amp;". ","")&amp;IF(Tasks[[#This Row],[_Pred2Problem]]&lt;&gt;"","Pred 2: "&amp;Tasks[[#This Row],[_Pred2Problem]]&amp;".","")))</f>
        <v/>
      </c>
      <c r="AE36" s="91"/>
      <c r="AF3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6" s="28" t="str">
        <f aca="false">IF(Tasks[[#This Row],[Task Name]]="","",IF(Tasks[[#This Row],[Progress]]&gt;=1,"Complete",IF(OR(N(Tasks[[#This Row],[Actual Start]])&gt;0,Tasks[[#This Row],[Progress]]&gt;0),IF(Tasks[[#This Row],[Finish Var]]&gt;0,"Behind","In Progress"),IF(Tasks[[#This Row],[Planned Start]]&lt;StatusDate,"Late Start","Not Started"))))</f>
        <v/>
      </c>
      <c r="AH36" s="30"/>
      <c r="AI36" s="91"/>
      <c r="AJ3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6" s="98" t="str">
        <f aca="false">IF(Tasks[[#This Row],[Task Name]]="","",IF(Tasks[[#This Row],[_IsSummary]],SUM(INDEX(Tasks[_LeafWork],Tasks[[#This Row],[_Row]]+1):INDEX(Tasks[_LeafWork],Tasks[[#This Row],[_Row]]+Tasks[[#This Row],[_Descendants]])),Tasks[[#This Row],[_LeafWork]]))</f>
        <v/>
      </c>
      <c r="AL36" s="99" t="str">
        <f aca="false">IF(Tasks[[#This Row],[Task Name]]="","",IF(Tasks[[#This Row],[_IsSummary]],SUM(INDEX(Tasks[_LeafCost],Tasks[[#This Row],[_Row]]+1):INDEX(Tasks[_LeafCost],Tasks[[#This Row],[_Row]]+Tasks[[#This Row],[_Descendants]])),Tasks[[#This Row],[_LeafCost]]))</f>
        <v/>
      </c>
      <c r="AM36" s="100"/>
      <c r="AN36" s="29"/>
      <c r="AO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6" s="85"/>
      <c r="AQ36" s="24" t="str">
        <f aca="false">IF(Tasks[[#This Row],[Task Name]]="","",Tasks[[#This Row],[_Pred1IDText]]&amp;IF(AND(Tasks[[#This Row],[_Pred1IDText]]&lt;&gt;"",Tasks[[#This Row],[_Pred2IDText]]&lt;&gt;""),",","")&amp;Tasks[[#This Row],[_Pred2IDText]])</f>
        <v/>
      </c>
      <c r="AR36" s="30"/>
      <c r="AS36" s="25" t="str">
        <f aca="false">IF(Tasks[[#This Row],[Task Name]]="","",Tasks[[#This Row],[Forecast Start]])</f>
        <v/>
      </c>
      <c r="AT36" s="25" t="str">
        <f aca="false">IF(Tasks[[#This Row],[Task Name]]="","",Tasks[[#This Row],[Forecast Finish]])</f>
        <v/>
      </c>
      <c r="AU36" s="28" t="str">
        <f aca="false">IF(Tasks[[#This Row],[Task Name]]="","",IF(Tasks[[#This Row],[_IsSummary]],NETWORKDAYS.INTL(Tasks[[#This Row],[Forecast Start]],Tasks[[#This Row],[Forecast Finish]],WorkWeek,Holidays),N(Tasks[[#This Row],[Duration]])))</f>
        <v/>
      </c>
      <c r="AV36" s="98" t="str">
        <f aca="false">IF(Tasks[[#This Row],[Task Name]]="","",Tasks[[#This Row],[Work]])</f>
        <v/>
      </c>
      <c r="AW36" s="99" t="str">
        <f aca="false">IF(Tasks[[#This Row],[Task Name]]="","",Tasks[[#This Row],[Cost]])</f>
        <v/>
      </c>
      <c r="AX36" s="77"/>
      <c r="AY36" s="77"/>
      <c r="AZ36" s="29"/>
      <c r="BA36" s="101"/>
      <c r="BB36" s="100"/>
      <c r="BC36" s="28" t="str">
        <f aca="false">IF(OR(Tasks[[#This Row],[Task Name]]="",Tasks[[#This Row],[Baseline Duration]]=""),"",Tasks[[#This Row],[BL Source Duration]]-N(Tasks[[#This Row],[Baseline Duration]]))</f>
        <v/>
      </c>
      <c r="BD36" s="98" t="str">
        <f aca="false">IF(OR(Tasks[[#This Row],[Task Name]]="",Tasks[[#This Row],[Baseline Work]]=""),"",Tasks[[#This Row],[Work]]-N(Tasks[[#This Row],[Baseline Work]]))</f>
        <v/>
      </c>
      <c r="BE36" s="99" t="str">
        <f aca="false">IF(OR(Tasks[[#This Row],[Task Name]]="",Tasks[[#This Row],[Baseline Cost]]=""),"",Tasks[[#This Row],[Cost]]-N(Tasks[[#This Row],[Baseline Cost]]))</f>
        <v/>
      </c>
      <c r="BF36" s="99" t="str">
        <f aca="false">IF(Tasks[[#This Row],[Task Name]]="","",IF(Tasks[[#This Row],[_IsSummary]],SUM(INDEX(Tasks[_LeafBudget],Tasks[[#This Row],[_Row]]+1):INDEX(Tasks[_LeafBudget],Tasks[[#This Row],[_Row]]+Tasks[[#This Row],[_Descendants]])),Tasks[[#This Row],[_LeafBudget]]))</f>
        <v/>
      </c>
      <c r="BG36" s="99" t="str">
        <f aca="false">IF(Tasks[[#This Row],[Task Name]]="","",IF(Tasks[[#This Row],[_IsSummary]],SUM(INDEX(Tasks[_LeafPV],Tasks[[#This Row],[_Row]]+1):INDEX(Tasks[_LeafPV],Tasks[[#This Row],[_Row]]+Tasks[[#This Row],[_Descendants]])),Tasks[[#This Row],[_LeafPV]]))</f>
        <v/>
      </c>
      <c r="BH36" s="99" t="str">
        <f aca="false">IF(Tasks[[#This Row],[Task Name]]="","",IF(Tasks[[#This Row],[_IsSummary]],SUM(INDEX(Tasks[_LeafEV],Tasks[[#This Row],[_Row]]+1):INDEX(Tasks[_LeafEV],Tasks[[#This Row],[_Row]]+Tasks[[#This Row],[_Descendants]])),Tasks[[#This Row],[_LeafEV]]))</f>
        <v/>
      </c>
      <c r="BI36" s="99" t="str">
        <f aca="false">IF(Tasks[[#This Row],[Task Name]]="","",IF(Tasks[[#This Row],[_IsSummary]],SUM(INDEX(Tasks[_LeafAC],Tasks[[#This Row],[_Row]]+1):INDEX(Tasks[_LeafAC],Tasks[[#This Row],[_Row]]+Tasks[[#This Row],[_Descendants]])),Tasks[[#This Row],[_LeafAC]]))</f>
        <v/>
      </c>
      <c r="BJ36" s="41" t="str">
        <f aca="false">IF(Tasks[[#This Row],[Task Name]]="","",MAX(1,N(Tasks[[#This Row],[Level]])))</f>
        <v/>
      </c>
      <c r="BK36" s="41" t="n">
        <f aca="false">ROW()-ROW(Tasks[[#Headers],[ID]])</f>
        <v>31</v>
      </c>
      <c r="BL36" s="41" t="n">
        <f aca="false">IF(OR(Tasks[[#This Row],[Task Name]]="",Tasks[[#This Row],[_Level]]&lt;=1),0,IFERROR(LOOKUP(2,1/(Tasks[[#Headers],[_Level]]:Tasks[[#This Row],[_Level]]=Tasks[[#This Row],[_Level]]-1),ROW(Tasks[[#Headers],[_Level]]:Tasks[[#This Row],[_Level]])),0))</f>
        <v>0</v>
      </c>
      <c r="BM36" s="41" t="n">
        <f aca="false">IFERROR(N(INDEX(Tasks[_Level],Tasks[[#This Row],[_Row]]+1)),0)</f>
        <v>0</v>
      </c>
      <c r="BN36" s="102" t="b">
        <f aca="false">AND(Tasks[[#This Row],[Task Name]]&lt;&gt;"",Tasks[[#This Row],[_NextLevel]]&gt;Tasks[[#This Row],[_Level]])</f>
        <v>0</v>
      </c>
      <c r="BO36" s="41" t="n">
        <f aca="false">IF(Tasks[[#This Row],[_IsSummary]],COUNTIF(Tasks[WBS],Tasks[[#This Row],[WBS]]&amp;".*"),0)</f>
        <v>0</v>
      </c>
      <c r="BP36" s="41" t="n">
        <f aca="false">IF(AND(Tasks[[#This Row],[Task Name]]&lt;&gt;"",NOT(Tasks[[#This Row],[_IsSummary]])),1,0)</f>
        <v>0</v>
      </c>
      <c r="BQ36" s="41" t="n">
        <f aca="false">IF(N(Tasks[[#This Row],[Pred1 UID]])=0,0,IFERROR(MATCH(Tasks[[#This Row],[Pred1 UID]],Tasks[UID],0),-1))</f>
        <v>0</v>
      </c>
      <c r="BR36" s="41" t="n">
        <f aca="false">IF(N(Tasks[[#This Row],[Pred2 UID]])=0,0,IFERROR(MATCH(Tasks[[#This Row],[Pred2 UID]],Tasks[UID],0),-1))</f>
        <v>0</v>
      </c>
      <c r="BS3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6" s="103" t="str">
        <f aca="false">IF(NOT(Tasks[[#This Row],[_IsLeaf]]=1),"",IF(N(Tasks[[#This Row],[Duration]])&lt;=0,Tasks[[#This Row],[_LeafCalcStart]],WORKDAY.INTL(Tasks[[#This Row],[_LeafCalcStart]],Tasks[[#This Row],[Duration]]-1,WorkWeek,Holidays)))</f>
        <v/>
      </c>
      <c r="BU3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6" s="41" t="n">
        <f aca="false">IF(NOT(Tasks[[#This Row],[_IsLeaf]]=1),0,IF(N(Tasks[[#This Row],[Actual Finish]])&gt;0,1,MIN(1,N(Tasks[[#This Row],[% Complete]]))))</f>
        <v>0</v>
      </c>
      <c r="BX36" s="41" t="n">
        <f aca="false">IF(OR(NOT(Tasks[[#This Row],[_IsLeaf]]=1),Tasks[[#This Row],[Resource]]=""),0,N(Tasks[[#This Row],[Duration]])*HoursPerDay*IF(Tasks[[#This Row],[Units]]="",DefaultUnits,Tasks[[#This Row],[Units]]))</f>
        <v>0</v>
      </c>
      <c r="BY36" s="41" t="n">
        <f aca="false">IF(Tasks[[#This Row],[_LeafWork]]=0,0,Tasks[[#This Row],[_LeafWork]]*IFERROR(INDEX(res_Rate,MATCH(Tasks[[#This Row],[Resource]],res_Name,0)),0))</f>
        <v>0</v>
      </c>
      <c r="BZ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6" s="41" t="n">
        <f aca="false">IF(NOT(Tasks[[#This Row],[_IsLeaf]]=1),0,MAX(_xlfn.MAXIFS(Tasks[_Row],Tasks[Pred1 UID],Tasks[[#This Row],[UID]]),_xlfn.MAXIFS(Tasks[_Row],Tasks[Pred2 UID],Tasks[[#This Row],[UID]])))</f>
        <v>0</v>
      </c>
      <c r="CE3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6" s="103" t="str">
        <f aca="false">IF(NOT(Tasks[[#This Row],[_IsLeaf]]=1),"",MIN(ProjectFinish,IF(N(Tasks[[#This Row],[Deadline]])&gt;0,Tasks[[#This Row],[Deadline]],2958465),Tasks[[#This Row],[_SuccessorFinishLimit]]))</f>
        <v/>
      </c>
      <c r="CG36" s="103" t="str">
        <f aca="false">IF(NOT(Tasks[[#This Row],[_IsLeaf]]=1),"",IF(N(Tasks[[#This Row],[Duration]])&lt;=0,Tasks[[#This Row],[_LeafLateFinish]],WORKDAY.INTL(Tasks[[#This Row],[_LeafLateFinish]],-(Tasks[[#This Row],[Duration]]-1),WorkWeek,Holidays)))</f>
        <v/>
      </c>
      <c r="CH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6" s="102" t="b">
        <f aca="false">AND(Tasks[[#This Row],[_IsLeaf]]=1,Tasks[[#This Row],[_LeafProgress]]&lt;1,N(Tasks[[#This Row],[_LeafTotalSlack]])&lt;=CriticalSlackDays)</f>
        <v>0</v>
      </c>
      <c r="CJ36" s="103" t="str">
        <f aca="false">IF(Tasks[[#This Row],[Task Name]]="","",IF(Tasks[[#This Row],[_IsSummary]],MIN(INDEX(Tasks[_LeafCalcStart],Tasks[[#This Row],[_Row]]+1):INDEX(Tasks[_LeafCalcStart],Tasks[[#This Row],[_Row]]+Tasks[[#This Row],[_Descendants]])),Tasks[[#This Row],[_LeafCalcStart]]))</f>
        <v/>
      </c>
      <c r="CK36" s="103" t="str">
        <f aca="false">IF(Tasks[[#This Row],[Task Name]]="","",IF(Tasks[[#This Row],[_IsSummary]],MAX(INDEX(Tasks[_LeafCalcFinish],Tasks[[#This Row],[_Row]]+1):INDEX(Tasks[_LeafCalcFinish],Tasks[[#This Row],[_Row]]+Tasks[[#This Row],[_Descendants]])),Tasks[[#This Row],[_LeafCalcFinish]]))</f>
        <v/>
      </c>
      <c r="CL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6" s="41" t="n">
        <f aca="false">IF(AND(Tasks[[#This Row],[_IsLeaf]]=1,Tasks[[#This Row],[_LeafWork]]&gt;0),NETWORKDAYS.INTL(ProjectStart,Tasks[[#This Row],[_LeafFcstStart]],WorkWeek,Holidays),0)</f>
        <v>0</v>
      </c>
      <c r="CS36" s="41" t="n">
        <f aca="false">IF(AND(Tasks[[#This Row],[_IsLeaf]]=1,Tasks[[#This Row],[_LeafWork]]&gt;0),MAX(Tasks[[#This Row],[_StartWorkday]],NETWORKDAYS.INTL(ProjectStart,Tasks[[#This Row],[_LeafFcstFinish]],WorkWeek,Holidays)),0)</f>
        <v>0</v>
      </c>
      <c r="CT36" s="41" t="n">
        <f aca="false">IF(AND(Tasks[[#This Row],[_IsLeaf]]=1,Tasks[[#This Row],[_LeafWork]]&gt;0),Tasks[[#This Row],[_LeafWork]]/(Tasks[[#This Row],[_FinishWorkday]]-Tasks[[#This Row],[_StartWorkday]]+1),0)</f>
        <v>0</v>
      </c>
      <c r="CU36" s="41" t="n">
        <f aca="false">Tasks[[#This Row],[_WorkPerWorkday]]*(Tasks[[#This Row],[_StartWorkday]]-1)</f>
        <v>-0</v>
      </c>
      <c r="CV36" s="41" t="n">
        <f aca="false">IF(Tasks[[#This Row],[_IsLeaf]]=1,MAX(N(Tasks[[#This Row],[Duration]]),0.1),0)</f>
        <v>0</v>
      </c>
      <c r="CW36" s="41" t="n">
        <f aca="false">Tasks[[#This Row],[_WeightDur]]*Tasks[[#This Row],[_LeafProgress]]</f>
        <v>0</v>
      </c>
      <c r="CX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6" s="41" t="str">
        <f aca="false">IF(Tasks[[#This Row],[Task Name]]="","",Tasks[[#This Row],[_Pred1UIDText]]&amp;IF(AND(Tasks[[#This Row],[_Pred1UIDText]]&lt;&gt;"",Tasks[[#This Row],[_Pred2UIDText]]&lt;&gt;""),",","")&amp;Tasks[[#This Row],[_Pred2UIDText]])</f>
        <v/>
      </c>
      <c r="DC36" s="41" t="str">
        <f aca="false">IF(AND(Tasks[[#This Row],[_IsLeaf]]=1,N(Tasks[[#This Row],[Duration]])=0,Tasks[[#This Row],[_LeafProgress]]&lt;1),Tasks[[#This Row],[_LeafFcstFinish]]+Tasks[[#This Row],[_Row]]/100000,"")</f>
        <v/>
      </c>
      <c r="DD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6" s="41" t="n">
        <f aca="false">IF(NOT(Tasks[[#This Row],[_IsLeaf]]=1),0,IF(Tasks[[#This Row],[Baseline Cost]]="",Tasks[[#This Row],[_LeafCost]],N(Tasks[[#This Row],[Baseline Cost]])))</f>
        <v>0</v>
      </c>
      <c r="DF36" s="41" t="n">
        <f aca="false">Tasks[[#This Row],[_LeafBudget]]*Tasks[[#This Row],[_PlannedPct]]</f>
        <v>0</v>
      </c>
      <c r="DG36" s="41" t="n">
        <f aca="false">Tasks[[#This Row],[_LeafBudget]]*Tasks[[#This Row],[_LeafProgress]]</f>
        <v>0</v>
      </c>
      <c r="DH36" s="41" t="n">
        <f aca="false">IF(NOT(Tasks[[#This Row],[_IsLeaf]]=1),0,IF(Tasks[[#This Row],[Actual Cost]]="",Tasks[[#This Row],[_LeafCost]]*Tasks[[#This Row],[_LeafProgress]],N(Tasks[[#This Row],[Actual Cost]])))</f>
        <v>0</v>
      </c>
      <c r="DI36" s="41" t="str">
        <f aca="false">IF(Tasks[[#This Row],[Task Name]]="","",LEFT(Tasks[[#This Row],[WBS]],FIND(".",Tasks[[#This Row],[WBS]]&amp;".")-1))</f>
        <v/>
      </c>
      <c r="DJ36" s="41" t="str">
        <f aca="false">IF(AND(Tasks[[#This Row],[Task Name]]&lt;&gt;"",Tasks[[#This Row],[_Level]]=1),Tasks[[#This Row],[_Row]],"")</f>
        <v/>
      </c>
      <c r="DK36" s="41" t="str">
        <f aca="false">IF(AND(Tasks[[#This Row],[_IsLeaf]]=1,N(Tasks[[#This Row],[Duration]])=0),Tasks[[#This Row],[Planned Finish]]+Tasks[[#This Row],[_Row]]/100000,"")</f>
        <v/>
      </c>
      <c r="DL36" s="41" t="str">
        <f aca="false">IF(AND(Tasks[[#This Row],[_IsLeaf]]=1,Tasks[[#This Row],[_LeafProgress]]&lt;1,OR(N(Tasks[[#This Row],[Finish Var]])&gt;0,Tasks[[#This Row],[Status]]="Late Start")),MAX(0,Tasks[[#This Row],[Finish Var]])+1-Tasks[[#This Row],[_Row]]/1000000,"")</f>
        <v/>
      </c>
      <c r="DM36" s="41" t="str">
        <f aca="false">IF(AND(Tasks[[#This Row],[_IsLeaf]]=1,N(Tasks[[#This Row],[Actual Start]])=0,Tasks[[#This Row],[_LeafFcstStart]]&gt;=StatusDate,Tasks[[#This Row],[_LeafFcstStart]]&lt;=LookaheadEnd),Tasks[[#This Row],[_LeafFcstStart]]+Tasks[[#This Row],[_Row]]/100000,"")</f>
        <v/>
      </c>
      <c r="DN36" s="41" t="str">
        <f aca="false">IF(AND(Tasks[[#This Row],[_IsLeaf]]=1,Tasks[[#This Row],[_LeafProgress]]&lt;1,Tasks[[#This Row],[_LeafFcstFinish]]&gt;=StatusDate,Tasks[[#This Row],[_LeafFcstFinish]]&lt;=LookaheadEnd),Tasks[[#This Row],[_LeafFcstFinish]]+Tasks[[#This Row],[_Row]]/100000,"")</f>
        <v/>
      </c>
      <c r="DO36" s="41" t="str">
        <f aca="false">IF(Tasks[[#This Row],[_LeafCritical]],Tasks[[#This Row],[_LeafFcstStart]]+Tasks[[#This Row],[_Row]]/100000,"")</f>
        <v/>
      </c>
      <c r="DP36" s="41" t="n">
        <f aca="false">Tasks[[#This Row],[_LeafWork]]*Tasks[[#This Row],[_LeafProgress]]</f>
        <v>0</v>
      </c>
      <c r="DQ36" s="103" t="str">
        <f aca="false">IF(AND(Tasks[[#This Row],[_IsLeaf]]=1,Tasks[[#This Row],[_LeafProgress]]&gt;=1),IF(N(Tasks[[#This Row],[Actual Finish]])&gt;0,Tasks[[#This Row],[Actual Finish]],Tasks[[#This Row],[_LeafFcstFinish]]),"")</f>
        <v/>
      </c>
      <c r="DR36" s="41" t="n">
        <f aca="false">IF(Tasks[[#This Row],[_IsLeaf]]=1,N(Tasks[[#This Row],[Story Points]]),0)</f>
        <v>0</v>
      </c>
      <c r="DS36" s="41" t="str">
        <f aca="false">IF(AND(Tasks[[#This Row],[_IsLeaf]]=1,CurrentSprint&lt;&gt;"",Tasks[[#This Row],[Sprint]]=CurrentSprint),Tasks[[#This Row],[_Row]],"")</f>
        <v/>
      </c>
    </row>
    <row r="37" customFormat="false" ht="15" hidden="false" customHeight="false" outlineLevel="0" collapsed="false">
      <c r="A37" s="28" t="str">
        <f aca="false">IF(Tasks[[#This Row],[Task Name]]="","",COUNTA(Tasks[[#Headers],[Task Name]]:Tasks[[#This Row],[Task Name]])-1)</f>
        <v/>
      </c>
      <c r="B37" s="29" t="n">
        <v>32</v>
      </c>
      <c r="C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29"/>
      <c r="E37" s="30"/>
      <c r="F37" s="29"/>
      <c r="G37" s="29"/>
      <c r="H37" s="29"/>
      <c r="I37" s="29"/>
      <c r="J37" s="29"/>
      <c r="K37" s="29"/>
      <c r="L37" s="29"/>
      <c r="M37" s="29"/>
      <c r="N37" s="77"/>
      <c r="O37" s="77"/>
      <c r="P37" s="25" t="str">
        <f aca="false">IF(Tasks[[#This Row],[Task Name]]="","",IF(N(Tasks[[#This Row],[Baseline Start]])&gt;0,Tasks[[#This Row],[Baseline Start]],Tasks[[#This Row],[_CalcStart]]))</f>
        <v/>
      </c>
      <c r="Q37" s="25" t="str">
        <f aca="false">IF(Tasks[[#This Row],[Task Name]]="","",IF(N(Tasks[[#This Row],[Baseline Finish]])&gt;0,Tasks[[#This Row],[Baseline Finish]],Tasks[[#This Row],[_CalcFinish]]))</f>
        <v/>
      </c>
      <c r="R37" s="77"/>
      <c r="S37" s="77"/>
      <c r="T37" s="25" t="str">
        <f aca="false">IF(Tasks[[#This Row],[Task Name]]="","",IF(Tasks[[#This Row],[_IsSummary]],MIN(INDEX(Tasks[_LeafFcstStart],Tasks[[#This Row],[_Row]]+1):INDEX(Tasks[_LeafFcstStart],Tasks[[#This Row],[_Row]]+Tasks[[#This Row],[_Descendants]])),Tasks[[#This Row],[_LeafFcstStart]]))</f>
        <v/>
      </c>
      <c r="U37" s="25" t="str">
        <f aca="false">IF(Tasks[[#This Row],[Task Name]]="","",IF(Tasks[[#This Row],[_IsSummary]],MAX(INDEX(Tasks[_LeafFcstFinish],Tasks[[#This Row],[_Row]]+1):INDEX(Tasks[_LeafFcstFinish],Tasks[[#This Row],[_Row]]+Tasks[[#This Row],[_Descendants]])),Tasks[[#This Row],[_LeafFcstFinish]]))</f>
        <v/>
      </c>
      <c r="V3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7" s="25" t="str">
        <f aca="false">IF(Tasks[[#This Row],[Task Name]]="","",IF(Tasks[[#This Row],[_IsSummary]],MIN(INDEX(Tasks[_LeafLateStart],Tasks[[#This Row],[_Row]]+1):INDEX(Tasks[_LeafLateStart],Tasks[[#This Row],[_Row]]+Tasks[[#This Row],[_Descendants]])),Tasks[[#This Row],[_LeafLateStart]]))</f>
        <v/>
      </c>
      <c r="Y37" s="25" t="str">
        <f aca="false">IF(Tasks[[#This Row],[Task Name]]="","",IF(Tasks[[#This Row],[_IsSummary]],MAX(INDEX(Tasks[_LeafLateFinish],Tasks[[#This Row],[_Row]]+1):INDEX(Tasks[_LeafLateFinish],Tasks[[#This Row],[_Row]]+Tasks[[#This Row],[_Descendants]])),Tasks[[#This Row],[_LeafLateFinish]]))</f>
        <v/>
      </c>
      <c r="Z37" s="43" t="str">
        <f aca="false">IF(Tasks[[#This Row],[Task Name]]="","",IF(Tasks[[#This Row],[_IsSummary]],MIN(INDEX(Tasks[_LeafTotalSlack],Tasks[[#This Row],[_Row]]+1):INDEX(Tasks[_LeafTotalSlack],Tasks[[#This Row],[_Row]]+Tasks[[#This Row],[_Descendants]])),Tasks[[#This Row],[_LeafTotalSlack]]))</f>
        <v/>
      </c>
      <c r="AA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7" s="28" t="str">
        <f aca="false">IF(Tasks[[#This Row],[Task Name]]="","",IF(IF(Tasks[[#This Row],[_IsSummary]],COUNTIF(INDEX(Tasks[_LeafCritical],Tasks[[#This Row],[_Row]]+1):INDEX(Tasks[_LeafCritical],Tasks[[#This Row],[_Row]]+Tasks[[#This Row],[_Descendants]]),TRUE())&gt;0,Tasks[[#This Row],[_LeafCritical]]),"Yes",""))</f>
        <v/>
      </c>
      <c r="AC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7" s="24" t="str">
        <f aca="false">IF(Tasks[[#This Row],[Task Name]]="","",TRIM(IF(Tasks[[#This Row],[_Pred1Problem]]&lt;&gt;"","Pred 1: "&amp;Tasks[[#This Row],[_Pred1Problem]]&amp;". ","")&amp;IF(Tasks[[#This Row],[_Pred2Problem]]&lt;&gt;"","Pred 2: "&amp;Tasks[[#This Row],[_Pred2Problem]]&amp;".","")))</f>
        <v/>
      </c>
      <c r="AE37" s="91"/>
      <c r="AF3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7" s="28" t="str">
        <f aca="false">IF(Tasks[[#This Row],[Task Name]]="","",IF(Tasks[[#This Row],[Progress]]&gt;=1,"Complete",IF(OR(N(Tasks[[#This Row],[Actual Start]])&gt;0,Tasks[[#This Row],[Progress]]&gt;0),IF(Tasks[[#This Row],[Finish Var]]&gt;0,"Behind","In Progress"),IF(Tasks[[#This Row],[Planned Start]]&lt;StatusDate,"Late Start","Not Started"))))</f>
        <v/>
      </c>
      <c r="AH37" s="30"/>
      <c r="AI37" s="91"/>
      <c r="AJ3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7" s="98" t="str">
        <f aca="false">IF(Tasks[[#This Row],[Task Name]]="","",IF(Tasks[[#This Row],[_IsSummary]],SUM(INDEX(Tasks[_LeafWork],Tasks[[#This Row],[_Row]]+1):INDEX(Tasks[_LeafWork],Tasks[[#This Row],[_Row]]+Tasks[[#This Row],[_Descendants]])),Tasks[[#This Row],[_LeafWork]]))</f>
        <v/>
      </c>
      <c r="AL37" s="99" t="str">
        <f aca="false">IF(Tasks[[#This Row],[Task Name]]="","",IF(Tasks[[#This Row],[_IsSummary]],SUM(INDEX(Tasks[_LeafCost],Tasks[[#This Row],[_Row]]+1):INDEX(Tasks[_LeafCost],Tasks[[#This Row],[_Row]]+Tasks[[#This Row],[_Descendants]])),Tasks[[#This Row],[_LeafCost]]))</f>
        <v/>
      </c>
      <c r="AM37" s="100"/>
      <c r="AN37" s="29"/>
      <c r="AO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7" s="85"/>
      <c r="AQ37" s="24" t="str">
        <f aca="false">IF(Tasks[[#This Row],[Task Name]]="","",Tasks[[#This Row],[_Pred1IDText]]&amp;IF(AND(Tasks[[#This Row],[_Pred1IDText]]&lt;&gt;"",Tasks[[#This Row],[_Pred2IDText]]&lt;&gt;""),",","")&amp;Tasks[[#This Row],[_Pred2IDText]])</f>
        <v/>
      </c>
      <c r="AR37" s="30"/>
      <c r="AS37" s="25" t="str">
        <f aca="false">IF(Tasks[[#This Row],[Task Name]]="","",Tasks[[#This Row],[Forecast Start]])</f>
        <v/>
      </c>
      <c r="AT37" s="25" t="str">
        <f aca="false">IF(Tasks[[#This Row],[Task Name]]="","",Tasks[[#This Row],[Forecast Finish]])</f>
        <v/>
      </c>
      <c r="AU37" s="28" t="str">
        <f aca="false">IF(Tasks[[#This Row],[Task Name]]="","",IF(Tasks[[#This Row],[_IsSummary]],NETWORKDAYS.INTL(Tasks[[#This Row],[Forecast Start]],Tasks[[#This Row],[Forecast Finish]],WorkWeek,Holidays),N(Tasks[[#This Row],[Duration]])))</f>
        <v/>
      </c>
      <c r="AV37" s="98" t="str">
        <f aca="false">IF(Tasks[[#This Row],[Task Name]]="","",Tasks[[#This Row],[Work]])</f>
        <v/>
      </c>
      <c r="AW37" s="99" t="str">
        <f aca="false">IF(Tasks[[#This Row],[Task Name]]="","",Tasks[[#This Row],[Cost]])</f>
        <v/>
      </c>
      <c r="AX37" s="77"/>
      <c r="AY37" s="77"/>
      <c r="AZ37" s="29"/>
      <c r="BA37" s="101"/>
      <c r="BB37" s="100"/>
      <c r="BC37" s="28" t="str">
        <f aca="false">IF(OR(Tasks[[#This Row],[Task Name]]="",Tasks[[#This Row],[Baseline Duration]]=""),"",Tasks[[#This Row],[BL Source Duration]]-N(Tasks[[#This Row],[Baseline Duration]]))</f>
        <v/>
      </c>
      <c r="BD37" s="98" t="str">
        <f aca="false">IF(OR(Tasks[[#This Row],[Task Name]]="",Tasks[[#This Row],[Baseline Work]]=""),"",Tasks[[#This Row],[Work]]-N(Tasks[[#This Row],[Baseline Work]]))</f>
        <v/>
      </c>
      <c r="BE37" s="99" t="str">
        <f aca="false">IF(OR(Tasks[[#This Row],[Task Name]]="",Tasks[[#This Row],[Baseline Cost]]=""),"",Tasks[[#This Row],[Cost]]-N(Tasks[[#This Row],[Baseline Cost]]))</f>
        <v/>
      </c>
      <c r="BF37" s="99" t="str">
        <f aca="false">IF(Tasks[[#This Row],[Task Name]]="","",IF(Tasks[[#This Row],[_IsSummary]],SUM(INDEX(Tasks[_LeafBudget],Tasks[[#This Row],[_Row]]+1):INDEX(Tasks[_LeafBudget],Tasks[[#This Row],[_Row]]+Tasks[[#This Row],[_Descendants]])),Tasks[[#This Row],[_LeafBudget]]))</f>
        <v/>
      </c>
      <c r="BG37" s="99" t="str">
        <f aca="false">IF(Tasks[[#This Row],[Task Name]]="","",IF(Tasks[[#This Row],[_IsSummary]],SUM(INDEX(Tasks[_LeafPV],Tasks[[#This Row],[_Row]]+1):INDEX(Tasks[_LeafPV],Tasks[[#This Row],[_Row]]+Tasks[[#This Row],[_Descendants]])),Tasks[[#This Row],[_LeafPV]]))</f>
        <v/>
      </c>
      <c r="BH37" s="99" t="str">
        <f aca="false">IF(Tasks[[#This Row],[Task Name]]="","",IF(Tasks[[#This Row],[_IsSummary]],SUM(INDEX(Tasks[_LeafEV],Tasks[[#This Row],[_Row]]+1):INDEX(Tasks[_LeafEV],Tasks[[#This Row],[_Row]]+Tasks[[#This Row],[_Descendants]])),Tasks[[#This Row],[_LeafEV]]))</f>
        <v/>
      </c>
      <c r="BI37" s="99" t="str">
        <f aca="false">IF(Tasks[[#This Row],[Task Name]]="","",IF(Tasks[[#This Row],[_IsSummary]],SUM(INDEX(Tasks[_LeafAC],Tasks[[#This Row],[_Row]]+1):INDEX(Tasks[_LeafAC],Tasks[[#This Row],[_Row]]+Tasks[[#This Row],[_Descendants]])),Tasks[[#This Row],[_LeafAC]]))</f>
        <v/>
      </c>
      <c r="BJ37" s="41" t="str">
        <f aca="false">IF(Tasks[[#This Row],[Task Name]]="","",MAX(1,N(Tasks[[#This Row],[Level]])))</f>
        <v/>
      </c>
      <c r="BK37" s="41" t="n">
        <f aca="false">ROW()-ROW(Tasks[[#Headers],[ID]])</f>
        <v>32</v>
      </c>
      <c r="BL37" s="41" t="n">
        <f aca="false">IF(OR(Tasks[[#This Row],[Task Name]]="",Tasks[[#This Row],[_Level]]&lt;=1),0,IFERROR(LOOKUP(2,1/(Tasks[[#Headers],[_Level]]:Tasks[[#This Row],[_Level]]=Tasks[[#This Row],[_Level]]-1),ROW(Tasks[[#Headers],[_Level]]:Tasks[[#This Row],[_Level]])),0))</f>
        <v>0</v>
      </c>
      <c r="BM37" s="41" t="n">
        <f aca="false">IFERROR(N(INDEX(Tasks[_Level],Tasks[[#This Row],[_Row]]+1)),0)</f>
        <v>0</v>
      </c>
      <c r="BN37" s="102" t="b">
        <f aca="false">AND(Tasks[[#This Row],[Task Name]]&lt;&gt;"",Tasks[[#This Row],[_NextLevel]]&gt;Tasks[[#This Row],[_Level]])</f>
        <v>0</v>
      </c>
      <c r="BO37" s="41" t="n">
        <f aca="false">IF(Tasks[[#This Row],[_IsSummary]],COUNTIF(Tasks[WBS],Tasks[[#This Row],[WBS]]&amp;".*"),0)</f>
        <v>0</v>
      </c>
      <c r="BP37" s="41" t="n">
        <f aca="false">IF(AND(Tasks[[#This Row],[Task Name]]&lt;&gt;"",NOT(Tasks[[#This Row],[_IsSummary]])),1,0)</f>
        <v>0</v>
      </c>
      <c r="BQ37" s="41" t="n">
        <f aca="false">IF(N(Tasks[[#This Row],[Pred1 UID]])=0,0,IFERROR(MATCH(Tasks[[#This Row],[Pred1 UID]],Tasks[UID],0),-1))</f>
        <v>0</v>
      </c>
      <c r="BR37" s="41" t="n">
        <f aca="false">IF(N(Tasks[[#This Row],[Pred2 UID]])=0,0,IFERROR(MATCH(Tasks[[#This Row],[Pred2 UID]],Tasks[UID],0),-1))</f>
        <v>0</v>
      </c>
      <c r="BS3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7" s="103" t="str">
        <f aca="false">IF(NOT(Tasks[[#This Row],[_IsLeaf]]=1),"",IF(N(Tasks[[#This Row],[Duration]])&lt;=0,Tasks[[#This Row],[_LeafCalcStart]],WORKDAY.INTL(Tasks[[#This Row],[_LeafCalcStart]],Tasks[[#This Row],[Duration]]-1,WorkWeek,Holidays)))</f>
        <v/>
      </c>
      <c r="BU3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7" s="41" t="n">
        <f aca="false">IF(NOT(Tasks[[#This Row],[_IsLeaf]]=1),0,IF(N(Tasks[[#This Row],[Actual Finish]])&gt;0,1,MIN(1,N(Tasks[[#This Row],[% Complete]]))))</f>
        <v>0</v>
      </c>
      <c r="BX37" s="41" t="n">
        <f aca="false">IF(OR(NOT(Tasks[[#This Row],[_IsLeaf]]=1),Tasks[[#This Row],[Resource]]=""),0,N(Tasks[[#This Row],[Duration]])*HoursPerDay*IF(Tasks[[#This Row],[Units]]="",DefaultUnits,Tasks[[#This Row],[Units]]))</f>
        <v>0</v>
      </c>
      <c r="BY37" s="41" t="n">
        <f aca="false">IF(Tasks[[#This Row],[_LeafWork]]=0,0,Tasks[[#This Row],[_LeafWork]]*IFERROR(INDEX(res_Rate,MATCH(Tasks[[#This Row],[Resource]],res_Name,0)),0))</f>
        <v>0</v>
      </c>
      <c r="BZ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7" s="41" t="n">
        <f aca="false">IF(NOT(Tasks[[#This Row],[_IsLeaf]]=1),0,MAX(_xlfn.MAXIFS(Tasks[_Row],Tasks[Pred1 UID],Tasks[[#This Row],[UID]]),_xlfn.MAXIFS(Tasks[_Row],Tasks[Pred2 UID],Tasks[[#This Row],[UID]])))</f>
        <v>0</v>
      </c>
      <c r="CE3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7" s="103" t="str">
        <f aca="false">IF(NOT(Tasks[[#This Row],[_IsLeaf]]=1),"",MIN(ProjectFinish,IF(N(Tasks[[#This Row],[Deadline]])&gt;0,Tasks[[#This Row],[Deadline]],2958465),Tasks[[#This Row],[_SuccessorFinishLimit]]))</f>
        <v/>
      </c>
      <c r="CG37" s="103" t="str">
        <f aca="false">IF(NOT(Tasks[[#This Row],[_IsLeaf]]=1),"",IF(N(Tasks[[#This Row],[Duration]])&lt;=0,Tasks[[#This Row],[_LeafLateFinish]],WORKDAY.INTL(Tasks[[#This Row],[_LeafLateFinish]],-(Tasks[[#This Row],[Duration]]-1),WorkWeek,Holidays)))</f>
        <v/>
      </c>
      <c r="CH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7" s="102" t="b">
        <f aca="false">AND(Tasks[[#This Row],[_IsLeaf]]=1,Tasks[[#This Row],[_LeafProgress]]&lt;1,N(Tasks[[#This Row],[_LeafTotalSlack]])&lt;=CriticalSlackDays)</f>
        <v>0</v>
      </c>
      <c r="CJ37" s="103" t="str">
        <f aca="false">IF(Tasks[[#This Row],[Task Name]]="","",IF(Tasks[[#This Row],[_IsSummary]],MIN(INDEX(Tasks[_LeafCalcStart],Tasks[[#This Row],[_Row]]+1):INDEX(Tasks[_LeafCalcStart],Tasks[[#This Row],[_Row]]+Tasks[[#This Row],[_Descendants]])),Tasks[[#This Row],[_LeafCalcStart]]))</f>
        <v/>
      </c>
      <c r="CK37" s="103" t="str">
        <f aca="false">IF(Tasks[[#This Row],[Task Name]]="","",IF(Tasks[[#This Row],[_IsSummary]],MAX(INDEX(Tasks[_LeafCalcFinish],Tasks[[#This Row],[_Row]]+1):INDEX(Tasks[_LeafCalcFinish],Tasks[[#This Row],[_Row]]+Tasks[[#This Row],[_Descendants]])),Tasks[[#This Row],[_LeafCalcFinish]]))</f>
        <v/>
      </c>
      <c r="CL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7" s="41" t="n">
        <f aca="false">IF(AND(Tasks[[#This Row],[_IsLeaf]]=1,Tasks[[#This Row],[_LeafWork]]&gt;0),NETWORKDAYS.INTL(ProjectStart,Tasks[[#This Row],[_LeafFcstStart]],WorkWeek,Holidays),0)</f>
        <v>0</v>
      </c>
      <c r="CS37" s="41" t="n">
        <f aca="false">IF(AND(Tasks[[#This Row],[_IsLeaf]]=1,Tasks[[#This Row],[_LeafWork]]&gt;0),MAX(Tasks[[#This Row],[_StartWorkday]],NETWORKDAYS.INTL(ProjectStart,Tasks[[#This Row],[_LeafFcstFinish]],WorkWeek,Holidays)),0)</f>
        <v>0</v>
      </c>
      <c r="CT37" s="41" t="n">
        <f aca="false">IF(AND(Tasks[[#This Row],[_IsLeaf]]=1,Tasks[[#This Row],[_LeafWork]]&gt;0),Tasks[[#This Row],[_LeafWork]]/(Tasks[[#This Row],[_FinishWorkday]]-Tasks[[#This Row],[_StartWorkday]]+1),0)</f>
        <v>0</v>
      </c>
      <c r="CU37" s="41" t="n">
        <f aca="false">Tasks[[#This Row],[_WorkPerWorkday]]*(Tasks[[#This Row],[_StartWorkday]]-1)</f>
        <v>-0</v>
      </c>
      <c r="CV37" s="41" t="n">
        <f aca="false">IF(Tasks[[#This Row],[_IsLeaf]]=1,MAX(N(Tasks[[#This Row],[Duration]]),0.1),0)</f>
        <v>0</v>
      </c>
      <c r="CW37" s="41" t="n">
        <f aca="false">Tasks[[#This Row],[_WeightDur]]*Tasks[[#This Row],[_LeafProgress]]</f>
        <v>0</v>
      </c>
      <c r="CX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7" s="41" t="str">
        <f aca="false">IF(Tasks[[#This Row],[Task Name]]="","",Tasks[[#This Row],[_Pred1UIDText]]&amp;IF(AND(Tasks[[#This Row],[_Pred1UIDText]]&lt;&gt;"",Tasks[[#This Row],[_Pred2UIDText]]&lt;&gt;""),",","")&amp;Tasks[[#This Row],[_Pred2UIDText]])</f>
        <v/>
      </c>
      <c r="DC37" s="41" t="str">
        <f aca="false">IF(AND(Tasks[[#This Row],[_IsLeaf]]=1,N(Tasks[[#This Row],[Duration]])=0,Tasks[[#This Row],[_LeafProgress]]&lt;1),Tasks[[#This Row],[_LeafFcstFinish]]+Tasks[[#This Row],[_Row]]/100000,"")</f>
        <v/>
      </c>
      <c r="DD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7" s="41" t="n">
        <f aca="false">IF(NOT(Tasks[[#This Row],[_IsLeaf]]=1),0,IF(Tasks[[#This Row],[Baseline Cost]]="",Tasks[[#This Row],[_LeafCost]],N(Tasks[[#This Row],[Baseline Cost]])))</f>
        <v>0</v>
      </c>
      <c r="DF37" s="41" t="n">
        <f aca="false">Tasks[[#This Row],[_LeafBudget]]*Tasks[[#This Row],[_PlannedPct]]</f>
        <v>0</v>
      </c>
      <c r="DG37" s="41" t="n">
        <f aca="false">Tasks[[#This Row],[_LeafBudget]]*Tasks[[#This Row],[_LeafProgress]]</f>
        <v>0</v>
      </c>
      <c r="DH37" s="41" t="n">
        <f aca="false">IF(NOT(Tasks[[#This Row],[_IsLeaf]]=1),0,IF(Tasks[[#This Row],[Actual Cost]]="",Tasks[[#This Row],[_LeafCost]]*Tasks[[#This Row],[_LeafProgress]],N(Tasks[[#This Row],[Actual Cost]])))</f>
        <v>0</v>
      </c>
      <c r="DI37" s="41" t="str">
        <f aca="false">IF(Tasks[[#This Row],[Task Name]]="","",LEFT(Tasks[[#This Row],[WBS]],FIND(".",Tasks[[#This Row],[WBS]]&amp;".")-1))</f>
        <v/>
      </c>
      <c r="DJ37" s="41" t="str">
        <f aca="false">IF(AND(Tasks[[#This Row],[Task Name]]&lt;&gt;"",Tasks[[#This Row],[_Level]]=1),Tasks[[#This Row],[_Row]],"")</f>
        <v/>
      </c>
      <c r="DK37" s="41" t="str">
        <f aca="false">IF(AND(Tasks[[#This Row],[_IsLeaf]]=1,N(Tasks[[#This Row],[Duration]])=0),Tasks[[#This Row],[Planned Finish]]+Tasks[[#This Row],[_Row]]/100000,"")</f>
        <v/>
      </c>
      <c r="DL37" s="41" t="str">
        <f aca="false">IF(AND(Tasks[[#This Row],[_IsLeaf]]=1,Tasks[[#This Row],[_LeafProgress]]&lt;1,OR(N(Tasks[[#This Row],[Finish Var]])&gt;0,Tasks[[#This Row],[Status]]="Late Start")),MAX(0,Tasks[[#This Row],[Finish Var]])+1-Tasks[[#This Row],[_Row]]/1000000,"")</f>
        <v/>
      </c>
      <c r="DM37" s="41" t="str">
        <f aca="false">IF(AND(Tasks[[#This Row],[_IsLeaf]]=1,N(Tasks[[#This Row],[Actual Start]])=0,Tasks[[#This Row],[_LeafFcstStart]]&gt;=StatusDate,Tasks[[#This Row],[_LeafFcstStart]]&lt;=LookaheadEnd),Tasks[[#This Row],[_LeafFcstStart]]+Tasks[[#This Row],[_Row]]/100000,"")</f>
        <v/>
      </c>
      <c r="DN37" s="41" t="str">
        <f aca="false">IF(AND(Tasks[[#This Row],[_IsLeaf]]=1,Tasks[[#This Row],[_LeafProgress]]&lt;1,Tasks[[#This Row],[_LeafFcstFinish]]&gt;=StatusDate,Tasks[[#This Row],[_LeafFcstFinish]]&lt;=LookaheadEnd),Tasks[[#This Row],[_LeafFcstFinish]]+Tasks[[#This Row],[_Row]]/100000,"")</f>
        <v/>
      </c>
      <c r="DO37" s="41" t="str">
        <f aca="false">IF(Tasks[[#This Row],[_LeafCritical]],Tasks[[#This Row],[_LeafFcstStart]]+Tasks[[#This Row],[_Row]]/100000,"")</f>
        <v/>
      </c>
      <c r="DP37" s="41" t="n">
        <f aca="false">Tasks[[#This Row],[_LeafWork]]*Tasks[[#This Row],[_LeafProgress]]</f>
        <v>0</v>
      </c>
      <c r="DQ37" s="103" t="str">
        <f aca="false">IF(AND(Tasks[[#This Row],[_IsLeaf]]=1,Tasks[[#This Row],[_LeafProgress]]&gt;=1),IF(N(Tasks[[#This Row],[Actual Finish]])&gt;0,Tasks[[#This Row],[Actual Finish]],Tasks[[#This Row],[_LeafFcstFinish]]),"")</f>
        <v/>
      </c>
      <c r="DR37" s="41" t="n">
        <f aca="false">IF(Tasks[[#This Row],[_IsLeaf]]=1,N(Tasks[[#This Row],[Story Points]]),0)</f>
        <v>0</v>
      </c>
      <c r="DS37" s="41" t="str">
        <f aca="false">IF(AND(Tasks[[#This Row],[_IsLeaf]]=1,CurrentSprint&lt;&gt;"",Tasks[[#This Row],[Sprint]]=CurrentSprint),Tasks[[#This Row],[_Row]],"")</f>
        <v/>
      </c>
    </row>
    <row r="38" customFormat="false" ht="15" hidden="false" customHeight="false" outlineLevel="0" collapsed="false">
      <c r="A38" s="28" t="str">
        <f aca="false">IF(Tasks[[#This Row],[Task Name]]="","",COUNTA(Tasks[[#Headers],[Task Name]]:Tasks[[#This Row],[Task Name]])-1)</f>
        <v/>
      </c>
      <c r="B38" s="29" t="n">
        <v>33</v>
      </c>
      <c r="C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29"/>
      <c r="E38" s="30"/>
      <c r="F38" s="29"/>
      <c r="G38" s="29"/>
      <c r="H38" s="29"/>
      <c r="I38" s="29"/>
      <c r="J38" s="29"/>
      <c r="K38" s="29"/>
      <c r="L38" s="29"/>
      <c r="M38" s="29"/>
      <c r="N38" s="77"/>
      <c r="O38" s="77"/>
      <c r="P38" s="25" t="str">
        <f aca="false">IF(Tasks[[#This Row],[Task Name]]="","",IF(N(Tasks[[#This Row],[Baseline Start]])&gt;0,Tasks[[#This Row],[Baseline Start]],Tasks[[#This Row],[_CalcStart]]))</f>
        <v/>
      </c>
      <c r="Q38" s="25" t="str">
        <f aca="false">IF(Tasks[[#This Row],[Task Name]]="","",IF(N(Tasks[[#This Row],[Baseline Finish]])&gt;0,Tasks[[#This Row],[Baseline Finish]],Tasks[[#This Row],[_CalcFinish]]))</f>
        <v/>
      </c>
      <c r="R38" s="77"/>
      <c r="S38" s="77"/>
      <c r="T38" s="25" t="str">
        <f aca="false">IF(Tasks[[#This Row],[Task Name]]="","",IF(Tasks[[#This Row],[_IsSummary]],MIN(INDEX(Tasks[_LeafFcstStart],Tasks[[#This Row],[_Row]]+1):INDEX(Tasks[_LeafFcstStart],Tasks[[#This Row],[_Row]]+Tasks[[#This Row],[_Descendants]])),Tasks[[#This Row],[_LeafFcstStart]]))</f>
        <v/>
      </c>
      <c r="U38" s="25" t="str">
        <f aca="false">IF(Tasks[[#This Row],[Task Name]]="","",IF(Tasks[[#This Row],[_IsSummary]],MAX(INDEX(Tasks[_LeafFcstFinish],Tasks[[#This Row],[_Row]]+1):INDEX(Tasks[_LeafFcstFinish],Tasks[[#This Row],[_Row]]+Tasks[[#This Row],[_Descendants]])),Tasks[[#This Row],[_LeafFcstFinish]]))</f>
        <v/>
      </c>
      <c r="V3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8" s="25" t="str">
        <f aca="false">IF(Tasks[[#This Row],[Task Name]]="","",IF(Tasks[[#This Row],[_IsSummary]],MIN(INDEX(Tasks[_LeafLateStart],Tasks[[#This Row],[_Row]]+1):INDEX(Tasks[_LeafLateStart],Tasks[[#This Row],[_Row]]+Tasks[[#This Row],[_Descendants]])),Tasks[[#This Row],[_LeafLateStart]]))</f>
        <v/>
      </c>
      <c r="Y38" s="25" t="str">
        <f aca="false">IF(Tasks[[#This Row],[Task Name]]="","",IF(Tasks[[#This Row],[_IsSummary]],MAX(INDEX(Tasks[_LeafLateFinish],Tasks[[#This Row],[_Row]]+1):INDEX(Tasks[_LeafLateFinish],Tasks[[#This Row],[_Row]]+Tasks[[#This Row],[_Descendants]])),Tasks[[#This Row],[_LeafLateFinish]]))</f>
        <v/>
      </c>
      <c r="Z38" s="43" t="str">
        <f aca="false">IF(Tasks[[#This Row],[Task Name]]="","",IF(Tasks[[#This Row],[_IsSummary]],MIN(INDEX(Tasks[_LeafTotalSlack],Tasks[[#This Row],[_Row]]+1):INDEX(Tasks[_LeafTotalSlack],Tasks[[#This Row],[_Row]]+Tasks[[#This Row],[_Descendants]])),Tasks[[#This Row],[_LeafTotalSlack]]))</f>
        <v/>
      </c>
      <c r="AA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8" s="28" t="str">
        <f aca="false">IF(Tasks[[#This Row],[Task Name]]="","",IF(IF(Tasks[[#This Row],[_IsSummary]],COUNTIF(INDEX(Tasks[_LeafCritical],Tasks[[#This Row],[_Row]]+1):INDEX(Tasks[_LeafCritical],Tasks[[#This Row],[_Row]]+Tasks[[#This Row],[_Descendants]]),TRUE())&gt;0,Tasks[[#This Row],[_LeafCritical]]),"Yes",""))</f>
        <v/>
      </c>
      <c r="AC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8" s="24" t="str">
        <f aca="false">IF(Tasks[[#This Row],[Task Name]]="","",TRIM(IF(Tasks[[#This Row],[_Pred1Problem]]&lt;&gt;"","Pred 1: "&amp;Tasks[[#This Row],[_Pred1Problem]]&amp;". ","")&amp;IF(Tasks[[#This Row],[_Pred2Problem]]&lt;&gt;"","Pred 2: "&amp;Tasks[[#This Row],[_Pred2Problem]]&amp;".","")))</f>
        <v/>
      </c>
      <c r="AE38" s="91"/>
      <c r="AF3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8" s="28" t="str">
        <f aca="false">IF(Tasks[[#This Row],[Task Name]]="","",IF(Tasks[[#This Row],[Progress]]&gt;=1,"Complete",IF(OR(N(Tasks[[#This Row],[Actual Start]])&gt;0,Tasks[[#This Row],[Progress]]&gt;0),IF(Tasks[[#This Row],[Finish Var]]&gt;0,"Behind","In Progress"),IF(Tasks[[#This Row],[Planned Start]]&lt;StatusDate,"Late Start","Not Started"))))</f>
        <v/>
      </c>
      <c r="AH38" s="30"/>
      <c r="AI38" s="91"/>
      <c r="AJ3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8" s="98" t="str">
        <f aca="false">IF(Tasks[[#This Row],[Task Name]]="","",IF(Tasks[[#This Row],[_IsSummary]],SUM(INDEX(Tasks[_LeafWork],Tasks[[#This Row],[_Row]]+1):INDEX(Tasks[_LeafWork],Tasks[[#This Row],[_Row]]+Tasks[[#This Row],[_Descendants]])),Tasks[[#This Row],[_LeafWork]]))</f>
        <v/>
      </c>
      <c r="AL38" s="99" t="str">
        <f aca="false">IF(Tasks[[#This Row],[Task Name]]="","",IF(Tasks[[#This Row],[_IsSummary]],SUM(INDEX(Tasks[_LeafCost],Tasks[[#This Row],[_Row]]+1):INDEX(Tasks[_LeafCost],Tasks[[#This Row],[_Row]]+Tasks[[#This Row],[_Descendants]])),Tasks[[#This Row],[_LeafCost]]))</f>
        <v/>
      </c>
      <c r="AM38" s="100"/>
      <c r="AN38" s="29"/>
      <c r="AO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8" s="85"/>
      <c r="AQ38" s="24" t="str">
        <f aca="false">IF(Tasks[[#This Row],[Task Name]]="","",Tasks[[#This Row],[_Pred1IDText]]&amp;IF(AND(Tasks[[#This Row],[_Pred1IDText]]&lt;&gt;"",Tasks[[#This Row],[_Pred2IDText]]&lt;&gt;""),",","")&amp;Tasks[[#This Row],[_Pred2IDText]])</f>
        <v/>
      </c>
      <c r="AR38" s="30"/>
      <c r="AS38" s="25" t="str">
        <f aca="false">IF(Tasks[[#This Row],[Task Name]]="","",Tasks[[#This Row],[Forecast Start]])</f>
        <v/>
      </c>
      <c r="AT38" s="25" t="str">
        <f aca="false">IF(Tasks[[#This Row],[Task Name]]="","",Tasks[[#This Row],[Forecast Finish]])</f>
        <v/>
      </c>
      <c r="AU38" s="28" t="str">
        <f aca="false">IF(Tasks[[#This Row],[Task Name]]="","",IF(Tasks[[#This Row],[_IsSummary]],NETWORKDAYS.INTL(Tasks[[#This Row],[Forecast Start]],Tasks[[#This Row],[Forecast Finish]],WorkWeek,Holidays),N(Tasks[[#This Row],[Duration]])))</f>
        <v/>
      </c>
      <c r="AV38" s="98" t="str">
        <f aca="false">IF(Tasks[[#This Row],[Task Name]]="","",Tasks[[#This Row],[Work]])</f>
        <v/>
      </c>
      <c r="AW38" s="99" t="str">
        <f aca="false">IF(Tasks[[#This Row],[Task Name]]="","",Tasks[[#This Row],[Cost]])</f>
        <v/>
      </c>
      <c r="AX38" s="77"/>
      <c r="AY38" s="77"/>
      <c r="AZ38" s="29"/>
      <c r="BA38" s="101"/>
      <c r="BB38" s="100"/>
      <c r="BC38" s="28" t="str">
        <f aca="false">IF(OR(Tasks[[#This Row],[Task Name]]="",Tasks[[#This Row],[Baseline Duration]]=""),"",Tasks[[#This Row],[BL Source Duration]]-N(Tasks[[#This Row],[Baseline Duration]]))</f>
        <v/>
      </c>
      <c r="BD38" s="98" t="str">
        <f aca="false">IF(OR(Tasks[[#This Row],[Task Name]]="",Tasks[[#This Row],[Baseline Work]]=""),"",Tasks[[#This Row],[Work]]-N(Tasks[[#This Row],[Baseline Work]]))</f>
        <v/>
      </c>
      <c r="BE38" s="99" t="str">
        <f aca="false">IF(OR(Tasks[[#This Row],[Task Name]]="",Tasks[[#This Row],[Baseline Cost]]=""),"",Tasks[[#This Row],[Cost]]-N(Tasks[[#This Row],[Baseline Cost]]))</f>
        <v/>
      </c>
      <c r="BF38" s="99" t="str">
        <f aca="false">IF(Tasks[[#This Row],[Task Name]]="","",IF(Tasks[[#This Row],[_IsSummary]],SUM(INDEX(Tasks[_LeafBudget],Tasks[[#This Row],[_Row]]+1):INDEX(Tasks[_LeafBudget],Tasks[[#This Row],[_Row]]+Tasks[[#This Row],[_Descendants]])),Tasks[[#This Row],[_LeafBudget]]))</f>
        <v/>
      </c>
      <c r="BG38" s="99" t="str">
        <f aca="false">IF(Tasks[[#This Row],[Task Name]]="","",IF(Tasks[[#This Row],[_IsSummary]],SUM(INDEX(Tasks[_LeafPV],Tasks[[#This Row],[_Row]]+1):INDEX(Tasks[_LeafPV],Tasks[[#This Row],[_Row]]+Tasks[[#This Row],[_Descendants]])),Tasks[[#This Row],[_LeafPV]]))</f>
        <v/>
      </c>
      <c r="BH38" s="99" t="str">
        <f aca="false">IF(Tasks[[#This Row],[Task Name]]="","",IF(Tasks[[#This Row],[_IsSummary]],SUM(INDEX(Tasks[_LeafEV],Tasks[[#This Row],[_Row]]+1):INDEX(Tasks[_LeafEV],Tasks[[#This Row],[_Row]]+Tasks[[#This Row],[_Descendants]])),Tasks[[#This Row],[_LeafEV]]))</f>
        <v/>
      </c>
      <c r="BI38" s="99" t="str">
        <f aca="false">IF(Tasks[[#This Row],[Task Name]]="","",IF(Tasks[[#This Row],[_IsSummary]],SUM(INDEX(Tasks[_LeafAC],Tasks[[#This Row],[_Row]]+1):INDEX(Tasks[_LeafAC],Tasks[[#This Row],[_Row]]+Tasks[[#This Row],[_Descendants]])),Tasks[[#This Row],[_LeafAC]]))</f>
        <v/>
      </c>
      <c r="BJ38" s="41" t="str">
        <f aca="false">IF(Tasks[[#This Row],[Task Name]]="","",MAX(1,N(Tasks[[#This Row],[Level]])))</f>
        <v/>
      </c>
      <c r="BK38" s="41" t="n">
        <f aca="false">ROW()-ROW(Tasks[[#Headers],[ID]])</f>
        <v>33</v>
      </c>
      <c r="BL38" s="41" t="n">
        <f aca="false">IF(OR(Tasks[[#This Row],[Task Name]]="",Tasks[[#This Row],[_Level]]&lt;=1),0,IFERROR(LOOKUP(2,1/(Tasks[[#Headers],[_Level]]:Tasks[[#This Row],[_Level]]=Tasks[[#This Row],[_Level]]-1),ROW(Tasks[[#Headers],[_Level]]:Tasks[[#This Row],[_Level]])),0))</f>
        <v>0</v>
      </c>
      <c r="BM38" s="41" t="n">
        <f aca="false">IFERROR(N(INDEX(Tasks[_Level],Tasks[[#This Row],[_Row]]+1)),0)</f>
        <v>0</v>
      </c>
      <c r="BN38" s="102" t="b">
        <f aca="false">AND(Tasks[[#This Row],[Task Name]]&lt;&gt;"",Tasks[[#This Row],[_NextLevel]]&gt;Tasks[[#This Row],[_Level]])</f>
        <v>0</v>
      </c>
      <c r="BO38" s="41" t="n">
        <f aca="false">IF(Tasks[[#This Row],[_IsSummary]],COUNTIF(Tasks[WBS],Tasks[[#This Row],[WBS]]&amp;".*"),0)</f>
        <v>0</v>
      </c>
      <c r="BP38" s="41" t="n">
        <f aca="false">IF(AND(Tasks[[#This Row],[Task Name]]&lt;&gt;"",NOT(Tasks[[#This Row],[_IsSummary]])),1,0)</f>
        <v>0</v>
      </c>
      <c r="BQ38" s="41" t="n">
        <f aca="false">IF(N(Tasks[[#This Row],[Pred1 UID]])=0,0,IFERROR(MATCH(Tasks[[#This Row],[Pred1 UID]],Tasks[UID],0),-1))</f>
        <v>0</v>
      </c>
      <c r="BR38" s="41" t="n">
        <f aca="false">IF(N(Tasks[[#This Row],[Pred2 UID]])=0,0,IFERROR(MATCH(Tasks[[#This Row],[Pred2 UID]],Tasks[UID],0),-1))</f>
        <v>0</v>
      </c>
      <c r="BS3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8" s="103" t="str">
        <f aca="false">IF(NOT(Tasks[[#This Row],[_IsLeaf]]=1),"",IF(N(Tasks[[#This Row],[Duration]])&lt;=0,Tasks[[#This Row],[_LeafCalcStart]],WORKDAY.INTL(Tasks[[#This Row],[_LeafCalcStart]],Tasks[[#This Row],[Duration]]-1,WorkWeek,Holidays)))</f>
        <v/>
      </c>
      <c r="BU3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8" s="41" t="n">
        <f aca="false">IF(NOT(Tasks[[#This Row],[_IsLeaf]]=1),0,IF(N(Tasks[[#This Row],[Actual Finish]])&gt;0,1,MIN(1,N(Tasks[[#This Row],[% Complete]]))))</f>
        <v>0</v>
      </c>
      <c r="BX38" s="41" t="n">
        <f aca="false">IF(OR(NOT(Tasks[[#This Row],[_IsLeaf]]=1),Tasks[[#This Row],[Resource]]=""),0,N(Tasks[[#This Row],[Duration]])*HoursPerDay*IF(Tasks[[#This Row],[Units]]="",DefaultUnits,Tasks[[#This Row],[Units]]))</f>
        <v>0</v>
      </c>
      <c r="BY38" s="41" t="n">
        <f aca="false">IF(Tasks[[#This Row],[_LeafWork]]=0,0,Tasks[[#This Row],[_LeafWork]]*IFERROR(INDEX(res_Rate,MATCH(Tasks[[#This Row],[Resource]],res_Name,0)),0))</f>
        <v>0</v>
      </c>
      <c r="BZ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8" s="41" t="n">
        <f aca="false">IF(NOT(Tasks[[#This Row],[_IsLeaf]]=1),0,MAX(_xlfn.MAXIFS(Tasks[_Row],Tasks[Pred1 UID],Tasks[[#This Row],[UID]]),_xlfn.MAXIFS(Tasks[_Row],Tasks[Pred2 UID],Tasks[[#This Row],[UID]])))</f>
        <v>0</v>
      </c>
      <c r="CE3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8" s="103" t="str">
        <f aca="false">IF(NOT(Tasks[[#This Row],[_IsLeaf]]=1),"",MIN(ProjectFinish,IF(N(Tasks[[#This Row],[Deadline]])&gt;0,Tasks[[#This Row],[Deadline]],2958465),Tasks[[#This Row],[_SuccessorFinishLimit]]))</f>
        <v/>
      </c>
      <c r="CG38" s="103" t="str">
        <f aca="false">IF(NOT(Tasks[[#This Row],[_IsLeaf]]=1),"",IF(N(Tasks[[#This Row],[Duration]])&lt;=0,Tasks[[#This Row],[_LeafLateFinish]],WORKDAY.INTL(Tasks[[#This Row],[_LeafLateFinish]],-(Tasks[[#This Row],[Duration]]-1),WorkWeek,Holidays)))</f>
        <v/>
      </c>
      <c r="CH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8" s="102" t="b">
        <f aca="false">AND(Tasks[[#This Row],[_IsLeaf]]=1,Tasks[[#This Row],[_LeafProgress]]&lt;1,N(Tasks[[#This Row],[_LeafTotalSlack]])&lt;=CriticalSlackDays)</f>
        <v>0</v>
      </c>
      <c r="CJ38" s="103" t="str">
        <f aca="false">IF(Tasks[[#This Row],[Task Name]]="","",IF(Tasks[[#This Row],[_IsSummary]],MIN(INDEX(Tasks[_LeafCalcStart],Tasks[[#This Row],[_Row]]+1):INDEX(Tasks[_LeafCalcStart],Tasks[[#This Row],[_Row]]+Tasks[[#This Row],[_Descendants]])),Tasks[[#This Row],[_LeafCalcStart]]))</f>
        <v/>
      </c>
      <c r="CK38" s="103" t="str">
        <f aca="false">IF(Tasks[[#This Row],[Task Name]]="","",IF(Tasks[[#This Row],[_IsSummary]],MAX(INDEX(Tasks[_LeafCalcFinish],Tasks[[#This Row],[_Row]]+1):INDEX(Tasks[_LeafCalcFinish],Tasks[[#This Row],[_Row]]+Tasks[[#This Row],[_Descendants]])),Tasks[[#This Row],[_LeafCalcFinish]]))</f>
        <v/>
      </c>
      <c r="CL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8" s="41" t="n">
        <f aca="false">IF(AND(Tasks[[#This Row],[_IsLeaf]]=1,Tasks[[#This Row],[_LeafWork]]&gt;0),NETWORKDAYS.INTL(ProjectStart,Tasks[[#This Row],[_LeafFcstStart]],WorkWeek,Holidays),0)</f>
        <v>0</v>
      </c>
      <c r="CS38" s="41" t="n">
        <f aca="false">IF(AND(Tasks[[#This Row],[_IsLeaf]]=1,Tasks[[#This Row],[_LeafWork]]&gt;0),MAX(Tasks[[#This Row],[_StartWorkday]],NETWORKDAYS.INTL(ProjectStart,Tasks[[#This Row],[_LeafFcstFinish]],WorkWeek,Holidays)),0)</f>
        <v>0</v>
      </c>
      <c r="CT38" s="41" t="n">
        <f aca="false">IF(AND(Tasks[[#This Row],[_IsLeaf]]=1,Tasks[[#This Row],[_LeafWork]]&gt;0),Tasks[[#This Row],[_LeafWork]]/(Tasks[[#This Row],[_FinishWorkday]]-Tasks[[#This Row],[_StartWorkday]]+1),0)</f>
        <v>0</v>
      </c>
      <c r="CU38" s="41" t="n">
        <f aca="false">Tasks[[#This Row],[_WorkPerWorkday]]*(Tasks[[#This Row],[_StartWorkday]]-1)</f>
        <v>-0</v>
      </c>
      <c r="CV38" s="41" t="n">
        <f aca="false">IF(Tasks[[#This Row],[_IsLeaf]]=1,MAX(N(Tasks[[#This Row],[Duration]]),0.1),0)</f>
        <v>0</v>
      </c>
      <c r="CW38" s="41" t="n">
        <f aca="false">Tasks[[#This Row],[_WeightDur]]*Tasks[[#This Row],[_LeafProgress]]</f>
        <v>0</v>
      </c>
      <c r="CX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8" s="41" t="str">
        <f aca="false">IF(Tasks[[#This Row],[Task Name]]="","",Tasks[[#This Row],[_Pred1UIDText]]&amp;IF(AND(Tasks[[#This Row],[_Pred1UIDText]]&lt;&gt;"",Tasks[[#This Row],[_Pred2UIDText]]&lt;&gt;""),",","")&amp;Tasks[[#This Row],[_Pred2UIDText]])</f>
        <v/>
      </c>
      <c r="DC38" s="41" t="str">
        <f aca="false">IF(AND(Tasks[[#This Row],[_IsLeaf]]=1,N(Tasks[[#This Row],[Duration]])=0,Tasks[[#This Row],[_LeafProgress]]&lt;1),Tasks[[#This Row],[_LeafFcstFinish]]+Tasks[[#This Row],[_Row]]/100000,"")</f>
        <v/>
      </c>
      <c r="DD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8" s="41" t="n">
        <f aca="false">IF(NOT(Tasks[[#This Row],[_IsLeaf]]=1),0,IF(Tasks[[#This Row],[Baseline Cost]]="",Tasks[[#This Row],[_LeafCost]],N(Tasks[[#This Row],[Baseline Cost]])))</f>
        <v>0</v>
      </c>
      <c r="DF38" s="41" t="n">
        <f aca="false">Tasks[[#This Row],[_LeafBudget]]*Tasks[[#This Row],[_PlannedPct]]</f>
        <v>0</v>
      </c>
      <c r="DG38" s="41" t="n">
        <f aca="false">Tasks[[#This Row],[_LeafBudget]]*Tasks[[#This Row],[_LeafProgress]]</f>
        <v>0</v>
      </c>
      <c r="DH38" s="41" t="n">
        <f aca="false">IF(NOT(Tasks[[#This Row],[_IsLeaf]]=1),0,IF(Tasks[[#This Row],[Actual Cost]]="",Tasks[[#This Row],[_LeafCost]]*Tasks[[#This Row],[_LeafProgress]],N(Tasks[[#This Row],[Actual Cost]])))</f>
        <v>0</v>
      </c>
      <c r="DI38" s="41" t="str">
        <f aca="false">IF(Tasks[[#This Row],[Task Name]]="","",LEFT(Tasks[[#This Row],[WBS]],FIND(".",Tasks[[#This Row],[WBS]]&amp;".")-1))</f>
        <v/>
      </c>
      <c r="DJ38" s="41" t="str">
        <f aca="false">IF(AND(Tasks[[#This Row],[Task Name]]&lt;&gt;"",Tasks[[#This Row],[_Level]]=1),Tasks[[#This Row],[_Row]],"")</f>
        <v/>
      </c>
      <c r="DK38" s="41" t="str">
        <f aca="false">IF(AND(Tasks[[#This Row],[_IsLeaf]]=1,N(Tasks[[#This Row],[Duration]])=0),Tasks[[#This Row],[Planned Finish]]+Tasks[[#This Row],[_Row]]/100000,"")</f>
        <v/>
      </c>
      <c r="DL38" s="41" t="str">
        <f aca="false">IF(AND(Tasks[[#This Row],[_IsLeaf]]=1,Tasks[[#This Row],[_LeafProgress]]&lt;1,OR(N(Tasks[[#This Row],[Finish Var]])&gt;0,Tasks[[#This Row],[Status]]="Late Start")),MAX(0,Tasks[[#This Row],[Finish Var]])+1-Tasks[[#This Row],[_Row]]/1000000,"")</f>
        <v/>
      </c>
      <c r="DM38" s="41" t="str">
        <f aca="false">IF(AND(Tasks[[#This Row],[_IsLeaf]]=1,N(Tasks[[#This Row],[Actual Start]])=0,Tasks[[#This Row],[_LeafFcstStart]]&gt;=StatusDate,Tasks[[#This Row],[_LeafFcstStart]]&lt;=LookaheadEnd),Tasks[[#This Row],[_LeafFcstStart]]+Tasks[[#This Row],[_Row]]/100000,"")</f>
        <v/>
      </c>
      <c r="DN38" s="41" t="str">
        <f aca="false">IF(AND(Tasks[[#This Row],[_IsLeaf]]=1,Tasks[[#This Row],[_LeafProgress]]&lt;1,Tasks[[#This Row],[_LeafFcstFinish]]&gt;=StatusDate,Tasks[[#This Row],[_LeafFcstFinish]]&lt;=LookaheadEnd),Tasks[[#This Row],[_LeafFcstFinish]]+Tasks[[#This Row],[_Row]]/100000,"")</f>
        <v/>
      </c>
      <c r="DO38" s="41" t="str">
        <f aca="false">IF(Tasks[[#This Row],[_LeafCritical]],Tasks[[#This Row],[_LeafFcstStart]]+Tasks[[#This Row],[_Row]]/100000,"")</f>
        <v/>
      </c>
      <c r="DP38" s="41" t="n">
        <f aca="false">Tasks[[#This Row],[_LeafWork]]*Tasks[[#This Row],[_LeafProgress]]</f>
        <v>0</v>
      </c>
      <c r="DQ38" s="103" t="str">
        <f aca="false">IF(AND(Tasks[[#This Row],[_IsLeaf]]=1,Tasks[[#This Row],[_LeafProgress]]&gt;=1),IF(N(Tasks[[#This Row],[Actual Finish]])&gt;0,Tasks[[#This Row],[Actual Finish]],Tasks[[#This Row],[_LeafFcstFinish]]),"")</f>
        <v/>
      </c>
      <c r="DR38" s="41" t="n">
        <f aca="false">IF(Tasks[[#This Row],[_IsLeaf]]=1,N(Tasks[[#This Row],[Story Points]]),0)</f>
        <v>0</v>
      </c>
      <c r="DS38" s="41" t="str">
        <f aca="false">IF(AND(Tasks[[#This Row],[_IsLeaf]]=1,CurrentSprint&lt;&gt;"",Tasks[[#This Row],[Sprint]]=CurrentSprint),Tasks[[#This Row],[_Row]],"")</f>
        <v/>
      </c>
    </row>
    <row r="39" customFormat="false" ht="15" hidden="false" customHeight="false" outlineLevel="0" collapsed="false">
      <c r="A39" s="28" t="str">
        <f aca="false">IF(Tasks[[#This Row],[Task Name]]="","",COUNTA(Tasks[[#Headers],[Task Name]]:Tasks[[#This Row],[Task Name]])-1)</f>
        <v/>
      </c>
      <c r="B39" s="29" t="n">
        <v>34</v>
      </c>
      <c r="C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29"/>
      <c r="E39" s="30"/>
      <c r="F39" s="29"/>
      <c r="G39" s="29"/>
      <c r="H39" s="29"/>
      <c r="I39" s="29"/>
      <c r="J39" s="29"/>
      <c r="K39" s="29"/>
      <c r="L39" s="29"/>
      <c r="M39" s="29"/>
      <c r="N39" s="77"/>
      <c r="O39" s="77"/>
      <c r="P39" s="25" t="str">
        <f aca="false">IF(Tasks[[#This Row],[Task Name]]="","",IF(N(Tasks[[#This Row],[Baseline Start]])&gt;0,Tasks[[#This Row],[Baseline Start]],Tasks[[#This Row],[_CalcStart]]))</f>
        <v/>
      </c>
      <c r="Q39" s="25" t="str">
        <f aca="false">IF(Tasks[[#This Row],[Task Name]]="","",IF(N(Tasks[[#This Row],[Baseline Finish]])&gt;0,Tasks[[#This Row],[Baseline Finish]],Tasks[[#This Row],[_CalcFinish]]))</f>
        <v/>
      </c>
      <c r="R39" s="77"/>
      <c r="S39" s="77"/>
      <c r="T39" s="25" t="str">
        <f aca="false">IF(Tasks[[#This Row],[Task Name]]="","",IF(Tasks[[#This Row],[_IsSummary]],MIN(INDEX(Tasks[_LeafFcstStart],Tasks[[#This Row],[_Row]]+1):INDEX(Tasks[_LeafFcstStart],Tasks[[#This Row],[_Row]]+Tasks[[#This Row],[_Descendants]])),Tasks[[#This Row],[_LeafFcstStart]]))</f>
        <v/>
      </c>
      <c r="U39" s="25" t="str">
        <f aca="false">IF(Tasks[[#This Row],[Task Name]]="","",IF(Tasks[[#This Row],[_IsSummary]],MAX(INDEX(Tasks[_LeafFcstFinish],Tasks[[#This Row],[_Row]]+1):INDEX(Tasks[_LeafFcstFinish],Tasks[[#This Row],[_Row]]+Tasks[[#This Row],[_Descendants]])),Tasks[[#This Row],[_LeafFcstFinish]]))</f>
        <v/>
      </c>
      <c r="V3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3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9" s="25" t="str">
        <f aca="false">IF(Tasks[[#This Row],[Task Name]]="","",IF(Tasks[[#This Row],[_IsSummary]],MIN(INDEX(Tasks[_LeafLateStart],Tasks[[#This Row],[_Row]]+1):INDEX(Tasks[_LeafLateStart],Tasks[[#This Row],[_Row]]+Tasks[[#This Row],[_Descendants]])),Tasks[[#This Row],[_LeafLateStart]]))</f>
        <v/>
      </c>
      <c r="Y39" s="25" t="str">
        <f aca="false">IF(Tasks[[#This Row],[Task Name]]="","",IF(Tasks[[#This Row],[_IsSummary]],MAX(INDEX(Tasks[_LeafLateFinish],Tasks[[#This Row],[_Row]]+1):INDEX(Tasks[_LeafLateFinish],Tasks[[#This Row],[_Row]]+Tasks[[#This Row],[_Descendants]])),Tasks[[#This Row],[_LeafLateFinish]]))</f>
        <v/>
      </c>
      <c r="Z39" s="43" t="str">
        <f aca="false">IF(Tasks[[#This Row],[Task Name]]="","",IF(Tasks[[#This Row],[_IsSummary]],MIN(INDEX(Tasks[_LeafTotalSlack],Tasks[[#This Row],[_Row]]+1):INDEX(Tasks[_LeafTotalSlack],Tasks[[#This Row],[_Row]]+Tasks[[#This Row],[_Descendants]])),Tasks[[#This Row],[_LeafTotalSlack]]))</f>
        <v/>
      </c>
      <c r="AA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9" s="28" t="str">
        <f aca="false">IF(Tasks[[#This Row],[Task Name]]="","",IF(IF(Tasks[[#This Row],[_IsSummary]],COUNTIF(INDEX(Tasks[_LeafCritical],Tasks[[#This Row],[_Row]]+1):INDEX(Tasks[_LeafCritical],Tasks[[#This Row],[_Row]]+Tasks[[#This Row],[_Descendants]]),TRUE())&gt;0,Tasks[[#This Row],[_LeafCritical]]),"Yes",""))</f>
        <v/>
      </c>
      <c r="AC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9" s="24" t="str">
        <f aca="false">IF(Tasks[[#This Row],[Task Name]]="","",TRIM(IF(Tasks[[#This Row],[_Pred1Problem]]&lt;&gt;"","Pred 1: "&amp;Tasks[[#This Row],[_Pred1Problem]]&amp;". ","")&amp;IF(Tasks[[#This Row],[_Pred2Problem]]&lt;&gt;"","Pred 2: "&amp;Tasks[[#This Row],[_Pred2Problem]]&amp;".","")))</f>
        <v/>
      </c>
      <c r="AE39" s="91"/>
      <c r="AF3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9" s="28" t="str">
        <f aca="false">IF(Tasks[[#This Row],[Task Name]]="","",IF(Tasks[[#This Row],[Progress]]&gt;=1,"Complete",IF(OR(N(Tasks[[#This Row],[Actual Start]])&gt;0,Tasks[[#This Row],[Progress]]&gt;0),IF(Tasks[[#This Row],[Finish Var]]&gt;0,"Behind","In Progress"),IF(Tasks[[#This Row],[Planned Start]]&lt;StatusDate,"Late Start","Not Started"))))</f>
        <v/>
      </c>
      <c r="AH39" s="30"/>
      <c r="AI39" s="91"/>
      <c r="AJ3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9" s="98" t="str">
        <f aca="false">IF(Tasks[[#This Row],[Task Name]]="","",IF(Tasks[[#This Row],[_IsSummary]],SUM(INDEX(Tasks[_LeafWork],Tasks[[#This Row],[_Row]]+1):INDEX(Tasks[_LeafWork],Tasks[[#This Row],[_Row]]+Tasks[[#This Row],[_Descendants]])),Tasks[[#This Row],[_LeafWork]]))</f>
        <v/>
      </c>
      <c r="AL39" s="99" t="str">
        <f aca="false">IF(Tasks[[#This Row],[Task Name]]="","",IF(Tasks[[#This Row],[_IsSummary]],SUM(INDEX(Tasks[_LeafCost],Tasks[[#This Row],[_Row]]+1):INDEX(Tasks[_LeafCost],Tasks[[#This Row],[_Row]]+Tasks[[#This Row],[_Descendants]])),Tasks[[#This Row],[_LeafCost]]))</f>
        <v/>
      </c>
      <c r="AM39" s="100"/>
      <c r="AN39" s="29"/>
      <c r="AO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9" s="85"/>
      <c r="AQ39" s="24" t="str">
        <f aca="false">IF(Tasks[[#This Row],[Task Name]]="","",Tasks[[#This Row],[_Pred1IDText]]&amp;IF(AND(Tasks[[#This Row],[_Pred1IDText]]&lt;&gt;"",Tasks[[#This Row],[_Pred2IDText]]&lt;&gt;""),",","")&amp;Tasks[[#This Row],[_Pred2IDText]])</f>
        <v/>
      </c>
      <c r="AR39" s="30"/>
      <c r="AS39" s="25" t="str">
        <f aca="false">IF(Tasks[[#This Row],[Task Name]]="","",Tasks[[#This Row],[Forecast Start]])</f>
        <v/>
      </c>
      <c r="AT39" s="25" t="str">
        <f aca="false">IF(Tasks[[#This Row],[Task Name]]="","",Tasks[[#This Row],[Forecast Finish]])</f>
        <v/>
      </c>
      <c r="AU39" s="28" t="str">
        <f aca="false">IF(Tasks[[#This Row],[Task Name]]="","",IF(Tasks[[#This Row],[_IsSummary]],NETWORKDAYS.INTL(Tasks[[#This Row],[Forecast Start]],Tasks[[#This Row],[Forecast Finish]],WorkWeek,Holidays),N(Tasks[[#This Row],[Duration]])))</f>
        <v/>
      </c>
      <c r="AV39" s="98" t="str">
        <f aca="false">IF(Tasks[[#This Row],[Task Name]]="","",Tasks[[#This Row],[Work]])</f>
        <v/>
      </c>
      <c r="AW39" s="99" t="str">
        <f aca="false">IF(Tasks[[#This Row],[Task Name]]="","",Tasks[[#This Row],[Cost]])</f>
        <v/>
      </c>
      <c r="AX39" s="77"/>
      <c r="AY39" s="77"/>
      <c r="AZ39" s="29"/>
      <c r="BA39" s="101"/>
      <c r="BB39" s="100"/>
      <c r="BC39" s="28" t="str">
        <f aca="false">IF(OR(Tasks[[#This Row],[Task Name]]="",Tasks[[#This Row],[Baseline Duration]]=""),"",Tasks[[#This Row],[BL Source Duration]]-N(Tasks[[#This Row],[Baseline Duration]]))</f>
        <v/>
      </c>
      <c r="BD39" s="98" t="str">
        <f aca="false">IF(OR(Tasks[[#This Row],[Task Name]]="",Tasks[[#This Row],[Baseline Work]]=""),"",Tasks[[#This Row],[Work]]-N(Tasks[[#This Row],[Baseline Work]]))</f>
        <v/>
      </c>
      <c r="BE39" s="99" t="str">
        <f aca="false">IF(OR(Tasks[[#This Row],[Task Name]]="",Tasks[[#This Row],[Baseline Cost]]=""),"",Tasks[[#This Row],[Cost]]-N(Tasks[[#This Row],[Baseline Cost]]))</f>
        <v/>
      </c>
      <c r="BF39" s="99" t="str">
        <f aca="false">IF(Tasks[[#This Row],[Task Name]]="","",IF(Tasks[[#This Row],[_IsSummary]],SUM(INDEX(Tasks[_LeafBudget],Tasks[[#This Row],[_Row]]+1):INDEX(Tasks[_LeafBudget],Tasks[[#This Row],[_Row]]+Tasks[[#This Row],[_Descendants]])),Tasks[[#This Row],[_LeafBudget]]))</f>
        <v/>
      </c>
      <c r="BG39" s="99" t="str">
        <f aca="false">IF(Tasks[[#This Row],[Task Name]]="","",IF(Tasks[[#This Row],[_IsSummary]],SUM(INDEX(Tasks[_LeafPV],Tasks[[#This Row],[_Row]]+1):INDEX(Tasks[_LeafPV],Tasks[[#This Row],[_Row]]+Tasks[[#This Row],[_Descendants]])),Tasks[[#This Row],[_LeafPV]]))</f>
        <v/>
      </c>
      <c r="BH39" s="99" t="str">
        <f aca="false">IF(Tasks[[#This Row],[Task Name]]="","",IF(Tasks[[#This Row],[_IsSummary]],SUM(INDEX(Tasks[_LeafEV],Tasks[[#This Row],[_Row]]+1):INDEX(Tasks[_LeafEV],Tasks[[#This Row],[_Row]]+Tasks[[#This Row],[_Descendants]])),Tasks[[#This Row],[_LeafEV]]))</f>
        <v/>
      </c>
      <c r="BI39" s="99" t="str">
        <f aca="false">IF(Tasks[[#This Row],[Task Name]]="","",IF(Tasks[[#This Row],[_IsSummary]],SUM(INDEX(Tasks[_LeafAC],Tasks[[#This Row],[_Row]]+1):INDEX(Tasks[_LeafAC],Tasks[[#This Row],[_Row]]+Tasks[[#This Row],[_Descendants]])),Tasks[[#This Row],[_LeafAC]]))</f>
        <v/>
      </c>
      <c r="BJ39" s="41" t="str">
        <f aca="false">IF(Tasks[[#This Row],[Task Name]]="","",MAX(1,N(Tasks[[#This Row],[Level]])))</f>
        <v/>
      </c>
      <c r="BK39" s="41" t="n">
        <f aca="false">ROW()-ROW(Tasks[[#Headers],[ID]])</f>
        <v>34</v>
      </c>
      <c r="BL39" s="41" t="n">
        <f aca="false">IF(OR(Tasks[[#This Row],[Task Name]]="",Tasks[[#This Row],[_Level]]&lt;=1),0,IFERROR(LOOKUP(2,1/(Tasks[[#Headers],[_Level]]:Tasks[[#This Row],[_Level]]=Tasks[[#This Row],[_Level]]-1),ROW(Tasks[[#Headers],[_Level]]:Tasks[[#This Row],[_Level]])),0))</f>
        <v>0</v>
      </c>
      <c r="BM39" s="41" t="n">
        <f aca="false">IFERROR(N(INDEX(Tasks[_Level],Tasks[[#This Row],[_Row]]+1)),0)</f>
        <v>0</v>
      </c>
      <c r="BN39" s="102" t="b">
        <f aca="false">AND(Tasks[[#This Row],[Task Name]]&lt;&gt;"",Tasks[[#This Row],[_NextLevel]]&gt;Tasks[[#This Row],[_Level]])</f>
        <v>0</v>
      </c>
      <c r="BO39" s="41" t="n">
        <f aca="false">IF(Tasks[[#This Row],[_IsSummary]],COUNTIF(Tasks[WBS],Tasks[[#This Row],[WBS]]&amp;".*"),0)</f>
        <v>0</v>
      </c>
      <c r="BP39" s="41" t="n">
        <f aca="false">IF(AND(Tasks[[#This Row],[Task Name]]&lt;&gt;"",NOT(Tasks[[#This Row],[_IsSummary]])),1,0)</f>
        <v>0</v>
      </c>
      <c r="BQ39" s="41" t="n">
        <f aca="false">IF(N(Tasks[[#This Row],[Pred1 UID]])=0,0,IFERROR(MATCH(Tasks[[#This Row],[Pred1 UID]],Tasks[UID],0),-1))</f>
        <v>0</v>
      </c>
      <c r="BR39" s="41" t="n">
        <f aca="false">IF(N(Tasks[[#This Row],[Pred2 UID]])=0,0,IFERROR(MATCH(Tasks[[#This Row],[Pred2 UID]],Tasks[UID],0),-1))</f>
        <v>0</v>
      </c>
      <c r="BS3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9" s="103" t="str">
        <f aca="false">IF(NOT(Tasks[[#This Row],[_IsLeaf]]=1),"",IF(N(Tasks[[#This Row],[Duration]])&lt;=0,Tasks[[#This Row],[_LeafCalcStart]],WORKDAY.INTL(Tasks[[#This Row],[_LeafCalcStart]],Tasks[[#This Row],[Duration]]-1,WorkWeek,Holidays)))</f>
        <v/>
      </c>
      <c r="BU3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9" s="41" t="n">
        <f aca="false">IF(NOT(Tasks[[#This Row],[_IsLeaf]]=1),0,IF(N(Tasks[[#This Row],[Actual Finish]])&gt;0,1,MIN(1,N(Tasks[[#This Row],[% Complete]]))))</f>
        <v>0</v>
      </c>
      <c r="BX39" s="41" t="n">
        <f aca="false">IF(OR(NOT(Tasks[[#This Row],[_IsLeaf]]=1),Tasks[[#This Row],[Resource]]=""),0,N(Tasks[[#This Row],[Duration]])*HoursPerDay*IF(Tasks[[#This Row],[Units]]="",DefaultUnits,Tasks[[#This Row],[Units]]))</f>
        <v>0</v>
      </c>
      <c r="BY39" s="41" t="n">
        <f aca="false">IF(Tasks[[#This Row],[_LeafWork]]=0,0,Tasks[[#This Row],[_LeafWork]]*IFERROR(INDEX(res_Rate,MATCH(Tasks[[#This Row],[Resource]],res_Name,0)),0))</f>
        <v>0</v>
      </c>
      <c r="BZ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9" s="41" t="n">
        <f aca="false">IF(NOT(Tasks[[#This Row],[_IsLeaf]]=1),0,MAX(_xlfn.MAXIFS(Tasks[_Row],Tasks[Pred1 UID],Tasks[[#This Row],[UID]]),_xlfn.MAXIFS(Tasks[_Row],Tasks[Pred2 UID],Tasks[[#This Row],[UID]])))</f>
        <v>0</v>
      </c>
      <c r="CE3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9" s="103" t="str">
        <f aca="false">IF(NOT(Tasks[[#This Row],[_IsLeaf]]=1),"",MIN(ProjectFinish,IF(N(Tasks[[#This Row],[Deadline]])&gt;0,Tasks[[#This Row],[Deadline]],2958465),Tasks[[#This Row],[_SuccessorFinishLimit]]))</f>
        <v/>
      </c>
      <c r="CG39" s="103" t="str">
        <f aca="false">IF(NOT(Tasks[[#This Row],[_IsLeaf]]=1),"",IF(N(Tasks[[#This Row],[Duration]])&lt;=0,Tasks[[#This Row],[_LeafLateFinish]],WORKDAY.INTL(Tasks[[#This Row],[_LeafLateFinish]],-(Tasks[[#This Row],[Duration]]-1),WorkWeek,Holidays)))</f>
        <v/>
      </c>
      <c r="CH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9" s="102" t="b">
        <f aca="false">AND(Tasks[[#This Row],[_IsLeaf]]=1,Tasks[[#This Row],[_LeafProgress]]&lt;1,N(Tasks[[#This Row],[_LeafTotalSlack]])&lt;=CriticalSlackDays)</f>
        <v>0</v>
      </c>
      <c r="CJ39" s="103" t="str">
        <f aca="false">IF(Tasks[[#This Row],[Task Name]]="","",IF(Tasks[[#This Row],[_IsSummary]],MIN(INDEX(Tasks[_LeafCalcStart],Tasks[[#This Row],[_Row]]+1):INDEX(Tasks[_LeafCalcStart],Tasks[[#This Row],[_Row]]+Tasks[[#This Row],[_Descendants]])),Tasks[[#This Row],[_LeafCalcStart]]))</f>
        <v/>
      </c>
      <c r="CK39" s="103" t="str">
        <f aca="false">IF(Tasks[[#This Row],[Task Name]]="","",IF(Tasks[[#This Row],[_IsSummary]],MAX(INDEX(Tasks[_LeafCalcFinish],Tasks[[#This Row],[_Row]]+1):INDEX(Tasks[_LeafCalcFinish],Tasks[[#This Row],[_Row]]+Tasks[[#This Row],[_Descendants]])),Tasks[[#This Row],[_LeafCalcFinish]]))</f>
        <v/>
      </c>
      <c r="CL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9" s="41" t="n">
        <f aca="false">IF(AND(Tasks[[#This Row],[_IsLeaf]]=1,Tasks[[#This Row],[_LeafWork]]&gt;0),NETWORKDAYS.INTL(ProjectStart,Tasks[[#This Row],[_LeafFcstStart]],WorkWeek,Holidays),0)</f>
        <v>0</v>
      </c>
      <c r="CS39" s="41" t="n">
        <f aca="false">IF(AND(Tasks[[#This Row],[_IsLeaf]]=1,Tasks[[#This Row],[_LeafWork]]&gt;0),MAX(Tasks[[#This Row],[_StartWorkday]],NETWORKDAYS.INTL(ProjectStart,Tasks[[#This Row],[_LeafFcstFinish]],WorkWeek,Holidays)),0)</f>
        <v>0</v>
      </c>
      <c r="CT39" s="41" t="n">
        <f aca="false">IF(AND(Tasks[[#This Row],[_IsLeaf]]=1,Tasks[[#This Row],[_LeafWork]]&gt;0),Tasks[[#This Row],[_LeafWork]]/(Tasks[[#This Row],[_FinishWorkday]]-Tasks[[#This Row],[_StartWorkday]]+1),0)</f>
        <v>0</v>
      </c>
      <c r="CU39" s="41" t="n">
        <f aca="false">Tasks[[#This Row],[_WorkPerWorkday]]*(Tasks[[#This Row],[_StartWorkday]]-1)</f>
        <v>-0</v>
      </c>
      <c r="CV39" s="41" t="n">
        <f aca="false">IF(Tasks[[#This Row],[_IsLeaf]]=1,MAX(N(Tasks[[#This Row],[Duration]]),0.1),0)</f>
        <v>0</v>
      </c>
      <c r="CW39" s="41" t="n">
        <f aca="false">Tasks[[#This Row],[_WeightDur]]*Tasks[[#This Row],[_LeafProgress]]</f>
        <v>0</v>
      </c>
      <c r="CX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9" s="41" t="str">
        <f aca="false">IF(Tasks[[#This Row],[Task Name]]="","",Tasks[[#This Row],[_Pred1UIDText]]&amp;IF(AND(Tasks[[#This Row],[_Pred1UIDText]]&lt;&gt;"",Tasks[[#This Row],[_Pred2UIDText]]&lt;&gt;""),",","")&amp;Tasks[[#This Row],[_Pred2UIDText]])</f>
        <v/>
      </c>
      <c r="DC39" s="41" t="str">
        <f aca="false">IF(AND(Tasks[[#This Row],[_IsLeaf]]=1,N(Tasks[[#This Row],[Duration]])=0,Tasks[[#This Row],[_LeafProgress]]&lt;1),Tasks[[#This Row],[_LeafFcstFinish]]+Tasks[[#This Row],[_Row]]/100000,"")</f>
        <v/>
      </c>
      <c r="DD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9" s="41" t="n">
        <f aca="false">IF(NOT(Tasks[[#This Row],[_IsLeaf]]=1),0,IF(Tasks[[#This Row],[Baseline Cost]]="",Tasks[[#This Row],[_LeafCost]],N(Tasks[[#This Row],[Baseline Cost]])))</f>
        <v>0</v>
      </c>
      <c r="DF39" s="41" t="n">
        <f aca="false">Tasks[[#This Row],[_LeafBudget]]*Tasks[[#This Row],[_PlannedPct]]</f>
        <v>0</v>
      </c>
      <c r="DG39" s="41" t="n">
        <f aca="false">Tasks[[#This Row],[_LeafBudget]]*Tasks[[#This Row],[_LeafProgress]]</f>
        <v>0</v>
      </c>
      <c r="DH39" s="41" t="n">
        <f aca="false">IF(NOT(Tasks[[#This Row],[_IsLeaf]]=1),0,IF(Tasks[[#This Row],[Actual Cost]]="",Tasks[[#This Row],[_LeafCost]]*Tasks[[#This Row],[_LeafProgress]],N(Tasks[[#This Row],[Actual Cost]])))</f>
        <v>0</v>
      </c>
      <c r="DI39" s="41" t="str">
        <f aca="false">IF(Tasks[[#This Row],[Task Name]]="","",LEFT(Tasks[[#This Row],[WBS]],FIND(".",Tasks[[#This Row],[WBS]]&amp;".")-1))</f>
        <v/>
      </c>
      <c r="DJ39" s="41" t="str">
        <f aca="false">IF(AND(Tasks[[#This Row],[Task Name]]&lt;&gt;"",Tasks[[#This Row],[_Level]]=1),Tasks[[#This Row],[_Row]],"")</f>
        <v/>
      </c>
      <c r="DK39" s="41" t="str">
        <f aca="false">IF(AND(Tasks[[#This Row],[_IsLeaf]]=1,N(Tasks[[#This Row],[Duration]])=0),Tasks[[#This Row],[Planned Finish]]+Tasks[[#This Row],[_Row]]/100000,"")</f>
        <v/>
      </c>
      <c r="DL39" s="41" t="str">
        <f aca="false">IF(AND(Tasks[[#This Row],[_IsLeaf]]=1,Tasks[[#This Row],[_LeafProgress]]&lt;1,OR(N(Tasks[[#This Row],[Finish Var]])&gt;0,Tasks[[#This Row],[Status]]="Late Start")),MAX(0,Tasks[[#This Row],[Finish Var]])+1-Tasks[[#This Row],[_Row]]/1000000,"")</f>
        <v/>
      </c>
      <c r="DM39" s="41" t="str">
        <f aca="false">IF(AND(Tasks[[#This Row],[_IsLeaf]]=1,N(Tasks[[#This Row],[Actual Start]])=0,Tasks[[#This Row],[_LeafFcstStart]]&gt;=StatusDate,Tasks[[#This Row],[_LeafFcstStart]]&lt;=LookaheadEnd),Tasks[[#This Row],[_LeafFcstStart]]+Tasks[[#This Row],[_Row]]/100000,"")</f>
        <v/>
      </c>
      <c r="DN39" s="41" t="str">
        <f aca="false">IF(AND(Tasks[[#This Row],[_IsLeaf]]=1,Tasks[[#This Row],[_LeafProgress]]&lt;1,Tasks[[#This Row],[_LeafFcstFinish]]&gt;=StatusDate,Tasks[[#This Row],[_LeafFcstFinish]]&lt;=LookaheadEnd),Tasks[[#This Row],[_LeafFcstFinish]]+Tasks[[#This Row],[_Row]]/100000,"")</f>
        <v/>
      </c>
      <c r="DO39" s="41" t="str">
        <f aca="false">IF(Tasks[[#This Row],[_LeafCritical]],Tasks[[#This Row],[_LeafFcstStart]]+Tasks[[#This Row],[_Row]]/100000,"")</f>
        <v/>
      </c>
      <c r="DP39" s="41" t="n">
        <f aca="false">Tasks[[#This Row],[_LeafWork]]*Tasks[[#This Row],[_LeafProgress]]</f>
        <v>0</v>
      </c>
      <c r="DQ39" s="103" t="str">
        <f aca="false">IF(AND(Tasks[[#This Row],[_IsLeaf]]=1,Tasks[[#This Row],[_LeafProgress]]&gt;=1),IF(N(Tasks[[#This Row],[Actual Finish]])&gt;0,Tasks[[#This Row],[Actual Finish]],Tasks[[#This Row],[_LeafFcstFinish]]),"")</f>
        <v/>
      </c>
      <c r="DR39" s="41" t="n">
        <f aca="false">IF(Tasks[[#This Row],[_IsLeaf]]=1,N(Tasks[[#This Row],[Story Points]]),0)</f>
        <v>0</v>
      </c>
      <c r="DS39" s="41" t="str">
        <f aca="false">IF(AND(Tasks[[#This Row],[_IsLeaf]]=1,CurrentSprint&lt;&gt;"",Tasks[[#This Row],[Sprint]]=CurrentSprint),Tasks[[#This Row],[_Row]],"")</f>
        <v/>
      </c>
    </row>
    <row r="40" customFormat="false" ht="15" hidden="false" customHeight="false" outlineLevel="0" collapsed="false">
      <c r="A40" s="28" t="str">
        <f aca="false">IF(Tasks[[#This Row],[Task Name]]="","",COUNTA(Tasks[[#Headers],[Task Name]]:Tasks[[#This Row],[Task Name]])-1)</f>
        <v/>
      </c>
      <c r="B40" s="29" t="n">
        <v>35</v>
      </c>
      <c r="C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29"/>
      <c r="E40" s="30"/>
      <c r="F40" s="29"/>
      <c r="G40" s="29"/>
      <c r="H40" s="29"/>
      <c r="I40" s="29"/>
      <c r="J40" s="29"/>
      <c r="K40" s="29"/>
      <c r="L40" s="29"/>
      <c r="M40" s="29"/>
      <c r="N40" s="77"/>
      <c r="O40" s="77"/>
      <c r="P40" s="25" t="str">
        <f aca="false">IF(Tasks[[#This Row],[Task Name]]="","",IF(N(Tasks[[#This Row],[Baseline Start]])&gt;0,Tasks[[#This Row],[Baseline Start]],Tasks[[#This Row],[_CalcStart]]))</f>
        <v/>
      </c>
      <c r="Q40" s="25" t="str">
        <f aca="false">IF(Tasks[[#This Row],[Task Name]]="","",IF(N(Tasks[[#This Row],[Baseline Finish]])&gt;0,Tasks[[#This Row],[Baseline Finish]],Tasks[[#This Row],[_CalcFinish]]))</f>
        <v/>
      </c>
      <c r="R40" s="77"/>
      <c r="S40" s="77"/>
      <c r="T40" s="25" t="str">
        <f aca="false">IF(Tasks[[#This Row],[Task Name]]="","",IF(Tasks[[#This Row],[_IsSummary]],MIN(INDEX(Tasks[_LeafFcstStart],Tasks[[#This Row],[_Row]]+1):INDEX(Tasks[_LeafFcstStart],Tasks[[#This Row],[_Row]]+Tasks[[#This Row],[_Descendants]])),Tasks[[#This Row],[_LeafFcstStart]]))</f>
        <v/>
      </c>
      <c r="U40" s="25" t="str">
        <f aca="false">IF(Tasks[[#This Row],[Task Name]]="","",IF(Tasks[[#This Row],[_IsSummary]],MAX(INDEX(Tasks[_LeafFcstFinish],Tasks[[#This Row],[_Row]]+1):INDEX(Tasks[_LeafFcstFinish],Tasks[[#This Row],[_Row]]+Tasks[[#This Row],[_Descendants]])),Tasks[[#This Row],[_LeafFcstFinish]]))</f>
        <v/>
      </c>
      <c r="V4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0" s="25" t="str">
        <f aca="false">IF(Tasks[[#This Row],[Task Name]]="","",IF(Tasks[[#This Row],[_IsSummary]],MIN(INDEX(Tasks[_LeafLateStart],Tasks[[#This Row],[_Row]]+1):INDEX(Tasks[_LeafLateStart],Tasks[[#This Row],[_Row]]+Tasks[[#This Row],[_Descendants]])),Tasks[[#This Row],[_LeafLateStart]]))</f>
        <v/>
      </c>
      <c r="Y40" s="25" t="str">
        <f aca="false">IF(Tasks[[#This Row],[Task Name]]="","",IF(Tasks[[#This Row],[_IsSummary]],MAX(INDEX(Tasks[_LeafLateFinish],Tasks[[#This Row],[_Row]]+1):INDEX(Tasks[_LeafLateFinish],Tasks[[#This Row],[_Row]]+Tasks[[#This Row],[_Descendants]])),Tasks[[#This Row],[_LeafLateFinish]]))</f>
        <v/>
      </c>
      <c r="Z40" s="43" t="str">
        <f aca="false">IF(Tasks[[#This Row],[Task Name]]="","",IF(Tasks[[#This Row],[_IsSummary]],MIN(INDEX(Tasks[_LeafTotalSlack],Tasks[[#This Row],[_Row]]+1):INDEX(Tasks[_LeafTotalSlack],Tasks[[#This Row],[_Row]]+Tasks[[#This Row],[_Descendants]])),Tasks[[#This Row],[_LeafTotalSlack]]))</f>
        <v/>
      </c>
      <c r="AA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0" s="28" t="str">
        <f aca="false">IF(Tasks[[#This Row],[Task Name]]="","",IF(IF(Tasks[[#This Row],[_IsSummary]],COUNTIF(INDEX(Tasks[_LeafCritical],Tasks[[#This Row],[_Row]]+1):INDEX(Tasks[_LeafCritical],Tasks[[#This Row],[_Row]]+Tasks[[#This Row],[_Descendants]]),TRUE())&gt;0,Tasks[[#This Row],[_LeafCritical]]),"Yes",""))</f>
        <v/>
      </c>
      <c r="AC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0" s="24" t="str">
        <f aca="false">IF(Tasks[[#This Row],[Task Name]]="","",TRIM(IF(Tasks[[#This Row],[_Pred1Problem]]&lt;&gt;"","Pred 1: "&amp;Tasks[[#This Row],[_Pred1Problem]]&amp;". ","")&amp;IF(Tasks[[#This Row],[_Pred2Problem]]&lt;&gt;"","Pred 2: "&amp;Tasks[[#This Row],[_Pred2Problem]]&amp;".","")))</f>
        <v/>
      </c>
      <c r="AE40" s="91"/>
      <c r="AF4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0" s="28" t="str">
        <f aca="false">IF(Tasks[[#This Row],[Task Name]]="","",IF(Tasks[[#This Row],[Progress]]&gt;=1,"Complete",IF(OR(N(Tasks[[#This Row],[Actual Start]])&gt;0,Tasks[[#This Row],[Progress]]&gt;0),IF(Tasks[[#This Row],[Finish Var]]&gt;0,"Behind","In Progress"),IF(Tasks[[#This Row],[Planned Start]]&lt;StatusDate,"Late Start","Not Started"))))</f>
        <v/>
      </c>
      <c r="AH40" s="30"/>
      <c r="AI40" s="91"/>
      <c r="AJ4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0" s="98" t="str">
        <f aca="false">IF(Tasks[[#This Row],[Task Name]]="","",IF(Tasks[[#This Row],[_IsSummary]],SUM(INDEX(Tasks[_LeafWork],Tasks[[#This Row],[_Row]]+1):INDEX(Tasks[_LeafWork],Tasks[[#This Row],[_Row]]+Tasks[[#This Row],[_Descendants]])),Tasks[[#This Row],[_LeafWork]]))</f>
        <v/>
      </c>
      <c r="AL40" s="99" t="str">
        <f aca="false">IF(Tasks[[#This Row],[Task Name]]="","",IF(Tasks[[#This Row],[_IsSummary]],SUM(INDEX(Tasks[_LeafCost],Tasks[[#This Row],[_Row]]+1):INDEX(Tasks[_LeafCost],Tasks[[#This Row],[_Row]]+Tasks[[#This Row],[_Descendants]])),Tasks[[#This Row],[_LeafCost]]))</f>
        <v/>
      </c>
      <c r="AM40" s="100"/>
      <c r="AN40" s="29"/>
      <c r="AO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0" s="85"/>
      <c r="AQ40" s="24" t="str">
        <f aca="false">IF(Tasks[[#This Row],[Task Name]]="","",Tasks[[#This Row],[_Pred1IDText]]&amp;IF(AND(Tasks[[#This Row],[_Pred1IDText]]&lt;&gt;"",Tasks[[#This Row],[_Pred2IDText]]&lt;&gt;""),",","")&amp;Tasks[[#This Row],[_Pred2IDText]])</f>
        <v/>
      </c>
      <c r="AR40" s="30"/>
      <c r="AS40" s="25" t="str">
        <f aca="false">IF(Tasks[[#This Row],[Task Name]]="","",Tasks[[#This Row],[Forecast Start]])</f>
        <v/>
      </c>
      <c r="AT40" s="25" t="str">
        <f aca="false">IF(Tasks[[#This Row],[Task Name]]="","",Tasks[[#This Row],[Forecast Finish]])</f>
        <v/>
      </c>
      <c r="AU40" s="28" t="str">
        <f aca="false">IF(Tasks[[#This Row],[Task Name]]="","",IF(Tasks[[#This Row],[_IsSummary]],NETWORKDAYS.INTL(Tasks[[#This Row],[Forecast Start]],Tasks[[#This Row],[Forecast Finish]],WorkWeek,Holidays),N(Tasks[[#This Row],[Duration]])))</f>
        <v/>
      </c>
      <c r="AV40" s="98" t="str">
        <f aca="false">IF(Tasks[[#This Row],[Task Name]]="","",Tasks[[#This Row],[Work]])</f>
        <v/>
      </c>
      <c r="AW40" s="99" t="str">
        <f aca="false">IF(Tasks[[#This Row],[Task Name]]="","",Tasks[[#This Row],[Cost]])</f>
        <v/>
      </c>
      <c r="AX40" s="77"/>
      <c r="AY40" s="77"/>
      <c r="AZ40" s="29"/>
      <c r="BA40" s="101"/>
      <c r="BB40" s="100"/>
      <c r="BC40" s="28" t="str">
        <f aca="false">IF(OR(Tasks[[#This Row],[Task Name]]="",Tasks[[#This Row],[Baseline Duration]]=""),"",Tasks[[#This Row],[BL Source Duration]]-N(Tasks[[#This Row],[Baseline Duration]]))</f>
        <v/>
      </c>
      <c r="BD40" s="98" t="str">
        <f aca="false">IF(OR(Tasks[[#This Row],[Task Name]]="",Tasks[[#This Row],[Baseline Work]]=""),"",Tasks[[#This Row],[Work]]-N(Tasks[[#This Row],[Baseline Work]]))</f>
        <v/>
      </c>
      <c r="BE40" s="99" t="str">
        <f aca="false">IF(OR(Tasks[[#This Row],[Task Name]]="",Tasks[[#This Row],[Baseline Cost]]=""),"",Tasks[[#This Row],[Cost]]-N(Tasks[[#This Row],[Baseline Cost]]))</f>
        <v/>
      </c>
      <c r="BF40" s="99" t="str">
        <f aca="false">IF(Tasks[[#This Row],[Task Name]]="","",IF(Tasks[[#This Row],[_IsSummary]],SUM(INDEX(Tasks[_LeafBudget],Tasks[[#This Row],[_Row]]+1):INDEX(Tasks[_LeafBudget],Tasks[[#This Row],[_Row]]+Tasks[[#This Row],[_Descendants]])),Tasks[[#This Row],[_LeafBudget]]))</f>
        <v/>
      </c>
      <c r="BG40" s="99" t="str">
        <f aca="false">IF(Tasks[[#This Row],[Task Name]]="","",IF(Tasks[[#This Row],[_IsSummary]],SUM(INDEX(Tasks[_LeafPV],Tasks[[#This Row],[_Row]]+1):INDEX(Tasks[_LeafPV],Tasks[[#This Row],[_Row]]+Tasks[[#This Row],[_Descendants]])),Tasks[[#This Row],[_LeafPV]]))</f>
        <v/>
      </c>
      <c r="BH40" s="99" t="str">
        <f aca="false">IF(Tasks[[#This Row],[Task Name]]="","",IF(Tasks[[#This Row],[_IsSummary]],SUM(INDEX(Tasks[_LeafEV],Tasks[[#This Row],[_Row]]+1):INDEX(Tasks[_LeafEV],Tasks[[#This Row],[_Row]]+Tasks[[#This Row],[_Descendants]])),Tasks[[#This Row],[_LeafEV]]))</f>
        <v/>
      </c>
      <c r="BI40" s="99" t="str">
        <f aca="false">IF(Tasks[[#This Row],[Task Name]]="","",IF(Tasks[[#This Row],[_IsSummary]],SUM(INDEX(Tasks[_LeafAC],Tasks[[#This Row],[_Row]]+1):INDEX(Tasks[_LeafAC],Tasks[[#This Row],[_Row]]+Tasks[[#This Row],[_Descendants]])),Tasks[[#This Row],[_LeafAC]]))</f>
        <v/>
      </c>
      <c r="BJ40" s="41" t="str">
        <f aca="false">IF(Tasks[[#This Row],[Task Name]]="","",MAX(1,N(Tasks[[#This Row],[Level]])))</f>
        <v/>
      </c>
      <c r="BK40" s="41" t="n">
        <f aca="false">ROW()-ROW(Tasks[[#Headers],[ID]])</f>
        <v>35</v>
      </c>
      <c r="BL40" s="41" t="n">
        <f aca="false">IF(OR(Tasks[[#This Row],[Task Name]]="",Tasks[[#This Row],[_Level]]&lt;=1),0,IFERROR(LOOKUP(2,1/(Tasks[[#Headers],[_Level]]:Tasks[[#This Row],[_Level]]=Tasks[[#This Row],[_Level]]-1),ROW(Tasks[[#Headers],[_Level]]:Tasks[[#This Row],[_Level]])),0))</f>
        <v>0</v>
      </c>
      <c r="BM40" s="41" t="n">
        <f aca="false">IFERROR(N(INDEX(Tasks[_Level],Tasks[[#This Row],[_Row]]+1)),0)</f>
        <v>0</v>
      </c>
      <c r="BN40" s="102" t="b">
        <f aca="false">AND(Tasks[[#This Row],[Task Name]]&lt;&gt;"",Tasks[[#This Row],[_NextLevel]]&gt;Tasks[[#This Row],[_Level]])</f>
        <v>0</v>
      </c>
      <c r="BO40" s="41" t="n">
        <f aca="false">IF(Tasks[[#This Row],[_IsSummary]],COUNTIF(Tasks[WBS],Tasks[[#This Row],[WBS]]&amp;".*"),0)</f>
        <v>0</v>
      </c>
      <c r="BP40" s="41" t="n">
        <f aca="false">IF(AND(Tasks[[#This Row],[Task Name]]&lt;&gt;"",NOT(Tasks[[#This Row],[_IsSummary]])),1,0)</f>
        <v>0</v>
      </c>
      <c r="BQ40" s="41" t="n">
        <f aca="false">IF(N(Tasks[[#This Row],[Pred1 UID]])=0,0,IFERROR(MATCH(Tasks[[#This Row],[Pred1 UID]],Tasks[UID],0),-1))</f>
        <v>0</v>
      </c>
      <c r="BR40" s="41" t="n">
        <f aca="false">IF(N(Tasks[[#This Row],[Pred2 UID]])=0,0,IFERROR(MATCH(Tasks[[#This Row],[Pred2 UID]],Tasks[UID],0),-1))</f>
        <v>0</v>
      </c>
      <c r="BS4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0" s="103" t="str">
        <f aca="false">IF(NOT(Tasks[[#This Row],[_IsLeaf]]=1),"",IF(N(Tasks[[#This Row],[Duration]])&lt;=0,Tasks[[#This Row],[_LeafCalcStart]],WORKDAY.INTL(Tasks[[#This Row],[_LeafCalcStart]],Tasks[[#This Row],[Duration]]-1,WorkWeek,Holidays)))</f>
        <v/>
      </c>
      <c r="BU4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0" s="41" t="n">
        <f aca="false">IF(NOT(Tasks[[#This Row],[_IsLeaf]]=1),0,IF(N(Tasks[[#This Row],[Actual Finish]])&gt;0,1,MIN(1,N(Tasks[[#This Row],[% Complete]]))))</f>
        <v>0</v>
      </c>
      <c r="BX40" s="41" t="n">
        <f aca="false">IF(OR(NOT(Tasks[[#This Row],[_IsLeaf]]=1),Tasks[[#This Row],[Resource]]=""),0,N(Tasks[[#This Row],[Duration]])*HoursPerDay*IF(Tasks[[#This Row],[Units]]="",DefaultUnits,Tasks[[#This Row],[Units]]))</f>
        <v>0</v>
      </c>
      <c r="BY40" s="41" t="n">
        <f aca="false">IF(Tasks[[#This Row],[_LeafWork]]=0,0,Tasks[[#This Row],[_LeafWork]]*IFERROR(INDEX(res_Rate,MATCH(Tasks[[#This Row],[Resource]],res_Name,0)),0))</f>
        <v>0</v>
      </c>
      <c r="BZ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0" s="41" t="n">
        <f aca="false">IF(NOT(Tasks[[#This Row],[_IsLeaf]]=1),0,MAX(_xlfn.MAXIFS(Tasks[_Row],Tasks[Pred1 UID],Tasks[[#This Row],[UID]]),_xlfn.MAXIFS(Tasks[_Row],Tasks[Pred2 UID],Tasks[[#This Row],[UID]])))</f>
        <v>0</v>
      </c>
      <c r="CE4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0" s="103" t="str">
        <f aca="false">IF(NOT(Tasks[[#This Row],[_IsLeaf]]=1),"",MIN(ProjectFinish,IF(N(Tasks[[#This Row],[Deadline]])&gt;0,Tasks[[#This Row],[Deadline]],2958465),Tasks[[#This Row],[_SuccessorFinishLimit]]))</f>
        <v/>
      </c>
      <c r="CG40" s="103" t="str">
        <f aca="false">IF(NOT(Tasks[[#This Row],[_IsLeaf]]=1),"",IF(N(Tasks[[#This Row],[Duration]])&lt;=0,Tasks[[#This Row],[_LeafLateFinish]],WORKDAY.INTL(Tasks[[#This Row],[_LeafLateFinish]],-(Tasks[[#This Row],[Duration]]-1),WorkWeek,Holidays)))</f>
        <v/>
      </c>
      <c r="CH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0" s="102" t="b">
        <f aca="false">AND(Tasks[[#This Row],[_IsLeaf]]=1,Tasks[[#This Row],[_LeafProgress]]&lt;1,N(Tasks[[#This Row],[_LeafTotalSlack]])&lt;=CriticalSlackDays)</f>
        <v>0</v>
      </c>
      <c r="CJ40" s="103" t="str">
        <f aca="false">IF(Tasks[[#This Row],[Task Name]]="","",IF(Tasks[[#This Row],[_IsSummary]],MIN(INDEX(Tasks[_LeafCalcStart],Tasks[[#This Row],[_Row]]+1):INDEX(Tasks[_LeafCalcStart],Tasks[[#This Row],[_Row]]+Tasks[[#This Row],[_Descendants]])),Tasks[[#This Row],[_LeafCalcStart]]))</f>
        <v/>
      </c>
      <c r="CK40" s="103" t="str">
        <f aca="false">IF(Tasks[[#This Row],[Task Name]]="","",IF(Tasks[[#This Row],[_IsSummary]],MAX(INDEX(Tasks[_LeafCalcFinish],Tasks[[#This Row],[_Row]]+1):INDEX(Tasks[_LeafCalcFinish],Tasks[[#This Row],[_Row]]+Tasks[[#This Row],[_Descendants]])),Tasks[[#This Row],[_LeafCalcFinish]]))</f>
        <v/>
      </c>
      <c r="CL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0" s="41" t="n">
        <f aca="false">IF(AND(Tasks[[#This Row],[_IsLeaf]]=1,Tasks[[#This Row],[_LeafWork]]&gt;0),NETWORKDAYS.INTL(ProjectStart,Tasks[[#This Row],[_LeafFcstStart]],WorkWeek,Holidays),0)</f>
        <v>0</v>
      </c>
      <c r="CS40" s="41" t="n">
        <f aca="false">IF(AND(Tasks[[#This Row],[_IsLeaf]]=1,Tasks[[#This Row],[_LeafWork]]&gt;0),MAX(Tasks[[#This Row],[_StartWorkday]],NETWORKDAYS.INTL(ProjectStart,Tasks[[#This Row],[_LeafFcstFinish]],WorkWeek,Holidays)),0)</f>
        <v>0</v>
      </c>
      <c r="CT40" s="41" t="n">
        <f aca="false">IF(AND(Tasks[[#This Row],[_IsLeaf]]=1,Tasks[[#This Row],[_LeafWork]]&gt;0),Tasks[[#This Row],[_LeafWork]]/(Tasks[[#This Row],[_FinishWorkday]]-Tasks[[#This Row],[_StartWorkday]]+1),0)</f>
        <v>0</v>
      </c>
      <c r="CU40" s="41" t="n">
        <f aca="false">Tasks[[#This Row],[_WorkPerWorkday]]*(Tasks[[#This Row],[_StartWorkday]]-1)</f>
        <v>-0</v>
      </c>
      <c r="CV40" s="41" t="n">
        <f aca="false">IF(Tasks[[#This Row],[_IsLeaf]]=1,MAX(N(Tasks[[#This Row],[Duration]]),0.1),0)</f>
        <v>0</v>
      </c>
      <c r="CW40" s="41" t="n">
        <f aca="false">Tasks[[#This Row],[_WeightDur]]*Tasks[[#This Row],[_LeafProgress]]</f>
        <v>0</v>
      </c>
      <c r="CX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0" s="41" t="str">
        <f aca="false">IF(Tasks[[#This Row],[Task Name]]="","",Tasks[[#This Row],[_Pred1UIDText]]&amp;IF(AND(Tasks[[#This Row],[_Pred1UIDText]]&lt;&gt;"",Tasks[[#This Row],[_Pred2UIDText]]&lt;&gt;""),",","")&amp;Tasks[[#This Row],[_Pred2UIDText]])</f>
        <v/>
      </c>
      <c r="DC40" s="41" t="str">
        <f aca="false">IF(AND(Tasks[[#This Row],[_IsLeaf]]=1,N(Tasks[[#This Row],[Duration]])=0,Tasks[[#This Row],[_LeafProgress]]&lt;1),Tasks[[#This Row],[_LeafFcstFinish]]+Tasks[[#This Row],[_Row]]/100000,"")</f>
        <v/>
      </c>
      <c r="DD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0" s="41" t="n">
        <f aca="false">IF(NOT(Tasks[[#This Row],[_IsLeaf]]=1),0,IF(Tasks[[#This Row],[Baseline Cost]]="",Tasks[[#This Row],[_LeafCost]],N(Tasks[[#This Row],[Baseline Cost]])))</f>
        <v>0</v>
      </c>
      <c r="DF40" s="41" t="n">
        <f aca="false">Tasks[[#This Row],[_LeafBudget]]*Tasks[[#This Row],[_PlannedPct]]</f>
        <v>0</v>
      </c>
      <c r="DG40" s="41" t="n">
        <f aca="false">Tasks[[#This Row],[_LeafBudget]]*Tasks[[#This Row],[_LeafProgress]]</f>
        <v>0</v>
      </c>
      <c r="DH40" s="41" t="n">
        <f aca="false">IF(NOT(Tasks[[#This Row],[_IsLeaf]]=1),0,IF(Tasks[[#This Row],[Actual Cost]]="",Tasks[[#This Row],[_LeafCost]]*Tasks[[#This Row],[_LeafProgress]],N(Tasks[[#This Row],[Actual Cost]])))</f>
        <v>0</v>
      </c>
      <c r="DI40" s="41" t="str">
        <f aca="false">IF(Tasks[[#This Row],[Task Name]]="","",LEFT(Tasks[[#This Row],[WBS]],FIND(".",Tasks[[#This Row],[WBS]]&amp;".")-1))</f>
        <v/>
      </c>
      <c r="DJ40" s="41" t="str">
        <f aca="false">IF(AND(Tasks[[#This Row],[Task Name]]&lt;&gt;"",Tasks[[#This Row],[_Level]]=1),Tasks[[#This Row],[_Row]],"")</f>
        <v/>
      </c>
      <c r="DK40" s="41" t="str">
        <f aca="false">IF(AND(Tasks[[#This Row],[_IsLeaf]]=1,N(Tasks[[#This Row],[Duration]])=0),Tasks[[#This Row],[Planned Finish]]+Tasks[[#This Row],[_Row]]/100000,"")</f>
        <v/>
      </c>
      <c r="DL40" s="41" t="str">
        <f aca="false">IF(AND(Tasks[[#This Row],[_IsLeaf]]=1,Tasks[[#This Row],[_LeafProgress]]&lt;1,OR(N(Tasks[[#This Row],[Finish Var]])&gt;0,Tasks[[#This Row],[Status]]="Late Start")),MAX(0,Tasks[[#This Row],[Finish Var]])+1-Tasks[[#This Row],[_Row]]/1000000,"")</f>
        <v/>
      </c>
      <c r="DM40" s="41" t="str">
        <f aca="false">IF(AND(Tasks[[#This Row],[_IsLeaf]]=1,N(Tasks[[#This Row],[Actual Start]])=0,Tasks[[#This Row],[_LeafFcstStart]]&gt;=StatusDate,Tasks[[#This Row],[_LeafFcstStart]]&lt;=LookaheadEnd),Tasks[[#This Row],[_LeafFcstStart]]+Tasks[[#This Row],[_Row]]/100000,"")</f>
        <v/>
      </c>
      <c r="DN40" s="41" t="str">
        <f aca="false">IF(AND(Tasks[[#This Row],[_IsLeaf]]=1,Tasks[[#This Row],[_LeafProgress]]&lt;1,Tasks[[#This Row],[_LeafFcstFinish]]&gt;=StatusDate,Tasks[[#This Row],[_LeafFcstFinish]]&lt;=LookaheadEnd),Tasks[[#This Row],[_LeafFcstFinish]]+Tasks[[#This Row],[_Row]]/100000,"")</f>
        <v/>
      </c>
      <c r="DO40" s="41" t="str">
        <f aca="false">IF(Tasks[[#This Row],[_LeafCritical]],Tasks[[#This Row],[_LeafFcstStart]]+Tasks[[#This Row],[_Row]]/100000,"")</f>
        <v/>
      </c>
      <c r="DP40" s="41" t="n">
        <f aca="false">Tasks[[#This Row],[_LeafWork]]*Tasks[[#This Row],[_LeafProgress]]</f>
        <v>0</v>
      </c>
      <c r="DQ40" s="103" t="str">
        <f aca="false">IF(AND(Tasks[[#This Row],[_IsLeaf]]=1,Tasks[[#This Row],[_LeafProgress]]&gt;=1),IF(N(Tasks[[#This Row],[Actual Finish]])&gt;0,Tasks[[#This Row],[Actual Finish]],Tasks[[#This Row],[_LeafFcstFinish]]),"")</f>
        <v/>
      </c>
      <c r="DR40" s="41" t="n">
        <f aca="false">IF(Tasks[[#This Row],[_IsLeaf]]=1,N(Tasks[[#This Row],[Story Points]]),0)</f>
        <v>0</v>
      </c>
      <c r="DS40" s="41" t="str">
        <f aca="false">IF(AND(Tasks[[#This Row],[_IsLeaf]]=1,CurrentSprint&lt;&gt;"",Tasks[[#This Row],[Sprint]]=CurrentSprint),Tasks[[#This Row],[_Row]],"")</f>
        <v/>
      </c>
    </row>
    <row r="41" customFormat="false" ht="15" hidden="false" customHeight="false" outlineLevel="0" collapsed="false">
      <c r="A41" s="28" t="str">
        <f aca="false">IF(Tasks[[#This Row],[Task Name]]="","",COUNTA(Tasks[[#Headers],[Task Name]]:Tasks[[#This Row],[Task Name]])-1)</f>
        <v/>
      </c>
      <c r="B41" s="29" t="n">
        <v>36</v>
      </c>
      <c r="C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29"/>
      <c r="E41" s="30"/>
      <c r="F41" s="29"/>
      <c r="G41" s="29"/>
      <c r="H41" s="29"/>
      <c r="I41" s="29"/>
      <c r="J41" s="29"/>
      <c r="K41" s="29"/>
      <c r="L41" s="29"/>
      <c r="M41" s="29"/>
      <c r="N41" s="77"/>
      <c r="O41" s="77"/>
      <c r="P41" s="25" t="str">
        <f aca="false">IF(Tasks[[#This Row],[Task Name]]="","",IF(N(Tasks[[#This Row],[Baseline Start]])&gt;0,Tasks[[#This Row],[Baseline Start]],Tasks[[#This Row],[_CalcStart]]))</f>
        <v/>
      </c>
      <c r="Q41" s="25" t="str">
        <f aca="false">IF(Tasks[[#This Row],[Task Name]]="","",IF(N(Tasks[[#This Row],[Baseline Finish]])&gt;0,Tasks[[#This Row],[Baseline Finish]],Tasks[[#This Row],[_CalcFinish]]))</f>
        <v/>
      </c>
      <c r="R41" s="77"/>
      <c r="S41" s="77"/>
      <c r="T41" s="25" t="str">
        <f aca="false">IF(Tasks[[#This Row],[Task Name]]="","",IF(Tasks[[#This Row],[_IsSummary]],MIN(INDEX(Tasks[_LeafFcstStart],Tasks[[#This Row],[_Row]]+1):INDEX(Tasks[_LeafFcstStart],Tasks[[#This Row],[_Row]]+Tasks[[#This Row],[_Descendants]])),Tasks[[#This Row],[_LeafFcstStart]]))</f>
        <v/>
      </c>
      <c r="U41" s="25" t="str">
        <f aca="false">IF(Tasks[[#This Row],[Task Name]]="","",IF(Tasks[[#This Row],[_IsSummary]],MAX(INDEX(Tasks[_LeafFcstFinish],Tasks[[#This Row],[_Row]]+1):INDEX(Tasks[_LeafFcstFinish],Tasks[[#This Row],[_Row]]+Tasks[[#This Row],[_Descendants]])),Tasks[[#This Row],[_LeafFcstFinish]]))</f>
        <v/>
      </c>
      <c r="V4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1" s="25" t="str">
        <f aca="false">IF(Tasks[[#This Row],[Task Name]]="","",IF(Tasks[[#This Row],[_IsSummary]],MIN(INDEX(Tasks[_LeafLateStart],Tasks[[#This Row],[_Row]]+1):INDEX(Tasks[_LeafLateStart],Tasks[[#This Row],[_Row]]+Tasks[[#This Row],[_Descendants]])),Tasks[[#This Row],[_LeafLateStart]]))</f>
        <v/>
      </c>
      <c r="Y41" s="25" t="str">
        <f aca="false">IF(Tasks[[#This Row],[Task Name]]="","",IF(Tasks[[#This Row],[_IsSummary]],MAX(INDEX(Tasks[_LeafLateFinish],Tasks[[#This Row],[_Row]]+1):INDEX(Tasks[_LeafLateFinish],Tasks[[#This Row],[_Row]]+Tasks[[#This Row],[_Descendants]])),Tasks[[#This Row],[_LeafLateFinish]]))</f>
        <v/>
      </c>
      <c r="Z41" s="43" t="str">
        <f aca="false">IF(Tasks[[#This Row],[Task Name]]="","",IF(Tasks[[#This Row],[_IsSummary]],MIN(INDEX(Tasks[_LeafTotalSlack],Tasks[[#This Row],[_Row]]+1):INDEX(Tasks[_LeafTotalSlack],Tasks[[#This Row],[_Row]]+Tasks[[#This Row],[_Descendants]])),Tasks[[#This Row],[_LeafTotalSlack]]))</f>
        <v/>
      </c>
      <c r="AA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1" s="28" t="str">
        <f aca="false">IF(Tasks[[#This Row],[Task Name]]="","",IF(IF(Tasks[[#This Row],[_IsSummary]],COUNTIF(INDEX(Tasks[_LeafCritical],Tasks[[#This Row],[_Row]]+1):INDEX(Tasks[_LeafCritical],Tasks[[#This Row],[_Row]]+Tasks[[#This Row],[_Descendants]]),TRUE())&gt;0,Tasks[[#This Row],[_LeafCritical]]),"Yes",""))</f>
        <v/>
      </c>
      <c r="AC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1" s="24" t="str">
        <f aca="false">IF(Tasks[[#This Row],[Task Name]]="","",TRIM(IF(Tasks[[#This Row],[_Pred1Problem]]&lt;&gt;"","Pred 1: "&amp;Tasks[[#This Row],[_Pred1Problem]]&amp;". ","")&amp;IF(Tasks[[#This Row],[_Pred2Problem]]&lt;&gt;"","Pred 2: "&amp;Tasks[[#This Row],[_Pred2Problem]]&amp;".","")))</f>
        <v/>
      </c>
      <c r="AE41" s="91"/>
      <c r="AF4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1" s="28" t="str">
        <f aca="false">IF(Tasks[[#This Row],[Task Name]]="","",IF(Tasks[[#This Row],[Progress]]&gt;=1,"Complete",IF(OR(N(Tasks[[#This Row],[Actual Start]])&gt;0,Tasks[[#This Row],[Progress]]&gt;0),IF(Tasks[[#This Row],[Finish Var]]&gt;0,"Behind","In Progress"),IF(Tasks[[#This Row],[Planned Start]]&lt;StatusDate,"Late Start","Not Started"))))</f>
        <v/>
      </c>
      <c r="AH41" s="30"/>
      <c r="AI41" s="91"/>
      <c r="AJ4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1" s="98" t="str">
        <f aca="false">IF(Tasks[[#This Row],[Task Name]]="","",IF(Tasks[[#This Row],[_IsSummary]],SUM(INDEX(Tasks[_LeafWork],Tasks[[#This Row],[_Row]]+1):INDEX(Tasks[_LeafWork],Tasks[[#This Row],[_Row]]+Tasks[[#This Row],[_Descendants]])),Tasks[[#This Row],[_LeafWork]]))</f>
        <v/>
      </c>
      <c r="AL41" s="99" t="str">
        <f aca="false">IF(Tasks[[#This Row],[Task Name]]="","",IF(Tasks[[#This Row],[_IsSummary]],SUM(INDEX(Tasks[_LeafCost],Tasks[[#This Row],[_Row]]+1):INDEX(Tasks[_LeafCost],Tasks[[#This Row],[_Row]]+Tasks[[#This Row],[_Descendants]])),Tasks[[#This Row],[_LeafCost]]))</f>
        <v/>
      </c>
      <c r="AM41" s="100"/>
      <c r="AN41" s="29"/>
      <c r="AO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1" s="85"/>
      <c r="AQ41" s="24" t="str">
        <f aca="false">IF(Tasks[[#This Row],[Task Name]]="","",Tasks[[#This Row],[_Pred1IDText]]&amp;IF(AND(Tasks[[#This Row],[_Pred1IDText]]&lt;&gt;"",Tasks[[#This Row],[_Pred2IDText]]&lt;&gt;""),",","")&amp;Tasks[[#This Row],[_Pred2IDText]])</f>
        <v/>
      </c>
      <c r="AR41" s="30"/>
      <c r="AS41" s="25" t="str">
        <f aca="false">IF(Tasks[[#This Row],[Task Name]]="","",Tasks[[#This Row],[Forecast Start]])</f>
        <v/>
      </c>
      <c r="AT41" s="25" t="str">
        <f aca="false">IF(Tasks[[#This Row],[Task Name]]="","",Tasks[[#This Row],[Forecast Finish]])</f>
        <v/>
      </c>
      <c r="AU41" s="28" t="str">
        <f aca="false">IF(Tasks[[#This Row],[Task Name]]="","",IF(Tasks[[#This Row],[_IsSummary]],NETWORKDAYS.INTL(Tasks[[#This Row],[Forecast Start]],Tasks[[#This Row],[Forecast Finish]],WorkWeek,Holidays),N(Tasks[[#This Row],[Duration]])))</f>
        <v/>
      </c>
      <c r="AV41" s="98" t="str">
        <f aca="false">IF(Tasks[[#This Row],[Task Name]]="","",Tasks[[#This Row],[Work]])</f>
        <v/>
      </c>
      <c r="AW41" s="99" t="str">
        <f aca="false">IF(Tasks[[#This Row],[Task Name]]="","",Tasks[[#This Row],[Cost]])</f>
        <v/>
      </c>
      <c r="AX41" s="77"/>
      <c r="AY41" s="77"/>
      <c r="AZ41" s="29"/>
      <c r="BA41" s="101"/>
      <c r="BB41" s="100"/>
      <c r="BC41" s="28" t="str">
        <f aca="false">IF(OR(Tasks[[#This Row],[Task Name]]="",Tasks[[#This Row],[Baseline Duration]]=""),"",Tasks[[#This Row],[BL Source Duration]]-N(Tasks[[#This Row],[Baseline Duration]]))</f>
        <v/>
      </c>
      <c r="BD41" s="98" t="str">
        <f aca="false">IF(OR(Tasks[[#This Row],[Task Name]]="",Tasks[[#This Row],[Baseline Work]]=""),"",Tasks[[#This Row],[Work]]-N(Tasks[[#This Row],[Baseline Work]]))</f>
        <v/>
      </c>
      <c r="BE41" s="99" t="str">
        <f aca="false">IF(OR(Tasks[[#This Row],[Task Name]]="",Tasks[[#This Row],[Baseline Cost]]=""),"",Tasks[[#This Row],[Cost]]-N(Tasks[[#This Row],[Baseline Cost]]))</f>
        <v/>
      </c>
      <c r="BF41" s="99" t="str">
        <f aca="false">IF(Tasks[[#This Row],[Task Name]]="","",IF(Tasks[[#This Row],[_IsSummary]],SUM(INDEX(Tasks[_LeafBudget],Tasks[[#This Row],[_Row]]+1):INDEX(Tasks[_LeafBudget],Tasks[[#This Row],[_Row]]+Tasks[[#This Row],[_Descendants]])),Tasks[[#This Row],[_LeafBudget]]))</f>
        <v/>
      </c>
      <c r="BG41" s="99" t="str">
        <f aca="false">IF(Tasks[[#This Row],[Task Name]]="","",IF(Tasks[[#This Row],[_IsSummary]],SUM(INDEX(Tasks[_LeafPV],Tasks[[#This Row],[_Row]]+1):INDEX(Tasks[_LeafPV],Tasks[[#This Row],[_Row]]+Tasks[[#This Row],[_Descendants]])),Tasks[[#This Row],[_LeafPV]]))</f>
        <v/>
      </c>
      <c r="BH41" s="99" t="str">
        <f aca="false">IF(Tasks[[#This Row],[Task Name]]="","",IF(Tasks[[#This Row],[_IsSummary]],SUM(INDEX(Tasks[_LeafEV],Tasks[[#This Row],[_Row]]+1):INDEX(Tasks[_LeafEV],Tasks[[#This Row],[_Row]]+Tasks[[#This Row],[_Descendants]])),Tasks[[#This Row],[_LeafEV]]))</f>
        <v/>
      </c>
      <c r="BI41" s="99" t="str">
        <f aca="false">IF(Tasks[[#This Row],[Task Name]]="","",IF(Tasks[[#This Row],[_IsSummary]],SUM(INDEX(Tasks[_LeafAC],Tasks[[#This Row],[_Row]]+1):INDEX(Tasks[_LeafAC],Tasks[[#This Row],[_Row]]+Tasks[[#This Row],[_Descendants]])),Tasks[[#This Row],[_LeafAC]]))</f>
        <v/>
      </c>
      <c r="BJ41" s="41" t="str">
        <f aca="false">IF(Tasks[[#This Row],[Task Name]]="","",MAX(1,N(Tasks[[#This Row],[Level]])))</f>
        <v/>
      </c>
      <c r="BK41" s="41" t="n">
        <f aca="false">ROW()-ROW(Tasks[[#Headers],[ID]])</f>
        <v>36</v>
      </c>
      <c r="BL41" s="41" t="n">
        <f aca="false">IF(OR(Tasks[[#This Row],[Task Name]]="",Tasks[[#This Row],[_Level]]&lt;=1),0,IFERROR(LOOKUP(2,1/(Tasks[[#Headers],[_Level]]:Tasks[[#This Row],[_Level]]=Tasks[[#This Row],[_Level]]-1),ROW(Tasks[[#Headers],[_Level]]:Tasks[[#This Row],[_Level]])),0))</f>
        <v>0</v>
      </c>
      <c r="BM41" s="41" t="n">
        <f aca="false">IFERROR(N(INDEX(Tasks[_Level],Tasks[[#This Row],[_Row]]+1)),0)</f>
        <v>0</v>
      </c>
      <c r="BN41" s="102" t="b">
        <f aca="false">AND(Tasks[[#This Row],[Task Name]]&lt;&gt;"",Tasks[[#This Row],[_NextLevel]]&gt;Tasks[[#This Row],[_Level]])</f>
        <v>0</v>
      </c>
      <c r="BO41" s="41" t="n">
        <f aca="false">IF(Tasks[[#This Row],[_IsSummary]],COUNTIF(Tasks[WBS],Tasks[[#This Row],[WBS]]&amp;".*"),0)</f>
        <v>0</v>
      </c>
      <c r="BP41" s="41" t="n">
        <f aca="false">IF(AND(Tasks[[#This Row],[Task Name]]&lt;&gt;"",NOT(Tasks[[#This Row],[_IsSummary]])),1,0)</f>
        <v>0</v>
      </c>
      <c r="BQ41" s="41" t="n">
        <f aca="false">IF(N(Tasks[[#This Row],[Pred1 UID]])=0,0,IFERROR(MATCH(Tasks[[#This Row],[Pred1 UID]],Tasks[UID],0),-1))</f>
        <v>0</v>
      </c>
      <c r="BR41" s="41" t="n">
        <f aca="false">IF(N(Tasks[[#This Row],[Pred2 UID]])=0,0,IFERROR(MATCH(Tasks[[#This Row],[Pred2 UID]],Tasks[UID],0),-1))</f>
        <v>0</v>
      </c>
      <c r="BS4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1" s="103" t="str">
        <f aca="false">IF(NOT(Tasks[[#This Row],[_IsLeaf]]=1),"",IF(N(Tasks[[#This Row],[Duration]])&lt;=0,Tasks[[#This Row],[_LeafCalcStart]],WORKDAY.INTL(Tasks[[#This Row],[_LeafCalcStart]],Tasks[[#This Row],[Duration]]-1,WorkWeek,Holidays)))</f>
        <v/>
      </c>
      <c r="BU4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1" s="41" t="n">
        <f aca="false">IF(NOT(Tasks[[#This Row],[_IsLeaf]]=1),0,IF(N(Tasks[[#This Row],[Actual Finish]])&gt;0,1,MIN(1,N(Tasks[[#This Row],[% Complete]]))))</f>
        <v>0</v>
      </c>
      <c r="BX41" s="41" t="n">
        <f aca="false">IF(OR(NOT(Tasks[[#This Row],[_IsLeaf]]=1),Tasks[[#This Row],[Resource]]=""),0,N(Tasks[[#This Row],[Duration]])*HoursPerDay*IF(Tasks[[#This Row],[Units]]="",DefaultUnits,Tasks[[#This Row],[Units]]))</f>
        <v>0</v>
      </c>
      <c r="BY41" s="41" t="n">
        <f aca="false">IF(Tasks[[#This Row],[_LeafWork]]=0,0,Tasks[[#This Row],[_LeafWork]]*IFERROR(INDEX(res_Rate,MATCH(Tasks[[#This Row],[Resource]],res_Name,0)),0))</f>
        <v>0</v>
      </c>
      <c r="BZ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1" s="41" t="n">
        <f aca="false">IF(NOT(Tasks[[#This Row],[_IsLeaf]]=1),0,MAX(_xlfn.MAXIFS(Tasks[_Row],Tasks[Pred1 UID],Tasks[[#This Row],[UID]]),_xlfn.MAXIFS(Tasks[_Row],Tasks[Pred2 UID],Tasks[[#This Row],[UID]])))</f>
        <v>0</v>
      </c>
      <c r="CE4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1" s="103" t="str">
        <f aca="false">IF(NOT(Tasks[[#This Row],[_IsLeaf]]=1),"",MIN(ProjectFinish,IF(N(Tasks[[#This Row],[Deadline]])&gt;0,Tasks[[#This Row],[Deadline]],2958465),Tasks[[#This Row],[_SuccessorFinishLimit]]))</f>
        <v/>
      </c>
      <c r="CG41" s="103" t="str">
        <f aca="false">IF(NOT(Tasks[[#This Row],[_IsLeaf]]=1),"",IF(N(Tasks[[#This Row],[Duration]])&lt;=0,Tasks[[#This Row],[_LeafLateFinish]],WORKDAY.INTL(Tasks[[#This Row],[_LeafLateFinish]],-(Tasks[[#This Row],[Duration]]-1),WorkWeek,Holidays)))</f>
        <v/>
      </c>
      <c r="CH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1" s="102" t="b">
        <f aca="false">AND(Tasks[[#This Row],[_IsLeaf]]=1,Tasks[[#This Row],[_LeafProgress]]&lt;1,N(Tasks[[#This Row],[_LeafTotalSlack]])&lt;=CriticalSlackDays)</f>
        <v>0</v>
      </c>
      <c r="CJ41" s="103" t="str">
        <f aca="false">IF(Tasks[[#This Row],[Task Name]]="","",IF(Tasks[[#This Row],[_IsSummary]],MIN(INDEX(Tasks[_LeafCalcStart],Tasks[[#This Row],[_Row]]+1):INDEX(Tasks[_LeafCalcStart],Tasks[[#This Row],[_Row]]+Tasks[[#This Row],[_Descendants]])),Tasks[[#This Row],[_LeafCalcStart]]))</f>
        <v/>
      </c>
      <c r="CK41" s="103" t="str">
        <f aca="false">IF(Tasks[[#This Row],[Task Name]]="","",IF(Tasks[[#This Row],[_IsSummary]],MAX(INDEX(Tasks[_LeafCalcFinish],Tasks[[#This Row],[_Row]]+1):INDEX(Tasks[_LeafCalcFinish],Tasks[[#This Row],[_Row]]+Tasks[[#This Row],[_Descendants]])),Tasks[[#This Row],[_LeafCalcFinish]]))</f>
        <v/>
      </c>
      <c r="CL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1" s="41" t="n">
        <f aca="false">IF(AND(Tasks[[#This Row],[_IsLeaf]]=1,Tasks[[#This Row],[_LeafWork]]&gt;0),NETWORKDAYS.INTL(ProjectStart,Tasks[[#This Row],[_LeafFcstStart]],WorkWeek,Holidays),0)</f>
        <v>0</v>
      </c>
      <c r="CS41" s="41" t="n">
        <f aca="false">IF(AND(Tasks[[#This Row],[_IsLeaf]]=1,Tasks[[#This Row],[_LeafWork]]&gt;0),MAX(Tasks[[#This Row],[_StartWorkday]],NETWORKDAYS.INTL(ProjectStart,Tasks[[#This Row],[_LeafFcstFinish]],WorkWeek,Holidays)),0)</f>
        <v>0</v>
      </c>
      <c r="CT41" s="41" t="n">
        <f aca="false">IF(AND(Tasks[[#This Row],[_IsLeaf]]=1,Tasks[[#This Row],[_LeafWork]]&gt;0),Tasks[[#This Row],[_LeafWork]]/(Tasks[[#This Row],[_FinishWorkday]]-Tasks[[#This Row],[_StartWorkday]]+1),0)</f>
        <v>0</v>
      </c>
      <c r="CU41" s="41" t="n">
        <f aca="false">Tasks[[#This Row],[_WorkPerWorkday]]*(Tasks[[#This Row],[_StartWorkday]]-1)</f>
        <v>-0</v>
      </c>
      <c r="CV41" s="41" t="n">
        <f aca="false">IF(Tasks[[#This Row],[_IsLeaf]]=1,MAX(N(Tasks[[#This Row],[Duration]]),0.1),0)</f>
        <v>0</v>
      </c>
      <c r="CW41" s="41" t="n">
        <f aca="false">Tasks[[#This Row],[_WeightDur]]*Tasks[[#This Row],[_LeafProgress]]</f>
        <v>0</v>
      </c>
      <c r="CX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1" s="41" t="str">
        <f aca="false">IF(Tasks[[#This Row],[Task Name]]="","",Tasks[[#This Row],[_Pred1UIDText]]&amp;IF(AND(Tasks[[#This Row],[_Pred1UIDText]]&lt;&gt;"",Tasks[[#This Row],[_Pred2UIDText]]&lt;&gt;""),",","")&amp;Tasks[[#This Row],[_Pred2UIDText]])</f>
        <v/>
      </c>
      <c r="DC41" s="41" t="str">
        <f aca="false">IF(AND(Tasks[[#This Row],[_IsLeaf]]=1,N(Tasks[[#This Row],[Duration]])=0,Tasks[[#This Row],[_LeafProgress]]&lt;1),Tasks[[#This Row],[_LeafFcstFinish]]+Tasks[[#This Row],[_Row]]/100000,"")</f>
        <v/>
      </c>
      <c r="DD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1" s="41" t="n">
        <f aca="false">IF(NOT(Tasks[[#This Row],[_IsLeaf]]=1),0,IF(Tasks[[#This Row],[Baseline Cost]]="",Tasks[[#This Row],[_LeafCost]],N(Tasks[[#This Row],[Baseline Cost]])))</f>
        <v>0</v>
      </c>
      <c r="DF41" s="41" t="n">
        <f aca="false">Tasks[[#This Row],[_LeafBudget]]*Tasks[[#This Row],[_PlannedPct]]</f>
        <v>0</v>
      </c>
      <c r="DG41" s="41" t="n">
        <f aca="false">Tasks[[#This Row],[_LeafBudget]]*Tasks[[#This Row],[_LeafProgress]]</f>
        <v>0</v>
      </c>
      <c r="DH41" s="41" t="n">
        <f aca="false">IF(NOT(Tasks[[#This Row],[_IsLeaf]]=1),0,IF(Tasks[[#This Row],[Actual Cost]]="",Tasks[[#This Row],[_LeafCost]]*Tasks[[#This Row],[_LeafProgress]],N(Tasks[[#This Row],[Actual Cost]])))</f>
        <v>0</v>
      </c>
      <c r="DI41" s="41" t="str">
        <f aca="false">IF(Tasks[[#This Row],[Task Name]]="","",LEFT(Tasks[[#This Row],[WBS]],FIND(".",Tasks[[#This Row],[WBS]]&amp;".")-1))</f>
        <v/>
      </c>
      <c r="DJ41" s="41" t="str">
        <f aca="false">IF(AND(Tasks[[#This Row],[Task Name]]&lt;&gt;"",Tasks[[#This Row],[_Level]]=1),Tasks[[#This Row],[_Row]],"")</f>
        <v/>
      </c>
      <c r="DK41" s="41" t="str">
        <f aca="false">IF(AND(Tasks[[#This Row],[_IsLeaf]]=1,N(Tasks[[#This Row],[Duration]])=0),Tasks[[#This Row],[Planned Finish]]+Tasks[[#This Row],[_Row]]/100000,"")</f>
        <v/>
      </c>
      <c r="DL41" s="41" t="str">
        <f aca="false">IF(AND(Tasks[[#This Row],[_IsLeaf]]=1,Tasks[[#This Row],[_LeafProgress]]&lt;1,OR(N(Tasks[[#This Row],[Finish Var]])&gt;0,Tasks[[#This Row],[Status]]="Late Start")),MAX(0,Tasks[[#This Row],[Finish Var]])+1-Tasks[[#This Row],[_Row]]/1000000,"")</f>
        <v/>
      </c>
      <c r="DM41" s="41" t="str">
        <f aca="false">IF(AND(Tasks[[#This Row],[_IsLeaf]]=1,N(Tasks[[#This Row],[Actual Start]])=0,Tasks[[#This Row],[_LeafFcstStart]]&gt;=StatusDate,Tasks[[#This Row],[_LeafFcstStart]]&lt;=LookaheadEnd),Tasks[[#This Row],[_LeafFcstStart]]+Tasks[[#This Row],[_Row]]/100000,"")</f>
        <v/>
      </c>
      <c r="DN41" s="41" t="str">
        <f aca="false">IF(AND(Tasks[[#This Row],[_IsLeaf]]=1,Tasks[[#This Row],[_LeafProgress]]&lt;1,Tasks[[#This Row],[_LeafFcstFinish]]&gt;=StatusDate,Tasks[[#This Row],[_LeafFcstFinish]]&lt;=LookaheadEnd),Tasks[[#This Row],[_LeafFcstFinish]]+Tasks[[#This Row],[_Row]]/100000,"")</f>
        <v/>
      </c>
      <c r="DO41" s="41" t="str">
        <f aca="false">IF(Tasks[[#This Row],[_LeafCritical]],Tasks[[#This Row],[_LeafFcstStart]]+Tasks[[#This Row],[_Row]]/100000,"")</f>
        <v/>
      </c>
      <c r="DP41" s="41" t="n">
        <f aca="false">Tasks[[#This Row],[_LeafWork]]*Tasks[[#This Row],[_LeafProgress]]</f>
        <v>0</v>
      </c>
      <c r="DQ41" s="103" t="str">
        <f aca="false">IF(AND(Tasks[[#This Row],[_IsLeaf]]=1,Tasks[[#This Row],[_LeafProgress]]&gt;=1),IF(N(Tasks[[#This Row],[Actual Finish]])&gt;0,Tasks[[#This Row],[Actual Finish]],Tasks[[#This Row],[_LeafFcstFinish]]),"")</f>
        <v/>
      </c>
      <c r="DR41" s="41" t="n">
        <f aca="false">IF(Tasks[[#This Row],[_IsLeaf]]=1,N(Tasks[[#This Row],[Story Points]]),0)</f>
        <v>0</v>
      </c>
      <c r="DS41" s="41" t="str">
        <f aca="false">IF(AND(Tasks[[#This Row],[_IsLeaf]]=1,CurrentSprint&lt;&gt;"",Tasks[[#This Row],[Sprint]]=CurrentSprint),Tasks[[#This Row],[_Row]],"")</f>
        <v/>
      </c>
    </row>
    <row r="42" customFormat="false" ht="15" hidden="false" customHeight="false" outlineLevel="0" collapsed="false">
      <c r="A42" s="28" t="str">
        <f aca="false">IF(Tasks[[#This Row],[Task Name]]="","",COUNTA(Tasks[[#Headers],[Task Name]]:Tasks[[#This Row],[Task Name]])-1)</f>
        <v/>
      </c>
      <c r="B42" s="29" t="n">
        <v>37</v>
      </c>
      <c r="C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29"/>
      <c r="E42" s="30"/>
      <c r="F42" s="29"/>
      <c r="G42" s="29"/>
      <c r="H42" s="29"/>
      <c r="I42" s="29"/>
      <c r="J42" s="29"/>
      <c r="K42" s="29"/>
      <c r="L42" s="29"/>
      <c r="M42" s="29"/>
      <c r="N42" s="77"/>
      <c r="O42" s="77"/>
      <c r="P42" s="25" t="str">
        <f aca="false">IF(Tasks[[#This Row],[Task Name]]="","",IF(N(Tasks[[#This Row],[Baseline Start]])&gt;0,Tasks[[#This Row],[Baseline Start]],Tasks[[#This Row],[_CalcStart]]))</f>
        <v/>
      </c>
      <c r="Q42" s="25" t="str">
        <f aca="false">IF(Tasks[[#This Row],[Task Name]]="","",IF(N(Tasks[[#This Row],[Baseline Finish]])&gt;0,Tasks[[#This Row],[Baseline Finish]],Tasks[[#This Row],[_CalcFinish]]))</f>
        <v/>
      </c>
      <c r="R42" s="77"/>
      <c r="S42" s="77"/>
      <c r="T42" s="25" t="str">
        <f aca="false">IF(Tasks[[#This Row],[Task Name]]="","",IF(Tasks[[#This Row],[_IsSummary]],MIN(INDEX(Tasks[_LeafFcstStart],Tasks[[#This Row],[_Row]]+1):INDEX(Tasks[_LeafFcstStart],Tasks[[#This Row],[_Row]]+Tasks[[#This Row],[_Descendants]])),Tasks[[#This Row],[_LeafFcstStart]]))</f>
        <v/>
      </c>
      <c r="U42" s="25" t="str">
        <f aca="false">IF(Tasks[[#This Row],[Task Name]]="","",IF(Tasks[[#This Row],[_IsSummary]],MAX(INDEX(Tasks[_LeafFcstFinish],Tasks[[#This Row],[_Row]]+1):INDEX(Tasks[_LeafFcstFinish],Tasks[[#This Row],[_Row]]+Tasks[[#This Row],[_Descendants]])),Tasks[[#This Row],[_LeafFcstFinish]]))</f>
        <v/>
      </c>
      <c r="V4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2" s="25" t="str">
        <f aca="false">IF(Tasks[[#This Row],[Task Name]]="","",IF(Tasks[[#This Row],[_IsSummary]],MIN(INDEX(Tasks[_LeafLateStart],Tasks[[#This Row],[_Row]]+1):INDEX(Tasks[_LeafLateStart],Tasks[[#This Row],[_Row]]+Tasks[[#This Row],[_Descendants]])),Tasks[[#This Row],[_LeafLateStart]]))</f>
        <v/>
      </c>
      <c r="Y42" s="25" t="str">
        <f aca="false">IF(Tasks[[#This Row],[Task Name]]="","",IF(Tasks[[#This Row],[_IsSummary]],MAX(INDEX(Tasks[_LeafLateFinish],Tasks[[#This Row],[_Row]]+1):INDEX(Tasks[_LeafLateFinish],Tasks[[#This Row],[_Row]]+Tasks[[#This Row],[_Descendants]])),Tasks[[#This Row],[_LeafLateFinish]]))</f>
        <v/>
      </c>
      <c r="Z42" s="43" t="str">
        <f aca="false">IF(Tasks[[#This Row],[Task Name]]="","",IF(Tasks[[#This Row],[_IsSummary]],MIN(INDEX(Tasks[_LeafTotalSlack],Tasks[[#This Row],[_Row]]+1):INDEX(Tasks[_LeafTotalSlack],Tasks[[#This Row],[_Row]]+Tasks[[#This Row],[_Descendants]])),Tasks[[#This Row],[_LeafTotalSlack]]))</f>
        <v/>
      </c>
      <c r="AA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2" s="28" t="str">
        <f aca="false">IF(Tasks[[#This Row],[Task Name]]="","",IF(IF(Tasks[[#This Row],[_IsSummary]],COUNTIF(INDEX(Tasks[_LeafCritical],Tasks[[#This Row],[_Row]]+1):INDEX(Tasks[_LeafCritical],Tasks[[#This Row],[_Row]]+Tasks[[#This Row],[_Descendants]]),TRUE())&gt;0,Tasks[[#This Row],[_LeafCritical]]),"Yes",""))</f>
        <v/>
      </c>
      <c r="AC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2" s="24" t="str">
        <f aca="false">IF(Tasks[[#This Row],[Task Name]]="","",TRIM(IF(Tasks[[#This Row],[_Pred1Problem]]&lt;&gt;"","Pred 1: "&amp;Tasks[[#This Row],[_Pred1Problem]]&amp;". ","")&amp;IF(Tasks[[#This Row],[_Pred2Problem]]&lt;&gt;"","Pred 2: "&amp;Tasks[[#This Row],[_Pred2Problem]]&amp;".","")))</f>
        <v/>
      </c>
      <c r="AE42" s="91"/>
      <c r="AF4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2" s="28" t="str">
        <f aca="false">IF(Tasks[[#This Row],[Task Name]]="","",IF(Tasks[[#This Row],[Progress]]&gt;=1,"Complete",IF(OR(N(Tasks[[#This Row],[Actual Start]])&gt;0,Tasks[[#This Row],[Progress]]&gt;0),IF(Tasks[[#This Row],[Finish Var]]&gt;0,"Behind","In Progress"),IF(Tasks[[#This Row],[Planned Start]]&lt;StatusDate,"Late Start","Not Started"))))</f>
        <v/>
      </c>
      <c r="AH42" s="30"/>
      <c r="AI42" s="91"/>
      <c r="AJ4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2" s="98" t="str">
        <f aca="false">IF(Tasks[[#This Row],[Task Name]]="","",IF(Tasks[[#This Row],[_IsSummary]],SUM(INDEX(Tasks[_LeafWork],Tasks[[#This Row],[_Row]]+1):INDEX(Tasks[_LeafWork],Tasks[[#This Row],[_Row]]+Tasks[[#This Row],[_Descendants]])),Tasks[[#This Row],[_LeafWork]]))</f>
        <v/>
      </c>
      <c r="AL42" s="99" t="str">
        <f aca="false">IF(Tasks[[#This Row],[Task Name]]="","",IF(Tasks[[#This Row],[_IsSummary]],SUM(INDEX(Tasks[_LeafCost],Tasks[[#This Row],[_Row]]+1):INDEX(Tasks[_LeafCost],Tasks[[#This Row],[_Row]]+Tasks[[#This Row],[_Descendants]])),Tasks[[#This Row],[_LeafCost]]))</f>
        <v/>
      </c>
      <c r="AM42" s="100"/>
      <c r="AN42" s="29"/>
      <c r="AO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2" s="85"/>
      <c r="AQ42" s="24" t="str">
        <f aca="false">IF(Tasks[[#This Row],[Task Name]]="","",Tasks[[#This Row],[_Pred1IDText]]&amp;IF(AND(Tasks[[#This Row],[_Pred1IDText]]&lt;&gt;"",Tasks[[#This Row],[_Pred2IDText]]&lt;&gt;""),",","")&amp;Tasks[[#This Row],[_Pred2IDText]])</f>
        <v/>
      </c>
      <c r="AR42" s="30"/>
      <c r="AS42" s="25" t="str">
        <f aca="false">IF(Tasks[[#This Row],[Task Name]]="","",Tasks[[#This Row],[Forecast Start]])</f>
        <v/>
      </c>
      <c r="AT42" s="25" t="str">
        <f aca="false">IF(Tasks[[#This Row],[Task Name]]="","",Tasks[[#This Row],[Forecast Finish]])</f>
        <v/>
      </c>
      <c r="AU42" s="28" t="str">
        <f aca="false">IF(Tasks[[#This Row],[Task Name]]="","",IF(Tasks[[#This Row],[_IsSummary]],NETWORKDAYS.INTL(Tasks[[#This Row],[Forecast Start]],Tasks[[#This Row],[Forecast Finish]],WorkWeek,Holidays),N(Tasks[[#This Row],[Duration]])))</f>
        <v/>
      </c>
      <c r="AV42" s="98" t="str">
        <f aca="false">IF(Tasks[[#This Row],[Task Name]]="","",Tasks[[#This Row],[Work]])</f>
        <v/>
      </c>
      <c r="AW42" s="99" t="str">
        <f aca="false">IF(Tasks[[#This Row],[Task Name]]="","",Tasks[[#This Row],[Cost]])</f>
        <v/>
      </c>
      <c r="AX42" s="77"/>
      <c r="AY42" s="77"/>
      <c r="AZ42" s="29"/>
      <c r="BA42" s="101"/>
      <c r="BB42" s="100"/>
      <c r="BC42" s="28" t="str">
        <f aca="false">IF(OR(Tasks[[#This Row],[Task Name]]="",Tasks[[#This Row],[Baseline Duration]]=""),"",Tasks[[#This Row],[BL Source Duration]]-N(Tasks[[#This Row],[Baseline Duration]]))</f>
        <v/>
      </c>
      <c r="BD42" s="98" t="str">
        <f aca="false">IF(OR(Tasks[[#This Row],[Task Name]]="",Tasks[[#This Row],[Baseline Work]]=""),"",Tasks[[#This Row],[Work]]-N(Tasks[[#This Row],[Baseline Work]]))</f>
        <v/>
      </c>
      <c r="BE42" s="99" t="str">
        <f aca="false">IF(OR(Tasks[[#This Row],[Task Name]]="",Tasks[[#This Row],[Baseline Cost]]=""),"",Tasks[[#This Row],[Cost]]-N(Tasks[[#This Row],[Baseline Cost]]))</f>
        <v/>
      </c>
      <c r="BF42" s="99" t="str">
        <f aca="false">IF(Tasks[[#This Row],[Task Name]]="","",IF(Tasks[[#This Row],[_IsSummary]],SUM(INDEX(Tasks[_LeafBudget],Tasks[[#This Row],[_Row]]+1):INDEX(Tasks[_LeafBudget],Tasks[[#This Row],[_Row]]+Tasks[[#This Row],[_Descendants]])),Tasks[[#This Row],[_LeafBudget]]))</f>
        <v/>
      </c>
      <c r="BG42" s="99" t="str">
        <f aca="false">IF(Tasks[[#This Row],[Task Name]]="","",IF(Tasks[[#This Row],[_IsSummary]],SUM(INDEX(Tasks[_LeafPV],Tasks[[#This Row],[_Row]]+1):INDEX(Tasks[_LeafPV],Tasks[[#This Row],[_Row]]+Tasks[[#This Row],[_Descendants]])),Tasks[[#This Row],[_LeafPV]]))</f>
        <v/>
      </c>
      <c r="BH42" s="99" t="str">
        <f aca="false">IF(Tasks[[#This Row],[Task Name]]="","",IF(Tasks[[#This Row],[_IsSummary]],SUM(INDEX(Tasks[_LeafEV],Tasks[[#This Row],[_Row]]+1):INDEX(Tasks[_LeafEV],Tasks[[#This Row],[_Row]]+Tasks[[#This Row],[_Descendants]])),Tasks[[#This Row],[_LeafEV]]))</f>
        <v/>
      </c>
      <c r="BI42" s="99" t="str">
        <f aca="false">IF(Tasks[[#This Row],[Task Name]]="","",IF(Tasks[[#This Row],[_IsSummary]],SUM(INDEX(Tasks[_LeafAC],Tasks[[#This Row],[_Row]]+1):INDEX(Tasks[_LeafAC],Tasks[[#This Row],[_Row]]+Tasks[[#This Row],[_Descendants]])),Tasks[[#This Row],[_LeafAC]]))</f>
        <v/>
      </c>
      <c r="BJ42" s="41" t="str">
        <f aca="false">IF(Tasks[[#This Row],[Task Name]]="","",MAX(1,N(Tasks[[#This Row],[Level]])))</f>
        <v/>
      </c>
      <c r="BK42" s="41" t="n">
        <f aca="false">ROW()-ROW(Tasks[[#Headers],[ID]])</f>
        <v>37</v>
      </c>
      <c r="BL42" s="41" t="n">
        <f aca="false">IF(OR(Tasks[[#This Row],[Task Name]]="",Tasks[[#This Row],[_Level]]&lt;=1),0,IFERROR(LOOKUP(2,1/(Tasks[[#Headers],[_Level]]:Tasks[[#This Row],[_Level]]=Tasks[[#This Row],[_Level]]-1),ROW(Tasks[[#Headers],[_Level]]:Tasks[[#This Row],[_Level]])),0))</f>
        <v>0</v>
      </c>
      <c r="BM42" s="41" t="n">
        <f aca="false">IFERROR(N(INDEX(Tasks[_Level],Tasks[[#This Row],[_Row]]+1)),0)</f>
        <v>0</v>
      </c>
      <c r="BN42" s="102" t="b">
        <f aca="false">AND(Tasks[[#This Row],[Task Name]]&lt;&gt;"",Tasks[[#This Row],[_NextLevel]]&gt;Tasks[[#This Row],[_Level]])</f>
        <v>0</v>
      </c>
      <c r="BO42" s="41" t="n">
        <f aca="false">IF(Tasks[[#This Row],[_IsSummary]],COUNTIF(Tasks[WBS],Tasks[[#This Row],[WBS]]&amp;".*"),0)</f>
        <v>0</v>
      </c>
      <c r="BP42" s="41" t="n">
        <f aca="false">IF(AND(Tasks[[#This Row],[Task Name]]&lt;&gt;"",NOT(Tasks[[#This Row],[_IsSummary]])),1,0)</f>
        <v>0</v>
      </c>
      <c r="BQ42" s="41" t="n">
        <f aca="false">IF(N(Tasks[[#This Row],[Pred1 UID]])=0,0,IFERROR(MATCH(Tasks[[#This Row],[Pred1 UID]],Tasks[UID],0),-1))</f>
        <v>0</v>
      </c>
      <c r="BR42" s="41" t="n">
        <f aca="false">IF(N(Tasks[[#This Row],[Pred2 UID]])=0,0,IFERROR(MATCH(Tasks[[#This Row],[Pred2 UID]],Tasks[UID],0),-1))</f>
        <v>0</v>
      </c>
      <c r="BS4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2" s="103" t="str">
        <f aca="false">IF(NOT(Tasks[[#This Row],[_IsLeaf]]=1),"",IF(N(Tasks[[#This Row],[Duration]])&lt;=0,Tasks[[#This Row],[_LeafCalcStart]],WORKDAY.INTL(Tasks[[#This Row],[_LeafCalcStart]],Tasks[[#This Row],[Duration]]-1,WorkWeek,Holidays)))</f>
        <v/>
      </c>
      <c r="BU4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2" s="41" t="n">
        <f aca="false">IF(NOT(Tasks[[#This Row],[_IsLeaf]]=1),0,IF(N(Tasks[[#This Row],[Actual Finish]])&gt;0,1,MIN(1,N(Tasks[[#This Row],[% Complete]]))))</f>
        <v>0</v>
      </c>
      <c r="BX42" s="41" t="n">
        <f aca="false">IF(OR(NOT(Tasks[[#This Row],[_IsLeaf]]=1),Tasks[[#This Row],[Resource]]=""),0,N(Tasks[[#This Row],[Duration]])*HoursPerDay*IF(Tasks[[#This Row],[Units]]="",DefaultUnits,Tasks[[#This Row],[Units]]))</f>
        <v>0</v>
      </c>
      <c r="BY42" s="41" t="n">
        <f aca="false">IF(Tasks[[#This Row],[_LeafWork]]=0,0,Tasks[[#This Row],[_LeafWork]]*IFERROR(INDEX(res_Rate,MATCH(Tasks[[#This Row],[Resource]],res_Name,0)),0))</f>
        <v>0</v>
      </c>
      <c r="BZ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2" s="41" t="n">
        <f aca="false">IF(NOT(Tasks[[#This Row],[_IsLeaf]]=1),0,MAX(_xlfn.MAXIFS(Tasks[_Row],Tasks[Pred1 UID],Tasks[[#This Row],[UID]]),_xlfn.MAXIFS(Tasks[_Row],Tasks[Pred2 UID],Tasks[[#This Row],[UID]])))</f>
        <v>0</v>
      </c>
      <c r="CE4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2" s="103" t="str">
        <f aca="false">IF(NOT(Tasks[[#This Row],[_IsLeaf]]=1),"",MIN(ProjectFinish,IF(N(Tasks[[#This Row],[Deadline]])&gt;0,Tasks[[#This Row],[Deadline]],2958465),Tasks[[#This Row],[_SuccessorFinishLimit]]))</f>
        <v/>
      </c>
      <c r="CG42" s="103" t="str">
        <f aca="false">IF(NOT(Tasks[[#This Row],[_IsLeaf]]=1),"",IF(N(Tasks[[#This Row],[Duration]])&lt;=0,Tasks[[#This Row],[_LeafLateFinish]],WORKDAY.INTL(Tasks[[#This Row],[_LeafLateFinish]],-(Tasks[[#This Row],[Duration]]-1),WorkWeek,Holidays)))</f>
        <v/>
      </c>
      <c r="CH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2" s="102" t="b">
        <f aca="false">AND(Tasks[[#This Row],[_IsLeaf]]=1,Tasks[[#This Row],[_LeafProgress]]&lt;1,N(Tasks[[#This Row],[_LeafTotalSlack]])&lt;=CriticalSlackDays)</f>
        <v>0</v>
      </c>
      <c r="CJ42" s="103" t="str">
        <f aca="false">IF(Tasks[[#This Row],[Task Name]]="","",IF(Tasks[[#This Row],[_IsSummary]],MIN(INDEX(Tasks[_LeafCalcStart],Tasks[[#This Row],[_Row]]+1):INDEX(Tasks[_LeafCalcStart],Tasks[[#This Row],[_Row]]+Tasks[[#This Row],[_Descendants]])),Tasks[[#This Row],[_LeafCalcStart]]))</f>
        <v/>
      </c>
      <c r="CK42" s="103" t="str">
        <f aca="false">IF(Tasks[[#This Row],[Task Name]]="","",IF(Tasks[[#This Row],[_IsSummary]],MAX(INDEX(Tasks[_LeafCalcFinish],Tasks[[#This Row],[_Row]]+1):INDEX(Tasks[_LeafCalcFinish],Tasks[[#This Row],[_Row]]+Tasks[[#This Row],[_Descendants]])),Tasks[[#This Row],[_LeafCalcFinish]]))</f>
        <v/>
      </c>
      <c r="CL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2" s="41" t="n">
        <f aca="false">IF(AND(Tasks[[#This Row],[_IsLeaf]]=1,Tasks[[#This Row],[_LeafWork]]&gt;0),NETWORKDAYS.INTL(ProjectStart,Tasks[[#This Row],[_LeafFcstStart]],WorkWeek,Holidays),0)</f>
        <v>0</v>
      </c>
      <c r="CS42" s="41" t="n">
        <f aca="false">IF(AND(Tasks[[#This Row],[_IsLeaf]]=1,Tasks[[#This Row],[_LeafWork]]&gt;0),MAX(Tasks[[#This Row],[_StartWorkday]],NETWORKDAYS.INTL(ProjectStart,Tasks[[#This Row],[_LeafFcstFinish]],WorkWeek,Holidays)),0)</f>
        <v>0</v>
      </c>
      <c r="CT42" s="41" t="n">
        <f aca="false">IF(AND(Tasks[[#This Row],[_IsLeaf]]=1,Tasks[[#This Row],[_LeafWork]]&gt;0),Tasks[[#This Row],[_LeafWork]]/(Tasks[[#This Row],[_FinishWorkday]]-Tasks[[#This Row],[_StartWorkday]]+1),0)</f>
        <v>0</v>
      </c>
      <c r="CU42" s="41" t="n">
        <f aca="false">Tasks[[#This Row],[_WorkPerWorkday]]*(Tasks[[#This Row],[_StartWorkday]]-1)</f>
        <v>-0</v>
      </c>
      <c r="CV42" s="41" t="n">
        <f aca="false">IF(Tasks[[#This Row],[_IsLeaf]]=1,MAX(N(Tasks[[#This Row],[Duration]]),0.1),0)</f>
        <v>0</v>
      </c>
      <c r="CW42" s="41" t="n">
        <f aca="false">Tasks[[#This Row],[_WeightDur]]*Tasks[[#This Row],[_LeafProgress]]</f>
        <v>0</v>
      </c>
      <c r="CX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2" s="41" t="str">
        <f aca="false">IF(Tasks[[#This Row],[Task Name]]="","",Tasks[[#This Row],[_Pred1UIDText]]&amp;IF(AND(Tasks[[#This Row],[_Pred1UIDText]]&lt;&gt;"",Tasks[[#This Row],[_Pred2UIDText]]&lt;&gt;""),",","")&amp;Tasks[[#This Row],[_Pred2UIDText]])</f>
        <v/>
      </c>
      <c r="DC42" s="41" t="str">
        <f aca="false">IF(AND(Tasks[[#This Row],[_IsLeaf]]=1,N(Tasks[[#This Row],[Duration]])=0,Tasks[[#This Row],[_LeafProgress]]&lt;1),Tasks[[#This Row],[_LeafFcstFinish]]+Tasks[[#This Row],[_Row]]/100000,"")</f>
        <v/>
      </c>
      <c r="DD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2" s="41" t="n">
        <f aca="false">IF(NOT(Tasks[[#This Row],[_IsLeaf]]=1),0,IF(Tasks[[#This Row],[Baseline Cost]]="",Tasks[[#This Row],[_LeafCost]],N(Tasks[[#This Row],[Baseline Cost]])))</f>
        <v>0</v>
      </c>
      <c r="DF42" s="41" t="n">
        <f aca="false">Tasks[[#This Row],[_LeafBudget]]*Tasks[[#This Row],[_PlannedPct]]</f>
        <v>0</v>
      </c>
      <c r="DG42" s="41" t="n">
        <f aca="false">Tasks[[#This Row],[_LeafBudget]]*Tasks[[#This Row],[_LeafProgress]]</f>
        <v>0</v>
      </c>
      <c r="DH42" s="41" t="n">
        <f aca="false">IF(NOT(Tasks[[#This Row],[_IsLeaf]]=1),0,IF(Tasks[[#This Row],[Actual Cost]]="",Tasks[[#This Row],[_LeafCost]]*Tasks[[#This Row],[_LeafProgress]],N(Tasks[[#This Row],[Actual Cost]])))</f>
        <v>0</v>
      </c>
      <c r="DI42" s="41" t="str">
        <f aca="false">IF(Tasks[[#This Row],[Task Name]]="","",LEFT(Tasks[[#This Row],[WBS]],FIND(".",Tasks[[#This Row],[WBS]]&amp;".")-1))</f>
        <v/>
      </c>
      <c r="DJ42" s="41" t="str">
        <f aca="false">IF(AND(Tasks[[#This Row],[Task Name]]&lt;&gt;"",Tasks[[#This Row],[_Level]]=1),Tasks[[#This Row],[_Row]],"")</f>
        <v/>
      </c>
      <c r="DK42" s="41" t="str">
        <f aca="false">IF(AND(Tasks[[#This Row],[_IsLeaf]]=1,N(Tasks[[#This Row],[Duration]])=0),Tasks[[#This Row],[Planned Finish]]+Tasks[[#This Row],[_Row]]/100000,"")</f>
        <v/>
      </c>
      <c r="DL42" s="41" t="str">
        <f aca="false">IF(AND(Tasks[[#This Row],[_IsLeaf]]=1,Tasks[[#This Row],[_LeafProgress]]&lt;1,OR(N(Tasks[[#This Row],[Finish Var]])&gt;0,Tasks[[#This Row],[Status]]="Late Start")),MAX(0,Tasks[[#This Row],[Finish Var]])+1-Tasks[[#This Row],[_Row]]/1000000,"")</f>
        <v/>
      </c>
      <c r="DM42" s="41" t="str">
        <f aca="false">IF(AND(Tasks[[#This Row],[_IsLeaf]]=1,N(Tasks[[#This Row],[Actual Start]])=0,Tasks[[#This Row],[_LeafFcstStart]]&gt;=StatusDate,Tasks[[#This Row],[_LeafFcstStart]]&lt;=LookaheadEnd),Tasks[[#This Row],[_LeafFcstStart]]+Tasks[[#This Row],[_Row]]/100000,"")</f>
        <v/>
      </c>
      <c r="DN42" s="41" t="str">
        <f aca="false">IF(AND(Tasks[[#This Row],[_IsLeaf]]=1,Tasks[[#This Row],[_LeafProgress]]&lt;1,Tasks[[#This Row],[_LeafFcstFinish]]&gt;=StatusDate,Tasks[[#This Row],[_LeafFcstFinish]]&lt;=LookaheadEnd),Tasks[[#This Row],[_LeafFcstFinish]]+Tasks[[#This Row],[_Row]]/100000,"")</f>
        <v/>
      </c>
      <c r="DO42" s="41" t="str">
        <f aca="false">IF(Tasks[[#This Row],[_LeafCritical]],Tasks[[#This Row],[_LeafFcstStart]]+Tasks[[#This Row],[_Row]]/100000,"")</f>
        <v/>
      </c>
      <c r="DP42" s="41" t="n">
        <f aca="false">Tasks[[#This Row],[_LeafWork]]*Tasks[[#This Row],[_LeafProgress]]</f>
        <v>0</v>
      </c>
      <c r="DQ42" s="103" t="str">
        <f aca="false">IF(AND(Tasks[[#This Row],[_IsLeaf]]=1,Tasks[[#This Row],[_LeafProgress]]&gt;=1),IF(N(Tasks[[#This Row],[Actual Finish]])&gt;0,Tasks[[#This Row],[Actual Finish]],Tasks[[#This Row],[_LeafFcstFinish]]),"")</f>
        <v/>
      </c>
      <c r="DR42" s="41" t="n">
        <f aca="false">IF(Tasks[[#This Row],[_IsLeaf]]=1,N(Tasks[[#This Row],[Story Points]]),0)</f>
        <v>0</v>
      </c>
      <c r="DS42" s="41" t="str">
        <f aca="false">IF(AND(Tasks[[#This Row],[_IsLeaf]]=1,CurrentSprint&lt;&gt;"",Tasks[[#This Row],[Sprint]]=CurrentSprint),Tasks[[#This Row],[_Row]],"")</f>
        <v/>
      </c>
    </row>
    <row r="43" customFormat="false" ht="15" hidden="false" customHeight="false" outlineLevel="0" collapsed="false">
      <c r="A43" s="28" t="str">
        <f aca="false">IF(Tasks[[#This Row],[Task Name]]="","",COUNTA(Tasks[[#Headers],[Task Name]]:Tasks[[#This Row],[Task Name]])-1)</f>
        <v/>
      </c>
      <c r="B43" s="29" t="n">
        <v>38</v>
      </c>
      <c r="C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29"/>
      <c r="E43" s="30"/>
      <c r="F43" s="29"/>
      <c r="G43" s="29"/>
      <c r="H43" s="29"/>
      <c r="I43" s="29"/>
      <c r="J43" s="29"/>
      <c r="K43" s="29"/>
      <c r="L43" s="29"/>
      <c r="M43" s="29"/>
      <c r="N43" s="77"/>
      <c r="O43" s="77"/>
      <c r="P43" s="25" t="str">
        <f aca="false">IF(Tasks[[#This Row],[Task Name]]="","",IF(N(Tasks[[#This Row],[Baseline Start]])&gt;0,Tasks[[#This Row],[Baseline Start]],Tasks[[#This Row],[_CalcStart]]))</f>
        <v/>
      </c>
      <c r="Q43" s="25" t="str">
        <f aca="false">IF(Tasks[[#This Row],[Task Name]]="","",IF(N(Tasks[[#This Row],[Baseline Finish]])&gt;0,Tasks[[#This Row],[Baseline Finish]],Tasks[[#This Row],[_CalcFinish]]))</f>
        <v/>
      </c>
      <c r="R43" s="77"/>
      <c r="S43" s="77"/>
      <c r="T43" s="25" t="str">
        <f aca="false">IF(Tasks[[#This Row],[Task Name]]="","",IF(Tasks[[#This Row],[_IsSummary]],MIN(INDEX(Tasks[_LeafFcstStart],Tasks[[#This Row],[_Row]]+1):INDEX(Tasks[_LeafFcstStart],Tasks[[#This Row],[_Row]]+Tasks[[#This Row],[_Descendants]])),Tasks[[#This Row],[_LeafFcstStart]]))</f>
        <v/>
      </c>
      <c r="U43" s="25" t="str">
        <f aca="false">IF(Tasks[[#This Row],[Task Name]]="","",IF(Tasks[[#This Row],[_IsSummary]],MAX(INDEX(Tasks[_LeafFcstFinish],Tasks[[#This Row],[_Row]]+1):INDEX(Tasks[_LeafFcstFinish],Tasks[[#This Row],[_Row]]+Tasks[[#This Row],[_Descendants]])),Tasks[[#This Row],[_LeafFcstFinish]]))</f>
        <v/>
      </c>
      <c r="V4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3" s="25" t="str">
        <f aca="false">IF(Tasks[[#This Row],[Task Name]]="","",IF(Tasks[[#This Row],[_IsSummary]],MIN(INDEX(Tasks[_LeafLateStart],Tasks[[#This Row],[_Row]]+1):INDEX(Tasks[_LeafLateStart],Tasks[[#This Row],[_Row]]+Tasks[[#This Row],[_Descendants]])),Tasks[[#This Row],[_LeafLateStart]]))</f>
        <v/>
      </c>
      <c r="Y43" s="25" t="str">
        <f aca="false">IF(Tasks[[#This Row],[Task Name]]="","",IF(Tasks[[#This Row],[_IsSummary]],MAX(INDEX(Tasks[_LeafLateFinish],Tasks[[#This Row],[_Row]]+1):INDEX(Tasks[_LeafLateFinish],Tasks[[#This Row],[_Row]]+Tasks[[#This Row],[_Descendants]])),Tasks[[#This Row],[_LeafLateFinish]]))</f>
        <v/>
      </c>
      <c r="Z43" s="43" t="str">
        <f aca="false">IF(Tasks[[#This Row],[Task Name]]="","",IF(Tasks[[#This Row],[_IsSummary]],MIN(INDEX(Tasks[_LeafTotalSlack],Tasks[[#This Row],[_Row]]+1):INDEX(Tasks[_LeafTotalSlack],Tasks[[#This Row],[_Row]]+Tasks[[#This Row],[_Descendants]])),Tasks[[#This Row],[_LeafTotalSlack]]))</f>
        <v/>
      </c>
      <c r="AA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3" s="28" t="str">
        <f aca="false">IF(Tasks[[#This Row],[Task Name]]="","",IF(IF(Tasks[[#This Row],[_IsSummary]],COUNTIF(INDEX(Tasks[_LeafCritical],Tasks[[#This Row],[_Row]]+1):INDEX(Tasks[_LeafCritical],Tasks[[#This Row],[_Row]]+Tasks[[#This Row],[_Descendants]]),TRUE())&gt;0,Tasks[[#This Row],[_LeafCritical]]),"Yes",""))</f>
        <v/>
      </c>
      <c r="AC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3" s="24" t="str">
        <f aca="false">IF(Tasks[[#This Row],[Task Name]]="","",TRIM(IF(Tasks[[#This Row],[_Pred1Problem]]&lt;&gt;"","Pred 1: "&amp;Tasks[[#This Row],[_Pred1Problem]]&amp;". ","")&amp;IF(Tasks[[#This Row],[_Pred2Problem]]&lt;&gt;"","Pred 2: "&amp;Tasks[[#This Row],[_Pred2Problem]]&amp;".","")))</f>
        <v/>
      </c>
      <c r="AE43" s="91"/>
      <c r="AF4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3" s="28" t="str">
        <f aca="false">IF(Tasks[[#This Row],[Task Name]]="","",IF(Tasks[[#This Row],[Progress]]&gt;=1,"Complete",IF(OR(N(Tasks[[#This Row],[Actual Start]])&gt;0,Tasks[[#This Row],[Progress]]&gt;0),IF(Tasks[[#This Row],[Finish Var]]&gt;0,"Behind","In Progress"),IF(Tasks[[#This Row],[Planned Start]]&lt;StatusDate,"Late Start","Not Started"))))</f>
        <v/>
      </c>
      <c r="AH43" s="30"/>
      <c r="AI43" s="91"/>
      <c r="AJ4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3" s="98" t="str">
        <f aca="false">IF(Tasks[[#This Row],[Task Name]]="","",IF(Tasks[[#This Row],[_IsSummary]],SUM(INDEX(Tasks[_LeafWork],Tasks[[#This Row],[_Row]]+1):INDEX(Tasks[_LeafWork],Tasks[[#This Row],[_Row]]+Tasks[[#This Row],[_Descendants]])),Tasks[[#This Row],[_LeafWork]]))</f>
        <v/>
      </c>
      <c r="AL43" s="99" t="str">
        <f aca="false">IF(Tasks[[#This Row],[Task Name]]="","",IF(Tasks[[#This Row],[_IsSummary]],SUM(INDEX(Tasks[_LeafCost],Tasks[[#This Row],[_Row]]+1):INDEX(Tasks[_LeafCost],Tasks[[#This Row],[_Row]]+Tasks[[#This Row],[_Descendants]])),Tasks[[#This Row],[_LeafCost]]))</f>
        <v/>
      </c>
      <c r="AM43" s="100"/>
      <c r="AN43" s="29"/>
      <c r="AO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3" s="85"/>
      <c r="AQ43" s="24" t="str">
        <f aca="false">IF(Tasks[[#This Row],[Task Name]]="","",Tasks[[#This Row],[_Pred1IDText]]&amp;IF(AND(Tasks[[#This Row],[_Pred1IDText]]&lt;&gt;"",Tasks[[#This Row],[_Pred2IDText]]&lt;&gt;""),",","")&amp;Tasks[[#This Row],[_Pred2IDText]])</f>
        <v/>
      </c>
      <c r="AR43" s="30"/>
      <c r="AS43" s="25" t="str">
        <f aca="false">IF(Tasks[[#This Row],[Task Name]]="","",Tasks[[#This Row],[Forecast Start]])</f>
        <v/>
      </c>
      <c r="AT43" s="25" t="str">
        <f aca="false">IF(Tasks[[#This Row],[Task Name]]="","",Tasks[[#This Row],[Forecast Finish]])</f>
        <v/>
      </c>
      <c r="AU43" s="28" t="str">
        <f aca="false">IF(Tasks[[#This Row],[Task Name]]="","",IF(Tasks[[#This Row],[_IsSummary]],NETWORKDAYS.INTL(Tasks[[#This Row],[Forecast Start]],Tasks[[#This Row],[Forecast Finish]],WorkWeek,Holidays),N(Tasks[[#This Row],[Duration]])))</f>
        <v/>
      </c>
      <c r="AV43" s="98" t="str">
        <f aca="false">IF(Tasks[[#This Row],[Task Name]]="","",Tasks[[#This Row],[Work]])</f>
        <v/>
      </c>
      <c r="AW43" s="99" t="str">
        <f aca="false">IF(Tasks[[#This Row],[Task Name]]="","",Tasks[[#This Row],[Cost]])</f>
        <v/>
      </c>
      <c r="AX43" s="77"/>
      <c r="AY43" s="77"/>
      <c r="AZ43" s="29"/>
      <c r="BA43" s="101"/>
      <c r="BB43" s="100"/>
      <c r="BC43" s="28" t="str">
        <f aca="false">IF(OR(Tasks[[#This Row],[Task Name]]="",Tasks[[#This Row],[Baseline Duration]]=""),"",Tasks[[#This Row],[BL Source Duration]]-N(Tasks[[#This Row],[Baseline Duration]]))</f>
        <v/>
      </c>
      <c r="BD43" s="98" t="str">
        <f aca="false">IF(OR(Tasks[[#This Row],[Task Name]]="",Tasks[[#This Row],[Baseline Work]]=""),"",Tasks[[#This Row],[Work]]-N(Tasks[[#This Row],[Baseline Work]]))</f>
        <v/>
      </c>
      <c r="BE43" s="99" t="str">
        <f aca="false">IF(OR(Tasks[[#This Row],[Task Name]]="",Tasks[[#This Row],[Baseline Cost]]=""),"",Tasks[[#This Row],[Cost]]-N(Tasks[[#This Row],[Baseline Cost]]))</f>
        <v/>
      </c>
      <c r="BF43" s="99" t="str">
        <f aca="false">IF(Tasks[[#This Row],[Task Name]]="","",IF(Tasks[[#This Row],[_IsSummary]],SUM(INDEX(Tasks[_LeafBudget],Tasks[[#This Row],[_Row]]+1):INDEX(Tasks[_LeafBudget],Tasks[[#This Row],[_Row]]+Tasks[[#This Row],[_Descendants]])),Tasks[[#This Row],[_LeafBudget]]))</f>
        <v/>
      </c>
      <c r="BG43" s="99" t="str">
        <f aca="false">IF(Tasks[[#This Row],[Task Name]]="","",IF(Tasks[[#This Row],[_IsSummary]],SUM(INDEX(Tasks[_LeafPV],Tasks[[#This Row],[_Row]]+1):INDEX(Tasks[_LeafPV],Tasks[[#This Row],[_Row]]+Tasks[[#This Row],[_Descendants]])),Tasks[[#This Row],[_LeafPV]]))</f>
        <v/>
      </c>
      <c r="BH43" s="99" t="str">
        <f aca="false">IF(Tasks[[#This Row],[Task Name]]="","",IF(Tasks[[#This Row],[_IsSummary]],SUM(INDEX(Tasks[_LeafEV],Tasks[[#This Row],[_Row]]+1):INDEX(Tasks[_LeafEV],Tasks[[#This Row],[_Row]]+Tasks[[#This Row],[_Descendants]])),Tasks[[#This Row],[_LeafEV]]))</f>
        <v/>
      </c>
      <c r="BI43" s="99" t="str">
        <f aca="false">IF(Tasks[[#This Row],[Task Name]]="","",IF(Tasks[[#This Row],[_IsSummary]],SUM(INDEX(Tasks[_LeafAC],Tasks[[#This Row],[_Row]]+1):INDEX(Tasks[_LeafAC],Tasks[[#This Row],[_Row]]+Tasks[[#This Row],[_Descendants]])),Tasks[[#This Row],[_LeafAC]]))</f>
        <v/>
      </c>
      <c r="BJ43" s="41" t="str">
        <f aca="false">IF(Tasks[[#This Row],[Task Name]]="","",MAX(1,N(Tasks[[#This Row],[Level]])))</f>
        <v/>
      </c>
      <c r="BK43" s="41" t="n">
        <f aca="false">ROW()-ROW(Tasks[[#Headers],[ID]])</f>
        <v>38</v>
      </c>
      <c r="BL43" s="41" t="n">
        <f aca="false">IF(OR(Tasks[[#This Row],[Task Name]]="",Tasks[[#This Row],[_Level]]&lt;=1),0,IFERROR(LOOKUP(2,1/(Tasks[[#Headers],[_Level]]:Tasks[[#This Row],[_Level]]=Tasks[[#This Row],[_Level]]-1),ROW(Tasks[[#Headers],[_Level]]:Tasks[[#This Row],[_Level]])),0))</f>
        <v>0</v>
      </c>
      <c r="BM43" s="41" t="n">
        <f aca="false">IFERROR(N(INDEX(Tasks[_Level],Tasks[[#This Row],[_Row]]+1)),0)</f>
        <v>0</v>
      </c>
      <c r="BN43" s="102" t="b">
        <f aca="false">AND(Tasks[[#This Row],[Task Name]]&lt;&gt;"",Tasks[[#This Row],[_NextLevel]]&gt;Tasks[[#This Row],[_Level]])</f>
        <v>0</v>
      </c>
      <c r="BO43" s="41" t="n">
        <f aca="false">IF(Tasks[[#This Row],[_IsSummary]],COUNTIF(Tasks[WBS],Tasks[[#This Row],[WBS]]&amp;".*"),0)</f>
        <v>0</v>
      </c>
      <c r="BP43" s="41" t="n">
        <f aca="false">IF(AND(Tasks[[#This Row],[Task Name]]&lt;&gt;"",NOT(Tasks[[#This Row],[_IsSummary]])),1,0)</f>
        <v>0</v>
      </c>
      <c r="BQ43" s="41" t="n">
        <f aca="false">IF(N(Tasks[[#This Row],[Pred1 UID]])=0,0,IFERROR(MATCH(Tasks[[#This Row],[Pred1 UID]],Tasks[UID],0),-1))</f>
        <v>0</v>
      </c>
      <c r="BR43" s="41" t="n">
        <f aca="false">IF(N(Tasks[[#This Row],[Pred2 UID]])=0,0,IFERROR(MATCH(Tasks[[#This Row],[Pred2 UID]],Tasks[UID],0),-1))</f>
        <v>0</v>
      </c>
      <c r="BS4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3" s="103" t="str">
        <f aca="false">IF(NOT(Tasks[[#This Row],[_IsLeaf]]=1),"",IF(N(Tasks[[#This Row],[Duration]])&lt;=0,Tasks[[#This Row],[_LeafCalcStart]],WORKDAY.INTL(Tasks[[#This Row],[_LeafCalcStart]],Tasks[[#This Row],[Duration]]-1,WorkWeek,Holidays)))</f>
        <v/>
      </c>
      <c r="BU4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3" s="41" t="n">
        <f aca="false">IF(NOT(Tasks[[#This Row],[_IsLeaf]]=1),0,IF(N(Tasks[[#This Row],[Actual Finish]])&gt;0,1,MIN(1,N(Tasks[[#This Row],[% Complete]]))))</f>
        <v>0</v>
      </c>
      <c r="BX43" s="41" t="n">
        <f aca="false">IF(OR(NOT(Tasks[[#This Row],[_IsLeaf]]=1),Tasks[[#This Row],[Resource]]=""),0,N(Tasks[[#This Row],[Duration]])*HoursPerDay*IF(Tasks[[#This Row],[Units]]="",DefaultUnits,Tasks[[#This Row],[Units]]))</f>
        <v>0</v>
      </c>
      <c r="BY43" s="41" t="n">
        <f aca="false">IF(Tasks[[#This Row],[_LeafWork]]=0,0,Tasks[[#This Row],[_LeafWork]]*IFERROR(INDEX(res_Rate,MATCH(Tasks[[#This Row],[Resource]],res_Name,0)),0))</f>
        <v>0</v>
      </c>
      <c r="BZ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3" s="41" t="n">
        <f aca="false">IF(NOT(Tasks[[#This Row],[_IsLeaf]]=1),0,MAX(_xlfn.MAXIFS(Tasks[_Row],Tasks[Pred1 UID],Tasks[[#This Row],[UID]]),_xlfn.MAXIFS(Tasks[_Row],Tasks[Pred2 UID],Tasks[[#This Row],[UID]])))</f>
        <v>0</v>
      </c>
      <c r="CE4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3" s="103" t="str">
        <f aca="false">IF(NOT(Tasks[[#This Row],[_IsLeaf]]=1),"",MIN(ProjectFinish,IF(N(Tasks[[#This Row],[Deadline]])&gt;0,Tasks[[#This Row],[Deadline]],2958465),Tasks[[#This Row],[_SuccessorFinishLimit]]))</f>
        <v/>
      </c>
      <c r="CG43" s="103" t="str">
        <f aca="false">IF(NOT(Tasks[[#This Row],[_IsLeaf]]=1),"",IF(N(Tasks[[#This Row],[Duration]])&lt;=0,Tasks[[#This Row],[_LeafLateFinish]],WORKDAY.INTL(Tasks[[#This Row],[_LeafLateFinish]],-(Tasks[[#This Row],[Duration]]-1),WorkWeek,Holidays)))</f>
        <v/>
      </c>
      <c r="CH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3" s="102" t="b">
        <f aca="false">AND(Tasks[[#This Row],[_IsLeaf]]=1,Tasks[[#This Row],[_LeafProgress]]&lt;1,N(Tasks[[#This Row],[_LeafTotalSlack]])&lt;=CriticalSlackDays)</f>
        <v>0</v>
      </c>
      <c r="CJ43" s="103" t="str">
        <f aca="false">IF(Tasks[[#This Row],[Task Name]]="","",IF(Tasks[[#This Row],[_IsSummary]],MIN(INDEX(Tasks[_LeafCalcStart],Tasks[[#This Row],[_Row]]+1):INDEX(Tasks[_LeafCalcStart],Tasks[[#This Row],[_Row]]+Tasks[[#This Row],[_Descendants]])),Tasks[[#This Row],[_LeafCalcStart]]))</f>
        <v/>
      </c>
      <c r="CK43" s="103" t="str">
        <f aca="false">IF(Tasks[[#This Row],[Task Name]]="","",IF(Tasks[[#This Row],[_IsSummary]],MAX(INDEX(Tasks[_LeafCalcFinish],Tasks[[#This Row],[_Row]]+1):INDEX(Tasks[_LeafCalcFinish],Tasks[[#This Row],[_Row]]+Tasks[[#This Row],[_Descendants]])),Tasks[[#This Row],[_LeafCalcFinish]]))</f>
        <v/>
      </c>
      <c r="CL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3" s="41" t="n">
        <f aca="false">IF(AND(Tasks[[#This Row],[_IsLeaf]]=1,Tasks[[#This Row],[_LeafWork]]&gt;0),NETWORKDAYS.INTL(ProjectStart,Tasks[[#This Row],[_LeafFcstStart]],WorkWeek,Holidays),0)</f>
        <v>0</v>
      </c>
      <c r="CS43" s="41" t="n">
        <f aca="false">IF(AND(Tasks[[#This Row],[_IsLeaf]]=1,Tasks[[#This Row],[_LeafWork]]&gt;0),MAX(Tasks[[#This Row],[_StartWorkday]],NETWORKDAYS.INTL(ProjectStart,Tasks[[#This Row],[_LeafFcstFinish]],WorkWeek,Holidays)),0)</f>
        <v>0</v>
      </c>
      <c r="CT43" s="41" t="n">
        <f aca="false">IF(AND(Tasks[[#This Row],[_IsLeaf]]=1,Tasks[[#This Row],[_LeafWork]]&gt;0),Tasks[[#This Row],[_LeafWork]]/(Tasks[[#This Row],[_FinishWorkday]]-Tasks[[#This Row],[_StartWorkday]]+1),0)</f>
        <v>0</v>
      </c>
      <c r="CU43" s="41" t="n">
        <f aca="false">Tasks[[#This Row],[_WorkPerWorkday]]*(Tasks[[#This Row],[_StartWorkday]]-1)</f>
        <v>-0</v>
      </c>
      <c r="CV43" s="41" t="n">
        <f aca="false">IF(Tasks[[#This Row],[_IsLeaf]]=1,MAX(N(Tasks[[#This Row],[Duration]]),0.1),0)</f>
        <v>0</v>
      </c>
      <c r="CW43" s="41" t="n">
        <f aca="false">Tasks[[#This Row],[_WeightDur]]*Tasks[[#This Row],[_LeafProgress]]</f>
        <v>0</v>
      </c>
      <c r="CX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3" s="41" t="str">
        <f aca="false">IF(Tasks[[#This Row],[Task Name]]="","",Tasks[[#This Row],[_Pred1UIDText]]&amp;IF(AND(Tasks[[#This Row],[_Pred1UIDText]]&lt;&gt;"",Tasks[[#This Row],[_Pred2UIDText]]&lt;&gt;""),",","")&amp;Tasks[[#This Row],[_Pred2UIDText]])</f>
        <v/>
      </c>
      <c r="DC43" s="41" t="str">
        <f aca="false">IF(AND(Tasks[[#This Row],[_IsLeaf]]=1,N(Tasks[[#This Row],[Duration]])=0,Tasks[[#This Row],[_LeafProgress]]&lt;1),Tasks[[#This Row],[_LeafFcstFinish]]+Tasks[[#This Row],[_Row]]/100000,"")</f>
        <v/>
      </c>
      <c r="DD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3" s="41" t="n">
        <f aca="false">IF(NOT(Tasks[[#This Row],[_IsLeaf]]=1),0,IF(Tasks[[#This Row],[Baseline Cost]]="",Tasks[[#This Row],[_LeafCost]],N(Tasks[[#This Row],[Baseline Cost]])))</f>
        <v>0</v>
      </c>
      <c r="DF43" s="41" t="n">
        <f aca="false">Tasks[[#This Row],[_LeafBudget]]*Tasks[[#This Row],[_PlannedPct]]</f>
        <v>0</v>
      </c>
      <c r="DG43" s="41" t="n">
        <f aca="false">Tasks[[#This Row],[_LeafBudget]]*Tasks[[#This Row],[_LeafProgress]]</f>
        <v>0</v>
      </c>
      <c r="DH43" s="41" t="n">
        <f aca="false">IF(NOT(Tasks[[#This Row],[_IsLeaf]]=1),0,IF(Tasks[[#This Row],[Actual Cost]]="",Tasks[[#This Row],[_LeafCost]]*Tasks[[#This Row],[_LeafProgress]],N(Tasks[[#This Row],[Actual Cost]])))</f>
        <v>0</v>
      </c>
      <c r="DI43" s="41" t="str">
        <f aca="false">IF(Tasks[[#This Row],[Task Name]]="","",LEFT(Tasks[[#This Row],[WBS]],FIND(".",Tasks[[#This Row],[WBS]]&amp;".")-1))</f>
        <v/>
      </c>
      <c r="DJ43" s="41" t="str">
        <f aca="false">IF(AND(Tasks[[#This Row],[Task Name]]&lt;&gt;"",Tasks[[#This Row],[_Level]]=1),Tasks[[#This Row],[_Row]],"")</f>
        <v/>
      </c>
      <c r="DK43" s="41" t="str">
        <f aca="false">IF(AND(Tasks[[#This Row],[_IsLeaf]]=1,N(Tasks[[#This Row],[Duration]])=0),Tasks[[#This Row],[Planned Finish]]+Tasks[[#This Row],[_Row]]/100000,"")</f>
        <v/>
      </c>
      <c r="DL43" s="41" t="str">
        <f aca="false">IF(AND(Tasks[[#This Row],[_IsLeaf]]=1,Tasks[[#This Row],[_LeafProgress]]&lt;1,OR(N(Tasks[[#This Row],[Finish Var]])&gt;0,Tasks[[#This Row],[Status]]="Late Start")),MAX(0,Tasks[[#This Row],[Finish Var]])+1-Tasks[[#This Row],[_Row]]/1000000,"")</f>
        <v/>
      </c>
      <c r="DM43" s="41" t="str">
        <f aca="false">IF(AND(Tasks[[#This Row],[_IsLeaf]]=1,N(Tasks[[#This Row],[Actual Start]])=0,Tasks[[#This Row],[_LeafFcstStart]]&gt;=StatusDate,Tasks[[#This Row],[_LeafFcstStart]]&lt;=LookaheadEnd),Tasks[[#This Row],[_LeafFcstStart]]+Tasks[[#This Row],[_Row]]/100000,"")</f>
        <v/>
      </c>
      <c r="DN43" s="41" t="str">
        <f aca="false">IF(AND(Tasks[[#This Row],[_IsLeaf]]=1,Tasks[[#This Row],[_LeafProgress]]&lt;1,Tasks[[#This Row],[_LeafFcstFinish]]&gt;=StatusDate,Tasks[[#This Row],[_LeafFcstFinish]]&lt;=LookaheadEnd),Tasks[[#This Row],[_LeafFcstFinish]]+Tasks[[#This Row],[_Row]]/100000,"")</f>
        <v/>
      </c>
      <c r="DO43" s="41" t="str">
        <f aca="false">IF(Tasks[[#This Row],[_LeafCritical]],Tasks[[#This Row],[_LeafFcstStart]]+Tasks[[#This Row],[_Row]]/100000,"")</f>
        <v/>
      </c>
      <c r="DP43" s="41" t="n">
        <f aca="false">Tasks[[#This Row],[_LeafWork]]*Tasks[[#This Row],[_LeafProgress]]</f>
        <v>0</v>
      </c>
      <c r="DQ43" s="103" t="str">
        <f aca="false">IF(AND(Tasks[[#This Row],[_IsLeaf]]=1,Tasks[[#This Row],[_LeafProgress]]&gt;=1),IF(N(Tasks[[#This Row],[Actual Finish]])&gt;0,Tasks[[#This Row],[Actual Finish]],Tasks[[#This Row],[_LeafFcstFinish]]),"")</f>
        <v/>
      </c>
      <c r="DR43" s="41" t="n">
        <f aca="false">IF(Tasks[[#This Row],[_IsLeaf]]=1,N(Tasks[[#This Row],[Story Points]]),0)</f>
        <v>0</v>
      </c>
      <c r="DS43" s="41" t="str">
        <f aca="false">IF(AND(Tasks[[#This Row],[_IsLeaf]]=1,CurrentSprint&lt;&gt;"",Tasks[[#This Row],[Sprint]]=CurrentSprint),Tasks[[#This Row],[_Row]],"")</f>
        <v/>
      </c>
    </row>
    <row r="44" customFormat="false" ht="15" hidden="false" customHeight="false" outlineLevel="0" collapsed="false">
      <c r="A44" s="28" t="str">
        <f aca="false">IF(Tasks[[#This Row],[Task Name]]="","",COUNTA(Tasks[[#Headers],[Task Name]]:Tasks[[#This Row],[Task Name]])-1)</f>
        <v/>
      </c>
      <c r="B44" s="29" t="n">
        <v>39</v>
      </c>
      <c r="C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29"/>
      <c r="E44" s="30"/>
      <c r="F44" s="29"/>
      <c r="G44" s="29"/>
      <c r="H44" s="29"/>
      <c r="I44" s="29"/>
      <c r="J44" s="29"/>
      <c r="K44" s="29"/>
      <c r="L44" s="29"/>
      <c r="M44" s="29"/>
      <c r="N44" s="77"/>
      <c r="O44" s="77"/>
      <c r="P44" s="25" t="str">
        <f aca="false">IF(Tasks[[#This Row],[Task Name]]="","",IF(N(Tasks[[#This Row],[Baseline Start]])&gt;0,Tasks[[#This Row],[Baseline Start]],Tasks[[#This Row],[_CalcStart]]))</f>
        <v/>
      </c>
      <c r="Q44" s="25" t="str">
        <f aca="false">IF(Tasks[[#This Row],[Task Name]]="","",IF(N(Tasks[[#This Row],[Baseline Finish]])&gt;0,Tasks[[#This Row],[Baseline Finish]],Tasks[[#This Row],[_CalcFinish]]))</f>
        <v/>
      </c>
      <c r="R44" s="77"/>
      <c r="S44" s="77"/>
      <c r="T44" s="25" t="str">
        <f aca="false">IF(Tasks[[#This Row],[Task Name]]="","",IF(Tasks[[#This Row],[_IsSummary]],MIN(INDEX(Tasks[_LeafFcstStart],Tasks[[#This Row],[_Row]]+1):INDEX(Tasks[_LeafFcstStart],Tasks[[#This Row],[_Row]]+Tasks[[#This Row],[_Descendants]])),Tasks[[#This Row],[_LeafFcstStart]]))</f>
        <v/>
      </c>
      <c r="U44" s="25" t="str">
        <f aca="false">IF(Tasks[[#This Row],[Task Name]]="","",IF(Tasks[[#This Row],[_IsSummary]],MAX(INDEX(Tasks[_LeafFcstFinish],Tasks[[#This Row],[_Row]]+1):INDEX(Tasks[_LeafFcstFinish],Tasks[[#This Row],[_Row]]+Tasks[[#This Row],[_Descendants]])),Tasks[[#This Row],[_LeafFcstFinish]]))</f>
        <v/>
      </c>
      <c r="V4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4" s="25" t="str">
        <f aca="false">IF(Tasks[[#This Row],[Task Name]]="","",IF(Tasks[[#This Row],[_IsSummary]],MIN(INDEX(Tasks[_LeafLateStart],Tasks[[#This Row],[_Row]]+1):INDEX(Tasks[_LeafLateStart],Tasks[[#This Row],[_Row]]+Tasks[[#This Row],[_Descendants]])),Tasks[[#This Row],[_LeafLateStart]]))</f>
        <v/>
      </c>
      <c r="Y44" s="25" t="str">
        <f aca="false">IF(Tasks[[#This Row],[Task Name]]="","",IF(Tasks[[#This Row],[_IsSummary]],MAX(INDEX(Tasks[_LeafLateFinish],Tasks[[#This Row],[_Row]]+1):INDEX(Tasks[_LeafLateFinish],Tasks[[#This Row],[_Row]]+Tasks[[#This Row],[_Descendants]])),Tasks[[#This Row],[_LeafLateFinish]]))</f>
        <v/>
      </c>
      <c r="Z44" s="43" t="str">
        <f aca="false">IF(Tasks[[#This Row],[Task Name]]="","",IF(Tasks[[#This Row],[_IsSummary]],MIN(INDEX(Tasks[_LeafTotalSlack],Tasks[[#This Row],[_Row]]+1):INDEX(Tasks[_LeafTotalSlack],Tasks[[#This Row],[_Row]]+Tasks[[#This Row],[_Descendants]])),Tasks[[#This Row],[_LeafTotalSlack]]))</f>
        <v/>
      </c>
      <c r="AA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4" s="28" t="str">
        <f aca="false">IF(Tasks[[#This Row],[Task Name]]="","",IF(IF(Tasks[[#This Row],[_IsSummary]],COUNTIF(INDEX(Tasks[_LeafCritical],Tasks[[#This Row],[_Row]]+1):INDEX(Tasks[_LeafCritical],Tasks[[#This Row],[_Row]]+Tasks[[#This Row],[_Descendants]]),TRUE())&gt;0,Tasks[[#This Row],[_LeafCritical]]),"Yes",""))</f>
        <v/>
      </c>
      <c r="AC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4" s="24" t="str">
        <f aca="false">IF(Tasks[[#This Row],[Task Name]]="","",TRIM(IF(Tasks[[#This Row],[_Pred1Problem]]&lt;&gt;"","Pred 1: "&amp;Tasks[[#This Row],[_Pred1Problem]]&amp;". ","")&amp;IF(Tasks[[#This Row],[_Pred2Problem]]&lt;&gt;"","Pred 2: "&amp;Tasks[[#This Row],[_Pred2Problem]]&amp;".","")))</f>
        <v/>
      </c>
      <c r="AE44" s="91"/>
      <c r="AF4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4" s="28" t="str">
        <f aca="false">IF(Tasks[[#This Row],[Task Name]]="","",IF(Tasks[[#This Row],[Progress]]&gt;=1,"Complete",IF(OR(N(Tasks[[#This Row],[Actual Start]])&gt;0,Tasks[[#This Row],[Progress]]&gt;0),IF(Tasks[[#This Row],[Finish Var]]&gt;0,"Behind","In Progress"),IF(Tasks[[#This Row],[Planned Start]]&lt;StatusDate,"Late Start","Not Started"))))</f>
        <v/>
      </c>
      <c r="AH44" s="30"/>
      <c r="AI44" s="91"/>
      <c r="AJ4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4" s="98" t="str">
        <f aca="false">IF(Tasks[[#This Row],[Task Name]]="","",IF(Tasks[[#This Row],[_IsSummary]],SUM(INDEX(Tasks[_LeafWork],Tasks[[#This Row],[_Row]]+1):INDEX(Tasks[_LeafWork],Tasks[[#This Row],[_Row]]+Tasks[[#This Row],[_Descendants]])),Tasks[[#This Row],[_LeafWork]]))</f>
        <v/>
      </c>
      <c r="AL44" s="99" t="str">
        <f aca="false">IF(Tasks[[#This Row],[Task Name]]="","",IF(Tasks[[#This Row],[_IsSummary]],SUM(INDEX(Tasks[_LeafCost],Tasks[[#This Row],[_Row]]+1):INDEX(Tasks[_LeafCost],Tasks[[#This Row],[_Row]]+Tasks[[#This Row],[_Descendants]])),Tasks[[#This Row],[_LeafCost]]))</f>
        <v/>
      </c>
      <c r="AM44" s="100"/>
      <c r="AN44" s="29"/>
      <c r="AO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4" s="85"/>
      <c r="AQ44" s="24" t="str">
        <f aca="false">IF(Tasks[[#This Row],[Task Name]]="","",Tasks[[#This Row],[_Pred1IDText]]&amp;IF(AND(Tasks[[#This Row],[_Pred1IDText]]&lt;&gt;"",Tasks[[#This Row],[_Pred2IDText]]&lt;&gt;""),",","")&amp;Tasks[[#This Row],[_Pred2IDText]])</f>
        <v/>
      </c>
      <c r="AR44" s="30"/>
      <c r="AS44" s="25" t="str">
        <f aca="false">IF(Tasks[[#This Row],[Task Name]]="","",Tasks[[#This Row],[Forecast Start]])</f>
        <v/>
      </c>
      <c r="AT44" s="25" t="str">
        <f aca="false">IF(Tasks[[#This Row],[Task Name]]="","",Tasks[[#This Row],[Forecast Finish]])</f>
        <v/>
      </c>
      <c r="AU44" s="28" t="str">
        <f aca="false">IF(Tasks[[#This Row],[Task Name]]="","",IF(Tasks[[#This Row],[_IsSummary]],NETWORKDAYS.INTL(Tasks[[#This Row],[Forecast Start]],Tasks[[#This Row],[Forecast Finish]],WorkWeek,Holidays),N(Tasks[[#This Row],[Duration]])))</f>
        <v/>
      </c>
      <c r="AV44" s="98" t="str">
        <f aca="false">IF(Tasks[[#This Row],[Task Name]]="","",Tasks[[#This Row],[Work]])</f>
        <v/>
      </c>
      <c r="AW44" s="99" t="str">
        <f aca="false">IF(Tasks[[#This Row],[Task Name]]="","",Tasks[[#This Row],[Cost]])</f>
        <v/>
      </c>
      <c r="AX44" s="77"/>
      <c r="AY44" s="77"/>
      <c r="AZ44" s="29"/>
      <c r="BA44" s="101"/>
      <c r="BB44" s="100"/>
      <c r="BC44" s="28" t="str">
        <f aca="false">IF(OR(Tasks[[#This Row],[Task Name]]="",Tasks[[#This Row],[Baseline Duration]]=""),"",Tasks[[#This Row],[BL Source Duration]]-N(Tasks[[#This Row],[Baseline Duration]]))</f>
        <v/>
      </c>
      <c r="BD44" s="98" t="str">
        <f aca="false">IF(OR(Tasks[[#This Row],[Task Name]]="",Tasks[[#This Row],[Baseline Work]]=""),"",Tasks[[#This Row],[Work]]-N(Tasks[[#This Row],[Baseline Work]]))</f>
        <v/>
      </c>
      <c r="BE44" s="99" t="str">
        <f aca="false">IF(OR(Tasks[[#This Row],[Task Name]]="",Tasks[[#This Row],[Baseline Cost]]=""),"",Tasks[[#This Row],[Cost]]-N(Tasks[[#This Row],[Baseline Cost]]))</f>
        <v/>
      </c>
      <c r="BF44" s="99" t="str">
        <f aca="false">IF(Tasks[[#This Row],[Task Name]]="","",IF(Tasks[[#This Row],[_IsSummary]],SUM(INDEX(Tasks[_LeafBudget],Tasks[[#This Row],[_Row]]+1):INDEX(Tasks[_LeafBudget],Tasks[[#This Row],[_Row]]+Tasks[[#This Row],[_Descendants]])),Tasks[[#This Row],[_LeafBudget]]))</f>
        <v/>
      </c>
      <c r="BG44" s="99" t="str">
        <f aca="false">IF(Tasks[[#This Row],[Task Name]]="","",IF(Tasks[[#This Row],[_IsSummary]],SUM(INDEX(Tasks[_LeafPV],Tasks[[#This Row],[_Row]]+1):INDEX(Tasks[_LeafPV],Tasks[[#This Row],[_Row]]+Tasks[[#This Row],[_Descendants]])),Tasks[[#This Row],[_LeafPV]]))</f>
        <v/>
      </c>
      <c r="BH44" s="99" t="str">
        <f aca="false">IF(Tasks[[#This Row],[Task Name]]="","",IF(Tasks[[#This Row],[_IsSummary]],SUM(INDEX(Tasks[_LeafEV],Tasks[[#This Row],[_Row]]+1):INDEX(Tasks[_LeafEV],Tasks[[#This Row],[_Row]]+Tasks[[#This Row],[_Descendants]])),Tasks[[#This Row],[_LeafEV]]))</f>
        <v/>
      </c>
      <c r="BI44" s="99" t="str">
        <f aca="false">IF(Tasks[[#This Row],[Task Name]]="","",IF(Tasks[[#This Row],[_IsSummary]],SUM(INDEX(Tasks[_LeafAC],Tasks[[#This Row],[_Row]]+1):INDEX(Tasks[_LeafAC],Tasks[[#This Row],[_Row]]+Tasks[[#This Row],[_Descendants]])),Tasks[[#This Row],[_LeafAC]]))</f>
        <v/>
      </c>
      <c r="BJ44" s="41" t="str">
        <f aca="false">IF(Tasks[[#This Row],[Task Name]]="","",MAX(1,N(Tasks[[#This Row],[Level]])))</f>
        <v/>
      </c>
      <c r="BK44" s="41" t="n">
        <f aca="false">ROW()-ROW(Tasks[[#Headers],[ID]])</f>
        <v>39</v>
      </c>
      <c r="BL44" s="41" t="n">
        <f aca="false">IF(OR(Tasks[[#This Row],[Task Name]]="",Tasks[[#This Row],[_Level]]&lt;=1),0,IFERROR(LOOKUP(2,1/(Tasks[[#Headers],[_Level]]:Tasks[[#This Row],[_Level]]=Tasks[[#This Row],[_Level]]-1),ROW(Tasks[[#Headers],[_Level]]:Tasks[[#This Row],[_Level]])),0))</f>
        <v>0</v>
      </c>
      <c r="BM44" s="41" t="n">
        <f aca="false">IFERROR(N(INDEX(Tasks[_Level],Tasks[[#This Row],[_Row]]+1)),0)</f>
        <v>0</v>
      </c>
      <c r="BN44" s="102" t="b">
        <f aca="false">AND(Tasks[[#This Row],[Task Name]]&lt;&gt;"",Tasks[[#This Row],[_NextLevel]]&gt;Tasks[[#This Row],[_Level]])</f>
        <v>0</v>
      </c>
      <c r="BO44" s="41" t="n">
        <f aca="false">IF(Tasks[[#This Row],[_IsSummary]],COUNTIF(Tasks[WBS],Tasks[[#This Row],[WBS]]&amp;".*"),0)</f>
        <v>0</v>
      </c>
      <c r="BP44" s="41" t="n">
        <f aca="false">IF(AND(Tasks[[#This Row],[Task Name]]&lt;&gt;"",NOT(Tasks[[#This Row],[_IsSummary]])),1,0)</f>
        <v>0</v>
      </c>
      <c r="BQ44" s="41" t="n">
        <f aca="false">IF(N(Tasks[[#This Row],[Pred1 UID]])=0,0,IFERROR(MATCH(Tasks[[#This Row],[Pred1 UID]],Tasks[UID],0),-1))</f>
        <v>0</v>
      </c>
      <c r="BR44" s="41" t="n">
        <f aca="false">IF(N(Tasks[[#This Row],[Pred2 UID]])=0,0,IFERROR(MATCH(Tasks[[#This Row],[Pred2 UID]],Tasks[UID],0),-1))</f>
        <v>0</v>
      </c>
      <c r="BS4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4" s="103" t="str">
        <f aca="false">IF(NOT(Tasks[[#This Row],[_IsLeaf]]=1),"",IF(N(Tasks[[#This Row],[Duration]])&lt;=0,Tasks[[#This Row],[_LeafCalcStart]],WORKDAY.INTL(Tasks[[#This Row],[_LeafCalcStart]],Tasks[[#This Row],[Duration]]-1,WorkWeek,Holidays)))</f>
        <v/>
      </c>
      <c r="BU4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4" s="41" t="n">
        <f aca="false">IF(NOT(Tasks[[#This Row],[_IsLeaf]]=1),0,IF(N(Tasks[[#This Row],[Actual Finish]])&gt;0,1,MIN(1,N(Tasks[[#This Row],[% Complete]]))))</f>
        <v>0</v>
      </c>
      <c r="BX44" s="41" t="n">
        <f aca="false">IF(OR(NOT(Tasks[[#This Row],[_IsLeaf]]=1),Tasks[[#This Row],[Resource]]=""),0,N(Tasks[[#This Row],[Duration]])*HoursPerDay*IF(Tasks[[#This Row],[Units]]="",DefaultUnits,Tasks[[#This Row],[Units]]))</f>
        <v>0</v>
      </c>
      <c r="BY44" s="41" t="n">
        <f aca="false">IF(Tasks[[#This Row],[_LeafWork]]=0,0,Tasks[[#This Row],[_LeafWork]]*IFERROR(INDEX(res_Rate,MATCH(Tasks[[#This Row],[Resource]],res_Name,0)),0))</f>
        <v>0</v>
      </c>
      <c r="BZ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4" s="41" t="n">
        <f aca="false">IF(NOT(Tasks[[#This Row],[_IsLeaf]]=1),0,MAX(_xlfn.MAXIFS(Tasks[_Row],Tasks[Pred1 UID],Tasks[[#This Row],[UID]]),_xlfn.MAXIFS(Tasks[_Row],Tasks[Pred2 UID],Tasks[[#This Row],[UID]])))</f>
        <v>0</v>
      </c>
      <c r="CE4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4" s="103" t="str">
        <f aca="false">IF(NOT(Tasks[[#This Row],[_IsLeaf]]=1),"",MIN(ProjectFinish,IF(N(Tasks[[#This Row],[Deadline]])&gt;0,Tasks[[#This Row],[Deadline]],2958465),Tasks[[#This Row],[_SuccessorFinishLimit]]))</f>
        <v/>
      </c>
      <c r="CG44" s="103" t="str">
        <f aca="false">IF(NOT(Tasks[[#This Row],[_IsLeaf]]=1),"",IF(N(Tasks[[#This Row],[Duration]])&lt;=0,Tasks[[#This Row],[_LeafLateFinish]],WORKDAY.INTL(Tasks[[#This Row],[_LeafLateFinish]],-(Tasks[[#This Row],[Duration]]-1),WorkWeek,Holidays)))</f>
        <v/>
      </c>
      <c r="CH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4" s="102" t="b">
        <f aca="false">AND(Tasks[[#This Row],[_IsLeaf]]=1,Tasks[[#This Row],[_LeafProgress]]&lt;1,N(Tasks[[#This Row],[_LeafTotalSlack]])&lt;=CriticalSlackDays)</f>
        <v>0</v>
      </c>
      <c r="CJ44" s="103" t="str">
        <f aca="false">IF(Tasks[[#This Row],[Task Name]]="","",IF(Tasks[[#This Row],[_IsSummary]],MIN(INDEX(Tasks[_LeafCalcStart],Tasks[[#This Row],[_Row]]+1):INDEX(Tasks[_LeafCalcStart],Tasks[[#This Row],[_Row]]+Tasks[[#This Row],[_Descendants]])),Tasks[[#This Row],[_LeafCalcStart]]))</f>
        <v/>
      </c>
      <c r="CK44" s="103" t="str">
        <f aca="false">IF(Tasks[[#This Row],[Task Name]]="","",IF(Tasks[[#This Row],[_IsSummary]],MAX(INDEX(Tasks[_LeafCalcFinish],Tasks[[#This Row],[_Row]]+1):INDEX(Tasks[_LeafCalcFinish],Tasks[[#This Row],[_Row]]+Tasks[[#This Row],[_Descendants]])),Tasks[[#This Row],[_LeafCalcFinish]]))</f>
        <v/>
      </c>
      <c r="CL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4" s="41" t="n">
        <f aca="false">IF(AND(Tasks[[#This Row],[_IsLeaf]]=1,Tasks[[#This Row],[_LeafWork]]&gt;0),NETWORKDAYS.INTL(ProjectStart,Tasks[[#This Row],[_LeafFcstStart]],WorkWeek,Holidays),0)</f>
        <v>0</v>
      </c>
      <c r="CS44" s="41" t="n">
        <f aca="false">IF(AND(Tasks[[#This Row],[_IsLeaf]]=1,Tasks[[#This Row],[_LeafWork]]&gt;0),MAX(Tasks[[#This Row],[_StartWorkday]],NETWORKDAYS.INTL(ProjectStart,Tasks[[#This Row],[_LeafFcstFinish]],WorkWeek,Holidays)),0)</f>
        <v>0</v>
      </c>
      <c r="CT44" s="41" t="n">
        <f aca="false">IF(AND(Tasks[[#This Row],[_IsLeaf]]=1,Tasks[[#This Row],[_LeafWork]]&gt;0),Tasks[[#This Row],[_LeafWork]]/(Tasks[[#This Row],[_FinishWorkday]]-Tasks[[#This Row],[_StartWorkday]]+1),0)</f>
        <v>0</v>
      </c>
      <c r="CU44" s="41" t="n">
        <f aca="false">Tasks[[#This Row],[_WorkPerWorkday]]*(Tasks[[#This Row],[_StartWorkday]]-1)</f>
        <v>-0</v>
      </c>
      <c r="CV44" s="41" t="n">
        <f aca="false">IF(Tasks[[#This Row],[_IsLeaf]]=1,MAX(N(Tasks[[#This Row],[Duration]]),0.1),0)</f>
        <v>0</v>
      </c>
      <c r="CW44" s="41" t="n">
        <f aca="false">Tasks[[#This Row],[_WeightDur]]*Tasks[[#This Row],[_LeafProgress]]</f>
        <v>0</v>
      </c>
      <c r="CX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4" s="41" t="str">
        <f aca="false">IF(Tasks[[#This Row],[Task Name]]="","",Tasks[[#This Row],[_Pred1UIDText]]&amp;IF(AND(Tasks[[#This Row],[_Pred1UIDText]]&lt;&gt;"",Tasks[[#This Row],[_Pred2UIDText]]&lt;&gt;""),",","")&amp;Tasks[[#This Row],[_Pred2UIDText]])</f>
        <v/>
      </c>
      <c r="DC44" s="41" t="str">
        <f aca="false">IF(AND(Tasks[[#This Row],[_IsLeaf]]=1,N(Tasks[[#This Row],[Duration]])=0,Tasks[[#This Row],[_LeafProgress]]&lt;1),Tasks[[#This Row],[_LeafFcstFinish]]+Tasks[[#This Row],[_Row]]/100000,"")</f>
        <v/>
      </c>
      <c r="DD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4" s="41" t="n">
        <f aca="false">IF(NOT(Tasks[[#This Row],[_IsLeaf]]=1),0,IF(Tasks[[#This Row],[Baseline Cost]]="",Tasks[[#This Row],[_LeafCost]],N(Tasks[[#This Row],[Baseline Cost]])))</f>
        <v>0</v>
      </c>
      <c r="DF44" s="41" t="n">
        <f aca="false">Tasks[[#This Row],[_LeafBudget]]*Tasks[[#This Row],[_PlannedPct]]</f>
        <v>0</v>
      </c>
      <c r="DG44" s="41" t="n">
        <f aca="false">Tasks[[#This Row],[_LeafBudget]]*Tasks[[#This Row],[_LeafProgress]]</f>
        <v>0</v>
      </c>
      <c r="DH44" s="41" t="n">
        <f aca="false">IF(NOT(Tasks[[#This Row],[_IsLeaf]]=1),0,IF(Tasks[[#This Row],[Actual Cost]]="",Tasks[[#This Row],[_LeafCost]]*Tasks[[#This Row],[_LeafProgress]],N(Tasks[[#This Row],[Actual Cost]])))</f>
        <v>0</v>
      </c>
      <c r="DI44" s="41" t="str">
        <f aca="false">IF(Tasks[[#This Row],[Task Name]]="","",LEFT(Tasks[[#This Row],[WBS]],FIND(".",Tasks[[#This Row],[WBS]]&amp;".")-1))</f>
        <v/>
      </c>
      <c r="DJ44" s="41" t="str">
        <f aca="false">IF(AND(Tasks[[#This Row],[Task Name]]&lt;&gt;"",Tasks[[#This Row],[_Level]]=1),Tasks[[#This Row],[_Row]],"")</f>
        <v/>
      </c>
      <c r="DK44" s="41" t="str">
        <f aca="false">IF(AND(Tasks[[#This Row],[_IsLeaf]]=1,N(Tasks[[#This Row],[Duration]])=0),Tasks[[#This Row],[Planned Finish]]+Tasks[[#This Row],[_Row]]/100000,"")</f>
        <v/>
      </c>
      <c r="DL44" s="41" t="str">
        <f aca="false">IF(AND(Tasks[[#This Row],[_IsLeaf]]=1,Tasks[[#This Row],[_LeafProgress]]&lt;1,OR(N(Tasks[[#This Row],[Finish Var]])&gt;0,Tasks[[#This Row],[Status]]="Late Start")),MAX(0,Tasks[[#This Row],[Finish Var]])+1-Tasks[[#This Row],[_Row]]/1000000,"")</f>
        <v/>
      </c>
      <c r="DM44" s="41" t="str">
        <f aca="false">IF(AND(Tasks[[#This Row],[_IsLeaf]]=1,N(Tasks[[#This Row],[Actual Start]])=0,Tasks[[#This Row],[_LeafFcstStart]]&gt;=StatusDate,Tasks[[#This Row],[_LeafFcstStart]]&lt;=LookaheadEnd),Tasks[[#This Row],[_LeafFcstStart]]+Tasks[[#This Row],[_Row]]/100000,"")</f>
        <v/>
      </c>
      <c r="DN44" s="41" t="str">
        <f aca="false">IF(AND(Tasks[[#This Row],[_IsLeaf]]=1,Tasks[[#This Row],[_LeafProgress]]&lt;1,Tasks[[#This Row],[_LeafFcstFinish]]&gt;=StatusDate,Tasks[[#This Row],[_LeafFcstFinish]]&lt;=LookaheadEnd),Tasks[[#This Row],[_LeafFcstFinish]]+Tasks[[#This Row],[_Row]]/100000,"")</f>
        <v/>
      </c>
      <c r="DO44" s="41" t="str">
        <f aca="false">IF(Tasks[[#This Row],[_LeafCritical]],Tasks[[#This Row],[_LeafFcstStart]]+Tasks[[#This Row],[_Row]]/100000,"")</f>
        <v/>
      </c>
      <c r="DP44" s="41" t="n">
        <f aca="false">Tasks[[#This Row],[_LeafWork]]*Tasks[[#This Row],[_LeafProgress]]</f>
        <v>0</v>
      </c>
      <c r="DQ44" s="103" t="str">
        <f aca="false">IF(AND(Tasks[[#This Row],[_IsLeaf]]=1,Tasks[[#This Row],[_LeafProgress]]&gt;=1),IF(N(Tasks[[#This Row],[Actual Finish]])&gt;0,Tasks[[#This Row],[Actual Finish]],Tasks[[#This Row],[_LeafFcstFinish]]),"")</f>
        <v/>
      </c>
      <c r="DR44" s="41" t="n">
        <f aca="false">IF(Tasks[[#This Row],[_IsLeaf]]=1,N(Tasks[[#This Row],[Story Points]]),0)</f>
        <v>0</v>
      </c>
      <c r="DS44" s="41" t="str">
        <f aca="false">IF(AND(Tasks[[#This Row],[_IsLeaf]]=1,CurrentSprint&lt;&gt;"",Tasks[[#This Row],[Sprint]]=CurrentSprint),Tasks[[#This Row],[_Row]],"")</f>
        <v/>
      </c>
    </row>
    <row r="45" customFormat="false" ht="15" hidden="false" customHeight="false" outlineLevel="0" collapsed="false">
      <c r="A45" s="28" t="str">
        <f aca="false">IF(Tasks[[#This Row],[Task Name]]="","",COUNTA(Tasks[[#Headers],[Task Name]]:Tasks[[#This Row],[Task Name]])-1)</f>
        <v/>
      </c>
      <c r="B45" s="29" t="n">
        <v>40</v>
      </c>
      <c r="C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29"/>
      <c r="E45" s="30"/>
      <c r="F45" s="29"/>
      <c r="G45" s="29"/>
      <c r="H45" s="29"/>
      <c r="I45" s="29"/>
      <c r="J45" s="29"/>
      <c r="K45" s="29"/>
      <c r="L45" s="29"/>
      <c r="M45" s="29"/>
      <c r="N45" s="77"/>
      <c r="O45" s="77"/>
      <c r="P45" s="25" t="str">
        <f aca="false">IF(Tasks[[#This Row],[Task Name]]="","",IF(N(Tasks[[#This Row],[Baseline Start]])&gt;0,Tasks[[#This Row],[Baseline Start]],Tasks[[#This Row],[_CalcStart]]))</f>
        <v/>
      </c>
      <c r="Q45" s="25" t="str">
        <f aca="false">IF(Tasks[[#This Row],[Task Name]]="","",IF(N(Tasks[[#This Row],[Baseline Finish]])&gt;0,Tasks[[#This Row],[Baseline Finish]],Tasks[[#This Row],[_CalcFinish]]))</f>
        <v/>
      </c>
      <c r="R45" s="77"/>
      <c r="S45" s="77"/>
      <c r="T45" s="25" t="str">
        <f aca="false">IF(Tasks[[#This Row],[Task Name]]="","",IF(Tasks[[#This Row],[_IsSummary]],MIN(INDEX(Tasks[_LeafFcstStart],Tasks[[#This Row],[_Row]]+1):INDEX(Tasks[_LeafFcstStart],Tasks[[#This Row],[_Row]]+Tasks[[#This Row],[_Descendants]])),Tasks[[#This Row],[_LeafFcstStart]]))</f>
        <v/>
      </c>
      <c r="U45" s="25" t="str">
        <f aca="false">IF(Tasks[[#This Row],[Task Name]]="","",IF(Tasks[[#This Row],[_IsSummary]],MAX(INDEX(Tasks[_LeafFcstFinish],Tasks[[#This Row],[_Row]]+1):INDEX(Tasks[_LeafFcstFinish],Tasks[[#This Row],[_Row]]+Tasks[[#This Row],[_Descendants]])),Tasks[[#This Row],[_LeafFcstFinish]]))</f>
        <v/>
      </c>
      <c r="V4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5" s="25" t="str">
        <f aca="false">IF(Tasks[[#This Row],[Task Name]]="","",IF(Tasks[[#This Row],[_IsSummary]],MIN(INDEX(Tasks[_LeafLateStart],Tasks[[#This Row],[_Row]]+1):INDEX(Tasks[_LeafLateStart],Tasks[[#This Row],[_Row]]+Tasks[[#This Row],[_Descendants]])),Tasks[[#This Row],[_LeafLateStart]]))</f>
        <v/>
      </c>
      <c r="Y45" s="25" t="str">
        <f aca="false">IF(Tasks[[#This Row],[Task Name]]="","",IF(Tasks[[#This Row],[_IsSummary]],MAX(INDEX(Tasks[_LeafLateFinish],Tasks[[#This Row],[_Row]]+1):INDEX(Tasks[_LeafLateFinish],Tasks[[#This Row],[_Row]]+Tasks[[#This Row],[_Descendants]])),Tasks[[#This Row],[_LeafLateFinish]]))</f>
        <v/>
      </c>
      <c r="Z45" s="43" t="str">
        <f aca="false">IF(Tasks[[#This Row],[Task Name]]="","",IF(Tasks[[#This Row],[_IsSummary]],MIN(INDEX(Tasks[_LeafTotalSlack],Tasks[[#This Row],[_Row]]+1):INDEX(Tasks[_LeafTotalSlack],Tasks[[#This Row],[_Row]]+Tasks[[#This Row],[_Descendants]])),Tasks[[#This Row],[_LeafTotalSlack]]))</f>
        <v/>
      </c>
      <c r="AA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5" s="28" t="str">
        <f aca="false">IF(Tasks[[#This Row],[Task Name]]="","",IF(IF(Tasks[[#This Row],[_IsSummary]],COUNTIF(INDEX(Tasks[_LeafCritical],Tasks[[#This Row],[_Row]]+1):INDEX(Tasks[_LeafCritical],Tasks[[#This Row],[_Row]]+Tasks[[#This Row],[_Descendants]]),TRUE())&gt;0,Tasks[[#This Row],[_LeafCritical]]),"Yes",""))</f>
        <v/>
      </c>
      <c r="AC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5" s="24" t="str">
        <f aca="false">IF(Tasks[[#This Row],[Task Name]]="","",TRIM(IF(Tasks[[#This Row],[_Pred1Problem]]&lt;&gt;"","Pred 1: "&amp;Tasks[[#This Row],[_Pred1Problem]]&amp;". ","")&amp;IF(Tasks[[#This Row],[_Pred2Problem]]&lt;&gt;"","Pred 2: "&amp;Tasks[[#This Row],[_Pred2Problem]]&amp;".","")))</f>
        <v/>
      </c>
      <c r="AE45" s="91"/>
      <c r="AF4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5" s="28" t="str">
        <f aca="false">IF(Tasks[[#This Row],[Task Name]]="","",IF(Tasks[[#This Row],[Progress]]&gt;=1,"Complete",IF(OR(N(Tasks[[#This Row],[Actual Start]])&gt;0,Tasks[[#This Row],[Progress]]&gt;0),IF(Tasks[[#This Row],[Finish Var]]&gt;0,"Behind","In Progress"),IF(Tasks[[#This Row],[Planned Start]]&lt;StatusDate,"Late Start","Not Started"))))</f>
        <v/>
      </c>
      <c r="AH45" s="30"/>
      <c r="AI45" s="91"/>
      <c r="AJ4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5" s="98" t="str">
        <f aca="false">IF(Tasks[[#This Row],[Task Name]]="","",IF(Tasks[[#This Row],[_IsSummary]],SUM(INDEX(Tasks[_LeafWork],Tasks[[#This Row],[_Row]]+1):INDEX(Tasks[_LeafWork],Tasks[[#This Row],[_Row]]+Tasks[[#This Row],[_Descendants]])),Tasks[[#This Row],[_LeafWork]]))</f>
        <v/>
      </c>
      <c r="AL45" s="99" t="str">
        <f aca="false">IF(Tasks[[#This Row],[Task Name]]="","",IF(Tasks[[#This Row],[_IsSummary]],SUM(INDEX(Tasks[_LeafCost],Tasks[[#This Row],[_Row]]+1):INDEX(Tasks[_LeafCost],Tasks[[#This Row],[_Row]]+Tasks[[#This Row],[_Descendants]])),Tasks[[#This Row],[_LeafCost]]))</f>
        <v/>
      </c>
      <c r="AM45" s="100"/>
      <c r="AN45" s="29"/>
      <c r="AO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5" s="85"/>
      <c r="AQ45" s="24" t="str">
        <f aca="false">IF(Tasks[[#This Row],[Task Name]]="","",Tasks[[#This Row],[_Pred1IDText]]&amp;IF(AND(Tasks[[#This Row],[_Pred1IDText]]&lt;&gt;"",Tasks[[#This Row],[_Pred2IDText]]&lt;&gt;""),",","")&amp;Tasks[[#This Row],[_Pred2IDText]])</f>
        <v/>
      </c>
      <c r="AR45" s="30"/>
      <c r="AS45" s="25" t="str">
        <f aca="false">IF(Tasks[[#This Row],[Task Name]]="","",Tasks[[#This Row],[Forecast Start]])</f>
        <v/>
      </c>
      <c r="AT45" s="25" t="str">
        <f aca="false">IF(Tasks[[#This Row],[Task Name]]="","",Tasks[[#This Row],[Forecast Finish]])</f>
        <v/>
      </c>
      <c r="AU45" s="28" t="str">
        <f aca="false">IF(Tasks[[#This Row],[Task Name]]="","",IF(Tasks[[#This Row],[_IsSummary]],NETWORKDAYS.INTL(Tasks[[#This Row],[Forecast Start]],Tasks[[#This Row],[Forecast Finish]],WorkWeek,Holidays),N(Tasks[[#This Row],[Duration]])))</f>
        <v/>
      </c>
      <c r="AV45" s="98" t="str">
        <f aca="false">IF(Tasks[[#This Row],[Task Name]]="","",Tasks[[#This Row],[Work]])</f>
        <v/>
      </c>
      <c r="AW45" s="99" t="str">
        <f aca="false">IF(Tasks[[#This Row],[Task Name]]="","",Tasks[[#This Row],[Cost]])</f>
        <v/>
      </c>
      <c r="AX45" s="77"/>
      <c r="AY45" s="77"/>
      <c r="AZ45" s="29"/>
      <c r="BA45" s="101"/>
      <c r="BB45" s="100"/>
      <c r="BC45" s="28" t="str">
        <f aca="false">IF(OR(Tasks[[#This Row],[Task Name]]="",Tasks[[#This Row],[Baseline Duration]]=""),"",Tasks[[#This Row],[BL Source Duration]]-N(Tasks[[#This Row],[Baseline Duration]]))</f>
        <v/>
      </c>
      <c r="BD45" s="98" t="str">
        <f aca="false">IF(OR(Tasks[[#This Row],[Task Name]]="",Tasks[[#This Row],[Baseline Work]]=""),"",Tasks[[#This Row],[Work]]-N(Tasks[[#This Row],[Baseline Work]]))</f>
        <v/>
      </c>
      <c r="BE45" s="99" t="str">
        <f aca="false">IF(OR(Tasks[[#This Row],[Task Name]]="",Tasks[[#This Row],[Baseline Cost]]=""),"",Tasks[[#This Row],[Cost]]-N(Tasks[[#This Row],[Baseline Cost]]))</f>
        <v/>
      </c>
      <c r="BF45" s="99" t="str">
        <f aca="false">IF(Tasks[[#This Row],[Task Name]]="","",IF(Tasks[[#This Row],[_IsSummary]],SUM(INDEX(Tasks[_LeafBudget],Tasks[[#This Row],[_Row]]+1):INDEX(Tasks[_LeafBudget],Tasks[[#This Row],[_Row]]+Tasks[[#This Row],[_Descendants]])),Tasks[[#This Row],[_LeafBudget]]))</f>
        <v/>
      </c>
      <c r="BG45" s="99" t="str">
        <f aca="false">IF(Tasks[[#This Row],[Task Name]]="","",IF(Tasks[[#This Row],[_IsSummary]],SUM(INDEX(Tasks[_LeafPV],Tasks[[#This Row],[_Row]]+1):INDEX(Tasks[_LeafPV],Tasks[[#This Row],[_Row]]+Tasks[[#This Row],[_Descendants]])),Tasks[[#This Row],[_LeafPV]]))</f>
        <v/>
      </c>
      <c r="BH45" s="99" t="str">
        <f aca="false">IF(Tasks[[#This Row],[Task Name]]="","",IF(Tasks[[#This Row],[_IsSummary]],SUM(INDEX(Tasks[_LeafEV],Tasks[[#This Row],[_Row]]+1):INDEX(Tasks[_LeafEV],Tasks[[#This Row],[_Row]]+Tasks[[#This Row],[_Descendants]])),Tasks[[#This Row],[_LeafEV]]))</f>
        <v/>
      </c>
      <c r="BI45" s="99" t="str">
        <f aca="false">IF(Tasks[[#This Row],[Task Name]]="","",IF(Tasks[[#This Row],[_IsSummary]],SUM(INDEX(Tasks[_LeafAC],Tasks[[#This Row],[_Row]]+1):INDEX(Tasks[_LeafAC],Tasks[[#This Row],[_Row]]+Tasks[[#This Row],[_Descendants]])),Tasks[[#This Row],[_LeafAC]]))</f>
        <v/>
      </c>
      <c r="BJ45" s="41" t="str">
        <f aca="false">IF(Tasks[[#This Row],[Task Name]]="","",MAX(1,N(Tasks[[#This Row],[Level]])))</f>
        <v/>
      </c>
      <c r="BK45" s="41" t="n">
        <f aca="false">ROW()-ROW(Tasks[[#Headers],[ID]])</f>
        <v>40</v>
      </c>
      <c r="BL45" s="41" t="n">
        <f aca="false">IF(OR(Tasks[[#This Row],[Task Name]]="",Tasks[[#This Row],[_Level]]&lt;=1),0,IFERROR(LOOKUP(2,1/(Tasks[[#Headers],[_Level]]:Tasks[[#This Row],[_Level]]=Tasks[[#This Row],[_Level]]-1),ROW(Tasks[[#Headers],[_Level]]:Tasks[[#This Row],[_Level]])),0))</f>
        <v>0</v>
      </c>
      <c r="BM45" s="41" t="n">
        <f aca="false">IFERROR(N(INDEX(Tasks[_Level],Tasks[[#This Row],[_Row]]+1)),0)</f>
        <v>0</v>
      </c>
      <c r="BN45" s="102" t="b">
        <f aca="false">AND(Tasks[[#This Row],[Task Name]]&lt;&gt;"",Tasks[[#This Row],[_NextLevel]]&gt;Tasks[[#This Row],[_Level]])</f>
        <v>0</v>
      </c>
      <c r="BO45" s="41" t="n">
        <f aca="false">IF(Tasks[[#This Row],[_IsSummary]],COUNTIF(Tasks[WBS],Tasks[[#This Row],[WBS]]&amp;".*"),0)</f>
        <v>0</v>
      </c>
      <c r="BP45" s="41" t="n">
        <f aca="false">IF(AND(Tasks[[#This Row],[Task Name]]&lt;&gt;"",NOT(Tasks[[#This Row],[_IsSummary]])),1,0)</f>
        <v>0</v>
      </c>
      <c r="BQ45" s="41" t="n">
        <f aca="false">IF(N(Tasks[[#This Row],[Pred1 UID]])=0,0,IFERROR(MATCH(Tasks[[#This Row],[Pred1 UID]],Tasks[UID],0),-1))</f>
        <v>0</v>
      </c>
      <c r="BR45" s="41" t="n">
        <f aca="false">IF(N(Tasks[[#This Row],[Pred2 UID]])=0,0,IFERROR(MATCH(Tasks[[#This Row],[Pred2 UID]],Tasks[UID],0),-1))</f>
        <v>0</v>
      </c>
      <c r="BS4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5" s="103" t="str">
        <f aca="false">IF(NOT(Tasks[[#This Row],[_IsLeaf]]=1),"",IF(N(Tasks[[#This Row],[Duration]])&lt;=0,Tasks[[#This Row],[_LeafCalcStart]],WORKDAY.INTL(Tasks[[#This Row],[_LeafCalcStart]],Tasks[[#This Row],[Duration]]-1,WorkWeek,Holidays)))</f>
        <v/>
      </c>
      <c r="BU4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5" s="41" t="n">
        <f aca="false">IF(NOT(Tasks[[#This Row],[_IsLeaf]]=1),0,IF(N(Tasks[[#This Row],[Actual Finish]])&gt;0,1,MIN(1,N(Tasks[[#This Row],[% Complete]]))))</f>
        <v>0</v>
      </c>
      <c r="BX45" s="41" t="n">
        <f aca="false">IF(OR(NOT(Tasks[[#This Row],[_IsLeaf]]=1),Tasks[[#This Row],[Resource]]=""),0,N(Tasks[[#This Row],[Duration]])*HoursPerDay*IF(Tasks[[#This Row],[Units]]="",DefaultUnits,Tasks[[#This Row],[Units]]))</f>
        <v>0</v>
      </c>
      <c r="BY45" s="41" t="n">
        <f aca="false">IF(Tasks[[#This Row],[_LeafWork]]=0,0,Tasks[[#This Row],[_LeafWork]]*IFERROR(INDEX(res_Rate,MATCH(Tasks[[#This Row],[Resource]],res_Name,0)),0))</f>
        <v>0</v>
      </c>
      <c r="BZ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5" s="41" t="n">
        <f aca="false">IF(NOT(Tasks[[#This Row],[_IsLeaf]]=1),0,MAX(_xlfn.MAXIFS(Tasks[_Row],Tasks[Pred1 UID],Tasks[[#This Row],[UID]]),_xlfn.MAXIFS(Tasks[_Row],Tasks[Pred2 UID],Tasks[[#This Row],[UID]])))</f>
        <v>0</v>
      </c>
      <c r="CE4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5" s="103" t="str">
        <f aca="false">IF(NOT(Tasks[[#This Row],[_IsLeaf]]=1),"",MIN(ProjectFinish,IF(N(Tasks[[#This Row],[Deadline]])&gt;0,Tasks[[#This Row],[Deadline]],2958465),Tasks[[#This Row],[_SuccessorFinishLimit]]))</f>
        <v/>
      </c>
      <c r="CG45" s="103" t="str">
        <f aca="false">IF(NOT(Tasks[[#This Row],[_IsLeaf]]=1),"",IF(N(Tasks[[#This Row],[Duration]])&lt;=0,Tasks[[#This Row],[_LeafLateFinish]],WORKDAY.INTL(Tasks[[#This Row],[_LeafLateFinish]],-(Tasks[[#This Row],[Duration]]-1),WorkWeek,Holidays)))</f>
        <v/>
      </c>
      <c r="CH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5" s="102" t="b">
        <f aca="false">AND(Tasks[[#This Row],[_IsLeaf]]=1,Tasks[[#This Row],[_LeafProgress]]&lt;1,N(Tasks[[#This Row],[_LeafTotalSlack]])&lt;=CriticalSlackDays)</f>
        <v>0</v>
      </c>
      <c r="CJ45" s="103" t="str">
        <f aca="false">IF(Tasks[[#This Row],[Task Name]]="","",IF(Tasks[[#This Row],[_IsSummary]],MIN(INDEX(Tasks[_LeafCalcStart],Tasks[[#This Row],[_Row]]+1):INDEX(Tasks[_LeafCalcStart],Tasks[[#This Row],[_Row]]+Tasks[[#This Row],[_Descendants]])),Tasks[[#This Row],[_LeafCalcStart]]))</f>
        <v/>
      </c>
      <c r="CK45" s="103" t="str">
        <f aca="false">IF(Tasks[[#This Row],[Task Name]]="","",IF(Tasks[[#This Row],[_IsSummary]],MAX(INDEX(Tasks[_LeafCalcFinish],Tasks[[#This Row],[_Row]]+1):INDEX(Tasks[_LeafCalcFinish],Tasks[[#This Row],[_Row]]+Tasks[[#This Row],[_Descendants]])),Tasks[[#This Row],[_LeafCalcFinish]]))</f>
        <v/>
      </c>
      <c r="CL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5" s="41" t="n">
        <f aca="false">IF(AND(Tasks[[#This Row],[_IsLeaf]]=1,Tasks[[#This Row],[_LeafWork]]&gt;0),NETWORKDAYS.INTL(ProjectStart,Tasks[[#This Row],[_LeafFcstStart]],WorkWeek,Holidays),0)</f>
        <v>0</v>
      </c>
      <c r="CS45" s="41" t="n">
        <f aca="false">IF(AND(Tasks[[#This Row],[_IsLeaf]]=1,Tasks[[#This Row],[_LeafWork]]&gt;0),MAX(Tasks[[#This Row],[_StartWorkday]],NETWORKDAYS.INTL(ProjectStart,Tasks[[#This Row],[_LeafFcstFinish]],WorkWeek,Holidays)),0)</f>
        <v>0</v>
      </c>
      <c r="CT45" s="41" t="n">
        <f aca="false">IF(AND(Tasks[[#This Row],[_IsLeaf]]=1,Tasks[[#This Row],[_LeafWork]]&gt;0),Tasks[[#This Row],[_LeafWork]]/(Tasks[[#This Row],[_FinishWorkday]]-Tasks[[#This Row],[_StartWorkday]]+1),0)</f>
        <v>0</v>
      </c>
      <c r="CU45" s="41" t="n">
        <f aca="false">Tasks[[#This Row],[_WorkPerWorkday]]*(Tasks[[#This Row],[_StartWorkday]]-1)</f>
        <v>-0</v>
      </c>
      <c r="CV45" s="41" t="n">
        <f aca="false">IF(Tasks[[#This Row],[_IsLeaf]]=1,MAX(N(Tasks[[#This Row],[Duration]]),0.1),0)</f>
        <v>0</v>
      </c>
      <c r="CW45" s="41" t="n">
        <f aca="false">Tasks[[#This Row],[_WeightDur]]*Tasks[[#This Row],[_LeafProgress]]</f>
        <v>0</v>
      </c>
      <c r="CX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5" s="41" t="str">
        <f aca="false">IF(Tasks[[#This Row],[Task Name]]="","",Tasks[[#This Row],[_Pred1UIDText]]&amp;IF(AND(Tasks[[#This Row],[_Pred1UIDText]]&lt;&gt;"",Tasks[[#This Row],[_Pred2UIDText]]&lt;&gt;""),",","")&amp;Tasks[[#This Row],[_Pred2UIDText]])</f>
        <v/>
      </c>
      <c r="DC45" s="41" t="str">
        <f aca="false">IF(AND(Tasks[[#This Row],[_IsLeaf]]=1,N(Tasks[[#This Row],[Duration]])=0,Tasks[[#This Row],[_LeafProgress]]&lt;1),Tasks[[#This Row],[_LeafFcstFinish]]+Tasks[[#This Row],[_Row]]/100000,"")</f>
        <v/>
      </c>
      <c r="DD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5" s="41" t="n">
        <f aca="false">IF(NOT(Tasks[[#This Row],[_IsLeaf]]=1),0,IF(Tasks[[#This Row],[Baseline Cost]]="",Tasks[[#This Row],[_LeafCost]],N(Tasks[[#This Row],[Baseline Cost]])))</f>
        <v>0</v>
      </c>
      <c r="DF45" s="41" t="n">
        <f aca="false">Tasks[[#This Row],[_LeafBudget]]*Tasks[[#This Row],[_PlannedPct]]</f>
        <v>0</v>
      </c>
      <c r="DG45" s="41" t="n">
        <f aca="false">Tasks[[#This Row],[_LeafBudget]]*Tasks[[#This Row],[_LeafProgress]]</f>
        <v>0</v>
      </c>
      <c r="DH45" s="41" t="n">
        <f aca="false">IF(NOT(Tasks[[#This Row],[_IsLeaf]]=1),0,IF(Tasks[[#This Row],[Actual Cost]]="",Tasks[[#This Row],[_LeafCost]]*Tasks[[#This Row],[_LeafProgress]],N(Tasks[[#This Row],[Actual Cost]])))</f>
        <v>0</v>
      </c>
      <c r="DI45" s="41" t="str">
        <f aca="false">IF(Tasks[[#This Row],[Task Name]]="","",LEFT(Tasks[[#This Row],[WBS]],FIND(".",Tasks[[#This Row],[WBS]]&amp;".")-1))</f>
        <v/>
      </c>
      <c r="DJ45" s="41" t="str">
        <f aca="false">IF(AND(Tasks[[#This Row],[Task Name]]&lt;&gt;"",Tasks[[#This Row],[_Level]]=1),Tasks[[#This Row],[_Row]],"")</f>
        <v/>
      </c>
      <c r="DK45" s="41" t="str">
        <f aca="false">IF(AND(Tasks[[#This Row],[_IsLeaf]]=1,N(Tasks[[#This Row],[Duration]])=0),Tasks[[#This Row],[Planned Finish]]+Tasks[[#This Row],[_Row]]/100000,"")</f>
        <v/>
      </c>
      <c r="DL45" s="41" t="str">
        <f aca="false">IF(AND(Tasks[[#This Row],[_IsLeaf]]=1,Tasks[[#This Row],[_LeafProgress]]&lt;1,OR(N(Tasks[[#This Row],[Finish Var]])&gt;0,Tasks[[#This Row],[Status]]="Late Start")),MAX(0,Tasks[[#This Row],[Finish Var]])+1-Tasks[[#This Row],[_Row]]/1000000,"")</f>
        <v/>
      </c>
      <c r="DM45" s="41" t="str">
        <f aca="false">IF(AND(Tasks[[#This Row],[_IsLeaf]]=1,N(Tasks[[#This Row],[Actual Start]])=0,Tasks[[#This Row],[_LeafFcstStart]]&gt;=StatusDate,Tasks[[#This Row],[_LeafFcstStart]]&lt;=LookaheadEnd),Tasks[[#This Row],[_LeafFcstStart]]+Tasks[[#This Row],[_Row]]/100000,"")</f>
        <v/>
      </c>
      <c r="DN45" s="41" t="str">
        <f aca="false">IF(AND(Tasks[[#This Row],[_IsLeaf]]=1,Tasks[[#This Row],[_LeafProgress]]&lt;1,Tasks[[#This Row],[_LeafFcstFinish]]&gt;=StatusDate,Tasks[[#This Row],[_LeafFcstFinish]]&lt;=LookaheadEnd),Tasks[[#This Row],[_LeafFcstFinish]]+Tasks[[#This Row],[_Row]]/100000,"")</f>
        <v/>
      </c>
      <c r="DO45" s="41" t="str">
        <f aca="false">IF(Tasks[[#This Row],[_LeafCritical]],Tasks[[#This Row],[_LeafFcstStart]]+Tasks[[#This Row],[_Row]]/100000,"")</f>
        <v/>
      </c>
      <c r="DP45" s="41" t="n">
        <f aca="false">Tasks[[#This Row],[_LeafWork]]*Tasks[[#This Row],[_LeafProgress]]</f>
        <v>0</v>
      </c>
      <c r="DQ45" s="103" t="str">
        <f aca="false">IF(AND(Tasks[[#This Row],[_IsLeaf]]=1,Tasks[[#This Row],[_LeafProgress]]&gt;=1),IF(N(Tasks[[#This Row],[Actual Finish]])&gt;0,Tasks[[#This Row],[Actual Finish]],Tasks[[#This Row],[_LeafFcstFinish]]),"")</f>
        <v/>
      </c>
      <c r="DR45" s="41" t="n">
        <f aca="false">IF(Tasks[[#This Row],[_IsLeaf]]=1,N(Tasks[[#This Row],[Story Points]]),0)</f>
        <v>0</v>
      </c>
      <c r="DS45" s="41" t="str">
        <f aca="false">IF(AND(Tasks[[#This Row],[_IsLeaf]]=1,CurrentSprint&lt;&gt;"",Tasks[[#This Row],[Sprint]]=CurrentSprint),Tasks[[#This Row],[_Row]],"")</f>
        <v/>
      </c>
    </row>
    <row r="46" customFormat="false" ht="15" hidden="false" customHeight="false" outlineLevel="0" collapsed="false">
      <c r="A46" s="28" t="str">
        <f aca="false">IF(Tasks[[#This Row],[Task Name]]="","",COUNTA(Tasks[[#Headers],[Task Name]]:Tasks[[#This Row],[Task Name]])-1)</f>
        <v/>
      </c>
      <c r="B46" s="29" t="n">
        <v>41</v>
      </c>
      <c r="C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29"/>
      <c r="E46" s="30"/>
      <c r="F46" s="29"/>
      <c r="G46" s="29"/>
      <c r="H46" s="29"/>
      <c r="I46" s="29"/>
      <c r="J46" s="29"/>
      <c r="K46" s="29"/>
      <c r="L46" s="29"/>
      <c r="M46" s="29"/>
      <c r="N46" s="77"/>
      <c r="O46" s="77"/>
      <c r="P46" s="25" t="str">
        <f aca="false">IF(Tasks[[#This Row],[Task Name]]="","",IF(N(Tasks[[#This Row],[Baseline Start]])&gt;0,Tasks[[#This Row],[Baseline Start]],Tasks[[#This Row],[_CalcStart]]))</f>
        <v/>
      </c>
      <c r="Q46" s="25" t="str">
        <f aca="false">IF(Tasks[[#This Row],[Task Name]]="","",IF(N(Tasks[[#This Row],[Baseline Finish]])&gt;0,Tasks[[#This Row],[Baseline Finish]],Tasks[[#This Row],[_CalcFinish]]))</f>
        <v/>
      </c>
      <c r="R46" s="77"/>
      <c r="S46" s="77"/>
      <c r="T46" s="25" t="str">
        <f aca="false">IF(Tasks[[#This Row],[Task Name]]="","",IF(Tasks[[#This Row],[_IsSummary]],MIN(INDEX(Tasks[_LeafFcstStart],Tasks[[#This Row],[_Row]]+1):INDEX(Tasks[_LeafFcstStart],Tasks[[#This Row],[_Row]]+Tasks[[#This Row],[_Descendants]])),Tasks[[#This Row],[_LeafFcstStart]]))</f>
        <v/>
      </c>
      <c r="U46" s="25" t="str">
        <f aca="false">IF(Tasks[[#This Row],[Task Name]]="","",IF(Tasks[[#This Row],[_IsSummary]],MAX(INDEX(Tasks[_LeafFcstFinish],Tasks[[#This Row],[_Row]]+1):INDEX(Tasks[_LeafFcstFinish],Tasks[[#This Row],[_Row]]+Tasks[[#This Row],[_Descendants]])),Tasks[[#This Row],[_LeafFcstFinish]]))</f>
        <v/>
      </c>
      <c r="V4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6" s="25" t="str">
        <f aca="false">IF(Tasks[[#This Row],[Task Name]]="","",IF(Tasks[[#This Row],[_IsSummary]],MIN(INDEX(Tasks[_LeafLateStart],Tasks[[#This Row],[_Row]]+1):INDEX(Tasks[_LeafLateStart],Tasks[[#This Row],[_Row]]+Tasks[[#This Row],[_Descendants]])),Tasks[[#This Row],[_LeafLateStart]]))</f>
        <v/>
      </c>
      <c r="Y46" s="25" t="str">
        <f aca="false">IF(Tasks[[#This Row],[Task Name]]="","",IF(Tasks[[#This Row],[_IsSummary]],MAX(INDEX(Tasks[_LeafLateFinish],Tasks[[#This Row],[_Row]]+1):INDEX(Tasks[_LeafLateFinish],Tasks[[#This Row],[_Row]]+Tasks[[#This Row],[_Descendants]])),Tasks[[#This Row],[_LeafLateFinish]]))</f>
        <v/>
      </c>
      <c r="Z46" s="43" t="str">
        <f aca="false">IF(Tasks[[#This Row],[Task Name]]="","",IF(Tasks[[#This Row],[_IsSummary]],MIN(INDEX(Tasks[_LeafTotalSlack],Tasks[[#This Row],[_Row]]+1):INDEX(Tasks[_LeafTotalSlack],Tasks[[#This Row],[_Row]]+Tasks[[#This Row],[_Descendants]])),Tasks[[#This Row],[_LeafTotalSlack]]))</f>
        <v/>
      </c>
      <c r="AA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6" s="28" t="str">
        <f aca="false">IF(Tasks[[#This Row],[Task Name]]="","",IF(IF(Tasks[[#This Row],[_IsSummary]],COUNTIF(INDEX(Tasks[_LeafCritical],Tasks[[#This Row],[_Row]]+1):INDEX(Tasks[_LeafCritical],Tasks[[#This Row],[_Row]]+Tasks[[#This Row],[_Descendants]]),TRUE())&gt;0,Tasks[[#This Row],[_LeafCritical]]),"Yes",""))</f>
        <v/>
      </c>
      <c r="AC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6" s="24" t="str">
        <f aca="false">IF(Tasks[[#This Row],[Task Name]]="","",TRIM(IF(Tasks[[#This Row],[_Pred1Problem]]&lt;&gt;"","Pred 1: "&amp;Tasks[[#This Row],[_Pred1Problem]]&amp;". ","")&amp;IF(Tasks[[#This Row],[_Pred2Problem]]&lt;&gt;"","Pred 2: "&amp;Tasks[[#This Row],[_Pred2Problem]]&amp;".","")))</f>
        <v/>
      </c>
      <c r="AE46" s="91"/>
      <c r="AF4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6" s="28" t="str">
        <f aca="false">IF(Tasks[[#This Row],[Task Name]]="","",IF(Tasks[[#This Row],[Progress]]&gt;=1,"Complete",IF(OR(N(Tasks[[#This Row],[Actual Start]])&gt;0,Tasks[[#This Row],[Progress]]&gt;0),IF(Tasks[[#This Row],[Finish Var]]&gt;0,"Behind","In Progress"),IF(Tasks[[#This Row],[Planned Start]]&lt;StatusDate,"Late Start","Not Started"))))</f>
        <v/>
      </c>
      <c r="AH46" s="30"/>
      <c r="AI46" s="91"/>
      <c r="AJ4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6" s="98" t="str">
        <f aca="false">IF(Tasks[[#This Row],[Task Name]]="","",IF(Tasks[[#This Row],[_IsSummary]],SUM(INDEX(Tasks[_LeafWork],Tasks[[#This Row],[_Row]]+1):INDEX(Tasks[_LeafWork],Tasks[[#This Row],[_Row]]+Tasks[[#This Row],[_Descendants]])),Tasks[[#This Row],[_LeafWork]]))</f>
        <v/>
      </c>
      <c r="AL46" s="99" t="str">
        <f aca="false">IF(Tasks[[#This Row],[Task Name]]="","",IF(Tasks[[#This Row],[_IsSummary]],SUM(INDEX(Tasks[_LeafCost],Tasks[[#This Row],[_Row]]+1):INDEX(Tasks[_LeafCost],Tasks[[#This Row],[_Row]]+Tasks[[#This Row],[_Descendants]])),Tasks[[#This Row],[_LeafCost]]))</f>
        <v/>
      </c>
      <c r="AM46" s="100"/>
      <c r="AN46" s="29"/>
      <c r="AO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6" s="85"/>
      <c r="AQ46" s="24" t="str">
        <f aca="false">IF(Tasks[[#This Row],[Task Name]]="","",Tasks[[#This Row],[_Pred1IDText]]&amp;IF(AND(Tasks[[#This Row],[_Pred1IDText]]&lt;&gt;"",Tasks[[#This Row],[_Pred2IDText]]&lt;&gt;""),",","")&amp;Tasks[[#This Row],[_Pred2IDText]])</f>
        <v/>
      </c>
      <c r="AR46" s="30"/>
      <c r="AS46" s="25" t="str">
        <f aca="false">IF(Tasks[[#This Row],[Task Name]]="","",Tasks[[#This Row],[Forecast Start]])</f>
        <v/>
      </c>
      <c r="AT46" s="25" t="str">
        <f aca="false">IF(Tasks[[#This Row],[Task Name]]="","",Tasks[[#This Row],[Forecast Finish]])</f>
        <v/>
      </c>
      <c r="AU46" s="28" t="str">
        <f aca="false">IF(Tasks[[#This Row],[Task Name]]="","",IF(Tasks[[#This Row],[_IsSummary]],NETWORKDAYS.INTL(Tasks[[#This Row],[Forecast Start]],Tasks[[#This Row],[Forecast Finish]],WorkWeek,Holidays),N(Tasks[[#This Row],[Duration]])))</f>
        <v/>
      </c>
      <c r="AV46" s="98" t="str">
        <f aca="false">IF(Tasks[[#This Row],[Task Name]]="","",Tasks[[#This Row],[Work]])</f>
        <v/>
      </c>
      <c r="AW46" s="99" t="str">
        <f aca="false">IF(Tasks[[#This Row],[Task Name]]="","",Tasks[[#This Row],[Cost]])</f>
        <v/>
      </c>
      <c r="AX46" s="77"/>
      <c r="AY46" s="77"/>
      <c r="AZ46" s="29"/>
      <c r="BA46" s="101"/>
      <c r="BB46" s="100"/>
      <c r="BC46" s="28" t="str">
        <f aca="false">IF(OR(Tasks[[#This Row],[Task Name]]="",Tasks[[#This Row],[Baseline Duration]]=""),"",Tasks[[#This Row],[BL Source Duration]]-N(Tasks[[#This Row],[Baseline Duration]]))</f>
        <v/>
      </c>
      <c r="BD46" s="98" t="str">
        <f aca="false">IF(OR(Tasks[[#This Row],[Task Name]]="",Tasks[[#This Row],[Baseline Work]]=""),"",Tasks[[#This Row],[Work]]-N(Tasks[[#This Row],[Baseline Work]]))</f>
        <v/>
      </c>
      <c r="BE46" s="99" t="str">
        <f aca="false">IF(OR(Tasks[[#This Row],[Task Name]]="",Tasks[[#This Row],[Baseline Cost]]=""),"",Tasks[[#This Row],[Cost]]-N(Tasks[[#This Row],[Baseline Cost]]))</f>
        <v/>
      </c>
      <c r="BF46" s="99" t="str">
        <f aca="false">IF(Tasks[[#This Row],[Task Name]]="","",IF(Tasks[[#This Row],[_IsSummary]],SUM(INDEX(Tasks[_LeafBudget],Tasks[[#This Row],[_Row]]+1):INDEX(Tasks[_LeafBudget],Tasks[[#This Row],[_Row]]+Tasks[[#This Row],[_Descendants]])),Tasks[[#This Row],[_LeafBudget]]))</f>
        <v/>
      </c>
      <c r="BG46" s="99" t="str">
        <f aca="false">IF(Tasks[[#This Row],[Task Name]]="","",IF(Tasks[[#This Row],[_IsSummary]],SUM(INDEX(Tasks[_LeafPV],Tasks[[#This Row],[_Row]]+1):INDEX(Tasks[_LeafPV],Tasks[[#This Row],[_Row]]+Tasks[[#This Row],[_Descendants]])),Tasks[[#This Row],[_LeafPV]]))</f>
        <v/>
      </c>
      <c r="BH46" s="99" t="str">
        <f aca="false">IF(Tasks[[#This Row],[Task Name]]="","",IF(Tasks[[#This Row],[_IsSummary]],SUM(INDEX(Tasks[_LeafEV],Tasks[[#This Row],[_Row]]+1):INDEX(Tasks[_LeafEV],Tasks[[#This Row],[_Row]]+Tasks[[#This Row],[_Descendants]])),Tasks[[#This Row],[_LeafEV]]))</f>
        <v/>
      </c>
      <c r="BI46" s="99" t="str">
        <f aca="false">IF(Tasks[[#This Row],[Task Name]]="","",IF(Tasks[[#This Row],[_IsSummary]],SUM(INDEX(Tasks[_LeafAC],Tasks[[#This Row],[_Row]]+1):INDEX(Tasks[_LeafAC],Tasks[[#This Row],[_Row]]+Tasks[[#This Row],[_Descendants]])),Tasks[[#This Row],[_LeafAC]]))</f>
        <v/>
      </c>
      <c r="BJ46" s="41" t="str">
        <f aca="false">IF(Tasks[[#This Row],[Task Name]]="","",MAX(1,N(Tasks[[#This Row],[Level]])))</f>
        <v/>
      </c>
      <c r="BK46" s="41" t="n">
        <f aca="false">ROW()-ROW(Tasks[[#Headers],[ID]])</f>
        <v>41</v>
      </c>
      <c r="BL46" s="41" t="n">
        <f aca="false">IF(OR(Tasks[[#This Row],[Task Name]]="",Tasks[[#This Row],[_Level]]&lt;=1),0,IFERROR(LOOKUP(2,1/(Tasks[[#Headers],[_Level]]:Tasks[[#This Row],[_Level]]=Tasks[[#This Row],[_Level]]-1),ROW(Tasks[[#Headers],[_Level]]:Tasks[[#This Row],[_Level]])),0))</f>
        <v>0</v>
      </c>
      <c r="BM46" s="41" t="n">
        <f aca="false">IFERROR(N(INDEX(Tasks[_Level],Tasks[[#This Row],[_Row]]+1)),0)</f>
        <v>0</v>
      </c>
      <c r="BN46" s="102" t="b">
        <f aca="false">AND(Tasks[[#This Row],[Task Name]]&lt;&gt;"",Tasks[[#This Row],[_NextLevel]]&gt;Tasks[[#This Row],[_Level]])</f>
        <v>0</v>
      </c>
      <c r="BO46" s="41" t="n">
        <f aca="false">IF(Tasks[[#This Row],[_IsSummary]],COUNTIF(Tasks[WBS],Tasks[[#This Row],[WBS]]&amp;".*"),0)</f>
        <v>0</v>
      </c>
      <c r="BP46" s="41" t="n">
        <f aca="false">IF(AND(Tasks[[#This Row],[Task Name]]&lt;&gt;"",NOT(Tasks[[#This Row],[_IsSummary]])),1,0)</f>
        <v>0</v>
      </c>
      <c r="BQ46" s="41" t="n">
        <f aca="false">IF(N(Tasks[[#This Row],[Pred1 UID]])=0,0,IFERROR(MATCH(Tasks[[#This Row],[Pred1 UID]],Tasks[UID],0),-1))</f>
        <v>0</v>
      </c>
      <c r="BR46" s="41" t="n">
        <f aca="false">IF(N(Tasks[[#This Row],[Pred2 UID]])=0,0,IFERROR(MATCH(Tasks[[#This Row],[Pred2 UID]],Tasks[UID],0),-1))</f>
        <v>0</v>
      </c>
      <c r="BS4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6" s="103" t="str">
        <f aca="false">IF(NOT(Tasks[[#This Row],[_IsLeaf]]=1),"",IF(N(Tasks[[#This Row],[Duration]])&lt;=0,Tasks[[#This Row],[_LeafCalcStart]],WORKDAY.INTL(Tasks[[#This Row],[_LeafCalcStart]],Tasks[[#This Row],[Duration]]-1,WorkWeek,Holidays)))</f>
        <v/>
      </c>
      <c r="BU4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6" s="41" t="n">
        <f aca="false">IF(NOT(Tasks[[#This Row],[_IsLeaf]]=1),0,IF(N(Tasks[[#This Row],[Actual Finish]])&gt;0,1,MIN(1,N(Tasks[[#This Row],[% Complete]]))))</f>
        <v>0</v>
      </c>
      <c r="BX46" s="41" t="n">
        <f aca="false">IF(OR(NOT(Tasks[[#This Row],[_IsLeaf]]=1),Tasks[[#This Row],[Resource]]=""),0,N(Tasks[[#This Row],[Duration]])*HoursPerDay*IF(Tasks[[#This Row],[Units]]="",DefaultUnits,Tasks[[#This Row],[Units]]))</f>
        <v>0</v>
      </c>
      <c r="BY46" s="41" t="n">
        <f aca="false">IF(Tasks[[#This Row],[_LeafWork]]=0,0,Tasks[[#This Row],[_LeafWork]]*IFERROR(INDEX(res_Rate,MATCH(Tasks[[#This Row],[Resource]],res_Name,0)),0))</f>
        <v>0</v>
      </c>
      <c r="BZ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6" s="41" t="n">
        <f aca="false">IF(NOT(Tasks[[#This Row],[_IsLeaf]]=1),0,MAX(_xlfn.MAXIFS(Tasks[_Row],Tasks[Pred1 UID],Tasks[[#This Row],[UID]]),_xlfn.MAXIFS(Tasks[_Row],Tasks[Pred2 UID],Tasks[[#This Row],[UID]])))</f>
        <v>0</v>
      </c>
      <c r="CE4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6" s="103" t="str">
        <f aca="false">IF(NOT(Tasks[[#This Row],[_IsLeaf]]=1),"",MIN(ProjectFinish,IF(N(Tasks[[#This Row],[Deadline]])&gt;0,Tasks[[#This Row],[Deadline]],2958465),Tasks[[#This Row],[_SuccessorFinishLimit]]))</f>
        <v/>
      </c>
      <c r="CG46" s="103" t="str">
        <f aca="false">IF(NOT(Tasks[[#This Row],[_IsLeaf]]=1),"",IF(N(Tasks[[#This Row],[Duration]])&lt;=0,Tasks[[#This Row],[_LeafLateFinish]],WORKDAY.INTL(Tasks[[#This Row],[_LeafLateFinish]],-(Tasks[[#This Row],[Duration]]-1),WorkWeek,Holidays)))</f>
        <v/>
      </c>
      <c r="CH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6" s="102" t="b">
        <f aca="false">AND(Tasks[[#This Row],[_IsLeaf]]=1,Tasks[[#This Row],[_LeafProgress]]&lt;1,N(Tasks[[#This Row],[_LeafTotalSlack]])&lt;=CriticalSlackDays)</f>
        <v>0</v>
      </c>
      <c r="CJ46" s="103" t="str">
        <f aca="false">IF(Tasks[[#This Row],[Task Name]]="","",IF(Tasks[[#This Row],[_IsSummary]],MIN(INDEX(Tasks[_LeafCalcStart],Tasks[[#This Row],[_Row]]+1):INDEX(Tasks[_LeafCalcStart],Tasks[[#This Row],[_Row]]+Tasks[[#This Row],[_Descendants]])),Tasks[[#This Row],[_LeafCalcStart]]))</f>
        <v/>
      </c>
      <c r="CK46" s="103" t="str">
        <f aca="false">IF(Tasks[[#This Row],[Task Name]]="","",IF(Tasks[[#This Row],[_IsSummary]],MAX(INDEX(Tasks[_LeafCalcFinish],Tasks[[#This Row],[_Row]]+1):INDEX(Tasks[_LeafCalcFinish],Tasks[[#This Row],[_Row]]+Tasks[[#This Row],[_Descendants]])),Tasks[[#This Row],[_LeafCalcFinish]]))</f>
        <v/>
      </c>
      <c r="CL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6" s="41" t="n">
        <f aca="false">IF(AND(Tasks[[#This Row],[_IsLeaf]]=1,Tasks[[#This Row],[_LeafWork]]&gt;0),NETWORKDAYS.INTL(ProjectStart,Tasks[[#This Row],[_LeafFcstStart]],WorkWeek,Holidays),0)</f>
        <v>0</v>
      </c>
      <c r="CS46" s="41" t="n">
        <f aca="false">IF(AND(Tasks[[#This Row],[_IsLeaf]]=1,Tasks[[#This Row],[_LeafWork]]&gt;0),MAX(Tasks[[#This Row],[_StartWorkday]],NETWORKDAYS.INTL(ProjectStart,Tasks[[#This Row],[_LeafFcstFinish]],WorkWeek,Holidays)),0)</f>
        <v>0</v>
      </c>
      <c r="CT46" s="41" t="n">
        <f aca="false">IF(AND(Tasks[[#This Row],[_IsLeaf]]=1,Tasks[[#This Row],[_LeafWork]]&gt;0),Tasks[[#This Row],[_LeafWork]]/(Tasks[[#This Row],[_FinishWorkday]]-Tasks[[#This Row],[_StartWorkday]]+1),0)</f>
        <v>0</v>
      </c>
      <c r="CU46" s="41" t="n">
        <f aca="false">Tasks[[#This Row],[_WorkPerWorkday]]*(Tasks[[#This Row],[_StartWorkday]]-1)</f>
        <v>-0</v>
      </c>
      <c r="CV46" s="41" t="n">
        <f aca="false">IF(Tasks[[#This Row],[_IsLeaf]]=1,MAX(N(Tasks[[#This Row],[Duration]]),0.1),0)</f>
        <v>0</v>
      </c>
      <c r="CW46" s="41" t="n">
        <f aca="false">Tasks[[#This Row],[_WeightDur]]*Tasks[[#This Row],[_LeafProgress]]</f>
        <v>0</v>
      </c>
      <c r="CX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6" s="41" t="str">
        <f aca="false">IF(Tasks[[#This Row],[Task Name]]="","",Tasks[[#This Row],[_Pred1UIDText]]&amp;IF(AND(Tasks[[#This Row],[_Pred1UIDText]]&lt;&gt;"",Tasks[[#This Row],[_Pred2UIDText]]&lt;&gt;""),",","")&amp;Tasks[[#This Row],[_Pred2UIDText]])</f>
        <v/>
      </c>
      <c r="DC46" s="41" t="str">
        <f aca="false">IF(AND(Tasks[[#This Row],[_IsLeaf]]=1,N(Tasks[[#This Row],[Duration]])=0,Tasks[[#This Row],[_LeafProgress]]&lt;1),Tasks[[#This Row],[_LeafFcstFinish]]+Tasks[[#This Row],[_Row]]/100000,"")</f>
        <v/>
      </c>
      <c r="DD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6" s="41" t="n">
        <f aca="false">IF(NOT(Tasks[[#This Row],[_IsLeaf]]=1),0,IF(Tasks[[#This Row],[Baseline Cost]]="",Tasks[[#This Row],[_LeafCost]],N(Tasks[[#This Row],[Baseline Cost]])))</f>
        <v>0</v>
      </c>
      <c r="DF46" s="41" t="n">
        <f aca="false">Tasks[[#This Row],[_LeafBudget]]*Tasks[[#This Row],[_PlannedPct]]</f>
        <v>0</v>
      </c>
      <c r="DG46" s="41" t="n">
        <f aca="false">Tasks[[#This Row],[_LeafBudget]]*Tasks[[#This Row],[_LeafProgress]]</f>
        <v>0</v>
      </c>
      <c r="DH46" s="41" t="n">
        <f aca="false">IF(NOT(Tasks[[#This Row],[_IsLeaf]]=1),0,IF(Tasks[[#This Row],[Actual Cost]]="",Tasks[[#This Row],[_LeafCost]]*Tasks[[#This Row],[_LeafProgress]],N(Tasks[[#This Row],[Actual Cost]])))</f>
        <v>0</v>
      </c>
      <c r="DI46" s="41" t="str">
        <f aca="false">IF(Tasks[[#This Row],[Task Name]]="","",LEFT(Tasks[[#This Row],[WBS]],FIND(".",Tasks[[#This Row],[WBS]]&amp;".")-1))</f>
        <v/>
      </c>
      <c r="DJ46" s="41" t="str">
        <f aca="false">IF(AND(Tasks[[#This Row],[Task Name]]&lt;&gt;"",Tasks[[#This Row],[_Level]]=1),Tasks[[#This Row],[_Row]],"")</f>
        <v/>
      </c>
      <c r="DK46" s="41" t="str">
        <f aca="false">IF(AND(Tasks[[#This Row],[_IsLeaf]]=1,N(Tasks[[#This Row],[Duration]])=0),Tasks[[#This Row],[Planned Finish]]+Tasks[[#This Row],[_Row]]/100000,"")</f>
        <v/>
      </c>
      <c r="DL46" s="41" t="str">
        <f aca="false">IF(AND(Tasks[[#This Row],[_IsLeaf]]=1,Tasks[[#This Row],[_LeafProgress]]&lt;1,OR(N(Tasks[[#This Row],[Finish Var]])&gt;0,Tasks[[#This Row],[Status]]="Late Start")),MAX(0,Tasks[[#This Row],[Finish Var]])+1-Tasks[[#This Row],[_Row]]/1000000,"")</f>
        <v/>
      </c>
      <c r="DM46" s="41" t="str">
        <f aca="false">IF(AND(Tasks[[#This Row],[_IsLeaf]]=1,N(Tasks[[#This Row],[Actual Start]])=0,Tasks[[#This Row],[_LeafFcstStart]]&gt;=StatusDate,Tasks[[#This Row],[_LeafFcstStart]]&lt;=LookaheadEnd),Tasks[[#This Row],[_LeafFcstStart]]+Tasks[[#This Row],[_Row]]/100000,"")</f>
        <v/>
      </c>
      <c r="DN46" s="41" t="str">
        <f aca="false">IF(AND(Tasks[[#This Row],[_IsLeaf]]=1,Tasks[[#This Row],[_LeafProgress]]&lt;1,Tasks[[#This Row],[_LeafFcstFinish]]&gt;=StatusDate,Tasks[[#This Row],[_LeafFcstFinish]]&lt;=LookaheadEnd),Tasks[[#This Row],[_LeafFcstFinish]]+Tasks[[#This Row],[_Row]]/100000,"")</f>
        <v/>
      </c>
      <c r="DO46" s="41" t="str">
        <f aca="false">IF(Tasks[[#This Row],[_LeafCritical]],Tasks[[#This Row],[_LeafFcstStart]]+Tasks[[#This Row],[_Row]]/100000,"")</f>
        <v/>
      </c>
      <c r="DP46" s="41" t="n">
        <f aca="false">Tasks[[#This Row],[_LeafWork]]*Tasks[[#This Row],[_LeafProgress]]</f>
        <v>0</v>
      </c>
      <c r="DQ46" s="103" t="str">
        <f aca="false">IF(AND(Tasks[[#This Row],[_IsLeaf]]=1,Tasks[[#This Row],[_LeafProgress]]&gt;=1),IF(N(Tasks[[#This Row],[Actual Finish]])&gt;0,Tasks[[#This Row],[Actual Finish]],Tasks[[#This Row],[_LeafFcstFinish]]),"")</f>
        <v/>
      </c>
      <c r="DR46" s="41" t="n">
        <f aca="false">IF(Tasks[[#This Row],[_IsLeaf]]=1,N(Tasks[[#This Row],[Story Points]]),0)</f>
        <v>0</v>
      </c>
      <c r="DS46" s="41" t="str">
        <f aca="false">IF(AND(Tasks[[#This Row],[_IsLeaf]]=1,CurrentSprint&lt;&gt;"",Tasks[[#This Row],[Sprint]]=CurrentSprint),Tasks[[#This Row],[_Row]],"")</f>
        <v/>
      </c>
    </row>
    <row r="47" customFormat="false" ht="15" hidden="false" customHeight="false" outlineLevel="0" collapsed="false">
      <c r="A47" s="28" t="str">
        <f aca="false">IF(Tasks[[#This Row],[Task Name]]="","",COUNTA(Tasks[[#Headers],[Task Name]]:Tasks[[#This Row],[Task Name]])-1)</f>
        <v/>
      </c>
      <c r="B47" s="29" t="n">
        <v>42</v>
      </c>
      <c r="C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29"/>
      <c r="E47" s="30"/>
      <c r="F47" s="29"/>
      <c r="G47" s="29"/>
      <c r="H47" s="29"/>
      <c r="I47" s="29"/>
      <c r="J47" s="29"/>
      <c r="K47" s="29"/>
      <c r="L47" s="29"/>
      <c r="M47" s="29"/>
      <c r="N47" s="77"/>
      <c r="O47" s="77"/>
      <c r="P47" s="25" t="str">
        <f aca="false">IF(Tasks[[#This Row],[Task Name]]="","",IF(N(Tasks[[#This Row],[Baseline Start]])&gt;0,Tasks[[#This Row],[Baseline Start]],Tasks[[#This Row],[_CalcStart]]))</f>
        <v/>
      </c>
      <c r="Q47" s="25" t="str">
        <f aca="false">IF(Tasks[[#This Row],[Task Name]]="","",IF(N(Tasks[[#This Row],[Baseline Finish]])&gt;0,Tasks[[#This Row],[Baseline Finish]],Tasks[[#This Row],[_CalcFinish]]))</f>
        <v/>
      </c>
      <c r="R47" s="77"/>
      <c r="S47" s="77"/>
      <c r="T47" s="25" t="str">
        <f aca="false">IF(Tasks[[#This Row],[Task Name]]="","",IF(Tasks[[#This Row],[_IsSummary]],MIN(INDEX(Tasks[_LeafFcstStart],Tasks[[#This Row],[_Row]]+1):INDEX(Tasks[_LeafFcstStart],Tasks[[#This Row],[_Row]]+Tasks[[#This Row],[_Descendants]])),Tasks[[#This Row],[_LeafFcstStart]]))</f>
        <v/>
      </c>
      <c r="U47" s="25" t="str">
        <f aca="false">IF(Tasks[[#This Row],[Task Name]]="","",IF(Tasks[[#This Row],[_IsSummary]],MAX(INDEX(Tasks[_LeafFcstFinish],Tasks[[#This Row],[_Row]]+1):INDEX(Tasks[_LeafFcstFinish],Tasks[[#This Row],[_Row]]+Tasks[[#This Row],[_Descendants]])),Tasks[[#This Row],[_LeafFcstFinish]]))</f>
        <v/>
      </c>
      <c r="V4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7" s="25" t="str">
        <f aca="false">IF(Tasks[[#This Row],[Task Name]]="","",IF(Tasks[[#This Row],[_IsSummary]],MIN(INDEX(Tasks[_LeafLateStart],Tasks[[#This Row],[_Row]]+1):INDEX(Tasks[_LeafLateStart],Tasks[[#This Row],[_Row]]+Tasks[[#This Row],[_Descendants]])),Tasks[[#This Row],[_LeafLateStart]]))</f>
        <v/>
      </c>
      <c r="Y47" s="25" t="str">
        <f aca="false">IF(Tasks[[#This Row],[Task Name]]="","",IF(Tasks[[#This Row],[_IsSummary]],MAX(INDEX(Tasks[_LeafLateFinish],Tasks[[#This Row],[_Row]]+1):INDEX(Tasks[_LeafLateFinish],Tasks[[#This Row],[_Row]]+Tasks[[#This Row],[_Descendants]])),Tasks[[#This Row],[_LeafLateFinish]]))</f>
        <v/>
      </c>
      <c r="Z47" s="43" t="str">
        <f aca="false">IF(Tasks[[#This Row],[Task Name]]="","",IF(Tasks[[#This Row],[_IsSummary]],MIN(INDEX(Tasks[_LeafTotalSlack],Tasks[[#This Row],[_Row]]+1):INDEX(Tasks[_LeafTotalSlack],Tasks[[#This Row],[_Row]]+Tasks[[#This Row],[_Descendants]])),Tasks[[#This Row],[_LeafTotalSlack]]))</f>
        <v/>
      </c>
      <c r="AA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7" s="28" t="str">
        <f aca="false">IF(Tasks[[#This Row],[Task Name]]="","",IF(IF(Tasks[[#This Row],[_IsSummary]],COUNTIF(INDEX(Tasks[_LeafCritical],Tasks[[#This Row],[_Row]]+1):INDEX(Tasks[_LeafCritical],Tasks[[#This Row],[_Row]]+Tasks[[#This Row],[_Descendants]]),TRUE())&gt;0,Tasks[[#This Row],[_LeafCritical]]),"Yes",""))</f>
        <v/>
      </c>
      <c r="AC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7" s="24" t="str">
        <f aca="false">IF(Tasks[[#This Row],[Task Name]]="","",TRIM(IF(Tasks[[#This Row],[_Pred1Problem]]&lt;&gt;"","Pred 1: "&amp;Tasks[[#This Row],[_Pred1Problem]]&amp;". ","")&amp;IF(Tasks[[#This Row],[_Pred2Problem]]&lt;&gt;"","Pred 2: "&amp;Tasks[[#This Row],[_Pred2Problem]]&amp;".","")))</f>
        <v/>
      </c>
      <c r="AE47" s="91"/>
      <c r="AF4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7" s="28" t="str">
        <f aca="false">IF(Tasks[[#This Row],[Task Name]]="","",IF(Tasks[[#This Row],[Progress]]&gt;=1,"Complete",IF(OR(N(Tasks[[#This Row],[Actual Start]])&gt;0,Tasks[[#This Row],[Progress]]&gt;0),IF(Tasks[[#This Row],[Finish Var]]&gt;0,"Behind","In Progress"),IF(Tasks[[#This Row],[Planned Start]]&lt;StatusDate,"Late Start","Not Started"))))</f>
        <v/>
      </c>
      <c r="AH47" s="30"/>
      <c r="AI47" s="91"/>
      <c r="AJ4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7" s="98" t="str">
        <f aca="false">IF(Tasks[[#This Row],[Task Name]]="","",IF(Tasks[[#This Row],[_IsSummary]],SUM(INDEX(Tasks[_LeafWork],Tasks[[#This Row],[_Row]]+1):INDEX(Tasks[_LeafWork],Tasks[[#This Row],[_Row]]+Tasks[[#This Row],[_Descendants]])),Tasks[[#This Row],[_LeafWork]]))</f>
        <v/>
      </c>
      <c r="AL47" s="99" t="str">
        <f aca="false">IF(Tasks[[#This Row],[Task Name]]="","",IF(Tasks[[#This Row],[_IsSummary]],SUM(INDEX(Tasks[_LeafCost],Tasks[[#This Row],[_Row]]+1):INDEX(Tasks[_LeafCost],Tasks[[#This Row],[_Row]]+Tasks[[#This Row],[_Descendants]])),Tasks[[#This Row],[_LeafCost]]))</f>
        <v/>
      </c>
      <c r="AM47" s="100"/>
      <c r="AN47" s="29"/>
      <c r="AO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7" s="85"/>
      <c r="AQ47" s="24" t="str">
        <f aca="false">IF(Tasks[[#This Row],[Task Name]]="","",Tasks[[#This Row],[_Pred1IDText]]&amp;IF(AND(Tasks[[#This Row],[_Pred1IDText]]&lt;&gt;"",Tasks[[#This Row],[_Pred2IDText]]&lt;&gt;""),",","")&amp;Tasks[[#This Row],[_Pred2IDText]])</f>
        <v/>
      </c>
      <c r="AR47" s="30"/>
      <c r="AS47" s="25" t="str">
        <f aca="false">IF(Tasks[[#This Row],[Task Name]]="","",Tasks[[#This Row],[Forecast Start]])</f>
        <v/>
      </c>
      <c r="AT47" s="25" t="str">
        <f aca="false">IF(Tasks[[#This Row],[Task Name]]="","",Tasks[[#This Row],[Forecast Finish]])</f>
        <v/>
      </c>
      <c r="AU47" s="28" t="str">
        <f aca="false">IF(Tasks[[#This Row],[Task Name]]="","",IF(Tasks[[#This Row],[_IsSummary]],NETWORKDAYS.INTL(Tasks[[#This Row],[Forecast Start]],Tasks[[#This Row],[Forecast Finish]],WorkWeek,Holidays),N(Tasks[[#This Row],[Duration]])))</f>
        <v/>
      </c>
      <c r="AV47" s="98" t="str">
        <f aca="false">IF(Tasks[[#This Row],[Task Name]]="","",Tasks[[#This Row],[Work]])</f>
        <v/>
      </c>
      <c r="AW47" s="99" t="str">
        <f aca="false">IF(Tasks[[#This Row],[Task Name]]="","",Tasks[[#This Row],[Cost]])</f>
        <v/>
      </c>
      <c r="AX47" s="77"/>
      <c r="AY47" s="77"/>
      <c r="AZ47" s="29"/>
      <c r="BA47" s="101"/>
      <c r="BB47" s="100"/>
      <c r="BC47" s="28" t="str">
        <f aca="false">IF(OR(Tasks[[#This Row],[Task Name]]="",Tasks[[#This Row],[Baseline Duration]]=""),"",Tasks[[#This Row],[BL Source Duration]]-N(Tasks[[#This Row],[Baseline Duration]]))</f>
        <v/>
      </c>
      <c r="BD47" s="98" t="str">
        <f aca="false">IF(OR(Tasks[[#This Row],[Task Name]]="",Tasks[[#This Row],[Baseline Work]]=""),"",Tasks[[#This Row],[Work]]-N(Tasks[[#This Row],[Baseline Work]]))</f>
        <v/>
      </c>
      <c r="BE47" s="99" t="str">
        <f aca="false">IF(OR(Tasks[[#This Row],[Task Name]]="",Tasks[[#This Row],[Baseline Cost]]=""),"",Tasks[[#This Row],[Cost]]-N(Tasks[[#This Row],[Baseline Cost]]))</f>
        <v/>
      </c>
      <c r="BF47" s="99" t="str">
        <f aca="false">IF(Tasks[[#This Row],[Task Name]]="","",IF(Tasks[[#This Row],[_IsSummary]],SUM(INDEX(Tasks[_LeafBudget],Tasks[[#This Row],[_Row]]+1):INDEX(Tasks[_LeafBudget],Tasks[[#This Row],[_Row]]+Tasks[[#This Row],[_Descendants]])),Tasks[[#This Row],[_LeafBudget]]))</f>
        <v/>
      </c>
      <c r="BG47" s="99" t="str">
        <f aca="false">IF(Tasks[[#This Row],[Task Name]]="","",IF(Tasks[[#This Row],[_IsSummary]],SUM(INDEX(Tasks[_LeafPV],Tasks[[#This Row],[_Row]]+1):INDEX(Tasks[_LeafPV],Tasks[[#This Row],[_Row]]+Tasks[[#This Row],[_Descendants]])),Tasks[[#This Row],[_LeafPV]]))</f>
        <v/>
      </c>
      <c r="BH47" s="99" t="str">
        <f aca="false">IF(Tasks[[#This Row],[Task Name]]="","",IF(Tasks[[#This Row],[_IsSummary]],SUM(INDEX(Tasks[_LeafEV],Tasks[[#This Row],[_Row]]+1):INDEX(Tasks[_LeafEV],Tasks[[#This Row],[_Row]]+Tasks[[#This Row],[_Descendants]])),Tasks[[#This Row],[_LeafEV]]))</f>
        <v/>
      </c>
      <c r="BI47" s="99" t="str">
        <f aca="false">IF(Tasks[[#This Row],[Task Name]]="","",IF(Tasks[[#This Row],[_IsSummary]],SUM(INDEX(Tasks[_LeafAC],Tasks[[#This Row],[_Row]]+1):INDEX(Tasks[_LeafAC],Tasks[[#This Row],[_Row]]+Tasks[[#This Row],[_Descendants]])),Tasks[[#This Row],[_LeafAC]]))</f>
        <v/>
      </c>
      <c r="BJ47" s="41" t="str">
        <f aca="false">IF(Tasks[[#This Row],[Task Name]]="","",MAX(1,N(Tasks[[#This Row],[Level]])))</f>
        <v/>
      </c>
      <c r="BK47" s="41" t="n">
        <f aca="false">ROW()-ROW(Tasks[[#Headers],[ID]])</f>
        <v>42</v>
      </c>
      <c r="BL47" s="41" t="n">
        <f aca="false">IF(OR(Tasks[[#This Row],[Task Name]]="",Tasks[[#This Row],[_Level]]&lt;=1),0,IFERROR(LOOKUP(2,1/(Tasks[[#Headers],[_Level]]:Tasks[[#This Row],[_Level]]=Tasks[[#This Row],[_Level]]-1),ROW(Tasks[[#Headers],[_Level]]:Tasks[[#This Row],[_Level]])),0))</f>
        <v>0</v>
      </c>
      <c r="BM47" s="41" t="n">
        <f aca="false">IFERROR(N(INDEX(Tasks[_Level],Tasks[[#This Row],[_Row]]+1)),0)</f>
        <v>0</v>
      </c>
      <c r="BN47" s="102" t="b">
        <f aca="false">AND(Tasks[[#This Row],[Task Name]]&lt;&gt;"",Tasks[[#This Row],[_NextLevel]]&gt;Tasks[[#This Row],[_Level]])</f>
        <v>0</v>
      </c>
      <c r="BO47" s="41" t="n">
        <f aca="false">IF(Tasks[[#This Row],[_IsSummary]],COUNTIF(Tasks[WBS],Tasks[[#This Row],[WBS]]&amp;".*"),0)</f>
        <v>0</v>
      </c>
      <c r="BP47" s="41" t="n">
        <f aca="false">IF(AND(Tasks[[#This Row],[Task Name]]&lt;&gt;"",NOT(Tasks[[#This Row],[_IsSummary]])),1,0)</f>
        <v>0</v>
      </c>
      <c r="BQ47" s="41" t="n">
        <f aca="false">IF(N(Tasks[[#This Row],[Pred1 UID]])=0,0,IFERROR(MATCH(Tasks[[#This Row],[Pred1 UID]],Tasks[UID],0),-1))</f>
        <v>0</v>
      </c>
      <c r="BR47" s="41" t="n">
        <f aca="false">IF(N(Tasks[[#This Row],[Pred2 UID]])=0,0,IFERROR(MATCH(Tasks[[#This Row],[Pred2 UID]],Tasks[UID],0),-1))</f>
        <v>0</v>
      </c>
      <c r="BS4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7" s="103" t="str">
        <f aca="false">IF(NOT(Tasks[[#This Row],[_IsLeaf]]=1),"",IF(N(Tasks[[#This Row],[Duration]])&lt;=0,Tasks[[#This Row],[_LeafCalcStart]],WORKDAY.INTL(Tasks[[#This Row],[_LeafCalcStart]],Tasks[[#This Row],[Duration]]-1,WorkWeek,Holidays)))</f>
        <v/>
      </c>
      <c r="BU4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7" s="41" t="n">
        <f aca="false">IF(NOT(Tasks[[#This Row],[_IsLeaf]]=1),0,IF(N(Tasks[[#This Row],[Actual Finish]])&gt;0,1,MIN(1,N(Tasks[[#This Row],[% Complete]]))))</f>
        <v>0</v>
      </c>
      <c r="BX47" s="41" t="n">
        <f aca="false">IF(OR(NOT(Tasks[[#This Row],[_IsLeaf]]=1),Tasks[[#This Row],[Resource]]=""),0,N(Tasks[[#This Row],[Duration]])*HoursPerDay*IF(Tasks[[#This Row],[Units]]="",DefaultUnits,Tasks[[#This Row],[Units]]))</f>
        <v>0</v>
      </c>
      <c r="BY47" s="41" t="n">
        <f aca="false">IF(Tasks[[#This Row],[_LeafWork]]=0,0,Tasks[[#This Row],[_LeafWork]]*IFERROR(INDEX(res_Rate,MATCH(Tasks[[#This Row],[Resource]],res_Name,0)),0))</f>
        <v>0</v>
      </c>
      <c r="BZ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7" s="41" t="n">
        <f aca="false">IF(NOT(Tasks[[#This Row],[_IsLeaf]]=1),0,MAX(_xlfn.MAXIFS(Tasks[_Row],Tasks[Pred1 UID],Tasks[[#This Row],[UID]]),_xlfn.MAXIFS(Tasks[_Row],Tasks[Pred2 UID],Tasks[[#This Row],[UID]])))</f>
        <v>0</v>
      </c>
      <c r="CE4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7" s="103" t="str">
        <f aca="false">IF(NOT(Tasks[[#This Row],[_IsLeaf]]=1),"",MIN(ProjectFinish,IF(N(Tasks[[#This Row],[Deadline]])&gt;0,Tasks[[#This Row],[Deadline]],2958465),Tasks[[#This Row],[_SuccessorFinishLimit]]))</f>
        <v/>
      </c>
      <c r="CG47" s="103" t="str">
        <f aca="false">IF(NOT(Tasks[[#This Row],[_IsLeaf]]=1),"",IF(N(Tasks[[#This Row],[Duration]])&lt;=0,Tasks[[#This Row],[_LeafLateFinish]],WORKDAY.INTL(Tasks[[#This Row],[_LeafLateFinish]],-(Tasks[[#This Row],[Duration]]-1),WorkWeek,Holidays)))</f>
        <v/>
      </c>
      <c r="CH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7" s="102" t="b">
        <f aca="false">AND(Tasks[[#This Row],[_IsLeaf]]=1,Tasks[[#This Row],[_LeafProgress]]&lt;1,N(Tasks[[#This Row],[_LeafTotalSlack]])&lt;=CriticalSlackDays)</f>
        <v>0</v>
      </c>
      <c r="CJ47" s="103" t="str">
        <f aca="false">IF(Tasks[[#This Row],[Task Name]]="","",IF(Tasks[[#This Row],[_IsSummary]],MIN(INDEX(Tasks[_LeafCalcStart],Tasks[[#This Row],[_Row]]+1):INDEX(Tasks[_LeafCalcStart],Tasks[[#This Row],[_Row]]+Tasks[[#This Row],[_Descendants]])),Tasks[[#This Row],[_LeafCalcStart]]))</f>
        <v/>
      </c>
      <c r="CK47" s="103" t="str">
        <f aca="false">IF(Tasks[[#This Row],[Task Name]]="","",IF(Tasks[[#This Row],[_IsSummary]],MAX(INDEX(Tasks[_LeafCalcFinish],Tasks[[#This Row],[_Row]]+1):INDEX(Tasks[_LeafCalcFinish],Tasks[[#This Row],[_Row]]+Tasks[[#This Row],[_Descendants]])),Tasks[[#This Row],[_LeafCalcFinish]]))</f>
        <v/>
      </c>
      <c r="CL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7" s="41" t="n">
        <f aca="false">IF(AND(Tasks[[#This Row],[_IsLeaf]]=1,Tasks[[#This Row],[_LeafWork]]&gt;0),NETWORKDAYS.INTL(ProjectStart,Tasks[[#This Row],[_LeafFcstStart]],WorkWeek,Holidays),0)</f>
        <v>0</v>
      </c>
      <c r="CS47" s="41" t="n">
        <f aca="false">IF(AND(Tasks[[#This Row],[_IsLeaf]]=1,Tasks[[#This Row],[_LeafWork]]&gt;0),MAX(Tasks[[#This Row],[_StartWorkday]],NETWORKDAYS.INTL(ProjectStart,Tasks[[#This Row],[_LeafFcstFinish]],WorkWeek,Holidays)),0)</f>
        <v>0</v>
      </c>
      <c r="CT47" s="41" t="n">
        <f aca="false">IF(AND(Tasks[[#This Row],[_IsLeaf]]=1,Tasks[[#This Row],[_LeafWork]]&gt;0),Tasks[[#This Row],[_LeafWork]]/(Tasks[[#This Row],[_FinishWorkday]]-Tasks[[#This Row],[_StartWorkday]]+1),0)</f>
        <v>0</v>
      </c>
      <c r="CU47" s="41" t="n">
        <f aca="false">Tasks[[#This Row],[_WorkPerWorkday]]*(Tasks[[#This Row],[_StartWorkday]]-1)</f>
        <v>-0</v>
      </c>
      <c r="CV47" s="41" t="n">
        <f aca="false">IF(Tasks[[#This Row],[_IsLeaf]]=1,MAX(N(Tasks[[#This Row],[Duration]]),0.1),0)</f>
        <v>0</v>
      </c>
      <c r="CW47" s="41" t="n">
        <f aca="false">Tasks[[#This Row],[_WeightDur]]*Tasks[[#This Row],[_LeafProgress]]</f>
        <v>0</v>
      </c>
      <c r="CX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7" s="41" t="str">
        <f aca="false">IF(Tasks[[#This Row],[Task Name]]="","",Tasks[[#This Row],[_Pred1UIDText]]&amp;IF(AND(Tasks[[#This Row],[_Pred1UIDText]]&lt;&gt;"",Tasks[[#This Row],[_Pred2UIDText]]&lt;&gt;""),",","")&amp;Tasks[[#This Row],[_Pred2UIDText]])</f>
        <v/>
      </c>
      <c r="DC47" s="41" t="str">
        <f aca="false">IF(AND(Tasks[[#This Row],[_IsLeaf]]=1,N(Tasks[[#This Row],[Duration]])=0,Tasks[[#This Row],[_LeafProgress]]&lt;1),Tasks[[#This Row],[_LeafFcstFinish]]+Tasks[[#This Row],[_Row]]/100000,"")</f>
        <v/>
      </c>
      <c r="DD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7" s="41" t="n">
        <f aca="false">IF(NOT(Tasks[[#This Row],[_IsLeaf]]=1),0,IF(Tasks[[#This Row],[Baseline Cost]]="",Tasks[[#This Row],[_LeafCost]],N(Tasks[[#This Row],[Baseline Cost]])))</f>
        <v>0</v>
      </c>
      <c r="DF47" s="41" t="n">
        <f aca="false">Tasks[[#This Row],[_LeafBudget]]*Tasks[[#This Row],[_PlannedPct]]</f>
        <v>0</v>
      </c>
      <c r="DG47" s="41" t="n">
        <f aca="false">Tasks[[#This Row],[_LeafBudget]]*Tasks[[#This Row],[_LeafProgress]]</f>
        <v>0</v>
      </c>
      <c r="DH47" s="41" t="n">
        <f aca="false">IF(NOT(Tasks[[#This Row],[_IsLeaf]]=1),0,IF(Tasks[[#This Row],[Actual Cost]]="",Tasks[[#This Row],[_LeafCost]]*Tasks[[#This Row],[_LeafProgress]],N(Tasks[[#This Row],[Actual Cost]])))</f>
        <v>0</v>
      </c>
      <c r="DI47" s="41" t="str">
        <f aca="false">IF(Tasks[[#This Row],[Task Name]]="","",LEFT(Tasks[[#This Row],[WBS]],FIND(".",Tasks[[#This Row],[WBS]]&amp;".")-1))</f>
        <v/>
      </c>
      <c r="DJ47" s="41" t="str">
        <f aca="false">IF(AND(Tasks[[#This Row],[Task Name]]&lt;&gt;"",Tasks[[#This Row],[_Level]]=1),Tasks[[#This Row],[_Row]],"")</f>
        <v/>
      </c>
      <c r="DK47" s="41" t="str">
        <f aca="false">IF(AND(Tasks[[#This Row],[_IsLeaf]]=1,N(Tasks[[#This Row],[Duration]])=0),Tasks[[#This Row],[Planned Finish]]+Tasks[[#This Row],[_Row]]/100000,"")</f>
        <v/>
      </c>
      <c r="DL47" s="41" t="str">
        <f aca="false">IF(AND(Tasks[[#This Row],[_IsLeaf]]=1,Tasks[[#This Row],[_LeafProgress]]&lt;1,OR(N(Tasks[[#This Row],[Finish Var]])&gt;0,Tasks[[#This Row],[Status]]="Late Start")),MAX(0,Tasks[[#This Row],[Finish Var]])+1-Tasks[[#This Row],[_Row]]/1000000,"")</f>
        <v/>
      </c>
      <c r="DM47" s="41" t="str">
        <f aca="false">IF(AND(Tasks[[#This Row],[_IsLeaf]]=1,N(Tasks[[#This Row],[Actual Start]])=0,Tasks[[#This Row],[_LeafFcstStart]]&gt;=StatusDate,Tasks[[#This Row],[_LeafFcstStart]]&lt;=LookaheadEnd),Tasks[[#This Row],[_LeafFcstStart]]+Tasks[[#This Row],[_Row]]/100000,"")</f>
        <v/>
      </c>
      <c r="DN47" s="41" t="str">
        <f aca="false">IF(AND(Tasks[[#This Row],[_IsLeaf]]=1,Tasks[[#This Row],[_LeafProgress]]&lt;1,Tasks[[#This Row],[_LeafFcstFinish]]&gt;=StatusDate,Tasks[[#This Row],[_LeafFcstFinish]]&lt;=LookaheadEnd),Tasks[[#This Row],[_LeafFcstFinish]]+Tasks[[#This Row],[_Row]]/100000,"")</f>
        <v/>
      </c>
      <c r="DO47" s="41" t="str">
        <f aca="false">IF(Tasks[[#This Row],[_LeafCritical]],Tasks[[#This Row],[_LeafFcstStart]]+Tasks[[#This Row],[_Row]]/100000,"")</f>
        <v/>
      </c>
      <c r="DP47" s="41" t="n">
        <f aca="false">Tasks[[#This Row],[_LeafWork]]*Tasks[[#This Row],[_LeafProgress]]</f>
        <v>0</v>
      </c>
      <c r="DQ47" s="103" t="str">
        <f aca="false">IF(AND(Tasks[[#This Row],[_IsLeaf]]=1,Tasks[[#This Row],[_LeafProgress]]&gt;=1),IF(N(Tasks[[#This Row],[Actual Finish]])&gt;0,Tasks[[#This Row],[Actual Finish]],Tasks[[#This Row],[_LeafFcstFinish]]),"")</f>
        <v/>
      </c>
      <c r="DR47" s="41" t="n">
        <f aca="false">IF(Tasks[[#This Row],[_IsLeaf]]=1,N(Tasks[[#This Row],[Story Points]]),0)</f>
        <v>0</v>
      </c>
      <c r="DS47" s="41" t="str">
        <f aca="false">IF(AND(Tasks[[#This Row],[_IsLeaf]]=1,CurrentSprint&lt;&gt;"",Tasks[[#This Row],[Sprint]]=CurrentSprint),Tasks[[#This Row],[_Row]],"")</f>
        <v/>
      </c>
    </row>
    <row r="48" customFormat="false" ht="15" hidden="false" customHeight="false" outlineLevel="0" collapsed="false">
      <c r="A48" s="28" t="str">
        <f aca="false">IF(Tasks[[#This Row],[Task Name]]="","",COUNTA(Tasks[[#Headers],[Task Name]]:Tasks[[#This Row],[Task Name]])-1)</f>
        <v/>
      </c>
      <c r="B48" s="29" t="n">
        <v>43</v>
      </c>
      <c r="C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29"/>
      <c r="E48" s="30"/>
      <c r="F48" s="29"/>
      <c r="G48" s="29"/>
      <c r="H48" s="29"/>
      <c r="I48" s="29"/>
      <c r="J48" s="29"/>
      <c r="K48" s="29"/>
      <c r="L48" s="29"/>
      <c r="M48" s="29"/>
      <c r="N48" s="77"/>
      <c r="O48" s="77"/>
      <c r="P48" s="25" t="str">
        <f aca="false">IF(Tasks[[#This Row],[Task Name]]="","",IF(N(Tasks[[#This Row],[Baseline Start]])&gt;0,Tasks[[#This Row],[Baseline Start]],Tasks[[#This Row],[_CalcStart]]))</f>
        <v/>
      </c>
      <c r="Q48" s="25" t="str">
        <f aca="false">IF(Tasks[[#This Row],[Task Name]]="","",IF(N(Tasks[[#This Row],[Baseline Finish]])&gt;0,Tasks[[#This Row],[Baseline Finish]],Tasks[[#This Row],[_CalcFinish]]))</f>
        <v/>
      </c>
      <c r="R48" s="77"/>
      <c r="S48" s="77"/>
      <c r="T48" s="25" t="str">
        <f aca="false">IF(Tasks[[#This Row],[Task Name]]="","",IF(Tasks[[#This Row],[_IsSummary]],MIN(INDEX(Tasks[_LeafFcstStart],Tasks[[#This Row],[_Row]]+1):INDEX(Tasks[_LeafFcstStart],Tasks[[#This Row],[_Row]]+Tasks[[#This Row],[_Descendants]])),Tasks[[#This Row],[_LeafFcstStart]]))</f>
        <v/>
      </c>
      <c r="U48" s="25" t="str">
        <f aca="false">IF(Tasks[[#This Row],[Task Name]]="","",IF(Tasks[[#This Row],[_IsSummary]],MAX(INDEX(Tasks[_LeafFcstFinish],Tasks[[#This Row],[_Row]]+1):INDEX(Tasks[_LeafFcstFinish],Tasks[[#This Row],[_Row]]+Tasks[[#This Row],[_Descendants]])),Tasks[[#This Row],[_LeafFcstFinish]]))</f>
        <v/>
      </c>
      <c r="V4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8" s="25" t="str">
        <f aca="false">IF(Tasks[[#This Row],[Task Name]]="","",IF(Tasks[[#This Row],[_IsSummary]],MIN(INDEX(Tasks[_LeafLateStart],Tasks[[#This Row],[_Row]]+1):INDEX(Tasks[_LeafLateStart],Tasks[[#This Row],[_Row]]+Tasks[[#This Row],[_Descendants]])),Tasks[[#This Row],[_LeafLateStart]]))</f>
        <v/>
      </c>
      <c r="Y48" s="25" t="str">
        <f aca="false">IF(Tasks[[#This Row],[Task Name]]="","",IF(Tasks[[#This Row],[_IsSummary]],MAX(INDEX(Tasks[_LeafLateFinish],Tasks[[#This Row],[_Row]]+1):INDEX(Tasks[_LeafLateFinish],Tasks[[#This Row],[_Row]]+Tasks[[#This Row],[_Descendants]])),Tasks[[#This Row],[_LeafLateFinish]]))</f>
        <v/>
      </c>
      <c r="Z48" s="43" t="str">
        <f aca="false">IF(Tasks[[#This Row],[Task Name]]="","",IF(Tasks[[#This Row],[_IsSummary]],MIN(INDEX(Tasks[_LeafTotalSlack],Tasks[[#This Row],[_Row]]+1):INDEX(Tasks[_LeafTotalSlack],Tasks[[#This Row],[_Row]]+Tasks[[#This Row],[_Descendants]])),Tasks[[#This Row],[_LeafTotalSlack]]))</f>
        <v/>
      </c>
      <c r="AA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8" s="28" t="str">
        <f aca="false">IF(Tasks[[#This Row],[Task Name]]="","",IF(IF(Tasks[[#This Row],[_IsSummary]],COUNTIF(INDEX(Tasks[_LeafCritical],Tasks[[#This Row],[_Row]]+1):INDEX(Tasks[_LeafCritical],Tasks[[#This Row],[_Row]]+Tasks[[#This Row],[_Descendants]]),TRUE())&gt;0,Tasks[[#This Row],[_LeafCritical]]),"Yes",""))</f>
        <v/>
      </c>
      <c r="AC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8" s="24" t="str">
        <f aca="false">IF(Tasks[[#This Row],[Task Name]]="","",TRIM(IF(Tasks[[#This Row],[_Pred1Problem]]&lt;&gt;"","Pred 1: "&amp;Tasks[[#This Row],[_Pred1Problem]]&amp;". ","")&amp;IF(Tasks[[#This Row],[_Pred2Problem]]&lt;&gt;"","Pred 2: "&amp;Tasks[[#This Row],[_Pred2Problem]]&amp;".","")))</f>
        <v/>
      </c>
      <c r="AE48" s="91"/>
      <c r="AF4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8" s="28" t="str">
        <f aca="false">IF(Tasks[[#This Row],[Task Name]]="","",IF(Tasks[[#This Row],[Progress]]&gt;=1,"Complete",IF(OR(N(Tasks[[#This Row],[Actual Start]])&gt;0,Tasks[[#This Row],[Progress]]&gt;0),IF(Tasks[[#This Row],[Finish Var]]&gt;0,"Behind","In Progress"),IF(Tasks[[#This Row],[Planned Start]]&lt;StatusDate,"Late Start","Not Started"))))</f>
        <v/>
      </c>
      <c r="AH48" s="30"/>
      <c r="AI48" s="91"/>
      <c r="AJ4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8" s="98" t="str">
        <f aca="false">IF(Tasks[[#This Row],[Task Name]]="","",IF(Tasks[[#This Row],[_IsSummary]],SUM(INDEX(Tasks[_LeafWork],Tasks[[#This Row],[_Row]]+1):INDEX(Tasks[_LeafWork],Tasks[[#This Row],[_Row]]+Tasks[[#This Row],[_Descendants]])),Tasks[[#This Row],[_LeafWork]]))</f>
        <v/>
      </c>
      <c r="AL48" s="99" t="str">
        <f aca="false">IF(Tasks[[#This Row],[Task Name]]="","",IF(Tasks[[#This Row],[_IsSummary]],SUM(INDEX(Tasks[_LeafCost],Tasks[[#This Row],[_Row]]+1):INDEX(Tasks[_LeafCost],Tasks[[#This Row],[_Row]]+Tasks[[#This Row],[_Descendants]])),Tasks[[#This Row],[_LeafCost]]))</f>
        <v/>
      </c>
      <c r="AM48" s="100"/>
      <c r="AN48" s="29"/>
      <c r="AO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8" s="85"/>
      <c r="AQ48" s="24" t="str">
        <f aca="false">IF(Tasks[[#This Row],[Task Name]]="","",Tasks[[#This Row],[_Pred1IDText]]&amp;IF(AND(Tasks[[#This Row],[_Pred1IDText]]&lt;&gt;"",Tasks[[#This Row],[_Pred2IDText]]&lt;&gt;""),",","")&amp;Tasks[[#This Row],[_Pred2IDText]])</f>
        <v/>
      </c>
      <c r="AR48" s="30"/>
      <c r="AS48" s="25" t="str">
        <f aca="false">IF(Tasks[[#This Row],[Task Name]]="","",Tasks[[#This Row],[Forecast Start]])</f>
        <v/>
      </c>
      <c r="AT48" s="25" t="str">
        <f aca="false">IF(Tasks[[#This Row],[Task Name]]="","",Tasks[[#This Row],[Forecast Finish]])</f>
        <v/>
      </c>
      <c r="AU48" s="28" t="str">
        <f aca="false">IF(Tasks[[#This Row],[Task Name]]="","",IF(Tasks[[#This Row],[_IsSummary]],NETWORKDAYS.INTL(Tasks[[#This Row],[Forecast Start]],Tasks[[#This Row],[Forecast Finish]],WorkWeek,Holidays),N(Tasks[[#This Row],[Duration]])))</f>
        <v/>
      </c>
      <c r="AV48" s="98" t="str">
        <f aca="false">IF(Tasks[[#This Row],[Task Name]]="","",Tasks[[#This Row],[Work]])</f>
        <v/>
      </c>
      <c r="AW48" s="99" t="str">
        <f aca="false">IF(Tasks[[#This Row],[Task Name]]="","",Tasks[[#This Row],[Cost]])</f>
        <v/>
      </c>
      <c r="AX48" s="77"/>
      <c r="AY48" s="77"/>
      <c r="AZ48" s="29"/>
      <c r="BA48" s="101"/>
      <c r="BB48" s="100"/>
      <c r="BC48" s="28" t="str">
        <f aca="false">IF(OR(Tasks[[#This Row],[Task Name]]="",Tasks[[#This Row],[Baseline Duration]]=""),"",Tasks[[#This Row],[BL Source Duration]]-N(Tasks[[#This Row],[Baseline Duration]]))</f>
        <v/>
      </c>
      <c r="BD48" s="98" t="str">
        <f aca="false">IF(OR(Tasks[[#This Row],[Task Name]]="",Tasks[[#This Row],[Baseline Work]]=""),"",Tasks[[#This Row],[Work]]-N(Tasks[[#This Row],[Baseline Work]]))</f>
        <v/>
      </c>
      <c r="BE48" s="99" t="str">
        <f aca="false">IF(OR(Tasks[[#This Row],[Task Name]]="",Tasks[[#This Row],[Baseline Cost]]=""),"",Tasks[[#This Row],[Cost]]-N(Tasks[[#This Row],[Baseline Cost]]))</f>
        <v/>
      </c>
      <c r="BF48" s="99" t="str">
        <f aca="false">IF(Tasks[[#This Row],[Task Name]]="","",IF(Tasks[[#This Row],[_IsSummary]],SUM(INDEX(Tasks[_LeafBudget],Tasks[[#This Row],[_Row]]+1):INDEX(Tasks[_LeafBudget],Tasks[[#This Row],[_Row]]+Tasks[[#This Row],[_Descendants]])),Tasks[[#This Row],[_LeafBudget]]))</f>
        <v/>
      </c>
      <c r="BG48" s="99" t="str">
        <f aca="false">IF(Tasks[[#This Row],[Task Name]]="","",IF(Tasks[[#This Row],[_IsSummary]],SUM(INDEX(Tasks[_LeafPV],Tasks[[#This Row],[_Row]]+1):INDEX(Tasks[_LeafPV],Tasks[[#This Row],[_Row]]+Tasks[[#This Row],[_Descendants]])),Tasks[[#This Row],[_LeafPV]]))</f>
        <v/>
      </c>
      <c r="BH48" s="99" t="str">
        <f aca="false">IF(Tasks[[#This Row],[Task Name]]="","",IF(Tasks[[#This Row],[_IsSummary]],SUM(INDEX(Tasks[_LeafEV],Tasks[[#This Row],[_Row]]+1):INDEX(Tasks[_LeafEV],Tasks[[#This Row],[_Row]]+Tasks[[#This Row],[_Descendants]])),Tasks[[#This Row],[_LeafEV]]))</f>
        <v/>
      </c>
      <c r="BI48" s="99" t="str">
        <f aca="false">IF(Tasks[[#This Row],[Task Name]]="","",IF(Tasks[[#This Row],[_IsSummary]],SUM(INDEX(Tasks[_LeafAC],Tasks[[#This Row],[_Row]]+1):INDEX(Tasks[_LeafAC],Tasks[[#This Row],[_Row]]+Tasks[[#This Row],[_Descendants]])),Tasks[[#This Row],[_LeafAC]]))</f>
        <v/>
      </c>
      <c r="BJ48" s="41" t="str">
        <f aca="false">IF(Tasks[[#This Row],[Task Name]]="","",MAX(1,N(Tasks[[#This Row],[Level]])))</f>
        <v/>
      </c>
      <c r="BK48" s="41" t="n">
        <f aca="false">ROW()-ROW(Tasks[[#Headers],[ID]])</f>
        <v>43</v>
      </c>
      <c r="BL48" s="41" t="n">
        <f aca="false">IF(OR(Tasks[[#This Row],[Task Name]]="",Tasks[[#This Row],[_Level]]&lt;=1),0,IFERROR(LOOKUP(2,1/(Tasks[[#Headers],[_Level]]:Tasks[[#This Row],[_Level]]=Tasks[[#This Row],[_Level]]-1),ROW(Tasks[[#Headers],[_Level]]:Tasks[[#This Row],[_Level]])),0))</f>
        <v>0</v>
      </c>
      <c r="BM48" s="41" t="n">
        <f aca="false">IFERROR(N(INDEX(Tasks[_Level],Tasks[[#This Row],[_Row]]+1)),0)</f>
        <v>0</v>
      </c>
      <c r="BN48" s="102" t="b">
        <f aca="false">AND(Tasks[[#This Row],[Task Name]]&lt;&gt;"",Tasks[[#This Row],[_NextLevel]]&gt;Tasks[[#This Row],[_Level]])</f>
        <v>0</v>
      </c>
      <c r="BO48" s="41" t="n">
        <f aca="false">IF(Tasks[[#This Row],[_IsSummary]],COUNTIF(Tasks[WBS],Tasks[[#This Row],[WBS]]&amp;".*"),0)</f>
        <v>0</v>
      </c>
      <c r="BP48" s="41" t="n">
        <f aca="false">IF(AND(Tasks[[#This Row],[Task Name]]&lt;&gt;"",NOT(Tasks[[#This Row],[_IsSummary]])),1,0)</f>
        <v>0</v>
      </c>
      <c r="BQ48" s="41" t="n">
        <f aca="false">IF(N(Tasks[[#This Row],[Pred1 UID]])=0,0,IFERROR(MATCH(Tasks[[#This Row],[Pred1 UID]],Tasks[UID],0),-1))</f>
        <v>0</v>
      </c>
      <c r="BR48" s="41" t="n">
        <f aca="false">IF(N(Tasks[[#This Row],[Pred2 UID]])=0,0,IFERROR(MATCH(Tasks[[#This Row],[Pred2 UID]],Tasks[UID],0),-1))</f>
        <v>0</v>
      </c>
      <c r="BS4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8" s="103" t="str">
        <f aca="false">IF(NOT(Tasks[[#This Row],[_IsLeaf]]=1),"",IF(N(Tasks[[#This Row],[Duration]])&lt;=0,Tasks[[#This Row],[_LeafCalcStart]],WORKDAY.INTL(Tasks[[#This Row],[_LeafCalcStart]],Tasks[[#This Row],[Duration]]-1,WorkWeek,Holidays)))</f>
        <v/>
      </c>
      <c r="BU4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8" s="41" t="n">
        <f aca="false">IF(NOT(Tasks[[#This Row],[_IsLeaf]]=1),0,IF(N(Tasks[[#This Row],[Actual Finish]])&gt;0,1,MIN(1,N(Tasks[[#This Row],[% Complete]]))))</f>
        <v>0</v>
      </c>
      <c r="BX48" s="41" t="n">
        <f aca="false">IF(OR(NOT(Tasks[[#This Row],[_IsLeaf]]=1),Tasks[[#This Row],[Resource]]=""),0,N(Tasks[[#This Row],[Duration]])*HoursPerDay*IF(Tasks[[#This Row],[Units]]="",DefaultUnits,Tasks[[#This Row],[Units]]))</f>
        <v>0</v>
      </c>
      <c r="BY48" s="41" t="n">
        <f aca="false">IF(Tasks[[#This Row],[_LeafWork]]=0,0,Tasks[[#This Row],[_LeafWork]]*IFERROR(INDEX(res_Rate,MATCH(Tasks[[#This Row],[Resource]],res_Name,0)),0))</f>
        <v>0</v>
      </c>
      <c r="BZ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8" s="41" t="n">
        <f aca="false">IF(NOT(Tasks[[#This Row],[_IsLeaf]]=1),0,MAX(_xlfn.MAXIFS(Tasks[_Row],Tasks[Pred1 UID],Tasks[[#This Row],[UID]]),_xlfn.MAXIFS(Tasks[_Row],Tasks[Pred2 UID],Tasks[[#This Row],[UID]])))</f>
        <v>0</v>
      </c>
      <c r="CE4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8" s="103" t="str">
        <f aca="false">IF(NOT(Tasks[[#This Row],[_IsLeaf]]=1),"",MIN(ProjectFinish,IF(N(Tasks[[#This Row],[Deadline]])&gt;0,Tasks[[#This Row],[Deadline]],2958465),Tasks[[#This Row],[_SuccessorFinishLimit]]))</f>
        <v/>
      </c>
      <c r="CG48" s="103" t="str">
        <f aca="false">IF(NOT(Tasks[[#This Row],[_IsLeaf]]=1),"",IF(N(Tasks[[#This Row],[Duration]])&lt;=0,Tasks[[#This Row],[_LeafLateFinish]],WORKDAY.INTL(Tasks[[#This Row],[_LeafLateFinish]],-(Tasks[[#This Row],[Duration]]-1),WorkWeek,Holidays)))</f>
        <v/>
      </c>
      <c r="CH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8" s="102" t="b">
        <f aca="false">AND(Tasks[[#This Row],[_IsLeaf]]=1,Tasks[[#This Row],[_LeafProgress]]&lt;1,N(Tasks[[#This Row],[_LeafTotalSlack]])&lt;=CriticalSlackDays)</f>
        <v>0</v>
      </c>
      <c r="CJ48" s="103" t="str">
        <f aca="false">IF(Tasks[[#This Row],[Task Name]]="","",IF(Tasks[[#This Row],[_IsSummary]],MIN(INDEX(Tasks[_LeafCalcStart],Tasks[[#This Row],[_Row]]+1):INDEX(Tasks[_LeafCalcStart],Tasks[[#This Row],[_Row]]+Tasks[[#This Row],[_Descendants]])),Tasks[[#This Row],[_LeafCalcStart]]))</f>
        <v/>
      </c>
      <c r="CK48" s="103" t="str">
        <f aca="false">IF(Tasks[[#This Row],[Task Name]]="","",IF(Tasks[[#This Row],[_IsSummary]],MAX(INDEX(Tasks[_LeafCalcFinish],Tasks[[#This Row],[_Row]]+1):INDEX(Tasks[_LeafCalcFinish],Tasks[[#This Row],[_Row]]+Tasks[[#This Row],[_Descendants]])),Tasks[[#This Row],[_LeafCalcFinish]]))</f>
        <v/>
      </c>
      <c r="CL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8" s="41" t="n">
        <f aca="false">IF(AND(Tasks[[#This Row],[_IsLeaf]]=1,Tasks[[#This Row],[_LeafWork]]&gt;0),NETWORKDAYS.INTL(ProjectStart,Tasks[[#This Row],[_LeafFcstStart]],WorkWeek,Holidays),0)</f>
        <v>0</v>
      </c>
      <c r="CS48" s="41" t="n">
        <f aca="false">IF(AND(Tasks[[#This Row],[_IsLeaf]]=1,Tasks[[#This Row],[_LeafWork]]&gt;0),MAX(Tasks[[#This Row],[_StartWorkday]],NETWORKDAYS.INTL(ProjectStart,Tasks[[#This Row],[_LeafFcstFinish]],WorkWeek,Holidays)),0)</f>
        <v>0</v>
      </c>
      <c r="CT48" s="41" t="n">
        <f aca="false">IF(AND(Tasks[[#This Row],[_IsLeaf]]=1,Tasks[[#This Row],[_LeafWork]]&gt;0),Tasks[[#This Row],[_LeafWork]]/(Tasks[[#This Row],[_FinishWorkday]]-Tasks[[#This Row],[_StartWorkday]]+1),0)</f>
        <v>0</v>
      </c>
      <c r="CU48" s="41" t="n">
        <f aca="false">Tasks[[#This Row],[_WorkPerWorkday]]*(Tasks[[#This Row],[_StartWorkday]]-1)</f>
        <v>-0</v>
      </c>
      <c r="CV48" s="41" t="n">
        <f aca="false">IF(Tasks[[#This Row],[_IsLeaf]]=1,MAX(N(Tasks[[#This Row],[Duration]]),0.1),0)</f>
        <v>0</v>
      </c>
      <c r="CW48" s="41" t="n">
        <f aca="false">Tasks[[#This Row],[_WeightDur]]*Tasks[[#This Row],[_LeafProgress]]</f>
        <v>0</v>
      </c>
      <c r="CX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8" s="41" t="str">
        <f aca="false">IF(Tasks[[#This Row],[Task Name]]="","",Tasks[[#This Row],[_Pred1UIDText]]&amp;IF(AND(Tasks[[#This Row],[_Pred1UIDText]]&lt;&gt;"",Tasks[[#This Row],[_Pred2UIDText]]&lt;&gt;""),",","")&amp;Tasks[[#This Row],[_Pred2UIDText]])</f>
        <v/>
      </c>
      <c r="DC48" s="41" t="str">
        <f aca="false">IF(AND(Tasks[[#This Row],[_IsLeaf]]=1,N(Tasks[[#This Row],[Duration]])=0,Tasks[[#This Row],[_LeafProgress]]&lt;1),Tasks[[#This Row],[_LeafFcstFinish]]+Tasks[[#This Row],[_Row]]/100000,"")</f>
        <v/>
      </c>
      <c r="DD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8" s="41" t="n">
        <f aca="false">IF(NOT(Tasks[[#This Row],[_IsLeaf]]=1),0,IF(Tasks[[#This Row],[Baseline Cost]]="",Tasks[[#This Row],[_LeafCost]],N(Tasks[[#This Row],[Baseline Cost]])))</f>
        <v>0</v>
      </c>
      <c r="DF48" s="41" t="n">
        <f aca="false">Tasks[[#This Row],[_LeafBudget]]*Tasks[[#This Row],[_PlannedPct]]</f>
        <v>0</v>
      </c>
      <c r="DG48" s="41" t="n">
        <f aca="false">Tasks[[#This Row],[_LeafBudget]]*Tasks[[#This Row],[_LeafProgress]]</f>
        <v>0</v>
      </c>
      <c r="DH48" s="41" t="n">
        <f aca="false">IF(NOT(Tasks[[#This Row],[_IsLeaf]]=1),0,IF(Tasks[[#This Row],[Actual Cost]]="",Tasks[[#This Row],[_LeafCost]]*Tasks[[#This Row],[_LeafProgress]],N(Tasks[[#This Row],[Actual Cost]])))</f>
        <v>0</v>
      </c>
      <c r="DI48" s="41" t="str">
        <f aca="false">IF(Tasks[[#This Row],[Task Name]]="","",LEFT(Tasks[[#This Row],[WBS]],FIND(".",Tasks[[#This Row],[WBS]]&amp;".")-1))</f>
        <v/>
      </c>
      <c r="DJ48" s="41" t="str">
        <f aca="false">IF(AND(Tasks[[#This Row],[Task Name]]&lt;&gt;"",Tasks[[#This Row],[_Level]]=1),Tasks[[#This Row],[_Row]],"")</f>
        <v/>
      </c>
      <c r="DK48" s="41" t="str">
        <f aca="false">IF(AND(Tasks[[#This Row],[_IsLeaf]]=1,N(Tasks[[#This Row],[Duration]])=0),Tasks[[#This Row],[Planned Finish]]+Tasks[[#This Row],[_Row]]/100000,"")</f>
        <v/>
      </c>
      <c r="DL48" s="41" t="str">
        <f aca="false">IF(AND(Tasks[[#This Row],[_IsLeaf]]=1,Tasks[[#This Row],[_LeafProgress]]&lt;1,OR(N(Tasks[[#This Row],[Finish Var]])&gt;0,Tasks[[#This Row],[Status]]="Late Start")),MAX(0,Tasks[[#This Row],[Finish Var]])+1-Tasks[[#This Row],[_Row]]/1000000,"")</f>
        <v/>
      </c>
      <c r="DM48" s="41" t="str">
        <f aca="false">IF(AND(Tasks[[#This Row],[_IsLeaf]]=1,N(Tasks[[#This Row],[Actual Start]])=0,Tasks[[#This Row],[_LeafFcstStart]]&gt;=StatusDate,Tasks[[#This Row],[_LeafFcstStart]]&lt;=LookaheadEnd),Tasks[[#This Row],[_LeafFcstStart]]+Tasks[[#This Row],[_Row]]/100000,"")</f>
        <v/>
      </c>
      <c r="DN48" s="41" t="str">
        <f aca="false">IF(AND(Tasks[[#This Row],[_IsLeaf]]=1,Tasks[[#This Row],[_LeafProgress]]&lt;1,Tasks[[#This Row],[_LeafFcstFinish]]&gt;=StatusDate,Tasks[[#This Row],[_LeafFcstFinish]]&lt;=LookaheadEnd),Tasks[[#This Row],[_LeafFcstFinish]]+Tasks[[#This Row],[_Row]]/100000,"")</f>
        <v/>
      </c>
      <c r="DO48" s="41" t="str">
        <f aca="false">IF(Tasks[[#This Row],[_LeafCritical]],Tasks[[#This Row],[_LeafFcstStart]]+Tasks[[#This Row],[_Row]]/100000,"")</f>
        <v/>
      </c>
      <c r="DP48" s="41" t="n">
        <f aca="false">Tasks[[#This Row],[_LeafWork]]*Tasks[[#This Row],[_LeafProgress]]</f>
        <v>0</v>
      </c>
      <c r="DQ48" s="103" t="str">
        <f aca="false">IF(AND(Tasks[[#This Row],[_IsLeaf]]=1,Tasks[[#This Row],[_LeafProgress]]&gt;=1),IF(N(Tasks[[#This Row],[Actual Finish]])&gt;0,Tasks[[#This Row],[Actual Finish]],Tasks[[#This Row],[_LeafFcstFinish]]),"")</f>
        <v/>
      </c>
      <c r="DR48" s="41" t="n">
        <f aca="false">IF(Tasks[[#This Row],[_IsLeaf]]=1,N(Tasks[[#This Row],[Story Points]]),0)</f>
        <v>0</v>
      </c>
      <c r="DS48" s="41" t="str">
        <f aca="false">IF(AND(Tasks[[#This Row],[_IsLeaf]]=1,CurrentSprint&lt;&gt;"",Tasks[[#This Row],[Sprint]]=CurrentSprint),Tasks[[#This Row],[_Row]],"")</f>
        <v/>
      </c>
    </row>
    <row r="49" customFormat="false" ht="15" hidden="false" customHeight="false" outlineLevel="0" collapsed="false">
      <c r="A49" s="28" t="str">
        <f aca="false">IF(Tasks[[#This Row],[Task Name]]="","",COUNTA(Tasks[[#Headers],[Task Name]]:Tasks[[#This Row],[Task Name]])-1)</f>
        <v/>
      </c>
      <c r="B49" s="29" t="n">
        <v>44</v>
      </c>
      <c r="C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29"/>
      <c r="E49" s="30"/>
      <c r="F49" s="29"/>
      <c r="G49" s="29"/>
      <c r="H49" s="29"/>
      <c r="I49" s="29"/>
      <c r="J49" s="29"/>
      <c r="K49" s="29"/>
      <c r="L49" s="29"/>
      <c r="M49" s="29"/>
      <c r="N49" s="77"/>
      <c r="O49" s="77"/>
      <c r="P49" s="25" t="str">
        <f aca="false">IF(Tasks[[#This Row],[Task Name]]="","",IF(N(Tasks[[#This Row],[Baseline Start]])&gt;0,Tasks[[#This Row],[Baseline Start]],Tasks[[#This Row],[_CalcStart]]))</f>
        <v/>
      </c>
      <c r="Q49" s="25" t="str">
        <f aca="false">IF(Tasks[[#This Row],[Task Name]]="","",IF(N(Tasks[[#This Row],[Baseline Finish]])&gt;0,Tasks[[#This Row],[Baseline Finish]],Tasks[[#This Row],[_CalcFinish]]))</f>
        <v/>
      </c>
      <c r="R49" s="77"/>
      <c r="S49" s="77"/>
      <c r="T49" s="25" t="str">
        <f aca="false">IF(Tasks[[#This Row],[Task Name]]="","",IF(Tasks[[#This Row],[_IsSummary]],MIN(INDEX(Tasks[_LeafFcstStart],Tasks[[#This Row],[_Row]]+1):INDEX(Tasks[_LeafFcstStart],Tasks[[#This Row],[_Row]]+Tasks[[#This Row],[_Descendants]])),Tasks[[#This Row],[_LeafFcstStart]]))</f>
        <v/>
      </c>
      <c r="U49" s="25" t="str">
        <f aca="false">IF(Tasks[[#This Row],[Task Name]]="","",IF(Tasks[[#This Row],[_IsSummary]],MAX(INDEX(Tasks[_LeafFcstFinish],Tasks[[#This Row],[_Row]]+1):INDEX(Tasks[_LeafFcstFinish],Tasks[[#This Row],[_Row]]+Tasks[[#This Row],[_Descendants]])),Tasks[[#This Row],[_LeafFcstFinish]]))</f>
        <v/>
      </c>
      <c r="V4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4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9" s="25" t="str">
        <f aca="false">IF(Tasks[[#This Row],[Task Name]]="","",IF(Tasks[[#This Row],[_IsSummary]],MIN(INDEX(Tasks[_LeafLateStart],Tasks[[#This Row],[_Row]]+1):INDEX(Tasks[_LeafLateStart],Tasks[[#This Row],[_Row]]+Tasks[[#This Row],[_Descendants]])),Tasks[[#This Row],[_LeafLateStart]]))</f>
        <v/>
      </c>
      <c r="Y49" s="25" t="str">
        <f aca="false">IF(Tasks[[#This Row],[Task Name]]="","",IF(Tasks[[#This Row],[_IsSummary]],MAX(INDEX(Tasks[_LeafLateFinish],Tasks[[#This Row],[_Row]]+1):INDEX(Tasks[_LeafLateFinish],Tasks[[#This Row],[_Row]]+Tasks[[#This Row],[_Descendants]])),Tasks[[#This Row],[_LeafLateFinish]]))</f>
        <v/>
      </c>
      <c r="Z49" s="43" t="str">
        <f aca="false">IF(Tasks[[#This Row],[Task Name]]="","",IF(Tasks[[#This Row],[_IsSummary]],MIN(INDEX(Tasks[_LeafTotalSlack],Tasks[[#This Row],[_Row]]+1):INDEX(Tasks[_LeafTotalSlack],Tasks[[#This Row],[_Row]]+Tasks[[#This Row],[_Descendants]])),Tasks[[#This Row],[_LeafTotalSlack]]))</f>
        <v/>
      </c>
      <c r="AA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9" s="28" t="str">
        <f aca="false">IF(Tasks[[#This Row],[Task Name]]="","",IF(IF(Tasks[[#This Row],[_IsSummary]],COUNTIF(INDEX(Tasks[_LeafCritical],Tasks[[#This Row],[_Row]]+1):INDEX(Tasks[_LeafCritical],Tasks[[#This Row],[_Row]]+Tasks[[#This Row],[_Descendants]]),TRUE())&gt;0,Tasks[[#This Row],[_LeafCritical]]),"Yes",""))</f>
        <v/>
      </c>
      <c r="AC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9" s="24" t="str">
        <f aca="false">IF(Tasks[[#This Row],[Task Name]]="","",TRIM(IF(Tasks[[#This Row],[_Pred1Problem]]&lt;&gt;"","Pred 1: "&amp;Tasks[[#This Row],[_Pred1Problem]]&amp;". ","")&amp;IF(Tasks[[#This Row],[_Pred2Problem]]&lt;&gt;"","Pred 2: "&amp;Tasks[[#This Row],[_Pred2Problem]]&amp;".","")))</f>
        <v/>
      </c>
      <c r="AE49" s="91"/>
      <c r="AF4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9" s="28" t="str">
        <f aca="false">IF(Tasks[[#This Row],[Task Name]]="","",IF(Tasks[[#This Row],[Progress]]&gt;=1,"Complete",IF(OR(N(Tasks[[#This Row],[Actual Start]])&gt;0,Tasks[[#This Row],[Progress]]&gt;0),IF(Tasks[[#This Row],[Finish Var]]&gt;0,"Behind","In Progress"),IF(Tasks[[#This Row],[Planned Start]]&lt;StatusDate,"Late Start","Not Started"))))</f>
        <v/>
      </c>
      <c r="AH49" s="30"/>
      <c r="AI49" s="91"/>
      <c r="AJ4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9" s="98" t="str">
        <f aca="false">IF(Tasks[[#This Row],[Task Name]]="","",IF(Tasks[[#This Row],[_IsSummary]],SUM(INDEX(Tasks[_LeafWork],Tasks[[#This Row],[_Row]]+1):INDEX(Tasks[_LeafWork],Tasks[[#This Row],[_Row]]+Tasks[[#This Row],[_Descendants]])),Tasks[[#This Row],[_LeafWork]]))</f>
        <v/>
      </c>
      <c r="AL49" s="99" t="str">
        <f aca="false">IF(Tasks[[#This Row],[Task Name]]="","",IF(Tasks[[#This Row],[_IsSummary]],SUM(INDEX(Tasks[_LeafCost],Tasks[[#This Row],[_Row]]+1):INDEX(Tasks[_LeafCost],Tasks[[#This Row],[_Row]]+Tasks[[#This Row],[_Descendants]])),Tasks[[#This Row],[_LeafCost]]))</f>
        <v/>
      </c>
      <c r="AM49" s="100"/>
      <c r="AN49" s="29"/>
      <c r="AO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9" s="85"/>
      <c r="AQ49" s="24" t="str">
        <f aca="false">IF(Tasks[[#This Row],[Task Name]]="","",Tasks[[#This Row],[_Pred1IDText]]&amp;IF(AND(Tasks[[#This Row],[_Pred1IDText]]&lt;&gt;"",Tasks[[#This Row],[_Pred2IDText]]&lt;&gt;""),",","")&amp;Tasks[[#This Row],[_Pred2IDText]])</f>
        <v/>
      </c>
      <c r="AR49" s="30"/>
      <c r="AS49" s="25" t="str">
        <f aca="false">IF(Tasks[[#This Row],[Task Name]]="","",Tasks[[#This Row],[Forecast Start]])</f>
        <v/>
      </c>
      <c r="AT49" s="25" t="str">
        <f aca="false">IF(Tasks[[#This Row],[Task Name]]="","",Tasks[[#This Row],[Forecast Finish]])</f>
        <v/>
      </c>
      <c r="AU49" s="28" t="str">
        <f aca="false">IF(Tasks[[#This Row],[Task Name]]="","",IF(Tasks[[#This Row],[_IsSummary]],NETWORKDAYS.INTL(Tasks[[#This Row],[Forecast Start]],Tasks[[#This Row],[Forecast Finish]],WorkWeek,Holidays),N(Tasks[[#This Row],[Duration]])))</f>
        <v/>
      </c>
      <c r="AV49" s="98" t="str">
        <f aca="false">IF(Tasks[[#This Row],[Task Name]]="","",Tasks[[#This Row],[Work]])</f>
        <v/>
      </c>
      <c r="AW49" s="99" t="str">
        <f aca="false">IF(Tasks[[#This Row],[Task Name]]="","",Tasks[[#This Row],[Cost]])</f>
        <v/>
      </c>
      <c r="AX49" s="77"/>
      <c r="AY49" s="77"/>
      <c r="AZ49" s="29"/>
      <c r="BA49" s="101"/>
      <c r="BB49" s="100"/>
      <c r="BC49" s="28" t="str">
        <f aca="false">IF(OR(Tasks[[#This Row],[Task Name]]="",Tasks[[#This Row],[Baseline Duration]]=""),"",Tasks[[#This Row],[BL Source Duration]]-N(Tasks[[#This Row],[Baseline Duration]]))</f>
        <v/>
      </c>
      <c r="BD49" s="98" t="str">
        <f aca="false">IF(OR(Tasks[[#This Row],[Task Name]]="",Tasks[[#This Row],[Baseline Work]]=""),"",Tasks[[#This Row],[Work]]-N(Tasks[[#This Row],[Baseline Work]]))</f>
        <v/>
      </c>
      <c r="BE49" s="99" t="str">
        <f aca="false">IF(OR(Tasks[[#This Row],[Task Name]]="",Tasks[[#This Row],[Baseline Cost]]=""),"",Tasks[[#This Row],[Cost]]-N(Tasks[[#This Row],[Baseline Cost]]))</f>
        <v/>
      </c>
      <c r="BF49" s="99" t="str">
        <f aca="false">IF(Tasks[[#This Row],[Task Name]]="","",IF(Tasks[[#This Row],[_IsSummary]],SUM(INDEX(Tasks[_LeafBudget],Tasks[[#This Row],[_Row]]+1):INDEX(Tasks[_LeafBudget],Tasks[[#This Row],[_Row]]+Tasks[[#This Row],[_Descendants]])),Tasks[[#This Row],[_LeafBudget]]))</f>
        <v/>
      </c>
      <c r="BG49" s="99" t="str">
        <f aca="false">IF(Tasks[[#This Row],[Task Name]]="","",IF(Tasks[[#This Row],[_IsSummary]],SUM(INDEX(Tasks[_LeafPV],Tasks[[#This Row],[_Row]]+1):INDEX(Tasks[_LeafPV],Tasks[[#This Row],[_Row]]+Tasks[[#This Row],[_Descendants]])),Tasks[[#This Row],[_LeafPV]]))</f>
        <v/>
      </c>
      <c r="BH49" s="99" t="str">
        <f aca="false">IF(Tasks[[#This Row],[Task Name]]="","",IF(Tasks[[#This Row],[_IsSummary]],SUM(INDEX(Tasks[_LeafEV],Tasks[[#This Row],[_Row]]+1):INDEX(Tasks[_LeafEV],Tasks[[#This Row],[_Row]]+Tasks[[#This Row],[_Descendants]])),Tasks[[#This Row],[_LeafEV]]))</f>
        <v/>
      </c>
      <c r="BI49" s="99" t="str">
        <f aca="false">IF(Tasks[[#This Row],[Task Name]]="","",IF(Tasks[[#This Row],[_IsSummary]],SUM(INDEX(Tasks[_LeafAC],Tasks[[#This Row],[_Row]]+1):INDEX(Tasks[_LeafAC],Tasks[[#This Row],[_Row]]+Tasks[[#This Row],[_Descendants]])),Tasks[[#This Row],[_LeafAC]]))</f>
        <v/>
      </c>
      <c r="BJ49" s="41" t="str">
        <f aca="false">IF(Tasks[[#This Row],[Task Name]]="","",MAX(1,N(Tasks[[#This Row],[Level]])))</f>
        <v/>
      </c>
      <c r="BK49" s="41" t="n">
        <f aca="false">ROW()-ROW(Tasks[[#Headers],[ID]])</f>
        <v>44</v>
      </c>
      <c r="BL49" s="41" t="n">
        <f aca="false">IF(OR(Tasks[[#This Row],[Task Name]]="",Tasks[[#This Row],[_Level]]&lt;=1),0,IFERROR(LOOKUP(2,1/(Tasks[[#Headers],[_Level]]:Tasks[[#This Row],[_Level]]=Tasks[[#This Row],[_Level]]-1),ROW(Tasks[[#Headers],[_Level]]:Tasks[[#This Row],[_Level]])),0))</f>
        <v>0</v>
      </c>
      <c r="BM49" s="41" t="n">
        <f aca="false">IFERROR(N(INDEX(Tasks[_Level],Tasks[[#This Row],[_Row]]+1)),0)</f>
        <v>0</v>
      </c>
      <c r="BN49" s="102" t="b">
        <f aca="false">AND(Tasks[[#This Row],[Task Name]]&lt;&gt;"",Tasks[[#This Row],[_NextLevel]]&gt;Tasks[[#This Row],[_Level]])</f>
        <v>0</v>
      </c>
      <c r="BO49" s="41" t="n">
        <f aca="false">IF(Tasks[[#This Row],[_IsSummary]],COUNTIF(Tasks[WBS],Tasks[[#This Row],[WBS]]&amp;".*"),0)</f>
        <v>0</v>
      </c>
      <c r="BP49" s="41" t="n">
        <f aca="false">IF(AND(Tasks[[#This Row],[Task Name]]&lt;&gt;"",NOT(Tasks[[#This Row],[_IsSummary]])),1,0)</f>
        <v>0</v>
      </c>
      <c r="BQ49" s="41" t="n">
        <f aca="false">IF(N(Tasks[[#This Row],[Pred1 UID]])=0,0,IFERROR(MATCH(Tasks[[#This Row],[Pred1 UID]],Tasks[UID],0),-1))</f>
        <v>0</v>
      </c>
      <c r="BR49" s="41" t="n">
        <f aca="false">IF(N(Tasks[[#This Row],[Pred2 UID]])=0,0,IFERROR(MATCH(Tasks[[#This Row],[Pred2 UID]],Tasks[UID],0),-1))</f>
        <v>0</v>
      </c>
      <c r="BS4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9" s="103" t="str">
        <f aca="false">IF(NOT(Tasks[[#This Row],[_IsLeaf]]=1),"",IF(N(Tasks[[#This Row],[Duration]])&lt;=0,Tasks[[#This Row],[_LeafCalcStart]],WORKDAY.INTL(Tasks[[#This Row],[_LeafCalcStart]],Tasks[[#This Row],[Duration]]-1,WorkWeek,Holidays)))</f>
        <v/>
      </c>
      <c r="BU4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9" s="41" t="n">
        <f aca="false">IF(NOT(Tasks[[#This Row],[_IsLeaf]]=1),0,IF(N(Tasks[[#This Row],[Actual Finish]])&gt;0,1,MIN(1,N(Tasks[[#This Row],[% Complete]]))))</f>
        <v>0</v>
      </c>
      <c r="BX49" s="41" t="n">
        <f aca="false">IF(OR(NOT(Tasks[[#This Row],[_IsLeaf]]=1),Tasks[[#This Row],[Resource]]=""),0,N(Tasks[[#This Row],[Duration]])*HoursPerDay*IF(Tasks[[#This Row],[Units]]="",DefaultUnits,Tasks[[#This Row],[Units]]))</f>
        <v>0</v>
      </c>
      <c r="BY49" s="41" t="n">
        <f aca="false">IF(Tasks[[#This Row],[_LeafWork]]=0,0,Tasks[[#This Row],[_LeafWork]]*IFERROR(INDEX(res_Rate,MATCH(Tasks[[#This Row],[Resource]],res_Name,0)),0))</f>
        <v>0</v>
      </c>
      <c r="BZ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9" s="41" t="n">
        <f aca="false">IF(NOT(Tasks[[#This Row],[_IsLeaf]]=1),0,MAX(_xlfn.MAXIFS(Tasks[_Row],Tasks[Pred1 UID],Tasks[[#This Row],[UID]]),_xlfn.MAXIFS(Tasks[_Row],Tasks[Pred2 UID],Tasks[[#This Row],[UID]])))</f>
        <v>0</v>
      </c>
      <c r="CE4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9" s="103" t="str">
        <f aca="false">IF(NOT(Tasks[[#This Row],[_IsLeaf]]=1),"",MIN(ProjectFinish,IF(N(Tasks[[#This Row],[Deadline]])&gt;0,Tasks[[#This Row],[Deadline]],2958465),Tasks[[#This Row],[_SuccessorFinishLimit]]))</f>
        <v/>
      </c>
      <c r="CG49" s="103" t="str">
        <f aca="false">IF(NOT(Tasks[[#This Row],[_IsLeaf]]=1),"",IF(N(Tasks[[#This Row],[Duration]])&lt;=0,Tasks[[#This Row],[_LeafLateFinish]],WORKDAY.INTL(Tasks[[#This Row],[_LeafLateFinish]],-(Tasks[[#This Row],[Duration]]-1),WorkWeek,Holidays)))</f>
        <v/>
      </c>
      <c r="CH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9" s="102" t="b">
        <f aca="false">AND(Tasks[[#This Row],[_IsLeaf]]=1,Tasks[[#This Row],[_LeafProgress]]&lt;1,N(Tasks[[#This Row],[_LeafTotalSlack]])&lt;=CriticalSlackDays)</f>
        <v>0</v>
      </c>
      <c r="CJ49" s="103" t="str">
        <f aca="false">IF(Tasks[[#This Row],[Task Name]]="","",IF(Tasks[[#This Row],[_IsSummary]],MIN(INDEX(Tasks[_LeafCalcStart],Tasks[[#This Row],[_Row]]+1):INDEX(Tasks[_LeafCalcStart],Tasks[[#This Row],[_Row]]+Tasks[[#This Row],[_Descendants]])),Tasks[[#This Row],[_LeafCalcStart]]))</f>
        <v/>
      </c>
      <c r="CK49" s="103" t="str">
        <f aca="false">IF(Tasks[[#This Row],[Task Name]]="","",IF(Tasks[[#This Row],[_IsSummary]],MAX(INDEX(Tasks[_LeafCalcFinish],Tasks[[#This Row],[_Row]]+1):INDEX(Tasks[_LeafCalcFinish],Tasks[[#This Row],[_Row]]+Tasks[[#This Row],[_Descendants]])),Tasks[[#This Row],[_LeafCalcFinish]]))</f>
        <v/>
      </c>
      <c r="CL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9" s="41" t="n">
        <f aca="false">IF(AND(Tasks[[#This Row],[_IsLeaf]]=1,Tasks[[#This Row],[_LeafWork]]&gt;0),NETWORKDAYS.INTL(ProjectStart,Tasks[[#This Row],[_LeafFcstStart]],WorkWeek,Holidays),0)</f>
        <v>0</v>
      </c>
      <c r="CS49" s="41" t="n">
        <f aca="false">IF(AND(Tasks[[#This Row],[_IsLeaf]]=1,Tasks[[#This Row],[_LeafWork]]&gt;0),MAX(Tasks[[#This Row],[_StartWorkday]],NETWORKDAYS.INTL(ProjectStart,Tasks[[#This Row],[_LeafFcstFinish]],WorkWeek,Holidays)),0)</f>
        <v>0</v>
      </c>
      <c r="CT49" s="41" t="n">
        <f aca="false">IF(AND(Tasks[[#This Row],[_IsLeaf]]=1,Tasks[[#This Row],[_LeafWork]]&gt;0),Tasks[[#This Row],[_LeafWork]]/(Tasks[[#This Row],[_FinishWorkday]]-Tasks[[#This Row],[_StartWorkday]]+1),0)</f>
        <v>0</v>
      </c>
      <c r="CU49" s="41" t="n">
        <f aca="false">Tasks[[#This Row],[_WorkPerWorkday]]*(Tasks[[#This Row],[_StartWorkday]]-1)</f>
        <v>-0</v>
      </c>
      <c r="CV49" s="41" t="n">
        <f aca="false">IF(Tasks[[#This Row],[_IsLeaf]]=1,MAX(N(Tasks[[#This Row],[Duration]]),0.1),0)</f>
        <v>0</v>
      </c>
      <c r="CW49" s="41" t="n">
        <f aca="false">Tasks[[#This Row],[_WeightDur]]*Tasks[[#This Row],[_LeafProgress]]</f>
        <v>0</v>
      </c>
      <c r="CX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9" s="41" t="str">
        <f aca="false">IF(Tasks[[#This Row],[Task Name]]="","",Tasks[[#This Row],[_Pred1UIDText]]&amp;IF(AND(Tasks[[#This Row],[_Pred1UIDText]]&lt;&gt;"",Tasks[[#This Row],[_Pred2UIDText]]&lt;&gt;""),",","")&amp;Tasks[[#This Row],[_Pred2UIDText]])</f>
        <v/>
      </c>
      <c r="DC49" s="41" t="str">
        <f aca="false">IF(AND(Tasks[[#This Row],[_IsLeaf]]=1,N(Tasks[[#This Row],[Duration]])=0,Tasks[[#This Row],[_LeafProgress]]&lt;1),Tasks[[#This Row],[_LeafFcstFinish]]+Tasks[[#This Row],[_Row]]/100000,"")</f>
        <v/>
      </c>
      <c r="DD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9" s="41" t="n">
        <f aca="false">IF(NOT(Tasks[[#This Row],[_IsLeaf]]=1),0,IF(Tasks[[#This Row],[Baseline Cost]]="",Tasks[[#This Row],[_LeafCost]],N(Tasks[[#This Row],[Baseline Cost]])))</f>
        <v>0</v>
      </c>
      <c r="DF49" s="41" t="n">
        <f aca="false">Tasks[[#This Row],[_LeafBudget]]*Tasks[[#This Row],[_PlannedPct]]</f>
        <v>0</v>
      </c>
      <c r="DG49" s="41" t="n">
        <f aca="false">Tasks[[#This Row],[_LeafBudget]]*Tasks[[#This Row],[_LeafProgress]]</f>
        <v>0</v>
      </c>
      <c r="DH49" s="41" t="n">
        <f aca="false">IF(NOT(Tasks[[#This Row],[_IsLeaf]]=1),0,IF(Tasks[[#This Row],[Actual Cost]]="",Tasks[[#This Row],[_LeafCost]]*Tasks[[#This Row],[_LeafProgress]],N(Tasks[[#This Row],[Actual Cost]])))</f>
        <v>0</v>
      </c>
      <c r="DI49" s="41" t="str">
        <f aca="false">IF(Tasks[[#This Row],[Task Name]]="","",LEFT(Tasks[[#This Row],[WBS]],FIND(".",Tasks[[#This Row],[WBS]]&amp;".")-1))</f>
        <v/>
      </c>
      <c r="DJ49" s="41" t="str">
        <f aca="false">IF(AND(Tasks[[#This Row],[Task Name]]&lt;&gt;"",Tasks[[#This Row],[_Level]]=1),Tasks[[#This Row],[_Row]],"")</f>
        <v/>
      </c>
      <c r="DK49" s="41" t="str">
        <f aca="false">IF(AND(Tasks[[#This Row],[_IsLeaf]]=1,N(Tasks[[#This Row],[Duration]])=0),Tasks[[#This Row],[Planned Finish]]+Tasks[[#This Row],[_Row]]/100000,"")</f>
        <v/>
      </c>
      <c r="DL49" s="41" t="str">
        <f aca="false">IF(AND(Tasks[[#This Row],[_IsLeaf]]=1,Tasks[[#This Row],[_LeafProgress]]&lt;1,OR(N(Tasks[[#This Row],[Finish Var]])&gt;0,Tasks[[#This Row],[Status]]="Late Start")),MAX(0,Tasks[[#This Row],[Finish Var]])+1-Tasks[[#This Row],[_Row]]/1000000,"")</f>
        <v/>
      </c>
      <c r="DM49" s="41" t="str">
        <f aca="false">IF(AND(Tasks[[#This Row],[_IsLeaf]]=1,N(Tasks[[#This Row],[Actual Start]])=0,Tasks[[#This Row],[_LeafFcstStart]]&gt;=StatusDate,Tasks[[#This Row],[_LeafFcstStart]]&lt;=LookaheadEnd),Tasks[[#This Row],[_LeafFcstStart]]+Tasks[[#This Row],[_Row]]/100000,"")</f>
        <v/>
      </c>
      <c r="DN49" s="41" t="str">
        <f aca="false">IF(AND(Tasks[[#This Row],[_IsLeaf]]=1,Tasks[[#This Row],[_LeafProgress]]&lt;1,Tasks[[#This Row],[_LeafFcstFinish]]&gt;=StatusDate,Tasks[[#This Row],[_LeafFcstFinish]]&lt;=LookaheadEnd),Tasks[[#This Row],[_LeafFcstFinish]]+Tasks[[#This Row],[_Row]]/100000,"")</f>
        <v/>
      </c>
      <c r="DO49" s="41" t="str">
        <f aca="false">IF(Tasks[[#This Row],[_LeafCritical]],Tasks[[#This Row],[_LeafFcstStart]]+Tasks[[#This Row],[_Row]]/100000,"")</f>
        <v/>
      </c>
      <c r="DP49" s="41" t="n">
        <f aca="false">Tasks[[#This Row],[_LeafWork]]*Tasks[[#This Row],[_LeafProgress]]</f>
        <v>0</v>
      </c>
      <c r="DQ49" s="103" t="str">
        <f aca="false">IF(AND(Tasks[[#This Row],[_IsLeaf]]=1,Tasks[[#This Row],[_LeafProgress]]&gt;=1),IF(N(Tasks[[#This Row],[Actual Finish]])&gt;0,Tasks[[#This Row],[Actual Finish]],Tasks[[#This Row],[_LeafFcstFinish]]),"")</f>
        <v/>
      </c>
      <c r="DR49" s="41" t="n">
        <f aca="false">IF(Tasks[[#This Row],[_IsLeaf]]=1,N(Tasks[[#This Row],[Story Points]]),0)</f>
        <v>0</v>
      </c>
      <c r="DS49" s="41" t="str">
        <f aca="false">IF(AND(Tasks[[#This Row],[_IsLeaf]]=1,CurrentSprint&lt;&gt;"",Tasks[[#This Row],[Sprint]]=CurrentSprint),Tasks[[#This Row],[_Row]],"")</f>
        <v/>
      </c>
    </row>
    <row r="50" customFormat="false" ht="15" hidden="false" customHeight="false" outlineLevel="0" collapsed="false">
      <c r="A50" s="28" t="str">
        <f aca="false">IF(Tasks[[#This Row],[Task Name]]="","",COUNTA(Tasks[[#Headers],[Task Name]]:Tasks[[#This Row],[Task Name]])-1)</f>
        <v/>
      </c>
      <c r="B50" s="29" t="n">
        <v>45</v>
      </c>
      <c r="C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29"/>
      <c r="E50" s="30"/>
      <c r="F50" s="29"/>
      <c r="G50" s="29"/>
      <c r="H50" s="29"/>
      <c r="I50" s="29"/>
      <c r="J50" s="29"/>
      <c r="K50" s="29"/>
      <c r="L50" s="29"/>
      <c r="M50" s="29"/>
      <c r="N50" s="77"/>
      <c r="O50" s="77"/>
      <c r="P50" s="25" t="str">
        <f aca="false">IF(Tasks[[#This Row],[Task Name]]="","",IF(N(Tasks[[#This Row],[Baseline Start]])&gt;0,Tasks[[#This Row],[Baseline Start]],Tasks[[#This Row],[_CalcStart]]))</f>
        <v/>
      </c>
      <c r="Q50" s="25" t="str">
        <f aca="false">IF(Tasks[[#This Row],[Task Name]]="","",IF(N(Tasks[[#This Row],[Baseline Finish]])&gt;0,Tasks[[#This Row],[Baseline Finish]],Tasks[[#This Row],[_CalcFinish]]))</f>
        <v/>
      </c>
      <c r="R50" s="77"/>
      <c r="S50" s="77"/>
      <c r="T50" s="25" t="str">
        <f aca="false">IF(Tasks[[#This Row],[Task Name]]="","",IF(Tasks[[#This Row],[_IsSummary]],MIN(INDEX(Tasks[_LeafFcstStart],Tasks[[#This Row],[_Row]]+1):INDEX(Tasks[_LeafFcstStart],Tasks[[#This Row],[_Row]]+Tasks[[#This Row],[_Descendants]])),Tasks[[#This Row],[_LeafFcstStart]]))</f>
        <v/>
      </c>
      <c r="U50" s="25" t="str">
        <f aca="false">IF(Tasks[[#This Row],[Task Name]]="","",IF(Tasks[[#This Row],[_IsSummary]],MAX(INDEX(Tasks[_LeafFcstFinish],Tasks[[#This Row],[_Row]]+1):INDEX(Tasks[_LeafFcstFinish],Tasks[[#This Row],[_Row]]+Tasks[[#This Row],[_Descendants]])),Tasks[[#This Row],[_LeafFcstFinish]]))</f>
        <v/>
      </c>
      <c r="V5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0" s="25" t="str">
        <f aca="false">IF(Tasks[[#This Row],[Task Name]]="","",IF(Tasks[[#This Row],[_IsSummary]],MIN(INDEX(Tasks[_LeafLateStart],Tasks[[#This Row],[_Row]]+1):INDEX(Tasks[_LeafLateStart],Tasks[[#This Row],[_Row]]+Tasks[[#This Row],[_Descendants]])),Tasks[[#This Row],[_LeafLateStart]]))</f>
        <v/>
      </c>
      <c r="Y50" s="25" t="str">
        <f aca="false">IF(Tasks[[#This Row],[Task Name]]="","",IF(Tasks[[#This Row],[_IsSummary]],MAX(INDEX(Tasks[_LeafLateFinish],Tasks[[#This Row],[_Row]]+1):INDEX(Tasks[_LeafLateFinish],Tasks[[#This Row],[_Row]]+Tasks[[#This Row],[_Descendants]])),Tasks[[#This Row],[_LeafLateFinish]]))</f>
        <v/>
      </c>
      <c r="Z50" s="43" t="str">
        <f aca="false">IF(Tasks[[#This Row],[Task Name]]="","",IF(Tasks[[#This Row],[_IsSummary]],MIN(INDEX(Tasks[_LeafTotalSlack],Tasks[[#This Row],[_Row]]+1):INDEX(Tasks[_LeafTotalSlack],Tasks[[#This Row],[_Row]]+Tasks[[#This Row],[_Descendants]])),Tasks[[#This Row],[_LeafTotalSlack]]))</f>
        <v/>
      </c>
      <c r="AA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0" s="28" t="str">
        <f aca="false">IF(Tasks[[#This Row],[Task Name]]="","",IF(IF(Tasks[[#This Row],[_IsSummary]],COUNTIF(INDEX(Tasks[_LeafCritical],Tasks[[#This Row],[_Row]]+1):INDEX(Tasks[_LeafCritical],Tasks[[#This Row],[_Row]]+Tasks[[#This Row],[_Descendants]]),TRUE())&gt;0,Tasks[[#This Row],[_LeafCritical]]),"Yes",""))</f>
        <v/>
      </c>
      <c r="AC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0" s="24" t="str">
        <f aca="false">IF(Tasks[[#This Row],[Task Name]]="","",TRIM(IF(Tasks[[#This Row],[_Pred1Problem]]&lt;&gt;"","Pred 1: "&amp;Tasks[[#This Row],[_Pred1Problem]]&amp;". ","")&amp;IF(Tasks[[#This Row],[_Pred2Problem]]&lt;&gt;"","Pred 2: "&amp;Tasks[[#This Row],[_Pred2Problem]]&amp;".","")))</f>
        <v/>
      </c>
      <c r="AE50" s="91"/>
      <c r="AF5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0" s="28" t="str">
        <f aca="false">IF(Tasks[[#This Row],[Task Name]]="","",IF(Tasks[[#This Row],[Progress]]&gt;=1,"Complete",IF(OR(N(Tasks[[#This Row],[Actual Start]])&gt;0,Tasks[[#This Row],[Progress]]&gt;0),IF(Tasks[[#This Row],[Finish Var]]&gt;0,"Behind","In Progress"),IF(Tasks[[#This Row],[Planned Start]]&lt;StatusDate,"Late Start","Not Started"))))</f>
        <v/>
      </c>
      <c r="AH50" s="30"/>
      <c r="AI50" s="91"/>
      <c r="AJ5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0" s="98" t="str">
        <f aca="false">IF(Tasks[[#This Row],[Task Name]]="","",IF(Tasks[[#This Row],[_IsSummary]],SUM(INDEX(Tasks[_LeafWork],Tasks[[#This Row],[_Row]]+1):INDEX(Tasks[_LeafWork],Tasks[[#This Row],[_Row]]+Tasks[[#This Row],[_Descendants]])),Tasks[[#This Row],[_LeafWork]]))</f>
        <v/>
      </c>
      <c r="AL50" s="99" t="str">
        <f aca="false">IF(Tasks[[#This Row],[Task Name]]="","",IF(Tasks[[#This Row],[_IsSummary]],SUM(INDEX(Tasks[_LeafCost],Tasks[[#This Row],[_Row]]+1):INDEX(Tasks[_LeafCost],Tasks[[#This Row],[_Row]]+Tasks[[#This Row],[_Descendants]])),Tasks[[#This Row],[_LeafCost]]))</f>
        <v/>
      </c>
      <c r="AM50" s="100"/>
      <c r="AN50" s="29"/>
      <c r="AO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0" s="85"/>
      <c r="AQ50" s="24" t="str">
        <f aca="false">IF(Tasks[[#This Row],[Task Name]]="","",Tasks[[#This Row],[_Pred1IDText]]&amp;IF(AND(Tasks[[#This Row],[_Pred1IDText]]&lt;&gt;"",Tasks[[#This Row],[_Pred2IDText]]&lt;&gt;""),",","")&amp;Tasks[[#This Row],[_Pred2IDText]])</f>
        <v/>
      </c>
      <c r="AR50" s="30"/>
      <c r="AS50" s="25" t="str">
        <f aca="false">IF(Tasks[[#This Row],[Task Name]]="","",Tasks[[#This Row],[Forecast Start]])</f>
        <v/>
      </c>
      <c r="AT50" s="25" t="str">
        <f aca="false">IF(Tasks[[#This Row],[Task Name]]="","",Tasks[[#This Row],[Forecast Finish]])</f>
        <v/>
      </c>
      <c r="AU50" s="28" t="str">
        <f aca="false">IF(Tasks[[#This Row],[Task Name]]="","",IF(Tasks[[#This Row],[_IsSummary]],NETWORKDAYS.INTL(Tasks[[#This Row],[Forecast Start]],Tasks[[#This Row],[Forecast Finish]],WorkWeek,Holidays),N(Tasks[[#This Row],[Duration]])))</f>
        <v/>
      </c>
      <c r="AV50" s="98" t="str">
        <f aca="false">IF(Tasks[[#This Row],[Task Name]]="","",Tasks[[#This Row],[Work]])</f>
        <v/>
      </c>
      <c r="AW50" s="99" t="str">
        <f aca="false">IF(Tasks[[#This Row],[Task Name]]="","",Tasks[[#This Row],[Cost]])</f>
        <v/>
      </c>
      <c r="AX50" s="77"/>
      <c r="AY50" s="77"/>
      <c r="AZ50" s="29"/>
      <c r="BA50" s="101"/>
      <c r="BB50" s="100"/>
      <c r="BC50" s="28" t="str">
        <f aca="false">IF(OR(Tasks[[#This Row],[Task Name]]="",Tasks[[#This Row],[Baseline Duration]]=""),"",Tasks[[#This Row],[BL Source Duration]]-N(Tasks[[#This Row],[Baseline Duration]]))</f>
        <v/>
      </c>
      <c r="BD50" s="98" t="str">
        <f aca="false">IF(OR(Tasks[[#This Row],[Task Name]]="",Tasks[[#This Row],[Baseline Work]]=""),"",Tasks[[#This Row],[Work]]-N(Tasks[[#This Row],[Baseline Work]]))</f>
        <v/>
      </c>
      <c r="BE50" s="99" t="str">
        <f aca="false">IF(OR(Tasks[[#This Row],[Task Name]]="",Tasks[[#This Row],[Baseline Cost]]=""),"",Tasks[[#This Row],[Cost]]-N(Tasks[[#This Row],[Baseline Cost]]))</f>
        <v/>
      </c>
      <c r="BF50" s="99" t="str">
        <f aca="false">IF(Tasks[[#This Row],[Task Name]]="","",IF(Tasks[[#This Row],[_IsSummary]],SUM(INDEX(Tasks[_LeafBudget],Tasks[[#This Row],[_Row]]+1):INDEX(Tasks[_LeafBudget],Tasks[[#This Row],[_Row]]+Tasks[[#This Row],[_Descendants]])),Tasks[[#This Row],[_LeafBudget]]))</f>
        <v/>
      </c>
      <c r="BG50" s="99" t="str">
        <f aca="false">IF(Tasks[[#This Row],[Task Name]]="","",IF(Tasks[[#This Row],[_IsSummary]],SUM(INDEX(Tasks[_LeafPV],Tasks[[#This Row],[_Row]]+1):INDEX(Tasks[_LeafPV],Tasks[[#This Row],[_Row]]+Tasks[[#This Row],[_Descendants]])),Tasks[[#This Row],[_LeafPV]]))</f>
        <v/>
      </c>
      <c r="BH50" s="99" t="str">
        <f aca="false">IF(Tasks[[#This Row],[Task Name]]="","",IF(Tasks[[#This Row],[_IsSummary]],SUM(INDEX(Tasks[_LeafEV],Tasks[[#This Row],[_Row]]+1):INDEX(Tasks[_LeafEV],Tasks[[#This Row],[_Row]]+Tasks[[#This Row],[_Descendants]])),Tasks[[#This Row],[_LeafEV]]))</f>
        <v/>
      </c>
      <c r="BI50" s="99" t="str">
        <f aca="false">IF(Tasks[[#This Row],[Task Name]]="","",IF(Tasks[[#This Row],[_IsSummary]],SUM(INDEX(Tasks[_LeafAC],Tasks[[#This Row],[_Row]]+1):INDEX(Tasks[_LeafAC],Tasks[[#This Row],[_Row]]+Tasks[[#This Row],[_Descendants]])),Tasks[[#This Row],[_LeafAC]]))</f>
        <v/>
      </c>
      <c r="BJ50" s="41" t="str">
        <f aca="false">IF(Tasks[[#This Row],[Task Name]]="","",MAX(1,N(Tasks[[#This Row],[Level]])))</f>
        <v/>
      </c>
      <c r="BK50" s="41" t="n">
        <f aca="false">ROW()-ROW(Tasks[[#Headers],[ID]])</f>
        <v>45</v>
      </c>
      <c r="BL50" s="41" t="n">
        <f aca="false">IF(OR(Tasks[[#This Row],[Task Name]]="",Tasks[[#This Row],[_Level]]&lt;=1),0,IFERROR(LOOKUP(2,1/(Tasks[[#Headers],[_Level]]:Tasks[[#This Row],[_Level]]=Tasks[[#This Row],[_Level]]-1),ROW(Tasks[[#Headers],[_Level]]:Tasks[[#This Row],[_Level]])),0))</f>
        <v>0</v>
      </c>
      <c r="BM50" s="41" t="n">
        <f aca="false">IFERROR(N(INDEX(Tasks[_Level],Tasks[[#This Row],[_Row]]+1)),0)</f>
        <v>0</v>
      </c>
      <c r="BN50" s="102" t="b">
        <f aca="false">AND(Tasks[[#This Row],[Task Name]]&lt;&gt;"",Tasks[[#This Row],[_NextLevel]]&gt;Tasks[[#This Row],[_Level]])</f>
        <v>0</v>
      </c>
      <c r="BO50" s="41" t="n">
        <f aca="false">IF(Tasks[[#This Row],[_IsSummary]],COUNTIF(Tasks[WBS],Tasks[[#This Row],[WBS]]&amp;".*"),0)</f>
        <v>0</v>
      </c>
      <c r="BP50" s="41" t="n">
        <f aca="false">IF(AND(Tasks[[#This Row],[Task Name]]&lt;&gt;"",NOT(Tasks[[#This Row],[_IsSummary]])),1,0)</f>
        <v>0</v>
      </c>
      <c r="BQ50" s="41" t="n">
        <f aca="false">IF(N(Tasks[[#This Row],[Pred1 UID]])=0,0,IFERROR(MATCH(Tasks[[#This Row],[Pred1 UID]],Tasks[UID],0),-1))</f>
        <v>0</v>
      </c>
      <c r="BR50" s="41" t="n">
        <f aca="false">IF(N(Tasks[[#This Row],[Pred2 UID]])=0,0,IFERROR(MATCH(Tasks[[#This Row],[Pred2 UID]],Tasks[UID],0),-1))</f>
        <v>0</v>
      </c>
      <c r="BS5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0" s="103" t="str">
        <f aca="false">IF(NOT(Tasks[[#This Row],[_IsLeaf]]=1),"",IF(N(Tasks[[#This Row],[Duration]])&lt;=0,Tasks[[#This Row],[_LeafCalcStart]],WORKDAY.INTL(Tasks[[#This Row],[_LeafCalcStart]],Tasks[[#This Row],[Duration]]-1,WorkWeek,Holidays)))</f>
        <v/>
      </c>
      <c r="BU5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0" s="41" t="n">
        <f aca="false">IF(NOT(Tasks[[#This Row],[_IsLeaf]]=1),0,IF(N(Tasks[[#This Row],[Actual Finish]])&gt;0,1,MIN(1,N(Tasks[[#This Row],[% Complete]]))))</f>
        <v>0</v>
      </c>
      <c r="BX50" s="41" t="n">
        <f aca="false">IF(OR(NOT(Tasks[[#This Row],[_IsLeaf]]=1),Tasks[[#This Row],[Resource]]=""),0,N(Tasks[[#This Row],[Duration]])*HoursPerDay*IF(Tasks[[#This Row],[Units]]="",DefaultUnits,Tasks[[#This Row],[Units]]))</f>
        <v>0</v>
      </c>
      <c r="BY50" s="41" t="n">
        <f aca="false">IF(Tasks[[#This Row],[_LeafWork]]=0,0,Tasks[[#This Row],[_LeafWork]]*IFERROR(INDEX(res_Rate,MATCH(Tasks[[#This Row],[Resource]],res_Name,0)),0))</f>
        <v>0</v>
      </c>
      <c r="BZ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0" s="41" t="n">
        <f aca="false">IF(NOT(Tasks[[#This Row],[_IsLeaf]]=1),0,MAX(_xlfn.MAXIFS(Tasks[_Row],Tasks[Pred1 UID],Tasks[[#This Row],[UID]]),_xlfn.MAXIFS(Tasks[_Row],Tasks[Pred2 UID],Tasks[[#This Row],[UID]])))</f>
        <v>0</v>
      </c>
      <c r="CE5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0" s="103" t="str">
        <f aca="false">IF(NOT(Tasks[[#This Row],[_IsLeaf]]=1),"",MIN(ProjectFinish,IF(N(Tasks[[#This Row],[Deadline]])&gt;0,Tasks[[#This Row],[Deadline]],2958465),Tasks[[#This Row],[_SuccessorFinishLimit]]))</f>
        <v/>
      </c>
      <c r="CG50" s="103" t="str">
        <f aca="false">IF(NOT(Tasks[[#This Row],[_IsLeaf]]=1),"",IF(N(Tasks[[#This Row],[Duration]])&lt;=0,Tasks[[#This Row],[_LeafLateFinish]],WORKDAY.INTL(Tasks[[#This Row],[_LeafLateFinish]],-(Tasks[[#This Row],[Duration]]-1),WorkWeek,Holidays)))</f>
        <v/>
      </c>
      <c r="CH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0" s="102" t="b">
        <f aca="false">AND(Tasks[[#This Row],[_IsLeaf]]=1,Tasks[[#This Row],[_LeafProgress]]&lt;1,N(Tasks[[#This Row],[_LeafTotalSlack]])&lt;=CriticalSlackDays)</f>
        <v>0</v>
      </c>
      <c r="CJ50" s="103" t="str">
        <f aca="false">IF(Tasks[[#This Row],[Task Name]]="","",IF(Tasks[[#This Row],[_IsSummary]],MIN(INDEX(Tasks[_LeafCalcStart],Tasks[[#This Row],[_Row]]+1):INDEX(Tasks[_LeafCalcStart],Tasks[[#This Row],[_Row]]+Tasks[[#This Row],[_Descendants]])),Tasks[[#This Row],[_LeafCalcStart]]))</f>
        <v/>
      </c>
      <c r="CK50" s="103" t="str">
        <f aca="false">IF(Tasks[[#This Row],[Task Name]]="","",IF(Tasks[[#This Row],[_IsSummary]],MAX(INDEX(Tasks[_LeafCalcFinish],Tasks[[#This Row],[_Row]]+1):INDEX(Tasks[_LeafCalcFinish],Tasks[[#This Row],[_Row]]+Tasks[[#This Row],[_Descendants]])),Tasks[[#This Row],[_LeafCalcFinish]]))</f>
        <v/>
      </c>
      <c r="CL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0" s="41" t="n">
        <f aca="false">IF(AND(Tasks[[#This Row],[_IsLeaf]]=1,Tasks[[#This Row],[_LeafWork]]&gt;0),NETWORKDAYS.INTL(ProjectStart,Tasks[[#This Row],[_LeafFcstStart]],WorkWeek,Holidays),0)</f>
        <v>0</v>
      </c>
      <c r="CS50" s="41" t="n">
        <f aca="false">IF(AND(Tasks[[#This Row],[_IsLeaf]]=1,Tasks[[#This Row],[_LeafWork]]&gt;0),MAX(Tasks[[#This Row],[_StartWorkday]],NETWORKDAYS.INTL(ProjectStart,Tasks[[#This Row],[_LeafFcstFinish]],WorkWeek,Holidays)),0)</f>
        <v>0</v>
      </c>
      <c r="CT50" s="41" t="n">
        <f aca="false">IF(AND(Tasks[[#This Row],[_IsLeaf]]=1,Tasks[[#This Row],[_LeafWork]]&gt;0),Tasks[[#This Row],[_LeafWork]]/(Tasks[[#This Row],[_FinishWorkday]]-Tasks[[#This Row],[_StartWorkday]]+1),0)</f>
        <v>0</v>
      </c>
      <c r="CU50" s="41" t="n">
        <f aca="false">Tasks[[#This Row],[_WorkPerWorkday]]*(Tasks[[#This Row],[_StartWorkday]]-1)</f>
        <v>-0</v>
      </c>
      <c r="CV50" s="41" t="n">
        <f aca="false">IF(Tasks[[#This Row],[_IsLeaf]]=1,MAX(N(Tasks[[#This Row],[Duration]]),0.1),0)</f>
        <v>0</v>
      </c>
      <c r="CW50" s="41" t="n">
        <f aca="false">Tasks[[#This Row],[_WeightDur]]*Tasks[[#This Row],[_LeafProgress]]</f>
        <v>0</v>
      </c>
      <c r="CX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0" s="41" t="str">
        <f aca="false">IF(Tasks[[#This Row],[Task Name]]="","",Tasks[[#This Row],[_Pred1UIDText]]&amp;IF(AND(Tasks[[#This Row],[_Pred1UIDText]]&lt;&gt;"",Tasks[[#This Row],[_Pred2UIDText]]&lt;&gt;""),",","")&amp;Tasks[[#This Row],[_Pred2UIDText]])</f>
        <v/>
      </c>
      <c r="DC50" s="41" t="str">
        <f aca="false">IF(AND(Tasks[[#This Row],[_IsLeaf]]=1,N(Tasks[[#This Row],[Duration]])=0,Tasks[[#This Row],[_LeafProgress]]&lt;1),Tasks[[#This Row],[_LeafFcstFinish]]+Tasks[[#This Row],[_Row]]/100000,"")</f>
        <v/>
      </c>
      <c r="DD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0" s="41" t="n">
        <f aca="false">IF(NOT(Tasks[[#This Row],[_IsLeaf]]=1),0,IF(Tasks[[#This Row],[Baseline Cost]]="",Tasks[[#This Row],[_LeafCost]],N(Tasks[[#This Row],[Baseline Cost]])))</f>
        <v>0</v>
      </c>
      <c r="DF50" s="41" t="n">
        <f aca="false">Tasks[[#This Row],[_LeafBudget]]*Tasks[[#This Row],[_PlannedPct]]</f>
        <v>0</v>
      </c>
      <c r="DG50" s="41" t="n">
        <f aca="false">Tasks[[#This Row],[_LeafBudget]]*Tasks[[#This Row],[_LeafProgress]]</f>
        <v>0</v>
      </c>
      <c r="DH50" s="41" t="n">
        <f aca="false">IF(NOT(Tasks[[#This Row],[_IsLeaf]]=1),0,IF(Tasks[[#This Row],[Actual Cost]]="",Tasks[[#This Row],[_LeafCost]]*Tasks[[#This Row],[_LeafProgress]],N(Tasks[[#This Row],[Actual Cost]])))</f>
        <v>0</v>
      </c>
      <c r="DI50" s="41" t="str">
        <f aca="false">IF(Tasks[[#This Row],[Task Name]]="","",LEFT(Tasks[[#This Row],[WBS]],FIND(".",Tasks[[#This Row],[WBS]]&amp;".")-1))</f>
        <v/>
      </c>
      <c r="DJ50" s="41" t="str">
        <f aca="false">IF(AND(Tasks[[#This Row],[Task Name]]&lt;&gt;"",Tasks[[#This Row],[_Level]]=1),Tasks[[#This Row],[_Row]],"")</f>
        <v/>
      </c>
      <c r="DK50" s="41" t="str">
        <f aca="false">IF(AND(Tasks[[#This Row],[_IsLeaf]]=1,N(Tasks[[#This Row],[Duration]])=0),Tasks[[#This Row],[Planned Finish]]+Tasks[[#This Row],[_Row]]/100000,"")</f>
        <v/>
      </c>
      <c r="DL50" s="41" t="str">
        <f aca="false">IF(AND(Tasks[[#This Row],[_IsLeaf]]=1,Tasks[[#This Row],[_LeafProgress]]&lt;1,OR(N(Tasks[[#This Row],[Finish Var]])&gt;0,Tasks[[#This Row],[Status]]="Late Start")),MAX(0,Tasks[[#This Row],[Finish Var]])+1-Tasks[[#This Row],[_Row]]/1000000,"")</f>
        <v/>
      </c>
      <c r="DM50" s="41" t="str">
        <f aca="false">IF(AND(Tasks[[#This Row],[_IsLeaf]]=1,N(Tasks[[#This Row],[Actual Start]])=0,Tasks[[#This Row],[_LeafFcstStart]]&gt;=StatusDate,Tasks[[#This Row],[_LeafFcstStart]]&lt;=LookaheadEnd),Tasks[[#This Row],[_LeafFcstStart]]+Tasks[[#This Row],[_Row]]/100000,"")</f>
        <v/>
      </c>
      <c r="DN50" s="41" t="str">
        <f aca="false">IF(AND(Tasks[[#This Row],[_IsLeaf]]=1,Tasks[[#This Row],[_LeafProgress]]&lt;1,Tasks[[#This Row],[_LeafFcstFinish]]&gt;=StatusDate,Tasks[[#This Row],[_LeafFcstFinish]]&lt;=LookaheadEnd),Tasks[[#This Row],[_LeafFcstFinish]]+Tasks[[#This Row],[_Row]]/100000,"")</f>
        <v/>
      </c>
      <c r="DO50" s="41" t="str">
        <f aca="false">IF(Tasks[[#This Row],[_LeafCritical]],Tasks[[#This Row],[_LeafFcstStart]]+Tasks[[#This Row],[_Row]]/100000,"")</f>
        <v/>
      </c>
      <c r="DP50" s="41" t="n">
        <f aca="false">Tasks[[#This Row],[_LeafWork]]*Tasks[[#This Row],[_LeafProgress]]</f>
        <v>0</v>
      </c>
      <c r="DQ50" s="103" t="str">
        <f aca="false">IF(AND(Tasks[[#This Row],[_IsLeaf]]=1,Tasks[[#This Row],[_LeafProgress]]&gt;=1),IF(N(Tasks[[#This Row],[Actual Finish]])&gt;0,Tasks[[#This Row],[Actual Finish]],Tasks[[#This Row],[_LeafFcstFinish]]),"")</f>
        <v/>
      </c>
      <c r="DR50" s="41" t="n">
        <f aca="false">IF(Tasks[[#This Row],[_IsLeaf]]=1,N(Tasks[[#This Row],[Story Points]]),0)</f>
        <v>0</v>
      </c>
      <c r="DS50" s="41" t="str">
        <f aca="false">IF(AND(Tasks[[#This Row],[_IsLeaf]]=1,CurrentSprint&lt;&gt;"",Tasks[[#This Row],[Sprint]]=CurrentSprint),Tasks[[#This Row],[_Row]],"")</f>
        <v/>
      </c>
    </row>
    <row r="51" customFormat="false" ht="15" hidden="false" customHeight="false" outlineLevel="0" collapsed="false">
      <c r="A51" s="28" t="str">
        <f aca="false">IF(Tasks[[#This Row],[Task Name]]="","",COUNTA(Tasks[[#Headers],[Task Name]]:Tasks[[#This Row],[Task Name]])-1)</f>
        <v/>
      </c>
      <c r="B51" s="29" t="n">
        <v>46</v>
      </c>
      <c r="C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29"/>
      <c r="E51" s="30"/>
      <c r="F51" s="29"/>
      <c r="G51" s="29"/>
      <c r="H51" s="29"/>
      <c r="I51" s="29"/>
      <c r="J51" s="29"/>
      <c r="K51" s="29"/>
      <c r="L51" s="29"/>
      <c r="M51" s="29"/>
      <c r="N51" s="77"/>
      <c r="O51" s="77"/>
      <c r="P51" s="25" t="str">
        <f aca="false">IF(Tasks[[#This Row],[Task Name]]="","",IF(N(Tasks[[#This Row],[Baseline Start]])&gt;0,Tasks[[#This Row],[Baseline Start]],Tasks[[#This Row],[_CalcStart]]))</f>
        <v/>
      </c>
      <c r="Q51" s="25" t="str">
        <f aca="false">IF(Tasks[[#This Row],[Task Name]]="","",IF(N(Tasks[[#This Row],[Baseline Finish]])&gt;0,Tasks[[#This Row],[Baseline Finish]],Tasks[[#This Row],[_CalcFinish]]))</f>
        <v/>
      </c>
      <c r="R51" s="77"/>
      <c r="S51" s="77"/>
      <c r="T51" s="25" t="str">
        <f aca="false">IF(Tasks[[#This Row],[Task Name]]="","",IF(Tasks[[#This Row],[_IsSummary]],MIN(INDEX(Tasks[_LeafFcstStart],Tasks[[#This Row],[_Row]]+1):INDEX(Tasks[_LeafFcstStart],Tasks[[#This Row],[_Row]]+Tasks[[#This Row],[_Descendants]])),Tasks[[#This Row],[_LeafFcstStart]]))</f>
        <v/>
      </c>
      <c r="U51" s="25" t="str">
        <f aca="false">IF(Tasks[[#This Row],[Task Name]]="","",IF(Tasks[[#This Row],[_IsSummary]],MAX(INDEX(Tasks[_LeafFcstFinish],Tasks[[#This Row],[_Row]]+1):INDEX(Tasks[_LeafFcstFinish],Tasks[[#This Row],[_Row]]+Tasks[[#This Row],[_Descendants]])),Tasks[[#This Row],[_LeafFcstFinish]]))</f>
        <v/>
      </c>
      <c r="V5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1" s="25" t="str">
        <f aca="false">IF(Tasks[[#This Row],[Task Name]]="","",IF(Tasks[[#This Row],[_IsSummary]],MIN(INDEX(Tasks[_LeafLateStart],Tasks[[#This Row],[_Row]]+1):INDEX(Tasks[_LeafLateStart],Tasks[[#This Row],[_Row]]+Tasks[[#This Row],[_Descendants]])),Tasks[[#This Row],[_LeafLateStart]]))</f>
        <v/>
      </c>
      <c r="Y51" s="25" t="str">
        <f aca="false">IF(Tasks[[#This Row],[Task Name]]="","",IF(Tasks[[#This Row],[_IsSummary]],MAX(INDEX(Tasks[_LeafLateFinish],Tasks[[#This Row],[_Row]]+1):INDEX(Tasks[_LeafLateFinish],Tasks[[#This Row],[_Row]]+Tasks[[#This Row],[_Descendants]])),Tasks[[#This Row],[_LeafLateFinish]]))</f>
        <v/>
      </c>
      <c r="Z51" s="43" t="str">
        <f aca="false">IF(Tasks[[#This Row],[Task Name]]="","",IF(Tasks[[#This Row],[_IsSummary]],MIN(INDEX(Tasks[_LeafTotalSlack],Tasks[[#This Row],[_Row]]+1):INDEX(Tasks[_LeafTotalSlack],Tasks[[#This Row],[_Row]]+Tasks[[#This Row],[_Descendants]])),Tasks[[#This Row],[_LeafTotalSlack]]))</f>
        <v/>
      </c>
      <c r="AA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1" s="28" t="str">
        <f aca="false">IF(Tasks[[#This Row],[Task Name]]="","",IF(IF(Tasks[[#This Row],[_IsSummary]],COUNTIF(INDEX(Tasks[_LeafCritical],Tasks[[#This Row],[_Row]]+1):INDEX(Tasks[_LeafCritical],Tasks[[#This Row],[_Row]]+Tasks[[#This Row],[_Descendants]]),TRUE())&gt;0,Tasks[[#This Row],[_LeafCritical]]),"Yes",""))</f>
        <v/>
      </c>
      <c r="AC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1" s="24" t="str">
        <f aca="false">IF(Tasks[[#This Row],[Task Name]]="","",TRIM(IF(Tasks[[#This Row],[_Pred1Problem]]&lt;&gt;"","Pred 1: "&amp;Tasks[[#This Row],[_Pred1Problem]]&amp;". ","")&amp;IF(Tasks[[#This Row],[_Pred2Problem]]&lt;&gt;"","Pred 2: "&amp;Tasks[[#This Row],[_Pred2Problem]]&amp;".","")))</f>
        <v/>
      </c>
      <c r="AE51" s="91"/>
      <c r="AF5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1" s="28" t="str">
        <f aca="false">IF(Tasks[[#This Row],[Task Name]]="","",IF(Tasks[[#This Row],[Progress]]&gt;=1,"Complete",IF(OR(N(Tasks[[#This Row],[Actual Start]])&gt;0,Tasks[[#This Row],[Progress]]&gt;0),IF(Tasks[[#This Row],[Finish Var]]&gt;0,"Behind","In Progress"),IF(Tasks[[#This Row],[Planned Start]]&lt;StatusDate,"Late Start","Not Started"))))</f>
        <v/>
      </c>
      <c r="AH51" s="30"/>
      <c r="AI51" s="91"/>
      <c r="AJ5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1" s="98" t="str">
        <f aca="false">IF(Tasks[[#This Row],[Task Name]]="","",IF(Tasks[[#This Row],[_IsSummary]],SUM(INDEX(Tasks[_LeafWork],Tasks[[#This Row],[_Row]]+1):INDEX(Tasks[_LeafWork],Tasks[[#This Row],[_Row]]+Tasks[[#This Row],[_Descendants]])),Tasks[[#This Row],[_LeafWork]]))</f>
        <v/>
      </c>
      <c r="AL51" s="99" t="str">
        <f aca="false">IF(Tasks[[#This Row],[Task Name]]="","",IF(Tasks[[#This Row],[_IsSummary]],SUM(INDEX(Tasks[_LeafCost],Tasks[[#This Row],[_Row]]+1):INDEX(Tasks[_LeafCost],Tasks[[#This Row],[_Row]]+Tasks[[#This Row],[_Descendants]])),Tasks[[#This Row],[_LeafCost]]))</f>
        <v/>
      </c>
      <c r="AM51" s="100"/>
      <c r="AN51" s="29"/>
      <c r="AO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1" s="85"/>
      <c r="AQ51" s="24" t="str">
        <f aca="false">IF(Tasks[[#This Row],[Task Name]]="","",Tasks[[#This Row],[_Pred1IDText]]&amp;IF(AND(Tasks[[#This Row],[_Pred1IDText]]&lt;&gt;"",Tasks[[#This Row],[_Pred2IDText]]&lt;&gt;""),",","")&amp;Tasks[[#This Row],[_Pred2IDText]])</f>
        <v/>
      </c>
      <c r="AR51" s="30"/>
      <c r="AS51" s="25" t="str">
        <f aca="false">IF(Tasks[[#This Row],[Task Name]]="","",Tasks[[#This Row],[Forecast Start]])</f>
        <v/>
      </c>
      <c r="AT51" s="25" t="str">
        <f aca="false">IF(Tasks[[#This Row],[Task Name]]="","",Tasks[[#This Row],[Forecast Finish]])</f>
        <v/>
      </c>
      <c r="AU51" s="28" t="str">
        <f aca="false">IF(Tasks[[#This Row],[Task Name]]="","",IF(Tasks[[#This Row],[_IsSummary]],NETWORKDAYS.INTL(Tasks[[#This Row],[Forecast Start]],Tasks[[#This Row],[Forecast Finish]],WorkWeek,Holidays),N(Tasks[[#This Row],[Duration]])))</f>
        <v/>
      </c>
      <c r="AV51" s="98" t="str">
        <f aca="false">IF(Tasks[[#This Row],[Task Name]]="","",Tasks[[#This Row],[Work]])</f>
        <v/>
      </c>
      <c r="AW51" s="99" t="str">
        <f aca="false">IF(Tasks[[#This Row],[Task Name]]="","",Tasks[[#This Row],[Cost]])</f>
        <v/>
      </c>
      <c r="AX51" s="77"/>
      <c r="AY51" s="77"/>
      <c r="AZ51" s="29"/>
      <c r="BA51" s="101"/>
      <c r="BB51" s="100"/>
      <c r="BC51" s="28" t="str">
        <f aca="false">IF(OR(Tasks[[#This Row],[Task Name]]="",Tasks[[#This Row],[Baseline Duration]]=""),"",Tasks[[#This Row],[BL Source Duration]]-N(Tasks[[#This Row],[Baseline Duration]]))</f>
        <v/>
      </c>
      <c r="BD51" s="98" t="str">
        <f aca="false">IF(OR(Tasks[[#This Row],[Task Name]]="",Tasks[[#This Row],[Baseline Work]]=""),"",Tasks[[#This Row],[Work]]-N(Tasks[[#This Row],[Baseline Work]]))</f>
        <v/>
      </c>
      <c r="BE51" s="99" t="str">
        <f aca="false">IF(OR(Tasks[[#This Row],[Task Name]]="",Tasks[[#This Row],[Baseline Cost]]=""),"",Tasks[[#This Row],[Cost]]-N(Tasks[[#This Row],[Baseline Cost]]))</f>
        <v/>
      </c>
      <c r="BF51" s="99" t="str">
        <f aca="false">IF(Tasks[[#This Row],[Task Name]]="","",IF(Tasks[[#This Row],[_IsSummary]],SUM(INDEX(Tasks[_LeafBudget],Tasks[[#This Row],[_Row]]+1):INDEX(Tasks[_LeafBudget],Tasks[[#This Row],[_Row]]+Tasks[[#This Row],[_Descendants]])),Tasks[[#This Row],[_LeafBudget]]))</f>
        <v/>
      </c>
      <c r="BG51" s="99" t="str">
        <f aca="false">IF(Tasks[[#This Row],[Task Name]]="","",IF(Tasks[[#This Row],[_IsSummary]],SUM(INDEX(Tasks[_LeafPV],Tasks[[#This Row],[_Row]]+1):INDEX(Tasks[_LeafPV],Tasks[[#This Row],[_Row]]+Tasks[[#This Row],[_Descendants]])),Tasks[[#This Row],[_LeafPV]]))</f>
        <v/>
      </c>
      <c r="BH51" s="99" t="str">
        <f aca="false">IF(Tasks[[#This Row],[Task Name]]="","",IF(Tasks[[#This Row],[_IsSummary]],SUM(INDEX(Tasks[_LeafEV],Tasks[[#This Row],[_Row]]+1):INDEX(Tasks[_LeafEV],Tasks[[#This Row],[_Row]]+Tasks[[#This Row],[_Descendants]])),Tasks[[#This Row],[_LeafEV]]))</f>
        <v/>
      </c>
      <c r="BI51" s="99" t="str">
        <f aca="false">IF(Tasks[[#This Row],[Task Name]]="","",IF(Tasks[[#This Row],[_IsSummary]],SUM(INDEX(Tasks[_LeafAC],Tasks[[#This Row],[_Row]]+1):INDEX(Tasks[_LeafAC],Tasks[[#This Row],[_Row]]+Tasks[[#This Row],[_Descendants]])),Tasks[[#This Row],[_LeafAC]]))</f>
        <v/>
      </c>
      <c r="BJ51" s="41" t="str">
        <f aca="false">IF(Tasks[[#This Row],[Task Name]]="","",MAX(1,N(Tasks[[#This Row],[Level]])))</f>
        <v/>
      </c>
      <c r="BK51" s="41" t="n">
        <f aca="false">ROW()-ROW(Tasks[[#Headers],[ID]])</f>
        <v>46</v>
      </c>
      <c r="BL51" s="41" t="n">
        <f aca="false">IF(OR(Tasks[[#This Row],[Task Name]]="",Tasks[[#This Row],[_Level]]&lt;=1),0,IFERROR(LOOKUP(2,1/(Tasks[[#Headers],[_Level]]:Tasks[[#This Row],[_Level]]=Tasks[[#This Row],[_Level]]-1),ROW(Tasks[[#Headers],[_Level]]:Tasks[[#This Row],[_Level]])),0))</f>
        <v>0</v>
      </c>
      <c r="BM51" s="41" t="n">
        <f aca="false">IFERROR(N(INDEX(Tasks[_Level],Tasks[[#This Row],[_Row]]+1)),0)</f>
        <v>0</v>
      </c>
      <c r="BN51" s="102" t="b">
        <f aca="false">AND(Tasks[[#This Row],[Task Name]]&lt;&gt;"",Tasks[[#This Row],[_NextLevel]]&gt;Tasks[[#This Row],[_Level]])</f>
        <v>0</v>
      </c>
      <c r="BO51" s="41" t="n">
        <f aca="false">IF(Tasks[[#This Row],[_IsSummary]],COUNTIF(Tasks[WBS],Tasks[[#This Row],[WBS]]&amp;".*"),0)</f>
        <v>0</v>
      </c>
      <c r="BP51" s="41" t="n">
        <f aca="false">IF(AND(Tasks[[#This Row],[Task Name]]&lt;&gt;"",NOT(Tasks[[#This Row],[_IsSummary]])),1,0)</f>
        <v>0</v>
      </c>
      <c r="BQ51" s="41" t="n">
        <f aca="false">IF(N(Tasks[[#This Row],[Pred1 UID]])=0,0,IFERROR(MATCH(Tasks[[#This Row],[Pred1 UID]],Tasks[UID],0),-1))</f>
        <v>0</v>
      </c>
      <c r="BR51" s="41" t="n">
        <f aca="false">IF(N(Tasks[[#This Row],[Pred2 UID]])=0,0,IFERROR(MATCH(Tasks[[#This Row],[Pred2 UID]],Tasks[UID],0),-1))</f>
        <v>0</v>
      </c>
      <c r="BS5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1" s="103" t="str">
        <f aca="false">IF(NOT(Tasks[[#This Row],[_IsLeaf]]=1),"",IF(N(Tasks[[#This Row],[Duration]])&lt;=0,Tasks[[#This Row],[_LeafCalcStart]],WORKDAY.INTL(Tasks[[#This Row],[_LeafCalcStart]],Tasks[[#This Row],[Duration]]-1,WorkWeek,Holidays)))</f>
        <v/>
      </c>
      <c r="BU5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1" s="41" t="n">
        <f aca="false">IF(NOT(Tasks[[#This Row],[_IsLeaf]]=1),0,IF(N(Tasks[[#This Row],[Actual Finish]])&gt;0,1,MIN(1,N(Tasks[[#This Row],[% Complete]]))))</f>
        <v>0</v>
      </c>
      <c r="BX51" s="41" t="n">
        <f aca="false">IF(OR(NOT(Tasks[[#This Row],[_IsLeaf]]=1),Tasks[[#This Row],[Resource]]=""),0,N(Tasks[[#This Row],[Duration]])*HoursPerDay*IF(Tasks[[#This Row],[Units]]="",DefaultUnits,Tasks[[#This Row],[Units]]))</f>
        <v>0</v>
      </c>
      <c r="BY51" s="41" t="n">
        <f aca="false">IF(Tasks[[#This Row],[_LeafWork]]=0,0,Tasks[[#This Row],[_LeafWork]]*IFERROR(INDEX(res_Rate,MATCH(Tasks[[#This Row],[Resource]],res_Name,0)),0))</f>
        <v>0</v>
      </c>
      <c r="BZ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1" s="41" t="n">
        <f aca="false">IF(NOT(Tasks[[#This Row],[_IsLeaf]]=1),0,MAX(_xlfn.MAXIFS(Tasks[_Row],Tasks[Pred1 UID],Tasks[[#This Row],[UID]]),_xlfn.MAXIFS(Tasks[_Row],Tasks[Pred2 UID],Tasks[[#This Row],[UID]])))</f>
        <v>0</v>
      </c>
      <c r="CE5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1" s="103" t="str">
        <f aca="false">IF(NOT(Tasks[[#This Row],[_IsLeaf]]=1),"",MIN(ProjectFinish,IF(N(Tasks[[#This Row],[Deadline]])&gt;0,Tasks[[#This Row],[Deadline]],2958465),Tasks[[#This Row],[_SuccessorFinishLimit]]))</f>
        <v/>
      </c>
      <c r="CG51" s="103" t="str">
        <f aca="false">IF(NOT(Tasks[[#This Row],[_IsLeaf]]=1),"",IF(N(Tasks[[#This Row],[Duration]])&lt;=0,Tasks[[#This Row],[_LeafLateFinish]],WORKDAY.INTL(Tasks[[#This Row],[_LeafLateFinish]],-(Tasks[[#This Row],[Duration]]-1),WorkWeek,Holidays)))</f>
        <v/>
      </c>
      <c r="CH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1" s="102" t="b">
        <f aca="false">AND(Tasks[[#This Row],[_IsLeaf]]=1,Tasks[[#This Row],[_LeafProgress]]&lt;1,N(Tasks[[#This Row],[_LeafTotalSlack]])&lt;=CriticalSlackDays)</f>
        <v>0</v>
      </c>
      <c r="CJ51" s="103" t="str">
        <f aca="false">IF(Tasks[[#This Row],[Task Name]]="","",IF(Tasks[[#This Row],[_IsSummary]],MIN(INDEX(Tasks[_LeafCalcStart],Tasks[[#This Row],[_Row]]+1):INDEX(Tasks[_LeafCalcStart],Tasks[[#This Row],[_Row]]+Tasks[[#This Row],[_Descendants]])),Tasks[[#This Row],[_LeafCalcStart]]))</f>
        <v/>
      </c>
      <c r="CK51" s="103" t="str">
        <f aca="false">IF(Tasks[[#This Row],[Task Name]]="","",IF(Tasks[[#This Row],[_IsSummary]],MAX(INDEX(Tasks[_LeafCalcFinish],Tasks[[#This Row],[_Row]]+1):INDEX(Tasks[_LeafCalcFinish],Tasks[[#This Row],[_Row]]+Tasks[[#This Row],[_Descendants]])),Tasks[[#This Row],[_LeafCalcFinish]]))</f>
        <v/>
      </c>
      <c r="CL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1" s="41" t="n">
        <f aca="false">IF(AND(Tasks[[#This Row],[_IsLeaf]]=1,Tasks[[#This Row],[_LeafWork]]&gt;0),NETWORKDAYS.INTL(ProjectStart,Tasks[[#This Row],[_LeafFcstStart]],WorkWeek,Holidays),0)</f>
        <v>0</v>
      </c>
      <c r="CS51" s="41" t="n">
        <f aca="false">IF(AND(Tasks[[#This Row],[_IsLeaf]]=1,Tasks[[#This Row],[_LeafWork]]&gt;0),MAX(Tasks[[#This Row],[_StartWorkday]],NETWORKDAYS.INTL(ProjectStart,Tasks[[#This Row],[_LeafFcstFinish]],WorkWeek,Holidays)),0)</f>
        <v>0</v>
      </c>
      <c r="CT51" s="41" t="n">
        <f aca="false">IF(AND(Tasks[[#This Row],[_IsLeaf]]=1,Tasks[[#This Row],[_LeafWork]]&gt;0),Tasks[[#This Row],[_LeafWork]]/(Tasks[[#This Row],[_FinishWorkday]]-Tasks[[#This Row],[_StartWorkday]]+1),0)</f>
        <v>0</v>
      </c>
      <c r="CU51" s="41" t="n">
        <f aca="false">Tasks[[#This Row],[_WorkPerWorkday]]*(Tasks[[#This Row],[_StartWorkday]]-1)</f>
        <v>-0</v>
      </c>
      <c r="CV51" s="41" t="n">
        <f aca="false">IF(Tasks[[#This Row],[_IsLeaf]]=1,MAX(N(Tasks[[#This Row],[Duration]]),0.1),0)</f>
        <v>0</v>
      </c>
      <c r="CW51" s="41" t="n">
        <f aca="false">Tasks[[#This Row],[_WeightDur]]*Tasks[[#This Row],[_LeafProgress]]</f>
        <v>0</v>
      </c>
      <c r="CX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1" s="41" t="str">
        <f aca="false">IF(Tasks[[#This Row],[Task Name]]="","",Tasks[[#This Row],[_Pred1UIDText]]&amp;IF(AND(Tasks[[#This Row],[_Pred1UIDText]]&lt;&gt;"",Tasks[[#This Row],[_Pred2UIDText]]&lt;&gt;""),",","")&amp;Tasks[[#This Row],[_Pred2UIDText]])</f>
        <v/>
      </c>
      <c r="DC51" s="41" t="str">
        <f aca="false">IF(AND(Tasks[[#This Row],[_IsLeaf]]=1,N(Tasks[[#This Row],[Duration]])=0,Tasks[[#This Row],[_LeafProgress]]&lt;1),Tasks[[#This Row],[_LeafFcstFinish]]+Tasks[[#This Row],[_Row]]/100000,"")</f>
        <v/>
      </c>
      <c r="DD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1" s="41" t="n">
        <f aca="false">IF(NOT(Tasks[[#This Row],[_IsLeaf]]=1),0,IF(Tasks[[#This Row],[Baseline Cost]]="",Tasks[[#This Row],[_LeafCost]],N(Tasks[[#This Row],[Baseline Cost]])))</f>
        <v>0</v>
      </c>
      <c r="DF51" s="41" t="n">
        <f aca="false">Tasks[[#This Row],[_LeafBudget]]*Tasks[[#This Row],[_PlannedPct]]</f>
        <v>0</v>
      </c>
      <c r="DG51" s="41" t="n">
        <f aca="false">Tasks[[#This Row],[_LeafBudget]]*Tasks[[#This Row],[_LeafProgress]]</f>
        <v>0</v>
      </c>
      <c r="DH51" s="41" t="n">
        <f aca="false">IF(NOT(Tasks[[#This Row],[_IsLeaf]]=1),0,IF(Tasks[[#This Row],[Actual Cost]]="",Tasks[[#This Row],[_LeafCost]]*Tasks[[#This Row],[_LeafProgress]],N(Tasks[[#This Row],[Actual Cost]])))</f>
        <v>0</v>
      </c>
      <c r="DI51" s="41" t="str">
        <f aca="false">IF(Tasks[[#This Row],[Task Name]]="","",LEFT(Tasks[[#This Row],[WBS]],FIND(".",Tasks[[#This Row],[WBS]]&amp;".")-1))</f>
        <v/>
      </c>
      <c r="DJ51" s="41" t="str">
        <f aca="false">IF(AND(Tasks[[#This Row],[Task Name]]&lt;&gt;"",Tasks[[#This Row],[_Level]]=1),Tasks[[#This Row],[_Row]],"")</f>
        <v/>
      </c>
      <c r="DK51" s="41" t="str">
        <f aca="false">IF(AND(Tasks[[#This Row],[_IsLeaf]]=1,N(Tasks[[#This Row],[Duration]])=0),Tasks[[#This Row],[Planned Finish]]+Tasks[[#This Row],[_Row]]/100000,"")</f>
        <v/>
      </c>
      <c r="DL51" s="41" t="str">
        <f aca="false">IF(AND(Tasks[[#This Row],[_IsLeaf]]=1,Tasks[[#This Row],[_LeafProgress]]&lt;1,OR(N(Tasks[[#This Row],[Finish Var]])&gt;0,Tasks[[#This Row],[Status]]="Late Start")),MAX(0,Tasks[[#This Row],[Finish Var]])+1-Tasks[[#This Row],[_Row]]/1000000,"")</f>
        <v/>
      </c>
      <c r="DM51" s="41" t="str">
        <f aca="false">IF(AND(Tasks[[#This Row],[_IsLeaf]]=1,N(Tasks[[#This Row],[Actual Start]])=0,Tasks[[#This Row],[_LeafFcstStart]]&gt;=StatusDate,Tasks[[#This Row],[_LeafFcstStart]]&lt;=LookaheadEnd),Tasks[[#This Row],[_LeafFcstStart]]+Tasks[[#This Row],[_Row]]/100000,"")</f>
        <v/>
      </c>
      <c r="DN51" s="41" t="str">
        <f aca="false">IF(AND(Tasks[[#This Row],[_IsLeaf]]=1,Tasks[[#This Row],[_LeafProgress]]&lt;1,Tasks[[#This Row],[_LeafFcstFinish]]&gt;=StatusDate,Tasks[[#This Row],[_LeafFcstFinish]]&lt;=LookaheadEnd),Tasks[[#This Row],[_LeafFcstFinish]]+Tasks[[#This Row],[_Row]]/100000,"")</f>
        <v/>
      </c>
      <c r="DO51" s="41" t="str">
        <f aca="false">IF(Tasks[[#This Row],[_LeafCritical]],Tasks[[#This Row],[_LeafFcstStart]]+Tasks[[#This Row],[_Row]]/100000,"")</f>
        <v/>
      </c>
      <c r="DP51" s="41" t="n">
        <f aca="false">Tasks[[#This Row],[_LeafWork]]*Tasks[[#This Row],[_LeafProgress]]</f>
        <v>0</v>
      </c>
      <c r="DQ51" s="103" t="str">
        <f aca="false">IF(AND(Tasks[[#This Row],[_IsLeaf]]=1,Tasks[[#This Row],[_LeafProgress]]&gt;=1),IF(N(Tasks[[#This Row],[Actual Finish]])&gt;0,Tasks[[#This Row],[Actual Finish]],Tasks[[#This Row],[_LeafFcstFinish]]),"")</f>
        <v/>
      </c>
      <c r="DR51" s="41" t="n">
        <f aca="false">IF(Tasks[[#This Row],[_IsLeaf]]=1,N(Tasks[[#This Row],[Story Points]]),0)</f>
        <v>0</v>
      </c>
      <c r="DS51" s="41" t="str">
        <f aca="false">IF(AND(Tasks[[#This Row],[_IsLeaf]]=1,CurrentSprint&lt;&gt;"",Tasks[[#This Row],[Sprint]]=CurrentSprint),Tasks[[#This Row],[_Row]],"")</f>
        <v/>
      </c>
    </row>
    <row r="52" customFormat="false" ht="15" hidden="false" customHeight="false" outlineLevel="0" collapsed="false">
      <c r="A52" s="28" t="str">
        <f aca="false">IF(Tasks[[#This Row],[Task Name]]="","",COUNTA(Tasks[[#Headers],[Task Name]]:Tasks[[#This Row],[Task Name]])-1)</f>
        <v/>
      </c>
      <c r="B52" s="29" t="n">
        <v>47</v>
      </c>
      <c r="C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29"/>
      <c r="E52" s="30"/>
      <c r="F52" s="29"/>
      <c r="G52" s="29"/>
      <c r="H52" s="29"/>
      <c r="I52" s="29"/>
      <c r="J52" s="29"/>
      <c r="K52" s="29"/>
      <c r="L52" s="29"/>
      <c r="M52" s="29"/>
      <c r="N52" s="77"/>
      <c r="O52" s="77"/>
      <c r="P52" s="25" t="str">
        <f aca="false">IF(Tasks[[#This Row],[Task Name]]="","",IF(N(Tasks[[#This Row],[Baseline Start]])&gt;0,Tasks[[#This Row],[Baseline Start]],Tasks[[#This Row],[_CalcStart]]))</f>
        <v/>
      </c>
      <c r="Q52" s="25" t="str">
        <f aca="false">IF(Tasks[[#This Row],[Task Name]]="","",IF(N(Tasks[[#This Row],[Baseline Finish]])&gt;0,Tasks[[#This Row],[Baseline Finish]],Tasks[[#This Row],[_CalcFinish]]))</f>
        <v/>
      </c>
      <c r="R52" s="77"/>
      <c r="S52" s="77"/>
      <c r="T52" s="25" t="str">
        <f aca="false">IF(Tasks[[#This Row],[Task Name]]="","",IF(Tasks[[#This Row],[_IsSummary]],MIN(INDEX(Tasks[_LeafFcstStart],Tasks[[#This Row],[_Row]]+1):INDEX(Tasks[_LeafFcstStart],Tasks[[#This Row],[_Row]]+Tasks[[#This Row],[_Descendants]])),Tasks[[#This Row],[_LeafFcstStart]]))</f>
        <v/>
      </c>
      <c r="U52" s="25" t="str">
        <f aca="false">IF(Tasks[[#This Row],[Task Name]]="","",IF(Tasks[[#This Row],[_IsSummary]],MAX(INDEX(Tasks[_LeafFcstFinish],Tasks[[#This Row],[_Row]]+1):INDEX(Tasks[_LeafFcstFinish],Tasks[[#This Row],[_Row]]+Tasks[[#This Row],[_Descendants]])),Tasks[[#This Row],[_LeafFcstFinish]]))</f>
        <v/>
      </c>
      <c r="V5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2" s="25" t="str">
        <f aca="false">IF(Tasks[[#This Row],[Task Name]]="","",IF(Tasks[[#This Row],[_IsSummary]],MIN(INDEX(Tasks[_LeafLateStart],Tasks[[#This Row],[_Row]]+1):INDEX(Tasks[_LeafLateStart],Tasks[[#This Row],[_Row]]+Tasks[[#This Row],[_Descendants]])),Tasks[[#This Row],[_LeafLateStart]]))</f>
        <v/>
      </c>
      <c r="Y52" s="25" t="str">
        <f aca="false">IF(Tasks[[#This Row],[Task Name]]="","",IF(Tasks[[#This Row],[_IsSummary]],MAX(INDEX(Tasks[_LeafLateFinish],Tasks[[#This Row],[_Row]]+1):INDEX(Tasks[_LeafLateFinish],Tasks[[#This Row],[_Row]]+Tasks[[#This Row],[_Descendants]])),Tasks[[#This Row],[_LeafLateFinish]]))</f>
        <v/>
      </c>
      <c r="Z52" s="43" t="str">
        <f aca="false">IF(Tasks[[#This Row],[Task Name]]="","",IF(Tasks[[#This Row],[_IsSummary]],MIN(INDEX(Tasks[_LeafTotalSlack],Tasks[[#This Row],[_Row]]+1):INDEX(Tasks[_LeafTotalSlack],Tasks[[#This Row],[_Row]]+Tasks[[#This Row],[_Descendants]])),Tasks[[#This Row],[_LeafTotalSlack]]))</f>
        <v/>
      </c>
      <c r="AA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2" s="28" t="str">
        <f aca="false">IF(Tasks[[#This Row],[Task Name]]="","",IF(IF(Tasks[[#This Row],[_IsSummary]],COUNTIF(INDEX(Tasks[_LeafCritical],Tasks[[#This Row],[_Row]]+1):INDEX(Tasks[_LeafCritical],Tasks[[#This Row],[_Row]]+Tasks[[#This Row],[_Descendants]]),TRUE())&gt;0,Tasks[[#This Row],[_LeafCritical]]),"Yes",""))</f>
        <v/>
      </c>
      <c r="AC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2" s="24" t="str">
        <f aca="false">IF(Tasks[[#This Row],[Task Name]]="","",TRIM(IF(Tasks[[#This Row],[_Pred1Problem]]&lt;&gt;"","Pred 1: "&amp;Tasks[[#This Row],[_Pred1Problem]]&amp;". ","")&amp;IF(Tasks[[#This Row],[_Pred2Problem]]&lt;&gt;"","Pred 2: "&amp;Tasks[[#This Row],[_Pred2Problem]]&amp;".","")))</f>
        <v/>
      </c>
      <c r="AE52" s="91"/>
      <c r="AF5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2" s="28" t="str">
        <f aca="false">IF(Tasks[[#This Row],[Task Name]]="","",IF(Tasks[[#This Row],[Progress]]&gt;=1,"Complete",IF(OR(N(Tasks[[#This Row],[Actual Start]])&gt;0,Tasks[[#This Row],[Progress]]&gt;0),IF(Tasks[[#This Row],[Finish Var]]&gt;0,"Behind","In Progress"),IF(Tasks[[#This Row],[Planned Start]]&lt;StatusDate,"Late Start","Not Started"))))</f>
        <v/>
      </c>
      <c r="AH52" s="30"/>
      <c r="AI52" s="91"/>
      <c r="AJ5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2" s="98" t="str">
        <f aca="false">IF(Tasks[[#This Row],[Task Name]]="","",IF(Tasks[[#This Row],[_IsSummary]],SUM(INDEX(Tasks[_LeafWork],Tasks[[#This Row],[_Row]]+1):INDEX(Tasks[_LeafWork],Tasks[[#This Row],[_Row]]+Tasks[[#This Row],[_Descendants]])),Tasks[[#This Row],[_LeafWork]]))</f>
        <v/>
      </c>
      <c r="AL52" s="99" t="str">
        <f aca="false">IF(Tasks[[#This Row],[Task Name]]="","",IF(Tasks[[#This Row],[_IsSummary]],SUM(INDEX(Tasks[_LeafCost],Tasks[[#This Row],[_Row]]+1):INDEX(Tasks[_LeafCost],Tasks[[#This Row],[_Row]]+Tasks[[#This Row],[_Descendants]])),Tasks[[#This Row],[_LeafCost]]))</f>
        <v/>
      </c>
      <c r="AM52" s="100"/>
      <c r="AN52" s="29"/>
      <c r="AO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2" s="85"/>
      <c r="AQ52" s="24" t="str">
        <f aca="false">IF(Tasks[[#This Row],[Task Name]]="","",Tasks[[#This Row],[_Pred1IDText]]&amp;IF(AND(Tasks[[#This Row],[_Pred1IDText]]&lt;&gt;"",Tasks[[#This Row],[_Pred2IDText]]&lt;&gt;""),",","")&amp;Tasks[[#This Row],[_Pred2IDText]])</f>
        <v/>
      </c>
      <c r="AR52" s="30"/>
      <c r="AS52" s="25" t="str">
        <f aca="false">IF(Tasks[[#This Row],[Task Name]]="","",Tasks[[#This Row],[Forecast Start]])</f>
        <v/>
      </c>
      <c r="AT52" s="25" t="str">
        <f aca="false">IF(Tasks[[#This Row],[Task Name]]="","",Tasks[[#This Row],[Forecast Finish]])</f>
        <v/>
      </c>
      <c r="AU52" s="28" t="str">
        <f aca="false">IF(Tasks[[#This Row],[Task Name]]="","",IF(Tasks[[#This Row],[_IsSummary]],NETWORKDAYS.INTL(Tasks[[#This Row],[Forecast Start]],Tasks[[#This Row],[Forecast Finish]],WorkWeek,Holidays),N(Tasks[[#This Row],[Duration]])))</f>
        <v/>
      </c>
      <c r="AV52" s="98" t="str">
        <f aca="false">IF(Tasks[[#This Row],[Task Name]]="","",Tasks[[#This Row],[Work]])</f>
        <v/>
      </c>
      <c r="AW52" s="99" t="str">
        <f aca="false">IF(Tasks[[#This Row],[Task Name]]="","",Tasks[[#This Row],[Cost]])</f>
        <v/>
      </c>
      <c r="AX52" s="77"/>
      <c r="AY52" s="77"/>
      <c r="AZ52" s="29"/>
      <c r="BA52" s="101"/>
      <c r="BB52" s="100"/>
      <c r="BC52" s="28" t="str">
        <f aca="false">IF(OR(Tasks[[#This Row],[Task Name]]="",Tasks[[#This Row],[Baseline Duration]]=""),"",Tasks[[#This Row],[BL Source Duration]]-N(Tasks[[#This Row],[Baseline Duration]]))</f>
        <v/>
      </c>
      <c r="BD52" s="98" t="str">
        <f aca="false">IF(OR(Tasks[[#This Row],[Task Name]]="",Tasks[[#This Row],[Baseline Work]]=""),"",Tasks[[#This Row],[Work]]-N(Tasks[[#This Row],[Baseline Work]]))</f>
        <v/>
      </c>
      <c r="BE52" s="99" t="str">
        <f aca="false">IF(OR(Tasks[[#This Row],[Task Name]]="",Tasks[[#This Row],[Baseline Cost]]=""),"",Tasks[[#This Row],[Cost]]-N(Tasks[[#This Row],[Baseline Cost]]))</f>
        <v/>
      </c>
      <c r="BF52" s="99" t="str">
        <f aca="false">IF(Tasks[[#This Row],[Task Name]]="","",IF(Tasks[[#This Row],[_IsSummary]],SUM(INDEX(Tasks[_LeafBudget],Tasks[[#This Row],[_Row]]+1):INDEX(Tasks[_LeafBudget],Tasks[[#This Row],[_Row]]+Tasks[[#This Row],[_Descendants]])),Tasks[[#This Row],[_LeafBudget]]))</f>
        <v/>
      </c>
      <c r="BG52" s="99" t="str">
        <f aca="false">IF(Tasks[[#This Row],[Task Name]]="","",IF(Tasks[[#This Row],[_IsSummary]],SUM(INDEX(Tasks[_LeafPV],Tasks[[#This Row],[_Row]]+1):INDEX(Tasks[_LeafPV],Tasks[[#This Row],[_Row]]+Tasks[[#This Row],[_Descendants]])),Tasks[[#This Row],[_LeafPV]]))</f>
        <v/>
      </c>
      <c r="BH52" s="99" t="str">
        <f aca="false">IF(Tasks[[#This Row],[Task Name]]="","",IF(Tasks[[#This Row],[_IsSummary]],SUM(INDEX(Tasks[_LeafEV],Tasks[[#This Row],[_Row]]+1):INDEX(Tasks[_LeafEV],Tasks[[#This Row],[_Row]]+Tasks[[#This Row],[_Descendants]])),Tasks[[#This Row],[_LeafEV]]))</f>
        <v/>
      </c>
      <c r="BI52" s="99" t="str">
        <f aca="false">IF(Tasks[[#This Row],[Task Name]]="","",IF(Tasks[[#This Row],[_IsSummary]],SUM(INDEX(Tasks[_LeafAC],Tasks[[#This Row],[_Row]]+1):INDEX(Tasks[_LeafAC],Tasks[[#This Row],[_Row]]+Tasks[[#This Row],[_Descendants]])),Tasks[[#This Row],[_LeafAC]]))</f>
        <v/>
      </c>
      <c r="BJ52" s="41" t="str">
        <f aca="false">IF(Tasks[[#This Row],[Task Name]]="","",MAX(1,N(Tasks[[#This Row],[Level]])))</f>
        <v/>
      </c>
      <c r="BK52" s="41" t="n">
        <f aca="false">ROW()-ROW(Tasks[[#Headers],[ID]])</f>
        <v>47</v>
      </c>
      <c r="BL52" s="41" t="n">
        <f aca="false">IF(OR(Tasks[[#This Row],[Task Name]]="",Tasks[[#This Row],[_Level]]&lt;=1),0,IFERROR(LOOKUP(2,1/(Tasks[[#Headers],[_Level]]:Tasks[[#This Row],[_Level]]=Tasks[[#This Row],[_Level]]-1),ROW(Tasks[[#Headers],[_Level]]:Tasks[[#This Row],[_Level]])),0))</f>
        <v>0</v>
      </c>
      <c r="BM52" s="41" t="n">
        <f aca="false">IFERROR(N(INDEX(Tasks[_Level],Tasks[[#This Row],[_Row]]+1)),0)</f>
        <v>0</v>
      </c>
      <c r="BN52" s="102" t="b">
        <f aca="false">AND(Tasks[[#This Row],[Task Name]]&lt;&gt;"",Tasks[[#This Row],[_NextLevel]]&gt;Tasks[[#This Row],[_Level]])</f>
        <v>0</v>
      </c>
      <c r="BO52" s="41" t="n">
        <f aca="false">IF(Tasks[[#This Row],[_IsSummary]],COUNTIF(Tasks[WBS],Tasks[[#This Row],[WBS]]&amp;".*"),0)</f>
        <v>0</v>
      </c>
      <c r="BP52" s="41" t="n">
        <f aca="false">IF(AND(Tasks[[#This Row],[Task Name]]&lt;&gt;"",NOT(Tasks[[#This Row],[_IsSummary]])),1,0)</f>
        <v>0</v>
      </c>
      <c r="BQ52" s="41" t="n">
        <f aca="false">IF(N(Tasks[[#This Row],[Pred1 UID]])=0,0,IFERROR(MATCH(Tasks[[#This Row],[Pred1 UID]],Tasks[UID],0),-1))</f>
        <v>0</v>
      </c>
      <c r="BR52" s="41" t="n">
        <f aca="false">IF(N(Tasks[[#This Row],[Pred2 UID]])=0,0,IFERROR(MATCH(Tasks[[#This Row],[Pred2 UID]],Tasks[UID],0),-1))</f>
        <v>0</v>
      </c>
      <c r="BS5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2" s="103" t="str">
        <f aca="false">IF(NOT(Tasks[[#This Row],[_IsLeaf]]=1),"",IF(N(Tasks[[#This Row],[Duration]])&lt;=0,Tasks[[#This Row],[_LeafCalcStart]],WORKDAY.INTL(Tasks[[#This Row],[_LeafCalcStart]],Tasks[[#This Row],[Duration]]-1,WorkWeek,Holidays)))</f>
        <v/>
      </c>
      <c r="BU5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2" s="41" t="n">
        <f aca="false">IF(NOT(Tasks[[#This Row],[_IsLeaf]]=1),0,IF(N(Tasks[[#This Row],[Actual Finish]])&gt;0,1,MIN(1,N(Tasks[[#This Row],[% Complete]]))))</f>
        <v>0</v>
      </c>
      <c r="BX52" s="41" t="n">
        <f aca="false">IF(OR(NOT(Tasks[[#This Row],[_IsLeaf]]=1),Tasks[[#This Row],[Resource]]=""),0,N(Tasks[[#This Row],[Duration]])*HoursPerDay*IF(Tasks[[#This Row],[Units]]="",DefaultUnits,Tasks[[#This Row],[Units]]))</f>
        <v>0</v>
      </c>
      <c r="BY52" s="41" t="n">
        <f aca="false">IF(Tasks[[#This Row],[_LeafWork]]=0,0,Tasks[[#This Row],[_LeafWork]]*IFERROR(INDEX(res_Rate,MATCH(Tasks[[#This Row],[Resource]],res_Name,0)),0))</f>
        <v>0</v>
      </c>
      <c r="BZ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2" s="41" t="n">
        <f aca="false">IF(NOT(Tasks[[#This Row],[_IsLeaf]]=1),0,MAX(_xlfn.MAXIFS(Tasks[_Row],Tasks[Pred1 UID],Tasks[[#This Row],[UID]]),_xlfn.MAXIFS(Tasks[_Row],Tasks[Pred2 UID],Tasks[[#This Row],[UID]])))</f>
        <v>0</v>
      </c>
      <c r="CE5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2" s="103" t="str">
        <f aca="false">IF(NOT(Tasks[[#This Row],[_IsLeaf]]=1),"",MIN(ProjectFinish,IF(N(Tasks[[#This Row],[Deadline]])&gt;0,Tasks[[#This Row],[Deadline]],2958465),Tasks[[#This Row],[_SuccessorFinishLimit]]))</f>
        <v/>
      </c>
      <c r="CG52" s="103" t="str">
        <f aca="false">IF(NOT(Tasks[[#This Row],[_IsLeaf]]=1),"",IF(N(Tasks[[#This Row],[Duration]])&lt;=0,Tasks[[#This Row],[_LeafLateFinish]],WORKDAY.INTL(Tasks[[#This Row],[_LeafLateFinish]],-(Tasks[[#This Row],[Duration]]-1),WorkWeek,Holidays)))</f>
        <v/>
      </c>
      <c r="CH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2" s="102" t="b">
        <f aca="false">AND(Tasks[[#This Row],[_IsLeaf]]=1,Tasks[[#This Row],[_LeafProgress]]&lt;1,N(Tasks[[#This Row],[_LeafTotalSlack]])&lt;=CriticalSlackDays)</f>
        <v>0</v>
      </c>
      <c r="CJ52" s="103" t="str">
        <f aca="false">IF(Tasks[[#This Row],[Task Name]]="","",IF(Tasks[[#This Row],[_IsSummary]],MIN(INDEX(Tasks[_LeafCalcStart],Tasks[[#This Row],[_Row]]+1):INDEX(Tasks[_LeafCalcStart],Tasks[[#This Row],[_Row]]+Tasks[[#This Row],[_Descendants]])),Tasks[[#This Row],[_LeafCalcStart]]))</f>
        <v/>
      </c>
      <c r="CK52" s="103" t="str">
        <f aca="false">IF(Tasks[[#This Row],[Task Name]]="","",IF(Tasks[[#This Row],[_IsSummary]],MAX(INDEX(Tasks[_LeafCalcFinish],Tasks[[#This Row],[_Row]]+1):INDEX(Tasks[_LeafCalcFinish],Tasks[[#This Row],[_Row]]+Tasks[[#This Row],[_Descendants]])),Tasks[[#This Row],[_LeafCalcFinish]]))</f>
        <v/>
      </c>
      <c r="CL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2" s="41" t="n">
        <f aca="false">IF(AND(Tasks[[#This Row],[_IsLeaf]]=1,Tasks[[#This Row],[_LeafWork]]&gt;0),NETWORKDAYS.INTL(ProjectStart,Tasks[[#This Row],[_LeafFcstStart]],WorkWeek,Holidays),0)</f>
        <v>0</v>
      </c>
      <c r="CS52" s="41" t="n">
        <f aca="false">IF(AND(Tasks[[#This Row],[_IsLeaf]]=1,Tasks[[#This Row],[_LeafWork]]&gt;0),MAX(Tasks[[#This Row],[_StartWorkday]],NETWORKDAYS.INTL(ProjectStart,Tasks[[#This Row],[_LeafFcstFinish]],WorkWeek,Holidays)),0)</f>
        <v>0</v>
      </c>
      <c r="CT52" s="41" t="n">
        <f aca="false">IF(AND(Tasks[[#This Row],[_IsLeaf]]=1,Tasks[[#This Row],[_LeafWork]]&gt;0),Tasks[[#This Row],[_LeafWork]]/(Tasks[[#This Row],[_FinishWorkday]]-Tasks[[#This Row],[_StartWorkday]]+1),0)</f>
        <v>0</v>
      </c>
      <c r="CU52" s="41" t="n">
        <f aca="false">Tasks[[#This Row],[_WorkPerWorkday]]*(Tasks[[#This Row],[_StartWorkday]]-1)</f>
        <v>-0</v>
      </c>
      <c r="CV52" s="41" t="n">
        <f aca="false">IF(Tasks[[#This Row],[_IsLeaf]]=1,MAX(N(Tasks[[#This Row],[Duration]]),0.1),0)</f>
        <v>0</v>
      </c>
      <c r="CW52" s="41" t="n">
        <f aca="false">Tasks[[#This Row],[_WeightDur]]*Tasks[[#This Row],[_LeafProgress]]</f>
        <v>0</v>
      </c>
      <c r="CX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2" s="41" t="str">
        <f aca="false">IF(Tasks[[#This Row],[Task Name]]="","",Tasks[[#This Row],[_Pred1UIDText]]&amp;IF(AND(Tasks[[#This Row],[_Pred1UIDText]]&lt;&gt;"",Tasks[[#This Row],[_Pred2UIDText]]&lt;&gt;""),",","")&amp;Tasks[[#This Row],[_Pred2UIDText]])</f>
        <v/>
      </c>
      <c r="DC52" s="41" t="str">
        <f aca="false">IF(AND(Tasks[[#This Row],[_IsLeaf]]=1,N(Tasks[[#This Row],[Duration]])=0,Tasks[[#This Row],[_LeafProgress]]&lt;1),Tasks[[#This Row],[_LeafFcstFinish]]+Tasks[[#This Row],[_Row]]/100000,"")</f>
        <v/>
      </c>
      <c r="DD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2" s="41" t="n">
        <f aca="false">IF(NOT(Tasks[[#This Row],[_IsLeaf]]=1),0,IF(Tasks[[#This Row],[Baseline Cost]]="",Tasks[[#This Row],[_LeafCost]],N(Tasks[[#This Row],[Baseline Cost]])))</f>
        <v>0</v>
      </c>
      <c r="DF52" s="41" t="n">
        <f aca="false">Tasks[[#This Row],[_LeafBudget]]*Tasks[[#This Row],[_PlannedPct]]</f>
        <v>0</v>
      </c>
      <c r="DG52" s="41" t="n">
        <f aca="false">Tasks[[#This Row],[_LeafBudget]]*Tasks[[#This Row],[_LeafProgress]]</f>
        <v>0</v>
      </c>
      <c r="DH52" s="41" t="n">
        <f aca="false">IF(NOT(Tasks[[#This Row],[_IsLeaf]]=1),0,IF(Tasks[[#This Row],[Actual Cost]]="",Tasks[[#This Row],[_LeafCost]]*Tasks[[#This Row],[_LeafProgress]],N(Tasks[[#This Row],[Actual Cost]])))</f>
        <v>0</v>
      </c>
      <c r="DI52" s="41" t="str">
        <f aca="false">IF(Tasks[[#This Row],[Task Name]]="","",LEFT(Tasks[[#This Row],[WBS]],FIND(".",Tasks[[#This Row],[WBS]]&amp;".")-1))</f>
        <v/>
      </c>
      <c r="DJ52" s="41" t="str">
        <f aca="false">IF(AND(Tasks[[#This Row],[Task Name]]&lt;&gt;"",Tasks[[#This Row],[_Level]]=1),Tasks[[#This Row],[_Row]],"")</f>
        <v/>
      </c>
      <c r="DK52" s="41" t="str">
        <f aca="false">IF(AND(Tasks[[#This Row],[_IsLeaf]]=1,N(Tasks[[#This Row],[Duration]])=0),Tasks[[#This Row],[Planned Finish]]+Tasks[[#This Row],[_Row]]/100000,"")</f>
        <v/>
      </c>
      <c r="DL52" s="41" t="str">
        <f aca="false">IF(AND(Tasks[[#This Row],[_IsLeaf]]=1,Tasks[[#This Row],[_LeafProgress]]&lt;1,OR(N(Tasks[[#This Row],[Finish Var]])&gt;0,Tasks[[#This Row],[Status]]="Late Start")),MAX(0,Tasks[[#This Row],[Finish Var]])+1-Tasks[[#This Row],[_Row]]/1000000,"")</f>
        <v/>
      </c>
      <c r="DM52" s="41" t="str">
        <f aca="false">IF(AND(Tasks[[#This Row],[_IsLeaf]]=1,N(Tasks[[#This Row],[Actual Start]])=0,Tasks[[#This Row],[_LeafFcstStart]]&gt;=StatusDate,Tasks[[#This Row],[_LeafFcstStart]]&lt;=LookaheadEnd),Tasks[[#This Row],[_LeafFcstStart]]+Tasks[[#This Row],[_Row]]/100000,"")</f>
        <v/>
      </c>
      <c r="DN52" s="41" t="str">
        <f aca="false">IF(AND(Tasks[[#This Row],[_IsLeaf]]=1,Tasks[[#This Row],[_LeafProgress]]&lt;1,Tasks[[#This Row],[_LeafFcstFinish]]&gt;=StatusDate,Tasks[[#This Row],[_LeafFcstFinish]]&lt;=LookaheadEnd),Tasks[[#This Row],[_LeafFcstFinish]]+Tasks[[#This Row],[_Row]]/100000,"")</f>
        <v/>
      </c>
      <c r="DO52" s="41" t="str">
        <f aca="false">IF(Tasks[[#This Row],[_LeafCritical]],Tasks[[#This Row],[_LeafFcstStart]]+Tasks[[#This Row],[_Row]]/100000,"")</f>
        <v/>
      </c>
      <c r="DP52" s="41" t="n">
        <f aca="false">Tasks[[#This Row],[_LeafWork]]*Tasks[[#This Row],[_LeafProgress]]</f>
        <v>0</v>
      </c>
      <c r="DQ52" s="103" t="str">
        <f aca="false">IF(AND(Tasks[[#This Row],[_IsLeaf]]=1,Tasks[[#This Row],[_LeafProgress]]&gt;=1),IF(N(Tasks[[#This Row],[Actual Finish]])&gt;0,Tasks[[#This Row],[Actual Finish]],Tasks[[#This Row],[_LeafFcstFinish]]),"")</f>
        <v/>
      </c>
      <c r="DR52" s="41" t="n">
        <f aca="false">IF(Tasks[[#This Row],[_IsLeaf]]=1,N(Tasks[[#This Row],[Story Points]]),0)</f>
        <v>0</v>
      </c>
      <c r="DS52" s="41" t="str">
        <f aca="false">IF(AND(Tasks[[#This Row],[_IsLeaf]]=1,CurrentSprint&lt;&gt;"",Tasks[[#This Row],[Sprint]]=CurrentSprint),Tasks[[#This Row],[_Row]],"")</f>
        <v/>
      </c>
    </row>
    <row r="53" customFormat="false" ht="15" hidden="false" customHeight="false" outlineLevel="0" collapsed="false">
      <c r="A53" s="28" t="str">
        <f aca="false">IF(Tasks[[#This Row],[Task Name]]="","",COUNTA(Tasks[[#Headers],[Task Name]]:Tasks[[#This Row],[Task Name]])-1)</f>
        <v/>
      </c>
      <c r="B53" s="29" t="n">
        <v>48</v>
      </c>
      <c r="C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29"/>
      <c r="E53" s="30"/>
      <c r="F53" s="29"/>
      <c r="G53" s="29"/>
      <c r="H53" s="29"/>
      <c r="I53" s="29"/>
      <c r="J53" s="29"/>
      <c r="K53" s="29"/>
      <c r="L53" s="29"/>
      <c r="M53" s="29"/>
      <c r="N53" s="77"/>
      <c r="O53" s="77"/>
      <c r="P53" s="25" t="str">
        <f aca="false">IF(Tasks[[#This Row],[Task Name]]="","",IF(N(Tasks[[#This Row],[Baseline Start]])&gt;0,Tasks[[#This Row],[Baseline Start]],Tasks[[#This Row],[_CalcStart]]))</f>
        <v/>
      </c>
      <c r="Q53" s="25" t="str">
        <f aca="false">IF(Tasks[[#This Row],[Task Name]]="","",IF(N(Tasks[[#This Row],[Baseline Finish]])&gt;0,Tasks[[#This Row],[Baseline Finish]],Tasks[[#This Row],[_CalcFinish]]))</f>
        <v/>
      </c>
      <c r="R53" s="77"/>
      <c r="S53" s="77"/>
      <c r="T53" s="25" t="str">
        <f aca="false">IF(Tasks[[#This Row],[Task Name]]="","",IF(Tasks[[#This Row],[_IsSummary]],MIN(INDEX(Tasks[_LeafFcstStart],Tasks[[#This Row],[_Row]]+1):INDEX(Tasks[_LeafFcstStart],Tasks[[#This Row],[_Row]]+Tasks[[#This Row],[_Descendants]])),Tasks[[#This Row],[_LeafFcstStart]]))</f>
        <v/>
      </c>
      <c r="U53" s="25" t="str">
        <f aca="false">IF(Tasks[[#This Row],[Task Name]]="","",IF(Tasks[[#This Row],[_IsSummary]],MAX(INDEX(Tasks[_LeafFcstFinish],Tasks[[#This Row],[_Row]]+1):INDEX(Tasks[_LeafFcstFinish],Tasks[[#This Row],[_Row]]+Tasks[[#This Row],[_Descendants]])),Tasks[[#This Row],[_LeafFcstFinish]]))</f>
        <v/>
      </c>
      <c r="V5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3" s="25" t="str">
        <f aca="false">IF(Tasks[[#This Row],[Task Name]]="","",IF(Tasks[[#This Row],[_IsSummary]],MIN(INDEX(Tasks[_LeafLateStart],Tasks[[#This Row],[_Row]]+1):INDEX(Tasks[_LeafLateStart],Tasks[[#This Row],[_Row]]+Tasks[[#This Row],[_Descendants]])),Tasks[[#This Row],[_LeafLateStart]]))</f>
        <v/>
      </c>
      <c r="Y53" s="25" t="str">
        <f aca="false">IF(Tasks[[#This Row],[Task Name]]="","",IF(Tasks[[#This Row],[_IsSummary]],MAX(INDEX(Tasks[_LeafLateFinish],Tasks[[#This Row],[_Row]]+1):INDEX(Tasks[_LeafLateFinish],Tasks[[#This Row],[_Row]]+Tasks[[#This Row],[_Descendants]])),Tasks[[#This Row],[_LeafLateFinish]]))</f>
        <v/>
      </c>
      <c r="Z53" s="43" t="str">
        <f aca="false">IF(Tasks[[#This Row],[Task Name]]="","",IF(Tasks[[#This Row],[_IsSummary]],MIN(INDEX(Tasks[_LeafTotalSlack],Tasks[[#This Row],[_Row]]+1):INDEX(Tasks[_LeafTotalSlack],Tasks[[#This Row],[_Row]]+Tasks[[#This Row],[_Descendants]])),Tasks[[#This Row],[_LeafTotalSlack]]))</f>
        <v/>
      </c>
      <c r="AA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3" s="28" t="str">
        <f aca="false">IF(Tasks[[#This Row],[Task Name]]="","",IF(IF(Tasks[[#This Row],[_IsSummary]],COUNTIF(INDEX(Tasks[_LeafCritical],Tasks[[#This Row],[_Row]]+1):INDEX(Tasks[_LeafCritical],Tasks[[#This Row],[_Row]]+Tasks[[#This Row],[_Descendants]]),TRUE())&gt;0,Tasks[[#This Row],[_LeafCritical]]),"Yes",""))</f>
        <v/>
      </c>
      <c r="AC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3" s="24" t="str">
        <f aca="false">IF(Tasks[[#This Row],[Task Name]]="","",TRIM(IF(Tasks[[#This Row],[_Pred1Problem]]&lt;&gt;"","Pred 1: "&amp;Tasks[[#This Row],[_Pred1Problem]]&amp;". ","")&amp;IF(Tasks[[#This Row],[_Pred2Problem]]&lt;&gt;"","Pred 2: "&amp;Tasks[[#This Row],[_Pred2Problem]]&amp;".","")))</f>
        <v/>
      </c>
      <c r="AE53" s="91"/>
      <c r="AF5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3" s="28" t="str">
        <f aca="false">IF(Tasks[[#This Row],[Task Name]]="","",IF(Tasks[[#This Row],[Progress]]&gt;=1,"Complete",IF(OR(N(Tasks[[#This Row],[Actual Start]])&gt;0,Tasks[[#This Row],[Progress]]&gt;0),IF(Tasks[[#This Row],[Finish Var]]&gt;0,"Behind","In Progress"),IF(Tasks[[#This Row],[Planned Start]]&lt;StatusDate,"Late Start","Not Started"))))</f>
        <v/>
      </c>
      <c r="AH53" s="30"/>
      <c r="AI53" s="91"/>
      <c r="AJ5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3" s="98" t="str">
        <f aca="false">IF(Tasks[[#This Row],[Task Name]]="","",IF(Tasks[[#This Row],[_IsSummary]],SUM(INDEX(Tasks[_LeafWork],Tasks[[#This Row],[_Row]]+1):INDEX(Tasks[_LeafWork],Tasks[[#This Row],[_Row]]+Tasks[[#This Row],[_Descendants]])),Tasks[[#This Row],[_LeafWork]]))</f>
        <v/>
      </c>
      <c r="AL53" s="99" t="str">
        <f aca="false">IF(Tasks[[#This Row],[Task Name]]="","",IF(Tasks[[#This Row],[_IsSummary]],SUM(INDEX(Tasks[_LeafCost],Tasks[[#This Row],[_Row]]+1):INDEX(Tasks[_LeafCost],Tasks[[#This Row],[_Row]]+Tasks[[#This Row],[_Descendants]])),Tasks[[#This Row],[_LeafCost]]))</f>
        <v/>
      </c>
      <c r="AM53" s="100"/>
      <c r="AN53" s="29"/>
      <c r="AO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3" s="85"/>
      <c r="AQ53" s="24" t="str">
        <f aca="false">IF(Tasks[[#This Row],[Task Name]]="","",Tasks[[#This Row],[_Pred1IDText]]&amp;IF(AND(Tasks[[#This Row],[_Pred1IDText]]&lt;&gt;"",Tasks[[#This Row],[_Pred2IDText]]&lt;&gt;""),",","")&amp;Tasks[[#This Row],[_Pred2IDText]])</f>
        <v/>
      </c>
      <c r="AR53" s="30"/>
      <c r="AS53" s="25" t="str">
        <f aca="false">IF(Tasks[[#This Row],[Task Name]]="","",Tasks[[#This Row],[Forecast Start]])</f>
        <v/>
      </c>
      <c r="AT53" s="25" t="str">
        <f aca="false">IF(Tasks[[#This Row],[Task Name]]="","",Tasks[[#This Row],[Forecast Finish]])</f>
        <v/>
      </c>
      <c r="AU53" s="28" t="str">
        <f aca="false">IF(Tasks[[#This Row],[Task Name]]="","",IF(Tasks[[#This Row],[_IsSummary]],NETWORKDAYS.INTL(Tasks[[#This Row],[Forecast Start]],Tasks[[#This Row],[Forecast Finish]],WorkWeek,Holidays),N(Tasks[[#This Row],[Duration]])))</f>
        <v/>
      </c>
      <c r="AV53" s="98" t="str">
        <f aca="false">IF(Tasks[[#This Row],[Task Name]]="","",Tasks[[#This Row],[Work]])</f>
        <v/>
      </c>
      <c r="AW53" s="99" t="str">
        <f aca="false">IF(Tasks[[#This Row],[Task Name]]="","",Tasks[[#This Row],[Cost]])</f>
        <v/>
      </c>
      <c r="AX53" s="77"/>
      <c r="AY53" s="77"/>
      <c r="AZ53" s="29"/>
      <c r="BA53" s="101"/>
      <c r="BB53" s="100"/>
      <c r="BC53" s="28" t="str">
        <f aca="false">IF(OR(Tasks[[#This Row],[Task Name]]="",Tasks[[#This Row],[Baseline Duration]]=""),"",Tasks[[#This Row],[BL Source Duration]]-N(Tasks[[#This Row],[Baseline Duration]]))</f>
        <v/>
      </c>
      <c r="BD53" s="98" t="str">
        <f aca="false">IF(OR(Tasks[[#This Row],[Task Name]]="",Tasks[[#This Row],[Baseline Work]]=""),"",Tasks[[#This Row],[Work]]-N(Tasks[[#This Row],[Baseline Work]]))</f>
        <v/>
      </c>
      <c r="BE53" s="99" t="str">
        <f aca="false">IF(OR(Tasks[[#This Row],[Task Name]]="",Tasks[[#This Row],[Baseline Cost]]=""),"",Tasks[[#This Row],[Cost]]-N(Tasks[[#This Row],[Baseline Cost]]))</f>
        <v/>
      </c>
      <c r="BF53" s="99" t="str">
        <f aca="false">IF(Tasks[[#This Row],[Task Name]]="","",IF(Tasks[[#This Row],[_IsSummary]],SUM(INDEX(Tasks[_LeafBudget],Tasks[[#This Row],[_Row]]+1):INDEX(Tasks[_LeafBudget],Tasks[[#This Row],[_Row]]+Tasks[[#This Row],[_Descendants]])),Tasks[[#This Row],[_LeafBudget]]))</f>
        <v/>
      </c>
      <c r="BG53" s="99" t="str">
        <f aca="false">IF(Tasks[[#This Row],[Task Name]]="","",IF(Tasks[[#This Row],[_IsSummary]],SUM(INDEX(Tasks[_LeafPV],Tasks[[#This Row],[_Row]]+1):INDEX(Tasks[_LeafPV],Tasks[[#This Row],[_Row]]+Tasks[[#This Row],[_Descendants]])),Tasks[[#This Row],[_LeafPV]]))</f>
        <v/>
      </c>
      <c r="BH53" s="99" t="str">
        <f aca="false">IF(Tasks[[#This Row],[Task Name]]="","",IF(Tasks[[#This Row],[_IsSummary]],SUM(INDEX(Tasks[_LeafEV],Tasks[[#This Row],[_Row]]+1):INDEX(Tasks[_LeafEV],Tasks[[#This Row],[_Row]]+Tasks[[#This Row],[_Descendants]])),Tasks[[#This Row],[_LeafEV]]))</f>
        <v/>
      </c>
      <c r="BI53" s="99" t="str">
        <f aca="false">IF(Tasks[[#This Row],[Task Name]]="","",IF(Tasks[[#This Row],[_IsSummary]],SUM(INDEX(Tasks[_LeafAC],Tasks[[#This Row],[_Row]]+1):INDEX(Tasks[_LeafAC],Tasks[[#This Row],[_Row]]+Tasks[[#This Row],[_Descendants]])),Tasks[[#This Row],[_LeafAC]]))</f>
        <v/>
      </c>
      <c r="BJ53" s="41" t="str">
        <f aca="false">IF(Tasks[[#This Row],[Task Name]]="","",MAX(1,N(Tasks[[#This Row],[Level]])))</f>
        <v/>
      </c>
      <c r="BK53" s="41" t="n">
        <f aca="false">ROW()-ROW(Tasks[[#Headers],[ID]])</f>
        <v>48</v>
      </c>
      <c r="BL53" s="41" t="n">
        <f aca="false">IF(OR(Tasks[[#This Row],[Task Name]]="",Tasks[[#This Row],[_Level]]&lt;=1),0,IFERROR(LOOKUP(2,1/(Tasks[[#Headers],[_Level]]:Tasks[[#This Row],[_Level]]=Tasks[[#This Row],[_Level]]-1),ROW(Tasks[[#Headers],[_Level]]:Tasks[[#This Row],[_Level]])),0))</f>
        <v>0</v>
      </c>
      <c r="BM53" s="41" t="n">
        <f aca="false">IFERROR(N(INDEX(Tasks[_Level],Tasks[[#This Row],[_Row]]+1)),0)</f>
        <v>0</v>
      </c>
      <c r="BN53" s="102" t="b">
        <f aca="false">AND(Tasks[[#This Row],[Task Name]]&lt;&gt;"",Tasks[[#This Row],[_NextLevel]]&gt;Tasks[[#This Row],[_Level]])</f>
        <v>0</v>
      </c>
      <c r="BO53" s="41" t="n">
        <f aca="false">IF(Tasks[[#This Row],[_IsSummary]],COUNTIF(Tasks[WBS],Tasks[[#This Row],[WBS]]&amp;".*"),0)</f>
        <v>0</v>
      </c>
      <c r="BP53" s="41" t="n">
        <f aca="false">IF(AND(Tasks[[#This Row],[Task Name]]&lt;&gt;"",NOT(Tasks[[#This Row],[_IsSummary]])),1,0)</f>
        <v>0</v>
      </c>
      <c r="BQ53" s="41" t="n">
        <f aca="false">IF(N(Tasks[[#This Row],[Pred1 UID]])=0,0,IFERROR(MATCH(Tasks[[#This Row],[Pred1 UID]],Tasks[UID],0),-1))</f>
        <v>0</v>
      </c>
      <c r="BR53" s="41" t="n">
        <f aca="false">IF(N(Tasks[[#This Row],[Pred2 UID]])=0,0,IFERROR(MATCH(Tasks[[#This Row],[Pred2 UID]],Tasks[UID],0),-1))</f>
        <v>0</v>
      </c>
      <c r="BS5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3" s="103" t="str">
        <f aca="false">IF(NOT(Tasks[[#This Row],[_IsLeaf]]=1),"",IF(N(Tasks[[#This Row],[Duration]])&lt;=0,Tasks[[#This Row],[_LeafCalcStart]],WORKDAY.INTL(Tasks[[#This Row],[_LeafCalcStart]],Tasks[[#This Row],[Duration]]-1,WorkWeek,Holidays)))</f>
        <v/>
      </c>
      <c r="BU5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3" s="41" t="n">
        <f aca="false">IF(NOT(Tasks[[#This Row],[_IsLeaf]]=1),0,IF(N(Tasks[[#This Row],[Actual Finish]])&gt;0,1,MIN(1,N(Tasks[[#This Row],[% Complete]]))))</f>
        <v>0</v>
      </c>
      <c r="BX53" s="41" t="n">
        <f aca="false">IF(OR(NOT(Tasks[[#This Row],[_IsLeaf]]=1),Tasks[[#This Row],[Resource]]=""),0,N(Tasks[[#This Row],[Duration]])*HoursPerDay*IF(Tasks[[#This Row],[Units]]="",DefaultUnits,Tasks[[#This Row],[Units]]))</f>
        <v>0</v>
      </c>
      <c r="BY53" s="41" t="n">
        <f aca="false">IF(Tasks[[#This Row],[_LeafWork]]=0,0,Tasks[[#This Row],[_LeafWork]]*IFERROR(INDEX(res_Rate,MATCH(Tasks[[#This Row],[Resource]],res_Name,0)),0))</f>
        <v>0</v>
      </c>
      <c r="BZ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3" s="41" t="n">
        <f aca="false">IF(NOT(Tasks[[#This Row],[_IsLeaf]]=1),0,MAX(_xlfn.MAXIFS(Tasks[_Row],Tasks[Pred1 UID],Tasks[[#This Row],[UID]]),_xlfn.MAXIFS(Tasks[_Row],Tasks[Pred2 UID],Tasks[[#This Row],[UID]])))</f>
        <v>0</v>
      </c>
      <c r="CE5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3" s="103" t="str">
        <f aca="false">IF(NOT(Tasks[[#This Row],[_IsLeaf]]=1),"",MIN(ProjectFinish,IF(N(Tasks[[#This Row],[Deadline]])&gt;0,Tasks[[#This Row],[Deadline]],2958465),Tasks[[#This Row],[_SuccessorFinishLimit]]))</f>
        <v/>
      </c>
      <c r="CG53" s="103" t="str">
        <f aca="false">IF(NOT(Tasks[[#This Row],[_IsLeaf]]=1),"",IF(N(Tasks[[#This Row],[Duration]])&lt;=0,Tasks[[#This Row],[_LeafLateFinish]],WORKDAY.INTL(Tasks[[#This Row],[_LeafLateFinish]],-(Tasks[[#This Row],[Duration]]-1),WorkWeek,Holidays)))</f>
        <v/>
      </c>
      <c r="CH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3" s="102" t="b">
        <f aca="false">AND(Tasks[[#This Row],[_IsLeaf]]=1,Tasks[[#This Row],[_LeafProgress]]&lt;1,N(Tasks[[#This Row],[_LeafTotalSlack]])&lt;=CriticalSlackDays)</f>
        <v>0</v>
      </c>
      <c r="CJ53" s="103" t="str">
        <f aca="false">IF(Tasks[[#This Row],[Task Name]]="","",IF(Tasks[[#This Row],[_IsSummary]],MIN(INDEX(Tasks[_LeafCalcStart],Tasks[[#This Row],[_Row]]+1):INDEX(Tasks[_LeafCalcStart],Tasks[[#This Row],[_Row]]+Tasks[[#This Row],[_Descendants]])),Tasks[[#This Row],[_LeafCalcStart]]))</f>
        <v/>
      </c>
      <c r="CK53" s="103" t="str">
        <f aca="false">IF(Tasks[[#This Row],[Task Name]]="","",IF(Tasks[[#This Row],[_IsSummary]],MAX(INDEX(Tasks[_LeafCalcFinish],Tasks[[#This Row],[_Row]]+1):INDEX(Tasks[_LeafCalcFinish],Tasks[[#This Row],[_Row]]+Tasks[[#This Row],[_Descendants]])),Tasks[[#This Row],[_LeafCalcFinish]]))</f>
        <v/>
      </c>
      <c r="CL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3" s="41" t="n">
        <f aca="false">IF(AND(Tasks[[#This Row],[_IsLeaf]]=1,Tasks[[#This Row],[_LeafWork]]&gt;0),NETWORKDAYS.INTL(ProjectStart,Tasks[[#This Row],[_LeafFcstStart]],WorkWeek,Holidays),0)</f>
        <v>0</v>
      </c>
      <c r="CS53" s="41" t="n">
        <f aca="false">IF(AND(Tasks[[#This Row],[_IsLeaf]]=1,Tasks[[#This Row],[_LeafWork]]&gt;0),MAX(Tasks[[#This Row],[_StartWorkday]],NETWORKDAYS.INTL(ProjectStart,Tasks[[#This Row],[_LeafFcstFinish]],WorkWeek,Holidays)),0)</f>
        <v>0</v>
      </c>
      <c r="CT53" s="41" t="n">
        <f aca="false">IF(AND(Tasks[[#This Row],[_IsLeaf]]=1,Tasks[[#This Row],[_LeafWork]]&gt;0),Tasks[[#This Row],[_LeafWork]]/(Tasks[[#This Row],[_FinishWorkday]]-Tasks[[#This Row],[_StartWorkday]]+1),0)</f>
        <v>0</v>
      </c>
      <c r="CU53" s="41" t="n">
        <f aca="false">Tasks[[#This Row],[_WorkPerWorkday]]*(Tasks[[#This Row],[_StartWorkday]]-1)</f>
        <v>-0</v>
      </c>
      <c r="CV53" s="41" t="n">
        <f aca="false">IF(Tasks[[#This Row],[_IsLeaf]]=1,MAX(N(Tasks[[#This Row],[Duration]]),0.1),0)</f>
        <v>0</v>
      </c>
      <c r="CW53" s="41" t="n">
        <f aca="false">Tasks[[#This Row],[_WeightDur]]*Tasks[[#This Row],[_LeafProgress]]</f>
        <v>0</v>
      </c>
      <c r="CX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3" s="41" t="str">
        <f aca="false">IF(Tasks[[#This Row],[Task Name]]="","",Tasks[[#This Row],[_Pred1UIDText]]&amp;IF(AND(Tasks[[#This Row],[_Pred1UIDText]]&lt;&gt;"",Tasks[[#This Row],[_Pred2UIDText]]&lt;&gt;""),",","")&amp;Tasks[[#This Row],[_Pred2UIDText]])</f>
        <v/>
      </c>
      <c r="DC53" s="41" t="str">
        <f aca="false">IF(AND(Tasks[[#This Row],[_IsLeaf]]=1,N(Tasks[[#This Row],[Duration]])=0,Tasks[[#This Row],[_LeafProgress]]&lt;1),Tasks[[#This Row],[_LeafFcstFinish]]+Tasks[[#This Row],[_Row]]/100000,"")</f>
        <v/>
      </c>
      <c r="DD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3" s="41" t="n">
        <f aca="false">IF(NOT(Tasks[[#This Row],[_IsLeaf]]=1),0,IF(Tasks[[#This Row],[Baseline Cost]]="",Tasks[[#This Row],[_LeafCost]],N(Tasks[[#This Row],[Baseline Cost]])))</f>
        <v>0</v>
      </c>
      <c r="DF53" s="41" t="n">
        <f aca="false">Tasks[[#This Row],[_LeafBudget]]*Tasks[[#This Row],[_PlannedPct]]</f>
        <v>0</v>
      </c>
      <c r="DG53" s="41" t="n">
        <f aca="false">Tasks[[#This Row],[_LeafBudget]]*Tasks[[#This Row],[_LeafProgress]]</f>
        <v>0</v>
      </c>
      <c r="DH53" s="41" t="n">
        <f aca="false">IF(NOT(Tasks[[#This Row],[_IsLeaf]]=1),0,IF(Tasks[[#This Row],[Actual Cost]]="",Tasks[[#This Row],[_LeafCost]]*Tasks[[#This Row],[_LeafProgress]],N(Tasks[[#This Row],[Actual Cost]])))</f>
        <v>0</v>
      </c>
      <c r="DI53" s="41" t="str">
        <f aca="false">IF(Tasks[[#This Row],[Task Name]]="","",LEFT(Tasks[[#This Row],[WBS]],FIND(".",Tasks[[#This Row],[WBS]]&amp;".")-1))</f>
        <v/>
      </c>
      <c r="DJ53" s="41" t="str">
        <f aca="false">IF(AND(Tasks[[#This Row],[Task Name]]&lt;&gt;"",Tasks[[#This Row],[_Level]]=1),Tasks[[#This Row],[_Row]],"")</f>
        <v/>
      </c>
      <c r="DK53" s="41" t="str">
        <f aca="false">IF(AND(Tasks[[#This Row],[_IsLeaf]]=1,N(Tasks[[#This Row],[Duration]])=0),Tasks[[#This Row],[Planned Finish]]+Tasks[[#This Row],[_Row]]/100000,"")</f>
        <v/>
      </c>
      <c r="DL53" s="41" t="str">
        <f aca="false">IF(AND(Tasks[[#This Row],[_IsLeaf]]=1,Tasks[[#This Row],[_LeafProgress]]&lt;1,OR(N(Tasks[[#This Row],[Finish Var]])&gt;0,Tasks[[#This Row],[Status]]="Late Start")),MAX(0,Tasks[[#This Row],[Finish Var]])+1-Tasks[[#This Row],[_Row]]/1000000,"")</f>
        <v/>
      </c>
      <c r="DM53" s="41" t="str">
        <f aca="false">IF(AND(Tasks[[#This Row],[_IsLeaf]]=1,N(Tasks[[#This Row],[Actual Start]])=0,Tasks[[#This Row],[_LeafFcstStart]]&gt;=StatusDate,Tasks[[#This Row],[_LeafFcstStart]]&lt;=LookaheadEnd),Tasks[[#This Row],[_LeafFcstStart]]+Tasks[[#This Row],[_Row]]/100000,"")</f>
        <v/>
      </c>
      <c r="DN53" s="41" t="str">
        <f aca="false">IF(AND(Tasks[[#This Row],[_IsLeaf]]=1,Tasks[[#This Row],[_LeafProgress]]&lt;1,Tasks[[#This Row],[_LeafFcstFinish]]&gt;=StatusDate,Tasks[[#This Row],[_LeafFcstFinish]]&lt;=LookaheadEnd),Tasks[[#This Row],[_LeafFcstFinish]]+Tasks[[#This Row],[_Row]]/100000,"")</f>
        <v/>
      </c>
      <c r="DO53" s="41" t="str">
        <f aca="false">IF(Tasks[[#This Row],[_LeafCritical]],Tasks[[#This Row],[_LeafFcstStart]]+Tasks[[#This Row],[_Row]]/100000,"")</f>
        <v/>
      </c>
      <c r="DP53" s="41" t="n">
        <f aca="false">Tasks[[#This Row],[_LeafWork]]*Tasks[[#This Row],[_LeafProgress]]</f>
        <v>0</v>
      </c>
      <c r="DQ53" s="103" t="str">
        <f aca="false">IF(AND(Tasks[[#This Row],[_IsLeaf]]=1,Tasks[[#This Row],[_LeafProgress]]&gt;=1),IF(N(Tasks[[#This Row],[Actual Finish]])&gt;0,Tasks[[#This Row],[Actual Finish]],Tasks[[#This Row],[_LeafFcstFinish]]),"")</f>
        <v/>
      </c>
      <c r="DR53" s="41" t="n">
        <f aca="false">IF(Tasks[[#This Row],[_IsLeaf]]=1,N(Tasks[[#This Row],[Story Points]]),0)</f>
        <v>0</v>
      </c>
      <c r="DS53" s="41" t="str">
        <f aca="false">IF(AND(Tasks[[#This Row],[_IsLeaf]]=1,CurrentSprint&lt;&gt;"",Tasks[[#This Row],[Sprint]]=CurrentSprint),Tasks[[#This Row],[_Row]],"")</f>
        <v/>
      </c>
    </row>
    <row r="54" customFormat="false" ht="15" hidden="false" customHeight="false" outlineLevel="0" collapsed="false">
      <c r="A54" s="28" t="str">
        <f aca="false">IF(Tasks[[#This Row],[Task Name]]="","",COUNTA(Tasks[[#Headers],[Task Name]]:Tasks[[#This Row],[Task Name]])-1)</f>
        <v/>
      </c>
      <c r="B54" s="29" t="n">
        <v>49</v>
      </c>
      <c r="C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29"/>
      <c r="E54" s="30"/>
      <c r="F54" s="29"/>
      <c r="G54" s="29"/>
      <c r="H54" s="29"/>
      <c r="I54" s="29"/>
      <c r="J54" s="29"/>
      <c r="K54" s="29"/>
      <c r="L54" s="29"/>
      <c r="M54" s="29"/>
      <c r="N54" s="77"/>
      <c r="O54" s="77"/>
      <c r="P54" s="25" t="str">
        <f aca="false">IF(Tasks[[#This Row],[Task Name]]="","",IF(N(Tasks[[#This Row],[Baseline Start]])&gt;0,Tasks[[#This Row],[Baseline Start]],Tasks[[#This Row],[_CalcStart]]))</f>
        <v/>
      </c>
      <c r="Q54" s="25" t="str">
        <f aca="false">IF(Tasks[[#This Row],[Task Name]]="","",IF(N(Tasks[[#This Row],[Baseline Finish]])&gt;0,Tasks[[#This Row],[Baseline Finish]],Tasks[[#This Row],[_CalcFinish]]))</f>
        <v/>
      </c>
      <c r="R54" s="77"/>
      <c r="S54" s="77"/>
      <c r="T54" s="25" t="str">
        <f aca="false">IF(Tasks[[#This Row],[Task Name]]="","",IF(Tasks[[#This Row],[_IsSummary]],MIN(INDEX(Tasks[_LeafFcstStart],Tasks[[#This Row],[_Row]]+1):INDEX(Tasks[_LeafFcstStart],Tasks[[#This Row],[_Row]]+Tasks[[#This Row],[_Descendants]])),Tasks[[#This Row],[_LeafFcstStart]]))</f>
        <v/>
      </c>
      <c r="U54" s="25" t="str">
        <f aca="false">IF(Tasks[[#This Row],[Task Name]]="","",IF(Tasks[[#This Row],[_IsSummary]],MAX(INDEX(Tasks[_LeafFcstFinish],Tasks[[#This Row],[_Row]]+1):INDEX(Tasks[_LeafFcstFinish],Tasks[[#This Row],[_Row]]+Tasks[[#This Row],[_Descendants]])),Tasks[[#This Row],[_LeafFcstFinish]]))</f>
        <v/>
      </c>
      <c r="V5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4" s="25" t="str">
        <f aca="false">IF(Tasks[[#This Row],[Task Name]]="","",IF(Tasks[[#This Row],[_IsSummary]],MIN(INDEX(Tasks[_LeafLateStart],Tasks[[#This Row],[_Row]]+1):INDEX(Tasks[_LeafLateStart],Tasks[[#This Row],[_Row]]+Tasks[[#This Row],[_Descendants]])),Tasks[[#This Row],[_LeafLateStart]]))</f>
        <v/>
      </c>
      <c r="Y54" s="25" t="str">
        <f aca="false">IF(Tasks[[#This Row],[Task Name]]="","",IF(Tasks[[#This Row],[_IsSummary]],MAX(INDEX(Tasks[_LeafLateFinish],Tasks[[#This Row],[_Row]]+1):INDEX(Tasks[_LeafLateFinish],Tasks[[#This Row],[_Row]]+Tasks[[#This Row],[_Descendants]])),Tasks[[#This Row],[_LeafLateFinish]]))</f>
        <v/>
      </c>
      <c r="Z54" s="43" t="str">
        <f aca="false">IF(Tasks[[#This Row],[Task Name]]="","",IF(Tasks[[#This Row],[_IsSummary]],MIN(INDEX(Tasks[_LeafTotalSlack],Tasks[[#This Row],[_Row]]+1):INDEX(Tasks[_LeafTotalSlack],Tasks[[#This Row],[_Row]]+Tasks[[#This Row],[_Descendants]])),Tasks[[#This Row],[_LeafTotalSlack]]))</f>
        <v/>
      </c>
      <c r="AA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4" s="28" t="str">
        <f aca="false">IF(Tasks[[#This Row],[Task Name]]="","",IF(IF(Tasks[[#This Row],[_IsSummary]],COUNTIF(INDEX(Tasks[_LeafCritical],Tasks[[#This Row],[_Row]]+1):INDEX(Tasks[_LeafCritical],Tasks[[#This Row],[_Row]]+Tasks[[#This Row],[_Descendants]]),TRUE())&gt;0,Tasks[[#This Row],[_LeafCritical]]),"Yes",""))</f>
        <v/>
      </c>
      <c r="AC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4" s="24" t="str">
        <f aca="false">IF(Tasks[[#This Row],[Task Name]]="","",TRIM(IF(Tasks[[#This Row],[_Pred1Problem]]&lt;&gt;"","Pred 1: "&amp;Tasks[[#This Row],[_Pred1Problem]]&amp;". ","")&amp;IF(Tasks[[#This Row],[_Pred2Problem]]&lt;&gt;"","Pred 2: "&amp;Tasks[[#This Row],[_Pred2Problem]]&amp;".","")))</f>
        <v/>
      </c>
      <c r="AE54" s="91"/>
      <c r="AF5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4" s="28" t="str">
        <f aca="false">IF(Tasks[[#This Row],[Task Name]]="","",IF(Tasks[[#This Row],[Progress]]&gt;=1,"Complete",IF(OR(N(Tasks[[#This Row],[Actual Start]])&gt;0,Tasks[[#This Row],[Progress]]&gt;0),IF(Tasks[[#This Row],[Finish Var]]&gt;0,"Behind","In Progress"),IF(Tasks[[#This Row],[Planned Start]]&lt;StatusDate,"Late Start","Not Started"))))</f>
        <v/>
      </c>
      <c r="AH54" s="30"/>
      <c r="AI54" s="91"/>
      <c r="AJ5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4" s="98" t="str">
        <f aca="false">IF(Tasks[[#This Row],[Task Name]]="","",IF(Tasks[[#This Row],[_IsSummary]],SUM(INDEX(Tasks[_LeafWork],Tasks[[#This Row],[_Row]]+1):INDEX(Tasks[_LeafWork],Tasks[[#This Row],[_Row]]+Tasks[[#This Row],[_Descendants]])),Tasks[[#This Row],[_LeafWork]]))</f>
        <v/>
      </c>
      <c r="AL54" s="99" t="str">
        <f aca="false">IF(Tasks[[#This Row],[Task Name]]="","",IF(Tasks[[#This Row],[_IsSummary]],SUM(INDEX(Tasks[_LeafCost],Tasks[[#This Row],[_Row]]+1):INDEX(Tasks[_LeafCost],Tasks[[#This Row],[_Row]]+Tasks[[#This Row],[_Descendants]])),Tasks[[#This Row],[_LeafCost]]))</f>
        <v/>
      </c>
      <c r="AM54" s="100"/>
      <c r="AN54" s="29"/>
      <c r="AO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4" s="85"/>
      <c r="AQ54" s="24" t="str">
        <f aca="false">IF(Tasks[[#This Row],[Task Name]]="","",Tasks[[#This Row],[_Pred1IDText]]&amp;IF(AND(Tasks[[#This Row],[_Pred1IDText]]&lt;&gt;"",Tasks[[#This Row],[_Pred2IDText]]&lt;&gt;""),",","")&amp;Tasks[[#This Row],[_Pred2IDText]])</f>
        <v/>
      </c>
      <c r="AR54" s="30"/>
      <c r="AS54" s="25" t="str">
        <f aca="false">IF(Tasks[[#This Row],[Task Name]]="","",Tasks[[#This Row],[Forecast Start]])</f>
        <v/>
      </c>
      <c r="AT54" s="25" t="str">
        <f aca="false">IF(Tasks[[#This Row],[Task Name]]="","",Tasks[[#This Row],[Forecast Finish]])</f>
        <v/>
      </c>
      <c r="AU54" s="28" t="str">
        <f aca="false">IF(Tasks[[#This Row],[Task Name]]="","",IF(Tasks[[#This Row],[_IsSummary]],NETWORKDAYS.INTL(Tasks[[#This Row],[Forecast Start]],Tasks[[#This Row],[Forecast Finish]],WorkWeek,Holidays),N(Tasks[[#This Row],[Duration]])))</f>
        <v/>
      </c>
      <c r="AV54" s="98" t="str">
        <f aca="false">IF(Tasks[[#This Row],[Task Name]]="","",Tasks[[#This Row],[Work]])</f>
        <v/>
      </c>
      <c r="AW54" s="99" t="str">
        <f aca="false">IF(Tasks[[#This Row],[Task Name]]="","",Tasks[[#This Row],[Cost]])</f>
        <v/>
      </c>
      <c r="AX54" s="77"/>
      <c r="AY54" s="77"/>
      <c r="AZ54" s="29"/>
      <c r="BA54" s="101"/>
      <c r="BB54" s="100"/>
      <c r="BC54" s="28" t="str">
        <f aca="false">IF(OR(Tasks[[#This Row],[Task Name]]="",Tasks[[#This Row],[Baseline Duration]]=""),"",Tasks[[#This Row],[BL Source Duration]]-N(Tasks[[#This Row],[Baseline Duration]]))</f>
        <v/>
      </c>
      <c r="BD54" s="98" t="str">
        <f aca="false">IF(OR(Tasks[[#This Row],[Task Name]]="",Tasks[[#This Row],[Baseline Work]]=""),"",Tasks[[#This Row],[Work]]-N(Tasks[[#This Row],[Baseline Work]]))</f>
        <v/>
      </c>
      <c r="BE54" s="99" t="str">
        <f aca="false">IF(OR(Tasks[[#This Row],[Task Name]]="",Tasks[[#This Row],[Baseline Cost]]=""),"",Tasks[[#This Row],[Cost]]-N(Tasks[[#This Row],[Baseline Cost]]))</f>
        <v/>
      </c>
      <c r="BF54" s="99" t="str">
        <f aca="false">IF(Tasks[[#This Row],[Task Name]]="","",IF(Tasks[[#This Row],[_IsSummary]],SUM(INDEX(Tasks[_LeafBudget],Tasks[[#This Row],[_Row]]+1):INDEX(Tasks[_LeafBudget],Tasks[[#This Row],[_Row]]+Tasks[[#This Row],[_Descendants]])),Tasks[[#This Row],[_LeafBudget]]))</f>
        <v/>
      </c>
      <c r="BG54" s="99" t="str">
        <f aca="false">IF(Tasks[[#This Row],[Task Name]]="","",IF(Tasks[[#This Row],[_IsSummary]],SUM(INDEX(Tasks[_LeafPV],Tasks[[#This Row],[_Row]]+1):INDEX(Tasks[_LeafPV],Tasks[[#This Row],[_Row]]+Tasks[[#This Row],[_Descendants]])),Tasks[[#This Row],[_LeafPV]]))</f>
        <v/>
      </c>
      <c r="BH54" s="99" t="str">
        <f aca="false">IF(Tasks[[#This Row],[Task Name]]="","",IF(Tasks[[#This Row],[_IsSummary]],SUM(INDEX(Tasks[_LeafEV],Tasks[[#This Row],[_Row]]+1):INDEX(Tasks[_LeafEV],Tasks[[#This Row],[_Row]]+Tasks[[#This Row],[_Descendants]])),Tasks[[#This Row],[_LeafEV]]))</f>
        <v/>
      </c>
      <c r="BI54" s="99" t="str">
        <f aca="false">IF(Tasks[[#This Row],[Task Name]]="","",IF(Tasks[[#This Row],[_IsSummary]],SUM(INDEX(Tasks[_LeafAC],Tasks[[#This Row],[_Row]]+1):INDEX(Tasks[_LeafAC],Tasks[[#This Row],[_Row]]+Tasks[[#This Row],[_Descendants]])),Tasks[[#This Row],[_LeafAC]]))</f>
        <v/>
      </c>
      <c r="BJ54" s="41" t="str">
        <f aca="false">IF(Tasks[[#This Row],[Task Name]]="","",MAX(1,N(Tasks[[#This Row],[Level]])))</f>
        <v/>
      </c>
      <c r="BK54" s="41" t="n">
        <f aca="false">ROW()-ROW(Tasks[[#Headers],[ID]])</f>
        <v>49</v>
      </c>
      <c r="BL54" s="41" t="n">
        <f aca="false">IF(OR(Tasks[[#This Row],[Task Name]]="",Tasks[[#This Row],[_Level]]&lt;=1),0,IFERROR(LOOKUP(2,1/(Tasks[[#Headers],[_Level]]:Tasks[[#This Row],[_Level]]=Tasks[[#This Row],[_Level]]-1),ROW(Tasks[[#Headers],[_Level]]:Tasks[[#This Row],[_Level]])),0))</f>
        <v>0</v>
      </c>
      <c r="BM54" s="41" t="n">
        <f aca="false">IFERROR(N(INDEX(Tasks[_Level],Tasks[[#This Row],[_Row]]+1)),0)</f>
        <v>0</v>
      </c>
      <c r="BN54" s="102" t="b">
        <f aca="false">AND(Tasks[[#This Row],[Task Name]]&lt;&gt;"",Tasks[[#This Row],[_NextLevel]]&gt;Tasks[[#This Row],[_Level]])</f>
        <v>0</v>
      </c>
      <c r="BO54" s="41" t="n">
        <f aca="false">IF(Tasks[[#This Row],[_IsSummary]],COUNTIF(Tasks[WBS],Tasks[[#This Row],[WBS]]&amp;".*"),0)</f>
        <v>0</v>
      </c>
      <c r="BP54" s="41" t="n">
        <f aca="false">IF(AND(Tasks[[#This Row],[Task Name]]&lt;&gt;"",NOT(Tasks[[#This Row],[_IsSummary]])),1,0)</f>
        <v>0</v>
      </c>
      <c r="BQ54" s="41" t="n">
        <f aca="false">IF(N(Tasks[[#This Row],[Pred1 UID]])=0,0,IFERROR(MATCH(Tasks[[#This Row],[Pred1 UID]],Tasks[UID],0),-1))</f>
        <v>0</v>
      </c>
      <c r="BR54" s="41" t="n">
        <f aca="false">IF(N(Tasks[[#This Row],[Pred2 UID]])=0,0,IFERROR(MATCH(Tasks[[#This Row],[Pred2 UID]],Tasks[UID],0),-1))</f>
        <v>0</v>
      </c>
      <c r="BS5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4" s="103" t="str">
        <f aca="false">IF(NOT(Tasks[[#This Row],[_IsLeaf]]=1),"",IF(N(Tasks[[#This Row],[Duration]])&lt;=0,Tasks[[#This Row],[_LeafCalcStart]],WORKDAY.INTL(Tasks[[#This Row],[_LeafCalcStart]],Tasks[[#This Row],[Duration]]-1,WorkWeek,Holidays)))</f>
        <v/>
      </c>
      <c r="BU5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4" s="41" t="n">
        <f aca="false">IF(NOT(Tasks[[#This Row],[_IsLeaf]]=1),0,IF(N(Tasks[[#This Row],[Actual Finish]])&gt;0,1,MIN(1,N(Tasks[[#This Row],[% Complete]]))))</f>
        <v>0</v>
      </c>
      <c r="BX54" s="41" t="n">
        <f aca="false">IF(OR(NOT(Tasks[[#This Row],[_IsLeaf]]=1),Tasks[[#This Row],[Resource]]=""),0,N(Tasks[[#This Row],[Duration]])*HoursPerDay*IF(Tasks[[#This Row],[Units]]="",DefaultUnits,Tasks[[#This Row],[Units]]))</f>
        <v>0</v>
      </c>
      <c r="BY54" s="41" t="n">
        <f aca="false">IF(Tasks[[#This Row],[_LeafWork]]=0,0,Tasks[[#This Row],[_LeafWork]]*IFERROR(INDEX(res_Rate,MATCH(Tasks[[#This Row],[Resource]],res_Name,0)),0))</f>
        <v>0</v>
      </c>
      <c r="BZ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4" s="41" t="n">
        <f aca="false">IF(NOT(Tasks[[#This Row],[_IsLeaf]]=1),0,MAX(_xlfn.MAXIFS(Tasks[_Row],Tasks[Pred1 UID],Tasks[[#This Row],[UID]]),_xlfn.MAXIFS(Tasks[_Row],Tasks[Pred2 UID],Tasks[[#This Row],[UID]])))</f>
        <v>0</v>
      </c>
      <c r="CE5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4" s="103" t="str">
        <f aca="false">IF(NOT(Tasks[[#This Row],[_IsLeaf]]=1),"",MIN(ProjectFinish,IF(N(Tasks[[#This Row],[Deadline]])&gt;0,Tasks[[#This Row],[Deadline]],2958465),Tasks[[#This Row],[_SuccessorFinishLimit]]))</f>
        <v/>
      </c>
      <c r="CG54" s="103" t="str">
        <f aca="false">IF(NOT(Tasks[[#This Row],[_IsLeaf]]=1),"",IF(N(Tasks[[#This Row],[Duration]])&lt;=0,Tasks[[#This Row],[_LeafLateFinish]],WORKDAY.INTL(Tasks[[#This Row],[_LeafLateFinish]],-(Tasks[[#This Row],[Duration]]-1),WorkWeek,Holidays)))</f>
        <v/>
      </c>
      <c r="CH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4" s="102" t="b">
        <f aca="false">AND(Tasks[[#This Row],[_IsLeaf]]=1,Tasks[[#This Row],[_LeafProgress]]&lt;1,N(Tasks[[#This Row],[_LeafTotalSlack]])&lt;=CriticalSlackDays)</f>
        <v>0</v>
      </c>
      <c r="CJ54" s="103" t="str">
        <f aca="false">IF(Tasks[[#This Row],[Task Name]]="","",IF(Tasks[[#This Row],[_IsSummary]],MIN(INDEX(Tasks[_LeafCalcStart],Tasks[[#This Row],[_Row]]+1):INDEX(Tasks[_LeafCalcStart],Tasks[[#This Row],[_Row]]+Tasks[[#This Row],[_Descendants]])),Tasks[[#This Row],[_LeafCalcStart]]))</f>
        <v/>
      </c>
      <c r="CK54" s="103" t="str">
        <f aca="false">IF(Tasks[[#This Row],[Task Name]]="","",IF(Tasks[[#This Row],[_IsSummary]],MAX(INDEX(Tasks[_LeafCalcFinish],Tasks[[#This Row],[_Row]]+1):INDEX(Tasks[_LeafCalcFinish],Tasks[[#This Row],[_Row]]+Tasks[[#This Row],[_Descendants]])),Tasks[[#This Row],[_LeafCalcFinish]]))</f>
        <v/>
      </c>
      <c r="CL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4" s="41" t="n">
        <f aca="false">IF(AND(Tasks[[#This Row],[_IsLeaf]]=1,Tasks[[#This Row],[_LeafWork]]&gt;0),NETWORKDAYS.INTL(ProjectStart,Tasks[[#This Row],[_LeafFcstStart]],WorkWeek,Holidays),0)</f>
        <v>0</v>
      </c>
      <c r="CS54" s="41" t="n">
        <f aca="false">IF(AND(Tasks[[#This Row],[_IsLeaf]]=1,Tasks[[#This Row],[_LeafWork]]&gt;0),MAX(Tasks[[#This Row],[_StartWorkday]],NETWORKDAYS.INTL(ProjectStart,Tasks[[#This Row],[_LeafFcstFinish]],WorkWeek,Holidays)),0)</f>
        <v>0</v>
      </c>
      <c r="CT54" s="41" t="n">
        <f aca="false">IF(AND(Tasks[[#This Row],[_IsLeaf]]=1,Tasks[[#This Row],[_LeafWork]]&gt;0),Tasks[[#This Row],[_LeafWork]]/(Tasks[[#This Row],[_FinishWorkday]]-Tasks[[#This Row],[_StartWorkday]]+1),0)</f>
        <v>0</v>
      </c>
      <c r="CU54" s="41" t="n">
        <f aca="false">Tasks[[#This Row],[_WorkPerWorkday]]*(Tasks[[#This Row],[_StartWorkday]]-1)</f>
        <v>-0</v>
      </c>
      <c r="CV54" s="41" t="n">
        <f aca="false">IF(Tasks[[#This Row],[_IsLeaf]]=1,MAX(N(Tasks[[#This Row],[Duration]]),0.1),0)</f>
        <v>0</v>
      </c>
      <c r="CW54" s="41" t="n">
        <f aca="false">Tasks[[#This Row],[_WeightDur]]*Tasks[[#This Row],[_LeafProgress]]</f>
        <v>0</v>
      </c>
      <c r="CX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4" s="41" t="str">
        <f aca="false">IF(Tasks[[#This Row],[Task Name]]="","",Tasks[[#This Row],[_Pred1UIDText]]&amp;IF(AND(Tasks[[#This Row],[_Pred1UIDText]]&lt;&gt;"",Tasks[[#This Row],[_Pred2UIDText]]&lt;&gt;""),",","")&amp;Tasks[[#This Row],[_Pred2UIDText]])</f>
        <v/>
      </c>
      <c r="DC54" s="41" t="str">
        <f aca="false">IF(AND(Tasks[[#This Row],[_IsLeaf]]=1,N(Tasks[[#This Row],[Duration]])=0,Tasks[[#This Row],[_LeafProgress]]&lt;1),Tasks[[#This Row],[_LeafFcstFinish]]+Tasks[[#This Row],[_Row]]/100000,"")</f>
        <v/>
      </c>
      <c r="DD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4" s="41" t="n">
        <f aca="false">IF(NOT(Tasks[[#This Row],[_IsLeaf]]=1),0,IF(Tasks[[#This Row],[Baseline Cost]]="",Tasks[[#This Row],[_LeafCost]],N(Tasks[[#This Row],[Baseline Cost]])))</f>
        <v>0</v>
      </c>
      <c r="DF54" s="41" t="n">
        <f aca="false">Tasks[[#This Row],[_LeafBudget]]*Tasks[[#This Row],[_PlannedPct]]</f>
        <v>0</v>
      </c>
      <c r="DG54" s="41" t="n">
        <f aca="false">Tasks[[#This Row],[_LeafBudget]]*Tasks[[#This Row],[_LeafProgress]]</f>
        <v>0</v>
      </c>
      <c r="DH54" s="41" t="n">
        <f aca="false">IF(NOT(Tasks[[#This Row],[_IsLeaf]]=1),0,IF(Tasks[[#This Row],[Actual Cost]]="",Tasks[[#This Row],[_LeafCost]]*Tasks[[#This Row],[_LeafProgress]],N(Tasks[[#This Row],[Actual Cost]])))</f>
        <v>0</v>
      </c>
      <c r="DI54" s="41" t="str">
        <f aca="false">IF(Tasks[[#This Row],[Task Name]]="","",LEFT(Tasks[[#This Row],[WBS]],FIND(".",Tasks[[#This Row],[WBS]]&amp;".")-1))</f>
        <v/>
      </c>
      <c r="DJ54" s="41" t="str">
        <f aca="false">IF(AND(Tasks[[#This Row],[Task Name]]&lt;&gt;"",Tasks[[#This Row],[_Level]]=1),Tasks[[#This Row],[_Row]],"")</f>
        <v/>
      </c>
      <c r="DK54" s="41" t="str">
        <f aca="false">IF(AND(Tasks[[#This Row],[_IsLeaf]]=1,N(Tasks[[#This Row],[Duration]])=0),Tasks[[#This Row],[Planned Finish]]+Tasks[[#This Row],[_Row]]/100000,"")</f>
        <v/>
      </c>
      <c r="DL54" s="41" t="str">
        <f aca="false">IF(AND(Tasks[[#This Row],[_IsLeaf]]=1,Tasks[[#This Row],[_LeafProgress]]&lt;1,OR(N(Tasks[[#This Row],[Finish Var]])&gt;0,Tasks[[#This Row],[Status]]="Late Start")),MAX(0,Tasks[[#This Row],[Finish Var]])+1-Tasks[[#This Row],[_Row]]/1000000,"")</f>
        <v/>
      </c>
      <c r="DM54" s="41" t="str">
        <f aca="false">IF(AND(Tasks[[#This Row],[_IsLeaf]]=1,N(Tasks[[#This Row],[Actual Start]])=0,Tasks[[#This Row],[_LeafFcstStart]]&gt;=StatusDate,Tasks[[#This Row],[_LeafFcstStart]]&lt;=LookaheadEnd),Tasks[[#This Row],[_LeafFcstStart]]+Tasks[[#This Row],[_Row]]/100000,"")</f>
        <v/>
      </c>
      <c r="DN54" s="41" t="str">
        <f aca="false">IF(AND(Tasks[[#This Row],[_IsLeaf]]=1,Tasks[[#This Row],[_LeafProgress]]&lt;1,Tasks[[#This Row],[_LeafFcstFinish]]&gt;=StatusDate,Tasks[[#This Row],[_LeafFcstFinish]]&lt;=LookaheadEnd),Tasks[[#This Row],[_LeafFcstFinish]]+Tasks[[#This Row],[_Row]]/100000,"")</f>
        <v/>
      </c>
      <c r="DO54" s="41" t="str">
        <f aca="false">IF(Tasks[[#This Row],[_LeafCritical]],Tasks[[#This Row],[_LeafFcstStart]]+Tasks[[#This Row],[_Row]]/100000,"")</f>
        <v/>
      </c>
      <c r="DP54" s="41" t="n">
        <f aca="false">Tasks[[#This Row],[_LeafWork]]*Tasks[[#This Row],[_LeafProgress]]</f>
        <v>0</v>
      </c>
      <c r="DQ54" s="103" t="str">
        <f aca="false">IF(AND(Tasks[[#This Row],[_IsLeaf]]=1,Tasks[[#This Row],[_LeafProgress]]&gt;=1),IF(N(Tasks[[#This Row],[Actual Finish]])&gt;0,Tasks[[#This Row],[Actual Finish]],Tasks[[#This Row],[_LeafFcstFinish]]),"")</f>
        <v/>
      </c>
      <c r="DR54" s="41" t="n">
        <f aca="false">IF(Tasks[[#This Row],[_IsLeaf]]=1,N(Tasks[[#This Row],[Story Points]]),0)</f>
        <v>0</v>
      </c>
      <c r="DS54" s="41" t="str">
        <f aca="false">IF(AND(Tasks[[#This Row],[_IsLeaf]]=1,CurrentSprint&lt;&gt;"",Tasks[[#This Row],[Sprint]]=CurrentSprint),Tasks[[#This Row],[_Row]],"")</f>
        <v/>
      </c>
    </row>
    <row r="55" customFormat="false" ht="15" hidden="false" customHeight="false" outlineLevel="0" collapsed="false">
      <c r="A55" s="28" t="str">
        <f aca="false">IF(Tasks[[#This Row],[Task Name]]="","",COUNTA(Tasks[[#Headers],[Task Name]]:Tasks[[#This Row],[Task Name]])-1)</f>
        <v/>
      </c>
      <c r="B55" s="29" t="n">
        <v>50</v>
      </c>
      <c r="C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29"/>
      <c r="E55" s="30"/>
      <c r="F55" s="29"/>
      <c r="G55" s="29"/>
      <c r="H55" s="29"/>
      <c r="I55" s="29"/>
      <c r="J55" s="29"/>
      <c r="K55" s="29"/>
      <c r="L55" s="29"/>
      <c r="M55" s="29"/>
      <c r="N55" s="77"/>
      <c r="O55" s="77"/>
      <c r="P55" s="25" t="str">
        <f aca="false">IF(Tasks[[#This Row],[Task Name]]="","",IF(N(Tasks[[#This Row],[Baseline Start]])&gt;0,Tasks[[#This Row],[Baseline Start]],Tasks[[#This Row],[_CalcStart]]))</f>
        <v/>
      </c>
      <c r="Q55" s="25" t="str">
        <f aca="false">IF(Tasks[[#This Row],[Task Name]]="","",IF(N(Tasks[[#This Row],[Baseline Finish]])&gt;0,Tasks[[#This Row],[Baseline Finish]],Tasks[[#This Row],[_CalcFinish]]))</f>
        <v/>
      </c>
      <c r="R55" s="77"/>
      <c r="S55" s="77"/>
      <c r="T55" s="25" t="str">
        <f aca="false">IF(Tasks[[#This Row],[Task Name]]="","",IF(Tasks[[#This Row],[_IsSummary]],MIN(INDEX(Tasks[_LeafFcstStart],Tasks[[#This Row],[_Row]]+1):INDEX(Tasks[_LeafFcstStart],Tasks[[#This Row],[_Row]]+Tasks[[#This Row],[_Descendants]])),Tasks[[#This Row],[_LeafFcstStart]]))</f>
        <v/>
      </c>
      <c r="U55" s="25" t="str">
        <f aca="false">IF(Tasks[[#This Row],[Task Name]]="","",IF(Tasks[[#This Row],[_IsSummary]],MAX(INDEX(Tasks[_LeafFcstFinish],Tasks[[#This Row],[_Row]]+1):INDEX(Tasks[_LeafFcstFinish],Tasks[[#This Row],[_Row]]+Tasks[[#This Row],[_Descendants]])),Tasks[[#This Row],[_LeafFcstFinish]]))</f>
        <v/>
      </c>
      <c r="V5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5" s="25" t="str">
        <f aca="false">IF(Tasks[[#This Row],[Task Name]]="","",IF(Tasks[[#This Row],[_IsSummary]],MIN(INDEX(Tasks[_LeafLateStart],Tasks[[#This Row],[_Row]]+1):INDEX(Tasks[_LeafLateStart],Tasks[[#This Row],[_Row]]+Tasks[[#This Row],[_Descendants]])),Tasks[[#This Row],[_LeafLateStart]]))</f>
        <v/>
      </c>
      <c r="Y55" s="25" t="str">
        <f aca="false">IF(Tasks[[#This Row],[Task Name]]="","",IF(Tasks[[#This Row],[_IsSummary]],MAX(INDEX(Tasks[_LeafLateFinish],Tasks[[#This Row],[_Row]]+1):INDEX(Tasks[_LeafLateFinish],Tasks[[#This Row],[_Row]]+Tasks[[#This Row],[_Descendants]])),Tasks[[#This Row],[_LeafLateFinish]]))</f>
        <v/>
      </c>
      <c r="Z55" s="43" t="str">
        <f aca="false">IF(Tasks[[#This Row],[Task Name]]="","",IF(Tasks[[#This Row],[_IsSummary]],MIN(INDEX(Tasks[_LeafTotalSlack],Tasks[[#This Row],[_Row]]+1):INDEX(Tasks[_LeafTotalSlack],Tasks[[#This Row],[_Row]]+Tasks[[#This Row],[_Descendants]])),Tasks[[#This Row],[_LeafTotalSlack]]))</f>
        <v/>
      </c>
      <c r="AA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5" s="28" t="str">
        <f aca="false">IF(Tasks[[#This Row],[Task Name]]="","",IF(IF(Tasks[[#This Row],[_IsSummary]],COUNTIF(INDEX(Tasks[_LeafCritical],Tasks[[#This Row],[_Row]]+1):INDEX(Tasks[_LeafCritical],Tasks[[#This Row],[_Row]]+Tasks[[#This Row],[_Descendants]]),TRUE())&gt;0,Tasks[[#This Row],[_LeafCritical]]),"Yes",""))</f>
        <v/>
      </c>
      <c r="AC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5" s="24" t="str">
        <f aca="false">IF(Tasks[[#This Row],[Task Name]]="","",TRIM(IF(Tasks[[#This Row],[_Pred1Problem]]&lt;&gt;"","Pred 1: "&amp;Tasks[[#This Row],[_Pred1Problem]]&amp;". ","")&amp;IF(Tasks[[#This Row],[_Pred2Problem]]&lt;&gt;"","Pred 2: "&amp;Tasks[[#This Row],[_Pred2Problem]]&amp;".","")))</f>
        <v/>
      </c>
      <c r="AE55" s="91"/>
      <c r="AF5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5" s="28" t="str">
        <f aca="false">IF(Tasks[[#This Row],[Task Name]]="","",IF(Tasks[[#This Row],[Progress]]&gt;=1,"Complete",IF(OR(N(Tasks[[#This Row],[Actual Start]])&gt;0,Tasks[[#This Row],[Progress]]&gt;0),IF(Tasks[[#This Row],[Finish Var]]&gt;0,"Behind","In Progress"),IF(Tasks[[#This Row],[Planned Start]]&lt;StatusDate,"Late Start","Not Started"))))</f>
        <v/>
      </c>
      <c r="AH55" s="30"/>
      <c r="AI55" s="91"/>
      <c r="AJ5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5" s="98" t="str">
        <f aca="false">IF(Tasks[[#This Row],[Task Name]]="","",IF(Tasks[[#This Row],[_IsSummary]],SUM(INDEX(Tasks[_LeafWork],Tasks[[#This Row],[_Row]]+1):INDEX(Tasks[_LeafWork],Tasks[[#This Row],[_Row]]+Tasks[[#This Row],[_Descendants]])),Tasks[[#This Row],[_LeafWork]]))</f>
        <v/>
      </c>
      <c r="AL55" s="99" t="str">
        <f aca="false">IF(Tasks[[#This Row],[Task Name]]="","",IF(Tasks[[#This Row],[_IsSummary]],SUM(INDEX(Tasks[_LeafCost],Tasks[[#This Row],[_Row]]+1):INDEX(Tasks[_LeafCost],Tasks[[#This Row],[_Row]]+Tasks[[#This Row],[_Descendants]])),Tasks[[#This Row],[_LeafCost]]))</f>
        <v/>
      </c>
      <c r="AM55" s="100"/>
      <c r="AN55" s="29"/>
      <c r="AO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5" s="85"/>
      <c r="AQ55" s="24" t="str">
        <f aca="false">IF(Tasks[[#This Row],[Task Name]]="","",Tasks[[#This Row],[_Pred1IDText]]&amp;IF(AND(Tasks[[#This Row],[_Pred1IDText]]&lt;&gt;"",Tasks[[#This Row],[_Pred2IDText]]&lt;&gt;""),",","")&amp;Tasks[[#This Row],[_Pred2IDText]])</f>
        <v/>
      </c>
      <c r="AR55" s="30"/>
      <c r="AS55" s="25" t="str">
        <f aca="false">IF(Tasks[[#This Row],[Task Name]]="","",Tasks[[#This Row],[Forecast Start]])</f>
        <v/>
      </c>
      <c r="AT55" s="25" t="str">
        <f aca="false">IF(Tasks[[#This Row],[Task Name]]="","",Tasks[[#This Row],[Forecast Finish]])</f>
        <v/>
      </c>
      <c r="AU55" s="28" t="str">
        <f aca="false">IF(Tasks[[#This Row],[Task Name]]="","",IF(Tasks[[#This Row],[_IsSummary]],NETWORKDAYS.INTL(Tasks[[#This Row],[Forecast Start]],Tasks[[#This Row],[Forecast Finish]],WorkWeek,Holidays),N(Tasks[[#This Row],[Duration]])))</f>
        <v/>
      </c>
      <c r="AV55" s="98" t="str">
        <f aca="false">IF(Tasks[[#This Row],[Task Name]]="","",Tasks[[#This Row],[Work]])</f>
        <v/>
      </c>
      <c r="AW55" s="99" t="str">
        <f aca="false">IF(Tasks[[#This Row],[Task Name]]="","",Tasks[[#This Row],[Cost]])</f>
        <v/>
      </c>
      <c r="AX55" s="77"/>
      <c r="AY55" s="77"/>
      <c r="AZ55" s="29"/>
      <c r="BA55" s="101"/>
      <c r="BB55" s="100"/>
      <c r="BC55" s="28" t="str">
        <f aca="false">IF(OR(Tasks[[#This Row],[Task Name]]="",Tasks[[#This Row],[Baseline Duration]]=""),"",Tasks[[#This Row],[BL Source Duration]]-N(Tasks[[#This Row],[Baseline Duration]]))</f>
        <v/>
      </c>
      <c r="BD55" s="98" t="str">
        <f aca="false">IF(OR(Tasks[[#This Row],[Task Name]]="",Tasks[[#This Row],[Baseline Work]]=""),"",Tasks[[#This Row],[Work]]-N(Tasks[[#This Row],[Baseline Work]]))</f>
        <v/>
      </c>
      <c r="BE55" s="99" t="str">
        <f aca="false">IF(OR(Tasks[[#This Row],[Task Name]]="",Tasks[[#This Row],[Baseline Cost]]=""),"",Tasks[[#This Row],[Cost]]-N(Tasks[[#This Row],[Baseline Cost]]))</f>
        <v/>
      </c>
      <c r="BF55" s="99" t="str">
        <f aca="false">IF(Tasks[[#This Row],[Task Name]]="","",IF(Tasks[[#This Row],[_IsSummary]],SUM(INDEX(Tasks[_LeafBudget],Tasks[[#This Row],[_Row]]+1):INDEX(Tasks[_LeafBudget],Tasks[[#This Row],[_Row]]+Tasks[[#This Row],[_Descendants]])),Tasks[[#This Row],[_LeafBudget]]))</f>
        <v/>
      </c>
      <c r="BG55" s="99" t="str">
        <f aca="false">IF(Tasks[[#This Row],[Task Name]]="","",IF(Tasks[[#This Row],[_IsSummary]],SUM(INDEX(Tasks[_LeafPV],Tasks[[#This Row],[_Row]]+1):INDEX(Tasks[_LeafPV],Tasks[[#This Row],[_Row]]+Tasks[[#This Row],[_Descendants]])),Tasks[[#This Row],[_LeafPV]]))</f>
        <v/>
      </c>
      <c r="BH55" s="99" t="str">
        <f aca="false">IF(Tasks[[#This Row],[Task Name]]="","",IF(Tasks[[#This Row],[_IsSummary]],SUM(INDEX(Tasks[_LeafEV],Tasks[[#This Row],[_Row]]+1):INDEX(Tasks[_LeafEV],Tasks[[#This Row],[_Row]]+Tasks[[#This Row],[_Descendants]])),Tasks[[#This Row],[_LeafEV]]))</f>
        <v/>
      </c>
      <c r="BI55" s="99" t="str">
        <f aca="false">IF(Tasks[[#This Row],[Task Name]]="","",IF(Tasks[[#This Row],[_IsSummary]],SUM(INDEX(Tasks[_LeafAC],Tasks[[#This Row],[_Row]]+1):INDEX(Tasks[_LeafAC],Tasks[[#This Row],[_Row]]+Tasks[[#This Row],[_Descendants]])),Tasks[[#This Row],[_LeafAC]]))</f>
        <v/>
      </c>
      <c r="BJ55" s="41" t="str">
        <f aca="false">IF(Tasks[[#This Row],[Task Name]]="","",MAX(1,N(Tasks[[#This Row],[Level]])))</f>
        <v/>
      </c>
      <c r="BK55" s="41" t="n">
        <f aca="false">ROW()-ROW(Tasks[[#Headers],[ID]])</f>
        <v>50</v>
      </c>
      <c r="BL55" s="41" t="n">
        <f aca="false">IF(OR(Tasks[[#This Row],[Task Name]]="",Tasks[[#This Row],[_Level]]&lt;=1),0,IFERROR(LOOKUP(2,1/(Tasks[[#Headers],[_Level]]:Tasks[[#This Row],[_Level]]=Tasks[[#This Row],[_Level]]-1),ROW(Tasks[[#Headers],[_Level]]:Tasks[[#This Row],[_Level]])),0))</f>
        <v>0</v>
      </c>
      <c r="BM55" s="41" t="n">
        <f aca="false">IFERROR(N(INDEX(Tasks[_Level],Tasks[[#This Row],[_Row]]+1)),0)</f>
        <v>0</v>
      </c>
      <c r="BN55" s="102" t="b">
        <f aca="false">AND(Tasks[[#This Row],[Task Name]]&lt;&gt;"",Tasks[[#This Row],[_NextLevel]]&gt;Tasks[[#This Row],[_Level]])</f>
        <v>0</v>
      </c>
      <c r="BO55" s="41" t="n">
        <f aca="false">IF(Tasks[[#This Row],[_IsSummary]],COUNTIF(Tasks[WBS],Tasks[[#This Row],[WBS]]&amp;".*"),0)</f>
        <v>0</v>
      </c>
      <c r="BP55" s="41" t="n">
        <f aca="false">IF(AND(Tasks[[#This Row],[Task Name]]&lt;&gt;"",NOT(Tasks[[#This Row],[_IsSummary]])),1,0)</f>
        <v>0</v>
      </c>
      <c r="BQ55" s="41" t="n">
        <f aca="false">IF(N(Tasks[[#This Row],[Pred1 UID]])=0,0,IFERROR(MATCH(Tasks[[#This Row],[Pred1 UID]],Tasks[UID],0),-1))</f>
        <v>0</v>
      </c>
      <c r="BR55" s="41" t="n">
        <f aca="false">IF(N(Tasks[[#This Row],[Pred2 UID]])=0,0,IFERROR(MATCH(Tasks[[#This Row],[Pred2 UID]],Tasks[UID],0),-1))</f>
        <v>0</v>
      </c>
      <c r="BS5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5" s="103" t="str">
        <f aca="false">IF(NOT(Tasks[[#This Row],[_IsLeaf]]=1),"",IF(N(Tasks[[#This Row],[Duration]])&lt;=0,Tasks[[#This Row],[_LeafCalcStart]],WORKDAY.INTL(Tasks[[#This Row],[_LeafCalcStart]],Tasks[[#This Row],[Duration]]-1,WorkWeek,Holidays)))</f>
        <v/>
      </c>
      <c r="BU5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5" s="41" t="n">
        <f aca="false">IF(NOT(Tasks[[#This Row],[_IsLeaf]]=1),0,IF(N(Tasks[[#This Row],[Actual Finish]])&gt;0,1,MIN(1,N(Tasks[[#This Row],[% Complete]]))))</f>
        <v>0</v>
      </c>
      <c r="BX55" s="41" t="n">
        <f aca="false">IF(OR(NOT(Tasks[[#This Row],[_IsLeaf]]=1),Tasks[[#This Row],[Resource]]=""),0,N(Tasks[[#This Row],[Duration]])*HoursPerDay*IF(Tasks[[#This Row],[Units]]="",DefaultUnits,Tasks[[#This Row],[Units]]))</f>
        <v>0</v>
      </c>
      <c r="BY55" s="41" t="n">
        <f aca="false">IF(Tasks[[#This Row],[_LeafWork]]=0,0,Tasks[[#This Row],[_LeafWork]]*IFERROR(INDEX(res_Rate,MATCH(Tasks[[#This Row],[Resource]],res_Name,0)),0))</f>
        <v>0</v>
      </c>
      <c r="BZ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5" s="41" t="n">
        <f aca="false">IF(NOT(Tasks[[#This Row],[_IsLeaf]]=1),0,MAX(_xlfn.MAXIFS(Tasks[_Row],Tasks[Pred1 UID],Tasks[[#This Row],[UID]]),_xlfn.MAXIFS(Tasks[_Row],Tasks[Pred2 UID],Tasks[[#This Row],[UID]])))</f>
        <v>0</v>
      </c>
      <c r="CE5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5" s="103" t="str">
        <f aca="false">IF(NOT(Tasks[[#This Row],[_IsLeaf]]=1),"",MIN(ProjectFinish,IF(N(Tasks[[#This Row],[Deadline]])&gt;0,Tasks[[#This Row],[Deadline]],2958465),Tasks[[#This Row],[_SuccessorFinishLimit]]))</f>
        <v/>
      </c>
      <c r="CG55" s="103" t="str">
        <f aca="false">IF(NOT(Tasks[[#This Row],[_IsLeaf]]=1),"",IF(N(Tasks[[#This Row],[Duration]])&lt;=0,Tasks[[#This Row],[_LeafLateFinish]],WORKDAY.INTL(Tasks[[#This Row],[_LeafLateFinish]],-(Tasks[[#This Row],[Duration]]-1),WorkWeek,Holidays)))</f>
        <v/>
      </c>
      <c r="CH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5" s="102" t="b">
        <f aca="false">AND(Tasks[[#This Row],[_IsLeaf]]=1,Tasks[[#This Row],[_LeafProgress]]&lt;1,N(Tasks[[#This Row],[_LeafTotalSlack]])&lt;=CriticalSlackDays)</f>
        <v>0</v>
      </c>
      <c r="CJ55" s="103" t="str">
        <f aca="false">IF(Tasks[[#This Row],[Task Name]]="","",IF(Tasks[[#This Row],[_IsSummary]],MIN(INDEX(Tasks[_LeafCalcStart],Tasks[[#This Row],[_Row]]+1):INDEX(Tasks[_LeafCalcStart],Tasks[[#This Row],[_Row]]+Tasks[[#This Row],[_Descendants]])),Tasks[[#This Row],[_LeafCalcStart]]))</f>
        <v/>
      </c>
      <c r="CK55" s="103" t="str">
        <f aca="false">IF(Tasks[[#This Row],[Task Name]]="","",IF(Tasks[[#This Row],[_IsSummary]],MAX(INDEX(Tasks[_LeafCalcFinish],Tasks[[#This Row],[_Row]]+1):INDEX(Tasks[_LeafCalcFinish],Tasks[[#This Row],[_Row]]+Tasks[[#This Row],[_Descendants]])),Tasks[[#This Row],[_LeafCalcFinish]]))</f>
        <v/>
      </c>
      <c r="CL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5" s="41" t="n">
        <f aca="false">IF(AND(Tasks[[#This Row],[_IsLeaf]]=1,Tasks[[#This Row],[_LeafWork]]&gt;0),NETWORKDAYS.INTL(ProjectStart,Tasks[[#This Row],[_LeafFcstStart]],WorkWeek,Holidays),0)</f>
        <v>0</v>
      </c>
      <c r="CS55" s="41" t="n">
        <f aca="false">IF(AND(Tasks[[#This Row],[_IsLeaf]]=1,Tasks[[#This Row],[_LeafWork]]&gt;0),MAX(Tasks[[#This Row],[_StartWorkday]],NETWORKDAYS.INTL(ProjectStart,Tasks[[#This Row],[_LeafFcstFinish]],WorkWeek,Holidays)),0)</f>
        <v>0</v>
      </c>
      <c r="CT55" s="41" t="n">
        <f aca="false">IF(AND(Tasks[[#This Row],[_IsLeaf]]=1,Tasks[[#This Row],[_LeafWork]]&gt;0),Tasks[[#This Row],[_LeafWork]]/(Tasks[[#This Row],[_FinishWorkday]]-Tasks[[#This Row],[_StartWorkday]]+1),0)</f>
        <v>0</v>
      </c>
      <c r="CU55" s="41" t="n">
        <f aca="false">Tasks[[#This Row],[_WorkPerWorkday]]*(Tasks[[#This Row],[_StartWorkday]]-1)</f>
        <v>-0</v>
      </c>
      <c r="CV55" s="41" t="n">
        <f aca="false">IF(Tasks[[#This Row],[_IsLeaf]]=1,MAX(N(Tasks[[#This Row],[Duration]]),0.1),0)</f>
        <v>0</v>
      </c>
      <c r="CW55" s="41" t="n">
        <f aca="false">Tasks[[#This Row],[_WeightDur]]*Tasks[[#This Row],[_LeafProgress]]</f>
        <v>0</v>
      </c>
      <c r="CX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5" s="41" t="str">
        <f aca="false">IF(Tasks[[#This Row],[Task Name]]="","",Tasks[[#This Row],[_Pred1UIDText]]&amp;IF(AND(Tasks[[#This Row],[_Pred1UIDText]]&lt;&gt;"",Tasks[[#This Row],[_Pred2UIDText]]&lt;&gt;""),",","")&amp;Tasks[[#This Row],[_Pred2UIDText]])</f>
        <v/>
      </c>
      <c r="DC55" s="41" t="str">
        <f aca="false">IF(AND(Tasks[[#This Row],[_IsLeaf]]=1,N(Tasks[[#This Row],[Duration]])=0,Tasks[[#This Row],[_LeafProgress]]&lt;1),Tasks[[#This Row],[_LeafFcstFinish]]+Tasks[[#This Row],[_Row]]/100000,"")</f>
        <v/>
      </c>
      <c r="DD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5" s="41" t="n">
        <f aca="false">IF(NOT(Tasks[[#This Row],[_IsLeaf]]=1),0,IF(Tasks[[#This Row],[Baseline Cost]]="",Tasks[[#This Row],[_LeafCost]],N(Tasks[[#This Row],[Baseline Cost]])))</f>
        <v>0</v>
      </c>
      <c r="DF55" s="41" t="n">
        <f aca="false">Tasks[[#This Row],[_LeafBudget]]*Tasks[[#This Row],[_PlannedPct]]</f>
        <v>0</v>
      </c>
      <c r="DG55" s="41" t="n">
        <f aca="false">Tasks[[#This Row],[_LeafBudget]]*Tasks[[#This Row],[_LeafProgress]]</f>
        <v>0</v>
      </c>
      <c r="DH55" s="41" t="n">
        <f aca="false">IF(NOT(Tasks[[#This Row],[_IsLeaf]]=1),0,IF(Tasks[[#This Row],[Actual Cost]]="",Tasks[[#This Row],[_LeafCost]]*Tasks[[#This Row],[_LeafProgress]],N(Tasks[[#This Row],[Actual Cost]])))</f>
        <v>0</v>
      </c>
      <c r="DI55" s="41" t="str">
        <f aca="false">IF(Tasks[[#This Row],[Task Name]]="","",LEFT(Tasks[[#This Row],[WBS]],FIND(".",Tasks[[#This Row],[WBS]]&amp;".")-1))</f>
        <v/>
      </c>
      <c r="DJ55" s="41" t="str">
        <f aca="false">IF(AND(Tasks[[#This Row],[Task Name]]&lt;&gt;"",Tasks[[#This Row],[_Level]]=1),Tasks[[#This Row],[_Row]],"")</f>
        <v/>
      </c>
      <c r="DK55" s="41" t="str">
        <f aca="false">IF(AND(Tasks[[#This Row],[_IsLeaf]]=1,N(Tasks[[#This Row],[Duration]])=0),Tasks[[#This Row],[Planned Finish]]+Tasks[[#This Row],[_Row]]/100000,"")</f>
        <v/>
      </c>
      <c r="DL55" s="41" t="str">
        <f aca="false">IF(AND(Tasks[[#This Row],[_IsLeaf]]=1,Tasks[[#This Row],[_LeafProgress]]&lt;1,OR(N(Tasks[[#This Row],[Finish Var]])&gt;0,Tasks[[#This Row],[Status]]="Late Start")),MAX(0,Tasks[[#This Row],[Finish Var]])+1-Tasks[[#This Row],[_Row]]/1000000,"")</f>
        <v/>
      </c>
      <c r="DM55" s="41" t="str">
        <f aca="false">IF(AND(Tasks[[#This Row],[_IsLeaf]]=1,N(Tasks[[#This Row],[Actual Start]])=0,Tasks[[#This Row],[_LeafFcstStart]]&gt;=StatusDate,Tasks[[#This Row],[_LeafFcstStart]]&lt;=LookaheadEnd),Tasks[[#This Row],[_LeafFcstStart]]+Tasks[[#This Row],[_Row]]/100000,"")</f>
        <v/>
      </c>
      <c r="DN55" s="41" t="str">
        <f aca="false">IF(AND(Tasks[[#This Row],[_IsLeaf]]=1,Tasks[[#This Row],[_LeafProgress]]&lt;1,Tasks[[#This Row],[_LeafFcstFinish]]&gt;=StatusDate,Tasks[[#This Row],[_LeafFcstFinish]]&lt;=LookaheadEnd),Tasks[[#This Row],[_LeafFcstFinish]]+Tasks[[#This Row],[_Row]]/100000,"")</f>
        <v/>
      </c>
      <c r="DO55" s="41" t="str">
        <f aca="false">IF(Tasks[[#This Row],[_LeafCritical]],Tasks[[#This Row],[_LeafFcstStart]]+Tasks[[#This Row],[_Row]]/100000,"")</f>
        <v/>
      </c>
      <c r="DP55" s="41" t="n">
        <f aca="false">Tasks[[#This Row],[_LeafWork]]*Tasks[[#This Row],[_LeafProgress]]</f>
        <v>0</v>
      </c>
      <c r="DQ55" s="103" t="str">
        <f aca="false">IF(AND(Tasks[[#This Row],[_IsLeaf]]=1,Tasks[[#This Row],[_LeafProgress]]&gt;=1),IF(N(Tasks[[#This Row],[Actual Finish]])&gt;0,Tasks[[#This Row],[Actual Finish]],Tasks[[#This Row],[_LeafFcstFinish]]),"")</f>
        <v/>
      </c>
      <c r="DR55" s="41" t="n">
        <f aca="false">IF(Tasks[[#This Row],[_IsLeaf]]=1,N(Tasks[[#This Row],[Story Points]]),0)</f>
        <v>0</v>
      </c>
      <c r="DS55" s="41" t="str">
        <f aca="false">IF(AND(Tasks[[#This Row],[_IsLeaf]]=1,CurrentSprint&lt;&gt;"",Tasks[[#This Row],[Sprint]]=CurrentSprint),Tasks[[#This Row],[_Row]],"")</f>
        <v/>
      </c>
    </row>
    <row r="56" customFormat="false" ht="15" hidden="false" customHeight="false" outlineLevel="0" collapsed="false">
      <c r="A56" s="28" t="str">
        <f aca="false">IF(Tasks[[#This Row],[Task Name]]="","",COUNTA(Tasks[[#Headers],[Task Name]]:Tasks[[#This Row],[Task Name]])-1)</f>
        <v/>
      </c>
      <c r="B56" s="29" t="n">
        <v>51</v>
      </c>
      <c r="C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29"/>
      <c r="E56" s="30"/>
      <c r="F56" s="29"/>
      <c r="G56" s="29"/>
      <c r="H56" s="29"/>
      <c r="I56" s="29"/>
      <c r="J56" s="29"/>
      <c r="K56" s="29"/>
      <c r="L56" s="29"/>
      <c r="M56" s="29"/>
      <c r="N56" s="77"/>
      <c r="O56" s="77"/>
      <c r="P56" s="25" t="str">
        <f aca="false">IF(Tasks[[#This Row],[Task Name]]="","",IF(N(Tasks[[#This Row],[Baseline Start]])&gt;0,Tasks[[#This Row],[Baseline Start]],Tasks[[#This Row],[_CalcStart]]))</f>
        <v/>
      </c>
      <c r="Q56" s="25" t="str">
        <f aca="false">IF(Tasks[[#This Row],[Task Name]]="","",IF(N(Tasks[[#This Row],[Baseline Finish]])&gt;0,Tasks[[#This Row],[Baseline Finish]],Tasks[[#This Row],[_CalcFinish]]))</f>
        <v/>
      </c>
      <c r="R56" s="77"/>
      <c r="S56" s="77"/>
      <c r="T56" s="25" t="str">
        <f aca="false">IF(Tasks[[#This Row],[Task Name]]="","",IF(Tasks[[#This Row],[_IsSummary]],MIN(INDEX(Tasks[_LeafFcstStart],Tasks[[#This Row],[_Row]]+1):INDEX(Tasks[_LeafFcstStart],Tasks[[#This Row],[_Row]]+Tasks[[#This Row],[_Descendants]])),Tasks[[#This Row],[_LeafFcstStart]]))</f>
        <v/>
      </c>
      <c r="U56" s="25" t="str">
        <f aca="false">IF(Tasks[[#This Row],[Task Name]]="","",IF(Tasks[[#This Row],[_IsSummary]],MAX(INDEX(Tasks[_LeafFcstFinish],Tasks[[#This Row],[_Row]]+1):INDEX(Tasks[_LeafFcstFinish],Tasks[[#This Row],[_Row]]+Tasks[[#This Row],[_Descendants]])),Tasks[[#This Row],[_LeafFcstFinish]]))</f>
        <v/>
      </c>
      <c r="V5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6" s="25" t="str">
        <f aca="false">IF(Tasks[[#This Row],[Task Name]]="","",IF(Tasks[[#This Row],[_IsSummary]],MIN(INDEX(Tasks[_LeafLateStart],Tasks[[#This Row],[_Row]]+1):INDEX(Tasks[_LeafLateStart],Tasks[[#This Row],[_Row]]+Tasks[[#This Row],[_Descendants]])),Tasks[[#This Row],[_LeafLateStart]]))</f>
        <v/>
      </c>
      <c r="Y56" s="25" t="str">
        <f aca="false">IF(Tasks[[#This Row],[Task Name]]="","",IF(Tasks[[#This Row],[_IsSummary]],MAX(INDEX(Tasks[_LeafLateFinish],Tasks[[#This Row],[_Row]]+1):INDEX(Tasks[_LeafLateFinish],Tasks[[#This Row],[_Row]]+Tasks[[#This Row],[_Descendants]])),Tasks[[#This Row],[_LeafLateFinish]]))</f>
        <v/>
      </c>
      <c r="Z56" s="43" t="str">
        <f aca="false">IF(Tasks[[#This Row],[Task Name]]="","",IF(Tasks[[#This Row],[_IsSummary]],MIN(INDEX(Tasks[_LeafTotalSlack],Tasks[[#This Row],[_Row]]+1):INDEX(Tasks[_LeafTotalSlack],Tasks[[#This Row],[_Row]]+Tasks[[#This Row],[_Descendants]])),Tasks[[#This Row],[_LeafTotalSlack]]))</f>
        <v/>
      </c>
      <c r="AA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6" s="28" t="str">
        <f aca="false">IF(Tasks[[#This Row],[Task Name]]="","",IF(IF(Tasks[[#This Row],[_IsSummary]],COUNTIF(INDEX(Tasks[_LeafCritical],Tasks[[#This Row],[_Row]]+1):INDEX(Tasks[_LeafCritical],Tasks[[#This Row],[_Row]]+Tasks[[#This Row],[_Descendants]]),TRUE())&gt;0,Tasks[[#This Row],[_LeafCritical]]),"Yes",""))</f>
        <v/>
      </c>
      <c r="AC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6" s="24" t="str">
        <f aca="false">IF(Tasks[[#This Row],[Task Name]]="","",TRIM(IF(Tasks[[#This Row],[_Pred1Problem]]&lt;&gt;"","Pred 1: "&amp;Tasks[[#This Row],[_Pred1Problem]]&amp;". ","")&amp;IF(Tasks[[#This Row],[_Pred2Problem]]&lt;&gt;"","Pred 2: "&amp;Tasks[[#This Row],[_Pred2Problem]]&amp;".","")))</f>
        <v/>
      </c>
      <c r="AE56" s="91"/>
      <c r="AF5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6" s="28" t="str">
        <f aca="false">IF(Tasks[[#This Row],[Task Name]]="","",IF(Tasks[[#This Row],[Progress]]&gt;=1,"Complete",IF(OR(N(Tasks[[#This Row],[Actual Start]])&gt;0,Tasks[[#This Row],[Progress]]&gt;0),IF(Tasks[[#This Row],[Finish Var]]&gt;0,"Behind","In Progress"),IF(Tasks[[#This Row],[Planned Start]]&lt;StatusDate,"Late Start","Not Started"))))</f>
        <v/>
      </c>
      <c r="AH56" s="30"/>
      <c r="AI56" s="91"/>
      <c r="AJ5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6" s="98" t="str">
        <f aca="false">IF(Tasks[[#This Row],[Task Name]]="","",IF(Tasks[[#This Row],[_IsSummary]],SUM(INDEX(Tasks[_LeafWork],Tasks[[#This Row],[_Row]]+1):INDEX(Tasks[_LeafWork],Tasks[[#This Row],[_Row]]+Tasks[[#This Row],[_Descendants]])),Tasks[[#This Row],[_LeafWork]]))</f>
        <v/>
      </c>
      <c r="AL56" s="99" t="str">
        <f aca="false">IF(Tasks[[#This Row],[Task Name]]="","",IF(Tasks[[#This Row],[_IsSummary]],SUM(INDEX(Tasks[_LeafCost],Tasks[[#This Row],[_Row]]+1):INDEX(Tasks[_LeafCost],Tasks[[#This Row],[_Row]]+Tasks[[#This Row],[_Descendants]])),Tasks[[#This Row],[_LeafCost]]))</f>
        <v/>
      </c>
      <c r="AM56" s="100"/>
      <c r="AN56" s="29"/>
      <c r="AO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6" s="85"/>
      <c r="AQ56" s="24" t="str">
        <f aca="false">IF(Tasks[[#This Row],[Task Name]]="","",Tasks[[#This Row],[_Pred1IDText]]&amp;IF(AND(Tasks[[#This Row],[_Pred1IDText]]&lt;&gt;"",Tasks[[#This Row],[_Pred2IDText]]&lt;&gt;""),",","")&amp;Tasks[[#This Row],[_Pred2IDText]])</f>
        <v/>
      </c>
      <c r="AR56" s="30"/>
      <c r="AS56" s="25" t="str">
        <f aca="false">IF(Tasks[[#This Row],[Task Name]]="","",Tasks[[#This Row],[Forecast Start]])</f>
        <v/>
      </c>
      <c r="AT56" s="25" t="str">
        <f aca="false">IF(Tasks[[#This Row],[Task Name]]="","",Tasks[[#This Row],[Forecast Finish]])</f>
        <v/>
      </c>
      <c r="AU56" s="28" t="str">
        <f aca="false">IF(Tasks[[#This Row],[Task Name]]="","",IF(Tasks[[#This Row],[_IsSummary]],NETWORKDAYS.INTL(Tasks[[#This Row],[Forecast Start]],Tasks[[#This Row],[Forecast Finish]],WorkWeek,Holidays),N(Tasks[[#This Row],[Duration]])))</f>
        <v/>
      </c>
      <c r="AV56" s="98" t="str">
        <f aca="false">IF(Tasks[[#This Row],[Task Name]]="","",Tasks[[#This Row],[Work]])</f>
        <v/>
      </c>
      <c r="AW56" s="99" t="str">
        <f aca="false">IF(Tasks[[#This Row],[Task Name]]="","",Tasks[[#This Row],[Cost]])</f>
        <v/>
      </c>
      <c r="AX56" s="77"/>
      <c r="AY56" s="77"/>
      <c r="AZ56" s="29"/>
      <c r="BA56" s="101"/>
      <c r="BB56" s="100"/>
      <c r="BC56" s="28" t="str">
        <f aca="false">IF(OR(Tasks[[#This Row],[Task Name]]="",Tasks[[#This Row],[Baseline Duration]]=""),"",Tasks[[#This Row],[BL Source Duration]]-N(Tasks[[#This Row],[Baseline Duration]]))</f>
        <v/>
      </c>
      <c r="BD56" s="98" t="str">
        <f aca="false">IF(OR(Tasks[[#This Row],[Task Name]]="",Tasks[[#This Row],[Baseline Work]]=""),"",Tasks[[#This Row],[Work]]-N(Tasks[[#This Row],[Baseline Work]]))</f>
        <v/>
      </c>
      <c r="BE56" s="99" t="str">
        <f aca="false">IF(OR(Tasks[[#This Row],[Task Name]]="",Tasks[[#This Row],[Baseline Cost]]=""),"",Tasks[[#This Row],[Cost]]-N(Tasks[[#This Row],[Baseline Cost]]))</f>
        <v/>
      </c>
      <c r="BF56" s="99" t="str">
        <f aca="false">IF(Tasks[[#This Row],[Task Name]]="","",IF(Tasks[[#This Row],[_IsSummary]],SUM(INDEX(Tasks[_LeafBudget],Tasks[[#This Row],[_Row]]+1):INDEX(Tasks[_LeafBudget],Tasks[[#This Row],[_Row]]+Tasks[[#This Row],[_Descendants]])),Tasks[[#This Row],[_LeafBudget]]))</f>
        <v/>
      </c>
      <c r="BG56" s="99" t="str">
        <f aca="false">IF(Tasks[[#This Row],[Task Name]]="","",IF(Tasks[[#This Row],[_IsSummary]],SUM(INDEX(Tasks[_LeafPV],Tasks[[#This Row],[_Row]]+1):INDEX(Tasks[_LeafPV],Tasks[[#This Row],[_Row]]+Tasks[[#This Row],[_Descendants]])),Tasks[[#This Row],[_LeafPV]]))</f>
        <v/>
      </c>
      <c r="BH56" s="99" t="str">
        <f aca="false">IF(Tasks[[#This Row],[Task Name]]="","",IF(Tasks[[#This Row],[_IsSummary]],SUM(INDEX(Tasks[_LeafEV],Tasks[[#This Row],[_Row]]+1):INDEX(Tasks[_LeafEV],Tasks[[#This Row],[_Row]]+Tasks[[#This Row],[_Descendants]])),Tasks[[#This Row],[_LeafEV]]))</f>
        <v/>
      </c>
      <c r="BI56" s="99" t="str">
        <f aca="false">IF(Tasks[[#This Row],[Task Name]]="","",IF(Tasks[[#This Row],[_IsSummary]],SUM(INDEX(Tasks[_LeafAC],Tasks[[#This Row],[_Row]]+1):INDEX(Tasks[_LeafAC],Tasks[[#This Row],[_Row]]+Tasks[[#This Row],[_Descendants]])),Tasks[[#This Row],[_LeafAC]]))</f>
        <v/>
      </c>
      <c r="BJ56" s="41" t="str">
        <f aca="false">IF(Tasks[[#This Row],[Task Name]]="","",MAX(1,N(Tasks[[#This Row],[Level]])))</f>
        <v/>
      </c>
      <c r="BK56" s="41" t="n">
        <f aca="false">ROW()-ROW(Tasks[[#Headers],[ID]])</f>
        <v>51</v>
      </c>
      <c r="BL56" s="41" t="n">
        <f aca="false">IF(OR(Tasks[[#This Row],[Task Name]]="",Tasks[[#This Row],[_Level]]&lt;=1),0,IFERROR(LOOKUP(2,1/(Tasks[[#Headers],[_Level]]:Tasks[[#This Row],[_Level]]=Tasks[[#This Row],[_Level]]-1),ROW(Tasks[[#Headers],[_Level]]:Tasks[[#This Row],[_Level]])),0))</f>
        <v>0</v>
      </c>
      <c r="BM56" s="41" t="n">
        <f aca="false">IFERROR(N(INDEX(Tasks[_Level],Tasks[[#This Row],[_Row]]+1)),0)</f>
        <v>0</v>
      </c>
      <c r="BN56" s="102" t="b">
        <f aca="false">AND(Tasks[[#This Row],[Task Name]]&lt;&gt;"",Tasks[[#This Row],[_NextLevel]]&gt;Tasks[[#This Row],[_Level]])</f>
        <v>0</v>
      </c>
      <c r="BO56" s="41" t="n">
        <f aca="false">IF(Tasks[[#This Row],[_IsSummary]],COUNTIF(Tasks[WBS],Tasks[[#This Row],[WBS]]&amp;".*"),0)</f>
        <v>0</v>
      </c>
      <c r="BP56" s="41" t="n">
        <f aca="false">IF(AND(Tasks[[#This Row],[Task Name]]&lt;&gt;"",NOT(Tasks[[#This Row],[_IsSummary]])),1,0)</f>
        <v>0</v>
      </c>
      <c r="BQ56" s="41" t="n">
        <f aca="false">IF(N(Tasks[[#This Row],[Pred1 UID]])=0,0,IFERROR(MATCH(Tasks[[#This Row],[Pred1 UID]],Tasks[UID],0),-1))</f>
        <v>0</v>
      </c>
      <c r="BR56" s="41" t="n">
        <f aca="false">IF(N(Tasks[[#This Row],[Pred2 UID]])=0,0,IFERROR(MATCH(Tasks[[#This Row],[Pred2 UID]],Tasks[UID],0),-1))</f>
        <v>0</v>
      </c>
      <c r="BS5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6" s="103" t="str">
        <f aca="false">IF(NOT(Tasks[[#This Row],[_IsLeaf]]=1),"",IF(N(Tasks[[#This Row],[Duration]])&lt;=0,Tasks[[#This Row],[_LeafCalcStart]],WORKDAY.INTL(Tasks[[#This Row],[_LeafCalcStart]],Tasks[[#This Row],[Duration]]-1,WorkWeek,Holidays)))</f>
        <v/>
      </c>
      <c r="BU5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6" s="41" t="n">
        <f aca="false">IF(NOT(Tasks[[#This Row],[_IsLeaf]]=1),0,IF(N(Tasks[[#This Row],[Actual Finish]])&gt;0,1,MIN(1,N(Tasks[[#This Row],[% Complete]]))))</f>
        <v>0</v>
      </c>
      <c r="BX56" s="41" t="n">
        <f aca="false">IF(OR(NOT(Tasks[[#This Row],[_IsLeaf]]=1),Tasks[[#This Row],[Resource]]=""),0,N(Tasks[[#This Row],[Duration]])*HoursPerDay*IF(Tasks[[#This Row],[Units]]="",DefaultUnits,Tasks[[#This Row],[Units]]))</f>
        <v>0</v>
      </c>
      <c r="BY56" s="41" t="n">
        <f aca="false">IF(Tasks[[#This Row],[_LeafWork]]=0,0,Tasks[[#This Row],[_LeafWork]]*IFERROR(INDEX(res_Rate,MATCH(Tasks[[#This Row],[Resource]],res_Name,0)),0))</f>
        <v>0</v>
      </c>
      <c r="BZ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6" s="41" t="n">
        <f aca="false">IF(NOT(Tasks[[#This Row],[_IsLeaf]]=1),0,MAX(_xlfn.MAXIFS(Tasks[_Row],Tasks[Pred1 UID],Tasks[[#This Row],[UID]]),_xlfn.MAXIFS(Tasks[_Row],Tasks[Pred2 UID],Tasks[[#This Row],[UID]])))</f>
        <v>0</v>
      </c>
      <c r="CE5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6" s="103" t="str">
        <f aca="false">IF(NOT(Tasks[[#This Row],[_IsLeaf]]=1),"",MIN(ProjectFinish,IF(N(Tasks[[#This Row],[Deadline]])&gt;0,Tasks[[#This Row],[Deadline]],2958465),Tasks[[#This Row],[_SuccessorFinishLimit]]))</f>
        <v/>
      </c>
      <c r="CG56" s="103" t="str">
        <f aca="false">IF(NOT(Tasks[[#This Row],[_IsLeaf]]=1),"",IF(N(Tasks[[#This Row],[Duration]])&lt;=0,Tasks[[#This Row],[_LeafLateFinish]],WORKDAY.INTL(Tasks[[#This Row],[_LeafLateFinish]],-(Tasks[[#This Row],[Duration]]-1),WorkWeek,Holidays)))</f>
        <v/>
      </c>
      <c r="CH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6" s="102" t="b">
        <f aca="false">AND(Tasks[[#This Row],[_IsLeaf]]=1,Tasks[[#This Row],[_LeafProgress]]&lt;1,N(Tasks[[#This Row],[_LeafTotalSlack]])&lt;=CriticalSlackDays)</f>
        <v>0</v>
      </c>
      <c r="CJ56" s="103" t="str">
        <f aca="false">IF(Tasks[[#This Row],[Task Name]]="","",IF(Tasks[[#This Row],[_IsSummary]],MIN(INDEX(Tasks[_LeafCalcStart],Tasks[[#This Row],[_Row]]+1):INDEX(Tasks[_LeafCalcStart],Tasks[[#This Row],[_Row]]+Tasks[[#This Row],[_Descendants]])),Tasks[[#This Row],[_LeafCalcStart]]))</f>
        <v/>
      </c>
      <c r="CK56" s="103" t="str">
        <f aca="false">IF(Tasks[[#This Row],[Task Name]]="","",IF(Tasks[[#This Row],[_IsSummary]],MAX(INDEX(Tasks[_LeafCalcFinish],Tasks[[#This Row],[_Row]]+1):INDEX(Tasks[_LeafCalcFinish],Tasks[[#This Row],[_Row]]+Tasks[[#This Row],[_Descendants]])),Tasks[[#This Row],[_LeafCalcFinish]]))</f>
        <v/>
      </c>
      <c r="CL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6" s="41" t="n">
        <f aca="false">IF(AND(Tasks[[#This Row],[_IsLeaf]]=1,Tasks[[#This Row],[_LeafWork]]&gt;0),NETWORKDAYS.INTL(ProjectStart,Tasks[[#This Row],[_LeafFcstStart]],WorkWeek,Holidays),0)</f>
        <v>0</v>
      </c>
      <c r="CS56" s="41" t="n">
        <f aca="false">IF(AND(Tasks[[#This Row],[_IsLeaf]]=1,Tasks[[#This Row],[_LeafWork]]&gt;0),MAX(Tasks[[#This Row],[_StartWorkday]],NETWORKDAYS.INTL(ProjectStart,Tasks[[#This Row],[_LeafFcstFinish]],WorkWeek,Holidays)),0)</f>
        <v>0</v>
      </c>
      <c r="CT56" s="41" t="n">
        <f aca="false">IF(AND(Tasks[[#This Row],[_IsLeaf]]=1,Tasks[[#This Row],[_LeafWork]]&gt;0),Tasks[[#This Row],[_LeafWork]]/(Tasks[[#This Row],[_FinishWorkday]]-Tasks[[#This Row],[_StartWorkday]]+1),0)</f>
        <v>0</v>
      </c>
      <c r="CU56" s="41" t="n">
        <f aca="false">Tasks[[#This Row],[_WorkPerWorkday]]*(Tasks[[#This Row],[_StartWorkday]]-1)</f>
        <v>-0</v>
      </c>
      <c r="CV56" s="41" t="n">
        <f aca="false">IF(Tasks[[#This Row],[_IsLeaf]]=1,MAX(N(Tasks[[#This Row],[Duration]]),0.1),0)</f>
        <v>0</v>
      </c>
      <c r="CW56" s="41" t="n">
        <f aca="false">Tasks[[#This Row],[_WeightDur]]*Tasks[[#This Row],[_LeafProgress]]</f>
        <v>0</v>
      </c>
      <c r="CX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6" s="41" t="str">
        <f aca="false">IF(Tasks[[#This Row],[Task Name]]="","",Tasks[[#This Row],[_Pred1UIDText]]&amp;IF(AND(Tasks[[#This Row],[_Pred1UIDText]]&lt;&gt;"",Tasks[[#This Row],[_Pred2UIDText]]&lt;&gt;""),",","")&amp;Tasks[[#This Row],[_Pred2UIDText]])</f>
        <v/>
      </c>
      <c r="DC56" s="41" t="str">
        <f aca="false">IF(AND(Tasks[[#This Row],[_IsLeaf]]=1,N(Tasks[[#This Row],[Duration]])=0,Tasks[[#This Row],[_LeafProgress]]&lt;1),Tasks[[#This Row],[_LeafFcstFinish]]+Tasks[[#This Row],[_Row]]/100000,"")</f>
        <v/>
      </c>
      <c r="DD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6" s="41" t="n">
        <f aca="false">IF(NOT(Tasks[[#This Row],[_IsLeaf]]=1),0,IF(Tasks[[#This Row],[Baseline Cost]]="",Tasks[[#This Row],[_LeafCost]],N(Tasks[[#This Row],[Baseline Cost]])))</f>
        <v>0</v>
      </c>
      <c r="DF56" s="41" t="n">
        <f aca="false">Tasks[[#This Row],[_LeafBudget]]*Tasks[[#This Row],[_PlannedPct]]</f>
        <v>0</v>
      </c>
      <c r="DG56" s="41" t="n">
        <f aca="false">Tasks[[#This Row],[_LeafBudget]]*Tasks[[#This Row],[_LeafProgress]]</f>
        <v>0</v>
      </c>
      <c r="DH56" s="41" t="n">
        <f aca="false">IF(NOT(Tasks[[#This Row],[_IsLeaf]]=1),0,IF(Tasks[[#This Row],[Actual Cost]]="",Tasks[[#This Row],[_LeafCost]]*Tasks[[#This Row],[_LeafProgress]],N(Tasks[[#This Row],[Actual Cost]])))</f>
        <v>0</v>
      </c>
      <c r="DI56" s="41" t="str">
        <f aca="false">IF(Tasks[[#This Row],[Task Name]]="","",LEFT(Tasks[[#This Row],[WBS]],FIND(".",Tasks[[#This Row],[WBS]]&amp;".")-1))</f>
        <v/>
      </c>
      <c r="DJ56" s="41" t="str">
        <f aca="false">IF(AND(Tasks[[#This Row],[Task Name]]&lt;&gt;"",Tasks[[#This Row],[_Level]]=1),Tasks[[#This Row],[_Row]],"")</f>
        <v/>
      </c>
      <c r="DK56" s="41" t="str">
        <f aca="false">IF(AND(Tasks[[#This Row],[_IsLeaf]]=1,N(Tasks[[#This Row],[Duration]])=0),Tasks[[#This Row],[Planned Finish]]+Tasks[[#This Row],[_Row]]/100000,"")</f>
        <v/>
      </c>
      <c r="DL56" s="41" t="str">
        <f aca="false">IF(AND(Tasks[[#This Row],[_IsLeaf]]=1,Tasks[[#This Row],[_LeafProgress]]&lt;1,OR(N(Tasks[[#This Row],[Finish Var]])&gt;0,Tasks[[#This Row],[Status]]="Late Start")),MAX(0,Tasks[[#This Row],[Finish Var]])+1-Tasks[[#This Row],[_Row]]/1000000,"")</f>
        <v/>
      </c>
      <c r="DM56" s="41" t="str">
        <f aca="false">IF(AND(Tasks[[#This Row],[_IsLeaf]]=1,N(Tasks[[#This Row],[Actual Start]])=0,Tasks[[#This Row],[_LeafFcstStart]]&gt;=StatusDate,Tasks[[#This Row],[_LeafFcstStart]]&lt;=LookaheadEnd),Tasks[[#This Row],[_LeafFcstStart]]+Tasks[[#This Row],[_Row]]/100000,"")</f>
        <v/>
      </c>
      <c r="DN56" s="41" t="str">
        <f aca="false">IF(AND(Tasks[[#This Row],[_IsLeaf]]=1,Tasks[[#This Row],[_LeafProgress]]&lt;1,Tasks[[#This Row],[_LeafFcstFinish]]&gt;=StatusDate,Tasks[[#This Row],[_LeafFcstFinish]]&lt;=LookaheadEnd),Tasks[[#This Row],[_LeafFcstFinish]]+Tasks[[#This Row],[_Row]]/100000,"")</f>
        <v/>
      </c>
      <c r="DO56" s="41" t="str">
        <f aca="false">IF(Tasks[[#This Row],[_LeafCritical]],Tasks[[#This Row],[_LeafFcstStart]]+Tasks[[#This Row],[_Row]]/100000,"")</f>
        <v/>
      </c>
      <c r="DP56" s="41" t="n">
        <f aca="false">Tasks[[#This Row],[_LeafWork]]*Tasks[[#This Row],[_LeafProgress]]</f>
        <v>0</v>
      </c>
      <c r="DQ56" s="103" t="str">
        <f aca="false">IF(AND(Tasks[[#This Row],[_IsLeaf]]=1,Tasks[[#This Row],[_LeafProgress]]&gt;=1),IF(N(Tasks[[#This Row],[Actual Finish]])&gt;0,Tasks[[#This Row],[Actual Finish]],Tasks[[#This Row],[_LeafFcstFinish]]),"")</f>
        <v/>
      </c>
      <c r="DR56" s="41" t="n">
        <f aca="false">IF(Tasks[[#This Row],[_IsLeaf]]=1,N(Tasks[[#This Row],[Story Points]]),0)</f>
        <v>0</v>
      </c>
      <c r="DS56" s="41" t="str">
        <f aca="false">IF(AND(Tasks[[#This Row],[_IsLeaf]]=1,CurrentSprint&lt;&gt;"",Tasks[[#This Row],[Sprint]]=CurrentSprint),Tasks[[#This Row],[_Row]],"")</f>
        <v/>
      </c>
    </row>
    <row r="57" customFormat="false" ht="15" hidden="false" customHeight="false" outlineLevel="0" collapsed="false">
      <c r="A57" s="28" t="str">
        <f aca="false">IF(Tasks[[#This Row],[Task Name]]="","",COUNTA(Tasks[[#Headers],[Task Name]]:Tasks[[#This Row],[Task Name]])-1)</f>
        <v/>
      </c>
      <c r="B57" s="29" t="n">
        <v>52</v>
      </c>
      <c r="C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29"/>
      <c r="E57" s="30"/>
      <c r="F57" s="29"/>
      <c r="G57" s="29"/>
      <c r="H57" s="29"/>
      <c r="I57" s="29"/>
      <c r="J57" s="29"/>
      <c r="K57" s="29"/>
      <c r="L57" s="29"/>
      <c r="M57" s="29"/>
      <c r="N57" s="77"/>
      <c r="O57" s="77"/>
      <c r="P57" s="25" t="str">
        <f aca="false">IF(Tasks[[#This Row],[Task Name]]="","",IF(N(Tasks[[#This Row],[Baseline Start]])&gt;0,Tasks[[#This Row],[Baseline Start]],Tasks[[#This Row],[_CalcStart]]))</f>
        <v/>
      </c>
      <c r="Q57" s="25" t="str">
        <f aca="false">IF(Tasks[[#This Row],[Task Name]]="","",IF(N(Tasks[[#This Row],[Baseline Finish]])&gt;0,Tasks[[#This Row],[Baseline Finish]],Tasks[[#This Row],[_CalcFinish]]))</f>
        <v/>
      </c>
      <c r="R57" s="77"/>
      <c r="S57" s="77"/>
      <c r="T57" s="25" t="str">
        <f aca="false">IF(Tasks[[#This Row],[Task Name]]="","",IF(Tasks[[#This Row],[_IsSummary]],MIN(INDEX(Tasks[_LeafFcstStart],Tasks[[#This Row],[_Row]]+1):INDEX(Tasks[_LeafFcstStart],Tasks[[#This Row],[_Row]]+Tasks[[#This Row],[_Descendants]])),Tasks[[#This Row],[_LeafFcstStart]]))</f>
        <v/>
      </c>
      <c r="U57" s="25" t="str">
        <f aca="false">IF(Tasks[[#This Row],[Task Name]]="","",IF(Tasks[[#This Row],[_IsSummary]],MAX(INDEX(Tasks[_LeafFcstFinish],Tasks[[#This Row],[_Row]]+1):INDEX(Tasks[_LeafFcstFinish],Tasks[[#This Row],[_Row]]+Tasks[[#This Row],[_Descendants]])),Tasks[[#This Row],[_LeafFcstFinish]]))</f>
        <v/>
      </c>
      <c r="V5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7" s="25" t="str">
        <f aca="false">IF(Tasks[[#This Row],[Task Name]]="","",IF(Tasks[[#This Row],[_IsSummary]],MIN(INDEX(Tasks[_LeafLateStart],Tasks[[#This Row],[_Row]]+1):INDEX(Tasks[_LeafLateStart],Tasks[[#This Row],[_Row]]+Tasks[[#This Row],[_Descendants]])),Tasks[[#This Row],[_LeafLateStart]]))</f>
        <v/>
      </c>
      <c r="Y57" s="25" t="str">
        <f aca="false">IF(Tasks[[#This Row],[Task Name]]="","",IF(Tasks[[#This Row],[_IsSummary]],MAX(INDEX(Tasks[_LeafLateFinish],Tasks[[#This Row],[_Row]]+1):INDEX(Tasks[_LeafLateFinish],Tasks[[#This Row],[_Row]]+Tasks[[#This Row],[_Descendants]])),Tasks[[#This Row],[_LeafLateFinish]]))</f>
        <v/>
      </c>
      <c r="Z57" s="43" t="str">
        <f aca="false">IF(Tasks[[#This Row],[Task Name]]="","",IF(Tasks[[#This Row],[_IsSummary]],MIN(INDEX(Tasks[_LeafTotalSlack],Tasks[[#This Row],[_Row]]+1):INDEX(Tasks[_LeafTotalSlack],Tasks[[#This Row],[_Row]]+Tasks[[#This Row],[_Descendants]])),Tasks[[#This Row],[_LeafTotalSlack]]))</f>
        <v/>
      </c>
      <c r="AA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7" s="28" t="str">
        <f aca="false">IF(Tasks[[#This Row],[Task Name]]="","",IF(IF(Tasks[[#This Row],[_IsSummary]],COUNTIF(INDEX(Tasks[_LeafCritical],Tasks[[#This Row],[_Row]]+1):INDEX(Tasks[_LeafCritical],Tasks[[#This Row],[_Row]]+Tasks[[#This Row],[_Descendants]]),TRUE())&gt;0,Tasks[[#This Row],[_LeafCritical]]),"Yes",""))</f>
        <v/>
      </c>
      <c r="AC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7" s="24" t="str">
        <f aca="false">IF(Tasks[[#This Row],[Task Name]]="","",TRIM(IF(Tasks[[#This Row],[_Pred1Problem]]&lt;&gt;"","Pred 1: "&amp;Tasks[[#This Row],[_Pred1Problem]]&amp;". ","")&amp;IF(Tasks[[#This Row],[_Pred2Problem]]&lt;&gt;"","Pred 2: "&amp;Tasks[[#This Row],[_Pred2Problem]]&amp;".","")))</f>
        <v/>
      </c>
      <c r="AE57" s="91"/>
      <c r="AF5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7" s="28" t="str">
        <f aca="false">IF(Tasks[[#This Row],[Task Name]]="","",IF(Tasks[[#This Row],[Progress]]&gt;=1,"Complete",IF(OR(N(Tasks[[#This Row],[Actual Start]])&gt;0,Tasks[[#This Row],[Progress]]&gt;0),IF(Tasks[[#This Row],[Finish Var]]&gt;0,"Behind","In Progress"),IF(Tasks[[#This Row],[Planned Start]]&lt;StatusDate,"Late Start","Not Started"))))</f>
        <v/>
      </c>
      <c r="AH57" s="30"/>
      <c r="AI57" s="91"/>
      <c r="AJ5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7" s="98" t="str">
        <f aca="false">IF(Tasks[[#This Row],[Task Name]]="","",IF(Tasks[[#This Row],[_IsSummary]],SUM(INDEX(Tasks[_LeafWork],Tasks[[#This Row],[_Row]]+1):INDEX(Tasks[_LeafWork],Tasks[[#This Row],[_Row]]+Tasks[[#This Row],[_Descendants]])),Tasks[[#This Row],[_LeafWork]]))</f>
        <v/>
      </c>
      <c r="AL57" s="99" t="str">
        <f aca="false">IF(Tasks[[#This Row],[Task Name]]="","",IF(Tasks[[#This Row],[_IsSummary]],SUM(INDEX(Tasks[_LeafCost],Tasks[[#This Row],[_Row]]+1):INDEX(Tasks[_LeafCost],Tasks[[#This Row],[_Row]]+Tasks[[#This Row],[_Descendants]])),Tasks[[#This Row],[_LeafCost]]))</f>
        <v/>
      </c>
      <c r="AM57" s="100"/>
      <c r="AN57" s="29"/>
      <c r="AO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7" s="85"/>
      <c r="AQ57" s="24" t="str">
        <f aca="false">IF(Tasks[[#This Row],[Task Name]]="","",Tasks[[#This Row],[_Pred1IDText]]&amp;IF(AND(Tasks[[#This Row],[_Pred1IDText]]&lt;&gt;"",Tasks[[#This Row],[_Pred2IDText]]&lt;&gt;""),",","")&amp;Tasks[[#This Row],[_Pred2IDText]])</f>
        <v/>
      </c>
      <c r="AR57" s="30"/>
      <c r="AS57" s="25" t="str">
        <f aca="false">IF(Tasks[[#This Row],[Task Name]]="","",Tasks[[#This Row],[Forecast Start]])</f>
        <v/>
      </c>
      <c r="AT57" s="25" t="str">
        <f aca="false">IF(Tasks[[#This Row],[Task Name]]="","",Tasks[[#This Row],[Forecast Finish]])</f>
        <v/>
      </c>
      <c r="AU57" s="28" t="str">
        <f aca="false">IF(Tasks[[#This Row],[Task Name]]="","",IF(Tasks[[#This Row],[_IsSummary]],NETWORKDAYS.INTL(Tasks[[#This Row],[Forecast Start]],Tasks[[#This Row],[Forecast Finish]],WorkWeek,Holidays),N(Tasks[[#This Row],[Duration]])))</f>
        <v/>
      </c>
      <c r="AV57" s="98" t="str">
        <f aca="false">IF(Tasks[[#This Row],[Task Name]]="","",Tasks[[#This Row],[Work]])</f>
        <v/>
      </c>
      <c r="AW57" s="99" t="str">
        <f aca="false">IF(Tasks[[#This Row],[Task Name]]="","",Tasks[[#This Row],[Cost]])</f>
        <v/>
      </c>
      <c r="AX57" s="77"/>
      <c r="AY57" s="77"/>
      <c r="AZ57" s="29"/>
      <c r="BA57" s="101"/>
      <c r="BB57" s="100"/>
      <c r="BC57" s="28" t="str">
        <f aca="false">IF(OR(Tasks[[#This Row],[Task Name]]="",Tasks[[#This Row],[Baseline Duration]]=""),"",Tasks[[#This Row],[BL Source Duration]]-N(Tasks[[#This Row],[Baseline Duration]]))</f>
        <v/>
      </c>
      <c r="BD57" s="98" t="str">
        <f aca="false">IF(OR(Tasks[[#This Row],[Task Name]]="",Tasks[[#This Row],[Baseline Work]]=""),"",Tasks[[#This Row],[Work]]-N(Tasks[[#This Row],[Baseline Work]]))</f>
        <v/>
      </c>
      <c r="BE57" s="99" t="str">
        <f aca="false">IF(OR(Tasks[[#This Row],[Task Name]]="",Tasks[[#This Row],[Baseline Cost]]=""),"",Tasks[[#This Row],[Cost]]-N(Tasks[[#This Row],[Baseline Cost]]))</f>
        <v/>
      </c>
      <c r="BF57" s="99" t="str">
        <f aca="false">IF(Tasks[[#This Row],[Task Name]]="","",IF(Tasks[[#This Row],[_IsSummary]],SUM(INDEX(Tasks[_LeafBudget],Tasks[[#This Row],[_Row]]+1):INDEX(Tasks[_LeafBudget],Tasks[[#This Row],[_Row]]+Tasks[[#This Row],[_Descendants]])),Tasks[[#This Row],[_LeafBudget]]))</f>
        <v/>
      </c>
      <c r="BG57" s="99" t="str">
        <f aca="false">IF(Tasks[[#This Row],[Task Name]]="","",IF(Tasks[[#This Row],[_IsSummary]],SUM(INDEX(Tasks[_LeafPV],Tasks[[#This Row],[_Row]]+1):INDEX(Tasks[_LeafPV],Tasks[[#This Row],[_Row]]+Tasks[[#This Row],[_Descendants]])),Tasks[[#This Row],[_LeafPV]]))</f>
        <v/>
      </c>
      <c r="BH57" s="99" t="str">
        <f aca="false">IF(Tasks[[#This Row],[Task Name]]="","",IF(Tasks[[#This Row],[_IsSummary]],SUM(INDEX(Tasks[_LeafEV],Tasks[[#This Row],[_Row]]+1):INDEX(Tasks[_LeafEV],Tasks[[#This Row],[_Row]]+Tasks[[#This Row],[_Descendants]])),Tasks[[#This Row],[_LeafEV]]))</f>
        <v/>
      </c>
      <c r="BI57" s="99" t="str">
        <f aca="false">IF(Tasks[[#This Row],[Task Name]]="","",IF(Tasks[[#This Row],[_IsSummary]],SUM(INDEX(Tasks[_LeafAC],Tasks[[#This Row],[_Row]]+1):INDEX(Tasks[_LeafAC],Tasks[[#This Row],[_Row]]+Tasks[[#This Row],[_Descendants]])),Tasks[[#This Row],[_LeafAC]]))</f>
        <v/>
      </c>
      <c r="BJ57" s="41" t="str">
        <f aca="false">IF(Tasks[[#This Row],[Task Name]]="","",MAX(1,N(Tasks[[#This Row],[Level]])))</f>
        <v/>
      </c>
      <c r="BK57" s="41" t="n">
        <f aca="false">ROW()-ROW(Tasks[[#Headers],[ID]])</f>
        <v>52</v>
      </c>
      <c r="BL57" s="41" t="n">
        <f aca="false">IF(OR(Tasks[[#This Row],[Task Name]]="",Tasks[[#This Row],[_Level]]&lt;=1),0,IFERROR(LOOKUP(2,1/(Tasks[[#Headers],[_Level]]:Tasks[[#This Row],[_Level]]=Tasks[[#This Row],[_Level]]-1),ROW(Tasks[[#Headers],[_Level]]:Tasks[[#This Row],[_Level]])),0))</f>
        <v>0</v>
      </c>
      <c r="BM57" s="41" t="n">
        <f aca="false">IFERROR(N(INDEX(Tasks[_Level],Tasks[[#This Row],[_Row]]+1)),0)</f>
        <v>0</v>
      </c>
      <c r="BN57" s="102" t="b">
        <f aca="false">AND(Tasks[[#This Row],[Task Name]]&lt;&gt;"",Tasks[[#This Row],[_NextLevel]]&gt;Tasks[[#This Row],[_Level]])</f>
        <v>0</v>
      </c>
      <c r="BO57" s="41" t="n">
        <f aca="false">IF(Tasks[[#This Row],[_IsSummary]],COUNTIF(Tasks[WBS],Tasks[[#This Row],[WBS]]&amp;".*"),0)</f>
        <v>0</v>
      </c>
      <c r="BP57" s="41" t="n">
        <f aca="false">IF(AND(Tasks[[#This Row],[Task Name]]&lt;&gt;"",NOT(Tasks[[#This Row],[_IsSummary]])),1,0)</f>
        <v>0</v>
      </c>
      <c r="BQ57" s="41" t="n">
        <f aca="false">IF(N(Tasks[[#This Row],[Pred1 UID]])=0,0,IFERROR(MATCH(Tasks[[#This Row],[Pred1 UID]],Tasks[UID],0),-1))</f>
        <v>0</v>
      </c>
      <c r="BR57" s="41" t="n">
        <f aca="false">IF(N(Tasks[[#This Row],[Pred2 UID]])=0,0,IFERROR(MATCH(Tasks[[#This Row],[Pred2 UID]],Tasks[UID],0),-1))</f>
        <v>0</v>
      </c>
      <c r="BS5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7" s="103" t="str">
        <f aca="false">IF(NOT(Tasks[[#This Row],[_IsLeaf]]=1),"",IF(N(Tasks[[#This Row],[Duration]])&lt;=0,Tasks[[#This Row],[_LeafCalcStart]],WORKDAY.INTL(Tasks[[#This Row],[_LeafCalcStart]],Tasks[[#This Row],[Duration]]-1,WorkWeek,Holidays)))</f>
        <v/>
      </c>
      <c r="BU5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7" s="41" t="n">
        <f aca="false">IF(NOT(Tasks[[#This Row],[_IsLeaf]]=1),0,IF(N(Tasks[[#This Row],[Actual Finish]])&gt;0,1,MIN(1,N(Tasks[[#This Row],[% Complete]]))))</f>
        <v>0</v>
      </c>
      <c r="BX57" s="41" t="n">
        <f aca="false">IF(OR(NOT(Tasks[[#This Row],[_IsLeaf]]=1),Tasks[[#This Row],[Resource]]=""),0,N(Tasks[[#This Row],[Duration]])*HoursPerDay*IF(Tasks[[#This Row],[Units]]="",DefaultUnits,Tasks[[#This Row],[Units]]))</f>
        <v>0</v>
      </c>
      <c r="BY57" s="41" t="n">
        <f aca="false">IF(Tasks[[#This Row],[_LeafWork]]=0,0,Tasks[[#This Row],[_LeafWork]]*IFERROR(INDEX(res_Rate,MATCH(Tasks[[#This Row],[Resource]],res_Name,0)),0))</f>
        <v>0</v>
      </c>
      <c r="BZ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7" s="41" t="n">
        <f aca="false">IF(NOT(Tasks[[#This Row],[_IsLeaf]]=1),0,MAX(_xlfn.MAXIFS(Tasks[_Row],Tasks[Pred1 UID],Tasks[[#This Row],[UID]]),_xlfn.MAXIFS(Tasks[_Row],Tasks[Pred2 UID],Tasks[[#This Row],[UID]])))</f>
        <v>0</v>
      </c>
      <c r="CE5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7" s="103" t="str">
        <f aca="false">IF(NOT(Tasks[[#This Row],[_IsLeaf]]=1),"",MIN(ProjectFinish,IF(N(Tasks[[#This Row],[Deadline]])&gt;0,Tasks[[#This Row],[Deadline]],2958465),Tasks[[#This Row],[_SuccessorFinishLimit]]))</f>
        <v/>
      </c>
      <c r="CG57" s="103" t="str">
        <f aca="false">IF(NOT(Tasks[[#This Row],[_IsLeaf]]=1),"",IF(N(Tasks[[#This Row],[Duration]])&lt;=0,Tasks[[#This Row],[_LeafLateFinish]],WORKDAY.INTL(Tasks[[#This Row],[_LeafLateFinish]],-(Tasks[[#This Row],[Duration]]-1),WorkWeek,Holidays)))</f>
        <v/>
      </c>
      <c r="CH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7" s="102" t="b">
        <f aca="false">AND(Tasks[[#This Row],[_IsLeaf]]=1,Tasks[[#This Row],[_LeafProgress]]&lt;1,N(Tasks[[#This Row],[_LeafTotalSlack]])&lt;=CriticalSlackDays)</f>
        <v>0</v>
      </c>
      <c r="CJ57" s="103" t="str">
        <f aca="false">IF(Tasks[[#This Row],[Task Name]]="","",IF(Tasks[[#This Row],[_IsSummary]],MIN(INDEX(Tasks[_LeafCalcStart],Tasks[[#This Row],[_Row]]+1):INDEX(Tasks[_LeafCalcStart],Tasks[[#This Row],[_Row]]+Tasks[[#This Row],[_Descendants]])),Tasks[[#This Row],[_LeafCalcStart]]))</f>
        <v/>
      </c>
      <c r="CK57" s="103" t="str">
        <f aca="false">IF(Tasks[[#This Row],[Task Name]]="","",IF(Tasks[[#This Row],[_IsSummary]],MAX(INDEX(Tasks[_LeafCalcFinish],Tasks[[#This Row],[_Row]]+1):INDEX(Tasks[_LeafCalcFinish],Tasks[[#This Row],[_Row]]+Tasks[[#This Row],[_Descendants]])),Tasks[[#This Row],[_LeafCalcFinish]]))</f>
        <v/>
      </c>
      <c r="CL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7" s="41" t="n">
        <f aca="false">IF(AND(Tasks[[#This Row],[_IsLeaf]]=1,Tasks[[#This Row],[_LeafWork]]&gt;0),NETWORKDAYS.INTL(ProjectStart,Tasks[[#This Row],[_LeafFcstStart]],WorkWeek,Holidays),0)</f>
        <v>0</v>
      </c>
      <c r="CS57" s="41" t="n">
        <f aca="false">IF(AND(Tasks[[#This Row],[_IsLeaf]]=1,Tasks[[#This Row],[_LeafWork]]&gt;0),MAX(Tasks[[#This Row],[_StartWorkday]],NETWORKDAYS.INTL(ProjectStart,Tasks[[#This Row],[_LeafFcstFinish]],WorkWeek,Holidays)),0)</f>
        <v>0</v>
      </c>
      <c r="CT57" s="41" t="n">
        <f aca="false">IF(AND(Tasks[[#This Row],[_IsLeaf]]=1,Tasks[[#This Row],[_LeafWork]]&gt;0),Tasks[[#This Row],[_LeafWork]]/(Tasks[[#This Row],[_FinishWorkday]]-Tasks[[#This Row],[_StartWorkday]]+1),0)</f>
        <v>0</v>
      </c>
      <c r="CU57" s="41" t="n">
        <f aca="false">Tasks[[#This Row],[_WorkPerWorkday]]*(Tasks[[#This Row],[_StartWorkday]]-1)</f>
        <v>-0</v>
      </c>
      <c r="CV57" s="41" t="n">
        <f aca="false">IF(Tasks[[#This Row],[_IsLeaf]]=1,MAX(N(Tasks[[#This Row],[Duration]]),0.1),0)</f>
        <v>0</v>
      </c>
      <c r="CW57" s="41" t="n">
        <f aca="false">Tasks[[#This Row],[_WeightDur]]*Tasks[[#This Row],[_LeafProgress]]</f>
        <v>0</v>
      </c>
      <c r="CX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7" s="41" t="str">
        <f aca="false">IF(Tasks[[#This Row],[Task Name]]="","",Tasks[[#This Row],[_Pred1UIDText]]&amp;IF(AND(Tasks[[#This Row],[_Pred1UIDText]]&lt;&gt;"",Tasks[[#This Row],[_Pred2UIDText]]&lt;&gt;""),",","")&amp;Tasks[[#This Row],[_Pred2UIDText]])</f>
        <v/>
      </c>
      <c r="DC57" s="41" t="str">
        <f aca="false">IF(AND(Tasks[[#This Row],[_IsLeaf]]=1,N(Tasks[[#This Row],[Duration]])=0,Tasks[[#This Row],[_LeafProgress]]&lt;1),Tasks[[#This Row],[_LeafFcstFinish]]+Tasks[[#This Row],[_Row]]/100000,"")</f>
        <v/>
      </c>
      <c r="DD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7" s="41" t="n">
        <f aca="false">IF(NOT(Tasks[[#This Row],[_IsLeaf]]=1),0,IF(Tasks[[#This Row],[Baseline Cost]]="",Tasks[[#This Row],[_LeafCost]],N(Tasks[[#This Row],[Baseline Cost]])))</f>
        <v>0</v>
      </c>
      <c r="DF57" s="41" t="n">
        <f aca="false">Tasks[[#This Row],[_LeafBudget]]*Tasks[[#This Row],[_PlannedPct]]</f>
        <v>0</v>
      </c>
      <c r="DG57" s="41" t="n">
        <f aca="false">Tasks[[#This Row],[_LeafBudget]]*Tasks[[#This Row],[_LeafProgress]]</f>
        <v>0</v>
      </c>
      <c r="DH57" s="41" t="n">
        <f aca="false">IF(NOT(Tasks[[#This Row],[_IsLeaf]]=1),0,IF(Tasks[[#This Row],[Actual Cost]]="",Tasks[[#This Row],[_LeafCost]]*Tasks[[#This Row],[_LeafProgress]],N(Tasks[[#This Row],[Actual Cost]])))</f>
        <v>0</v>
      </c>
      <c r="DI57" s="41" t="str">
        <f aca="false">IF(Tasks[[#This Row],[Task Name]]="","",LEFT(Tasks[[#This Row],[WBS]],FIND(".",Tasks[[#This Row],[WBS]]&amp;".")-1))</f>
        <v/>
      </c>
      <c r="DJ57" s="41" t="str">
        <f aca="false">IF(AND(Tasks[[#This Row],[Task Name]]&lt;&gt;"",Tasks[[#This Row],[_Level]]=1),Tasks[[#This Row],[_Row]],"")</f>
        <v/>
      </c>
      <c r="DK57" s="41" t="str">
        <f aca="false">IF(AND(Tasks[[#This Row],[_IsLeaf]]=1,N(Tasks[[#This Row],[Duration]])=0),Tasks[[#This Row],[Planned Finish]]+Tasks[[#This Row],[_Row]]/100000,"")</f>
        <v/>
      </c>
      <c r="DL57" s="41" t="str">
        <f aca="false">IF(AND(Tasks[[#This Row],[_IsLeaf]]=1,Tasks[[#This Row],[_LeafProgress]]&lt;1,OR(N(Tasks[[#This Row],[Finish Var]])&gt;0,Tasks[[#This Row],[Status]]="Late Start")),MAX(0,Tasks[[#This Row],[Finish Var]])+1-Tasks[[#This Row],[_Row]]/1000000,"")</f>
        <v/>
      </c>
      <c r="DM57" s="41" t="str">
        <f aca="false">IF(AND(Tasks[[#This Row],[_IsLeaf]]=1,N(Tasks[[#This Row],[Actual Start]])=0,Tasks[[#This Row],[_LeafFcstStart]]&gt;=StatusDate,Tasks[[#This Row],[_LeafFcstStart]]&lt;=LookaheadEnd),Tasks[[#This Row],[_LeafFcstStart]]+Tasks[[#This Row],[_Row]]/100000,"")</f>
        <v/>
      </c>
      <c r="DN57" s="41" t="str">
        <f aca="false">IF(AND(Tasks[[#This Row],[_IsLeaf]]=1,Tasks[[#This Row],[_LeafProgress]]&lt;1,Tasks[[#This Row],[_LeafFcstFinish]]&gt;=StatusDate,Tasks[[#This Row],[_LeafFcstFinish]]&lt;=LookaheadEnd),Tasks[[#This Row],[_LeafFcstFinish]]+Tasks[[#This Row],[_Row]]/100000,"")</f>
        <v/>
      </c>
      <c r="DO57" s="41" t="str">
        <f aca="false">IF(Tasks[[#This Row],[_LeafCritical]],Tasks[[#This Row],[_LeafFcstStart]]+Tasks[[#This Row],[_Row]]/100000,"")</f>
        <v/>
      </c>
      <c r="DP57" s="41" t="n">
        <f aca="false">Tasks[[#This Row],[_LeafWork]]*Tasks[[#This Row],[_LeafProgress]]</f>
        <v>0</v>
      </c>
      <c r="DQ57" s="103" t="str">
        <f aca="false">IF(AND(Tasks[[#This Row],[_IsLeaf]]=1,Tasks[[#This Row],[_LeafProgress]]&gt;=1),IF(N(Tasks[[#This Row],[Actual Finish]])&gt;0,Tasks[[#This Row],[Actual Finish]],Tasks[[#This Row],[_LeafFcstFinish]]),"")</f>
        <v/>
      </c>
      <c r="DR57" s="41" t="n">
        <f aca="false">IF(Tasks[[#This Row],[_IsLeaf]]=1,N(Tasks[[#This Row],[Story Points]]),0)</f>
        <v>0</v>
      </c>
      <c r="DS57" s="41" t="str">
        <f aca="false">IF(AND(Tasks[[#This Row],[_IsLeaf]]=1,CurrentSprint&lt;&gt;"",Tasks[[#This Row],[Sprint]]=CurrentSprint),Tasks[[#This Row],[_Row]],"")</f>
        <v/>
      </c>
    </row>
    <row r="58" customFormat="false" ht="15" hidden="false" customHeight="false" outlineLevel="0" collapsed="false">
      <c r="A58" s="28" t="str">
        <f aca="false">IF(Tasks[[#This Row],[Task Name]]="","",COUNTA(Tasks[[#Headers],[Task Name]]:Tasks[[#This Row],[Task Name]])-1)</f>
        <v/>
      </c>
      <c r="B58" s="29" t="n">
        <v>53</v>
      </c>
      <c r="C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29"/>
      <c r="E58" s="30"/>
      <c r="F58" s="29"/>
      <c r="G58" s="29"/>
      <c r="H58" s="29"/>
      <c r="I58" s="29"/>
      <c r="J58" s="29"/>
      <c r="K58" s="29"/>
      <c r="L58" s="29"/>
      <c r="M58" s="29"/>
      <c r="N58" s="77"/>
      <c r="O58" s="77"/>
      <c r="P58" s="25" t="str">
        <f aca="false">IF(Tasks[[#This Row],[Task Name]]="","",IF(N(Tasks[[#This Row],[Baseline Start]])&gt;0,Tasks[[#This Row],[Baseline Start]],Tasks[[#This Row],[_CalcStart]]))</f>
        <v/>
      </c>
      <c r="Q58" s="25" t="str">
        <f aca="false">IF(Tasks[[#This Row],[Task Name]]="","",IF(N(Tasks[[#This Row],[Baseline Finish]])&gt;0,Tasks[[#This Row],[Baseline Finish]],Tasks[[#This Row],[_CalcFinish]]))</f>
        <v/>
      </c>
      <c r="R58" s="77"/>
      <c r="S58" s="77"/>
      <c r="T58" s="25" t="str">
        <f aca="false">IF(Tasks[[#This Row],[Task Name]]="","",IF(Tasks[[#This Row],[_IsSummary]],MIN(INDEX(Tasks[_LeafFcstStart],Tasks[[#This Row],[_Row]]+1):INDEX(Tasks[_LeafFcstStart],Tasks[[#This Row],[_Row]]+Tasks[[#This Row],[_Descendants]])),Tasks[[#This Row],[_LeafFcstStart]]))</f>
        <v/>
      </c>
      <c r="U58" s="25" t="str">
        <f aca="false">IF(Tasks[[#This Row],[Task Name]]="","",IF(Tasks[[#This Row],[_IsSummary]],MAX(INDEX(Tasks[_LeafFcstFinish],Tasks[[#This Row],[_Row]]+1):INDEX(Tasks[_LeafFcstFinish],Tasks[[#This Row],[_Row]]+Tasks[[#This Row],[_Descendants]])),Tasks[[#This Row],[_LeafFcstFinish]]))</f>
        <v/>
      </c>
      <c r="V5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8" s="25" t="str">
        <f aca="false">IF(Tasks[[#This Row],[Task Name]]="","",IF(Tasks[[#This Row],[_IsSummary]],MIN(INDEX(Tasks[_LeafLateStart],Tasks[[#This Row],[_Row]]+1):INDEX(Tasks[_LeafLateStart],Tasks[[#This Row],[_Row]]+Tasks[[#This Row],[_Descendants]])),Tasks[[#This Row],[_LeafLateStart]]))</f>
        <v/>
      </c>
      <c r="Y58" s="25" t="str">
        <f aca="false">IF(Tasks[[#This Row],[Task Name]]="","",IF(Tasks[[#This Row],[_IsSummary]],MAX(INDEX(Tasks[_LeafLateFinish],Tasks[[#This Row],[_Row]]+1):INDEX(Tasks[_LeafLateFinish],Tasks[[#This Row],[_Row]]+Tasks[[#This Row],[_Descendants]])),Tasks[[#This Row],[_LeafLateFinish]]))</f>
        <v/>
      </c>
      <c r="Z58" s="43" t="str">
        <f aca="false">IF(Tasks[[#This Row],[Task Name]]="","",IF(Tasks[[#This Row],[_IsSummary]],MIN(INDEX(Tasks[_LeafTotalSlack],Tasks[[#This Row],[_Row]]+1):INDEX(Tasks[_LeafTotalSlack],Tasks[[#This Row],[_Row]]+Tasks[[#This Row],[_Descendants]])),Tasks[[#This Row],[_LeafTotalSlack]]))</f>
        <v/>
      </c>
      <c r="AA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8" s="28" t="str">
        <f aca="false">IF(Tasks[[#This Row],[Task Name]]="","",IF(IF(Tasks[[#This Row],[_IsSummary]],COUNTIF(INDEX(Tasks[_LeafCritical],Tasks[[#This Row],[_Row]]+1):INDEX(Tasks[_LeafCritical],Tasks[[#This Row],[_Row]]+Tasks[[#This Row],[_Descendants]]),TRUE())&gt;0,Tasks[[#This Row],[_LeafCritical]]),"Yes",""))</f>
        <v/>
      </c>
      <c r="AC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8" s="24" t="str">
        <f aca="false">IF(Tasks[[#This Row],[Task Name]]="","",TRIM(IF(Tasks[[#This Row],[_Pred1Problem]]&lt;&gt;"","Pred 1: "&amp;Tasks[[#This Row],[_Pred1Problem]]&amp;". ","")&amp;IF(Tasks[[#This Row],[_Pred2Problem]]&lt;&gt;"","Pred 2: "&amp;Tasks[[#This Row],[_Pred2Problem]]&amp;".","")))</f>
        <v/>
      </c>
      <c r="AE58" s="91"/>
      <c r="AF5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8" s="28" t="str">
        <f aca="false">IF(Tasks[[#This Row],[Task Name]]="","",IF(Tasks[[#This Row],[Progress]]&gt;=1,"Complete",IF(OR(N(Tasks[[#This Row],[Actual Start]])&gt;0,Tasks[[#This Row],[Progress]]&gt;0),IF(Tasks[[#This Row],[Finish Var]]&gt;0,"Behind","In Progress"),IF(Tasks[[#This Row],[Planned Start]]&lt;StatusDate,"Late Start","Not Started"))))</f>
        <v/>
      </c>
      <c r="AH58" s="30"/>
      <c r="AI58" s="91"/>
      <c r="AJ5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8" s="98" t="str">
        <f aca="false">IF(Tasks[[#This Row],[Task Name]]="","",IF(Tasks[[#This Row],[_IsSummary]],SUM(INDEX(Tasks[_LeafWork],Tasks[[#This Row],[_Row]]+1):INDEX(Tasks[_LeafWork],Tasks[[#This Row],[_Row]]+Tasks[[#This Row],[_Descendants]])),Tasks[[#This Row],[_LeafWork]]))</f>
        <v/>
      </c>
      <c r="AL58" s="99" t="str">
        <f aca="false">IF(Tasks[[#This Row],[Task Name]]="","",IF(Tasks[[#This Row],[_IsSummary]],SUM(INDEX(Tasks[_LeafCost],Tasks[[#This Row],[_Row]]+1):INDEX(Tasks[_LeafCost],Tasks[[#This Row],[_Row]]+Tasks[[#This Row],[_Descendants]])),Tasks[[#This Row],[_LeafCost]]))</f>
        <v/>
      </c>
      <c r="AM58" s="100"/>
      <c r="AN58" s="29"/>
      <c r="AO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8" s="85"/>
      <c r="AQ58" s="24" t="str">
        <f aca="false">IF(Tasks[[#This Row],[Task Name]]="","",Tasks[[#This Row],[_Pred1IDText]]&amp;IF(AND(Tasks[[#This Row],[_Pred1IDText]]&lt;&gt;"",Tasks[[#This Row],[_Pred2IDText]]&lt;&gt;""),",","")&amp;Tasks[[#This Row],[_Pred2IDText]])</f>
        <v/>
      </c>
      <c r="AR58" s="30"/>
      <c r="AS58" s="25" t="str">
        <f aca="false">IF(Tasks[[#This Row],[Task Name]]="","",Tasks[[#This Row],[Forecast Start]])</f>
        <v/>
      </c>
      <c r="AT58" s="25" t="str">
        <f aca="false">IF(Tasks[[#This Row],[Task Name]]="","",Tasks[[#This Row],[Forecast Finish]])</f>
        <v/>
      </c>
      <c r="AU58" s="28" t="str">
        <f aca="false">IF(Tasks[[#This Row],[Task Name]]="","",IF(Tasks[[#This Row],[_IsSummary]],NETWORKDAYS.INTL(Tasks[[#This Row],[Forecast Start]],Tasks[[#This Row],[Forecast Finish]],WorkWeek,Holidays),N(Tasks[[#This Row],[Duration]])))</f>
        <v/>
      </c>
      <c r="AV58" s="98" t="str">
        <f aca="false">IF(Tasks[[#This Row],[Task Name]]="","",Tasks[[#This Row],[Work]])</f>
        <v/>
      </c>
      <c r="AW58" s="99" t="str">
        <f aca="false">IF(Tasks[[#This Row],[Task Name]]="","",Tasks[[#This Row],[Cost]])</f>
        <v/>
      </c>
      <c r="AX58" s="77"/>
      <c r="AY58" s="77"/>
      <c r="AZ58" s="29"/>
      <c r="BA58" s="101"/>
      <c r="BB58" s="100"/>
      <c r="BC58" s="28" t="str">
        <f aca="false">IF(OR(Tasks[[#This Row],[Task Name]]="",Tasks[[#This Row],[Baseline Duration]]=""),"",Tasks[[#This Row],[BL Source Duration]]-N(Tasks[[#This Row],[Baseline Duration]]))</f>
        <v/>
      </c>
      <c r="BD58" s="98" t="str">
        <f aca="false">IF(OR(Tasks[[#This Row],[Task Name]]="",Tasks[[#This Row],[Baseline Work]]=""),"",Tasks[[#This Row],[Work]]-N(Tasks[[#This Row],[Baseline Work]]))</f>
        <v/>
      </c>
      <c r="BE58" s="99" t="str">
        <f aca="false">IF(OR(Tasks[[#This Row],[Task Name]]="",Tasks[[#This Row],[Baseline Cost]]=""),"",Tasks[[#This Row],[Cost]]-N(Tasks[[#This Row],[Baseline Cost]]))</f>
        <v/>
      </c>
      <c r="BF58" s="99" t="str">
        <f aca="false">IF(Tasks[[#This Row],[Task Name]]="","",IF(Tasks[[#This Row],[_IsSummary]],SUM(INDEX(Tasks[_LeafBudget],Tasks[[#This Row],[_Row]]+1):INDEX(Tasks[_LeafBudget],Tasks[[#This Row],[_Row]]+Tasks[[#This Row],[_Descendants]])),Tasks[[#This Row],[_LeafBudget]]))</f>
        <v/>
      </c>
      <c r="BG58" s="99" t="str">
        <f aca="false">IF(Tasks[[#This Row],[Task Name]]="","",IF(Tasks[[#This Row],[_IsSummary]],SUM(INDEX(Tasks[_LeafPV],Tasks[[#This Row],[_Row]]+1):INDEX(Tasks[_LeafPV],Tasks[[#This Row],[_Row]]+Tasks[[#This Row],[_Descendants]])),Tasks[[#This Row],[_LeafPV]]))</f>
        <v/>
      </c>
      <c r="BH58" s="99" t="str">
        <f aca="false">IF(Tasks[[#This Row],[Task Name]]="","",IF(Tasks[[#This Row],[_IsSummary]],SUM(INDEX(Tasks[_LeafEV],Tasks[[#This Row],[_Row]]+1):INDEX(Tasks[_LeafEV],Tasks[[#This Row],[_Row]]+Tasks[[#This Row],[_Descendants]])),Tasks[[#This Row],[_LeafEV]]))</f>
        <v/>
      </c>
      <c r="BI58" s="99" t="str">
        <f aca="false">IF(Tasks[[#This Row],[Task Name]]="","",IF(Tasks[[#This Row],[_IsSummary]],SUM(INDEX(Tasks[_LeafAC],Tasks[[#This Row],[_Row]]+1):INDEX(Tasks[_LeafAC],Tasks[[#This Row],[_Row]]+Tasks[[#This Row],[_Descendants]])),Tasks[[#This Row],[_LeafAC]]))</f>
        <v/>
      </c>
      <c r="BJ58" s="41" t="str">
        <f aca="false">IF(Tasks[[#This Row],[Task Name]]="","",MAX(1,N(Tasks[[#This Row],[Level]])))</f>
        <v/>
      </c>
      <c r="BK58" s="41" t="n">
        <f aca="false">ROW()-ROW(Tasks[[#Headers],[ID]])</f>
        <v>53</v>
      </c>
      <c r="BL58" s="41" t="n">
        <f aca="false">IF(OR(Tasks[[#This Row],[Task Name]]="",Tasks[[#This Row],[_Level]]&lt;=1),0,IFERROR(LOOKUP(2,1/(Tasks[[#Headers],[_Level]]:Tasks[[#This Row],[_Level]]=Tasks[[#This Row],[_Level]]-1),ROW(Tasks[[#Headers],[_Level]]:Tasks[[#This Row],[_Level]])),0))</f>
        <v>0</v>
      </c>
      <c r="BM58" s="41" t="n">
        <f aca="false">IFERROR(N(INDEX(Tasks[_Level],Tasks[[#This Row],[_Row]]+1)),0)</f>
        <v>0</v>
      </c>
      <c r="BN58" s="102" t="b">
        <f aca="false">AND(Tasks[[#This Row],[Task Name]]&lt;&gt;"",Tasks[[#This Row],[_NextLevel]]&gt;Tasks[[#This Row],[_Level]])</f>
        <v>0</v>
      </c>
      <c r="BO58" s="41" t="n">
        <f aca="false">IF(Tasks[[#This Row],[_IsSummary]],COUNTIF(Tasks[WBS],Tasks[[#This Row],[WBS]]&amp;".*"),0)</f>
        <v>0</v>
      </c>
      <c r="BP58" s="41" t="n">
        <f aca="false">IF(AND(Tasks[[#This Row],[Task Name]]&lt;&gt;"",NOT(Tasks[[#This Row],[_IsSummary]])),1,0)</f>
        <v>0</v>
      </c>
      <c r="BQ58" s="41" t="n">
        <f aca="false">IF(N(Tasks[[#This Row],[Pred1 UID]])=0,0,IFERROR(MATCH(Tasks[[#This Row],[Pred1 UID]],Tasks[UID],0),-1))</f>
        <v>0</v>
      </c>
      <c r="BR58" s="41" t="n">
        <f aca="false">IF(N(Tasks[[#This Row],[Pred2 UID]])=0,0,IFERROR(MATCH(Tasks[[#This Row],[Pred2 UID]],Tasks[UID],0),-1))</f>
        <v>0</v>
      </c>
      <c r="BS5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8" s="103" t="str">
        <f aca="false">IF(NOT(Tasks[[#This Row],[_IsLeaf]]=1),"",IF(N(Tasks[[#This Row],[Duration]])&lt;=0,Tasks[[#This Row],[_LeafCalcStart]],WORKDAY.INTL(Tasks[[#This Row],[_LeafCalcStart]],Tasks[[#This Row],[Duration]]-1,WorkWeek,Holidays)))</f>
        <v/>
      </c>
      <c r="BU5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8" s="41" t="n">
        <f aca="false">IF(NOT(Tasks[[#This Row],[_IsLeaf]]=1),0,IF(N(Tasks[[#This Row],[Actual Finish]])&gt;0,1,MIN(1,N(Tasks[[#This Row],[% Complete]]))))</f>
        <v>0</v>
      </c>
      <c r="BX58" s="41" t="n">
        <f aca="false">IF(OR(NOT(Tasks[[#This Row],[_IsLeaf]]=1),Tasks[[#This Row],[Resource]]=""),0,N(Tasks[[#This Row],[Duration]])*HoursPerDay*IF(Tasks[[#This Row],[Units]]="",DefaultUnits,Tasks[[#This Row],[Units]]))</f>
        <v>0</v>
      </c>
      <c r="BY58" s="41" t="n">
        <f aca="false">IF(Tasks[[#This Row],[_LeafWork]]=0,0,Tasks[[#This Row],[_LeafWork]]*IFERROR(INDEX(res_Rate,MATCH(Tasks[[#This Row],[Resource]],res_Name,0)),0))</f>
        <v>0</v>
      </c>
      <c r="BZ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8" s="41" t="n">
        <f aca="false">IF(NOT(Tasks[[#This Row],[_IsLeaf]]=1),0,MAX(_xlfn.MAXIFS(Tasks[_Row],Tasks[Pred1 UID],Tasks[[#This Row],[UID]]),_xlfn.MAXIFS(Tasks[_Row],Tasks[Pred2 UID],Tasks[[#This Row],[UID]])))</f>
        <v>0</v>
      </c>
      <c r="CE5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8" s="103" t="str">
        <f aca="false">IF(NOT(Tasks[[#This Row],[_IsLeaf]]=1),"",MIN(ProjectFinish,IF(N(Tasks[[#This Row],[Deadline]])&gt;0,Tasks[[#This Row],[Deadline]],2958465),Tasks[[#This Row],[_SuccessorFinishLimit]]))</f>
        <v/>
      </c>
      <c r="CG58" s="103" t="str">
        <f aca="false">IF(NOT(Tasks[[#This Row],[_IsLeaf]]=1),"",IF(N(Tasks[[#This Row],[Duration]])&lt;=0,Tasks[[#This Row],[_LeafLateFinish]],WORKDAY.INTL(Tasks[[#This Row],[_LeafLateFinish]],-(Tasks[[#This Row],[Duration]]-1),WorkWeek,Holidays)))</f>
        <v/>
      </c>
      <c r="CH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8" s="102" t="b">
        <f aca="false">AND(Tasks[[#This Row],[_IsLeaf]]=1,Tasks[[#This Row],[_LeafProgress]]&lt;1,N(Tasks[[#This Row],[_LeafTotalSlack]])&lt;=CriticalSlackDays)</f>
        <v>0</v>
      </c>
      <c r="CJ58" s="103" t="str">
        <f aca="false">IF(Tasks[[#This Row],[Task Name]]="","",IF(Tasks[[#This Row],[_IsSummary]],MIN(INDEX(Tasks[_LeafCalcStart],Tasks[[#This Row],[_Row]]+1):INDEX(Tasks[_LeafCalcStart],Tasks[[#This Row],[_Row]]+Tasks[[#This Row],[_Descendants]])),Tasks[[#This Row],[_LeafCalcStart]]))</f>
        <v/>
      </c>
      <c r="CK58" s="103" t="str">
        <f aca="false">IF(Tasks[[#This Row],[Task Name]]="","",IF(Tasks[[#This Row],[_IsSummary]],MAX(INDEX(Tasks[_LeafCalcFinish],Tasks[[#This Row],[_Row]]+1):INDEX(Tasks[_LeafCalcFinish],Tasks[[#This Row],[_Row]]+Tasks[[#This Row],[_Descendants]])),Tasks[[#This Row],[_LeafCalcFinish]]))</f>
        <v/>
      </c>
      <c r="CL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8" s="41" t="n">
        <f aca="false">IF(AND(Tasks[[#This Row],[_IsLeaf]]=1,Tasks[[#This Row],[_LeafWork]]&gt;0),NETWORKDAYS.INTL(ProjectStart,Tasks[[#This Row],[_LeafFcstStart]],WorkWeek,Holidays),0)</f>
        <v>0</v>
      </c>
      <c r="CS58" s="41" t="n">
        <f aca="false">IF(AND(Tasks[[#This Row],[_IsLeaf]]=1,Tasks[[#This Row],[_LeafWork]]&gt;0),MAX(Tasks[[#This Row],[_StartWorkday]],NETWORKDAYS.INTL(ProjectStart,Tasks[[#This Row],[_LeafFcstFinish]],WorkWeek,Holidays)),0)</f>
        <v>0</v>
      </c>
      <c r="CT58" s="41" t="n">
        <f aca="false">IF(AND(Tasks[[#This Row],[_IsLeaf]]=1,Tasks[[#This Row],[_LeafWork]]&gt;0),Tasks[[#This Row],[_LeafWork]]/(Tasks[[#This Row],[_FinishWorkday]]-Tasks[[#This Row],[_StartWorkday]]+1),0)</f>
        <v>0</v>
      </c>
      <c r="CU58" s="41" t="n">
        <f aca="false">Tasks[[#This Row],[_WorkPerWorkday]]*(Tasks[[#This Row],[_StartWorkday]]-1)</f>
        <v>-0</v>
      </c>
      <c r="CV58" s="41" t="n">
        <f aca="false">IF(Tasks[[#This Row],[_IsLeaf]]=1,MAX(N(Tasks[[#This Row],[Duration]]),0.1),0)</f>
        <v>0</v>
      </c>
      <c r="CW58" s="41" t="n">
        <f aca="false">Tasks[[#This Row],[_WeightDur]]*Tasks[[#This Row],[_LeafProgress]]</f>
        <v>0</v>
      </c>
      <c r="CX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8" s="41" t="str">
        <f aca="false">IF(Tasks[[#This Row],[Task Name]]="","",Tasks[[#This Row],[_Pred1UIDText]]&amp;IF(AND(Tasks[[#This Row],[_Pred1UIDText]]&lt;&gt;"",Tasks[[#This Row],[_Pred2UIDText]]&lt;&gt;""),",","")&amp;Tasks[[#This Row],[_Pred2UIDText]])</f>
        <v/>
      </c>
      <c r="DC58" s="41" t="str">
        <f aca="false">IF(AND(Tasks[[#This Row],[_IsLeaf]]=1,N(Tasks[[#This Row],[Duration]])=0,Tasks[[#This Row],[_LeafProgress]]&lt;1),Tasks[[#This Row],[_LeafFcstFinish]]+Tasks[[#This Row],[_Row]]/100000,"")</f>
        <v/>
      </c>
      <c r="DD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8" s="41" t="n">
        <f aca="false">IF(NOT(Tasks[[#This Row],[_IsLeaf]]=1),0,IF(Tasks[[#This Row],[Baseline Cost]]="",Tasks[[#This Row],[_LeafCost]],N(Tasks[[#This Row],[Baseline Cost]])))</f>
        <v>0</v>
      </c>
      <c r="DF58" s="41" t="n">
        <f aca="false">Tasks[[#This Row],[_LeafBudget]]*Tasks[[#This Row],[_PlannedPct]]</f>
        <v>0</v>
      </c>
      <c r="DG58" s="41" t="n">
        <f aca="false">Tasks[[#This Row],[_LeafBudget]]*Tasks[[#This Row],[_LeafProgress]]</f>
        <v>0</v>
      </c>
      <c r="DH58" s="41" t="n">
        <f aca="false">IF(NOT(Tasks[[#This Row],[_IsLeaf]]=1),0,IF(Tasks[[#This Row],[Actual Cost]]="",Tasks[[#This Row],[_LeafCost]]*Tasks[[#This Row],[_LeafProgress]],N(Tasks[[#This Row],[Actual Cost]])))</f>
        <v>0</v>
      </c>
      <c r="DI58" s="41" t="str">
        <f aca="false">IF(Tasks[[#This Row],[Task Name]]="","",LEFT(Tasks[[#This Row],[WBS]],FIND(".",Tasks[[#This Row],[WBS]]&amp;".")-1))</f>
        <v/>
      </c>
      <c r="DJ58" s="41" t="str">
        <f aca="false">IF(AND(Tasks[[#This Row],[Task Name]]&lt;&gt;"",Tasks[[#This Row],[_Level]]=1),Tasks[[#This Row],[_Row]],"")</f>
        <v/>
      </c>
      <c r="DK58" s="41" t="str">
        <f aca="false">IF(AND(Tasks[[#This Row],[_IsLeaf]]=1,N(Tasks[[#This Row],[Duration]])=0),Tasks[[#This Row],[Planned Finish]]+Tasks[[#This Row],[_Row]]/100000,"")</f>
        <v/>
      </c>
      <c r="DL58" s="41" t="str">
        <f aca="false">IF(AND(Tasks[[#This Row],[_IsLeaf]]=1,Tasks[[#This Row],[_LeafProgress]]&lt;1,OR(N(Tasks[[#This Row],[Finish Var]])&gt;0,Tasks[[#This Row],[Status]]="Late Start")),MAX(0,Tasks[[#This Row],[Finish Var]])+1-Tasks[[#This Row],[_Row]]/1000000,"")</f>
        <v/>
      </c>
      <c r="DM58" s="41" t="str">
        <f aca="false">IF(AND(Tasks[[#This Row],[_IsLeaf]]=1,N(Tasks[[#This Row],[Actual Start]])=0,Tasks[[#This Row],[_LeafFcstStart]]&gt;=StatusDate,Tasks[[#This Row],[_LeafFcstStart]]&lt;=LookaheadEnd),Tasks[[#This Row],[_LeafFcstStart]]+Tasks[[#This Row],[_Row]]/100000,"")</f>
        <v/>
      </c>
      <c r="DN58" s="41" t="str">
        <f aca="false">IF(AND(Tasks[[#This Row],[_IsLeaf]]=1,Tasks[[#This Row],[_LeafProgress]]&lt;1,Tasks[[#This Row],[_LeafFcstFinish]]&gt;=StatusDate,Tasks[[#This Row],[_LeafFcstFinish]]&lt;=LookaheadEnd),Tasks[[#This Row],[_LeafFcstFinish]]+Tasks[[#This Row],[_Row]]/100000,"")</f>
        <v/>
      </c>
      <c r="DO58" s="41" t="str">
        <f aca="false">IF(Tasks[[#This Row],[_LeafCritical]],Tasks[[#This Row],[_LeafFcstStart]]+Tasks[[#This Row],[_Row]]/100000,"")</f>
        <v/>
      </c>
      <c r="DP58" s="41" t="n">
        <f aca="false">Tasks[[#This Row],[_LeafWork]]*Tasks[[#This Row],[_LeafProgress]]</f>
        <v>0</v>
      </c>
      <c r="DQ58" s="103" t="str">
        <f aca="false">IF(AND(Tasks[[#This Row],[_IsLeaf]]=1,Tasks[[#This Row],[_LeafProgress]]&gt;=1),IF(N(Tasks[[#This Row],[Actual Finish]])&gt;0,Tasks[[#This Row],[Actual Finish]],Tasks[[#This Row],[_LeafFcstFinish]]),"")</f>
        <v/>
      </c>
      <c r="DR58" s="41" t="n">
        <f aca="false">IF(Tasks[[#This Row],[_IsLeaf]]=1,N(Tasks[[#This Row],[Story Points]]),0)</f>
        <v>0</v>
      </c>
      <c r="DS58" s="41" t="str">
        <f aca="false">IF(AND(Tasks[[#This Row],[_IsLeaf]]=1,CurrentSprint&lt;&gt;"",Tasks[[#This Row],[Sprint]]=CurrentSprint),Tasks[[#This Row],[_Row]],"")</f>
        <v/>
      </c>
    </row>
    <row r="59" customFormat="false" ht="15" hidden="false" customHeight="false" outlineLevel="0" collapsed="false">
      <c r="A59" s="28" t="str">
        <f aca="false">IF(Tasks[[#This Row],[Task Name]]="","",COUNTA(Tasks[[#Headers],[Task Name]]:Tasks[[#This Row],[Task Name]])-1)</f>
        <v/>
      </c>
      <c r="B59" s="29" t="n">
        <v>54</v>
      </c>
      <c r="C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29"/>
      <c r="E59" s="30"/>
      <c r="F59" s="29"/>
      <c r="G59" s="29"/>
      <c r="H59" s="29"/>
      <c r="I59" s="29"/>
      <c r="J59" s="29"/>
      <c r="K59" s="29"/>
      <c r="L59" s="29"/>
      <c r="M59" s="29"/>
      <c r="N59" s="77"/>
      <c r="O59" s="77"/>
      <c r="P59" s="25" t="str">
        <f aca="false">IF(Tasks[[#This Row],[Task Name]]="","",IF(N(Tasks[[#This Row],[Baseline Start]])&gt;0,Tasks[[#This Row],[Baseline Start]],Tasks[[#This Row],[_CalcStart]]))</f>
        <v/>
      </c>
      <c r="Q59" s="25" t="str">
        <f aca="false">IF(Tasks[[#This Row],[Task Name]]="","",IF(N(Tasks[[#This Row],[Baseline Finish]])&gt;0,Tasks[[#This Row],[Baseline Finish]],Tasks[[#This Row],[_CalcFinish]]))</f>
        <v/>
      </c>
      <c r="R59" s="77"/>
      <c r="S59" s="77"/>
      <c r="T59" s="25" t="str">
        <f aca="false">IF(Tasks[[#This Row],[Task Name]]="","",IF(Tasks[[#This Row],[_IsSummary]],MIN(INDEX(Tasks[_LeafFcstStart],Tasks[[#This Row],[_Row]]+1):INDEX(Tasks[_LeafFcstStart],Tasks[[#This Row],[_Row]]+Tasks[[#This Row],[_Descendants]])),Tasks[[#This Row],[_LeafFcstStart]]))</f>
        <v/>
      </c>
      <c r="U59" s="25" t="str">
        <f aca="false">IF(Tasks[[#This Row],[Task Name]]="","",IF(Tasks[[#This Row],[_IsSummary]],MAX(INDEX(Tasks[_LeafFcstFinish],Tasks[[#This Row],[_Row]]+1):INDEX(Tasks[_LeafFcstFinish],Tasks[[#This Row],[_Row]]+Tasks[[#This Row],[_Descendants]])),Tasks[[#This Row],[_LeafFcstFinish]]))</f>
        <v/>
      </c>
      <c r="V5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5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9" s="25" t="str">
        <f aca="false">IF(Tasks[[#This Row],[Task Name]]="","",IF(Tasks[[#This Row],[_IsSummary]],MIN(INDEX(Tasks[_LeafLateStart],Tasks[[#This Row],[_Row]]+1):INDEX(Tasks[_LeafLateStart],Tasks[[#This Row],[_Row]]+Tasks[[#This Row],[_Descendants]])),Tasks[[#This Row],[_LeafLateStart]]))</f>
        <v/>
      </c>
      <c r="Y59" s="25" t="str">
        <f aca="false">IF(Tasks[[#This Row],[Task Name]]="","",IF(Tasks[[#This Row],[_IsSummary]],MAX(INDEX(Tasks[_LeafLateFinish],Tasks[[#This Row],[_Row]]+1):INDEX(Tasks[_LeafLateFinish],Tasks[[#This Row],[_Row]]+Tasks[[#This Row],[_Descendants]])),Tasks[[#This Row],[_LeafLateFinish]]))</f>
        <v/>
      </c>
      <c r="Z59" s="43" t="str">
        <f aca="false">IF(Tasks[[#This Row],[Task Name]]="","",IF(Tasks[[#This Row],[_IsSummary]],MIN(INDEX(Tasks[_LeafTotalSlack],Tasks[[#This Row],[_Row]]+1):INDEX(Tasks[_LeafTotalSlack],Tasks[[#This Row],[_Row]]+Tasks[[#This Row],[_Descendants]])),Tasks[[#This Row],[_LeafTotalSlack]]))</f>
        <v/>
      </c>
      <c r="AA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9" s="28" t="str">
        <f aca="false">IF(Tasks[[#This Row],[Task Name]]="","",IF(IF(Tasks[[#This Row],[_IsSummary]],COUNTIF(INDEX(Tasks[_LeafCritical],Tasks[[#This Row],[_Row]]+1):INDEX(Tasks[_LeafCritical],Tasks[[#This Row],[_Row]]+Tasks[[#This Row],[_Descendants]]),TRUE())&gt;0,Tasks[[#This Row],[_LeafCritical]]),"Yes",""))</f>
        <v/>
      </c>
      <c r="AC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9" s="24" t="str">
        <f aca="false">IF(Tasks[[#This Row],[Task Name]]="","",TRIM(IF(Tasks[[#This Row],[_Pred1Problem]]&lt;&gt;"","Pred 1: "&amp;Tasks[[#This Row],[_Pred1Problem]]&amp;". ","")&amp;IF(Tasks[[#This Row],[_Pred2Problem]]&lt;&gt;"","Pred 2: "&amp;Tasks[[#This Row],[_Pred2Problem]]&amp;".","")))</f>
        <v/>
      </c>
      <c r="AE59" s="91"/>
      <c r="AF5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9" s="28" t="str">
        <f aca="false">IF(Tasks[[#This Row],[Task Name]]="","",IF(Tasks[[#This Row],[Progress]]&gt;=1,"Complete",IF(OR(N(Tasks[[#This Row],[Actual Start]])&gt;0,Tasks[[#This Row],[Progress]]&gt;0),IF(Tasks[[#This Row],[Finish Var]]&gt;0,"Behind","In Progress"),IF(Tasks[[#This Row],[Planned Start]]&lt;StatusDate,"Late Start","Not Started"))))</f>
        <v/>
      </c>
      <c r="AH59" s="30"/>
      <c r="AI59" s="91"/>
      <c r="AJ5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9" s="98" t="str">
        <f aca="false">IF(Tasks[[#This Row],[Task Name]]="","",IF(Tasks[[#This Row],[_IsSummary]],SUM(INDEX(Tasks[_LeafWork],Tasks[[#This Row],[_Row]]+1):INDEX(Tasks[_LeafWork],Tasks[[#This Row],[_Row]]+Tasks[[#This Row],[_Descendants]])),Tasks[[#This Row],[_LeafWork]]))</f>
        <v/>
      </c>
      <c r="AL59" s="99" t="str">
        <f aca="false">IF(Tasks[[#This Row],[Task Name]]="","",IF(Tasks[[#This Row],[_IsSummary]],SUM(INDEX(Tasks[_LeafCost],Tasks[[#This Row],[_Row]]+1):INDEX(Tasks[_LeafCost],Tasks[[#This Row],[_Row]]+Tasks[[#This Row],[_Descendants]])),Tasks[[#This Row],[_LeafCost]]))</f>
        <v/>
      </c>
      <c r="AM59" s="100"/>
      <c r="AN59" s="29"/>
      <c r="AO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9" s="85"/>
      <c r="AQ59" s="24" t="str">
        <f aca="false">IF(Tasks[[#This Row],[Task Name]]="","",Tasks[[#This Row],[_Pred1IDText]]&amp;IF(AND(Tasks[[#This Row],[_Pred1IDText]]&lt;&gt;"",Tasks[[#This Row],[_Pred2IDText]]&lt;&gt;""),",","")&amp;Tasks[[#This Row],[_Pred2IDText]])</f>
        <v/>
      </c>
      <c r="AR59" s="30"/>
      <c r="AS59" s="25" t="str">
        <f aca="false">IF(Tasks[[#This Row],[Task Name]]="","",Tasks[[#This Row],[Forecast Start]])</f>
        <v/>
      </c>
      <c r="AT59" s="25" t="str">
        <f aca="false">IF(Tasks[[#This Row],[Task Name]]="","",Tasks[[#This Row],[Forecast Finish]])</f>
        <v/>
      </c>
      <c r="AU59" s="28" t="str">
        <f aca="false">IF(Tasks[[#This Row],[Task Name]]="","",IF(Tasks[[#This Row],[_IsSummary]],NETWORKDAYS.INTL(Tasks[[#This Row],[Forecast Start]],Tasks[[#This Row],[Forecast Finish]],WorkWeek,Holidays),N(Tasks[[#This Row],[Duration]])))</f>
        <v/>
      </c>
      <c r="AV59" s="98" t="str">
        <f aca="false">IF(Tasks[[#This Row],[Task Name]]="","",Tasks[[#This Row],[Work]])</f>
        <v/>
      </c>
      <c r="AW59" s="99" t="str">
        <f aca="false">IF(Tasks[[#This Row],[Task Name]]="","",Tasks[[#This Row],[Cost]])</f>
        <v/>
      </c>
      <c r="AX59" s="77"/>
      <c r="AY59" s="77"/>
      <c r="AZ59" s="29"/>
      <c r="BA59" s="101"/>
      <c r="BB59" s="100"/>
      <c r="BC59" s="28" t="str">
        <f aca="false">IF(OR(Tasks[[#This Row],[Task Name]]="",Tasks[[#This Row],[Baseline Duration]]=""),"",Tasks[[#This Row],[BL Source Duration]]-N(Tasks[[#This Row],[Baseline Duration]]))</f>
        <v/>
      </c>
      <c r="BD59" s="98" t="str">
        <f aca="false">IF(OR(Tasks[[#This Row],[Task Name]]="",Tasks[[#This Row],[Baseline Work]]=""),"",Tasks[[#This Row],[Work]]-N(Tasks[[#This Row],[Baseline Work]]))</f>
        <v/>
      </c>
      <c r="BE59" s="99" t="str">
        <f aca="false">IF(OR(Tasks[[#This Row],[Task Name]]="",Tasks[[#This Row],[Baseline Cost]]=""),"",Tasks[[#This Row],[Cost]]-N(Tasks[[#This Row],[Baseline Cost]]))</f>
        <v/>
      </c>
      <c r="BF59" s="99" t="str">
        <f aca="false">IF(Tasks[[#This Row],[Task Name]]="","",IF(Tasks[[#This Row],[_IsSummary]],SUM(INDEX(Tasks[_LeafBudget],Tasks[[#This Row],[_Row]]+1):INDEX(Tasks[_LeafBudget],Tasks[[#This Row],[_Row]]+Tasks[[#This Row],[_Descendants]])),Tasks[[#This Row],[_LeafBudget]]))</f>
        <v/>
      </c>
      <c r="BG59" s="99" t="str">
        <f aca="false">IF(Tasks[[#This Row],[Task Name]]="","",IF(Tasks[[#This Row],[_IsSummary]],SUM(INDEX(Tasks[_LeafPV],Tasks[[#This Row],[_Row]]+1):INDEX(Tasks[_LeafPV],Tasks[[#This Row],[_Row]]+Tasks[[#This Row],[_Descendants]])),Tasks[[#This Row],[_LeafPV]]))</f>
        <v/>
      </c>
      <c r="BH59" s="99" t="str">
        <f aca="false">IF(Tasks[[#This Row],[Task Name]]="","",IF(Tasks[[#This Row],[_IsSummary]],SUM(INDEX(Tasks[_LeafEV],Tasks[[#This Row],[_Row]]+1):INDEX(Tasks[_LeafEV],Tasks[[#This Row],[_Row]]+Tasks[[#This Row],[_Descendants]])),Tasks[[#This Row],[_LeafEV]]))</f>
        <v/>
      </c>
      <c r="BI59" s="99" t="str">
        <f aca="false">IF(Tasks[[#This Row],[Task Name]]="","",IF(Tasks[[#This Row],[_IsSummary]],SUM(INDEX(Tasks[_LeafAC],Tasks[[#This Row],[_Row]]+1):INDEX(Tasks[_LeafAC],Tasks[[#This Row],[_Row]]+Tasks[[#This Row],[_Descendants]])),Tasks[[#This Row],[_LeafAC]]))</f>
        <v/>
      </c>
      <c r="BJ59" s="41" t="str">
        <f aca="false">IF(Tasks[[#This Row],[Task Name]]="","",MAX(1,N(Tasks[[#This Row],[Level]])))</f>
        <v/>
      </c>
      <c r="BK59" s="41" t="n">
        <f aca="false">ROW()-ROW(Tasks[[#Headers],[ID]])</f>
        <v>54</v>
      </c>
      <c r="BL59" s="41" t="n">
        <f aca="false">IF(OR(Tasks[[#This Row],[Task Name]]="",Tasks[[#This Row],[_Level]]&lt;=1),0,IFERROR(LOOKUP(2,1/(Tasks[[#Headers],[_Level]]:Tasks[[#This Row],[_Level]]=Tasks[[#This Row],[_Level]]-1),ROW(Tasks[[#Headers],[_Level]]:Tasks[[#This Row],[_Level]])),0))</f>
        <v>0</v>
      </c>
      <c r="BM59" s="41" t="n">
        <f aca="false">IFERROR(N(INDEX(Tasks[_Level],Tasks[[#This Row],[_Row]]+1)),0)</f>
        <v>0</v>
      </c>
      <c r="BN59" s="102" t="b">
        <f aca="false">AND(Tasks[[#This Row],[Task Name]]&lt;&gt;"",Tasks[[#This Row],[_NextLevel]]&gt;Tasks[[#This Row],[_Level]])</f>
        <v>0</v>
      </c>
      <c r="BO59" s="41" t="n">
        <f aca="false">IF(Tasks[[#This Row],[_IsSummary]],COUNTIF(Tasks[WBS],Tasks[[#This Row],[WBS]]&amp;".*"),0)</f>
        <v>0</v>
      </c>
      <c r="BP59" s="41" t="n">
        <f aca="false">IF(AND(Tasks[[#This Row],[Task Name]]&lt;&gt;"",NOT(Tasks[[#This Row],[_IsSummary]])),1,0)</f>
        <v>0</v>
      </c>
      <c r="BQ59" s="41" t="n">
        <f aca="false">IF(N(Tasks[[#This Row],[Pred1 UID]])=0,0,IFERROR(MATCH(Tasks[[#This Row],[Pred1 UID]],Tasks[UID],0),-1))</f>
        <v>0</v>
      </c>
      <c r="BR59" s="41" t="n">
        <f aca="false">IF(N(Tasks[[#This Row],[Pred2 UID]])=0,0,IFERROR(MATCH(Tasks[[#This Row],[Pred2 UID]],Tasks[UID],0),-1))</f>
        <v>0</v>
      </c>
      <c r="BS5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9" s="103" t="str">
        <f aca="false">IF(NOT(Tasks[[#This Row],[_IsLeaf]]=1),"",IF(N(Tasks[[#This Row],[Duration]])&lt;=0,Tasks[[#This Row],[_LeafCalcStart]],WORKDAY.INTL(Tasks[[#This Row],[_LeafCalcStart]],Tasks[[#This Row],[Duration]]-1,WorkWeek,Holidays)))</f>
        <v/>
      </c>
      <c r="BU5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9" s="41" t="n">
        <f aca="false">IF(NOT(Tasks[[#This Row],[_IsLeaf]]=1),0,IF(N(Tasks[[#This Row],[Actual Finish]])&gt;0,1,MIN(1,N(Tasks[[#This Row],[% Complete]]))))</f>
        <v>0</v>
      </c>
      <c r="BX59" s="41" t="n">
        <f aca="false">IF(OR(NOT(Tasks[[#This Row],[_IsLeaf]]=1),Tasks[[#This Row],[Resource]]=""),0,N(Tasks[[#This Row],[Duration]])*HoursPerDay*IF(Tasks[[#This Row],[Units]]="",DefaultUnits,Tasks[[#This Row],[Units]]))</f>
        <v>0</v>
      </c>
      <c r="BY59" s="41" t="n">
        <f aca="false">IF(Tasks[[#This Row],[_LeafWork]]=0,0,Tasks[[#This Row],[_LeafWork]]*IFERROR(INDEX(res_Rate,MATCH(Tasks[[#This Row],[Resource]],res_Name,0)),0))</f>
        <v>0</v>
      </c>
      <c r="BZ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9" s="41" t="n">
        <f aca="false">IF(NOT(Tasks[[#This Row],[_IsLeaf]]=1),0,MAX(_xlfn.MAXIFS(Tasks[_Row],Tasks[Pred1 UID],Tasks[[#This Row],[UID]]),_xlfn.MAXIFS(Tasks[_Row],Tasks[Pred2 UID],Tasks[[#This Row],[UID]])))</f>
        <v>0</v>
      </c>
      <c r="CE5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9" s="103" t="str">
        <f aca="false">IF(NOT(Tasks[[#This Row],[_IsLeaf]]=1),"",MIN(ProjectFinish,IF(N(Tasks[[#This Row],[Deadline]])&gt;0,Tasks[[#This Row],[Deadline]],2958465),Tasks[[#This Row],[_SuccessorFinishLimit]]))</f>
        <v/>
      </c>
      <c r="CG59" s="103" t="str">
        <f aca="false">IF(NOT(Tasks[[#This Row],[_IsLeaf]]=1),"",IF(N(Tasks[[#This Row],[Duration]])&lt;=0,Tasks[[#This Row],[_LeafLateFinish]],WORKDAY.INTL(Tasks[[#This Row],[_LeafLateFinish]],-(Tasks[[#This Row],[Duration]]-1),WorkWeek,Holidays)))</f>
        <v/>
      </c>
      <c r="CH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9" s="102" t="b">
        <f aca="false">AND(Tasks[[#This Row],[_IsLeaf]]=1,Tasks[[#This Row],[_LeafProgress]]&lt;1,N(Tasks[[#This Row],[_LeafTotalSlack]])&lt;=CriticalSlackDays)</f>
        <v>0</v>
      </c>
      <c r="CJ59" s="103" t="str">
        <f aca="false">IF(Tasks[[#This Row],[Task Name]]="","",IF(Tasks[[#This Row],[_IsSummary]],MIN(INDEX(Tasks[_LeafCalcStart],Tasks[[#This Row],[_Row]]+1):INDEX(Tasks[_LeafCalcStart],Tasks[[#This Row],[_Row]]+Tasks[[#This Row],[_Descendants]])),Tasks[[#This Row],[_LeafCalcStart]]))</f>
        <v/>
      </c>
      <c r="CK59" s="103" t="str">
        <f aca="false">IF(Tasks[[#This Row],[Task Name]]="","",IF(Tasks[[#This Row],[_IsSummary]],MAX(INDEX(Tasks[_LeafCalcFinish],Tasks[[#This Row],[_Row]]+1):INDEX(Tasks[_LeafCalcFinish],Tasks[[#This Row],[_Row]]+Tasks[[#This Row],[_Descendants]])),Tasks[[#This Row],[_LeafCalcFinish]]))</f>
        <v/>
      </c>
      <c r="CL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9" s="41" t="n">
        <f aca="false">IF(AND(Tasks[[#This Row],[_IsLeaf]]=1,Tasks[[#This Row],[_LeafWork]]&gt;0),NETWORKDAYS.INTL(ProjectStart,Tasks[[#This Row],[_LeafFcstStart]],WorkWeek,Holidays),0)</f>
        <v>0</v>
      </c>
      <c r="CS59" s="41" t="n">
        <f aca="false">IF(AND(Tasks[[#This Row],[_IsLeaf]]=1,Tasks[[#This Row],[_LeafWork]]&gt;0),MAX(Tasks[[#This Row],[_StartWorkday]],NETWORKDAYS.INTL(ProjectStart,Tasks[[#This Row],[_LeafFcstFinish]],WorkWeek,Holidays)),0)</f>
        <v>0</v>
      </c>
      <c r="CT59" s="41" t="n">
        <f aca="false">IF(AND(Tasks[[#This Row],[_IsLeaf]]=1,Tasks[[#This Row],[_LeafWork]]&gt;0),Tasks[[#This Row],[_LeafWork]]/(Tasks[[#This Row],[_FinishWorkday]]-Tasks[[#This Row],[_StartWorkday]]+1),0)</f>
        <v>0</v>
      </c>
      <c r="CU59" s="41" t="n">
        <f aca="false">Tasks[[#This Row],[_WorkPerWorkday]]*(Tasks[[#This Row],[_StartWorkday]]-1)</f>
        <v>-0</v>
      </c>
      <c r="CV59" s="41" t="n">
        <f aca="false">IF(Tasks[[#This Row],[_IsLeaf]]=1,MAX(N(Tasks[[#This Row],[Duration]]),0.1),0)</f>
        <v>0</v>
      </c>
      <c r="CW59" s="41" t="n">
        <f aca="false">Tasks[[#This Row],[_WeightDur]]*Tasks[[#This Row],[_LeafProgress]]</f>
        <v>0</v>
      </c>
      <c r="CX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9" s="41" t="str">
        <f aca="false">IF(Tasks[[#This Row],[Task Name]]="","",Tasks[[#This Row],[_Pred1UIDText]]&amp;IF(AND(Tasks[[#This Row],[_Pred1UIDText]]&lt;&gt;"",Tasks[[#This Row],[_Pred2UIDText]]&lt;&gt;""),",","")&amp;Tasks[[#This Row],[_Pred2UIDText]])</f>
        <v/>
      </c>
      <c r="DC59" s="41" t="str">
        <f aca="false">IF(AND(Tasks[[#This Row],[_IsLeaf]]=1,N(Tasks[[#This Row],[Duration]])=0,Tasks[[#This Row],[_LeafProgress]]&lt;1),Tasks[[#This Row],[_LeafFcstFinish]]+Tasks[[#This Row],[_Row]]/100000,"")</f>
        <v/>
      </c>
      <c r="DD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9" s="41" t="n">
        <f aca="false">IF(NOT(Tasks[[#This Row],[_IsLeaf]]=1),0,IF(Tasks[[#This Row],[Baseline Cost]]="",Tasks[[#This Row],[_LeafCost]],N(Tasks[[#This Row],[Baseline Cost]])))</f>
        <v>0</v>
      </c>
      <c r="DF59" s="41" t="n">
        <f aca="false">Tasks[[#This Row],[_LeafBudget]]*Tasks[[#This Row],[_PlannedPct]]</f>
        <v>0</v>
      </c>
      <c r="DG59" s="41" t="n">
        <f aca="false">Tasks[[#This Row],[_LeafBudget]]*Tasks[[#This Row],[_LeafProgress]]</f>
        <v>0</v>
      </c>
      <c r="DH59" s="41" t="n">
        <f aca="false">IF(NOT(Tasks[[#This Row],[_IsLeaf]]=1),0,IF(Tasks[[#This Row],[Actual Cost]]="",Tasks[[#This Row],[_LeafCost]]*Tasks[[#This Row],[_LeafProgress]],N(Tasks[[#This Row],[Actual Cost]])))</f>
        <v>0</v>
      </c>
      <c r="DI59" s="41" t="str">
        <f aca="false">IF(Tasks[[#This Row],[Task Name]]="","",LEFT(Tasks[[#This Row],[WBS]],FIND(".",Tasks[[#This Row],[WBS]]&amp;".")-1))</f>
        <v/>
      </c>
      <c r="DJ59" s="41" t="str">
        <f aca="false">IF(AND(Tasks[[#This Row],[Task Name]]&lt;&gt;"",Tasks[[#This Row],[_Level]]=1),Tasks[[#This Row],[_Row]],"")</f>
        <v/>
      </c>
      <c r="DK59" s="41" t="str">
        <f aca="false">IF(AND(Tasks[[#This Row],[_IsLeaf]]=1,N(Tasks[[#This Row],[Duration]])=0),Tasks[[#This Row],[Planned Finish]]+Tasks[[#This Row],[_Row]]/100000,"")</f>
        <v/>
      </c>
      <c r="DL59" s="41" t="str">
        <f aca="false">IF(AND(Tasks[[#This Row],[_IsLeaf]]=1,Tasks[[#This Row],[_LeafProgress]]&lt;1,OR(N(Tasks[[#This Row],[Finish Var]])&gt;0,Tasks[[#This Row],[Status]]="Late Start")),MAX(0,Tasks[[#This Row],[Finish Var]])+1-Tasks[[#This Row],[_Row]]/1000000,"")</f>
        <v/>
      </c>
      <c r="DM59" s="41" t="str">
        <f aca="false">IF(AND(Tasks[[#This Row],[_IsLeaf]]=1,N(Tasks[[#This Row],[Actual Start]])=0,Tasks[[#This Row],[_LeafFcstStart]]&gt;=StatusDate,Tasks[[#This Row],[_LeafFcstStart]]&lt;=LookaheadEnd),Tasks[[#This Row],[_LeafFcstStart]]+Tasks[[#This Row],[_Row]]/100000,"")</f>
        <v/>
      </c>
      <c r="DN59" s="41" t="str">
        <f aca="false">IF(AND(Tasks[[#This Row],[_IsLeaf]]=1,Tasks[[#This Row],[_LeafProgress]]&lt;1,Tasks[[#This Row],[_LeafFcstFinish]]&gt;=StatusDate,Tasks[[#This Row],[_LeafFcstFinish]]&lt;=LookaheadEnd),Tasks[[#This Row],[_LeafFcstFinish]]+Tasks[[#This Row],[_Row]]/100000,"")</f>
        <v/>
      </c>
      <c r="DO59" s="41" t="str">
        <f aca="false">IF(Tasks[[#This Row],[_LeafCritical]],Tasks[[#This Row],[_LeafFcstStart]]+Tasks[[#This Row],[_Row]]/100000,"")</f>
        <v/>
      </c>
      <c r="DP59" s="41" t="n">
        <f aca="false">Tasks[[#This Row],[_LeafWork]]*Tasks[[#This Row],[_LeafProgress]]</f>
        <v>0</v>
      </c>
      <c r="DQ59" s="103" t="str">
        <f aca="false">IF(AND(Tasks[[#This Row],[_IsLeaf]]=1,Tasks[[#This Row],[_LeafProgress]]&gt;=1),IF(N(Tasks[[#This Row],[Actual Finish]])&gt;0,Tasks[[#This Row],[Actual Finish]],Tasks[[#This Row],[_LeafFcstFinish]]),"")</f>
        <v/>
      </c>
      <c r="DR59" s="41" t="n">
        <f aca="false">IF(Tasks[[#This Row],[_IsLeaf]]=1,N(Tasks[[#This Row],[Story Points]]),0)</f>
        <v>0</v>
      </c>
      <c r="DS59" s="41" t="str">
        <f aca="false">IF(AND(Tasks[[#This Row],[_IsLeaf]]=1,CurrentSprint&lt;&gt;"",Tasks[[#This Row],[Sprint]]=CurrentSprint),Tasks[[#This Row],[_Row]],"")</f>
        <v/>
      </c>
    </row>
    <row r="60" customFormat="false" ht="15" hidden="false" customHeight="false" outlineLevel="0" collapsed="false">
      <c r="A60" s="28" t="str">
        <f aca="false">IF(Tasks[[#This Row],[Task Name]]="","",COUNTA(Tasks[[#Headers],[Task Name]]:Tasks[[#This Row],[Task Name]])-1)</f>
        <v/>
      </c>
      <c r="B60" s="29" t="n">
        <v>55</v>
      </c>
      <c r="C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29"/>
      <c r="E60" s="30"/>
      <c r="F60" s="29"/>
      <c r="G60" s="29"/>
      <c r="H60" s="29"/>
      <c r="I60" s="29"/>
      <c r="J60" s="29"/>
      <c r="K60" s="29"/>
      <c r="L60" s="29"/>
      <c r="M60" s="29"/>
      <c r="N60" s="77"/>
      <c r="O60" s="77"/>
      <c r="P60" s="25" t="str">
        <f aca="false">IF(Tasks[[#This Row],[Task Name]]="","",IF(N(Tasks[[#This Row],[Baseline Start]])&gt;0,Tasks[[#This Row],[Baseline Start]],Tasks[[#This Row],[_CalcStart]]))</f>
        <v/>
      </c>
      <c r="Q60" s="25" t="str">
        <f aca="false">IF(Tasks[[#This Row],[Task Name]]="","",IF(N(Tasks[[#This Row],[Baseline Finish]])&gt;0,Tasks[[#This Row],[Baseline Finish]],Tasks[[#This Row],[_CalcFinish]]))</f>
        <v/>
      </c>
      <c r="R60" s="77"/>
      <c r="S60" s="77"/>
      <c r="T60" s="25" t="str">
        <f aca="false">IF(Tasks[[#This Row],[Task Name]]="","",IF(Tasks[[#This Row],[_IsSummary]],MIN(INDEX(Tasks[_LeafFcstStart],Tasks[[#This Row],[_Row]]+1):INDEX(Tasks[_LeafFcstStart],Tasks[[#This Row],[_Row]]+Tasks[[#This Row],[_Descendants]])),Tasks[[#This Row],[_LeafFcstStart]]))</f>
        <v/>
      </c>
      <c r="U60" s="25" t="str">
        <f aca="false">IF(Tasks[[#This Row],[Task Name]]="","",IF(Tasks[[#This Row],[_IsSummary]],MAX(INDEX(Tasks[_LeafFcstFinish],Tasks[[#This Row],[_Row]]+1):INDEX(Tasks[_LeafFcstFinish],Tasks[[#This Row],[_Row]]+Tasks[[#This Row],[_Descendants]])),Tasks[[#This Row],[_LeafFcstFinish]]))</f>
        <v/>
      </c>
      <c r="V6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0" s="25" t="str">
        <f aca="false">IF(Tasks[[#This Row],[Task Name]]="","",IF(Tasks[[#This Row],[_IsSummary]],MIN(INDEX(Tasks[_LeafLateStart],Tasks[[#This Row],[_Row]]+1):INDEX(Tasks[_LeafLateStart],Tasks[[#This Row],[_Row]]+Tasks[[#This Row],[_Descendants]])),Tasks[[#This Row],[_LeafLateStart]]))</f>
        <v/>
      </c>
      <c r="Y60" s="25" t="str">
        <f aca="false">IF(Tasks[[#This Row],[Task Name]]="","",IF(Tasks[[#This Row],[_IsSummary]],MAX(INDEX(Tasks[_LeafLateFinish],Tasks[[#This Row],[_Row]]+1):INDEX(Tasks[_LeafLateFinish],Tasks[[#This Row],[_Row]]+Tasks[[#This Row],[_Descendants]])),Tasks[[#This Row],[_LeafLateFinish]]))</f>
        <v/>
      </c>
      <c r="Z60" s="43" t="str">
        <f aca="false">IF(Tasks[[#This Row],[Task Name]]="","",IF(Tasks[[#This Row],[_IsSummary]],MIN(INDEX(Tasks[_LeafTotalSlack],Tasks[[#This Row],[_Row]]+1):INDEX(Tasks[_LeafTotalSlack],Tasks[[#This Row],[_Row]]+Tasks[[#This Row],[_Descendants]])),Tasks[[#This Row],[_LeafTotalSlack]]))</f>
        <v/>
      </c>
      <c r="AA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0" s="28" t="str">
        <f aca="false">IF(Tasks[[#This Row],[Task Name]]="","",IF(IF(Tasks[[#This Row],[_IsSummary]],COUNTIF(INDEX(Tasks[_LeafCritical],Tasks[[#This Row],[_Row]]+1):INDEX(Tasks[_LeafCritical],Tasks[[#This Row],[_Row]]+Tasks[[#This Row],[_Descendants]]),TRUE())&gt;0,Tasks[[#This Row],[_LeafCritical]]),"Yes",""))</f>
        <v/>
      </c>
      <c r="AC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0" s="24" t="str">
        <f aca="false">IF(Tasks[[#This Row],[Task Name]]="","",TRIM(IF(Tasks[[#This Row],[_Pred1Problem]]&lt;&gt;"","Pred 1: "&amp;Tasks[[#This Row],[_Pred1Problem]]&amp;". ","")&amp;IF(Tasks[[#This Row],[_Pred2Problem]]&lt;&gt;"","Pred 2: "&amp;Tasks[[#This Row],[_Pred2Problem]]&amp;".","")))</f>
        <v/>
      </c>
      <c r="AE60" s="91"/>
      <c r="AF6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0" s="28" t="str">
        <f aca="false">IF(Tasks[[#This Row],[Task Name]]="","",IF(Tasks[[#This Row],[Progress]]&gt;=1,"Complete",IF(OR(N(Tasks[[#This Row],[Actual Start]])&gt;0,Tasks[[#This Row],[Progress]]&gt;0),IF(Tasks[[#This Row],[Finish Var]]&gt;0,"Behind","In Progress"),IF(Tasks[[#This Row],[Planned Start]]&lt;StatusDate,"Late Start","Not Started"))))</f>
        <v/>
      </c>
      <c r="AH60" s="30"/>
      <c r="AI60" s="91"/>
      <c r="AJ6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0" s="98" t="str">
        <f aca="false">IF(Tasks[[#This Row],[Task Name]]="","",IF(Tasks[[#This Row],[_IsSummary]],SUM(INDEX(Tasks[_LeafWork],Tasks[[#This Row],[_Row]]+1):INDEX(Tasks[_LeafWork],Tasks[[#This Row],[_Row]]+Tasks[[#This Row],[_Descendants]])),Tasks[[#This Row],[_LeafWork]]))</f>
        <v/>
      </c>
      <c r="AL60" s="99" t="str">
        <f aca="false">IF(Tasks[[#This Row],[Task Name]]="","",IF(Tasks[[#This Row],[_IsSummary]],SUM(INDEX(Tasks[_LeafCost],Tasks[[#This Row],[_Row]]+1):INDEX(Tasks[_LeafCost],Tasks[[#This Row],[_Row]]+Tasks[[#This Row],[_Descendants]])),Tasks[[#This Row],[_LeafCost]]))</f>
        <v/>
      </c>
      <c r="AM60" s="100"/>
      <c r="AN60" s="29"/>
      <c r="AO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0" s="85"/>
      <c r="AQ60" s="24" t="str">
        <f aca="false">IF(Tasks[[#This Row],[Task Name]]="","",Tasks[[#This Row],[_Pred1IDText]]&amp;IF(AND(Tasks[[#This Row],[_Pred1IDText]]&lt;&gt;"",Tasks[[#This Row],[_Pred2IDText]]&lt;&gt;""),",","")&amp;Tasks[[#This Row],[_Pred2IDText]])</f>
        <v/>
      </c>
      <c r="AR60" s="30"/>
      <c r="AS60" s="25" t="str">
        <f aca="false">IF(Tasks[[#This Row],[Task Name]]="","",Tasks[[#This Row],[Forecast Start]])</f>
        <v/>
      </c>
      <c r="AT60" s="25" t="str">
        <f aca="false">IF(Tasks[[#This Row],[Task Name]]="","",Tasks[[#This Row],[Forecast Finish]])</f>
        <v/>
      </c>
      <c r="AU60" s="28" t="str">
        <f aca="false">IF(Tasks[[#This Row],[Task Name]]="","",IF(Tasks[[#This Row],[_IsSummary]],NETWORKDAYS.INTL(Tasks[[#This Row],[Forecast Start]],Tasks[[#This Row],[Forecast Finish]],WorkWeek,Holidays),N(Tasks[[#This Row],[Duration]])))</f>
        <v/>
      </c>
      <c r="AV60" s="98" t="str">
        <f aca="false">IF(Tasks[[#This Row],[Task Name]]="","",Tasks[[#This Row],[Work]])</f>
        <v/>
      </c>
      <c r="AW60" s="99" t="str">
        <f aca="false">IF(Tasks[[#This Row],[Task Name]]="","",Tasks[[#This Row],[Cost]])</f>
        <v/>
      </c>
      <c r="AX60" s="77"/>
      <c r="AY60" s="77"/>
      <c r="AZ60" s="29"/>
      <c r="BA60" s="101"/>
      <c r="BB60" s="100"/>
      <c r="BC60" s="28" t="str">
        <f aca="false">IF(OR(Tasks[[#This Row],[Task Name]]="",Tasks[[#This Row],[Baseline Duration]]=""),"",Tasks[[#This Row],[BL Source Duration]]-N(Tasks[[#This Row],[Baseline Duration]]))</f>
        <v/>
      </c>
      <c r="BD60" s="98" t="str">
        <f aca="false">IF(OR(Tasks[[#This Row],[Task Name]]="",Tasks[[#This Row],[Baseline Work]]=""),"",Tasks[[#This Row],[Work]]-N(Tasks[[#This Row],[Baseline Work]]))</f>
        <v/>
      </c>
      <c r="BE60" s="99" t="str">
        <f aca="false">IF(OR(Tasks[[#This Row],[Task Name]]="",Tasks[[#This Row],[Baseline Cost]]=""),"",Tasks[[#This Row],[Cost]]-N(Tasks[[#This Row],[Baseline Cost]]))</f>
        <v/>
      </c>
      <c r="BF60" s="99" t="str">
        <f aca="false">IF(Tasks[[#This Row],[Task Name]]="","",IF(Tasks[[#This Row],[_IsSummary]],SUM(INDEX(Tasks[_LeafBudget],Tasks[[#This Row],[_Row]]+1):INDEX(Tasks[_LeafBudget],Tasks[[#This Row],[_Row]]+Tasks[[#This Row],[_Descendants]])),Tasks[[#This Row],[_LeafBudget]]))</f>
        <v/>
      </c>
      <c r="BG60" s="99" t="str">
        <f aca="false">IF(Tasks[[#This Row],[Task Name]]="","",IF(Tasks[[#This Row],[_IsSummary]],SUM(INDEX(Tasks[_LeafPV],Tasks[[#This Row],[_Row]]+1):INDEX(Tasks[_LeafPV],Tasks[[#This Row],[_Row]]+Tasks[[#This Row],[_Descendants]])),Tasks[[#This Row],[_LeafPV]]))</f>
        <v/>
      </c>
      <c r="BH60" s="99" t="str">
        <f aca="false">IF(Tasks[[#This Row],[Task Name]]="","",IF(Tasks[[#This Row],[_IsSummary]],SUM(INDEX(Tasks[_LeafEV],Tasks[[#This Row],[_Row]]+1):INDEX(Tasks[_LeafEV],Tasks[[#This Row],[_Row]]+Tasks[[#This Row],[_Descendants]])),Tasks[[#This Row],[_LeafEV]]))</f>
        <v/>
      </c>
      <c r="BI60" s="99" t="str">
        <f aca="false">IF(Tasks[[#This Row],[Task Name]]="","",IF(Tasks[[#This Row],[_IsSummary]],SUM(INDEX(Tasks[_LeafAC],Tasks[[#This Row],[_Row]]+1):INDEX(Tasks[_LeafAC],Tasks[[#This Row],[_Row]]+Tasks[[#This Row],[_Descendants]])),Tasks[[#This Row],[_LeafAC]]))</f>
        <v/>
      </c>
      <c r="BJ60" s="41" t="str">
        <f aca="false">IF(Tasks[[#This Row],[Task Name]]="","",MAX(1,N(Tasks[[#This Row],[Level]])))</f>
        <v/>
      </c>
      <c r="BK60" s="41" t="n">
        <f aca="false">ROW()-ROW(Tasks[[#Headers],[ID]])</f>
        <v>55</v>
      </c>
      <c r="BL60" s="41" t="n">
        <f aca="false">IF(OR(Tasks[[#This Row],[Task Name]]="",Tasks[[#This Row],[_Level]]&lt;=1),0,IFERROR(LOOKUP(2,1/(Tasks[[#Headers],[_Level]]:Tasks[[#This Row],[_Level]]=Tasks[[#This Row],[_Level]]-1),ROW(Tasks[[#Headers],[_Level]]:Tasks[[#This Row],[_Level]])),0))</f>
        <v>0</v>
      </c>
      <c r="BM60" s="41" t="n">
        <f aca="false">IFERROR(N(INDEX(Tasks[_Level],Tasks[[#This Row],[_Row]]+1)),0)</f>
        <v>0</v>
      </c>
      <c r="BN60" s="102" t="b">
        <f aca="false">AND(Tasks[[#This Row],[Task Name]]&lt;&gt;"",Tasks[[#This Row],[_NextLevel]]&gt;Tasks[[#This Row],[_Level]])</f>
        <v>0</v>
      </c>
      <c r="BO60" s="41" t="n">
        <f aca="false">IF(Tasks[[#This Row],[_IsSummary]],COUNTIF(Tasks[WBS],Tasks[[#This Row],[WBS]]&amp;".*"),0)</f>
        <v>0</v>
      </c>
      <c r="BP60" s="41" t="n">
        <f aca="false">IF(AND(Tasks[[#This Row],[Task Name]]&lt;&gt;"",NOT(Tasks[[#This Row],[_IsSummary]])),1,0)</f>
        <v>0</v>
      </c>
      <c r="BQ60" s="41" t="n">
        <f aca="false">IF(N(Tasks[[#This Row],[Pred1 UID]])=0,0,IFERROR(MATCH(Tasks[[#This Row],[Pred1 UID]],Tasks[UID],0),-1))</f>
        <v>0</v>
      </c>
      <c r="BR60" s="41" t="n">
        <f aca="false">IF(N(Tasks[[#This Row],[Pred2 UID]])=0,0,IFERROR(MATCH(Tasks[[#This Row],[Pred2 UID]],Tasks[UID],0),-1))</f>
        <v>0</v>
      </c>
      <c r="BS6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0" s="103" t="str">
        <f aca="false">IF(NOT(Tasks[[#This Row],[_IsLeaf]]=1),"",IF(N(Tasks[[#This Row],[Duration]])&lt;=0,Tasks[[#This Row],[_LeafCalcStart]],WORKDAY.INTL(Tasks[[#This Row],[_LeafCalcStart]],Tasks[[#This Row],[Duration]]-1,WorkWeek,Holidays)))</f>
        <v/>
      </c>
      <c r="BU6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0" s="41" t="n">
        <f aca="false">IF(NOT(Tasks[[#This Row],[_IsLeaf]]=1),0,IF(N(Tasks[[#This Row],[Actual Finish]])&gt;0,1,MIN(1,N(Tasks[[#This Row],[% Complete]]))))</f>
        <v>0</v>
      </c>
      <c r="BX60" s="41" t="n">
        <f aca="false">IF(OR(NOT(Tasks[[#This Row],[_IsLeaf]]=1),Tasks[[#This Row],[Resource]]=""),0,N(Tasks[[#This Row],[Duration]])*HoursPerDay*IF(Tasks[[#This Row],[Units]]="",DefaultUnits,Tasks[[#This Row],[Units]]))</f>
        <v>0</v>
      </c>
      <c r="BY60" s="41" t="n">
        <f aca="false">IF(Tasks[[#This Row],[_LeafWork]]=0,0,Tasks[[#This Row],[_LeafWork]]*IFERROR(INDEX(res_Rate,MATCH(Tasks[[#This Row],[Resource]],res_Name,0)),0))</f>
        <v>0</v>
      </c>
      <c r="BZ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0" s="41" t="n">
        <f aca="false">IF(NOT(Tasks[[#This Row],[_IsLeaf]]=1),0,MAX(_xlfn.MAXIFS(Tasks[_Row],Tasks[Pred1 UID],Tasks[[#This Row],[UID]]),_xlfn.MAXIFS(Tasks[_Row],Tasks[Pred2 UID],Tasks[[#This Row],[UID]])))</f>
        <v>0</v>
      </c>
      <c r="CE6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0" s="103" t="str">
        <f aca="false">IF(NOT(Tasks[[#This Row],[_IsLeaf]]=1),"",MIN(ProjectFinish,IF(N(Tasks[[#This Row],[Deadline]])&gt;0,Tasks[[#This Row],[Deadline]],2958465),Tasks[[#This Row],[_SuccessorFinishLimit]]))</f>
        <v/>
      </c>
      <c r="CG60" s="103" t="str">
        <f aca="false">IF(NOT(Tasks[[#This Row],[_IsLeaf]]=1),"",IF(N(Tasks[[#This Row],[Duration]])&lt;=0,Tasks[[#This Row],[_LeafLateFinish]],WORKDAY.INTL(Tasks[[#This Row],[_LeafLateFinish]],-(Tasks[[#This Row],[Duration]]-1),WorkWeek,Holidays)))</f>
        <v/>
      </c>
      <c r="CH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0" s="102" t="b">
        <f aca="false">AND(Tasks[[#This Row],[_IsLeaf]]=1,Tasks[[#This Row],[_LeafProgress]]&lt;1,N(Tasks[[#This Row],[_LeafTotalSlack]])&lt;=CriticalSlackDays)</f>
        <v>0</v>
      </c>
      <c r="CJ60" s="103" t="str">
        <f aca="false">IF(Tasks[[#This Row],[Task Name]]="","",IF(Tasks[[#This Row],[_IsSummary]],MIN(INDEX(Tasks[_LeafCalcStart],Tasks[[#This Row],[_Row]]+1):INDEX(Tasks[_LeafCalcStart],Tasks[[#This Row],[_Row]]+Tasks[[#This Row],[_Descendants]])),Tasks[[#This Row],[_LeafCalcStart]]))</f>
        <v/>
      </c>
      <c r="CK60" s="103" t="str">
        <f aca="false">IF(Tasks[[#This Row],[Task Name]]="","",IF(Tasks[[#This Row],[_IsSummary]],MAX(INDEX(Tasks[_LeafCalcFinish],Tasks[[#This Row],[_Row]]+1):INDEX(Tasks[_LeafCalcFinish],Tasks[[#This Row],[_Row]]+Tasks[[#This Row],[_Descendants]])),Tasks[[#This Row],[_LeafCalcFinish]]))</f>
        <v/>
      </c>
      <c r="CL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0" s="41" t="n">
        <f aca="false">IF(AND(Tasks[[#This Row],[_IsLeaf]]=1,Tasks[[#This Row],[_LeafWork]]&gt;0),NETWORKDAYS.INTL(ProjectStart,Tasks[[#This Row],[_LeafFcstStart]],WorkWeek,Holidays),0)</f>
        <v>0</v>
      </c>
      <c r="CS60" s="41" t="n">
        <f aca="false">IF(AND(Tasks[[#This Row],[_IsLeaf]]=1,Tasks[[#This Row],[_LeafWork]]&gt;0),MAX(Tasks[[#This Row],[_StartWorkday]],NETWORKDAYS.INTL(ProjectStart,Tasks[[#This Row],[_LeafFcstFinish]],WorkWeek,Holidays)),0)</f>
        <v>0</v>
      </c>
      <c r="CT60" s="41" t="n">
        <f aca="false">IF(AND(Tasks[[#This Row],[_IsLeaf]]=1,Tasks[[#This Row],[_LeafWork]]&gt;0),Tasks[[#This Row],[_LeafWork]]/(Tasks[[#This Row],[_FinishWorkday]]-Tasks[[#This Row],[_StartWorkday]]+1),0)</f>
        <v>0</v>
      </c>
      <c r="CU60" s="41" t="n">
        <f aca="false">Tasks[[#This Row],[_WorkPerWorkday]]*(Tasks[[#This Row],[_StartWorkday]]-1)</f>
        <v>-0</v>
      </c>
      <c r="CV60" s="41" t="n">
        <f aca="false">IF(Tasks[[#This Row],[_IsLeaf]]=1,MAX(N(Tasks[[#This Row],[Duration]]),0.1),0)</f>
        <v>0</v>
      </c>
      <c r="CW60" s="41" t="n">
        <f aca="false">Tasks[[#This Row],[_WeightDur]]*Tasks[[#This Row],[_LeafProgress]]</f>
        <v>0</v>
      </c>
      <c r="CX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0" s="41" t="str">
        <f aca="false">IF(Tasks[[#This Row],[Task Name]]="","",Tasks[[#This Row],[_Pred1UIDText]]&amp;IF(AND(Tasks[[#This Row],[_Pred1UIDText]]&lt;&gt;"",Tasks[[#This Row],[_Pred2UIDText]]&lt;&gt;""),",","")&amp;Tasks[[#This Row],[_Pred2UIDText]])</f>
        <v/>
      </c>
      <c r="DC60" s="41" t="str">
        <f aca="false">IF(AND(Tasks[[#This Row],[_IsLeaf]]=1,N(Tasks[[#This Row],[Duration]])=0,Tasks[[#This Row],[_LeafProgress]]&lt;1),Tasks[[#This Row],[_LeafFcstFinish]]+Tasks[[#This Row],[_Row]]/100000,"")</f>
        <v/>
      </c>
      <c r="DD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0" s="41" t="n">
        <f aca="false">IF(NOT(Tasks[[#This Row],[_IsLeaf]]=1),0,IF(Tasks[[#This Row],[Baseline Cost]]="",Tasks[[#This Row],[_LeafCost]],N(Tasks[[#This Row],[Baseline Cost]])))</f>
        <v>0</v>
      </c>
      <c r="DF60" s="41" t="n">
        <f aca="false">Tasks[[#This Row],[_LeafBudget]]*Tasks[[#This Row],[_PlannedPct]]</f>
        <v>0</v>
      </c>
      <c r="DG60" s="41" t="n">
        <f aca="false">Tasks[[#This Row],[_LeafBudget]]*Tasks[[#This Row],[_LeafProgress]]</f>
        <v>0</v>
      </c>
      <c r="DH60" s="41" t="n">
        <f aca="false">IF(NOT(Tasks[[#This Row],[_IsLeaf]]=1),0,IF(Tasks[[#This Row],[Actual Cost]]="",Tasks[[#This Row],[_LeafCost]]*Tasks[[#This Row],[_LeafProgress]],N(Tasks[[#This Row],[Actual Cost]])))</f>
        <v>0</v>
      </c>
      <c r="DI60" s="41" t="str">
        <f aca="false">IF(Tasks[[#This Row],[Task Name]]="","",LEFT(Tasks[[#This Row],[WBS]],FIND(".",Tasks[[#This Row],[WBS]]&amp;".")-1))</f>
        <v/>
      </c>
      <c r="DJ60" s="41" t="str">
        <f aca="false">IF(AND(Tasks[[#This Row],[Task Name]]&lt;&gt;"",Tasks[[#This Row],[_Level]]=1),Tasks[[#This Row],[_Row]],"")</f>
        <v/>
      </c>
      <c r="DK60" s="41" t="str">
        <f aca="false">IF(AND(Tasks[[#This Row],[_IsLeaf]]=1,N(Tasks[[#This Row],[Duration]])=0),Tasks[[#This Row],[Planned Finish]]+Tasks[[#This Row],[_Row]]/100000,"")</f>
        <v/>
      </c>
      <c r="DL60" s="41" t="str">
        <f aca="false">IF(AND(Tasks[[#This Row],[_IsLeaf]]=1,Tasks[[#This Row],[_LeafProgress]]&lt;1,OR(N(Tasks[[#This Row],[Finish Var]])&gt;0,Tasks[[#This Row],[Status]]="Late Start")),MAX(0,Tasks[[#This Row],[Finish Var]])+1-Tasks[[#This Row],[_Row]]/1000000,"")</f>
        <v/>
      </c>
      <c r="DM60" s="41" t="str">
        <f aca="false">IF(AND(Tasks[[#This Row],[_IsLeaf]]=1,N(Tasks[[#This Row],[Actual Start]])=0,Tasks[[#This Row],[_LeafFcstStart]]&gt;=StatusDate,Tasks[[#This Row],[_LeafFcstStart]]&lt;=LookaheadEnd),Tasks[[#This Row],[_LeafFcstStart]]+Tasks[[#This Row],[_Row]]/100000,"")</f>
        <v/>
      </c>
      <c r="DN60" s="41" t="str">
        <f aca="false">IF(AND(Tasks[[#This Row],[_IsLeaf]]=1,Tasks[[#This Row],[_LeafProgress]]&lt;1,Tasks[[#This Row],[_LeafFcstFinish]]&gt;=StatusDate,Tasks[[#This Row],[_LeafFcstFinish]]&lt;=LookaheadEnd),Tasks[[#This Row],[_LeafFcstFinish]]+Tasks[[#This Row],[_Row]]/100000,"")</f>
        <v/>
      </c>
      <c r="DO60" s="41" t="str">
        <f aca="false">IF(Tasks[[#This Row],[_LeafCritical]],Tasks[[#This Row],[_LeafFcstStart]]+Tasks[[#This Row],[_Row]]/100000,"")</f>
        <v/>
      </c>
      <c r="DP60" s="41" t="n">
        <f aca="false">Tasks[[#This Row],[_LeafWork]]*Tasks[[#This Row],[_LeafProgress]]</f>
        <v>0</v>
      </c>
      <c r="DQ60" s="103" t="str">
        <f aca="false">IF(AND(Tasks[[#This Row],[_IsLeaf]]=1,Tasks[[#This Row],[_LeafProgress]]&gt;=1),IF(N(Tasks[[#This Row],[Actual Finish]])&gt;0,Tasks[[#This Row],[Actual Finish]],Tasks[[#This Row],[_LeafFcstFinish]]),"")</f>
        <v/>
      </c>
      <c r="DR60" s="41" t="n">
        <f aca="false">IF(Tasks[[#This Row],[_IsLeaf]]=1,N(Tasks[[#This Row],[Story Points]]),0)</f>
        <v>0</v>
      </c>
      <c r="DS60" s="41" t="str">
        <f aca="false">IF(AND(Tasks[[#This Row],[_IsLeaf]]=1,CurrentSprint&lt;&gt;"",Tasks[[#This Row],[Sprint]]=CurrentSprint),Tasks[[#This Row],[_Row]],"")</f>
        <v/>
      </c>
    </row>
    <row r="61" customFormat="false" ht="15" hidden="false" customHeight="false" outlineLevel="0" collapsed="false">
      <c r="A61" s="28" t="str">
        <f aca="false">IF(Tasks[[#This Row],[Task Name]]="","",COUNTA(Tasks[[#Headers],[Task Name]]:Tasks[[#This Row],[Task Name]])-1)</f>
        <v/>
      </c>
      <c r="B61" s="29" t="n">
        <v>56</v>
      </c>
      <c r="C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29"/>
      <c r="E61" s="30"/>
      <c r="F61" s="29"/>
      <c r="G61" s="29"/>
      <c r="H61" s="29"/>
      <c r="I61" s="29"/>
      <c r="J61" s="29"/>
      <c r="K61" s="29"/>
      <c r="L61" s="29"/>
      <c r="M61" s="29"/>
      <c r="N61" s="77"/>
      <c r="O61" s="77"/>
      <c r="P61" s="25" t="str">
        <f aca="false">IF(Tasks[[#This Row],[Task Name]]="","",IF(N(Tasks[[#This Row],[Baseline Start]])&gt;0,Tasks[[#This Row],[Baseline Start]],Tasks[[#This Row],[_CalcStart]]))</f>
        <v/>
      </c>
      <c r="Q61" s="25" t="str">
        <f aca="false">IF(Tasks[[#This Row],[Task Name]]="","",IF(N(Tasks[[#This Row],[Baseline Finish]])&gt;0,Tasks[[#This Row],[Baseline Finish]],Tasks[[#This Row],[_CalcFinish]]))</f>
        <v/>
      </c>
      <c r="R61" s="77"/>
      <c r="S61" s="77"/>
      <c r="T61" s="25" t="str">
        <f aca="false">IF(Tasks[[#This Row],[Task Name]]="","",IF(Tasks[[#This Row],[_IsSummary]],MIN(INDEX(Tasks[_LeafFcstStart],Tasks[[#This Row],[_Row]]+1):INDEX(Tasks[_LeafFcstStart],Tasks[[#This Row],[_Row]]+Tasks[[#This Row],[_Descendants]])),Tasks[[#This Row],[_LeafFcstStart]]))</f>
        <v/>
      </c>
      <c r="U61" s="25" t="str">
        <f aca="false">IF(Tasks[[#This Row],[Task Name]]="","",IF(Tasks[[#This Row],[_IsSummary]],MAX(INDEX(Tasks[_LeafFcstFinish],Tasks[[#This Row],[_Row]]+1):INDEX(Tasks[_LeafFcstFinish],Tasks[[#This Row],[_Row]]+Tasks[[#This Row],[_Descendants]])),Tasks[[#This Row],[_LeafFcstFinish]]))</f>
        <v/>
      </c>
      <c r="V6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1" s="25" t="str">
        <f aca="false">IF(Tasks[[#This Row],[Task Name]]="","",IF(Tasks[[#This Row],[_IsSummary]],MIN(INDEX(Tasks[_LeafLateStart],Tasks[[#This Row],[_Row]]+1):INDEX(Tasks[_LeafLateStart],Tasks[[#This Row],[_Row]]+Tasks[[#This Row],[_Descendants]])),Tasks[[#This Row],[_LeafLateStart]]))</f>
        <v/>
      </c>
      <c r="Y61" s="25" t="str">
        <f aca="false">IF(Tasks[[#This Row],[Task Name]]="","",IF(Tasks[[#This Row],[_IsSummary]],MAX(INDEX(Tasks[_LeafLateFinish],Tasks[[#This Row],[_Row]]+1):INDEX(Tasks[_LeafLateFinish],Tasks[[#This Row],[_Row]]+Tasks[[#This Row],[_Descendants]])),Tasks[[#This Row],[_LeafLateFinish]]))</f>
        <v/>
      </c>
      <c r="Z61" s="43" t="str">
        <f aca="false">IF(Tasks[[#This Row],[Task Name]]="","",IF(Tasks[[#This Row],[_IsSummary]],MIN(INDEX(Tasks[_LeafTotalSlack],Tasks[[#This Row],[_Row]]+1):INDEX(Tasks[_LeafTotalSlack],Tasks[[#This Row],[_Row]]+Tasks[[#This Row],[_Descendants]])),Tasks[[#This Row],[_LeafTotalSlack]]))</f>
        <v/>
      </c>
      <c r="AA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1" s="28" t="str">
        <f aca="false">IF(Tasks[[#This Row],[Task Name]]="","",IF(IF(Tasks[[#This Row],[_IsSummary]],COUNTIF(INDEX(Tasks[_LeafCritical],Tasks[[#This Row],[_Row]]+1):INDEX(Tasks[_LeafCritical],Tasks[[#This Row],[_Row]]+Tasks[[#This Row],[_Descendants]]),TRUE())&gt;0,Tasks[[#This Row],[_LeafCritical]]),"Yes",""))</f>
        <v/>
      </c>
      <c r="AC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1" s="24" t="str">
        <f aca="false">IF(Tasks[[#This Row],[Task Name]]="","",TRIM(IF(Tasks[[#This Row],[_Pred1Problem]]&lt;&gt;"","Pred 1: "&amp;Tasks[[#This Row],[_Pred1Problem]]&amp;". ","")&amp;IF(Tasks[[#This Row],[_Pred2Problem]]&lt;&gt;"","Pred 2: "&amp;Tasks[[#This Row],[_Pred2Problem]]&amp;".","")))</f>
        <v/>
      </c>
      <c r="AE61" s="91"/>
      <c r="AF6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1" s="28" t="str">
        <f aca="false">IF(Tasks[[#This Row],[Task Name]]="","",IF(Tasks[[#This Row],[Progress]]&gt;=1,"Complete",IF(OR(N(Tasks[[#This Row],[Actual Start]])&gt;0,Tasks[[#This Row],[Progress]]&gt;0),IF(Tasks[[#This Row],[Finish Var]]&gt;0,"Behind","In Progress"),IF(Tasks[[#This Row],[Planned Start]]&lt;StatusDate,"Late Start","Not Started"))))</f>
        <v/>
      </c>
      <c r="AH61" s="30"/>
      <c r="AI61" s="91"/>
      <c r="AJ6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1" s="98" t="str">
        <f aca="false">IF(Tasks[[#This Row],[Task Name]]="","",IF(Tasks[[#This Row],[_IsSummary]],SUM(INDEX(Tasks[_LeafWork],Tasks[[#This Row],[_Row]]+1):INDEX(Tasks[_LeafWork],Tasks[[#This Row],[_Row]]+Tasks[[#This Row],[_Descendants]])),Tasks[[#This Row],[_LeafWork]]))</f>
        <v/>
      </c>
      <c r="AL61" s="99" t="str">
        <f aca="false">IF(Tasks[[#This Row],[Task Name]]="","",IF(Tasks[[#This Row],[_IsSummary]],SUM(INDEX(Tasks[_LeafCost],Tasks[[#This Row],[_Row]]+1):INDEX(Tasks[_LeafCost],Tasks[[#This Row],[_Row]]+Tasks[[#This Row],[_Descendants]])),Tasks[[#This Row],[_LeafCost]]))</f>
        <v/>
      </c>
      <c r="AM61" s="100"/>
      <c r="AN61" s="29"/>
      <c r="AO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1" s="85"/>
      <c r="AQ61" s="24" t="str">
        <f aca="false">IF(Tasks[[#This Row],[Task Name]]="","",Tasks[[#This Row],[_Pred1IDText]]&amp;IF(AND(Tasks[[#This Row],[_Pred1IDText]]&lt;&gt;"",Tasks[[#This Row],[_Pred2IDText]]&lt;&gt;""),",","")&amp;Tasks[[#This Row],[_Pred2IDText]])</f>
        <v/>
      </c>
      <c r="AR61" s="30"/>
      <c r="AS61" s="25" t="str">
        <f aca="false">IF(Tasks[[#This Row],[Task Name]]="","",Tasks[[#This Row],[Forecast Start]])</f>
        <v/>
      </c>
      <c r="AT61" s="25" t="str">
        <f aca="false">IF(Tasks[[#This Row],[Task Name]]="","",Tasks[[#This Row],[Forecast Finish]])</f>
        <v/>
      </c>
      <c r="AU61" s="28" t="str">
        <f aca="false">IF(Tasks[[#This Row],[Task Name]]="","",IF(Tasks[[#This Row],[_IsSummary]],NETWORKDAYS.INTL(Tasks[[#This Row],[Forecast Start]],Tasks[[#This Row],[Forecast Finish]],WorkWeek,Holidays),N(Tasks[[#This Row],[Duration]])))</f>
        <v/>
      </c>
      <c r="AV61" s="98" t="str">
        <f aca="false">IF(Tasks[[#This Row],[Task Name]]="","",Tasks[[#This Row],[Work]])</f>
        <v/>
      </c>
      <c r="AW61" s="99" t="str">
        <f aca="false">IF(Tasks[[#This Row],[Task Name]]="","",Tasks[[#This Row],[Cost]])</f>
        <v/>
      </c>
      <c r="AX61" s="77"/>
      <c r="AY61" s="77"/>
      <c r="AZ61" s="29"/>
      <c r="BA61" s="101"/>
      <c r="BB61" s="100"/>
      <c r="BC61" s="28" t="str">
        <f aca="false">IF(OR(Tasks[[#This Row],[Task Name]]="",Tasks[[#This Row],[Baseline Duration]]=""),"",Tasks[[#This Row],[BL Source Duration]]-N(Tasks[[#This Row],[Baseline Duration]]))</f>
        <v/>
      </c>
      <c r="BD61" s="98" t="str">
        <f aca="false">IF(OR(Tasks[[#This Row],[Task Name]]="",Tasks[[#This Row],[Baseline Work]]=""),"",Tasks[[#This Row],[Work]]-N(Tasks[[#This Row],[Baseline Work]]))</f>
        <v/>
      </c>
      <c r="BE61" s="99" t="str">
        <f aca="false">IF(OR(Tasks[[#This Row],[Task Name]]="",Tasks[[#This Row],[Baseline Cost]]=""),"",Tasks[[#This Row],[Cost]]-N(Tasks[[#This Row],[Baseline Cost]]))</f>
        <v/>
      </c>
      <c r="BF61" s="99" t="str">
        <f aca="false">IF(Tasks[[#This Row],[Task Name]]="","",IF(Tasks[[#This Row],[_IsSummary]],SUM(INDEX(Tasks[_LeafBudget],Tasks[[#This Row],[_Row]]+1):INDEX(Tasks[_LeafBudget],Tasks[[#This Row],[_Row]]+Tasks[[#This Row],[_Descendants]])),Tasks[[#This Row],[_LeafBudget]]))</f>
        <v/>
      </c>
      <c r="BG61" s="99" t="str">
        <f aca="false">IF(Tasks[[#This Row],[Task Name]]="","",IF(Tasks[[#This Row],[_IsSummary]],SUM(INDEX(Tasks[_LeafPV],Tasks[[#This Row],[_Row]]+1):INDEX(Tasks[_LeafPV],Tasks[[#This Row],[_Row]]+Tasks[[#This Row],[_Descendants]])),Tasks[[#This Row],[_LeafPV]]))</f>
        <v/>
      </c>
      <c r="BH61" s="99" t="str">
        <f aca="false">IF(Tasks[[#This Row],[Task Name]]="","",IF(Tasks[[#This Row],[_IsSummary]],SUM(INDEX(Tasks[_LeafEV],Tasks[[#This Row],[_Row]]+1):INDEX(Tasks[_LeafEV],Tasks[[#This Row],[_Row]]+Tasks[[#This Row],[_Descendants]])),Tasks[[#This Row],[_LeafEV]]))</f>
        <v/>
      </c>
      <c r="BI61" s="99" t="str">
        <f aca="false">IF(Tasks[[#This Row],[Task Name]]="","",IF(Tasks[[#This Row],[_IsSummary]],SUM(INDEX(Tasks[_LeafAC],Tasks[[#This Row],[_Row]]+1):INDEX(Tasks[_LeafAC],Tasks[[#This Row],[_Row]]+Tasks[[#This Row],[_Descendants]])),Tasks[[#This Row],[_LeafAC]]))</f>
        <v/>
      </c>
      <c r="BJ61" s="41" t="str">
        <f aca="false">IF(Tasks[[#This Row],[Task Name]]="","",MAX(1,N(Tasks[[#This Row],[Level]])))</f>
        <v/>
      </c>
      <c r="BK61" s="41" t="n">
        <f aca="false">ROW()-ROW(Tasks[[#Headers],[ID]])</f>
        <v>56</v>
      </c>
      <c r="BL61" s="41" t="n">
        <f aca="false">IF(OR(Tasks[[#This Row],[Task Name]]="",Tasks[[#This Row],[_Level]]&lt;=1),0,IFERROR(LOOKUP(2,1/(Tasks[[#Headers],[_Level]]:Tasks[[#This Row],[_Level]]=Tasks[[#This Row],[_Level]]-1),ROW(Tasks[[#Headers],[_Level]]:Tasks[[#This Row],[_Level]])),0))</f>
        <v>0</v>
      </c>
      <c r="BM61" s="41" t="n">
        <f aca="false">IFERROR(N(INDEX(Tasks[_Level],Tasks[[#This Row],[_Row]]+1)),0)</f>
        <v>0</v>
      </c>
      <c r="BN61" s="102" t="b">
        <f aca="false">AND(Tasks[[#This Row],[Task Name]]&lt;&gt;"",Tasks[[#This Row],[_NextLevel]]&gt;Tasks[[#This Row],[_Level]])</f>
        <v>0</v>
      </c>
      <c r="BO61" s="41" t="n">
        <f aca="false">IF(Tasks[[#This Row],[_IsSummary]],COUNTIF(Tasks[WBS],Tasks[[#This Row],[WBS]]&amp;".*"),0)</f>
        <v>0</v>
      </c>
      <c r="BP61" s="41" t="n">
        <f aca="false">IF(AND(Tasks[[#This Row],[Task Name]]&lt;&gt;"",NOT(Tasks[[#This Row],[_IsSummary]])),1,0)</f>
        <v>0</v>
      </c>
      <c r="BQ61" s="41" t="n">
        <f aca="false">IF(N(Tasks[[#This Row],[Pred1 UID]])=0,0,IFERROR(MATCH(Tasks[[#This Row],[Pred1 UID]],Tasks[UID],0),-1))</f>
        <v>0</v>
      </c>
      <c r="BR61" s="41" t="n">
        <f aca="false">IF(N(Tasks[[#This Row],[Pred2 UID]])=0,0,IFERROR(MATCH(Tasks[[#This Row],[Pred2 UID]],Tasks[UID],0),-1))</f>
        <v>0</v>
      </c>
      <c r="BS6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1" s="103" t="str">
        <f aca="false">IF(NOT(Tasks[[#This Row],[_IsLeaf]]=1),"",IF(N(Tasks[[#This Row],[Duration]])&lt;=0,Tasks[[#This Row],[_LeafCalcStart]],WORKDAY.INTL(Tasks[[#This Row],[_LeafCalcStart]],Tasks[[#This Row],[Duration]]-1,WorkWeek,Holidays)))</f>
        <v/>
      </c>
      <c r="BU6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1" s="41" t="n">
        <f aca="false">IF(NOT(Tasks[[#This Row],[_IsLeaf]]=1),0,IF(N(Tasks[[#This Row],[Actual Finish]])&gt;0,1,MIN(1,N(Tasks[[#This Row],[% Complete]]))))</f>
        <v>0</v>
      </c>
      <c r="BX61" s="41" t="n">
        <f aca="false">IF(OR(NOT(Tasks[[#This Row],[_IsLeaf]]=1),Tasks[[#This Row],[Resource]]=""),0,N(Tasks[[#This Row],[Duration]])*HoursPerDay*IF(Tasks[[#This Row],[Units]]="",DefaultUnits,Tasks[[#This Row],[Units]]))</f>
        <v>0</v>
      </c>
      <c r="BY61" s="41" t="n">
        <f aca="false">IF(Tasks[[#This Row],[_LeafWork]]=0,0,Tasks[[#This Row],[_LeafWork]]*IFERROR(INDEX(res_Rate,MATCH(Tasks[[#This Row],[Resource]],res_Name,0)),0))</f>
        <v>0</v>
      </c>
      <c r="BZ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1" s="41" t="n">
        <f aca="false">IF(NOT(Tasks[[#This Row],[_IsLeaf]]=1),0,MAX(_xlfn.MAXIFS(Tasks[_Row],Tasks[Pred1 UID],Tasks[[#This Row],[UID]]),_xlfn.MAXIFS(Tasks[_Row],Tasks[Pred2 UID],Tasks[[#This Row],[UID]])))</f>
        <v>0</v>
      </c>
      <c r="CE6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1" s="103" t="str">
        <f aca="false">IF(NOT(Tasks[[#This Row],[_IsLeaf]]=1),"",MIN(ProjectFinish,IF(N(Tasks[[#This Row],[Deadline]])&gt;0,Tasks[[#This Row],[Deadline]],2958465),Tasks[[#This Row],[_SuccessorFinishLimit]]))</f>
        <v/>
      </c>
      <c r="CG61" s="103" t="str">
        <f aca="false">IF(NOT(Tasks[[#This Row],[_IsLeaf]]=1),"",IF(N(Tasks[[#This Row],[Duration]])&lt;=0,Tasks[[#This Row],[_LeafLateFinish]],WORKDAY.INTL(Tasks[[#This Row],[_LeafLateFinish]],-(Tasks[[#This Row],[Duration]]-1),WorkWeek,Holidays)))</f>
        <v/>
      </c>
      <c r="CH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1" s="102" t="b">
        <f aca="false">AND(Tasks[[#This Row],[_IsLeaf]]=1,Tasks[[#This Row],[_LeafProgress]]&lt;1,N(Tasks[[#This Row],[_LeafTotalSlack]])&lt;=CriticalSlackDays)</f>
        <v>0</v>
      </c>
      <c r="CJ61" s="103" t="str">
        <f aca="false">IF(Tasks[[#This Row],[Task Name]]="","",IF(Tasks[[#This Row],[_IsSummary]],MIN(INDEX(Tasks[_LeafCalcStart],Tasks[[#This Row],[_Row]]+1):INDEX(Tasks[_LeafCalcStart],Tasks[[#This Row],[_Row]]+Tasks[[#This Row],[_Descendants]])),Tasks[[#This Row],[_LeafCalcStart]]))</f>
        <v/>
      </c>
      <c r="CK61" s="103" t="str">
        <f aca="false">IF(Tasks[[#This Row],[Task Name]]="","",IF(Tasks[[#This Row],[_IsSummary]],MAX(INDEX(Tasks[_LeafCalcFinish],Tasks[[#This Row],[_Row]]+1):INDEX(Tasks[_LeafCalcFinish],Tasks[[#This Row],[_Row]]+Tasks[[#This Row],[_Descendants]])),Tasks[[#This Row],[_LeafCalcFinish]]))</f>
        <v/>
      </c>
      <c r="CL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1" s="41" t="n">
        <f aca="false">IF(AND(Tasks[[#This Row],[_IsLeaf]]=1,Tasks[[#This Row],[_LeafWork]]&gt;0),NETWORKDAYS.INTL(ProjectStart,Tasks[[#This Row],[_LeafFcstStart]],WorkWeek,Holidays),0)</f>
        <v>0</v>
      </c>
      <c r="CS61" s="41" t="n">
        <f aca="false">IF(AND(Tasks[[#This Row],[_IsLeaf]]=1,Tasks[[#This Row],[_LeafWork]]&gt;0),MAX(Tasks[[#This Row],[_StartWorkday]],NETWORKDAYS.INTL(ProjectStart,Tasks[[#This Row],[_LeafFcstFinish]],WorkWeek,Holidays)),0)</f>
        <v>0</v>
      </c>
      <c r="CT61" s="41" t="n">
        <f aca="false">IF(AND(Tasks[[#This Row],[_IsLeaf]]=1,Tasks[[#This Row],[_LeafWork]]&gt;0),Tasks[[#This Row],[_LeafWork]]/(Tasks[[#This Row],[_FinishWorkday]]-Tasks[[#This Row],[_StartWorkday]]+1),0)</f>
        <v>0</v>
      </c>
      <c r="CU61" s="41" t="n">
        <f aca="false">Tasks[[#This Row],[_WorkPerWorkday]]*(Tasks[[#This Row],[_StartWorkday]]-1)</f>
        <v>-0</v>
      </c>
      <c r="CV61" s="41" t="n">
        <f aca="false">IF(Tasks[[#This Row],[_IsLeaf]]=1,MAX(N(Tasks[[#This Row],[Duration]]),0.1),0)</f>
        <v>0</v>
      </c>
      <c r="CW61" s="41" t="n">
        <f aca="false">Tasks[[#This Row],[_WeightDur]]*Tasks[[#This Row],[_LeafProgress]]</f>
        <v>0</v>
      </c>
      <c r="CX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1" s="41" t="str">
        <f aca="false">IF(Tasks[[#This Row],[Task Name]]="","",Tasks[[#This Row],[_Pred1UIDText]]&amp;IF(AND(Tasks[[#This Row],[_Pred1UIDText]]&lt;&gt;"",Tasks[[#This Row],[_Pred2UIDText]]&lt;&gt;""),",","")&amp;Tasks[[#This Row],[_Pred2UIDText]])</f>
        <v/>
      </c>
      <c r="DC61" s="41" t="str">
        <f aca="false">IF(AND(Tasks[[#This Row],[_IsLeaf]]=1,N(Tasks[[#This Row],[Duration]])=0,Tasks[[#This Row],[_LeafProgress]]&lt;1),Tasks[[#This Row],[_LeafFcstFinish]]+Tasks[[#This Row],[_Row]]/100000,"")</f>
        <v/>
      </c>
      <c r="DD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1" s="41" t="n">
        <f aca="false">IF(NOT(Tasks[[#This Row],[_IsLeaf]]=1),0,IF(Tasks[[#This Row],[Baseline Cost]]="",Tasks[[#This Row],[_LeafCost]],N(Tasks[[#This Row],[Baseline Cost]])))</f>
        <v>0</v>
      </c>
      <c r="DF61" s="41" t="n">
        <f aca="false">Tasks[[#This Row],[_LeafBudget]]*Tasks[[#This Row],[_PlannedPct]]</f>
        <v>0</v>
      </c>
      <c r="DG61" s="41" t="n">
        <f aca="false">Tasks[[#This Row],[_LeafBudget]]*Tasks[[#This Row],[_LeafProgress]]</f>
        <v>0</v>
      </c>
      <c r="DH61" s="41" t="n">
        <f aca="false">IF(NOT(Tasks[[#This Row],[_IsLeaf]]=1),0,IF(Tasks[[#This Row],[Actual Cost]]="",Tasks[[#This Row],[_LeafCost]]*Tasks[[#This Row],[_LeafProgress]],N(Tasks[[#This Row],[Actual Cost]])))</f>
        <v>0</v>
      </c>
      <c r="DI61" s="41" t="str">
        <f aca="false">IF(Tasks[[#This Row],[Task Name]]="","",LEFT(Tasks[[#This Row],[WBS]],FIND(".",Tasks[[#This Row],[WBS]]&amp;".")-1))</f>
        <v/>
      </c>
      <c r="DJ61" s="41" t="str">
        <f aca="false">IF(AND(Tasks[[#This Row],[Task Name]]&lt;&gt;"",Tasks[[#This Row],[_Level]]=1),Tasks[[#This Row],[_Row]],"")</f>
        <v/>
      </c>
      <c r="DK61" s="41" t="str">
        <f aca="false">IF(AND(Tasks[[#This Row],[_IsLeaf]]=1,N(Tasks[[#This Row],[Duration]])=0),Tasks[[#This Row],[Planned Finish]]+Tasks[[#This Row],[_Row]]/100000,"")</f>
        <v/>
      </c>
      <c r="DL61" s="41" t="str">
        <f aca="false">IF(AND(Tasks[[#This Row],[_IsLeaf]]=1,Tasks[[#This Row],[_LeafProgress]]&lt;1,OR(N(Tasks[[#This Row],[Finish Var]])&gt;0,Tasks[[#This Row],[Status]]="Late Start")),MAX(0,Tasks[[#This Row],[Finish Var]])+1-Tasks[[#This Row],[_Row]]/1000000,"")</f>
        <v/>
      </c>
      <c r="DM61" s="41" t="str">
        <f aca="false">IF(AND(Tasks[[#This Row],[_IsLeaf]]=1,N(Tasks[[#This Row],[Actual Start]])=0,Tasks[[#This Row],[_LeafFcstStart]]&gt;=StatusDate,Tasks[[#This Row],[_LeafFcstStart]]&lt;=LookaheadEnd),Tasks[[#This Row],[_LeafFcstStart]]+Tasks[[#This Row],[_Row]]/100000,"")</f>
        <v/>
      </c>
      <c r="DN61" s="41" t="str">
        <f aca="false">IF(AND(Tasks[[#This Row],[_IsLeaf]]=1,Tasks[[#This Row],[_LeafProgress]]&lt;1,Tasks[[#This Row],[_LeafFcstFinish]]&gt;=StatusDate,Tasks[[#This Row],[_LeafFcstFinish]]&lt;=LookaheadEnd),Tasks[[#This Row],[_LeafFcstFinish]]+Tasks[[#This Row],[_Row]]/100000,"")</f>
        <v/>
      </c>
      <c r="DO61" s="41" t="str">
        <f aca="false">IF(Tasks[[#This Row],[_LeafCritical]],Tasks[[#This Row],[_LeafFcstStart]]+Tasks[[#This Row],[_Row]]/100000,"")</f>
        <v/>
      </c>
      <c r="DP61" s="41" t="n">
        <f aca="false">Tasks[[#This Row],[_LeafWork]]*Tasks[[#This Row],[_LeafProgress]]</f>
        <v>0</v>
      </c>
      <c r="DQ61" s="103" t="str">
        <f aca="false">IF(AND(Tasks[[#This Row],[_IsLeaf]]=1,Tasks[[#This Row],[_LeafProgress]]&gt;=1),IF(N(Tasks[[#This Row],[Actual Finish]])&gt;0,Tasks[[#This Row],[Actual Finish]],Tasks[[#This Row],[_LeafFcstFinish]]),"")</f>
        <v/>
      </c>
      <c r="DR61" s="41" t="n">
        <f aca="false">IF(Tasks[[#This Row],[_IsLeaf]]=1,N(Tasks[[#This Row],[Story Points]]),0)</f>
        <v>0</v>
      </c>
      <c r="DS61" s="41" t="str">
        <f aca="false">IF(AND(Tasks[[#This Row],[_IsLeaf]]=1,CurrentSprint&lt;&gt;"",Tasks[[#This Row],[Sprint]]=CurrentSprint),Tasks[[#This Row],[_Row]],"")</f>
        <v/>
      </c>
    </row>
    <row r="62" customFormat="false" ht="15" hidden="false" customHeight="false" outlineLevel="0" collapsed="false">
      <c r="A62" s="28" t="str">
        <f aca="false">IF(Tasks[[#This Row],[Task Name]]="","",COUNTA(Tasks[[#Headers],[Task Name]]:Tasks[[#This Row],[Task Name]])-1)</f>
        <v/>
      </c>
      <c r="B62" s="29" t="n">
        <v>57</v>
      </c>
      <c r="C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29"/>
      <c r="E62" s="30"/>
      <c r="F62" s="29"/>
      <c r="G62" s="29"/>
      <c r="H62" s="29"/>
      <c r="I62" s="29"/>
      <c r="J62" s="29"/>
      <c r="K62" s="29"/>
      <c r="L62" s="29"/>
      <c r="M62" s="29"/>
      <c r="N62" s="77"/>
      <c r="O62" s="77"/>
      <c r="P62" s="25" t="str">
        <f aca="false">IF(Tasks[[#This Row],[Task Name]]="","",IF(N(Tasks[[#This Row],[Baseline Start]])&gt;0,Tasks[[#This Row],[Baseline Start]],Tasks[[#This Row],[_CalcStart]]))</f>
        <v/>
      </c>
      <c r="Q62" s="25" t="str">
        <f aca="false">IF(Tasks[[#This Row],[Task Name]]="","",IF(N(Tasks[[#This Row],[Baseline Finish]])&gt;0,Tasks[[#This Row],[Baseline Finish]],Tasks[[#This Row],[_CalcFinish]]))</f>
        <v/>
      </c>
      <c r="R62" s="77"/>
      <c r="S62" s="77"/>
      <c r="T62" s="25" t="str">
        <f aca="false">IF(Tasks[[#This Row],[Task Name]]="","",IF(Tasks[[#This Row],[_IsSummary]],MIN(INDEX(Tasks[_LeafFcstStart],Tasks[[#This Row],[_Row]]+1):INDEX(Tasks[_LeafFcstStart],Tasks[[#This Row],[_Row]]+Tasks[[#This Row],[_Descendants]])),Tasks[[#This Row],[_LeafFcstStart]]))</f>
        <v/>
      </c>
      <c r="U62" s="25" t="str">
        <f aca="false">IF(Tasks[[#This Row],[Task Name]]="","",IF(Tasks[[#This Row],[_IsSummary]],MAX(INDEX(Tasks[_LeafFcstFinish],Tasks[[#This Row],[_Row]]+1):INDEX(Tasks[_LeafFcstFinish],Tasks[[#This Row],[_Row]]+Tasks[[#This Row],[_Descendants]])),Tasks[[#This Row],[_LeafFcstFinish]]))</f>
        <v/>
      </c>
      <c r="V6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2" s="25" t="str">
        <f aca="false">IF(Tasks[[#This Row],[Task Name]]="","",IF(Tasks[[#This Row],[_IsSummary]],MIN(INDEX(Tasks[_LeafLateStart],Tasks[[#This Row],[_Row]]+1):INDEX(Tasks[_LeafLateStart],Tasks[[#This Row],[_Row]]+Tasks[[#This Row],[_Descendants]])),Tasks[[#This Row],[_LeafLateStart]]))</f>
        <v/>
      </c>
      <c r="Y62" s="25" t="str">
        <f aca="false">IF(Tasks[[#This Row],[Task Name]]="","",IF(Tasks[[#This Row],[_IsSummary]],MAX(INDEX(Tasks[_LeafLateFinish],Tasks[[#This Row],[_Row]]+1):INDEX(Tasks[_LeafLateFinish],Tasks[[#This Row],[_Row]]+Tasks[[#This Row],[_Descendants]])),Tasks[[#This Row],[_LeafLateFinish]]))</f>
        <v/>
      </c>
      <c r="Z62" s="43" t="str">
        <f aca="false">IF(Tasks[[#This Row],[Task Name]]="","",IF(Tasks[[#This Row],[_IsSummary]],MIN(INDEX(Tasks[_LeafTotalSlack],Tasks[[#This Row],[_Row]]+1):INDEX(Tasks[_LeafTotalSlack],Tasks[[#This Row],[_Row]]+Tasks[[#This Row],[_Descendants]])),Tasks[[#This Row],[_LeafTotalSlack]]))</f>
        <v/>
      </c>
      <c r="AA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2" s="28" t="str">
        <f aca="false">IF(Tasks[[#This Row],[Task Name]]="","",IF(IF(Tasks[[#This Row],[_IsSummary]],COUNTIF(INDEX(Tasks[_LeafCritical],Tasks[[#This Row],[_Row]]+1):INDEX(Tasks[_LeafCritical],Tasks[[#This Row],[_Row]]+Tasks[[#This Row],[_Descendants]]),TRUE())&gt;0,Tasks[[#This Row],[_LeafCritical]]),"Yes",""))</f>
        <v/>
      </c>
      <c r="AC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2" s="24" t="str">
        <f aca="false">IF(Tasks[[#This Row],[Task Name]]="","",TRIM(IF(Tasks[[#This Row],[_Pred1Problem]]&lt;&gt;"","Pred 1: "&amp;Tasks[[#This Row],[_Pred1Problem]]&amp;". ","")&amp;IF(Tasks[[#This Row],[_Pred2Problem]]&lt;&gt;"","Pred 2: "&amp;Tasks[[#This Row],[_Pred2Problem]]&amp;".","")))</f>
        <v/>
      </c>
      <c r="AE62" s="91"/>
      <c r="AF6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2" s="28" t="str">
        <f aca="false">IF(Tasks[[#This Row],[Task Name]]="","",IF(Tasks[[#This Row],[Progress]]&gt;=1,"Complete",IF(OR(N(Tasks[[#This Row],[Actual Start]])&gt;0,Tasks[[#This Row],[Progress]]&gt;0),IF(Tasks[[#This Row],[Finish Var]]&gt;0,"Behind","In Progress"),IF(Tasks[[#This Row],[Planned Start]]&lt;StatusDate,"Late Start","Not Started"))))</f>
        <v/>
      </c>
      <c r="AH62" s="30"/>
      <c r="AI62" s="91"/>
      <c r="AJ6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2" s="98" t="str">
        <f aca="false">IF(Tasks[[#This Row],[Task Name]]="","",IF(Tasks[[#This Row],[_IsSummary]],SUM(INDEX(Tasks[_LeafWork],Tasks[[#This Row],[_Row]]+1):INDEX(Tasks[_LeafWork],Tasks[[#This Row],[_Row]]+Tasks[[#This Row],[_Descendants]])),Tasks[[#This Row],[_LeafWork]]))</f>
        <v/>
      </c>
      <c r="AL62" s="99" t="str">
        <f aca="false">IF(Tasks[[#This Row],[Task Name]]="","",IF(Tasks[[#This Row],[_IsSummary]],SUM(INDEX(Tasks[_LeafCost],Tasks[[#This Row],[_Row]]+1):INDEX(Tasks[_LeafCost],Tasks[[#This Row],[_Row]]+Tasks[[#This Row],[_Descendants]])),Tasks[[#This Row],[_LeafCost]]))</f>
        <v/>
      </c>
      <c r="AM62" s="100"/>
      <c r="AN62" s="29"/>
      <c r="AO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2" s="85"/>
      <c r="AQ62" s="24" t="str">
        <f aca="false">IF(Tasks[[#This Row],[Task Name]]="","",Tasks[[#This Row],[_Pred1IDText]]&amp;IF(AND(Tasks[[#This Row],[_Pred1IDText]]&lt;&gt;"",Tasks[[#This Row],[_Pred2IDText]]&lt;&gt;""),",","")&amp;Tasks[[#This Row],[_Pred2IDText]])</f>
        <v/>
      </c>
      <c r="AR62" s="30"/>
      <c r="AS62" s="25" t="str">
        <f aca="false">IF(Tasks[[#This Row],[Task Name]]="","",Tasks[[#This Row],[Forecast Start]])</f>
        <v/>
      </c>
      <c r="AT62" s="25" t="str">
        <f aca="false">IF(Tasks[[#This Row],[Task Name]]="","",Tasks[[#This Row],[Forecast Finish]])</f>
        <v/>
      </c>
      <c r="AU62" s="28" t="str">
        <f aca="false">IF(Tasks[[#This Row],[Task Name]]="","",IF(Tasks[[#This Row],[_IsSummary]],NETWORKDAYS.INTL(Tasks[[#This Row],[Forecast Start]],Tasks[[#This Row],[Forecast Finish]],WorkWeek,Holidays),N(Tasks[[#This Row],[Duration]])))</f>
        <v/>
      </c>
      <c r="AV62" s="98" t="str">
        <f aca="false">IF(Tasks[[#This Row],[Task Name]]="","",Tasks[[#This Row],[Work]])</f>
        <v/>
      </c>
      <c r="AW62" s="99" t="str">
        <f aca="false">IF(Tasks[[#This Row],[Task Name]]="","",Tasks[[#This Row],[Cost]])</f>
        <v/>
      </c>
      <c r="AX62" s="77"/>
      <c r="AY62" s="77"/>
      <c r="AZ62" s="29"/>
      <c r="BA62" s="101"/>
      <c r="BB62" s="100"/>
      <c r="BC62" s="28" t="str">
        <f aca="false">IF(OR(Tasks[[#This Row],[Task Name]]="",Tasks[[#This Row],[Baseline Duration]]=""),"",Tasks[[#This Row],[BL Source Duration]]-N(Tasks[[#This Row],[Baseline Duration]]))</f>
        <v/>
      </c>
      <c r="BD62" s="98" t="str">
        <f aca="false">IF(OR(Tasks[[#This Row],[Task Name]]="",Tasks[[#This Row],[Baseline Work]]=""),"",Tasks[[#This Row],[Work]]-N(Tasks[[#This Row],[Baseline Work]]))</f>
        <v/>
      </c>
      <c r="BE62" s="99" t="str">
        <f aca="false">IF(OR(Tasks[[#This Row],[Task Name]]="",Tasks[[#This Row],[Baseline Cost]]=""),"",Tasks[[#This Row],[Cost]]-N(Tasks[[#This Row],[Baseline Cost]]))</f>
        <v/>
      </c>
      <c r="BF62" s="99" t="str">
        <f aca="false">IF(Tasks[[#This Row],[Task Name]]="","",IF(Tasks[[#This Row],[_IsSummary]],SUM(INDEX(Tasks[_LeafBudget],Tasks[[#This Row],[_Row]]+1):INDEX(Tasks[_LeafBudget],Tasks[[#This Row],[_Row]]+Tasks[[#This Row],[_Descendants]])),Tasks[[#This Row],[_LeafBudget]]))</f>
        <v/>
      </c>
      <c r="BG62" s="99" t="str">
        <f aca="false">IF(Tasks[[#This Row],[Task Name]]="","",IF(Tasks[[#This Row],[_IsSummary]],SUM(INDEX(Tasks[_LeafPV],Tasks[[#This Row],[_Row]]+1):INDEX(Tasks[_LeafPV],Tasks[[#This Row],[_Row]]+Tasks[[#This Row],[_Descendants]])),Tasks[[#This Row],[_LeafPV]]))</f>
        <v/>
      </c>
      <c r="BH62" s="99" t="str">
        <f aca="false">IF(Tasks[[#This Row],[Task Name]]="","",IF(Tasks[[#This Row],[_IsSummary]],SUM(INDEX(Tasks[_LeafEV],Tasks[[#This Row],[_Row]]+1):INDEX(Tasks[_LeafEV],Tasks[[#This Row],[_Row]]+Tasks[[#This Row],[_Descendants]])),Tasks[[#This Row],[_LeafEV]]))</f>
        <v/>
      </c>
      <c r="BI62" s="99" t="str">
        <f aca="false">IF(Tasks[[#This Row],[Task Name]]="","",IF(Tasks[[#This Row],[_IsSummary]],SUM(INDEX(Tasks[_LeafAC],Tasks[[#This Row],[_Row]]+1):INDEX(Tasks[_LeafAC],Tasks[[#This Row],[_Row]]+Tasks[[#This Row],[_Descendants]])),Tasks[[#This Row],[_LeafAC]]))</f>
        <v/>
      </c>
      <c r="BJ62" s="41" t="str">
        <f aca="false">IF(Tasks[[#This Row],[Task Name]]="","",MAX(1,N(Tasks[[#This Row],[Level]])))</f>
        <v/>
      </c>
      <c r="BK62" s="41" t="n">
        <f aca="false">ROW()-ROW(Tasks[[#Headers],[ID]])</f>
        <v>57</v>
      </c>
      <c r="BL62" s="41" t="n">
        <f aca="false">IF(OR(Tasks[[#This Row],[Task Name]]="",Tasks[[#This Row],[_Level]]&lt;=1),0,IFERROR(LOOKUP(2,1/(Tasks[[#Headers],[_Level]]:Tasks[[#This Row],[_Level]]=Tasks[[#This Row],[_Level]]-1),ROW(Tasks[[#Headers],[_Level]]:Tasks[[#This Row],[_Level]])),0))</f>
        <v>0</v>
      </c>
      <c r="BM62" s="41" t="n">
        <f aca="false">IFERROR(N(INDEX(Tasks[_Level],Tasks[[#This Row],[_Row]]+1)),0)</f>
        <v>0</v>
      </c>
      <c r="BN62" s="102" t="b">
        <f aca="false">AND(Tasks[[#This Row],[Task Name]]&lt;&gt;"",Tasks[[#This Row],[_NextLevel]]&gt;Tasks[[#This Row],[_Level]])</f>
        <v>0</v>
      </c>
      <c r="BO62" s="41" t="n">
        <f aca="false">IF(Tasks[[#This Row],[_IsSummary]],COUNTIF(Tasks[WBS],Tasks[[#This Row],[WBS]]&amp;".*"),0)</f>
        <v>0</v>
      </c>
      <c r="BP62" s="41" t="n">
        <f aca="false">IF(AND(Tasks[[#This Row],[Task Name]]&lt;&gt;"",NOT(Tasks[[#This Row],[_IsSummary]])),1,0)</f>
        <v>0</v>
      </c>
      <c r="BQ62" s="41" t="n">
        <f aca="false">IF(N(Tasks[[#This Row],[Pred1 UID]])=0,0,IFERROR(MATCH(Tasks[[#This Row],[Pred1 UID]],Tasks[UID],0),-1))</f>
        <v>0</v>
      </c>
      <c r="BR62" s="41" t="n">
        <f aca="false">IF(N(Tasks[[#This Row],[Pred2 UID]])=0,0,IFERROR(MATCH(Tasks[[#This Row],[Pred2 UID]],Tasks[UID],0),-1))</f>
        <v>0</v>
      </c>
      <c r="BS6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2" s="103" t="str">
        <f aca="false">IF(NOT(Tasks[[#This Row],[_IsLeaf]]=1),"",IF(N(Tasks[[#This Row],[Duration]])&lt;=0,Tasks[[#This Row],[_LeafCalcStart]],WORKDAY.INTL(Tasks[[#This Row],[_LeafCalcStart]],Tasks[[#This Row],[Duration]]-1,WorkWeek,Holidays)))</f>
        <v/>
      </c>
      <c r="BU6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2" s="41" t="n">
        <f aca="false">IF(NOT(Tasks[[#This Row],[_IsLeaf]]=1),0,IF(N(Tasks[[#This Row],[Actual Finish]])&gt;0,1,MIN(1,N(Tasks[[#This Row],[% Complete]]))))</f>
        <v>0</v>
      </c>
      <c r="BX62" s="41" t="n">
        <f aca="false">IF(OR(NOT(Tasks[[#This Row],[_IsLeaf]]=1),Tasks[[#This Row],[Resource]]=""),0,N(Tasks[[#This Row],[Duration]])*HoursPerDay*IF(Tasks[[#This Row],[Units]]="",DefaultUnits,Tasks[[#This Row],[Units]]))</f>
        <v>0</v>
      </c>
      <c r="BY62" s="41" t="n">
        <f aca="false">IF(Tasks[[#This Row],[_LeafWork]]=0,0,Tasks[[#This Row],[_LeafWork]]*IFERROR(INDEX(res_Rate,MATCH(Tasks[[#This Row],[Resource]],res_Name,0)),0))</f>
        <v>0</v>
      </c>
      <c r="BZ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2" s="41" t="n">
        <f aca="false">IF(NOT(Tasks[[#This Row],[_IsLeaf]]=1),0,MAX(_xlfn.MAXIFS(Tasks[_Row],Tasks[Pred1 UID],Tasks[[#This Row],[UID]]),_xlfn.MAXIFS(Tasks[_Row],Tasks[Pred2 UID],Tasks[[#This Row],[UID]])))</f>
        <v>0</v>
      </c>
      <c r="CE6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2" s="103" t="str">
        <f aca="false">IF(NOT(Tasks[[#This Row],[_IsLeaf]]=1),"",MIN(ProjectFinish,IF(N(Tasks[[#This Row],[Deadline]])&gt;0,Tasks[[#This Row],[Deadline]],2958465),Tasks[[#This Row],[_SuccessorFinishLimit]]))</f>
        <v/>
      </c>
      <c r="CG62" s="103" t="str">
        <f aca="false">IF(NOT(Tasks[[#This Row],[_IsLeaf]]=1),"",IF(N(Tasks[[#This Row],[Duration]])&lt;=0,Tasks[[#This Row],[_LeafLateFinish]],WORKDAY.INTL(Tasks[[#This Row],[_LeafLateFinish]],-(Tasks[[#This Row],[Duration]]-1),WorkWeek,Holidays)))</f>
        <v/>
      </c>
      <c r="CH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2" s="102" t="b">
        <f aca="false">AND(Tasks[[#This Row],[_IsLeaf]]=1,Tasks[[#This Row],[_LeafProgress]]&lt;1,N(Tasks[[#This Row],[_LeafTotalSlack]])&lt;=CriticalSlackDays)</f>
        <v>0</v>
      </c>
      <c r="CJ62" s="103" t="str">
        <f aca="false">IF(Tasks[[#This Row],[Task Name]]="","",IF(Tasks[[#This Row],[_IsSummary]],MIN(INDEX(Tasks[_LeafCalcStart],Tasks[[#This Row],[_Row]]+1):INDEX(Tasks[_LeafCalcStart],Tasks[[#This Row],[_Row]]+Tasks[[#This Row],[_Descendants]])),Tasks[[#This Row],[_LeafCalcStart]]))</f>
        <v/>
      </c>
      <c r="CK62" s="103" t="str">
        <f aca="false">IF(Tasks[[#This Row],[Task Name]]="","",IF(Tasks[[#This Row],[_IsSummary]],MAX(INDEX(Tasks[_LeafCalcFinish],Tasks[[#This Row],[_Row]]+1):INDEX(Tasks[_LeafCalcFinish],Tasks[[#This Row],[_Row]]+Tasks[[#This Row],[_Descendants]])),Tasks[[#This Row],[_LeafCalcFinish]]))</f>
        <v/>
      </c>
      <c r="CL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2" s="41" t="n">
        <f aca="false">IF(AND(Tasks[[#This Row],[_IsLeaf]]=1,Tasks[[#This Row],[_LeafWork]]&gt;0),NETWORKDAYS.INTL(ProjectStart,Tasks[[#This Row],[_LeafFcstStart]],WorkWeek,Holidays),0)</f>
        <v>0</v>
      </c>
      <c r="CS62" s="41" t="n">
        <f aca="false">IF(AND(Tasks[[#This Row],[_IsLeaf]]=1,Tasks[[#This Row],[_LeafWork]]&gt;0),MAX(Tasks[[#This Row],[_StartWorkday]],NETWORKDAYS.INTL(ProjectStart,Tasks[[#This Row],[_LeafFcstFinish]],WorkWeek,Holidays)),0)</f>
        <v>0</v>
      </c>
      <c r="CT62" s="41" t="n">
        <f aca="false">IF(AND(Tasks[[#This Row],[_IsLeaf]]=1,Tasks[[#This Row],[_LeafWork]]&gt;0),Tasks[[#This Row],[_LeafWork]]/(Tasks[[#This Row],[_FinishWorkday]]-Tasks[[#This Row],[_StartWorkday]]+1),0)</f>
        <v>0</v>
      </c>
      <c r="CU62" s="41" t="n">
        <f aca="false">Tasks[[#This Row],[_WorkPerWorkday]]*(Tasks[[#This Row],[_StartWorkday]]-1)</f>
        <v>-0</v>
      </c>
      <c r="CV62" s="41" t="n">
        <f aca="false">IF(Tasks[[#This Row],[_IsLeaf]]=1,MAX(N(Tasks[[#This Row],[Duration]]),0.1),0)</f>
        <v>0</v>
      </c>
      <c r="CW62" s="41" t="n">
        <f aca="false">Tasks[[#This Row],[_WeightDur]]*Tasks[[#This Row],[_LeafProgress]]</f>
        <v>0</v>
      </c>
      <c r="CX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2" s="41" t="str">
        <f aca="false">IF(Tasks[[#This Row],[Task Name]]="","",Tasks[[#This Row],[_Pred1UIDText]]&amp;IF(AND(Tasks[[#This Row],[_Pred1UIDText]]&lt;&gt;"",Tasks[[#This Row],[_Pred2UIDText]]&lt;&gt;""),",","")&amp;Tasks[[#This Row],[_Pred2UIDText]])</f>
        <v/>
      </c>
      <c r="DC62" s="41" t="str">
        <f aca="false">IF(AND(Tasks[[#This Row],[_IsLeaf]]=1,N(Tasks[[#This Row],[Duration]])=0,Tasks[[#This Row],[_LeafProgress]]&lt;1),Tasks[[#This Row],[_LeafFcstFinish]]+Tasks[[#This Row],[_Row]]/100000,"")</f>
        <v/>
      </c>
      <c r="DD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2" s="41" t="n">
        <f aca="false">IF(NOT(Tasks[[#This Row],[_IsLeaf]]=1),0,IF(Tasks[[#This Row],[Baseline Cost]]="",Tasks[[#This Row],[_LeafCost]],N(Tasks[[#This Row],[Baseline Cost]])))</f>
        <v>0</v>
      </c>
      <c r="DF62" s="41" t="n">
        <f aca="false">Tasks[[#This Row],[_LeafBudget]]*Tasks[[#This Row],[_PlannedPct]]</f>
        <v>0</v>
      </c>
      <c r="DG62" s="41" t="n">
        <f aca="false">Tasks[[#This Row],[_LeafBudget]]*Tasks[[#This Row],[_LeafProgress]]</f>
        <v>0</v>
      </c>
      <c r="DH62" s="41" t="n">
        <f aca="false">IF(NOT(Tasks[[#This Row],[_IsLeaf]]=1),0,IF(Tasks[[#This Row],[Actual Cost]]="",Tasks[[#This Row],[_LeafCost]]*Tasks[[#This Row],[_LeafProgress]],N(Tasks[[#This Row],[Actual Cost]])))</f>
        <v>0</v>
      </c>
      <c r="DI62" s="41" t="str">
        <f aca="false">IF(Tasks[[#This Row],[Task Name]]="","",LEFT(Tasks[[#This Row],[WBS]],FIND(".",Tasks[[#This Row],[WBS]]&amp;".")-1))</f>
        <v/>
      </c>
      <c r="DJ62" s="41" t="str">
        <f aca="false">IF(AND(Tasks[[#This Row],[Task Name]]&lt;&gt;"",Tasks[[#This Row],[_Level]]=1),Tasks[[#This Row],[_Row]],"")</f>
        <v/>
      </c>
      <c r="DK62" s="41" t="str">
        <f aca="false">IF(AND(Tasks[[#This Row],[_IsLeaf]]=1,N(Tasks[[#This Row],[Duration]])=0),Tasks[[#This Row],[Planned Finish]]+Tasks[[#This Row],[_Row]]/100000,"")</f>
        <v/>
      </c>
      <c r="DL62" s="41" t="str">
        <f aca="false">IF(AND(Tasks[[#This Row],[_IsLeaf]]=1,Tasks[[#This Row],[_LeafProgress]]&lt;1,OR(N(Tasks[[#This Row],[Finish Var]])&gt;0,Tasks[[#This Row],[Status]]="Late Start")),MAX(0,Tasks[[#This Row],[Finish Var]])+1-Tasks[[#This Row],[_Row]]/1000000,"")</f>
        <v/>
      </c>
      <c r="DM62" s="41" t="str">
        <f aca="false">IF(AND(Tasks[[#This Row],[_IsLeaf]]=1,N(Tasks[[#This Row],[Actual Start]])=0,Tasks[[#This Row],[_LeafFcstStart]]&gt;=StatusDate,Tasks[[#This Row],[_LeafFcstStart]]&lt;=LookaheadEnd),Tasks[[#This Row],[_LeafFcstStart]]+Tasks[[#This Row],[_Row]]/100000,"")</f>
        <v/>
      </c>
      <c r="DN62" s="41" t="str">
        <f aca="false">IF(AND(Tasks[[#This Row],[_IsLeaf]]=1,Tasks[[#This Row],[_LeafProgress]]&lt;1,Tasks[[#This Row],[_LeafFcstFinish]]&gt;=StatusDate,Tasks[[#This Row],[_LeafFcstFinish]]&lt;=LookaheadEnd),Tasks[[#This Row],[_LeafFcstFinish]]+Tasks[[#This Row],[_Row]]/100000,"")</f>
        <v/>
      </c>
      <c r="DO62" s="41" t="str">
        <f aca="false">IF(Tasks[[#This Row],[_LeafCritical]],Tasks[[#This Row],[_LeafFcstStart]]+Tasks[[#This Row],[_Row]]/100000,"")</f>
        <v/>
      </c>
      <c r="DP62" s="41" t="n">
        <f aca="false">Tasks[[#This Row],[_LeafWork]]*Tasks[[#This Row],[_LeafProgress]]</f>
        <v>0</v>
      </c>
      <c r="DQ62" s="103" t="str">
        <f aca="false">IF(AND(Tasks[[#This Row],[_IsLeaf]]=1,Tasks[[#This Row],[_LeafProgress]]&gt;=1),IF(N(Tasks[[#This Row],[Actual Finish]])&gt;0,Tasks[[#This Row],[Actual Finish]],Tasks[[#This Row],[_LeafFcstFinish]]),"")</f>
        <v/>
      </c>
      <c r="DR62" s="41" t="n">
        <f aca="false">IF(Tasks[[#This Row],[_IsLeaf]]=1,N(Tasks[[#This Row],[Story Points]]),0)</f>
        <v>0</v>
      </c>
      <c r="DS62" s="41" t="str">
        <f aca="false">IF(AND(Tasks[[#This Row],[_IsLeaf]]=1,CurrentSprint&lt;&gt;"",Tasks[[#This Row],[Sprint]]=CurrentSprint),Tasks[[#This Row],[_Row]],"")</f>
        <v/>
      </c>
    </row>
    <row r="63" customFormat="false" ht="15" hidden="false" customHeight="false" outlineLevel="0" collapsed="false">
      <c r="A63" s="28" t="str">
        <f aca="false">IF(Tasks[[#This Row],[Task Name]]="","",COUNTA(Tasks[[#Headers],[Task Name]]:Tasks[[#This Row],[Task Name]])-1)</f>
        <v/>
      </c>
      <c r="B63" s="29" t="n">
        <v>58</v>
      </c>
      <c r="C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29"/>
      <c r="E63" s="30"/>
      <c r="F63" s="29"/>
      <c r="G63" s="29"/>
      <c r="H63" s="29"/>
      <c r="I63" s="29"/>
      <c r="J63" s="29"/>
      <c r="K63" s="29"/>
      <c r="L63" s="29"/>
      <c r="M63" s="29"/>
      <c r="N63" s="77"/>
      <c r="O63" s="77"/>
      <c r="P63" s="25" t="str">
        <f aca="false">IF(Tasks[[#This Row],[Task Name]]="","",IF(N(Tasks[[#This Row],[Baseline Start]])&gt;0,Tasks[[#This Row],[Baseline Start]],Tasks[[#This Row],[_CalcStart]]))</f>
        <v/>
      </c>
      <c r="Q63" s="25" t="str">
        <f aca="false">IF(Tasks[[#This Row],[Task Name]]="","",IF(N(Tasks[[#This Row],[Baseline Finish]])&gt;0,Tasks[[#This Row],[Baseline Finish]],Tasks[[#This Row],[_CalcFinish]]))</f>
        <v/>
      </c>
      <c r="R63" s="77"/>
      <c r="S63" s="77"/>
      <c r="T63" s="25" t="str">
        <f aca="false">IF(Tasks[[#This Row],[Task Name]]="","",IF(Tasks[[#This Row],[_IsSummary]],MIN(INDEX(Tasks[_LeafFcstStart],Tasks[[#This Row],[_Row]]+1):INDEX(Tasks[_LeafFcstStart],Tasks[[#This Row],[_Row]]+Tasks[[#This Row],[_Descendants]])),Tasks[[#This Row],[_LeafFcstStart]]))</f>
        <v/>
      </c>
      <c r="U63" s="25" t="str">
        <f aca="false">IF(Tasks[[#This Row],[Task Name]]="","",IF(Tasks[[#This Row],[_IsSummary]],MAX(INDEX(Tasks[_LeafFcstFinish],Tasks[[#This Row],[_Row]]+1):INDEX(Tasks[_LeafFcstFinish],Tasks[[#This Row],[_Row]]+Tasks[[#This Row],[_Descendants]])),Tasks[[#This Row],[_LeafFcstFinish]]))</f>
        <v/>
      </c>
      <c r="V6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3" s="25" t="str">
        <f aca="false">IF(Tasks[[#This Row],[Task Name]]="","",IF(Tasks[[#This Row],[_IsSummary]],MIN(INDEX(Tasks[_LeafLateStart],Tasks[[#This Row],[_Row]]+1):INDEX(Tasks[_LeafLateStart],Tasks[[#This Row],[_Row]]+Tasks[[#This Row],[_Descendants]])),Tasks[[#This Row],[_LeafLateStart]]))</f>
        <v/>
      </c>
      <c r="Y63" s="25" t="str">
        <f aca="false">IF(Tasks[[#This Row],[Task Name]]="","",IF(Tasks[[#This Row],[_IsSummary]],MAX(INDEX(Tasks[_LeafLateFinish],Tasks[[#This Row],[_Row]]+1):INDEX(Tasks[_LeafLateFinish],Tasks[[#This Row],[_Row]]+Tasks[[#This Row],[_Descendants]])),Tasks[[#This Row],[_LeafLateFinish]]))</f>
        <v/>
      </c>
      <c r="Z63" s="43" t="str">
        <f aca="false">IF(Tasks[[#This Row],[Task Name]]="","",IF(Tasks[[#This Row],[_IsSummary]],MIN(INDEX(Tasks[_LeafTotalSlack],Tasks[[#This Row],[_Row]]+1):INDEX(Tasks[_LeafTotalSlack],Tasks[[#This Row],[_Row]]+Tasks[[#This Row],[_Descendants]])),Tasks[[#This Row],[_LeafTotalSlack]]))</f>
        <v/>
      </c>
      <c r="AA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3" s="28" t="str">
        <f aca="false">IF(Tasks[[#This Row],[Task Name]]="","",IF(IF(Tasks[[#This Row],[_IsSummary]],COUNTIF(INDEX(Tasks[_LeafCritical],Tasks[[#This Row],[_Row]]+1):INDEX(Tasks[_LeafCritical],Tasks[[#This Row],[_Row]]+Tasks[[#This Row],[_Descendants]]),TRUE())&gt;0,Tasks[[#This Row],[_LeafCritical]]),"Yes",""))</f>
        <v/>
      </c>
      <c r="AC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3" s="24" t="str">
        <f aca="false">IF(Tasks[[#This Row],[Task Name]]="","",TRIM(IF(Tasks[[#This Row],[_Pred1Problem]]&lt;&gt;"","Pred 1: "&amp;Tasks[[#This Row],[_Pred1Problem]]&amp;". ","")&amp;IF(Tasks[[#This Row],[_Pred2Problem]]&lt;&gt;"","Pred 2: "&amp;Tasks[[#This Row],[_Pred2Problem]]&amp;".","")))</f>
        <v/>
      </c>
      <c r="AE63" s="91"/>
      <c r="AF6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3" s="28" t="str">
        <f aca="false">IF(Tasks[[#This Row],[Task Name]]="","",IF(Tasks[[#This Row],[Progress]]&gt;=1,"Complete",IF(OR(N(Tasks[[#This Row],[Actual Start]])&gt;0,Tasks[[#This Row],[Progress]]&gt;0),IF(Tasks[[#This Row],[Finish Var]]&gt;0,"Behind","In Progress"),IF(Tasks[[#This Row],[Planned Start]]&lt;StatusDate,"Late Start","Not Started"))))</f>
        <v/>
      </c>
      <c r="AH63" s="30"/>
      <c r="AI63" s="91"/>
      <c r="AJ6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3" s="98" t="str">
        <f aca="false">IF(Tasks[[#This Row],[Task Name]]="","",IF(Tasks[[#This Row],[_IsSummary]],SUM(INDEX(Tasks[_LeafWork],Tasks[[#This Row],[_Row]]+1):INDEX(Tasks[_LeafWork],Tasks[[#This Row],[_Row]]+Tasks[[#This Row],[_Descendants]])),Tasks[[#This Row],[_LeafWork]]))</f>
        <v/>
      </c>
      <c r="AL63" s="99" t="str">
        <f aca="false">IF(Tasks[[#This Row],[Task Name]]="","",IF(Tasks[[#This Row],[_IsSummary]],SUM(INDEX(Tasks[_LeafCost],Tasks[[#This Row],[_Row]]+1):INDEX(Tasks[_LeafCost],Tasks[[#This Row],[_Row]]+Tasks[[#This Row],[_Descendants]])),Tasks[[#This Row],[_LeafCost]]))</f>
        <v/>
      </c>
      <c r="AM63" s="100"/>
      <c r="AN63" s="29"/>
      <c r="AO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3" s="85"/>
      <c r="AQ63" s="24" t="str">
        <f aca="false">IF(Tasks[[#This Row],[Task Name]]="","",Tasks[[#This Row],[_Pred1IDText]]&amp;IF(AND(Tasks[[#This Row],[_Pred1IDText]]&lt;&gt;"",Tasks[[#This Row],[_Pred2IDText]]&lt;&gt;""),",","")&amp;Tasks[[#This Row],[_Pred2IDText]])</f>
        <v/>
      </c>
      <c r="AR63" s="30"/>
      <c r="AS63" s="25" t="str">
        <f aca="false">IF(Tasks[[#This Row],[Task Name]]="","",Tasks[[#This Row],[Forecast Start]])</f>
        <v/>
      </c>
      <c r="AT63" s="25" t="str">
        <f aca="false">IF(Tasks[[#This Row],[Task Name]]="","",Tasks[[#This Row],[Forecast Finish]])</f>
        <v/>
      </c>
      <c r="AU63" s="28" t="str">
        <f aca="false">IF(Tasks[[#This Row],[Task Name]]="","",IF(Tasks[[#This Row],[_IsSummary]],NETWORKDAYS.INTL(Tasks[[#This Row],[Forecast Start]],Tasks[[#This Row],[Forecast Finish]],WorkWeek,Holidays),N(Tasks[[#This Row],[Duration]])))</f>
        <v/>
      </c>
      <c r="AV63" s="98" t="str">
        <f aca="false">IF(Tasks[[#This Row],[Task Name]]="","",Tasks[[#This Row],[Work]])</f>
        <v/>
      </c>
      <c r="AW63" s="99" t="str">
        <f aca="false">IF(Tasks[[#This Row],[Task Name]]="","",Tasks[[#This Row],[Cost]])</f>
        <v/>
      </c>
      <c r="AX63" s="77"/>
      <c r="AY63" s="77"/>
      <c r="AZ63" s="29"/>
      <c r="BA63" s="101"/>
      <c r="BB63" s="100"/>
      <c r="BC63" s="28" t="str">
        <f aca="false">IF(OR(Tasks[[#This Row],[Task Name]]="",Tasks[[#This Row],[Baseline Duration]]=""),"",Tasks[[#This Row],[BL Source Duration]]-N(Tasks[[#This Row],[Baseline Duration]]))</f>
        <v/>
      </c>
      <c r="BD63" s="98" t="str">
        <f aca="false">IF(OR(Tasks[[#This Row],[Task Name]]="",Tasks[[#This Row],[Baseline Work]]=""),"",Tasks[[#This Row],[Work]]-N(Tasks[[#This Row],[Baseline Work]]))</f>
        <v/>
      </c>
      <c r="BE63" s="99" t="str">
        <f aca="false">IF(OR(Tasks[[#This Row],[Task Name]]="",Tasks[[#This Row],[Baseline Cost]]=""),"",Tasks[[#This Row],[Cost]]-N(Tasks[[#This Row],[Baseline Cost]]))</f>
        <v/>
      </c>
      <c r="BF63" s="99" t="str">
        <f aca="false">IF(Tasks[[#This Row],[Task Name]]="","",IF(Tasks[[#This Row],[_IsSummary]],SUM(INDEX(Tasks[_LeafBudget],Tasks[[#This Row],[_Row]]+1):INDEX(Tasks[_LeafBudget],Tasks[[#This Row],[_Row]]+Tasks[[#This Row],[_Descendants]])),Tasks[[#This Row],[_LeafBudget]]))</f>
        <v/>
      </c>
      <c r="BG63" s="99" t="str">
        <f aca="false">IF(Tasks[[#This Row],[Task Name]]="","",IF(Tasks[[#This Row],[_IsSummary]],SUM(INDEX(Tasks[_LeafPV],Tasks[[#This Row],[_Row]]+1):INDEX(Tasks[_LeafPV],Tasks[[#This Row],[_Row]]+Tasks[[#This Row],[_Descendants]])),Tasks[[#This Row],[_LeafPV]]))</f>
        <v/>
      </c>
      <c r="BH63" s="99" t="str">
        <f aca="false">IF(Tasks[[#This Row],[Task Name]]="","",IF(Tasks[[#This Row],[_IsSummary]],SUM(INDEX(Tasks[_LeafEV],Tasks[[#This Row],[_Row]]+1):INDEX(Tasks[_LeafEV],Tasks[[#This Row],[_Row]]+Tasks[[#This Row],[_Descendants]])),Tasks[[#This Row],[_LeafEV]]))</f>
        <v/>
      </c>
      <c r="BI63" s="99" t="str">
        <f aca="false">IF(Tasks[[#This Row],[Task Name]]="","",IF(Tasks[[#This Row],[_IsSummary]],SUM(INDEX(Tasks[_LeafAC],Tasks[[#This Row],[_Row]]+1):INDEX(Tasks[_LeafAC],Tasks[[#This Row],[_Row]]+Tasks[[#This Row],[_Descendants]])),Tasks[[#This Row],[_LeafAC]]))</f>
        <v/>
      </c>
      <c r="BJ63" s="41" t="str">
        <f aca="false">IF(Tasks[[#This Row],[Task Name]]="","",MAX(1,N(Tasks[[#This Row],[Level]])))</f>
        <v/>
      </c>
      <c r="BK63" s="41" t="n">
        <f aca="false">ROW()-ROW(Tasks[[#Headers],[ID]])</f>
        <v>58</v>
      </c>
      <c r="BL63" s="41" t="n">
        <f aca="false">IF(OR(Tasks[[#This Row],[Task Name]]="",Tasks[[#This Row],[_Level]]&lt;=1),0,IFERROR(LOOKUP(2,1/(Tasks[[#Headers],[_Level]]:Tasks[[#This Row],[_Level]]=Tasks[[#This Row],[_Level]]-1),ROW(Tasks[[#Headers],[_Level]]:Tasks[[#This Row],[_Level]])),0))</f>
        <v>0</v>
      </c>
      <c r="BM63" s="41" t="n">
        <f aca="false">IFERROR(N(INDEX(Tasks[_Level],Tasks[[#This Row],[_Row]]+1)),0)</f>
        <v>0</v>
      </c>
      <c r="BN63" s="102" t="b">
        <f aca="false">AND(Tasks[[#This Row],[Task Name]]&lt;&gt;"",Tasks[[#This Row],[_NextLevel]]&gt;Tasks[[#This Row],[_Level]])</f>
        <v>0</v>
      </c>
      <c r="BO63" s="41" t="n">
        <f aca="false">IF(Tasks[[#This Row],[_IsSummary]],COUNTIF(Tasks[WBS],Tasks[[#This Row],[WBS]]&amp;".*"),0)</f>
        <v>0</v>
      </c>
      <c r="BP63" s="41" t="n">
        <f aca="false">IF(AND(Tasks[[#This Row],[Task Name]]&lt;&gt;"",NOT(Tasks[[#This Row],[_IsSummary]])),1,0)</f>
        <v>0</v>
      </c>
      <c r="BQ63" s="41" t="n">
        <f aca="false">IF(N(Tasks[[#This Row],[Pred1 UID]])=0,0,IFERROR(MATCH(Tasks[[#This Row],[Pred1 UID]],Tasks[UID],0),-1))</f>
        <v>0</v>
      </c>
      <c r="BR63" s="41" t="n">
        <f aca="false">IF(N(Tasks[[#This Row],[Pred2 UID]])=0,0,IFERROR(MATCH(Tasks[[#This Row],[Pred2 UID]],Tasks[UID],0),-1))</f>
        <v>0</v>
      </c>
      <c r="BS6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3" s="103" t="str">
        <f aca="false">IF(NOT(Tasks[[#This Row],[_IsLeaf]]=1),"",IF(N(Tasks[[#This Row],[Duration]])&lt;=0,Tasks[[#This Row],[_LeafCalcStart]],WORKDAY.INTL(Tasks[[#This Row],[_LeafCalcStart]],Tasks[[#This Row],[Duration]]-1,WorkWeek,Holidays)))</f>
        <v/>
      </c>
      <c r="BU6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3" s="41" t="n">
        <f aca="false">IF(NOT(Tasks[[#This Row],[_IsLeaf]]=1),0,IF(N(Tasks[[#This Row],[Actual Finish]])&gt;0,1,MIN(1,N(Tasks[[#This Row],[% Complete]]))))</f>
        <v>0</v>
      </c>
      <c r="BX63" s="41" t="n">
        <f aca="false">IF(OR(NOT(Tasks[[#This Row],[_IsLeaf]]=1),Tasks[[#This Row],[Resource]]=""),0,N(Tasks[[#This Row],[Duration]])*HoursPerDay*IF(Tasks[[#This Row],[Units]]="",DefaultUnits,Tasks[[#This Row],[Units]]))</f>
        <v>0</v>
      </c>
      <c r="BY63" s="41" t="n">
        <f aca="false">IF(Tasks[[#This Row],[_LeafWork]]=0,0,Tasks[[#This Row],[_LeafWork]]*IFERROR(INDEX(res_Rate,MATCH(Tasks[[#This Row],[Resource]],res_Name,0)),0))</f>
        <v>0</v>
      </c>
      <c r="BZ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3" s="41" t="n">
        <f aca="false">IF(NOT(Tasks[[#This Row],[_IsLeaf]]=1),0,MAX(_xlfn.MAXIFS(Tasks[_Row],Tasks[Pred1 UID],Tasks[[#This Row],[UID]]),_xlfn.MAXIFS(Tasks[_Row],Tasks[Pred2 UID],Tasks[[#This Row],[UID]])))</f>
        <v>0</v>
      </c>
      <c r="CE6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3" s="103" t="str">
        <f aca="false">IF(NOT(Tasks[[#This Row],[_IsLeaf]]=1),"",MIN(ProjectFinish,IF(N(Tasks[[#This Row],[Deadline]])&gt;0,Tasks[[#This Row],[Deadline]],2958465),Tasks[[#This Row],[_SuccessorFinishLimit]]))</f>
        <v/>
      </c>
      <c r="CG63" s="103" t="str">
        <f aca="false">IF(NOT(Tasks[[#This Row],[_IsLeaf]]=1),"",IF(N(Tasks[[#This Row],[Duration]])&lt;=0,Tasks[[#This Row],[_LeafLateFinish]],WORKDAY.INTL(Tasks[[#This Row],[_LeafLateFinish]],-(Tasks[[#This Row],[Duration]]-1),WorkWeek,Holidays)))</f>
        <v/>
      </c>
      <c r="CH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3" s="102" t="b">
        <f aca="false">AND(Tasks[[#This Row],[_IsLeaf]]=1,Tasks[[#This Row],[_LeafProgress]]&lt;1,N(Tasks[[#This Row],[_LeafTotalSlack]])&lt;=CriticalSlackDays)</f>
        <v>0</v>
      </c>
      <c r="CJ63" s="103" t="str">
        <f aca="false">IF(Tasks[[#This Row],[Task Name]]="","",IF(Tasks[[#This Row],[_IsSummary]],MIN(INDEX(Tasks[_LeafCalcStart],Tasks[[#This Row],[_Row]]+1):INDEX(Tasks[_LeafCalcStart],Tasks[[#This Row],[_Row]]+Tasks[[#This Row],[_Descendants]])),Tasks[[#This Row],[_LeafCalcStart]]))</f>
        <v/>
      </c>
      <c r="CK63" s="103" t="str">
        <f aca="false">IF(Tasks[[#This Row],[Task Name]]="","",IF(Tasks[[#This Row],[_IsSummary]],MAX(INDEX(Tasks[_LeafCalcFinish],Tasks[[#This Row],[_Row]]+1):INDEX(Tasks[_LeafCalcFinish],Tasks[[#This Row],[_Row]]+Tasks[[#This Row],[_Descendants]])),Tasks[[#This Row],[_LeafCalcFinish]]))</f>
        <v/>
      </c>
      <c r="CL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3" s="41" t="n">
        <f aca="false">IF(AND(Tasks[[#This Row],[_IsLeaf]]=1,Tasks[[#This Row],[_LeafWork]]&gt;0),NETWORKDAYS.INTL(ProjectStart,Tasks[[#This Row],[_LeafFcstStart]],WorkWeek,Holidays),0)</f>
        <v>0</v>
      </c>
      <c r="CS63" s="41" t="n">
        <f aca="false">IF(AND(Tasks[[#This Row],[_IsLeaf]]=1,Tasks[[#This Row],[_LeafWork]]&gt;0),MAX(Tasks[[#This Row],[_StartWorkday]],NETWORKDAYS.INTL(ProjectStart,Tasks[[#This Row],[_LeafFcstFinish]],WorkWeek,Holidays)),0)</f>
        <v>0</v>
      </c>
      <c r="CT63" s="41" t="n">
        <f aca="false">IF(AND(Tasks[[#This Row],[_IsLeaf]]=1,Tasks[[#This Row],[_LeafWork]]&gt;0),Tasks[[#This Row],[_LeafWork]]/(Tasks[[#This Row],[_FinishWorkday]]-Tasks[[#This Row],[_StartWorkday]]+1),0)</f>
        <v>0</v>
      </c>
      <c r="CU63" s="41" t="n">
        <f aca="false">Tasks[[#This Row],[_WorkPerWorkday]]*(Tasks[[#This Row],[_StartWorkday]]-1)</f>
        <v>-0</v>
      </c>
      <c r="CV63" s="41" t="n">
        <f aca="false">IF(Tasks[[#This Row],[_IsLeaf]]=1,MAX(N(Tasks[[#This Row],[Duration]]),0.1),0)</f>
        <v>0</v>
      </c>
      <c r="CW63" s="41" t="n">
        <f aca="false">Tasks[[#This Row],[_WeightDur]]*Tasks[[#This Row],[_LeafProgress]]</f>
        <v>0</v>
      </c>
      <c r="CX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3" s="41" t="str">
        <f aca="false">IF(Tasks[[#This Row],[Task Name]]="","",Tasks[[#This Row],[_Pred1UIDText]]&amp;IF(AND(Tasks[[#This Row],[_Pred1UIDText]]&lt;&gt;"",Tasks[[#This Row],[_Pred2UIDText]]&lt;&gt;""),",","")&amp;Tasks[[#This Row],[_Pred2UIDText]])</f>
        <v/>
      </c>
      <c r="DC63" s="41" t="str">
        <f aca="false">IF(AND(Tasks[[#This Row],[_IsLeaf]]=1,N(Tasks[[#This Row],[Duration]])=0,Tasks[[#This Row],[_LeafProgress]]&lt;1),Tasks[[#This Row],[_LeafFcstFinish]]+Tasks[[#This Row],[_Row]]/100000,"")</f>
        <v/>
      </c>
      <c r="DD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3" s="41" t="n">
        <f aca="false">IF(NOT(Tasks[[#This Row],[_IsLeaf]]=1),0,IF(Tasks[[#This Row],[Baseline Cost]]="",Tasks[[#This Row],[_LeafCost]],N(Tasks[[#This Row],[Baseline Cost]])))</f>
        <v>0</v>
      </c>
      <c r="DF63" s="41" t="n">
        <f aca="false">Tasks[[#This Row],[_LeafBudget]]*Tasks[[#This Row],[_PlannedPct]]</f>
        <v>0</v>
      </c>
      <c r="DG63" s="41" t="n">
        <f aca="false">Tasks[[#This Row],[_LeafBudget]]*Tasks[[#This Row],[_LeafProgress]]</f>
        <v>0</v>
      </c>
      <c r="DH63" s="41" t="n">
        <f aca="false">IF(NOT(Tasks[[#This Row],[_IsLeaf]]=1),0,IF(Tasks[[#This Row],[Actual Cost]]="",Tasks[[#This Row],[_LeafCost]]*Tasks[[#This Row],[_LeafProgress]],N(Tasks[[#This Row],[Actual Cost]])))</f>
        <v>0</v>
      </c>
      <c r="DI63" s="41" t="str">
        <f aca="false">IF(Tasks[[#This Row],[Task Name]]="","",LEFT(Tasks[[#This Row],[WBS]],FIND(".",Tasks[[#This Row],[WBS]]&amp;".")-1))</f>
        <v/>
      </c>
      <c r="DJ63" s="41" t="str">
        <f aca="false">IF(AND(Tasks[[#This Row],[Task Name]]&lt;&gt;"",Tasks[[#This Row],[_Level]]=1),Tasks[[#This Row],[_Row]],"")</f>
        <v/>
      </c>
      <c r="DK63" s="41" t="str">
        <f aca="false">IF(AND(Tasks[[#This Row],[_IsLeaf]]=1,N(Tasks[[#This Row],[Duration]])=0),Tasks[[#This Row],[Planned Finish]]+Tasks[[#This Row],[_Row]]/100000,"")</f>
        <v/>
      </c>
      <c r="DL63" s="41" t="str">
        <f aca="false">IF(AND(Tasks[[#This Row],[_IsLeaf]]=1,Tasks[[#This Row],[_LeafProgress]]&lt;1,OR(N(Tasks[[#This Row],[Finish Var]])&gt;0,Tasks[[#This Row],[Status]]="Late Start")),MAX(0,Tasks[[#This Row],[Finish Var]])+1-Tasks[[#This Row],[_Row]]/1000000,"")</f>
        <v/>
      </c>
      <c r="DM63" s="41" t="str">
        <f aca="false">IF(AND(Tasks[[#This Row],[_IsLeaf]]=1,N(Tasks[[#This Row],[Actual Start]])=0,Tasks[[#This Row],[_LeafFcstStart]]&gt;=StatusDate,Tasks[[#This Row],[_LeafFcstStart]]&lt;=LookaheadEnd),Tasks[[#This Row],[_LeafFcstStart]]+Tasks[[#This Row],[_Row]]/100000,"")</f>
        <v/>
      </c>
      <c r="DN63" s="41" t="str">
        <f aca="false">IF(AND(Tasks[[#This Row],[_IsLeaf]]=1,Tasks[[#This Row],[_LeafProgress]]&lt;1,Tasks[[#This Row],[_LeafFcstFinish]]&gt;=StatusDate,Tasks[[#This Row],[_LeafFcstFinish]]&lt;=LookaheadEnd),Tasks[[#This Row],[_LeafFcstFinish]]+Tasks[[#This Row],[_Row]]/100000,"")</f>
        <v/>
      </c>
      <c r="DO63" s="41" t="str">
        <f aca="false">IF(Tasks[[#This Row],[_LeafCritical]],Tasks[[#This Row],[_LeafFcstStart]]+Tasks[[#This Row],[_Row]]/100000,"")</f>
        <v/>
      </c>
      <c r="DP63" s="41" t="n">
        <f aca="false">Tasks[[#This Row],[_LeafWork]]*Tasks[[#This Row],[_LeafProgress]]</f>
        <v>0</v>
      </c>
      <c r="DQ63" s="103" t="str">
        <f aca="false">IF(AND(Tasks[[#This Row],[_IsLeaf]]=1,Tasks[[#This Row],[_LeafProgress]]&gt;=1),IF(N(Tasks[[#This Row],[Actual Finish]])&gt;0,Tasks[[#This Row],[Actual Finish]],Tasks[[#This Row],[_LeafFcstFinish]]),"")</f>
        <v/>
      </c>
      <c r="DR63" s="41" t="n">
        <f aca="false">IF(Tasks[[#This Row],[_IsLeaf]]=1,N(Tasks[[#This Row],[Story Points]]),0)</f>
        <v>0</v>
      </c>
      <c r="DS63" s="41" t="str">
        <f aca="false">IF(AND(Tasks[[#This Row],[_IsLeaf]]=1,CurrentSprint&lt;&gt;"",Tasks[[#This Row],[Sprint]]=CurrentSprint),Tasks[[#This Row],[_Row]],"")</f>
        <v/>
      </c>
    </row>
    <row r="64" customFormat="false" ht="15" hidden="false" customHeight="false" outlineLevel="0" collapsed="false">
      <c r="A64" s="28" t="str">
        <f aca="false">IF(Tasks[[#This Row],[Task Name]]="","",COUNTA(Tasks[[#Headers],[Task Name]]:Tasks[[#This Row],[Task Name]])-1)</f>
        <v/>
      </c>
      <c r="B64" s="29" t="n">
        <v>59</v>
      </c>
      <c r="C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29"/>
      <c r="E64" s="30"/>
      <c r="F64" s="29"/>
      <c r="G64" s="29"/>
      <c r="H64" s="29"/>
      <c r="I64" s="29"/>
      <c r="J64" s="29"/>
      <c r="K64" s="29"/>
      <c r="L64" s="29"/>
      <c r="M64" s="29"/>
      <c r="N64" s="77"/>
      <c r="O64" s="77"/>
      <c r="P64" s="25" t="str">
        <f aca="false">IF(Tasks[[#This Row],[Task Name]]="","",IF(N(Tasks[[#This Row],[Baseline Start]])&gt;0,Tasks[[#This Row],[Baseline Start]],Tasks[[#This Row],[_CalcStart]]))</f>
        <v/>
      </c>
      <c r="Q64" s="25" t="str">
        <f aca="false">IF(Tasks[[#This Row],[Task Name]]="","",IF(N(Tasks[[#This Row],[Baseline Finish]])&gt;0,Tasks[[#This Row],[Baseline Finish]],Tasks[[#This Row],[_CalcFinish]]))</f>
        <v/>
      </c>
      <c r="R64" s="77"/>
      <c r="S64" s="77"/>
      <c r="T64" s="25" t="str">
        <f aca="false">IF(Tasks[[#This Row],[Task Name]]="","",IF(Tasks[[#This Row],[_IsSummary]],MIN(INDEX(Tasks[_LeafFcstStart],Tasks[[#This Row],[_Row]]+1):INDEX(Tasks[_LeafFcstStart],Tasks[[#This Row],[_Row]]+Tasks[[#This Row],[_Descendants]])),Tasks[[#This Row],[_LeafFcstStart]]))</f>
        <v/>
      </c>
      <c r="U64" s="25" t="str">
        <f aca="false">IF(Tasks[[#This Row],[Task Name]]="","",IF(Tasks[[#This Row],[_IsSummary]],MAX(INDEX(Tasks[_LeafFcstFinish],Tasks[[#This Row],[_Row]]+1):INDEX(Tasks[_LeafFcstFinish],Tasks[[#This Row],[_Row]]+Tasks[[#This Row],[_Descendants]])),Tasks[[#This Row],[_LeafFcstFinish]]))</f>
        <v/>
      </c>
      <c r="V6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4" s="25" t="str">
        <f aca="false">IF(Tasks[[#This Row],[Task Name]]="","",IF(Tasks[[#This Row],[_IsSummary]],MIN(INDEX(Tasks[_LeafLateStart],Tasks[[#This Row],[_Row]]+1):INDEX(Tasks[_LeafLateStart],Tasks[[#This Row],[_Row]]+Tasks[[#This Row],[_Descendants]])),Tasks[[#This Row],[_LeafLateStart]]))</f>
        <v/>
      </c>
      <c r="Y64" s="25" t="str">
        <f aca="false">IF(Tasks[[#This Row],[Task Name]]="","",IF(Tasks[[#This Row],[_IsSummary]],MAX(INDEX(Tasks[_LeafLateFinish],Tasks[[#This Row],[_Row]]+1):INDEX(Tasks[_LeafLateFinish],Tasks[[#This Row],[_Row]]+Tasks[[#This Row],[_Descendants]])),Tasks[[#This Row],[_LeafLateFinish]]))</f>
        <v/>
      </c>
      <c r="Z64" s="43" t="str">
        <f aca="false">IF(Tasks[[#This Row],[Task Name]]="","",IF(Tasks[[#This Row],[_IsSummary]],MIN(INDEX(Tasks[_LeafTotalSlack],Tasks[[#This Row],[_Row]]+1):INDEX(Tasks[_LeafTotalSlack],Tasks[[#This Row],[_Row]]+Tasks[[#This Row],[_Descendants]])),Tasks[[#This Row],[_LeafTotalSlack]]))</f>
        <v/>
      </c>
      <c r="AA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4" s="28" t="str">
        <f aca="false">IF(Tasks[[#This Row],[Task Name]]="","",IF(IF(Tasks[[#This Row],[_IsSummary]],COUNTIF(INDEX(Tasks[_LeafCritical],Tasks[[#This Row],[_Row]]+1):INDEX(Tasks[_LeafCritical],Tasks[[#This Row],[_Row]]+Tasks[[#This Row],[_Descendants]]),TRUE())&gt;0,Tasks[[#This Row],[_LeafCritical]]),"Yes",""))</f>
        <v/>
      </c>
      <c r="AC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4" s="24" t="str">
        <f aca="false">IF(Tasks[[#This Row],[Task Name]]="","",TRIM(IF(Tasks[[#This Row],[_Pred1Problem]]&lt;&gt;"","Pred 1: "&amp;Tasks[[#This Row],[_Pred1Problem]]&amp;". ","")&amp;IF(Tasks[[#This Row],[_Pred2Problem]]&lt;&gt;"","Pred 2: "&amp;Tasks[[#This Row],[_Pred2Problem]]&amp;".","")))</f>
        <v/>
      </c>
      <c r="AE64" s="91"/>
      <c r="AF6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4" s="28" t="str">
        <f aca="false">IF(Tasks[[#This Row],[Task Name]]="","",IF(Tasks[[#This Row],[Progress]]&gt;=1,"Complete",IF(OR(N(Tasks[[#This Row],[Actual Start]])&gt;0,Tasks[[#This Row],[Progress]]&gt;0),IF(Tasks[[#This Row],[Finish Var]]&gt;0,"Behind","In Progress"),IF(Tasks[[#This Row],[Planned Start]]&lt;StatusDate,"Late Start","Not Started"))))</f>
        <v/>
      </c>
      <c r="AH64" s="30"/>
      <c r="AI64" s="91"/>
      <c r="AJ6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4" s="98" t="str">
        <f aca="false">IF(Tasks[[#This Row],[Task Name]]="","",IF(Tasks[[#This Row],[_IsSummary]],SUM(INDEX(Tasks[_LeafWork],Tasks[[#This Row],[_Row]]+1):INDEX(Tasks[_LeafWork],Tasks[[#This Row],[_Row]]+Tasks[[#This Row],[_Descendants]])),Tasks[[#This Row],[_LeafWork]]))</f>
        <v/>
      </c>
      <c r="AL64" s="99" t="str">
        <f aca="false">IF(Tasks[[#This Row],[Task Name]]="","",IF(Tasks[[#This Row],[_IsSummary]],SUM(INDEX(Tasks[_LeafCost],Tasks[[#This Row],[_Row]]+1):INDEX(Tasks[_LeafCost],Tasks[[#This Row],[_Row]]+Tasks[[#This Row],[_Descendants]])),Tasks[[#This Row],[_LeafCost]]))</f>
        <v/>
      </c>
      <c r="AM64" s="100"/>
      <c r="AN64" s="29"/>
      <c r="AO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4" s="85"/>
      <c r="AQ64" s="24" t="str">
        <f aca="false">IF(Tasks[[#This Row],[Task Name]]="","",Tasks[[#This Row],[_Pred1IDText]]&amp;IF(AND(Tasks[[#This Row],[_Pred1IDText]]&lt;&gt;"",Tasks[[#This Row],[_Pred2IDText]]&lt;&gt;""),",","")&amp;Tasks[[#This Row],[_Pred2IDText]])</f>
        <v/>
      </c>
      <c r="AR64" s="30"/>
      <c r="AS64" s="25" t="str">
        <f aca="false">IF(Tasks[[#This Row],[Task Name]]="","",Tasks[[#This Row],[Forecast Start]])</f>
        <v/>
      </c>
      <c r="AT64" s="25" t="str">
        <f aca="false">IF(Tasks[[#This Row],[Task Name]]="","",Tasks[[#This Row],[Forecast Finish]])</f>
        <v/>
      </c>
      <c r="AU64" s="28" t="str">
        <f aca="false">IF(Tasks[[#This Row],[Task Name]]="","",IF(Tasks[[#This Row],[_IsSummary]],NETWORKDAYS.INTL(Tasks[[#This Row],[Forecast Start]],Tasks[[#This Row],[Forecast Finish]],WorkWeek,Holidays),N(Tasks[[#This Row],[Duration]])))</f>
        <v/>
      </c>
      <c r="AV64" s="98" t="str">
        <f aca="false">IF(Tasks[[#This Row],[Task Name]]="","",Tasks[[#This Row],[Work]])</f>
        <v/>
      </c>
      <c r="AW64" s="99" t="str">
        <f aca="false">IF(Tasks[[#This Row],[Task Name]]="","",Tasks[[#This Row],[Cost]])</f>
        <v/>
      </c>
      <c r="AX64" s="77"/>
      <c r="AY64" s="77"/>
      <c r="AZ64" s="29"/>
      <c r="BA64" s="101"/>
      <c r="BB64" s="100"/>
      <c r="BC64" s="28" t="str">
        <f aca="false">IF(OR(Tasks[[#This Row],[Task Name]]="",Tasks[[#This Row],[Baseline Duration]]=""),"",Tasks[[#This Row],[BL Source Duration]]-N(Tasks[[#This Row],[Baseline Duration]]))</f>
        <v/>
      </c>
      <c r="BD64" s="98" t="str">
        <f aca="false">IF(OR(Tasks[[#This Row],[Task Name]]="",Tasks[[#This Row],[Baseline Work]]=""),"",Tasks[[#This Row],[Work]]-N(Tasks[[#This Row],[Baseline Work]]))</f>
        <v/>
      </c>
      <c r="BE64" s="99" t="str">
        <f aca="false">IF(OR(Tasks[[#This Row],[Task Name]]="",Tasks[[#This Row],[Baseline Cost]]=""),"",Tasks[[#This Row],[Cost]]-N(Tasks[[#This Row],[Baseline Cost]]))</f>
        <v/>
      </c>
      <c r="BF64" s="99" t="str">
        <f aca="false">IF(Tasks[[#This Row],[Task Name]]="","",IF(Tasks[[#This Row],[_IsSummary]],SUM(INDEX(Tasks[_LeafBudget],Tasks[[#This Row],[_Row]]+1):INDEX(Tasks[_LeafBudget],Tasks[[#This Row],[_Row]]+Tasks[[#This Row],[_Descendants]])),Tasks[[#This Row],[_LeafBudget]]))</f>
        <v/>
      </c>
      <c r="BG64" s="99" t="str">
        <f aca="false">IF(Tasks[[#This Row],[Task Name]]="","",IF(Tasks[[#This Row],[_IsSummary]],SUM(INDEX(Tasks[_LeafPV],Tasks[[#This Row],[_Row]]+1):INDEX(Tasks[_LeafPV],Tasks[[#This Row],[_Row]]+Tasks[[#This Row],[_Descendants]])),Tasks[[#This Row],[_LeafPV]]))</f>
        <v/>
      </c>
      <c r="BH64" s="99" t="str">
        <f aca="false">IF(Tasks[[#This Row],[Task Name]]="","",IF(Tasks[[#This Row],[_IsSummary]],SUM(INDEX(Tasks[_LeafEV],Tasks[[#This Row],[_Row]]+1):INDEX(Tasks[_LeafEV],Tasks[[#This Row],[_Row]]+Tasks[[#This Row],[_Descendants]])),Tasks[[#This Row],[_LeafEV]]))</f>
        <v/>
      </c>
      <c r="BI64" s="99" t="str">
        <f aca="false">IF(Tasks[[#This Row],[Task Name]]="","",IF(Tasks[[#This Row],[_IsSummary]],SUM(INDEX(Tasks[_LeafAC],Tasks[[#This Row],[_Row]]+1):INDEX(Tasks[_LeafAC],Tasks[[#This Row],[_Row]]+Tasks[[#This Row],[_Descendants]])),Tasks[[#This Row],[_LeafAC]]))</f>
        <v/>
      </c>
      <c r="BJ64" s="41" t="str">
        <f aca="false">IF(Tasks[[#This Row],[Task Name]]="","",MAX(1,N(Tasks[[#This Row],[Level]])))</f>
        <v/>
      </c>
      <c r="BK64" s="41" t="n">
        <f aca="false">ROW()-ROW(Tasks[[#Headers],[ID]])</f>
        <v>59</v>
      </c>
      <c r="BL64" s="41" t="n">
        <f aca="false">IF(OR(Tasks[[#This Row],[Task Name]]="",Tasks[[#This Row],[_Level]]&lt;=1),0,IFERROR(LOOKUP(2,1/(Tasks[[#Headers],[_Level]]:Tasks[[#This Row],[_Level]]=Tasks[[#This Row],[_Level]]-1),ROW(Tasks[[#Headers],[_Level]]:Tasks[[#This Row],[_Level]])),0))</f>
        <v>0</v>
      </c>
      <c r="BM64" s="41" t="n">
        <f aca="false">IFERROR(N(INDEX(Tasks[_Level],Tasks[[#This Row],[_Row]]+1)),0)</f>
        <v>0</v>
      </c>
      <c r="BN64" s="102" t="b">
        <f aca="false">AND(Tasks[[#This Row],[Task Name]]&lt;&gt;"",Tasks[[#This Row],[_NextLevel]]&gt;Tasks[[#This Row],[_Level]])</f>
        <v>0</v>
      </c>
      <c r="BO64" s="41" t="n">
        <f aca="false">IF(Tasks[[#This Row],[_IsSummary]],COUNTIF(Tasks[WBS],Tasks[[#This Row],[WBS]]&amp;".*"),0)</f>
        <v>0</v>
      </c>
      <c r="BP64" s="41" t="n">
        <f aca="false">IF(AND(Tasks[[#This Row],[Task Name]]&lt;&gt;"",NOT(Tasks[[#This Row],[_IsSummary]])),1,0)</f>
        <v>0</v>
      </c>
      <c r="BQ64" s="41" t="n">
        <f aca="false">IF(N(Tasks[[#This Row],[Pred1 UID]])=0,0,IFERROR(MATCH(Tasks[[#This Row],[Pred1 UID]],Tasks[UID],0),-1))</f>
        <v>0</v>
      </c>
      <c r="BR64" s="41" t="n">
        <f aca="false">IF(N(Tasks[[#This Row],[Pred2 UID]])=0,0,IFERROR(MATCH(Tasks[[#This Row],[Pred2 UID]],Tasks[UID],0),-1))</f>
        <v>0</v>
      </c>
      <c r="BS6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4" s="103" t="str">
        <f aca="false">IF(NOT(Tasks[[#This Row],[_IsLeaf]]=1),"",IF(N(Tasks[[#This Row],[Duration]])&lt;=0,Tasks[[#This Row],[_LeafCalcStart]],WORKDAY.INTL(Tasks[[#This Row],[_LeafCalcStart]],Tasks[[#This Row],[Duration]]-1,WorkWeek,Holidays)))</f>
        <v/>
      </c>
      <c r="BU6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4" s="41" t="n">
        <f aca="false">IF(NOT(Tasks[[#This Row],[_IsLeaf]]=1),0,IF(N(Tasks[[#This Row],[Actual Finish]])&gt;0,1,MIN(1,N(Tasks[[#This Row],[% Complete]]))))</f>
        <v>0</v>
      </c>
      <c r="BX64" s="41" t="n">
        <f aca="false">IF(OR(NOT(Tasks[[#This Row],[_IsLeaf]]=1),Tasks[[#This Row],[Resource]]=""),0,N(Tasks[[#This Row],[Duration]])*HoursPerDay*IF(Tasks[[#This Row],[Units]]="",DefaultUnits,Tasks[[#This Row],[Units]]))</f>
        <v>0</v>
      </c>
      <c r="BY64" s="41" t="n">
        <f aca="false">IF(Tasks[[#This Row],[_LeafWork]]=0,0,Tasks[[#This Row],[_LeafWork]]*IFERROR(INDEX(res_Rate,MATCH(Tasks[[#This Row],[Resource]],res_Name,0)),0))</f>
        <v>0</v>
      </c>
      <c r="BZ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4" s="41" t="n">
        <f aca="false">IF(NOT(Tasks[[#This Row],[_IsLeaf]]=1),0,MAX(_xlfn.MAXIFS(Tasks[_Row],Tasks[Pred1 UID],Tasks[[#This Row],[UID]]),_xlfn.MAXIFS(Tasks[_Row],Tasks[Pred2 UID],Tasks[[#This Row],[UID]])))</f>
        <v>0</v>
      </c>
      <c r="CE6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4" s="103" t="str">
        <f aca="false">IF(NOT(Tasks[[#This Row],[_IsLeaf]]=1),"",MIN(ProjectFinish,IF(N(Tasks[[#This Row],[Deadline]])&gt;0,Tasks[[#This Row],[Deadline]],2958465),Tasks[[#This Row],[_SuccessorFinishLimit]]))</f>
        <v/>
      </c>
      <c r="CG64" s="103" t="str">
        <f aca="false">IF(NOT(Tasks[[#This Row],[_IsLeaf]]=1),"",IF(N(Tasks[[#This Row],[Duration]])&lt;=0,Tasks[[#This Row],[_LeafLateFinish]],WORKDAY.INTL(Tasks[[#This Row],[_LeafLateFinish]],-(Tasks[[#This Row],[Duration]]-1),WorkWeek,Holidays)))</f>
        <v/>
      </c>
      <c r="CH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4" s="102" t="b">
        <f aca="false">AND(Tasks[[#This Row],[_IsLeaf]]=1,Tasks[[#This Row],[_LeafProgress]]&lt;1,N(Tasks[[#This Row],[_LeafTotalSlack]])&lt;=CriticalSlackDays)</f>
        <v>0</v>
      </c>
      <c r="CJ64" s="103" t="str">
        <f aca="false">IF(Tasks[[#This Row],[Task Name]]="","",IF(Tasks[[#This Row],[_IsSummary]],MIN(INDEX(Tasks[_LeafCalcStart],Tasks[[#This Row],[_Row]]+1):INDEX(Tasks[_LeafCalcStart],Tasks[[#This Row],[_Row]]+Tasks[[#This Row],[_Descendants]])),Tasks[[#This Row],[_LeafCalcStart]]))</f>
        <v/>
      </c>
      <c r="CK64" s="103" t="str">
        <f aca="false">IF(Tasks[[#This Row],[Task Name]]="","",IF(Tasks[[#This Row],[_IsSummary]],MAX(INDEX(Tasks[_LeafCalcFinish],Tasks[[#This Row],[_Row]]+1):INDEX(Tasks[_LeafCalcFinish],Tasks[[#This Row],[_Row]]+Tasks[[#This Row],[_Descendants]])),Tasks[[#This Row],[_LeafCalcFinish]]))</f>
        <v/>
      </c>
      <c r="CL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4" s="41" t="n">
        <f aca="false">IF(AND(Tasks[[#This Row],[_IsLeaf]]=1,Tasks[[#This Row],[_LeafWork]]&gt;0),NETWORKDAYS.INTL(ProjectStart,Tasks[[#This Row],[_LeafFcstStart]],WorkWeek,Holidays),0)</f>
        <v>0</v>
      </c>
      <c r="CS64" s="41" t="n">
        <f aca="false">IF(AND(Tasks[[#This Row],[_IsLeaf]]=1,Tasks[[#This Row],[_LeafWork]]&gt;0),MAX(Tasks[[#This Row],[_StartWorkday]],NETWORKDAYS.INTL(ProjectStart,Tasks[[#This Row],[_LeafFcstFinish]],WorkWeek,Holidays)),0)</f>
        <v>0</v>
      </c>
      <c r="CT64" s="41" t="n">
        <f aca="false">IF(AND(Tasks[[#This Row],[_IsLeaf]]=1,Tasks[[#This Row],[_LeafWork]]&gt;0),Tasks[[#This Row],[_LeafWork]]/(Tasks[[#This Row],[_FinishWorkday]]-Tasks[[#This Row],[_StartWorkday]]+1),0)</f>
        <v>0</v>
      </c>
      <c r="CU64" s="41" t="n">
        <f aca="false">Tasks[[#This Row],[_WorkPerWorkday]]*(Tasks[[#This Row],[_StartWorkday]]-1)</f>
        <v>-0</v>
      </c>
      <c r="CV64" s="41" t="n">
        <f aca="false">IF(Tasks[[#This Row],[_IsLeaf]]=1,MAX(N(Tasks[[#This Row],[Duration]]),0.1),0)</f>
        <v>0</v>
      </c>
      <c r="CW64" s="41" t="n">
        <f aca="false">Tasks[[#This Row],[_WeightDur]]*Tasks[[#This Row],[_LeafProgress]]</f>
        <v>0</v>
      </c>
      <c r="CX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4" s="41" t="str">
        <f aca="false">IF(Tasks[[#This Row],[Task Name]]="","",Tasks[[#This Row],[_Pred1UIDText]]&amp;IF(AND(Tasks[[#This Row],[_Pred1UIDText]]&lt;&gt;"",Tasks[[#This Row],[_Pred2UIDText]]&lt;&gt;""),",","")&amp;Tasks[[#This Row],[_Pred2UIDText]])</f>
        <v/>
      </c>
      <c r="DC64" s="41" t="str">
        <f aca="false">IF(AND(Tasks[[#This Row],[_IsLeaf]]=1,N(Tasks[[#This Row],[Duration]])=0,Tasks[[#This Row],[_LeafProgress]]&lt;1),Tasks[[#This Row],[_LeafFcstFinish]]+Tasks[[#This Row],[_Row]]/100000,"")</f>
        <v/>
      </c>
      <c r="DD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4" s="41" t="n">
        <f aca="false">IF(NOT(Tasks[[#This Row],[_IsLeaf]]=1),0,IF(Tasks[[#This Row],[Baseline Cost]]="",Tasks[[#This Row],[_LeafCost]],N(Tasks[[#This Row],[Baseline Cost]])))</f>
        <v>0</v>
      </c>
      <c r="DF64" s="41" t="n">
        <f aca="false">Tasks[[#This Row],[_LeafBudget]]*Tasks[[#This Row],[_PlannedPct]]</f>
        <v>0</v>
      </c>
      <c r="DG64" s="41" t="n">
        <f aca="false">Tasks[[#This Row],[_LeafBudget]]*Tasks[[#This Row],[_LeafProgress]]</f>
        <v>0</v>
      </c>
      <c r="DH64" s="41" t="n">
        <f aca="false">IF(NOT(Tasks[[#This Row],[_IsLeaf]]=1),0,IF(Tasks[[#This Row],[Actual Cost]]="",Tasks[[#This Row],[_LeafCost]]*Tasks[[#This Row],[_LeafProgress]],N(Tasks[[#This Row],[Actual Cost]])))</f>
        <v>0</v>
      </c>
      <c r="DI64" s="41" t="str">
        <f aca="false">IF(Tasks[[#This Row],[Task Name]]="","",LEFT(Tasks[[#This Row],[WBS]],FIND(".",Tasks[[#This Row],[WBS]]&amp;".")-1))</f>
        <v/>
      </c>
      <c r="DJ64" s="41" t="str">
        <f aca="false">IF(AND(Tasks[[#This Row],[Task Name]]&lt;&gt;"",Tasks[[#This Row],[_Level]]=1),Tasks[[#This Row],[_Row]],"")</f>
        <v/>
      </c>
      <c r="DK64" s="41" t="str">
        <f aca="false">IF(AND(Tasks[[#This Row],[_IsLeaf]]=1,N(Tasks[[#This Row],[Duration]])=0),Tasks[[#This Row],[Planned Finish]]+Tasks[[#This Row],[_Row]]/100000,"")</f>
        <v/>
      </c>
      <c r="DL64" s="41" t="str">
        <f aca="false">IF(AND(Tasks[[#This Row],[_IsLeaf]]=1,Tasks[[#This Row],[_LeafProgress]]&lt;1,OR(N(Tasks[[#This Row],[Finish Var]])&gt;0,Tasks[[#This Row],[Status]]="Late Start")),MAX(0,Tasks[[#This Row],[Finish Var]])+1-Tasks[[#This Row],[_Row]]/1000000,"")</f>
        <v/>
      </c>
      <c r="DM64" s="41" t="str">
        <f aca="false">IF(AND(Tasks[[#This Row],[_IsLeaf]]=1,N(Tasks[[#This Row],[Actual Start]])=0,Tasks[[#This Row],[_LeafFcstStart]]&gt;=StatusDate,Tasks[[#This Row],[_LeafFcstStart]]&lt;=LookaheadEnd),Tasks[[#This Row],[_LeafFcstStart]]+Tasks[[#This Row],[_Row]]/100000,"")</f>
        <v/>
      </c>
      <c r="DN64" s="41" t="str">
        <f aca="false">IF(AND(Tasks[[#This Row],[_IsLeaf]]=1,Tasks[[#This Row],[_LeafProgress]]&lt;1,Tasks[[#This Row],[_LeafFcstFinish]]&gt;=StatusDate,Tasks[[#This Row],[_LeafFcstFinish]]&lt;=LookaheadEnd),Tasks[[#This Row],[_LeafFcstFinish]]+Tasks[[#This Row],[_Row]]/100000,"")</f>
        <v/>
      </c>
      <c r="DO64" s="41" t="str">
        <f aca="false">IF(Tasks[[#This Row],[_LeafCritical]],Tasks[[#This Row],[_LeafFcstStart]]+Tasks[[#This Row],[_Row]]/100000,"")</f>
        <v/>
      </c>
      <c r="DP64" s="41" t="n">
        <f aca="false">Tasks[[#This Row],[_LeafWork]]*Tasks[[#This Row],[_LeafProgress]]</f>
        <v>0</v>
      </c>
      <c r="DQ64" s="103" t="str">
        <f aca="false">IF(AND(Tasks[[#This Row],[_IsLeaf]]=1,Tasks[[#This Row],[_LeafProgress]]&gt;=1),IF(N(Tasks[[#This Row],[Actual Finish]])&gt;0,Tasks[[#This Row],[Actual Finish]],Tasks[[#This Row],[_LeafFcstFinish]]),"")</f>
        <v/>
      </c>
      <c r="DR64" s="41" t="n">
        <f aca="false">IF(Tasks[[#This Row],[_IsLeaf]]=1,N(Tasks[[#This Row],[Story Points]]),0)</f>
        <v>0</v>
      </c>
      <c r="DS64" s="41" t="str">
        <f aca="false">IF(AND(Tasks[[#This Row],[_IsLeaf]]=1,CurrentSprint&lt;&gt;"",Tasks[[#This Row],[Sprint]]=CurrentSprint),Tasks[[#This Row],[_Row]],"")</f>
        <v/>
      </c>
    </row>
    <row r="65" customFormat="false" ht="15" hidden="false" customHeight="false" outlineLevel="0" collapsed="false">
      <c r="A65" s="28" t="str">
        <f aca="false">IF(Tasks[[#This Row],[Task Name]]="","",COUNTA(Tasks[[#Headers],[Task Name]]:Tasks[[#This Row],[Task Name]])-1)</f>
        <v/>
      </c>
      <c r="B65" s="29" t="n">
        <v>60</v>
      </c>
      <c r="C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29"/>
      <c r="E65" s="30"/>
      <c r="F65" s="29"/>
      <c r="G65" s="29"/>
      <c r="H65" s="29"/>
      <c r="I65" s="29"/>
      <c r="J65" s="29"/>
      <c r="K65" s="29"/>
      <c r="L65" s="29"/>
      <c r="M65" s="29"/>
      <c r="N65" s="77"/>
      <c r="O65" s="77"/>
      <c r="P65" s="25" t="str">
        <f aca="false">IF(Tasks[[#This Row],[Task Name]]="","",IF(N(Tasks[[#This Row],[Baseline Start]])&gt;0,Tasks[[#This Row],[Baseline Start]],Tasks[[#This Row],[_CalcStart]]))</f>
        <v/>
      </c>
      <c r="Q65" s="25" t="str">
        <f aca="false">IF(Tasks[[#This Row],[Task Name]]="","",IF(N(Tasks[[#This Row],[Baseline Finish]])&gt;0,Tasks[[#This Row],[Baseline Finish]],Tasks[[#This Row],[_CalcFinish]]))</f>
        <v/>
      </c>
      <c r="R65" s="77"/>
      <c r="S65" s="77"/>
      <c r="T65" s="25" t="str">
        <f aca="false">IF(Tasks[[#This Row],[Task Name]]="","",IF(Tasks[[#This Row],[_IsSummary]],MIN(INDEX(Tasks[_LeafFcstStart],Tasks[[#This Row],[_Row]]+1):INDEX(Tasks[_LeafFcstStart],Tasks[[#This Row],[_Row]]+Tasks[[#This Row],[_Descendants]])),Tasks[[#This Row],[_LeafFcstStart]]))</f>
        <v/>
      </c>
      <c r="U65" s="25" t="str">
        <f aca="false">IF(Tasks[[#This Row],[Task Name]]="","",IF(Tasks[[#This Row],[_IsSummary]],MAX(INDEX(Tasks[_LeafFcstFinish],Tasks[[#This Row],[_Row]]+1):INDEX(Tasks[_LeafFcstFinish],Tasks[[#This Row],[_Row]]+Tasks[[#This Row],[_Descendants]])),Tasks[[#This Row],[_LeafFcstFinish]]))</f>
        <v/>
      </c>
      <c r="V6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5" s="25" t="str">
        <f aca="false">IF(Tasks[[#This Row],[Task Name]]="","",IF(Tasks[[#This Row],[_IsSummary]],MIN(INDEX(Tasks[_LeafLateStart],Tasks[[#This Row],[_Row]]+1):INDEX(Tasks[_LeafLateStart],Tasks[[#This Row],[_Row]]+Tasks[[#This Row],[_Descendants]])),Tasks[[#This Row],[_LeafLateStart]]))</f>
        <v/>
      </c>
      <c r="Y65" s="25" t="str">
        <f aca="false">IF(Tasks[[#This Row],[Task Name]]="","",IF(Tasks[[#This Row],[_IsSummary]],MAX(INDEX(Tasks[_LeafLateFinish],Tasks[[#This Row],[_Row]]+1):INDEX(Tasks[_LeafLateFinish],Tasks[[#This Row],[_Row]]+Tasks[[#This Row],[_Descendants]])),Tasks[[#This Row],[_LeafLateFinish]]))</f>
        <v/>
      </c>
      <c r="Z65" s="43" t="str">
        <f aca="false">IF(Tasks[[#This Row],[Task Name]]="","",IF(Tasks[[#This Row],[_IsSummary]],MIN(INDEX(Tasks[_LeafTotalSlack],Tasks[[#This Row],[_Row]]+1):INDEX(Tasks[_LeafTotalSlack],Tasks[[#This Row],[_Row]]+Tasks[[#This Row],[_Descendants]])),Tasks[[#This Row],[_LeafTotalSlack]]))</f>
        <v/>
      </c>
      <c r="AA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5" s="28" t="str">
        <f aca="false">IF(Tasks[[#This Row],[Task Name]]="","",IF(IF(Tasks[[#This Row],[_IsSummary]],COUNTIF(INDEX(Tasks[_LeafCritical],Tasks[[#This Row],[_Row]]+1):INDEX(Tasks[_LeafCritical],Tasks[[#This Row],[_Row]]+Tasks[[#This Row],[_Descendants]]),TRUE())&gt;0,Tasks[[#This Row],[_LeafCritical]]),"Yes",""))</f>
        <v/>
      </c>
      <c r="AC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5" s="24" t="str">
        <f aca="false">IF(Tasks[[#This Row],[Task Name]]="","",TRIM(IF(Tasks[[#This Row],[_Pred1Problem]]&lt;&gt;"","Pred 1: "&amp;Tasks[[#This Row],[_Pred1Problem]]&amp;". ","")&amp;IF(Tasks[[#This Row],[_Pred2Problem]]&lt;&gt;"","Pred 2: "&amp;Tasks[[#This Row],[_Pred2Problem]]&amp;".","")))</f>
        <v/>
      </c>
      <c r="AE65" s="91"/>
      <c r="AF6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5" s="28" t="str">
        <f aca="false">IF(Tasks[[#This Row],[Task Name]]="","",IF(Tasks[[#This Row],[Progress]]&gt;=1,"Complete",IF(OR(N(Tasks[[#This Row],[Actual Start]])&gt;0,Tasks[[#This Row],[Progress]]&gt;0),IF(Tasks[[#This Row],[Finish Var]]&gt;0,"Behind","In Progress"),IF(Tasks[[#This Row],[Planned Start]]&lt;StatusDate,"Late Start","Not Started"))))</f>
        <v/>
      </c>
      <c r="AH65" s="30"/>
      <c r="AI65" s="91"/>
      <c r="AJ6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5" s="98" t="str">
        <f aca="false">IF(Tasks[[#This Row],[Task Name]]="","",IF(Tasks[[#This Row],[_IsSummary]],SUM(INDEX(Tasks[_LeafWork],Tasks[[#This Row],[_Row]]+1):INDEX(Tasks[_LeafWork],Tasks[[#This Row],[_Row]]+Tasks[[#This Row],[_Descendants]])),Tasks[[#This Row],[_LeafWork]]))</f>
        <v/>
      </c>
      <c r="AL65" s="99" t="str">
        <f aca="false">IF(Tasks[[#This Row],[Task Name]]="","",IF(Tasks[[#This Row],[_IsSummary]],SUM(INDEX(Tasks[_LeafCost],Tasks[[#This Row],[_Row]]+1):INDEX(Tasks[_LeafCost],Tasks[[#This Row],[_Row]]+Tasks[[#This Row],[_Descendants]])),Tasks[[#This Row],[_LeafCost]]))</f>
        <v/>
      </c>
      <c r="AM65" s="100"/>
      <c r="AN65" s="29"/>
      <c r="AO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5" s="85"/>
      <c r="AQ65" s="24" t="str">
        <f aca="false">IF(Tasks[[#This Row],[Task Name]]="","",Tasks[[#This Row],[_Pred1IDText]]&amp;IF(AND(Tasks[[#This Row],[_Pred1IDText]]&lt;&gt;"",Tasks[[#This Row],[_Pred2IDText]]&lt;&gt;""),",","")&amp;Tasks[[#This Row],[_Pred2IDText]])</f>
        <v/>
      </c>
      <c r="AR65" s="30"/>
      <c r="AS65" s="25" t="str">
        <f aca="false">IF(Tasks[[#This Row],[Task Name]]="","",Tasks[[#This Row],[Forecast Start]])</f>
        <v/>
      </c>
      <c r="AT65" s="25" t="str">
        <f aca="false">IF(Tasks[[#This Row],[Task Name]]="","",Tasks[[#This Row],[Forecast Finish]])</f>
        <v/>
      </c>
      <c r="AU65" s="28" t="str">
        <f aca="false">IF(Tasks[[#This Row],[Task Name]]="","",IF(Tasks[[#This Row],[_IsSummary]],NETWORKDAYS.INTL(Tasks[[#This Row],[Forecast Start]],Tasks[[#This Row],[Forecast Finish]],WorkWeek,Holidays),N(Tasks[[#This Row],[Duration]])))</f>
        <v/>
      </c>
      <c r="AV65" s="98" t="str">
        <f aca="false">IF(Tasks[[#This Row],[Task Name]]="","",Tasks[[#This Row],[Work]])</f>
        <v/>
      </c>
      <c r="AW65" s="99" t="str">
        <f aca="false">IF(Tasks[[#This Row],[Task Name]]="","",Tasks[[#This Row],[Cost]])</f>
        <v/>
      </c>
      <c r="AX65" s="77"/>
      <c r="AY65" s="77"/>
      <c r="AZ65" s="29"/>
      <c r="BA65" s="101"/>
      <c r="BB65" s="100"/>
      <c r="BC65" s="28" t="str">
        <f aca="false">IF(OR(Tasks[[#This Row],[Task Name]]="",Tasks[[#This Row],[Baseline Duration]]=""),"",Tasks[[#This Row],[BL Source Duration]]-N(Tasks[[#This Row],[Baseline Duration]]))</f>
        <v/>
      </c>
      <c r="BD65" s="98" t="str">
        <f aca="false">IF(OR(Tasks[[#This Row],[Task Name]]="",Tasks[[#This Row],[Baseline Work]]=""),"",Tasks[[#This Row],[Work]]-N(Tasks[[#This Row],[Baseline Work]]))</f>
        <v/>
      </c>
      <c r="BE65" s="99" t="str">
        <f aca="false">IF(OR(Tasks[[#This Row],[Task Name]]="",Tasks[[#This Row],[Baseline Cost]]=""),"",Tasks[[#This Row],[Cost]]-N(Tasks[[#This Row],[Baseline Cost]]))</f>
        <v/>
      </c>
      <c r="BF65" s="99" t="str">
        <f aca="false">IF(Tasks[[#This Row],[Task Name]]="","",IF(Tasks[[#This Row],[_IsSummary]],SUM(INDEX(Tasks[_LeafBudget],Tasks[[#This Row],[_Row]]+1):INDEX(Tasks[_LeafBudget],Tasks[[#This Row],[_Row]]+Tasks[[#This Row],[_Descendants]])),Tasks[[#This Row],[_LeafBudget]]))</f>
        <v/>
      </c>
      <c r="BG65" s="99" t="str">
        <f aca="false">IF(Tasks[[#This Row],[Task Name]]="","",IF(Tasks[[#This Row],[_IsSummary]],SUM(INDEX(Tasks[_LeafPV],Tasks[[#This Row],[_Row]]+1):INDEX(Tasks[_LeafPV],Tasks[[#This Row],[_Row]]+Tasks[[#This Row],[_Descendants]])),Tasks[[#This Row],[_LeafPV]]))</f>
        <v/>
      </c>
      <c r="BH65" s="99" t="str">
        <f aca="false">IF(Tasks[[#This Row],[Task Name]]="","",IF(Tasks[[#This Row],[_IsSummary]],SUM(INDEX(Tasks[_LeafEV],Tasks[[#This Row],[_Row]]+1):INDEX(Tasks[_LeafEV],Tasks[[#This Row],[_Row]]+Tasks[[#This Row],[_Descendants]])),Tasks[[#This Row],[_LeafEV]]))</f>
        <v/>
      </c>
      <c r="BI65" s="99" t="str">
        <f aca="false">IF(Tasks[[#This Row],[Task Name]]="","",IF(Tasks[[#This Row],[_IsSummary]],SUM(INDEX(Tasks[_LeafAC],Tasks[[#This Row],[_Row]]+1):INDEX(Tasks[_LeafAC],Tasks[[#This Row],[_Row]]+Tasks[[#This Row],[_Descendants]])),Tasks[[#This Row],[_LeafAC]]))</f>
        <v/>
      </c>
      <c r="BJ65" s="41" t="str">
        <f aca="false">IF(Tasks[[#This Row],[Task Name]]="","",MAX(1,N(Tasks[[#This Row],[Level]])))</f>
        <v/>
      </c>
      <c r="BK65" s="41" t="n">
        <f aca="false">ROW()-ROW(Tasks[[#Headers],[ID]])</f>
        <v>60</v>
      </c>
      <c r="BL65" s="41" t="n">
        <f aca="false">IF(OR(Tasks[[#This Row],[Task Name]]="",Tasks[[#This Row],[_Level]]&lt;=1),0,IFERROR(LOOKUP(2,1/(Tasks[[#Headers],[_Level]]:Tasks[[#This Row],[_Level]]=Tasks[[#This Row],[_Level]]-1),ROW(Tasks[[#Headers],[_Level]]:Tasks[[#This Row],[_Level]])),0))</f>
        <v>0</v>
      </c>
      <c r="BM65" s="41" t="n">
        <f aca="false">IFERROR(N(INDEX(Tasks[_Level],Tasks[[#This Row],[_Row]]+1)),0)</f>
        <v>0</v>
      </c>
      <c r="BN65" s="102" t="b">
        <f aca="false">AND(Tasks[[#This Row],[Task Name]]&lt;&gt;"",Tasks[[#This Row],[_NextLevel]]&gt;Tasks[[#This Row],[_Level]])</f>
        <v>0</v>
      </c>
      <c r="BO65" s="41" t="n">
        <f aca="false">IF(Tasks[[#This Row],[_IsSummary]],COUNTIF(Tasks[WBS],Tasks[[#This Row],[WBS]]&amp;".*"),0)</f>
        <v>0</v>
      </c>
      <c r="BP65" s="41" t="n">
        <f aca="false">IF(AND(Tasks[[#This Row],[Task Name]]&lt;&gt;"",NOT(Tasks[[#This Row],[_IsSummary]])),1,0)</f>
        <v>0</v>
      </c>
      <c r="BQ65" s="41" t="n">
        <f aca="false">IF(N(Tasks[[#This Row],[Pred1 UID]])=0,0,IFERROR(MATCH(Tasks[[#This Row],[Pred1 UID]],Tasks[UID],0),-1))</f>
        <v>0</v>
      </c>
      <c r="BR65" s="41" t="n">
        <f aca="false">IF(N(Tasks[[#This Row],[Pred2 UID]])=0,0,IFERROR(MATCH(Tasks[[#This Row],[Pred2 UID]],Tasks[UID],0),-1))</f>
        <v>0</v>
      </c>
      <c r="BS6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5" s="103" t="str">
        <f aca="false">IF(NOT(Tasks[[#This Row],[_IsLeaf]]=1),"",IF(N(Tasks[[#This Row],[Duration]])&lt;=0,Tasks[[#This Row],[_LeafCalcStart]],WORKDAY.INTL(Tasks[[#This Row],[_LeafCalcStart]],Tasks[[#This Row],[Duration]]-1,WorkWeek,Holidays)))</f>
        <v/>
      </c>
      <c r="BU6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5" s="41" t="n">
        <f aca="false">IF(NOT(Tasks[[#This Row],[_IsLeaf]]=1),0,IF(N(Tasks[[#This Row],[Actual Finish]])&gt;0,1,MIN(1,N(Tasks[[#This Row],[% Complete]]))))</f>
        <v>0</v>
      </c>
      <c r="BX65" s="41" t="n">
        <f aca="false">IF(OR(NOT(Tasks[[#This Row],[_IsLeaf]]=1),Tasks[[#This Row],[Resource]]=""),0,N(Tasks[[#This Row],[Duration]])*HoursPerDay*IF(Tasks[[#This Row],[Units]]="",DefaultUnits,Tasks[[#This Row],[Units]]))</f>
        <v>0</v>
      </c>
      <c r="BY65" s="41" t="n">
        <f aca="false">IF(Tasks[[#This Row],[_LeafWork]]=0,0,Tasks[[#This Row],[_LeafWork]]*IFERROR(INDEX(res_Rate,MATCH(Tasks[[#This Row],[Resource]],res_Name,0)),0))</f>
        <v>0</v>
      </c>
      <c r="BZ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5" s="41" t="n">
        <f aca="false">IF(NOT(Tasks[[#This Row],[_IsLeaf]]=1),0,MAX(_xlfn.MAXIFS(Tasks[_Row],Tasks[Pred1 UID],Tasks[[#This Row],[UID]]),_xlfn.MAXIFS(Tasks[_Row],Tasks[Pred2 UID],Tasks[[#This Row],[UID]])))</f>
        <v>0</v>
      </c>
      <c r="CE6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5" s="103" t="str">
        <f aca="false">IF(NOT(Tasks[[#This Row],[_IsLeaf]]=1),"",MIN(ProjectFinish,IF(N(Tasks[[#This Row],[Deadline]])&gt;0,Tasks[[#This Row],[Deadline]],2958465),Tasks[[#This Row],[_SuccessorFinishLimit]]))</f>
        <v/>
      </c>
      <c r="CG65" s="103" t="str">
        <f aca="false">IF(NOT(Tasks[[#This Row],[_IsLeaf]]=1),"",IF(N(Tasks[[#This Row],[Duration]])&lt;=0,Tasks[[#This Row],[_LeafLateFinish]],WORKDAY.INTL(Tasks[[#This Row],[_LeafLateFinish]],-(Tasks[[#This Row],[Duration]]-1),WorkWeek,Holidays)))</f>
        <v/>
      </c>
      <c r="CH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5" s="102" t="b">
        <f aca="false">AND(Tasks[[#This Row],[_IsLeaf]]=1,Tasks[[#This Row],[_LeafProgress]]&lt;1,N(Tasks[[#This Row],[_LeafTotalSlack]])&lt;=CriticalSlackDays)</f>
        <v>0</v>
      </c>
      <c r="CJ65" s="103" t="str">
        <f aca="false">IF(Tasks[[#This Row],[Task Name]]="","",IF(Tasks[[#This Row],[_IsSummary]],MIN(INDEX(Tasks[_LeafCalcStart],Tasks[[#This Row],[_Row]]+1):INDEX(Tasks[_LeafCalcStart],Tasks[[#This Row],[_Row]]+Tasks[[#This Row],[_Descendants]])),Tasks[[#This Row],[_LeafCalcStart]]))</f>
        <v/>
      </c>
      <c r="CK65" s="103" t="str">
        <f aca="false">IF(Tasks[[#This Row],[Task Name]]="","",IF(Tasks[[#This Row],[_IsSummary]],MAX(INDEX(Tasks[_LeafCalcFinish],Tasks[[#This Row],[_Row]]+1):INDEX(Tasks[_LeafCalcFinish],Tasks[[#This Row],[_Row]]+Tasks[[#This Row],[_Descendants]])),Tasks[[#This Row],[_LeafCalcFinish]]))</f>
        <v/>
      </c>
      <c r="CL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5" s="41" t="n">
        <f aca="false">IF(AND(Tasks[[#This Row],[_IsLeaf]]=1,Tasks[[#This Row],[_LeafWork]]&gt;0),NETWORKDAYS.INTL(ProjectStart,Tasks[[#This Row],[_LeafFcstStart]],WorkWeek,Holidays),0)</f>
        <v>0</v>
      </c>
      <c r="CS65" s="41" t="n">
        <f aca="false">IF(AND(Tasks[[#This Row],[_IsLeaf]]=1,Tasks[[#This Row],[_LeafWork]]&gt;0),MAX(Tasks[[#This Row],[_StartWorkday]],NETWORKDAYS.INTL(ProjectStart,Tasks[[#This Row],[_LeafFcstFinish]],WorkWeek,Holidays)),0)</f>
        <v>0</v>
      </c>
      <c r="CT65" s="41" t="n">
        <f aca="false">IF(AND(Tasks[[#This Row],[_IsLeaf]]=1,Tasks[[#This Row],[_LeafWork]]&gt;0),Tasks[[#This Row],[_LeafWork]]/(Tasks[[#This Row],[_FinishWorkday]]-Tasks[[#This Row],[_StartWorkday]]+1),0)</f>
        <v>0</v>
      </c>
      <c r="CU65" s="41" t="n">
        <f aca="false">Tasks[[#This Row],[_WorkPerWorkday]]*(Tasks[[#This Row],[_StartWorkday]]-1)</f>
        <v>-0</v>
      </c>
      <c r="CV65" s="41" t="n">
        <f aca="false">IF(Tasks[[#This Row],[_IsLeaf]]=1,MAX(N(Tasks[[#This Row],[Duration]]),0.1),0)</f>
        <v>0</v>
      </c>
      <c r="CW65" s="41" t="n">
        <f aca="false">Tasks[[#This Row],[_WeightDur]]*Tasks[[#This Row],[_LeafProgress]]</f>
        <v>0</v>
      </c>
      <c r="CX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5" s="41" t="str">
        <f aca="false">IF(Tasks[[#This Row],[Task Name]]="","",Tasks[[#This Row],[_Pred1UIDText]]&amp;IF(AND(Tasks[[#This Row],[_Pred1UIDText]]&lt;&gt;"",Tasks[[#This Row],[_Pred2UIDText]]&lt;&gt;""),",","")&amp;Tasks[[#This Row],[_Pred2UIDText]])</f>
        <v/>
      </c>
      <c r="DC65" s="41" t="str">
        <f aca="false">IF(AND(Tasks[[#This Row],[_IsLeaf]]=1,N(Tasks[[#This Row],[Duration]])=0,Tasks[[#This Row],[_LeafProgress]]&lt;1),Tasks[[#This Row],[_LeafFcstFinish]]+Tasks[[#This Row],[_Row]]/100000,"")</f>
        <v/>
      </c>
      <c r="DD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5" s="41" t="n">
        <f aca="false">IF(NOT(Tasks[[#This Row],[_IsLeaf]]=1),0,IF(Tasks[[#This Row],[Baseline Cost]]="",Tasks[[#This Row],[_LeafCost]],N(Tasks[[#This Row],[Baseline Cost]])))</f>
        <v>0</v>
      </c>
      <c r="DF65" s="41" t="n">
        <f aca="false">Tasks[[#This Row],[_LeafBudget]]*Tasks[[#This Row],[_PlannedPct]]</f>
        <v>0</v>
      </c>
      <c r="DG65" s="41" t="n">
        <f aca="false">Tasks[[#This Row],[_LeafBudget]]*Tasks[[#This Row],[_LeafProgress]]</f>
        <v>0</v>
      </c>
      <c r="DH65" s="41" t="n">
        <f aca="false">IF(NOT(Tasks[[#This Row],[_IsLeaf]]=1),0,IF(Tasks[[#This Row],[Actual Cost]]="",Tasks[[#This Row],[_LeafCost]]*Tasks[[#This Row],[_LeafProgress]],N(Tasks[[#This Row],[Actual Cost]])))</f>
        <v>0</v>
      </c>
      <c r="DI65" s="41" t="str">
        <f aca="false">IF(Tasks[[#This Row],[Task Name]]="","",LEFT(Tasks[[#This Row],[WBS]],FIND(".",Tasks[[#This Row],[WBS]]&amp;".")-1))</f>
        <v/>
      </c>
      <c r="DJ65" s="41" t="str">
        <f aca="false">IF(AND(Tasks[[#This Row],[Task Name]]&lt;&gt;"",Tasks[[#This Row],[_Level]]=1),Tasks[[#This Row],[_Row]],"")</f>
        <v/>
      </c>
      <c r="DK65" s="41" t="str">
        <f aca="false">IF(AND(Tasks[[#This Row],[_IsLeaf]]=1,N(Tasks[[#This Row],[Duration]])=0),Tasks[[#This Row],[Planned Finish]]+Tasks[[#This Row],[_Row]]/100000,"")</f>
        <v/>
      </c>
      <c r="DL65" s="41" t="str">
        <f aca="false">IF(AND(Tasks[[#This Row],[_IsLeaf]]=1,Tasks[[#This Row],[_LeafProgress]]&lt;1,OR(N(Tasks[[#This Row],[Finish Var]])&gt;0,Tasks[[#This Row],[Status]]="Late Start")),MAX(0,Tasks[[#This Row],[Finish Var]])+1-Tasks[[#This Row],[_Row]]/1000000,"")</f>
        <v/>
      </c>
      <c r="DM65" s="41" t="str">
        <f aca="false">IF(AND(Tasks[[#This Row],[_IsLeaf]]=1,N(Tasks[[#This Row],[Actual Start]])=0,Tasks[[#This Row],[_LeafFcstStart]]&gt;=StatusDate,Tasks[[#This Row],[_LeafFcstStart]]&lt;=LookaheadEnd),Tasks[[#This Row],[_LeafFcstStart]]+Tasks[[#This Row],[_Row]]/100000,"")</f>
        <v/>
      </c>
      <c r="DN65" s="41" t="str">
        <f aca="false">IF(AND(Tasks[[#This Row],[_IsLeaf]]=1,Tasks[[#This Row],[_LeafProgress]]&lt;1,Tasks[[#This Row],[_LeafFcstFinish]]&gt;=StatusDate,Tasks[[#This Row],[_LeafFcstFinish]]&lt;=LookaheadEnd),Tasks[[#This Row],[_LeafFcstFinish]]+Tasks[[#This Row],[_Row]]/100000,"")</f>
        <v/>
      </c>
      <c r="DO65" s="41" t="str">
        <f aca="false">IF(Tasks[[#This Row],[_LeafCritical]],Tasks[[#This Row],[_LeafFcstStart]]+Tasks[[#This Row],[_Row]]/100000,"")</f>
        <v/>
      </c>
      <c r="DP65" s="41" t="n">
        <f aca="false">Tasks[[#This Row],[_LeafWork]]*Tasks[[#This Row],[_LeafProgress]]</f>
        <v>0</v>
      </c>
      <c r="DQ65" s="103" t="str">
        <f aca="false">IF(AND(Tasks[[#This Row],[_IsLeaf]]=1,Tasks[[#This Row],[_LeafProgress]]&gt;=1),IF(N(Tasks[[#This Row],[Actual Finish]])&gt;0,Tasks[[#This Row],[Actual Finish]],Tasks[[#This Row],[_LeafFcstFinish]]),"")</f>
        <v/>
      </c>
      <c r="DR65" s="41" t="n">
        <f aca="false">IF(Tasks[[#This Row],[_IsLeaf]]=1,N(Tasks[[#This Row],[Story Points]]),0)</f>
        <v>0</v>
      </c>
      <c r="DS65" s="41" t="str">
        <f aca="false">IF(AND(Tasks[[#This Row],[_IsLeaf]]=1,CurrentSprint&lt;&gt;"",Tasks[[#This Row],[Sprint]]=CurrentSprint),Tasks[[#This Row],[_Row]],"")</f>
        <v/>
      </c>
    </row>
    <row r="66" customFormat="false" ht="15" hidden="false" customHeight="false" outlineLevel="0" collapsed="false">
      <c r="A66" s="28" t="str">
        <f aca="false">IF(Tasks[[#This Row],[Task Name]]="","",COUNTA(Tasks[[#Headers],[Task Name]]:Tasks[[#This Row],[Task Name]])-1)</f>
        <v/>
      </c>
      <c r="B66" s="29" t="n">
        <v>61</v>
      </c>
      <c r="C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29"/>
      <c r="E66" s="30"/>
      <c r="F66" s="29"/>
      <c r="G66" s="29"/>
      <c r="H66" s="29"/>
      <c r="I66" s="29"/>
      <c r="J66" s="29"/>
      <c r="K66" s="29"/>
      <c r="L66" s="29"/>
      <c r="M66" s="29"/>
      <c r="N66" s="77"/>
      <c r="O66" s="77"/>
      <c r="P66" s="25" t="str">
        <f aca="false">IF(Tasks[[#This Row],[Task Name]]="","",IF(N(Tasks[[#This Row],[Baseline Start]])&gt;0,Tasks[[#This Row],[Baseline Start]],Tasks[[#This Row],[_CalcStart]]))</f>
        <v/>
      </c>
      <c r="Q66" s="25" t="str">
        <f aca="false">IF(Tasks[[#This Row],[Task Name]]="","",IF(N(Tasks[[#This Row],[Baseline Finish]])&gt;0,Tasks[[#This Row],[Baseline Finish]],Tasks[[#This Row],[_CalcFinish]]))</f>
        <v/>
      </c>
      <c r="R66" s="77"/>
      <c r="S66" s="77"/>
      <c r="T66" s="25" t="str">
        <f aca="false">IF(Tasks[[#This Row],[Task Name]]="","",IF(Tasks[[#This Row],[_IsSummary]],MIN(INDEX(Tasks[_LeafFcstStart],Tasks[[#This Row],[_Row]]+1):INDEX(Tasks[_LeafFcstStart],Tasks[[#This Row],[_Row]]+Tasks[[#This Row],[_Descendants]])),Tasks[[#This Row],[_LeafFcstStart]]))</f>
        <v/>
      </c>
      <c r="U66" s="25" t="str">
        <f aca="false">IF(Tasks[[#This Row],[Task Name]]="","",IF(Tasks[[#This Row],[_IsSummary]],MAX(INDEX(Tasks[_LeafFcstFinish],Tasks[[#This Row],[_Row]]+1):INDEX(Tasks[_LeafFcstFinish],Tasks[[#This Row],[_Row]]+Tasks[[#This Row],[_Descendants]])),Tasks[[#This Row],[_LeafFcstFinish]]))</f>
        <v/>
      </c>
      <c r="V6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6" s="25" t="str">
        <f aca="false">IF(Tasks[[#This Row],[Task Name]]="","",IF(Tasks[[#This Row],[_IsSummary]],MIN(INDEX(Tasks[_LeafLateStart],Tasks[[#This Row],[_Row]]+1):INDEX(Tasks[_LeafLateStart],Tasks[[#This Row],[_Row]]+Tasks[[#This Row],[_Descendants]])),Tasks[[#This Row],[_LeafLateStart]]))</f>
        <v/>
      </c>
      <c r="Y66" s="25" t="str">
        <f aca="false">IF(Tasks[[#This Row],[Task Name]]="","",IF(Tasks[[#This Row],[_IsSummary]],MAX(INDEX(Tasks[_LeafLateFinish],Tasks[[#This Row],[_Row]]+1):INDEX(Tasks[_LeafLateFinish],Tasks[[#This Row],[_Row]]+Tasks[[#This Row],[_Descendants]])),Tasks[[#This Row],[_LeafLateFinish]]))</f>
        <v/>
      </c>
      <c r="Z66" s="43" t="str">
        <f aca="false">IF(Tasks[[#This Row],[Task Name]]="","",IF(Tasks[[#This Row],[_IsSummary]],MIN(INDEX(Tasks[_LeafTotalSlack],Tasks[[#This Row],[_Row]]+1):INDEX(Tasks[_LeafTotalSlack],Tasks[[#This Row],[_Row]]+Tasks[[#This Row],[_Descendants]])),Tasks[[#This Row],[_LeafTotalSlack]]))</f>
        <v/>
      </c>
      <c r="AA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6" s="28" t="str">
        <f aca="false">IF(Tasks[[#This Row],[Task Name]]="","",IF(IF(Tasks[[#This Row],[_IsSummary]],COUNTIF(INDEX(Tasks[_LeafCritical],Tasks[[#This Row],[_Row]]+1):INDEX(Tasks[_LeafCritical],Tasks[[#This Row],[_Row]]+Tasks[[#This Row],[_Descendants]]),TRUE())&gt;0,Tasks[[#This Row],[_LeafCritical]]),"Yes",""))</f>
        <v/>
      </c>
      <c r="AC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6" s="24" t="str">
        <f aca="false">IF(Tasks[[#This Row],[Task Name]]="","",TRIM(IF(Tasks[[#This Row],[_Pred1Problem]]&lt;&gt;"","Pred 1: "&amp;Tasks[[#This Row],[_Pred1Problem]]&amp;". ","")&amp;IF(Tasks[[#This Row],[_Pred2Problem]]&lt;&gt;"","Pred 2: "&amp;Tasks[[#This Row],[_Pred2Problem]]&amp;".","")))</f>
        <v/>
      </c>
      <c r="AE66" s="91"/>
      <c r="AF6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6" s="28" t="str">
        <f aca="false">IF(Tasks[[#This Row],[Task Name]]="","",IF(Tasks[[#This Row],[Progress]]&gt;=1,"Complete",IF(OR(N(Tasks[[#This Row],[Actual Start]])&gt;0,Tasks[[#This Row],[Progress]]&gt;0),IF(Tasks[[#This Row],[Finish Var]]&gt;0,"Behind","In Progress"),IF(Tasks[[#This Row],[Planned Start]]&lt;StatusDate,"Late Start","Not Started"))))</f>
        <v/>
      </c>
      <c r="AH66" s="30"/>
      <c r="AI66" s="91"/>
      <c r="AJ6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6" s="98" t="str">
        <f aca="false">IF(Tasks[[#This Row],[Task Name]]="","",IF(Tasks[[#This Row],[_IsSummary]],SUM(INDEX(Tasks[_LeafWork],Tasks[[#This Row],[_Row]]+1):INDEX(Tasks[_LeafWork],Tasks[[#This Row],[_Row]]+Tasks[[#This Row],[_Descendants]])),Tasks[[#This Row],[_LeafWork]]))</f>
        <v/>
      </c>
      <c r="AL66" s="99" t="str">
        <f aca="false">IF(Tasks[[#This Row],[Task Name]]="","",IF(Tasks[[#This Row],[_IsSummary]],SUM(INDEX(Tasks[_LeafCost],Tasks[[#This Row],[_Row]]+1):INDEX(Tasks[_LeafCost],Tasks[[#This Row],[_Row]]+Tasks[[#This Row],[_Descendants]])),Tasks[[#This Row],[_LeafCost]]))</f>
        <v/>
      </c>
      <c r="AM66" s="100"/>
      <c r="AN66" s="29"/>
      <c r="AO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6" s="85"/>
      <c r="AQ66" s="24" t="str">
        <f aca="false">IF(Tasks[[#This Row],[Task Name]]="","",Tasks[[#This Row],[_Pred1IDText]]&amp;IF(AND(Tasks[[#This Row],[_Pred1IDText]]&lt;&gt;"",Tasks[[#This Row],[_Pred2IDText]]&lt;&gt;""),",","")&amp;Tasks[[#This Row],[_Pred2IDText]])</f>
        <v/>
      </c>
      <c r="AR66" s="30"/>
      <c r="AS66" s="25" t="str">
        <f aca="false">IF(Tasks[[#This Row],[Task Name]]="","",Tasks[[#This Row],[Forecast Start]])</f>
        <v/>
      </c>
      <c r="AT66" s="25" t="str">
        <f aca="false">IF(Tasks[[#This Row],[Task Name]]="","",Tasks[[#This Row],[Forecast Finish]])</f>
        <v/>
      </c>
      <c r="AU66" s="28" t="str">
        <f aca="false">IF(Tasks[[#This Row],[Task Name]]="","",IF(Tasks[[#This Row],[_IsSummary]],NETWORKDAYS.INTL(Tasks[[#This Row],[Forecast Start]],Tasks[[#This Row],[Forecast Finish]],WorkWeek,Holidays),N(Tasks[[#This Row],[Duration]])))</f>
        <v/>
      </c>
      <c r="AV66" s="98" t="str">
        <f aca="false">IF(Tasks[[#This Row],[Task Name]]="","",Tasks[[#This Row],[Work]])</f>
        <v/>
      </c>
      <c r="AW66" s="99" t="str">
        <f aca="false">IF(Tasks[[#This Row],[Task Name]]="","",Tasks[[#This Row],[Cost]])</f>
        <v/>
      </c>
      <c r="AX66" s="77"/>
      <c r="AY66" s="77"/>
      <c r="AZ66" s="29"/>
      <c r="BA66" s="101"/>
      <c r="BB66" s="100"/>
      <c r="BC66" s="28" t="str">
        <f aca="false">IF(OR(Tasks[[#This Row],[Task Name]]="",Tasks[[#This Row],[Baseline Duration]]=""),"",Tasks[[#This Row],[BL Source Duration]]-N(Tasks[[#This Row],[Baseline Duration]]))</f>
        <v/>
      </c>
      <c r="BD66" s="98" t="str">
        <f aca="false">IF(OR(Tasks[[#This Row],[Task Name]]="",Tasks[[#This Row],[Baseline Work]]=""),"",Tasks[[#This Row],[Work]]-N(Tasks[[#This Row],[Baseline Work]]))</f>
        <v/>
      </c>
      <c r="BE66" s="99" t="str">
        <f aca="false">IF(OR(Tasks[[#This Row],[Task Name]]="",Tasks[[#This Row],[Baseline Cost]]=""),"",Tasks[[#This Row],[Cost]]-N(Tasks[[#This Row],[Baseline Cost]]))</f>
        <v/>
      </c>
      <c r="BF66" s="99" t="str">
        <f aca="false">IF(Tasks[[#This Row],[Task Name]]="","",IF(Tasks[[#This Row],[_IsSummary]],SUM(INDEX(Tasks[_LeafBudget],Tasks[[#This Row],[_Row]]+1):INDEX(Tasks[_LeafBudget],Tasks[[#This Row],[_Row]]+Tasks[[#This Row],[_Descendants]])),Tasks[[#This Row],[_LeafBudget]]))</f>
        <v/>
      </c>
      <c r="BG66" s="99" t="str">
        <f aca="false">IF(Tasks[[#This Row],[Task Name]]="","",IF(Tasks[[#This Row],[_IsSummary]],SUM(INDEX(Tasks[_LeafPV],Tasks[[#This Row],[_Row]]+1):INDEX(Tasks[_LeafPV],Tasks[[#This Row],[_Row]]+Tasks[[#This Row],[_Descendants]])),Tasks[[#This Row],[_LeafPV]]))</f>
        <v/>
      </c>
      <c r="BH66" s="99" t="str">
        <f aca="false">IF(Tasks[[#This Row],[Task Name]]="","",IF(Tasks[[#This Row],[_IsSummary]],SUM(INDEX(Tasks[_LeafEV],Tasks[[#This Row],[_Row]]+1):INDEX(Tasks[_LeafEV],Tasks[[#This Row],[_Row]]+Tasks[[#This Row],[_Descendants]])),Tasks[[#This Row],[_LeafEV]]))</f>
        <v/>
      </c>
      <c r="BI66" s="99" t="str">
        <f aca="false">IF(Tasks[[#This Row],[Task Name]]="","",IF(Tasks[[#This Row],[_IsSummary]],SUM(INDEX(Tasks[_LeafAC],Tasks[[#This Row],[_Row]]+1):INDEX(Tasks[_LeafAC],Tasks[[#This Row],[_Row]]+Tasks[[#This Row],[_Descendants]])),Tasks[[#This Row],[_LeafAC]]))</f>
        <v/>
      </c>
      <c r="BJ66" s="41" t="str">
        <f aca="false">IF(Tasks[[#This Row],[Task Name]]="","",MAX(1,N(Tasks[[#This Row],[Level]])))</f>
        <v/>
      </c>
      <c r="BK66" s="41" t="n">
        <f aca="false">ROW()-ROW(Tasks[[#Headers],[ID]])</f>
        <v>61</v>
      </c>
      <c r="BL66" s="41" t="n">
        <f aca="false">IF(OR(Tasks[[#This Row],[Task Name]]="",Tasks[[#This Row],[_Level]]&lt;=1),0,IFERROR(LOOKUP(2,1/(Tasks[[#Headers],[_Level]]:Tasks[[#This Row],[_Level]]=Tasks[[#This Row],[_Level]]-1),ROW(Tasks[[#Headers],[_Level]]:Tasks[[#This Row],[_Level]])),0))</f>
        <v>0</v>
      </c>
      <c r="BM66" s="41" t="n">
        <f aca="false">IFERROR(N(INDEX(Tasks[_Level],Tasks[[#This Row],[_Row]]+1)),0)</f>
        <v>0</v>
      </c>
      <c r="BN66" s="102" t="b">
        <f aca="false">AND(Tasks[[#This Row],[Task Name]]&lt;&gt;"",Tasks[[#This Row],[_NextLevel]]&gt;Tasks[[#This Row],[_Level]])</f>
        <v>0</v>
      </c>
      <c r="BO66" s="41" t="n">
        <f aca="false">IF(Tasks[[#This Row],[_IsSummary]],COUNTIF(Tasks[WBS],Tasks[[#This Row],[WBS]]&amp;".*"),0)</f>
        <v>0</v>
      </c>
      <c r="BP66" s="41" t="n">
        <f aca="false">IF(AND(Tasks[[#This Row],[Task Name]]&lt;&gt;"",NOT(Tasks[[#This Row],[_IsSummary]])),1,0)</f>
        <v>0</v>
      </c>
      <c r="BQ66" s="41" t="n">
        <f aca="false">IF(N(Tasks[[#This Row],[Pred1 UID]])=0,0,IFERROR(MATCH(Tasks[[#This Row],[Pred1 UID]],Tasks[UID],0),-1))</f>
        <v>0</v>
      </c>
      <c r="BR66" s="41" t="n">
        <f aca="false">IF(N(Tasks[[#This Row],[Pred2 UID]])=0,0,IFERROR(MATCH(Tasks[[#This Row],[Pred2 UID]],Tasks[UID],0),-1))</f>
        <v>0</v>
      </c>
      <c r="BS6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6" s="103" t="str">
        <f aca="false">IF(NOT(Tasks[[#This Row],[_IsLeaf]]=1),"",IF(N(Tasks[[#This Row],[Duration]])&lt;=0,Tasks[[#This Row],[_LeafCalcStart]],WORKDAY.INTL(Tasks[[#This Row],[_LeafCalcStart]],Tasks[[#This Row],[Duration]]-1,WorkWeek,Holidays)))</f>
        <v/>
      </c>
      <c r="BU6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6" s="41" t="n">
        <f aca="false">IF(NOT(Tasks[[#This Row],[_IsLeaf]]=1),0,IF(N(Tasks[[#This Row],[Actual Finish]])&gt;0,1,MIN(1,N(Tasks[[#This Row],[% Complete]]))))</f>
        <v>0</v>
      </c>
      <c r="BX66" s="41" t="n">
        <f aca="false">IF(OR(NOT(Tasks[[#This Row],[_IsLeaf]]=1),Tasks[[#This Row],[Resource]]=""),0,N(Tasks[[#This Row],[Duration]])*HoursPerDay*IF(Tasks[[#This Row],[Units]]="",DefaultUnits,Tasks[[#This Row],[Units]]))</f>
        <v>0</v>
      </c>
      <c r="BY66" s="41" t="n">
        <f aca="false">IF(Tasks[[#This Row],[_LeafWork]]=0,0,Tasks[[#This Row],[_LeafWork]]*IFERROR(INDEX(res_Rate,MATCH(Tasks[[#This Row],[Resource]],res_Name,0)),0))</f>
        <v>0</v>
      </c>
      <c r="BZ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6" s="41" t="n">
        <f aca="false">IF(NOT(Tasks[[#This Row],[_IsLeaf]]=1),0,MAX(_xlfn.MAXIFS(Tasks[_Row],Tasks[Pred1 UID],Tasks[[#This Row],[UID]]),_xlfn.MAXIFS(Tasks[_Row],Tasks[Pred2 UID],Tasks[[#This Row],[UID]])))</f>
        <v>0</v>
      </c>
      <c r="CE6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6" s="103" t="str">
        <f aca="false">IF(NOT(Tasks[[#This Row],[_IsLeaf]]=1),"",MIN(ProjectFinish,IF(N(Tasks[[#This Row],[Deadline]])&gt;0,Tasks[[#This Row],[Deadline]],2958465),Tasks[[#This Row],[_SuccessorFinishLimit]]))</f>
        <v/>
      </c>
      <c r="CG66" s="103" t="str">
        <f aca="false">IF(NOT(Tasks[[#This Row],[_IsLeaf]]=1),"",IF(N(Tasks[[#This Row],[Duration]])&lt;=0,Tasks[[#This Row],[_LeafLateFinish]],WORKDAY.INTL(Tasks[[#This Row],[_LeafLateFinish]],-(Tasks[[#This Row],[Duration]]-1),WorkWeek,Holidays)))</f>
        <v/>
      </c>
      <c r="CH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6" s="102" t="b">
        <f aca="false">AND(Tasks[[#This Row],[_IsLeaf]]=1,Tasks[[#This Row],[_LeafProgress]]&lt;1,N(Tasks[[#This Row],[_LeafTotalSlack]])&lt;=CriticalSlackDays)</f>
        <v>0</v>
      </c>
      <c r="CJ66" s="103" t="str">
        <f aca="false">IF(Tasks[[#This Row],[Task Name]]="","",IF(Tasks[[#This Row],[_IsSummary]],MIN(INDEX(Tasks[_LeafCalcStart],Tasks[[#This Row],[_Row]]+1):INDEX(Tasks[_LeafCalcStart],Tasks[[#This Row],[_Row]]+Tasks[[#This Row],[_Descendants]])),Tasks[[#This Row],[_LeafCalcStart]]))</f>
        <v/>
      </c>
      <c r="CK66" s="103" t="str">
        <f aca="false">IF(Tasks[[#This Row],[Task Name]]="","",IF(Tasks[[#This Row],[_IsSummary]],MAX(INDEX(Tasks[_LeafCalcFinish],Tasks[[#This Row],[_Row]]+1):INDEX(Tasks[_LeafCalcFinish],Tasks[[#This Row],[_Row]]+Tasks[[#This Row],[_Descendants]])),Tasks[[#This Row],[_LeafCalcFinish]]))</f>
        <v/>
      </c>
      <c r="CL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6" s="41" t="n">
        <f aca="false">IF(AND(Tasks[[#This Row],[_IsLeaf]]=1,Tasks[[#This Row],[_LeafWork]]&gt;0),NETWORKDAYS.INTL(ProjectStart,Tasks[[#This Row],[_LeafFcstStart]],WorkWeek,Holidays),0)</f>
        <v>0</v>
      </c>
      <c r="CS66" s="41" t="n">
        <f aca="false">IF(AND(Tasks[[#This Row],[_IsLeaf]]=1,Tasks[[#This Row],[_LeafWork]]&gt;0),MAX(Tasks[[#This Row],[_StartWorkday]],NETWORKDAYS.INTL(ProjectStart,Tasks[[#This Row],[_LeafFcstFinish]],WorkWeek,Holidays)),0)</f>
        <v>0</v>
      </c>
      <c r="CT66" s="41" t="n">
        <f aca="false">IF(AND(Tasks[[#This Row],[_IsLeaf]]=1,Tasks[[#This Row],[_LeafWork]]&gt;0),Tasks[[#This Row],[_LeafWork]]/(Tasks[[#This Row],[_FinishWorkday]]-Tasks[[#This Row],[_StartWorkday]]+1),0)</f>
        <v>0</v>
      </c>
      <c r="CU66" s="41" t="n">
        <f aca="false">Tasks[[#This Row],[_WorkPerWorkday]]*(Tasks[[#This Row],[_StartWorkday]]-1)</f>
        <v>-0</v>
      </c>
      <c r="CV66" s="41" t="n">
        <f aca="false">IF(Tasks[[#This Row],[_IsLeaf]]=1,MAX(N(Tasks[[#This Row],[Duration]]),0.1),0)</f>
        <v>0</v>
      </c>
      <c r="CW66" s="41" t="n">
        <f aca="false">Tasks[[#This Row],[_WeightDur]]*Tasks[[#This Row],[_LeafProgress]]</f>
        <v>0</v>
      </c>
      <c r="CX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6" s="41" t="str">
        <f aca="false">IF(Tasks[[#This Row],[Task Name]]="","",Tasks[[#This Row],[_Pred1UIDText]]&amp;IF(AND(Tasks[[#This Row],[_Pred1UIDText]]&lt;&gt;"",Tasks[[#This Row],[_Pred2UIDText]]&lt;&gt;""),",","")&amp;Tasks[[#This Row],[_Pred2UIDText]])</f>
        <v/>
      </c>
      <c r="DC66" s="41" t="str">
        <f aca="false">IF(AND(Tasks[[#This Row],[_IsLeaf]]=1,N(Tasks[[#This Row],[Duration]])=0,Tasks[[#This Row],[_LeafProgress]]&lt;1),Tasks[[#This Row],[_LeafFcstFinish]]+Tasks[[#This Row],[_Row]]/100000,"")</f>
        <v/>
      </c>
      <c r="DD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6" s="41" t="n">
        <f aca="false">IF(NOT(Tasks[[#This Row],[_IsLeaf]]=1),0,IF(Tasks[[#This Row],[Baseline Cost]]="",Tasks[[#This Row],[_LeafCost]],N(Tasks[[#This Row],[Baseline Cost]])))</f>
        <v>0</v>
      </c>
      <c r="DF66" s="41" t="n">
        <f aca="false">Tasks[[#This Row],[_LeafBudget]]*Tasks[[#This Row],[_PlannedPct]]</f>
        <v>0</v>
      </c>
      <c r="DG66" s="41" t="n">
        <f aca="false">Tasks[[#This Row],[_LeafBudget]]*Tasks[[#This Row],[_LeafProgress]]</f>
        <v>0</v>
      </c>
      <c r="DH66" s="41" t="n">
        <f aca="false">IF(NOT(Tasks[[#This Row],[_IsLeaf]]=1),0,IF(Tasks[[#This Row],[Actual Cost]]="",Tasks[[#This Row],[_LeafCost]]*Tasks[[#This Row],[_LeafProgress]],N(Tasks[[#This Row],[Actual Cost]])))</f>
        <v>0</v>
      </c>
      <c r="DI66" s="41" t="str">
        <f aca="false">IF(Tasks[[#This Row],[Task Name]]="","",LEFT(Tasks[[#This Row],[WBS]],FIND(".",Tasks[[#This Row],[WBS]]&amp;".")-1))</f>
        <v/>
      </c>
      <c r="DJ66" s="41" t="str">
        <f aca="false">IF(AND(Tasks[[#This Row],[Task Name]]&lt;&gt;"",Tasks[[#This Row],[_Level]]=1),Tasks[[#This Row],[_Row]],"")</f>
        <v/>
      </c>
      <c r="DK66" s="41" t="str">
        <f aca="false">IF(AND(Tasks[[#This Row],[_IsLeaf]]=1,N(Tasks[[#This Row],[Duration]])=0),Tasks[[#This Row],[Planned Finish]]+Tasks[[#This Row],[_Row]]/100000,"")</f>
        <v/>
      </c>
      <c r="DL66" s="41" t="str">
        <f aca="false">IF(AND(Tasks[[#This Row],[_IsLeaf]]=1,Tasks[[#This Row],[_LeafProgress]]&lt;1,OR(N(Tasks[[#This Row],[Finish Var]])&gt;0,Tasks[[#This Row],[Status]]="Late Start")),MAX(0,Tasks[[#This Row],[Finish Var]])+1-Tasks[[#This Row],[_Row]]/1000000,"")</f>
        <v/>
      </c>
      <c r="DM66" s="41" t="str">
        <f aca="false">IF(AND(Tasks[[#This Row],[_IsLeaf]]=1,N(Tasks[[#This Row],[Actual Start]])=0,Tasks[[#This Row],[_LeafFcstStart]]&gt;=StatusDate,Tasks[[#This Row],[_LeafFcstStart]]&lt;=LookaheadEnd),Tasks[[#This Row],[_LeafFcstStart]]+Tasks[[#This Row],[_Row]]/100000,"")</f>
        <v/>
      </c>
      <c r="DN66" s="41" t="str">
        <f aca="false">IF(AND(Tasks[[#This Row],[_IsLeaf]]=1,Tasks[[#This Row],[_LeafProgress]]&lt;1,Tasks[[#This Row],[_LeafFcstFinish]]&gt;=StatusDate,Tasks[[#This Row],[_LeafFcstFinish]]&lt;=LookaheadEnd),Tasks[[#This Row],[_LeafFcstFinish]]+Tasks[[#This Row],[_Row]]/100000,"")</f>
        <v/>
      </c>
      <c r="DO66" s="41" t="str">
        <f aca="false">IF(Tasks[[#This Row],[_LeafCritical]],Tasks[[#This Row],[_LeafFcstStart]]+Tasks[[#This Row],[_Row]]/100000,"")</f>
        <v/>
      </c>
      <c r="DP66" s="41" t="n">
        <f aca="false">Tasks[[#This Row],[_LeafWork]]*Tasks[[#This Row],[_LeafProgress]]</f>
        <v>0</v>
      </c>
      <c r="DQ66" s="103" t="str">
        <f aca="false">IF(AND(Tasks[[#This Row],[_IsLeaf]]=1,Tasks[[#This Row],[_LeafProgress]]&gt;=1),IF(N(Tasks[[#This Row],[Actual Finish]])&gt;0,Tasks[[#This Row],[Actual Finish]],Tasks[[#This Row],[_LeafFcstFinish]]),"")</f>
        <v/>
      </c>
      <c r="DR66" s="41" t="n">
        <f aca="false">IF(Tasks[[#This Row],[_IsLeaf]]=1,N(Tasks[[#This Row],[Story Points]]),0)</f>
        <v>0</v>
      </c>
      <c r="DS66" s="41" t="str">
        <f aca="false">IF(AND(Tasks[[#This Row],[_IsLeaf]]=1,CurrentSprint&lt;&gt;"",Tasks[[#This Row],[Sprint]]=CurrentSprint),Tasks[[#This Row],[_Row]],"")</f>
        <v/>
      </c>
    </row>
    <row r="67" customFormat="false" ht="15" hidden="false" customHeight="false" outlineLevel="0" collapsed="false">
      <c r="A67" s="28" t="str">
        <f aca="false">IF(Tasks[[#This Row],[Task Name]]="","",COUNTA(Tasks[[#Headers],[Task Name]]:Tasks[[#This Row],[Task Name]])-1)</f>
        <v/>
      </c>
      <c r="B67" s="29" t="n">
        <v>62</v>
      </c>
      <c r="C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29"/>
      <c r="E67" s="30"/>
      <c r="F67" s="29"/>
      <c r="G67" s="29"/>
      <c r="H67" s="29"/>
      <c r="I67" s="29"/>
      <c r="J67" s="29"/>
      <c r="K67" s="29"/>
      <c r="L67" s="29"/>
      <c r="M67" s="29"/>
      <c r="N67" s="77"/>
      <c r="O67" s="77"/>
      <c r="P67" s="25" t="str">
        <f aca="false">IF(Tasks[[#This Row],[Task Name]]="","",IF(N(Tasks[[#This Row],[Baseline Start]])&gt;0,Tasks[[#This Row],[Baseline Start]],Tasks[[#This Row],[_CalcStart]]))</f>
        <v/>
      </c>
      <c r="Q67" s="25" t="str">
        <f aca="false">IF(Tasks[[#This Row],[Task Name]]="","",IF(N(Tasks[[#This Row],[Baseline Finish]])&gt;0,Tasks[[#This Row],[Baseline Finish]],Tasks[[#This Row],[_CalcFinish]]))</f>
        <v/>
      </c>
      <c r="R67" s="77"/>
      <c r="S67" s="77"/>
      <c r="T67" s="25" t="str">
        <f aca="false">IF(Tasks[[#This Row],[Task Name]]="","",IF(Tasks[[#This Row],[_IsSummary]],MIN(INDEX(Tasks[_LeafFcstStart],Tasks[[#This Row],[_Row]]+1):INDEX(Tasks[_LeafFcstStart],Tasks[[#This Row],[_Row]]+Tasks[[#This Row],[_Descendants]])),Tasks[[#This Row],[_LeafFcstStart]]))</f>
        <v/>
      </c>
      <c r="U67" s="25" t="str">
        <f aca="false">IF(Tasks[[#This Row],[Task Name]]="","",IF(Tasks[[#This Row],[_IsSummary]],MAX(INDEX(Tasks[_LeafFcstFinish],Tasks[[#This Row],[_Row]]+1):INDEX(Tasks[_LeafFcstFinish],Tasks[[#This Row],[_Row]]+Tasks[[#This Row],[_Descendants]])),Tasks[[#This Row],[_LeafFcstFinish]]))</f>
        <v/>
      </c>
      <c r="V6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7" s="25" t="str">
        <f aca="false">IF(Tasks[[#This Row],[Task Name]]="","",IF(Tasks[[#This Row],[_IsSummary]],MIN(INDEX(Tasks[_LeafLateStart],Tasks[[#This Row],[_Row]]+1):INDEX(Tasks[_LeafLateStart],Tasks[[#This Row],[_Row]]+Tasks[[#This Row],[_Descendants]])),Tasks[[#This Row],[_LeafLateStart]]))</f>
        <v/>
      </c>
      <c r="Y67" s="25" t="str">
        <f aca="false">IF(Tasks[[#This Row],[Task Name]]="","",IF(Tasks[[#This Row],[_IsSummary]],MAX(INDEX(Tasks[_LeafLateFinish],Tasks[[#This Row],[_Row]]+1):INDEX(Tasks[_LeafLateFinish],Tasks[[#This Row],[_Row]]+Tasks[[#This Row],[_Descendants]])),Tasks[[#This Row],[_LeafLateFinish]]))</f>
        <v/>
      </c>
      <c r="Z67" s="43" t="str">
        <f aca="false">IF(Tasks[[#This Row],[Task Name]]="","",IF(Tasks[[#This Row],[_IsSummary]],MIN(INDEX(Tasks[_LeafTotalSlack],Tasks[[#This Row],[_Row]]+1):INDEX(Tasks[_LeafTotalSlack],Tasks[[#This Row],[_Row]]+Tasks[[#This Row],[_Descendants]])),Tasks[[#This Row],[_LeafTotalSlack]]))</f>
        <v/>
      </c>
      <c r="AA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7" s="28" t="str">
        <f aca="false">IF(Tasks[[#This Row],[Task Name]]="","",IF(IF(Tasks[[#This Row],[_IsSummary]],COUNTIF(INDEX(Tasks[_LeafCritical],Tasks[[#This Row],[_Row]]+1):INDEX(Tasks[_LeafCritical],Tasks[[#This Row],[_Row]]+Tasks[[#This Row],[_Descendants]]),TRUE())&gt;0,Tasks[[#This Row],[_LeafCritical]]),"Yes",""))</f>
        <v/>
      </c>
      <c r="AC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7" s="24" t="str">
        <f aca="false">IF(Tasks[[#This Row],[Task Name]]="","",TRIM(IF(Tasks[[#This Row],[_Pred1Problem]]&lt;&gt;"","Pred 1: "&amp;Tasks[[#This Row],[_Pred1Problem]]&amp;". ","")&amp;IF(Tasks[[#This Row],[_Pred2Problem]]&lt;&gt;"","Pred 2: "&amp;Tasks[[#This Row],[_Pred2Problem]]&amp;".","")))</f>
        <v/>
      </c>
      <c r="AE67" s="91"/>
      <c r="AF6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7" s="28" t="str">
        <f aca="false">IF(Tasks[[#This Row],[Task Name]]="","",IF(Tasks[[#This Row],[Progress]]&gt;=1,"Complete",IF(OR(N(Tasks[[#This Row],[Actual Start]])&gt;0,Tasks[[#This Row],[Progress]]&gt;0),IF(Tasks[[#This Row],[Finish Var]]&gt;0,"Behind","In Progress"),IF(Tasks[[#This Row],[Planned Start]]&lt;StatusDate,"Late Start","Not Started"))))</f>
        <v/>
      </c>
      <c r="AH67" s="30"/>
      <c r="AI67" s="91"/>
      <c r="AJ6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7" s="98" t="str">
        <f aca="false">IF(Tasks[[#This Row],[Task Name]]="","",IF(Tasks[[#This Row],[_IsSummary]],SUM(INDEX(Tasks[_LeafWork],Tasks[[#This Row],[_Row]]+1):INDEX(Tasks[_LeafWork],Tasks[[#This Row],[_Row]]+Tasks[[#This Row],[_Descendants]])),Tasks[[#This Row],[_LeafWork]]))</f>
        <v/>
      </c>
      <c r="AL67" s="99" t="str">
        <f aca="false">IF(Tasks[[#This Row],[Task Name]]="","",IF(Tasks[[#This Row],[_IsSummary]],SUM(INDEX(Tasks[_LeafCost],Tasks[[#This Row],[_Row]]+1):INDEX(Tasks[_LeafCost],Tasks[[#This Row],[_Row]]+Tasks[[#This Row],[_Descendants]])),Tasks[[#This Row],[_LeafCost]]))</f>
        <v/>
      </c>
      <c r="AM67" s="100"/>
      <c r="AN67" s="29"/>
      <c r="AO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7" s="85"/>
      <c r="AQ67" s="24" t="str">
        <f aca="false">IF(Tasks[[#This Row],[Task Name]]="","",Tasks[[#This Row],[_Pred1IDText]]&amp;IF(AND(Tasks[[#This Row],[_Pred1IDText]]&lt;&gt;"",Tasks[[#This Row],[_Pred2IDText]]&lt;&gt;""),",","")&amp;Tasks[[#This Row],[_Pred2IDText]])</f>
        <v/>
      </c>
      <c r="AR67" s="30"/>
      <c r="AS67" s="25" t="str">
        <f aca="false">IF(Tasks[[#This Row],[Task Name]]="","",Tasks[[#This Row],[Forecast Start]])</f>
        <v/>
      </c>
      <c r="AT67" s="25" t="str">
        <f aca="false">IF(Tasks[[#This Row],[Task Name]]="","",Tasks[[#This Row],[Forecast Finish]])</f>
        <v/>
      </c>
      <c r="AU67" s="28" t="str">
        <f aca="false">IF(Tasks[[#This Row],[Task Name]]="","",IF(Tasks[[#This Row],[_IsSummary]],NETWORKDAYS.INTL(Tasks[[#This Row],[Forecast Start]],Tasks[[#This Row],[Forecast Finish]],WorkWeek,Holidays),N(Tasks[[#This Row],[Duration]])))</f>
        <v/>
      </c>
      <c r="AV67" s="98" t="str">
        <f aca="false">IF(Tasks[[#This Row],[Task Name]]="","",Tasks[[#This Row],[Work]])</f>
        <v/>
      </c>
      <c r="AW67" s="99" t="str">
        <f aca="false">IF(Tasks[[#This Row],[Task Name]]="","",Tasks[[#This Row],[Cost]])</f>
        <v/>
      </c>
      <c r="AX67" s="77"/>
      <c r="AY67" s="77"/>
      <c r="AZ67" s="29"/>
      <c r="BA67" s="101"/>
      <c r="BB67" s="100"/>
      <c r="BC67" s="28" t="str">
        <f aca="false">IF(OR(Tasks[[#This Row],[Task Name]]="",Tasks[[#This Row],[Baseline Duration]]=""),"",Tasks[[#This Row],[BL Source Duration]]-N(Tasks[[#This Row],[Baseline Duration]]))</f>
        <v/>
      </c>
      <c r="BD67" s="98" t="str">
        <f aca="false">IF(OR(Tasks[[#This Row],[Task Name]]="",Tasks[[#This Row],[Baseline Work]]=""),"",Tasks[[#This Row],[Work]]-N(Tasks[[#This Row],[Baseline Work]]))</f>
        <v/>
      </c>
      <c r="BE67" s="99" t="str">
        <f aca="false">IF(OR(Tasks[[#This Row],[Task Name]]="",Tasks[[#This Row],[Baseline Cost]]=""),"",Tasks[[#This Row],[Cost]]-N(Tasks[[#This Row],[Baseline Cost]]))</f>
        <v/>
      </c>
      <c r="BF67" s="99" t="str">
        <f aca="false">IF(Tasks[[#This Row],[Task Name]]="","",IF(Tasks[[#This Row],[_IsSummary]],SUM(INDEX(Tasks[_LeafBudget],Tasks[[#This Row],[_Row]]+1):INDEX(Tasks[_LeafBudget],Tasks[[#This Row],[_Row]]+Tasks[[#This Row],[_Descendants]])),Tasks[[#This Row],[_LeafBudget]]))</f>
        <v/>
      </c>
      <c r="BG67" s="99" t="str">
        <f aca="false">IF(Tasks[[#This Row],[Task Name]]="","",IF(Tasks[[#This Row],[_IsSummary]],SUM(INDEX(Tasks[_LeafPV],Tasks[[#This Row],[_Row]]+1):INDEX(Tasks[_LeafPV],Tasks[[#This Row],[_Row]]+Tasks[[#This Row],[_Descendants]])),Tasks[[#This Row],[_LeafPV]]))</f>
        <v/>
      </c>
      <c r="BH67" s="99" t="str">
        <f aca="false">IF(Tasks[[#This Row],[Task Name]]="","",IF(Tasks[[#This Row],[_IsSummary]],SUM(INDEX(Tasks[_LeafEV],Tasks[[#This Row],[_Row]]+1):INDEX(Tasks[_LeafEV],Tasks[[#This Row],[_Row]]+Tasks[[#This Row],[_Descendants]])),Tasks[[#This Row],[_LeafEV]]))</f>
        <v/>
      </c>
      <c r="BI67" s="99" t="str">
        <f aca="false">IF(Tasks[[#This Row],[Task Name]]="","",IF(Tasks[[#This Row],[_IsSummary]],SUM(INDEX(Tasks[_LeafAC],Tasks[[#This Row],[_Row]]+1):INDEX(Tasks[_LeafAC],Tasks[[#This Row],[_Row]]+Tasks[[#This Row],[_Descendants]])),Tasks[[#This Row],[_LeafAC]]))</f>
        <v/>
      </c>
      <c r="BJ67" s="41" t="str">
        <f aca="false">IF(Tasks[[#This Row],[Task Name]]="","",MAX(1,N(Tasks[[#This Row],[Level]])))</f>
        <v/>
      </c>
      <c r="BK67" s="41" t="n">
        <f aca="false">ROW()-ROW(Tasks[[#Headers],[ID]])</f>
        <v>62</v>
      </c>
      <c r="BL67" s="41" t="n">
        <f aca="false">IF(OR(Tasks[[#This Row],[Task Name]]="",Tasks[[#This Row],[_Level]]&lt;=1),0,IFERROR(LOOKUP(2,1/(Tasks[[#Headers],[_Level]]:Tasks[[#This Row],[_Level]]=Tasks[[#This Row],[_Level]]-1),ROW(Tasks[[#Headers],[_Level]]:Tasks[[#This Row],[_Level]])),0))</f>
        <v>0</v>
      </c>
      <c r="BM67" s="41" t="n">
        <f aca="false">IFERROR(N(INDEX(Tasks[_Level],Tasks[[#This Row],[_Row]]+1)),0)</f>
        <v>0</v>
      </c>
      <c r="BN67" s="102" t="b">
        <f aca="false">AND(Tasks[[#This Row],[Task Name]]&lt;&gt;"",Tasks[[#This Row],[_NextLevel]]&gt;Tasks[[#This Row],[_Level]])</f>
        <v>0</v>
      </c>
      <c r="BO67" s="41" t="n">
        <f aca="false">IF(Tasks[[#This Row],[_IsSummary]],COUNTIF(Tasks[WBS],Tasks[[#This Row],[WBS]]&amp;".*"),0)</f>
        <v>0</v>
      </c>
      <c r="BP67" s="41" t="n">
        <f aca="false">IF(AND(Tasks[[#This Row],[Task Name]]&lt;&gt;"",NOT(Tasks[[#This Row],[_IsSummary]])),1,0)</f>
        <v>0</v>
      </c>
      <c r="BQ67" s="41" t="n">
        <f aca="false">IF(N(Tasks[[#This Row],[Pred1 UID]])=0,0,IFERROR(MATCH(Tasks[[#This Row],[Pred1 UID]],Tasks[UID],0),-1))</f>
        <v>0</v>
      </c>
      <c r="BR67" s="41" t="n">
        <f aca="false">IF(N(Tasks[[#This Row],[Pred2 UID]])=0,0,IFERROR(MATCH(Tasks[[#This Row],[Pred2 UID]],Tasks[UID],0),-1))</f>
        <v>0</v>
      </c>
      <c r="BS6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7" s="103" t="str">
        <f aca="false">IF(NOT(Tasks[[#This Row],[_IsLeaf]]=1),"",IF(N(Tasks[[#This Row],[Duration]])&lt;=0,Tasks[[#This Row],[_LeafCalcStart]],WORKDAY.INTL(Tasks[[#This Row],[_LeafCalcStart]],Tasks[[#This Row],[Duration]]-1,WorkWeek,Holidays)))</f>
        <v/>
      </c>
      <c r="BU6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7" s="41" t="n">
        <f aca="false">IF(NOT(Tasks[[#This Row],[_IsLeaf]]=1),0,IF(N(Tasks[[#This Row],[Actual Finish]])&gt;0,1,MIN(1,N(Tasks[[#This Row],[% Complete]]))))</f>
        <v>0</v>
      </c>
      <c r="BX67" s="41" t="n">
        <f aca="false">IF(OR(NOT(Tasks[[#This Row],[_IsLeaf]]=1),Tasks[[#This Row],[Resource]]=""),0,N(Tasks[[#This Row],[Duration]])*HoursPerDay*IF(Tasks[[#This Row],[Units]]="",DefaultUnits,Tasks[[#This Row],[Units]]))</f>
        <v>0</v>
      </c>
      <c r="BY67" s="41" t="n">
        <f aca="false">IF(Tasks[[#This Row],[_LeafWork]]=0,0,Tasks[[#This Row],[_LeafWork]]*IFERROR(INDEX(res_Rate,MATCH(Tasks[[#This Row],[Resource]],res_Name,0)),0))</f>
        <v>0</v>
      </c>
      <c r="BZ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7" s="41" t="n">
        <f aca="false">IF(NOT(Tasks[[#This Row],[_IsLeaf]]=1),0,MAX(_xlfn.MAXIFS(Tasks[_Row],Tasks[Pred1 UID],Tasks[[#This Row],[UID]]),_xlfn.MAXIFS(Tasks[_Row],Tasks[Pred2 UID],Tasks[[#This Row],[UID]])))</f>
        <v>0</v>
      </c>
      <c r="CE6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7" s="103" t="str">
        <f aca="false">IF(NOT(Tasks[[#This Row],[_IsLeaf]]=1),"",MIN(ProjectFinish,IF(N(Tasks[[#This Row],[Deadline]])&gt;0,Tasks[[#This Row],[Deadline]],2958465),Tasks[[#This Row],[_SuccessorFinishLimit]]))</f>
        <v/>
      </c>
      <c r="CG67" s="103" t="str">
        <f aca="false">IF(NOT(Tasks[[#This Row],[_IsLeaf]]=1),"",IF(N(Tasks[[#This Row],[Duration]])&lt;=0,Tasks[[#This Row],[_LeafLateFinish]],WORKDAY.INTL(Tasks[[#This Row],[_LeafLateFinish]],-(Tasks[[#This Row],[Duration]]-1),WorkWeek,Holidays)))</f>
        <v/>
      </c>
      <c r="CH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7" s="102" t="b">
        <f aca="false">AND(Tasks[[#This Row],[_IsLeaf]]=1,Tasks[[#This Row],[_LeafProgress]]&lt;1,N(Tasks[[#This Row],[_LeafTotalSlack]])&lt;=CriticalSlackDays)</f>
        <v>0</v>
      </c>
      <c r="CJ67" s="103" t="str">
        <f aca="false">IF(Tasks[[#This Row],[Task Name]]="","",IF(Tasks[[#This Row],[_IsSummary]],MIN(INDEX(Tasks[_LeafCalcStart],Tasks[[#This Row],[_Row]]+1):INDEX(Tasks[_LeafCalcStart],Tasks[[#This Row],[_Row]]+Tasks[[#This Row],[_Descendants]])),Tasks[[#This Row],[_LeafCalcStart]]))</f>
        <v/>
      </c>
      <c r="CK67" s="103" t="str">
        <f aca="false">IF(Tasks[[#This Row],[Task Name]]="","",IF(Tasks[[#This Row],[_IsSummary]],MAX(INDEX(Tasks[_LeafCalcFinish],Tasks[[#This Row],[_Row]]+1):INDEX(Tasks[_LeafCalcFinish],Tasks[[#This Row],[_Row]]+Tasks[[#This Row],[_Descendants]])),Tasks[[#This Row],[_LeafCalcFinish]]))</f>
        <v/>
      </c>
      <c r="CL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7" s="41" t="n">
        <f aca="false">IF(AND(Tasks[[#This Row],[_IsLeaf]]=1,Tasks[[#This Row],[_LeafWork]]&gt;0),NETWORKDAYS.INTL(ProjectStart,Tasks[[#This Row],[_LeafFcstStart]],WorkWeek,Holidays),0)</f>
        <v>0</v>
      </c>
      <c r="CS67" s="41" t="n">
        <f aca="false">IF(AND(Tasks[[#This Row],[_IsLeaf]]=1,Tasks[[#This Row],[_LeafWork]]&gt;0),MAX(Tasks[[#This Row],[_StartWorkday]],NETWORKDAYS.INTL(ProjectStart,Tasks[[#This Row],[_LeafFcstFinish]],WorkWeek,Holidays)),0)</f>
        <v>0</v>
      </c>
      <c r="CT67" s="41" t="n">
        <f aca="false">IF(AND(Tasks[[#This Row],[_IsLeaf]]=1,Tasks[[#This Row],[_LeafWork]]&gt;0),Tasks[[#This Row],[_LeafWork]]/(Tasks[[#This Row],[_FinishWorkday]]-Tasks[[#This Row],[_StartWorkday]]+1),0)</f>
        <v>0</v>
      </c>
      <c r="CU67" s="41" t="n">
        <f aca="false">Tasks[[#This Row],[_WorkPerWorkday]]*(Tasks[[#This Row],[_StartWorkday]]-1)</f>
        <v>-0</v>
      </c>
      <c r="CV67" s="41" t="n">
        <f aca="false">IF(Tasks[[#This Row],[_IsLeaf]]=1,MAX(N(Tasks[[#This Row],[Duration]]),0.1),0)</f>
        <v>0</v>
      </c>
      <c r="CW67" s="41" t="n">
        <f aca="false">Tasks[[#This Row],[_WeightDur]]*Tasks[[#This Row],[_LeafProgress]]</f>
        <v>0</v>
      </c>
      <c r="CX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7" s="41" t="str">
        <f aca="false">IF(Tasks[[#This Row],[Task Name]]="","",Tasks[[#This Row],[_Pred1UIDText]]&amp;IF(AND(Tasks[[#This Row],[_Pred1UIDText]]&lt;&gt;"",Tasks[[#This Row],[_Pred2UIDText]]&lt;&gt;""),",","")&amp;Tasks[[#This Row],[_Pred2UIDText]])</f>
        <v/>
      </c>
      <c r="DC67" s="41" t="str">
        <f aca="false">IF(AND(Tasks[[#This Row],[_IsLeaf]]=1,N(Tasks[[#This Row],[Duration]])=0,Tasks[[#This Row],[_LeafProgress]]&lt;1),Tasks[[#This Row],[_LeafFcstFinish]]+Tasks[[#This Row],[_Row]]/100000,"")</f>
        <v/>
      </c>
      <c r="DD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7" s="41" t="n">
        <f aca="false">IF(NOT(Tasks[[#This Row],[_IsLeaf]]=1),0,IF(Tasks[[#This Row],[Baseline Cost]]="",Tasks[[#This Row],[_LeafCost]],N(Tasks[[#This Row],[Baseline Cost]])))</f>
        <v>0</v>
      </c>
      <c r="DF67" s="41" t="n">
        <f aca="false">Tasks[[#This Row],[_LeafBudget]]*Tasks[[#This Row],[_PlannedPct]]</f>
        <v>0</v>
      </c>
      <c r="DG67" s="41" t="n">
        <f aca="false">Tasks[[#This Row],[_LeafBudget]]*Tasks[[#This Row],[_LeafProgress]]</f>
        <v>0</v>
      </c>
      <c r="DH67" s="41" t="n">
        <f aca="false">IF(NOT(Tasks[[#This Row],[_IsLeaf]]=1),0,IF(Tasks[[#This Row],[Actual Cost]]="",Tasks[[#This Row],[_LeafCost]]*Tasks[[#This Row],[_LeafProgress]],N(Tasks[[#This Row],[Actual Cost]])))</f>
        <v>0</v>
      </c>
      <c r="DI67" s="41" t="str">
        <f aca="false">IF(Tasks[[#This Row],[Task Name]]="","",LEFT(Tasks[[#This Row],[WBS]],FIND(".",Tasks[[#This Row],[WBS]]&amp;".")-1))</f>
        <v/>
      </c>
      <c r="DJ67" s="41" t="str">
        <f aca="false">IF(AND(Tasks[[#This Row],[Task Name]]&lt;&gt;"",Tasks[[#This Row],[_Level]]=1),Tasks[[#This Row],[_Row]],"")</f>
        <v/>
      </c>
      <c r="DK67" s="41" t="str">
        <f aca="false">IF(AND(Tasks[[#This Row],[_IsLeaf]]=1,N(Tasks[[#This Row],[Duration]])=0),Tasks[[#This Row],[Planned Finish]]+Tasks[[#This Row],[_Row]]/100000,"")</f>
        <v/>
      </c>
      <c r="DL67" s="41" t="str">
        <f aca="false">IF(AND(Tasks[[#This Row],[_IsLeaf]]=1,Tasks[[#This Row],[_LeafProgress]]&lt;1,OR(N(Tasks[[#This Row],[Finish Var]])&gt;0,Tasks[[#This Row],[Status]]="Late Start")),MAX(0,Tasks[[#This Row],[Finish Var]])+1-Tasks[[#This Row],[_Row]]/1000000,"")</f>
        <v/>
      </c>
      <c r="DM67" s="41" t="str">
        <f aca="false">IF(AND(Tasks[[#This Row],[_IsLeaf]]=1,N(Tasks[[#This Row],[Actual Start]])=0,Tasks[[#This Row],[_LeafFcstStart]]&gt;=StatusDate,Tasks[[#This Row],[_LeafFcstStart]]&lt;=LookaheadEnd),Tasks[[#This Row],[_LeafFcstStart]]+Tasks[[#This Row],[_Row]]/100000,"")</f>
        <v/>
      </c>
      <c r="DN67" s="41" t="str">
        <f aca="false">IF(AND(Tasks[[#This Row],[_IsLeaf]]=1,Tasks[[#This Row],[_LeafProgress]]&lt;1,Tasks[[#This Row],[_LeafFcstFinish]]&gt;=StatusDate,Tasks[[#This Row],[_LeafFcstFinish]]&lt;=LookaheadEnd),Tasks[[#This Row],[_LeafFcstFinish]]+Tasks[[#This Row],[_Row]]/100000,"")</f>
        <v/>
      </c>
      <c r="DO67" s="41" t="str">
        <f aca="false">IF(Tasks[[#This Row],[_LeafCritical]],Tasks[[#This Row],[_LeafFcstStart]]+Tasks[[#This Row],[_Row]]/100000,"")</f>
        <v/>
      </c>
      <c r="DP67" s="41" t="n">
        <f aca="false">Tasks[[#This Row],[_LeafWork]]*Tasks[[#This Row],[_LeafProgress]]</f>
        <v>0</v>
      </c>
      <c r="DQ67" s="103" t="str">
        <f aca="false">IF(AND(Tasks[[#This Row],[_IsLeaf]]=1,Tasks[[#This Row],[_LeafProgress]]&gt;=1),IF(N(Tasks[[#This Row],[Actual Finish]])&gt;0,Tasks[[#This Row],[Actual Finish]],Tasks[[#This Row],[_LeafFcstFinish]]),"")</f>
        <v/>
      </c>
      <c r="DR67" s="41" t="n">
        <f aca="false">IF(Tasks[[#This Row],[_IsLeaf]]=1,N(Tasks[[#This Row],[Story Points]]),0)</f>
        <v>0</v>
      </c>
      <c r="DS67" s="41" t="str">
        <f aca="false">IF(AND(Tasks[[#This Row],[_IsLeaf]]=1,CurrentSprint&lt;&gt;"",Tasks[[#This Row],[Sprint]]=CurrentSprint),Tasks[[#This Row],[_Row]],"")</f>
        <v/>
      </c>
    </row>
    <row r="68" customFormat="false" ht="15" hidden="false" customHeight="false" outlineLevel="0" collapsed="false">
      <c r="A68" s="28" t="str">
        <f aca="false">IF(Tasks[[#This Row],[Task Name]]="","",COUNTA(Tasks[[#Headers],[Task Name]]:Tasks[[#This Row],[Task Name]])-1)</f>
        <v/>
      </c>
      <c r="B68" s="29" t="n">
        <v>63</v>
      </c>
      <c r="C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29"/>
      <c r="E68" s="30"/>
      <c r="F68" s="29"/>
      <c r="G68" s="29"/>
      <c r="H68" s="29"/>
      <c r="I68" s="29"/>
      <c r="J68" s="29"/>
      <c r="K68" s="29"/>
      <c r="L68" s="29"/>
      <c r="M68" s="29"/>
      <c r="N68" s="77"/>
      <c r="O68" s="77"/>
      <c r="P68" s="25" t="str">
        <f aca="false">IF(Tasks[[#This Row],[Task Name]]="","",IF(N(Tasks[[#This Row],[Baseline Start]])&gt;0,Tasks[[#This Row],[Baseline Start]],Tasks[[#This Row],[_CalcStart]]))</f>
        <v/>
      </c>
      <c r="Q68" s="25" t="str">
        <f aca="false">IF(Tasks[[#This Row],[Task Name]]="","",IF(N(Tasks[[#This Row],[Baseline Finish]])&gt;0,Tasks[[#This Row],[Baseline Finish]],Tasks[[#This Row],[_CalcFinish]]))</f>
        <v/>
      </c>
      <c r="R68" s="77"/>
      <c r="S68" s="77"/>
      <c r="T68" s="25" t="str">
        <f aca="false">IF(Tasks[[#This Row],[Task Name]]="","",IF(Tasks[[#This Row],[_IsSummary]],MIN(INDEX(Tasks[_LeafFcstStart],Tasks[[#This Row],[_Row]]+1):INDEX(Tasks[_LeafFcstStart],Tasks[[#This Row],[_Row]]+Tasks[[#This Row],[_Descendants]])),Tasks[[#This Row],[_LeafFcstStart]]))</f>
        <v/>
      </c>
      <c r="U68" s="25" t="str">
        <f aca="false">IF(Tasks[[#This Row],[Task Name]]="","",IF(Tasks[[#This Row],[_IsSummary]],MAX(INDEX(Tasks[_LeafFcstFinish],Tasks[[#This Row],[_Row]]+1):INDEX(Tasks[_LeafFcstFinish],Tasks[[#This Row],[_Row]]+Tasks[[#This Row],[_Descendants]])),Tasks[[#This Row],[_LeafFcstFinish]]))</f>
        <v/>
      </c>
      <c r="V6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8" s="25" t="str">
        <f aca="false">IF(Tasks[[#This Row],[Task Name]]="","",IF(Tasks[[#This Row],[_IsSummary]],MIN(INDEX(Tasks[_LeafLateStart],Tasks[[#This Row],[_Row]]+1):INDEX(Tasks[_LeafLateStart],Tasks[[#This Row],[_Row]]+Tasks[[#This Row],[_Descendants]])),Tasks[[#This Row],[_LeafLateStart]]))</f>
        <v/>
      </c>
      <c r="Y68" s="25" t="str">
        <f aca="false">IF(Tasks[[#This Row],[Task Name]]="","",IF(Tasks[[#This Row],[_IsSummary]],MAX(INDEX(Tasks[_LeafLateFinish],Tasks[[#This Row],[_Row]]+1):INDEX(Tasks[_LeafLateFinish],Tasks[[#This Row],[_Row]]+Tasks[[#This Row],[_Descendants]])),Tasks[[#This Row],[_LeafLateFinish]]))</f>
        <v/>
      </c>
      <c r="Z68" s="43" t="str">
        <f aca="false">IF(Tasks[[#This Row],[Task Name]]="","",IF(Tasks[[#This Row],[_IsSummary]],MIN(INDEX(Tasks[_LeafTotalSlack],Tasks[[#This Row],[_Row]]+1):INDEX(Tasks[_LeafTotalSlack],Tasks[[#This Row],[_Row]]+Tasks[[#This Row],[_Descendants]])),Tasks[[#This Row],[_LeafTotalSlack]]))</f>
        <v/>
      </c>
      <c r="AA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8" s="28" t="str">
        <f aca="false">IF(Tasks[[#This Row],[Task Name]]="","",IF(IF(Tasks[[#This Row],[_IsSummary]],COUNTIF(INDEX(Tasks[_LeafCritical],Tasks[[#This Row],[_Row]]+1):INDEX(Tasks[_LeafCritical],Tasks[[#This Row],[_Row]]+Tasks[[#This Row],[_Descendants]]),TRUE())&gt;0,Tasks[[#This Row],[_LeafCritical]]),"Yes",""))</f>
        <v/>
      </c>
      <c r="AC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8" s="24" t="str">
        <f aca="false">IF(Tasks[[#This Row],[Task Name]]="","",TRIM(IF(Tasks[[#This Row],[_Pred1Problem]]&lt;&gt;"","Pred 1: "&amp;Tasks[[#This Row],[_Pred1Problem]]&amp;". ","")&amp;IF(Tasks[[#This Row],[_Pred2Problem]]&lt;&gt;"","Pred 2: "&amp;Tasks[[#This Row],[_Pred2Problem]]&amp;".","")))</f>
        <v/>
      </c>
      <c r="AE68" s="91"/>
      <c r="AF6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8" s="28" t="str">
        <f aca="false">IF(Tasks[[#This Row],[Task Name]]="","",IF(Tasks[[#This Row],[Progress]]&gt;=1,"Complete",IF(OR(N(Tasks[[#This Row],[Actual Start]])&gt;0,Tasks[[#This Row],[Progress]]&gt;0),IF(Tasks[[#This Row],[Finish Var]]&gt;0,"Behind","In Progress"),IF(Tasks[[#This Row],[Planned Start]]&lt;StatusDate,"Late Start","Not Started"))))</f>
        <v/>
      </c>
      <c r="AH68" s="30"/>
      <c r="AI68" s="91"/>
      <c r="AJ6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8" s="98" t="str">
        <f aca="false">IF(Tasks[[#This Row],[Task Name]]="","",IF(Tasks[[#This Row],[_IsSummary]],SUM(INDEX(Tasks[_LeafWork],Tasks[[#This Row],[_Row]]+1):INDEX(Tasks[_LeafWork],Tasks[[#This Row],[_Row]]+Tasks[[#This Row],[_Descendants]])),Tasks[[#This Row],[_LeafWork]]))</f>
        <v/>
      </c>
      <c r="AL68" s="99" t="str">
        <f aca="false">IF(Tasks[[#This Row],[Task Name]]="","",IF(Tasks[[#This Row],[_IsSummary]],SUM(INDEX(Tasks[_LeafCost],Tasks[[#This Row],[_Row]]+1):INDEX(Tasks[_LeafCost],Tasks[[#This Row],[_Row]]+Tasks[[#This Row],[_Descendants]])),Tasks[[#This Row],[_LeafCost]]))</f>
        <v/>
      </c>
      <c r="AM68" s="100"/>
      <c r="AN68" s="29"/>
      <c r="AO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8" s="85"/>
      <c r="AQ68" s="24" t="str">
        <f aca="false">IF(Tasks[[#This Row],[Task Name]]="","",Tasks[[#This Row],[_Pred1IDText]]&amp;IF(AND(Tasks[[#This Row],[_Pred1IDText]]&lt;&gt;"",Tasks[[#This Row],[_Pred2IDText]]&lt;&gt;""),",","")&amp;Tasks[[#This Row],[_Pred2IDText]])</f>
        <v/>
      </c>
      <c r="AR68" s="30"/>
      <c r="AS68" s="25" t="str">
        <f aca="false">IF(Tasks[[#This Row],[Task Name]]="","",Tasks[[#This Row],[Forecast Start]])</f>
        <v/>
      </c>
      <c r="AT68" s="25" t="str">
        <f aca="false">IF(Tasks[[#This Row],[Task Name]]="","",Tasks[[#This Row],[Forecast Finish]])</f>
        <v/>
      </c>
      <c r="AU68" s="28" t="str">
        <f aca="false">IF(Tasks[[#This Row],[Task Name]]="","",IF(Tasks[[#This Row],[_IsSummary]],NETWORKDAYS.INTL(Tasks[[#This Row],[Forecast Start]],Tasks[[#This Row],[Forecast Finish]],WorkWeek,Holidays),N(Tasks[[#This Row],[Duration]])))</f>
        <v/>
      </c>
      <c r="AV68" s="98" t="str">
        <f aca="false">IF(Tasks[[#This Row],[Task Name]]="","",Tasks[[#This Row],[Work]])</f>
        <v/>
      </c>
      <c r="AW68" s="99" t="str">
        <f aca="false">IF(Tasks[[#This Row],[Task Name]]="","",Tasks[[#This Row],[Cost]])</f>
        <v/>
      </c>
      <c r="AX68" s="77"/>
      <c r="AY68" s="77"/>
      <c r="AZ68" s="29"/>
      <c r="BA68" s="101"/>
      <c r="BB68" s="100"/>
      <c r="BC68" s="28" t="str">
        <f aca="false">IF(OR(Tasks[[#This Row],[Task Name]]="",Tasks[[#This Row],[Baseline Duration]]=""),"",Tasks[[#This Row],[BL Source Duration]]-N(Tasks[[#This Row],[Baseline Duration]]))</f>
        <v/>
      </c>
      <c r="BD68" s="98" t="str">
        <f aca="false">IF(OR(Tasks[[#This Row],[Task Name]]="",Tasks[[#This Row],[Baseline Work]]=""),"",Tasks[[#This Row],[Work]]-N(Tasks[[#This Row],[Baseline Work]]))</f>
        <v/>
      </c>
      <c r="BE68" s="99" t="str">
        <f aca="false">IF(OR(Tasks[[#This Row],[Task Name]]="",Tasks[[#This Row],[Baseline Cost]]=""),"",Tasks[[#This Row],[Cost]]-N(Tasks[[#This Row],[Baseline Cost]]))</f>
        <v/>
      </c>
      <c r="BF68" s="99" t="str">
        <f aca="false">IF(Tasks[[#This Row],[Task Name]]="","",IF(Tasks[[#This Row],[_IsSummary]],SUM(INDEX(Tasks[_LeafBudget],Tasks[[#This Row],[_Row]]+1):INDEX(Tasks[_LeafBudget],Tasks[[#This Row],[_Row]]+Tasks[[#This Row],[_Descendants]])),Tasks[[#This Row],[_LeafBudget]]))</f>
        <v/>
      </c>
      <c r="BG68" s="99" t="str">
        <f aca="false">IF(Tasks[[#This Row],[Task Name]]="","",IF(Tasks[[#This Row],[_IsSummary]],SUM(INDEX(Tasks[_LeafPV],Tasks[[#This Row],[_Row]]+1):INDEX(Tasks[_LeafPV],Tasks[[#This Row],[_Row]]+Tasks[[#This Row],[_Descendants]])),Tasks[[#This Row],[_LeafPV]]))</f>
        <v/>
      </c>
      <c r="BH68" s="99" t="str">
        <f aca="false">IF(Tasks[[#This Row],[Task Name]]="","",IF(Tasks[[#This Row],[_IsSummary]],SUM(INDEX(Tasks[_LeafEV],Tasks[[#This Row],[_Row]]+1):INDEX(Tasks[_LeafEV],Tasks[[#This Row],[_Row]]+Tasks[[#This Row],[_Descendants]])),Tasks[[#This Row],[_LeafEV]]))</f>
        <v/>
      </c>
      <c r="BI68" s="99" t="str">
        <f aca="false">IF(Tasks[[#This Row],[Task Name]]="","",IF(Tasks[[#This Row],[_IsSummary]],SUM(INDEX(Tasks[_LeafAC],Tasks[[#This Row],[_Row]]+1):INDEX(Tasks[_LeafAC],Tasks[[#This Row],[_Row]]+Tasks[[#This Row],[_Descendants]])),Tasks[[#This Row],[_LeafAC]]))</f>
        <v/>
      </c>
      <c r="BJ68" s="41" t="str">
        <f aca="false">IF(Tasks[[#This Row],[Task Name]]="","",MAX(1,N(Tasks[[#This Row],[Level]])))</f>
        <v/>
      </c>
      <c r="BK68" s="41" t="n">
        <f aca="false">ROW()-ROW(Tasks[[#Headers],[ID]])</f>
        <v>63</v>
      </c>
      <c r="BL68" s="41" t="n">
        <f aca="false">IF(OR(Tasks[[#This Row],[Task Name]]="",Tasks[[#This Row],[_Level]]&lt;=1),0,IFERROR(LOOKUP(2,1/(Tasks[[#Headers],[_Level]]:Tasks[[#This Row],[_Level]]=Tasks[[#This Row],[_Level]]-1),ROW(Tasks[[#Headers],[_Level]]:Tasks[[#This Row],[_Level]])),0))</f>
        <v>0</v>
      </c>
      <c r="BM68" s="41" t="n">
        <f aca="false">IFERROR(N(INDEX(Tasks[_Level],Tasks[[#This Row],[_Row]]+1)),0)</f>
        <v>0</v>
      </c>
      <c r="BN68" s="102" t="b">
        <f aca="false">AND(Tasks[[#This Row],[Task Name]]&lt;&gt;"",Tasks[[#This Row],[_NextLevel]]&gt;Tasks[[#This Row],[_Level]])</f>
        <v>0</v>
      </c>
      <c r="BO68" s="41" t="n">
        <f aca="false">IF(Tasks[[#This Row],[_IsSummary]],COUNTIF(Tasks[WBS],Tasks[[#This Row],[WBS]]&amp;".*"),0)</f>
        <v>0</v>
      </c>
      <c r="BP68" s="41" t="n">
        <f aca="false">IF(AND(Tasks[[#This Row],[Task Name]]&lt;&gt;"",NOT(Tasks[[#This Row],[_IsSummary]])),1,0)</f>
        <v>0</v>
      </c>
      <c r="BQ68" s="41" t="n">
        <f aca="false">IF(N(Tasks[[#This Row],[Pred1 UID]])=0,0,IFERROR(MATCH(Tasks[[#This Row],[Pred1 UID]],Tasks[UID],0),-1))</f>
        <v>0</v>
      </c>
      <c r="BR68" s="41" t="n">
        <f aca="false">IF(N(Tasks[[#This Row],[Pred2 UID]])=0,0,IFERROR(MATCH(Tasks[[#This Row],[Pred2 UID]],Tasks[UID],0),-1))</f>
        <v>0</v>
      </c>
      <c r="BS6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8" s="103" t="str">
        <f aca="false">IF(NOT(Tasks[[#This Row],[_IsLeaf]]=1),"",IF(N(Tasks[[#This Row],[Duration]])&lt;=0,Tasks[[#This Row],[_LeafCalcStart]],WORKDAY.INTL(Tasks[[#This Row],[_LeafCalcStart]],Tasks[[#This Row],[Duration]]-1,WorkWeek,Holidays)))</f>
        <v/>
      </c>
      <c r="BU6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8" s="41" t="n">
        <f aca="false">IF(NOT(Tasks[[#This Row],[_IsLeaf]]=1),0,IF(N(Tasks[[#This Row],[Actual Finish]])&gt;0,1,MIN(1,N(Tasks[[#This Row],[% Complete]]))))</f>
        <v>0</v>
      </c>
      <c r="BX68" s="41" t="n">
        <f aca="false">IF(OR(NOT(Tasks[[#This Row],[_IsLeaf]]=1),Tasks[[#This Row],[Resource]]=""),0,N(Tasks[[#This Row],[Duration]])*HoursPerDay*IF(Tasks[[#This Row],[Units]]="",DefaultUnits,Tasks[[#This Row],[Units]]))</f>
        <v>0</v>
      </c>
      <c r="BY68" s="41" t="n">
        <f aca="false">IF(Tasks[[#This Row],[_LeafWork]]=0,0,Tasks[[#This Row],[_LeafWork]]*IFERROR(INDEX(res_Rate,MATCH(Tasks[[#This Row],[Resource]],res_Name,0)),0))</f>
        <v>0</v>
      </c>
      <c r="BZ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8" s="41" t="n">
        <f aca="false">IF(NOT(Tasks[[#This Row],[_IsLeaf]]=1),0,MAX(_xlfn.MAXIFS(Tasks[_Row],Tasks[Pred1 UID],Tasks[[#This Row],[UID]]),_xlfn.MAXIFS(Tasks[_Row],Tasks[Pred2 UID],Tasks[[#This Row],[UID]])))</f>
        <v>0</v>
      </c>
      <c r="CE6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8" s="103" t="str">
        <f aca="false">IF(NOT(Tasks[[#This Row],[_IsLeaf]]=1),"",MIN(ProjectFinish,IF(N(Tasks[[#This Row],[Deadline]])&gt;0,Tasks[[#This Row],[Deadline]],2958465),Tasks[[#This Row],[_SuccessorFinishLimit]]))</f>
        <v/>
      </c>
      <c r="CG68" s="103" t="str">
        <f aca="false">IF(NOT(Tasks[[#This Row],[_IsLeaf]]=1),"",IF(N(Tasks[[#This Row],[Duration]])&lt;=0,Tasks[[#This Row],[_LeafLateFinish]],WORKDAY.INTL(Tasks[[#This Row],[_LeafLateFinish]],-(Tasks[[#This Row],[Duration]]-1),WorkWeek,Holidays)))</f>
        <v/>
      </c>
      <c r="CH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8" s="102" t="b">
        <f aca="false">AND(Tasks[[#This Row],[_IsLeaf]]=1,Tasks[[#This Row],[_LeafProgress]]&lt;1,N(Tasks[[#This Row],[_LeafTotalSlack]])&lt;=CriticalSlackDays)</f>
        <v>0</v>
      </c>
      <c r="CJ68" s="103" t="str">
        <f aca="false">IF(Tasks[[#This Row],[Task Name]]="","",IF(Tasks[[#This Row],[_IsSummary]],MIN(INDEX(Tasks[_LeafCalcStart],Tasks[[#This Row],[_Row]]+1):INDEX(Tasks[_LeafCalcStart],Tasks[[#This Row],[_Row]]+Tasks[[#This Row],[_Descendants]])),Tasks[[#This Row],[_LeafCalcStart]]))</f>
        <v/>
      </c>
      <c r="CK68" s="103" t="str">
        <f aca="false">IF(Tasks[[#This Row],[Task Name]]="","",IF(Tasks[[#This Row],[_IsSummary]],MAX(INDEX(Tasks[_LeafCalcFinish],Tasks[[#This Row],[_Row]]+1):INDEX(Tasks[_LeafCalcFinish],Tasks[[#This Row],[_Row]]+Tasks[[#This Row],[_Descendants]])),Tasks[[#This Row],[_LeafCalcFinish]]))</f>
        <v/>
      </c>
      <c r="CL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8" s="41" t="n">
        <f aca="false">IF(AND(Tasks[[#This Row],[_IsLeaf]]=1,Tasks[[#This Row],[_LeafWork]]&gt;0),NETWORKDAYS.INTL(ProjectStart,Tasks[[#This Row],[_LeafFcstStart]],WorkWeek,Holidays),0)</f>
        <v>0</v>
      </c>
      <c r="CS68" s="41" t="n">
        <f aca="false">IF(AND(Tasks[[#This Row],[_IsLeaf]]=1,Tasks[[#This Row],[_LeafWork]]&gt;0),MAX(Tasks[[#This Row],[_StartWorkday]],NETWORKDAYS.INTL(ProjectStart,Tasks[[#This Row],[_LeafFcstFinish]],WorkWeek,Holidays)),0)</f>
        <v>0</v>
      </c>
      <c r="CT68" s="41" t="n">
        <f aca="false">IF(AND(Tasks[[#This Row],[_IsLeaf]]=1,Tasks[[#This Row],[_LeafWork]]&gt;0),Tasks[[#This Row],[_LeafWork]]/(Tasks[[#This Row],[_FinishWorkday]]-Tasks[[#This Row],[_StartWorkday]]+1),0)</f>
        <v>0</v>
      </c>
      <c r="CU68" s="41" t="n">
        <f aca="false">Tasks[[#This Row],[_WorkPerWorkday]]*(Tasks[[#This Row],[_StartWorkday]]-1)</f>
        <v>-0</v>
      </c>
      <c r="CV68" s="41" t="n">
        <f aca="false">IF(Tasks[[#This Row],[_IsLeaf]]=1,MAX(N(Tasks[[#This Row],[Duration]]),0.1),0)</f>
        <v>0</v>
      </c>
      <c r="CW68" s="41" t="n">
        <f aca="false">Tasks[[#This Row],[_WeightDur]]*Tasks[[#This Row],[_LeafProgress]]</f>
        <v>0</v>
      </c>
      <c r="CX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8" s="41" t="str">
        <f aca="false">IF(Tasks[[#This Row],[Task Name]]="","",Tasks[[#This Row],[_Pred1UIDText]]&amp;IF(AND(Tasks[[#This Row],[_Pred1UIDText]]&lt;&gt;"",Tasks[[#This Row],[_Pred2UIDText]]&lt;&gt;""),",","")&amp;Tasks[[#This Row],[_Pred2UIDText]])</f>
        <v/>
      </c>
      <c r="DC68" s="41" t="str">
        <f aca="false">IF(AND(Tasks[[#This Row],[_IsLeaf]]=1,N(Tasks[[#This Row],[Duration]])=0,Tasks[[#This Row],[_LeafProgress]]&lt;1),Tasks[[#This Row],[_LeafFcstFinish]]+Tasks[[#This Row],[_Row]]/100000,"")</f>
        <v/>
      </c>
      <c r="DD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8" s="41" t="n">
        <f aca="false">IF(NOT(Tasks[[#This Row],[_IsLeaf]]=1),0,IF(Tasks[[#This Row],[Baseline Cost]]="",Tasks[[#This Row],[_LeafCost]],N(Tasks[[#This Row],[Baseline Cost]])))</f>
        <v>0</v>
      </c>
      <c r="DF68" s="41" t="n">
        <f aca="false">Tasks[[#This Row],[_LeafBudget]]*Tasks[[#This Row],[_PlannedPct]]</f>
        <v>0</v>
      </c>
      <c r="DG68" s="41" t="n">
        <f aca="false">Tasks[[#This Row],[_LeafBudget]]*Tasks[[#This Row],[_LeafProgress]]</f>
        <v>0</v>
      </c>
      <c r="DH68" s="41" t="n">
        <f aca="false">IF(NOT(Tasks[[#This Row],[_IsLeaf]]=1),0,IF(Tasks[[#This Row],[Actual Cost]]="",Tasks[[#This Row],[_LeafCost]]*Tasks[[#This Row],[_LeafProgress]],N(Tasks[[#This Row],[Actual Cost]])))</f>
        <v>0</v>
      </c>
      <c r="DI68" s="41" t="str">
        <f aca="false">IF(Tasks[[#This Row],[Task Name]]="","",LEFT(Tasks[[#This Row],[WBS]],FIND(".",Tasks[[#This Row],[WBS]]&amp;".")-1))</f>
        <v/>
      </c>
      <c r="DJ68" s="41" t="str">
        <f aca="false">IF(AND(Tasks[[#This Row],[Task Name]]&lt;&gt;"",Tasks[[#This Row],[_Level]]=1),Tasks[[#This Row],[_Row]],"")</f>
        <v/>
      </c>
      <c r="DK68" s="41" t="str">
        <f aca="false">IF(AND(Tasks[[#This Row],[_IsLeaf]]=1,N(Tasks[[#This Row],[Duration]])=0),Tasks[[#This Row],[Planned Finish]]+Tasks[[#This Row],[_Row]]/100000,"")</f>
        <v/>
      </c>
      <c r="DL68" s="41" t="str">
        <f aca="false">IF(AND(Tasks[[#This Row],[_IsLeaf]]=1,Tasks[[#This Row],[_LeafProgress]]&lt;1,OR(N(Tasks[[#This Row],[Finish Var]])&gt;0,Tasks[[#This Row],[Status]]="Late Start")),MAX(0,Tasks[[#This Row],[Finish Var]])+1-Tasks[[#This Row],[_Row]]/1000000,"")</f>
        <v/>
      </c>
      <c r="DM68" s="41" t="str">
        <f aca="false">IF(AND(Tasks[[#This Row],[_IsLeaf]]=1,N(Tasks[[#This Row],[Actual Start]])=0,Tasks[[#This Row],[_LeafFcstStart]]&gt;=StatusDate,Tasks[[#This Row],[_LeafFcstStart]]&lt;=LookaheadEnd),Tasks[[#This Row],[_LeafFcstStart]]+Tasks[[#This Row],[_Row]]/100000,"")</f>
        <v/>
      </c>
      <c r="DN68" s="41" t="str">
        <f aca="false">IF(AND(Tasks[[#This Row],[_IsLeaf]]=1,Tasks[[#This Row],[_LeafProgress]]&lt;1,Tasks[[#This Row],[_LeafFcstFinish]]&gt;=StatusDate,Tasks[[#This Row],[_LeafFcstFinish]]&lt;=LookaheadEnd),Tasks[[#This Row],[_LeafFcstFinish]]+Tasks[[#This Row],[_Row]]/100000,"")</f>
        <v/>
      </c>
      <c r="DO68" s="41" t="str">
        <f aca="false">IF(Tasks[[#This Row],[_LeafCritical]],Tasks[[#This Row],[_LeafFcstStart]]+Tasks[[#This Row],[_Row]]/100000,"")</f>
        <v/>
      </c>
      <c r="DP68" s="41" t="n">
        <f aca="false">Tasks[[#This Row],[_LeafWork]]*Tasks[[#This Row],[_LeafProgress]]</f>
        <v>0</v>
      </c>
      <c r="DQ68" s="103" t="str">
        <f aca="false">IF(AND(Tasks[[#This Row],[_IsLeaf]]=1,Tasks[[#This Row],[_LeafProgress]]&gt;=1),IF(N(Tasks[[#This Row],[Actual Finish]])&gt;0,Tasks[[#This Row],[Actual Finish]],Tasks[[#This Row],[_LeafFcstFinish]]),"")</f>
        <v/>
      </c>
      <c r="DR68" s="41" t="n">
        <f aca="false">IF(Tasks[[#This Row],[_IsLeaf]]=1,N(Tasks[[#This Row],[Story Points]]),0)</f>
        <v>0</v>
      </c>
      <c r="DS68" s="41" t="str">
        <f aca="false">IF(AND(Tasks[[#This Row],[_IsLeaf]]=1,CurrentSprint&lt;&gt;"",Tasks[[#This Row],[Sprint]]=CurrentSprint),Tasks[[#This Row],[_Row]],"")</f>
        <v/>
      </c>
    </row>
    <row r="69" customFormat="false" ht="15" hidden="false" customHeight="false" outlineLevel="0" collapsed="false">
      <c r="A69" s="28" t="str">
        <f aca="false">IF(Tasks[[#This Row],[Task Name]]="","",COUNTA(Tasks[[#Headers],[Task Name]]:Tasks[[#This Row],[Task Name]])-1)</f>
        <v/>
      </c>
      <c r="B69" s="29" t="n">
        <v>64</v>
      </c>
      <c r="C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29"/>
      <c r="E69" s="30"/>
      <c r="F69" s="29"/>
      <c r="G69" s="29"/>
      <c r="H69" s="29"/>
      <c r="I69" s="29"/>
      <c r="J69" s="29"/>
      <c r="K69" s="29"/>
      <c r="L69" s="29"/>
      <c r="M69" s="29"/>
      <c r="N69" s="77"/>
      <c r="O69" s="77"/>
      <c r="P69" s="25" t="str">
        <f aca="false">IF(Tasks[[#This Row],[Task Name]]="","",IF(N(Tasks[[#This Row],[Baseline Start]])&gt;0,Tasks[[#This Row],[Baseline Start]],Tasks[[#This Row],[_CalcStart]]))</f>
        <v/>
      </c>
      <c r="Q69" s="25" t="str">
        <f aca="false">IF(Tasks[[#This Row],[Task Name]]="","",IF(N(Tasks[[#This Row],[Baseline Finish]])&gt;0,Tasks[[#This Row],[Baseline Finish]],Tasks[[#This Row],[_CalcFinish]]))</f>
        <v/>
      </c>
      <c r="R69" s="77"/>
      <c r="S69" s="77"/>
      <c r="T69" s="25" t="str">
        <f aca="false">IF(Tasks[[#This Row],[Task Name]]="","",IF(Tasks[[#This Row],[_IsSummary]],MIN(INDEX(Tasks[_LeafFcstStart],Tasks[[#This Row],[_Row]]+1):INDEX(Tasks[_LeafFcstStart],Tasks[[#This Row],[_Row]]+Tasks[[#This Row],[_Descendants]])),Tasks[[#This Row],[_LeafFcstStart]]))</f>
        <v/>
      </c>
      <c r="U69" s="25" t="str">
        <f aca="false">IF(Tasks[[#This Row],[Task Name]]="","",IF(Tasks[[#This Row],[_IsSummary]],MAX(INDEX(Tasks[_LeafFcstFinish],Tasks[[#This Row],[_Row]]+1):INDEX(Tasks[_LeafFcstFinish],Tasks[[#This Row],[_Row]]+Tasks[[#This Row],[_Descendants]])),Tasks[[#This Row],[_LeafFcstFinish]]))</f>
        <v/>
      </c>
      <c r="V6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6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9" s="25" t="str">
        <f aca="false">IF(Tasks[[#This Row],[Task Name]]="","",IF(Tasks[[#This Row],[_IsSummary]],MIN(INDEX(Tasks[_LeafLateStart],Tasks[[#This Row],[_Row]]+1):INDEX(Tasks[_LeafLateStart],Tasks[[#This Row],[_Row]]+Tasks[[#This Row],[_Descendants]])),Tasks[[#This Row],[_LeafLateStart]]))</f>
        <v/>
      </c>
      <c r="Y69" s="25" t="str">
        <f aca="false">IF(Tasks[[#This Row],[Task Name]]="","",IF(Tasks[[#This Row],[_IsSummary]],MAX(INDEX(Tasks[_LeafLateFinish],Tasks[[#This Row],[_Row]]+1):INDEX(Tasks[_LeafLateFinish],Tasks[[#This Row],[_Row]]+Tasks[[#This Row],[_Descendants]])),Tasks[[#This Row],[_LeafLateFinish]]))</f>
        <v/>
      </c>
      <c r="Z69" s="43" t="str">
        <f aca="false">IF(Tasks[[#This Row],[Task Name]]="","",IF(Tasks[[#This Row],[_IsSummary]],MIN(INDEX(Tasks[_LeafTotalSlack],Tasks[[#This Row],[_Row]]+1):INDEX(Tasks[_LeafTotalSlack],Tasks[[#This Row],[_Row]]+Tasks[[#This Row],[_Descendants]])),Tasks[[#This Row],[_LeafTotalSlack]]))</f>
        <v/>
      </c>
      <c r="AA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9" s="28" t="str">
        <f aca="false">IF(Tasks[[#This Row],[Task Name]]="","",IF(IF(Tasks[[#This Row],[_IsSummary]],COUNTIF(INDEX(Tasks[_LeafCritical],Tasks[[#This Row],[_Row]]+1):INDEX(Tasks[_LeafCritical],Tasks[[#This Row],[_Row]]+Tasks[[#This Row],[_Descendants]]),TRUE())&gt;0,Tasks[[#This Row],[_LeafCritical]]),"Yes",""))</f>
        <v/>
      </c>
      <c r="AC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9" s="24" t="str">
        <f aca="false">IF(Tasks[[#This Row],[Task Name]]="","",TRIM(IF(Tasks[[#This Row],[_Pred1Problem]]&lt;&gt;"","Pred 1: "&amp;Tasks[[#This Row],[_Pred1Problem]]&amp;". ","")&amp;IF(Tasks[[#This Row],[_Pred2Problem]]&lt;&gt;"","Pred 2: "&amp;Tasks[[#This Row],[_Pred2Problem]]&amp;".","")))</f>
        <v/>
      </c>
      <c r="AE69" s="91"/>
      <c r="AF6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9" s="28" t="str">
        <f aca="false">IF(Tasks[[#This Row],[Task Name]]="","",IF(Tasks[[#This Row],[Progress]]&gt;=1,"Complete",IF(OR(N(Tasks[[#This Row],[Actual Start]])&gt;0,Tasks[[#This Row],[Progress]]&gt;0),IF(Tasks[[#This Row],[Finish Var]]&gt;0,"Behind","In Progress"),IF(Tasks[[#This Row],[Planned Start]]&lt;StatusDate,"Late Start","Not Started"))))</f>
        <v/>
      </c>
      <c r="AH69" s="30"/>
      <c r="AI69" s="91"/>
      <c r="AJ6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9" s="98" t="str">
        <f aca="false">IF(Tasks[[#This Row],[Task Name]]="","",IF(Tasks[[#This Row],[_IsSummary]],SUM(INDEX(Tasks[_LeafWork],Tasks[[#This Row],[_Row]]+1):INDEX(Tasks[_LeafWork],Tasks[[#This Row],[_Row]]+Tasks[[#This Row],[_Descendants]])),Tasks[[#This Row],[_LeafWork]]))</f>
        <v/>
      </c>
      <c r="AL69" s="99" t="str">
        <f aca="false">IF(Tasks[[#This Row],[Task Name]]="","",IF(Tasks[[#This Row],[_IsSummary]],SUM(INDEX(Tasks[_LeafCost],Tasks[[#This Row],[_Row]]+1):INDEX(Tasks[_LeafCost],Tasks[[#This Row],[_Row]]+Tasks[[#This Row],[_Descendants]])),Tasks[[#This Row],[_LeafCost]]))</f>
        <v/>
      </c>
      <c r="AM69" s="100"/>
      <c r="AN69" s="29"/>
      <c r="AO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9" s="85"/>
      <c r="AQ69" s="24" t="str">
        <f aca="false">IF(Tasks[[#This Row],[Task Name]]="","",Tasks[[#This Row],[_Pred1IDText]]&amp;IF(AND(Tasks[[#This Row],[_Pred1IDText]]&lt;&gt;"",Tasks[[#This Row],[_Pred2IDText]]&lt;&gt;""),",","")&amp;Tasks[[#This Row],[_Pred2IDText]])</f>
        <v/>
      </c>
      <c r="AR69" s="30"/>
      <c r="AS69" s="25" t="str">
        <f aca="false">IF(Tasks[[#This Row],[Task Name]]="","",Tasks[[#This Row],[Forecast Start]])</f>
        <v/>
      </c>
      <c r="AT69" s="25" t="str">
        <f aca="false">IF(Tasks[[#This Row],[Task Name]]="","",Tasks[[#This Row],[Forecast Finish]])</f>
        <v/>
      </c>
      <c r="AU69" s="28" t="str">
        <f aca="false">IF(Tasks[[#This Row],[Task Name]]="","",IF(Tasks[[#This Row],[_IsSummary]],NETWORKDAYS.INTL(Tasks[[#This Row],[Forecast Start]],Tasks[[#This Row],[Forecast Finish]],WorkWeek,Holidays),N(Tasks[[#This Row],[Duration]])))</f>
        <v/>
      </c>
      <c r="AV69" s="98" t="str">
        <f aca="false">IF(Tasks[[#This Row],[Task Name]]="","",Tasks[[#This Row],[Work]])</f>
        <v/>
      </c>
      <c r="AW69" s="99" t="str">
        <f aca="false">IF(Tasks[[#This Row],[Task Name]]="","",Tasks[[#This Row],[Cost]])</f>
        <v/>
      </c>
      <c r="AX69" s="77"/>
      <c r="AY69" s="77"/>
      <c r="AZ69" s="29"/>
      <c r="BA69" s="101"/>
      <c r="BB69" s="100"/>
      <c r="BC69" s="28" t="str">
        <f aca="false">IF(OR(Tasks[[#This Row],[Task Name]]="",Tasks[[#This Row],[Baseline Duration]]=""),"",Tasks[[#This Row],[BL Source Duration]]-N(Tasks[[#This Row],[Baseline Duration]]))</f>
        <v/>
      </c>
      <c r="BD69" s="98" t="str">
        <f aca="false">IF(OR(Tasks[[#This Row],[Task Name]]="",Tasks[[#This Row],[Baseline Work]]=""),"",Tasks[[#This Row],[Work]]-N(Tasks[[#This Row],[Baseline Work]]))</f>
        <v/>
      </c>
      <c r="BE69" s="99" t="str">
        <f aca="false">IF(OR(Tasks[[#This Row],[Task Name]]="",Tasks[[#This Row],[Baseline Cost]]=""),"",Tasks[[#This Row],[Cost]]-N(Tasks[[#This Row],[Baseline Cost]]))</f>
        <v/>
      </c>
      <c r="BF69" s="99" t="str">
        <f aca="false">IF(Tasks[[#This Row],[Task Name]]="","",IF(Tasks[[#This Row],[_IsSummary]],SUM(INDEX(Tasks[_LeafBudget],Tasks[[#This Row],[_Row]]+1):INDEX(Tasks[_LeafBudget],Tasks[[#This Row],[_Row]]+Tasks[[#This Row],[_Descendants]])),Tasks[[#This Row],[_LeafBudget]]))</f>
        <v/>
      </c>
      <c r="BG69" s="99" t="str">
        <f aca="false">IF(Tasks[[#This Row],[Task Name]]="","",IF(Tasks[[#This Row],[_IsSummary]],SUM(INDEX(Tasks[_LeafPV],Tasks[[#This Row],[_Row]]+1):INDEX(Tasks[_LeafPV],Tasks[[#This Row],[_Row]]+Tasks[[#This Row],[_Descendants]])),Tasks[[#This Row],[_LeafPV]]))</f>
        <v/>
      </c>
      <c r="BH69" s="99" t="str">
        <f aca="false">IF(Tasks[[#This Row],[Task Name]]="","",IF(Tasks[[#This Row],[_IsSummary]],SUM(INDEX(Tasks[_LeafEV],Tasks[[#This Row],[_Row]]+1):INDEX(Tasks[_LeafEV],Tasks[[#This Row],[_Row]]+Tasks[[#This Row],[_Descendants]])),Tasks[[#This Row],[_LeafEV]]))</f>
        <v/>
      </c>
      <c r="BI69" s="99" t="str">
        <f aca="false">IF(Tasks[[#This Row],[Task Name]]="","",IF(Tasks[[#This Row],[_IsSummary]],SUM(INDEX(Tasks[_LeafAC],Tasks[[#This Row],[_Row]]+1):INDEX(Tasks[_LeafAC],Tasks[[#This Row],[_Row]]+Tasks[[#This Row],[_Descendants]])),Tasks[[#This Row],[_LeafAC]]))</f>
        <v/>
      </c>
      <c r="BJ69" s="41" t="str">
        <f aca="false">IF(Tasks[[#This Row],[Task Name]]="","",MAX(1,N(Tasks[[#This Row],[Level]])))</f>
        <v/>
      </c>
      <c r="BK69" s="41" t="n">
        <f aca="false">ROW()-ROW(Tasks[[#Headers],[ID]])</f>
        <v>64</v>
      </c>
      <c r="BL69" s="41" t="n">
        <f aca="false">IF(OR(Tasks[[#This Row],[Task Name]]="",Tasks[[#This Row],[_Level]]&lt;=1),0,IFERROR(LOOKUP(2,1/(Tasks[[#Headers],[_Level]]:Tasks[[#This Row],[_Level]]=Tasks[[#This Row],[_Level]]-1),ROW(Tasks[[#Headers],[_Level]]:Tasks[[#This Row],[_Level]])),0))</f>
        <v>0</v>
      </c>
      <c r="BM69" s="41" t="n">
        <f aca="false">IFERROR(N(INDEX(Tasks[_Level],Tasks[[#This Row],[_Row]]+1)),0)</f>
        <v>0</v>
      </c>
      <c r="BN69" s="102" t="b">
        <f aca="false">AND(Tasks[[#This Row],[Task Name]]&lt;&gt;"",Tasks[[#This Row],[_NextLevel]]&gt;Tasks[[#This Row],[_Level]])</f>
        <v>0</v>
      </c>
      <c r="BO69" s="41" t="n">
        <f aca="false">IF(Tasks[[#This Row],[_IsSummary]],COUNTIF(Tasks[WBS],Tasks[[#This Row],[WBS]]&amp;".*"),0)</f>
        <v>0</v>
      </c>
      <c r="BP69" s="41" t="n">
        <f aca="false">IF(AND(Tasks[[#This Row],[Task Name]]&lt;&gt;"",NOT(Tasks[[#This Row],[_IsSummary]])),1,0)</f>
        <v>0</v>
      </c>
      <c r="BQ69" s="41" t="n">
        <f aca="false">IF(N(Tasks[[#This Row],[Pred1 UID]])=0,0,IFERROR(MATCH(Tasks[[#This Row],[Pred1 UID]],Tasks[UID],0),-1))</f>
        <v>0</v>
      </c>
      <c r="BR69" s="41" t="n">
        <f aca="false">IF(N(Tasks[[#This Row],[Pred2 UID]])=0,0,IFERROR(MATCH(Tasks[[#This Row],[Pred2 UID]],Tasks[UID],0),-1))</f>
        <v>0</v>
      </c>
      <c r="BS6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9" s="103" t="str">
        <f aca="false">IF(NOT(Tasks[[#This Row],[_IsLeaf]]=1),"",IF(N(Tasks[[#This Row],[Duration]])&lt;=0,Tasks[[#This Row],[_LeafCalcStart]],WORKDAY.INTL(Tasks[[#This Row],[_LeafCalcStart]],Tasks[[#This Row],[Duration]]-1,WorkWeek,Holidays)))</f>
        <v/>
      </c>
      <c r="BU6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9" s="41" t="n">
        <f aca="false">IF(NOT(Tasks[[#This Row],[_IsLeaf]]=1),0,IF(N(Tasks[[#This Row],[Actual Finish]])&gt;0,1,MIN(1,N(Tasks[[#This Row],[% Complete]]))))</f>
        <v>0</v>
      </c>
      <c r="BX69" s="41" t="n">
        <f aca="false">IF(OR(NOT(Tasks[[#This Row],[_IsLeaf]]=1),Tasks[[#This Row],[Resource]]=""),0,N(Tasks[[#This Row],[Duration]])*HoursPerDay*IF(Tasks[[#This Row],[Units]]="",DefaultUnits,Tasks[[#This Row],[Units]]))</f>
        <v>0</v>
      </c>
      <c r="BY69" s="41" t="n">
        <f aca="false">IF(Tasks[[#This Row],[_LeafWork]]=0,0,Tasks[[#This Row],[_LeafWork]]*IFERROR(INDEX(res_Rate,MATCH(Tasks[[#This Row],[Resource]],res_Name,0)),0))</f>
        <v>0</v>
      </c>
      <c r="BZ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9" s="41" t="n">
        <f aca="false">IF(NOT(Tasks[[#This Row],[_IsLeaf]]=1),0,MAX(_xlfn.MAXIFS(Tasks[_Row],Tasks[Pred1 UID],Tasks[[#This Row],[UID]]),_xlfn.MAXIFS(Tasks[_Row],Tasks[Pred2 UID],Tasks[[#This Row],[UID]])))</f>
        <v>0</v>
      </c>
      <c r="CE6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9" s="103" t="str">
        <f aca="false">IF(NOT(Tasks[[#This Row],[_IsLeaf]]=1),"",MIN(ProjectFinish,IF(N(Tasks[[#This Row],[Deadline]])&gt;0,Tasks[[#This Row],[Deadline]],2958465),Tasks[[#This Row],[_SuccessorFinishLimit]]))</f>
        <v/>
      </c>
      <c r="CG69" s="103" t="str">
        <f aca="false">IF(NOT(Tasks[[#This Row],[_IsLeaf]]=1),"",IF(N(Tasks[[#This Row],[Duration]])&lt;=0,Tasks[[#This Row],[_LeafLateFinish]],WORKDAY.INTL(Tasks[[#This Row],[_LeafLateFinish]],-(Tasks[[#This Row],[Duration]]-1),WorkWeek,Holidays)))</f>
        <v/>
      </c>
      <c r="CH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9" s="102" t="b">
        <f aca="false">AND(Tasks[[#This Row],[_IsLeaf]]=1,Tasks[[#This Row],[_LeafProgress]]&lt;1,N(Tasks[[#This Row],[_LeafTotalSlack]])&lt;=CriticalSlackDays)</f>
        <v>0</v>
      </c>
      <c r="CJ69" s="103" t="str">
        <f aca="false">IF(Tasks[[#This Row],[Task Name]]="","",IF(Tasks[[#This Row],[_IsSummary]],MIN(INDEX(Tasks[_LeafCalcStart],Tasks[[#This Row],[_Row]]+1):INDEX(Tasks[_LeafCalcStart],Tasks[[#This Row],[_Row]]+Tasks[[#This Row],[_Descendants]])),Tasks[[#This Row],[_LeafCalcStart]]))</f>
        <v/>
      </c>
      <c r="CK69" s="103" t="str">
        <f aca="false">IF(Tasks[[#This Row],[Task Name]]="","",IF(Tasks[[#This Row],[_IsSummary]],MAX(INDEX(Tasks[_LeafCalcFinish],Tasks[[#This Row],[_Row]]+1):INDEX(Tasks[_LeafCalcFinish],Tasks[[#This Row],[_Row]]+Tasks[[#This Row],[_Descendants]])),Tasks[[#This Row],[_LeafCalcFinish]]))</f>
        <v/>
      </c>
      <c r="CL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9" s="41" t="n">
        <f aca="false">IF(AND(Tasks[[#This Row],[_IsLeaf]]=1,Tasks[[#This Row],[_LeafWork]]&gt;0),NETWORKDAYS.INTL(ProjectStart,Tasks[[#This Row],[_LeafFcstStart]],WorkWeek,Holidays),0)</f>
        <v>0</v>
      </c>
      <c r="CS69" s="41" t="n">
        <f aca="false">IF(AND(Tasks[[#This Row],[_IsLeaf]]=1,Tasks[[#This Row],[_LeafWork]]&gt;0),MAX(Tasks[[#This Row],[_StartWorkday]],NETWORKDAYS.INTL(ProjectStart,Tasks[[#This Row],[_LeafFcstFinish]],WorkWeek,Holidays)),0)</f>
        <v>0</v>
      </c>
      <c r="CT69" s="41" t="n">
        <f aca="false">IF(AND(Tasks[[#This Row],[_IsLeaf]]=1,Tasks[[#This Row],[_LeafWork]]&gt;0),Tasks[[#This Row],[_LeafWork]]/(Tasks[[#This Row],[_FinishWorkday]]-Tasks[[#This Row],[_StartWorkday]]+1),0)</f>
        <v>0</v>
      </c>
      <c r="CU69" s="41" t="n">
        <f aca="false">Tasks[[#This Row],[_WorkPerWorkday]]*(Tasks[[#This Row],[_StartWorkday]]-1)</f>
        <v>-0</v>
      </c>
      <c r="CV69" s="41" t="n">
        <f aca="false">IF(Tasks[[#This Row],[_IsLeaf]]=1,MAX(N(Tasks[[#This Row],[Duration]]),0.1),0)</f>
        <v>0</v>
      </c>
      <c r="CW69" s="41" t="n">
        <f aca="false">Tasks[[#This Row],[_WeightDur]]*Tasks[[#This Row],[_LeafProgress]]</f>
        <v>0</v>
      </c>
      <c r="CX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9" s="41" t="str">
        <f aca="false">IF(Tasks[[#This Row],[Task Name]]="","",Tasks[[#This Row],[_Pred1UIDText]]&amp;IF(AND(Tasks[[#This Row],[_Pred1UIDText]]&lt;&gt;"",Tasks[[#This Row],[_Pred2UIDText]]&lt;&gt;""),",","")&amp;Tasks[[#This Row],[_Pred2UIDText]])</f>
        <v/>
      </c>
      <c r="DC69" s="41" t="str">
        <f aca="false">IF(AND(Tasks[[#This Row],[_IsLeaf]]=1,N(Tasks[[#This Row],[Duration]])=0,Tasks[[#This Row],[_LeafProgress]]&lt;1),Tasks[[#This Row],[_LeafFcstFinish]]+Tasks[[#This Row],[_Row]]/100000,"")</f>
        <v/>
      </c>
      <c r="DD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9" s="41" t="n">
        <f aca="false">IF(NOT(Tasks[[#This Row],[_IsLeaf]]=1),0,IF(Tasks[[#This Row],[Baseline Cost]]="",Tasks[[#This Row],[_LeafCost]],N(Tasks[[#This Row],[Baseline Cost]])))</f>
        <v>0</v>
      </c>
      <c r="DF69" s="41" t="n">
        <f aca="false">Tasks[[#This Row],[_LeafBudget]]*Tasks[[#This Row],[_PlannedPct]]</f>
        <v>0</v>
      </c>
      <c r="DG69" s="41" t="n">
        <f aca="false">Tasks[[#This Row],[_LeafBudget]]*Tasks[[#This Row],[_LeafProgress]]</f>
        <v>0</v>
      </c>
      <c r="DH69" s="41" t="n">
        <f aca="false">IF(NOT(Tasks[[#This Row],[_IsLeaf]]=1),0,IF(Tasks[[#This Row],[Actual Cost]]="",Tasks[[#This Row],[_LeafCost]]*Tasks[[#This Row],[_LeafProgress]],N(Tasks[[#This Row],[Actual Cost]])))</f>
        <v>0</v>
      </c>
      <c r="DI69" s="41" t="str">
        <f aca="false">IF(Tasks[[#This Row],[Task Name]]="","",LEFT(Tasks[[#This Row],[WBS]],FIND(".",Tasks[[#This Row],[WBS]]&amp;".")-1))</f>
        <v/>
      </c>
      <c r="DJ69" s="41" t="str">
        <f aca="false">IF(AND(Tasks[[#This Row],[Task Name]]&lt;&gt;"",Tasks[[#This Row],[_Level]]=1),Tasks[[#This Row],[_Row]],"")</f>
        <v/>
      </c>
      <c r="DK69" s="41" t="str">
        <f aca="false">IF(AND(Tasks[[#This Row],[_IsLeaf]]=1,N(Tasks[[#This Row],[Duration]])=0),Tasks[[#This Row],[Planned Finish]]+Tasks[[#This Row],[_Row]]/100000,"")</f>
        <v/>
      </c>
      <c r="DL69" s="41" t="str">
        <f aca="false">IF(AND(Tasks[[#This Row],[_IsLeaf]]=1,Tasks[[#This Row],[_LeafProgress]]&lt;1,OR(N(Tasks[[#This Row],[Finish Var]])&gt;0,Tasks[[#This Row],[Status]]="Late Start")),MAX(0,Tasks[[#This Row],[Finish Var]])+1-Tasks[[#This Row],[_Row]]/1000000,"")</f>
        <v/>
      </c>
      <c r="DM69" s="41" t="str">
        <f aca="false">IF(AND(Tasks[[#This Row],[_IsLeaf]]=1,N(Tasks[[#This Row],[Actual Start]])=0,Tasks[[#This Row],[_LeafFcstStart]]&gt;=StatusDate,Tasks[[#This Row],[_LeafFcstStart]]&lt;=LookaheadEnd),Tasks[[#This Row],[_LeafFcstStart]]+Tasks[[#This Row],[_Row]]/100000,"")</f>
        <v/>
      </c>
      <c r="DN69" s="41" t="str">
        <f aca="false">IF(AND(Tasks[[#This Row],[_IsLeaf]]=1,Tasks[[#This Row],[_LeafProgress]]&lt;1,Tasks[[#This Row],[_LeafFcstFinish]]&gt;=StatusDate,Tasks[[#This Row],[_LeafFcstFinish]]&lt;=LookaheadEnd),Tasks[[#This Row],[_LeafFcstFinish]]+Tasks[[#This Row],[_Row]]/100000,"")</f>
        <v/>
      </c>
      <c r="DO69" s="41" t="str">
        <f aca="false">IF(Tasks[[#This Row],[_LeafCritical]],Tasks[[#This Row],[_LeafFcstStart]]+Tasks[[#This Row],[_Row]]/100000,"")</f>
        <v/>
      </c>
      <c r="DP69" s="41" t="n">
        <f aca="false">Tasks[[#This Row],[_LeafWork]]*Tasks[[#This Row],[_LeafProgress]]</f>
        <v>0</v>
      </c>
      <c r="DQ69" s="103" t="str">
        <f aca="false">IF(AND(Tasks[[#This Row],[_IsLeaf]]=1,Tasks[[#This Row],[_LeafProgress]]&gt;=1),IF(N(Tasks[[#This Row],[Actual Finish]])&gt;0,Tasks[[#This Row],[Actual Finish]],Tasks[[#This Row],[_LeafFcstFinish]]),"")</f>
        <v/>
      </c>
      <c r="DR69" s="41" t="n">
        <f aca="false">IF(Tasks[[#This Row],[_IsLeaf]]=1,N(Tasks[[#This Row],[Story Points]]),0)</f>
        <v>0</v>
      </c>
      <c r="DS69" s="41" t="str">
        <f aca="false">IF(AND(Tasks[[#This Row],[_IsLeaf]]=1,CurrentSprint&lt;&gt;"",Tasks[[#This Row],[Sprint]]=CurrentSprint),Tasks[[#This Row],[_Row]],"")</f>
        <v/>
      </c>
    </row>
    <row r="70" customFormat="false" ht="15" hidden="false" customHeight="false" outlineLevel="0" collapsed="false">
      <c r="A70" s="28" t="str">
        <f aca="false">IF(Tasks[[#This Row],[Task Name]]="","",COUNTA(Tasks[[#Headers],[Task Name]]:Tasks[[#This Row],[Task Name]])-1)</f>
        <v/>
      </c>
      <c r="B70" s="29" t="n">
        <v>65</v>
      </c>
      <c r="C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29"/>
      <c r="E70" s="30"/>
      <c r="F70" s="29"/>
      <c r="G70" s="29"/>
      <c r="H70" s="29"/>
      <c r="I70" s="29"/>
      <c r="J70" s="29"/>
      <c r="K70" s="29"/>
      <c r="L70" s="29"/>
      <c r="M70" s="29"/>
      <c r="N70" s="77"/>
      <c r="O70" s="77"/>
      <c r="P70" s="25" t="str">
        <f aca="false">IF(Tasks[[#This Row],[Task Name]]="","",IF(N(Tasks[[#This Row],[Baseline Start]])&gt;0,Tasks[[#This Row],[Baseline Start]],Tasks[[#This Row],[_CalcStart]]))</f>
        <v/>
      </c>
      <c r="Q70" s="25" t="str">
        <f aca="false">IF(Tasks[[#This Row],[Task Name]]="","",IF(N(Tasks[[#This Row],[Baseline Finish]])&gt;0,Tasks[[#This Row],[Baseline Finish]],Tasks[[#This Row],[_CalcFinish]]))</f>
        <v/>
      </c>
      <c r="R70" s="77"/>
      <c r="S70" s="77"/>
      <c r="T70" s="25" t="str">
        <f aca="false">IF(Tasks[[#This Row],[Task Name]]="","",IF(Tasks[[#This Row],[_IsSummary]],MIN(INDEX(Tasks[_LeafFcstStart],Tasks[[#This Row],[_Row]]+1):INDEX(Tasks[_LeafFcstStart],Tasks[[#This Row],[_Row]]+Tasks[[#This Row],[_Descendants]])),Tasks[[#This Row],[_LeafFcstStart]]))</f>
        <v/>
      </c>
      <c r="U70" s="25" t="str">
        <f aca="false">IF(Tasks[[#This Row],[Task Name]]="","",IF(Tasks[[#This Row],[_IsSummary]],MAX(INDEX(Tasks[_LeafFcstFinish],Tasks[[#This Row],[_Row]]+1):INDEX(Tasks[_LeafFcstFinish],Tasks[[#This Row],[_Row]]+Tasks[[#This Row],[_Descendants]])),Tasks[[#This Row],[_LeafFcstFinish]]))</f>
        <v/>
      </c>
      <c r="V7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0" s="25" t="str">
        <f aca="false">IF(Tasks[[#This Row],[Task Name]]="","",IF(Tasks[[#This Row],[_IsSummary]],MIN(INDEX(Tasks[_LeafLateStart],Tasks[[#This Row],[_Row]]+1):INDEX(Tasks[_LeafLateStart],Tasks[[#This Row],[_Row]]+Tasks[[#This Row],[_Descendants]])),Tasks[[#This Row],[_LeafLateStart]]))</f>
        <v/>
      </c>
      <c r="Y70" s="25" t="str">
        <f aca="false">IF(Tasks[[#This Row],[Task Name]]="","",IF(Tasks[[#This Row],[_IsSummary]],MAX(INDEX(Tasks[_LeafLateFinish],Tasks[[#This Row],[_Row]]+1):INDEX(Tasks[_LeafLateFinish],Tasks[[#This Row],[_Row]]+Tasks[[#This Row],[_Descendants]])),Tasks[[#This Row],[_LeafLateFinish]]))</f>
        <v/>
      </c>
      <c r="Z70" s="43" t="str">
        <f aca="false">IF(Tasks[[#This Row],[Task Name]]="","",IF(Tasks[[#This Row],[_IsSummary]],MIN(INDEX(Tasks[_LeafTotalSlack],Tasks[[#This Row],[_Row]]+1):INDEX(Tasks[_LeafTotalSlack],Tasks[[#This Row],[_Row]]+Tasks[[#This Row],[_Descendants]])),Tasks[[#This Row],[_LeafTotalSlack]]))</f>
        <v/>
      </c>
      <c r="AA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0" s="28" t="str">
        <f aca="false">IF(Tasks[[#This Row],[Task Name]]="","",IF(IF(Tasks[[#This Row],[_IsSummary]],COUNTIF(INDEX(Tasks[_LeafCritical],Tasks[[#This Row],[_Row]]+1):INDEX(Tasks[_LeafCritical],Tasks[[#This Row],[_Row]]+Tasks[[#This Row],[_Descendants]]),TRUE())&gt;0,Tasks[[#This Row],[_LeafCritical]]),"Yes",""))</f>
        <v/>
      </c>
      <c r="AC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0" s="24" t="str">
        <f aca="false">IF(Tasks[[#This Row],[Task Name]]="","",TRIM(IF(Tasks[[#This Row],[_Pred1Problem]]&lt;&gt;"","Pred 1: "&amp;Tasks[[#This Row],[_Pred1Problem]]&amp;". ","")&amp;IF(Tasks[[#This Row],[_Pred2Problem]]&lt;&gt;"","Pred 2: "&amp;Tasks[[#This Row],[_Pred2Problem]]&amp;".","")))</f>
        <v/>
      </c>
      <c r="AE70" s="91"/>
      <c r="AF7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0" s="28" t="str">
        <f aca="false">IF(Tasks[[#This Row],[Task Name]]="","",IF(Tasks[[#This Row],[Progress]]&gt;=1,"Complete",IF(OR(N(Tasks[[#This Row],[Actual Start]])&gt;0,Tasks[[#This Row],[Progress]]&gt;0),IF(Tasks[[#This Row],[Finish Var]]&gt;0,"Behind","In Progress"),IF(Tasks[[#This Row],[Planned Start]]&lt;StatusDate,"Late Start","Not Started"))))</f>
        <v/>
      </c>
      <c r="AH70" s="30"/>
      <c r="AI70" s="91"/>
      <c r="AJ7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0" s="98" t="str">
        <f aca="false">IF(Tasks[[#This Row],[Task Name]]="","",IF(Tasks[[#This Row],[_IsSummary]],SUM(INDEX(Tasks[_LeafWork],Tasks[[#This Row],[_Row]]+1):INDEX(Tasks[_LeafWork],Tasks[[#This Row],[_Row]]+Tasks[[#This Row],[_Descendants]])),Tasks[[#This Row],[_LeafWork]]))</f>
        <v/>
      </c>
      <c r="AL70" s="99" t="str">
        <f aca="false">IF(Tasks[[#This Row],[Task Name]]="","",IF(Tasks[[#This Row],[_IsSummary]],SUM(INDEX(Tasks[_LeafCost],Tasks[[#This Row],[_Row]]+1):INDEX(Tasks[_LeafCost],Tasks[[#This Row],[_Row]]+Tasks[[#This Row],[_Descendants]])),Tasks[[#This Row],[_LeafCost]]))</f>
        <v/>
      </c>
      <c r="AM70" s="100"/>
      <c r="AN70" s="29"/>
      <c r="AO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0" s="85"/>
      <c r="AQ70" s="24" t="str">
        <f aca="false">IF(Tasks[[#This Row],[Task Name]]="","",Tasks[[#This Row],[_Pred1IDText]]&amp;IF(AND(Tasks[[#This Row],[_Pred1IDText]]&lt;&gt;"",Tasks[[#This Row],[_Pred2IDText]]&lt;&gt;""),",","")&amp;Tasks[[#This Row],[_Pred2IDText]])</f>
        <v/>
      </c>
      <c r="AR70" s="30"/>
      <c r="AS70" s="25" t="str">
        <f aca="false">IF(Tasks[[#This Row],[Task Name]]="","",Tasks[[#This Row],[Forecast Start]])</f>
        <v/>
      </c>
      <c r="AT70" s="25" t="str">
        <f aca="false">IF(Tasks[[#This Row],[Task Name]]="","",Tasks[[#This Row],[Forecast Finish]])</f>
        <v/>
      </c>
      <c r="AU70" s="28" t="str">
        <f aca="false">IF(Tasks[[#This Row],[Task Name]]="","",IF(Tasks[[#This Row],[_IsSummary]],NETWORKDAYS.INTL(Tasks[[#This Row],[Forecast Start]],Tasks[[#This Row],[Forecast Finish]],WorkWeek,Holidays),N(Tasks[[#This Row],[Duration]])))</f>
        <v/>
      </c>
      <c r="AV70" s="98" t="str">
        <f aca="false">IF(Tasks[[#This Row],[Task Name]]="","",Tasks[[#This Row],[Work]])</f>
        <v/>
      </c>
      <c r="AW70" s="99" t="str">
        <f aca="false">IF(Tasks[[#This Row],[Task Name]]="","",Tasks[[#This Row],[Cost]])</f>
        <v/>
      </c>
      <c r="AX70" s="77"/>
      <c r="AY70" s="77"/>
      <c r="AZ70" s="29"/>
      <c r="BA70" s="101"/>
      <c r="BB70" s="100"/>
      <c r="BC70" s="28" t="str">
        <f aca="false">IF(OR(Tasks[[#This Row],[Task Name]]="",Tasks[[#This Row],[Baseline Duration]]=""),"",Tasks[[#This Row],[BL Source Duration]]-N(Tasks[[#This Row],[Baseline Duration]]))</f>
        <v/>
      </c>
      <c r="BD70" s="98" t="str">
        <f aca="false">IF(OR(Tasks[[#This Row],[Task Name]]="",Tasks[[#This Row],[Baseline Work]]=""),"",Tasks[[#This Row],[Work]]-N(Tasks[[#This Row],[Baseline Work]]))</f>
        <v/>
      </c>
      <c r="BE70" s="99" t="str">
        <f aca="false">IF(OR(Tasks[[#This Row],[Task Name]]="",Tasks[[#This Row],[Baseline Cost]]=""),"",Tasks[[#This Row],[Cost]]-N(Tasks[[#This Row],[Baseline Cost]]))</f>
        <v/>
      </c>
      <c r="BF70" s="99" t="str">
        <f aca="false">IF(Tasks[[#This Row],[Task Name]]="","",IF(Tasks[[#This Row],[_IsSummary]],SUM(INDEX(Tasks[_LeafBudget],Tasks[[#This Row],[_Row]]+1):INDEX(Tasks[_LeafBudget],Tasks[[#This Row],[_Row]]+Tasks[[#This Row],[_Descendants]])),Tasks[[#This Row],[_LeafBudget]]))</f>
        <v/>
      </c>
      <c r="BG70" s="99" t="str">
        <f aca="false">IF(Tasks[[#This Row],[Task Name]]="","",IF(Tasks[[#This Row],[_IsSummary]],SUM(INDEX(Tasks[_LeafPV],Tasks[[#This Row],[_Row]]+1):INDEX(Tasks[_LeafPV],Tasks[[#This Row],[_Row]]+Tasks[[#This Row],[_Descendants]])),Tasks[[#This Row],[_LeafPV]]))</f>
        <v/>
      </c>
      <c r="BH70" s="99" t="str">
        <f aca="false">IF(Tasks[[#This Row],[Task Name]]="","",IF(Tasks[[#This Row],[_IsSummary]],SUM(INDEX(Tasks[_LeafEV],Tasks[[#This Row],[_Row]]+1):INDEX(Tasks[_LeafEV],Tasks[[#This Row],[_Row]]+Tasks[[#This Row],[_Descendants]])),Tasks[[#This Row],[_LeafEV]]))</f>
        <v/>
      </c>
      <c r="BI70" s="99" t="str">
        <f aca="false">IF(Tasks[[#This Row],[Task Name]]="","",IF(Tasks[[#This Row],[_IsSummary]],SUM(INDEX(Tasks[_LeafAC],Tasks[[#This Row],[_Row]]+1):INDEX(Tasks[_LeafAC],Tasks[[#This Row],[_Row]]+Tasks[[#This Row],[_Descendants]])),Tasks[[#This Row],[_LeafAC]]))</f>
        <v/>
      </c>
      <c r="BJ70" s="41" t="str">
        <f aca="false">IF(Tasks[[#This Row],[Task Name]]="","",MAX(1,N(Tasks[[#This Row],[Level]])))</f>
        <v/>
      </c>
      <c r="BK70" s="41" t="n">
        <f aca="false">ROW()-ROW(Tasks[[#Headers],[ID]])</f>
        <v>65</v>
      </c>
      <c r="BL70" s="41" t="n">
        <f aca="false">IF(OR(Tasks[[#This Row],[Task Name]]="",Tasks[[#This Row],[_Level]]&lt;=1),0,IFERROR(LOOKUP(2,1/(Tasks[[#Headers],[_Level]]:Tasks[[#This Row],[_Level]]=Tasks[[#This Row],[_Level]]-1),ROW(Tasks[[#Headers],[_Level]]:Tasks[[#This Row],[_Level]])),0))</f>
        <v>0</v>
      </c>
      <c r="BM70" s="41" t="n">
        <f aca="false">IFERROR(N(INDEX(Tasks[_Level],Tasks[[#This Row],[_Row]]+1)),0)</f>
        <v>0</v>
      </c>
      <c r="BN70" s="102" t="b">
        <f aca="false">AND(Tasks[[#This Row],[Task Name]]&lt;&gt;"",Tasks[[#This Row],[_NextLevel]]&gt;Tasks[[#This Row],[_Level]])</f>
        <v>0</v>
      </c>
      <c r="BO70" s="41" t="n">
        <f aca="false">IF(Tasks[[#This Row],[_IsSummary]],COUNTIF(Tasks[WBS],Tasks[[#This Row],[WBS]]&amp;".*"),0)</f>
        <v>0</v>
      </c>
      <c r="BP70" s="41" t="n">
        <f aca="false">IF(AND(Tasks[[#This Row],[Task Name]]&lt;&gt;"",NOT(Tasks[[#This Row],[_IsSummary]])),1,0)</f>
        <v>0</v>
      </c>
      <c r="BQ70" s="41" t="n">
        <f aca="false">IF(N(Tasks[[#This Row],[Pred1 UID]])=0,0,IFERROR(MATCH(Tasks[[#This Row],[Pred1 UID]],Tasks[UID],0),-1))</f>
        <v>0</v>
      </c>
      <c r="BR70" s="41" t="n">
        <f aca="false">IF(N(Tasks[[#This Row],[Pred2 UID]])=0,0,IFERROR(MATCH(Tasks[[#This Row],[Pred2 UID]],Tasks[UID],0),-1))</f>
        <v>0</v>
      </c>
      <c r="BS7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0" s="103" t="str">
        <f aca="false">IF(NOT(Tasks[[#This Row],[_IsLeaf]]=1),"",IF(N(Tasks[[#This Row],[Duration]])&lt;=0,Tasks[[#This Row],[_LeafCalcStart]],WORKDAY.INTL(Tasks[[#This Row],[_LeafCalcStart]],Tasks[[#This Row],[Duration]]-1,WorkWeek,Holidays)))</f>
        <v/>
      </c>
      <c r="BU7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0" s="41" t="n">
        <f aca="false">IF(NOT(Tasks[[#This Row],[_IsLeaf]]=1),0,IF(N(Tasks[[#This Row],[Actual Finish]])&gt;0,1,MIN(1,N(Tasks[[#This Row],[% Complete]]))))</f>
        <v>0</v>
      </c>
      <c r="BX70" s="41" t="n">
        <f aca="false">IF(OR(NOT(Tasks[[#This Row],[_IsLeaf]]=1),Tasks[[#This Row],[Resource]]=""),0,N(Tasks[[#This Row],[Duration]])*HoursPerDay*IF(Tasks[[#This Row],[Units]]="",DefaultUnits,Tasks[[#This Row],[Units]]))</f>
        <v>0</v>
      </c>
      <c r="BY70" s="41" t="n">
        <f aca="false">IF(Tasks[[#This Row],[_LeafWork]]=0,0,Tasks[[#This Row],[_LeafWork]]*IFERROR(INDEX(res_Rate,MATCH(Tasks[[#This Row],[Resource]],res_Name,0)),0))</f>
        <v>0</v>
      </c>
      <c r="BZ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0" s="41" t="n">
        <f aca="false">IF(NOT(Tasks[[#This Row],[_IsLeaf]]=1),0,MAX(_xlfn.MAXIFS(Tasks[_Row],Tasks[Pred1 UID],Tasks[[#This Row],[UID]]),_xlfn.MAXIFS(Tasks[_Row],Tasks[Pred2 UID],Tasks[[#This Row],[UID]])))</f>
        <v>0</v>
      </c>
      <c r="CE7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0" s="103" t="str">
        <f aca="false">IF(NOT(Tasks[[#This Row],[_IsLeaf]]=1),"",MIN(ProjectFinish,IF(N(Tasks[[#This Row],[Deadline]])&gt;0,Tasks[[#This Row],[Deadline]],2958465),Tasks[[#This Row],[_SuccessorFinishLimit]]))</f>
        <v/>
      </c>
      <c r="CG70" s="103" t="str">
        <f aca="false">IF(NOT(Tasks[[#This Row],[_IsLeaf]]=1),"",IF(N(Tasks[[#This Row],[Duration]])&lt;=0,Tasks[[#This Row],[_LeafLateFinish]],WORKDAY.INTL(Tasks[[#This Row],[_LeafLateFinish]],-(Tasks[[#This Row],[Duration]]-1),WorkWeek,Holidays)))</f>
        <v/>
      </c>
      <c r="CH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0" s="102" t="b">
        <f aca="false">AND(Tasks[[#This Row],[_IsLeaf]]=1,Tasks[[#This Row],[_LeafProgress]]&lt;1,N(Tasks[[#This Row],[_LeafTotalSlack]])&lt;=CriticalSlackDays)</f>
        <v>0</v>
      </c>
      <c r="CJ70" s="103" t="str">
        <f aca="false">IF(Tasks[[#This Row],[Task Name]]="","",IF(Tasks[[#This Row],[_IsSummary]],MIN(INDEX(Tasks[_LeafCalcStart],Tasks[[#This Row],[_Row]]+1):INDEX(Tasks[_LeafCalcStart],Tasks[[#This Row],[_Row]]+Tasks[[#This Row],[_Descendants]])),Tasks[[#This Row],[_LeafCalcStart]]))</f>
        <v/>
      </c>
      <c r="CK70" s="103" t="str">
        <f aca="false">IF(Tasks[[#This Row],[Task Name]]="","",IF(Tasks[[#This Row],[_IsSummary]],MAX(INDEX(Tasks[_LeafCalcFinish],Tasks[[#This Row],[_Row]]+1):INDEX(Tasks[_LeafCalcFinish],Tasks[[#This Row],[_Row]]+Tasks[[#This Row],[_Descendants]])),Tasks[[#This Row],[_LeafCalcFinish]]))</f>
        <v/>
      </c>
      <c r="CL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0" s="41" t="n">
        <f aca="false">IF(AND(Tasks[[#This Row],[_IsLeaf]]=1,Tasks[[#This Row],[_LeafWork]]&gt;0),NETWORKDAYS.INTL(ProjectStart,Tasks[[#This Row],[_LeafFcstStart]],WorkWeek,Holidays),0)</f>
        <v>0</v>
      </c>
      <c r="CS70" s="41" t="n">
        <f aca="false">IF(AND(Tasks[[#This Row],[_IsLeaf]]=1,Tasks[[#This Row],[_LeafWork]]&gt;0),MAX(Tasks[[#This Row],[_StartWorkday]],NETWORKDAYS.INTL(ProjectStart,Tasks[[#This Row],[_LeafFcstFinish]],WorkWeek,Holidays)),0)</f>
        <v>0</v>
      </c>
      <c r="CT70" s="41" t="n">
        <f aca="false">IF(AND(Tasks[[#This Row],[_IsLeaf]]=1,Tasks[[#This Row],[_LeafWork]]&gt;0),Tasks[[#This Row],[_LeafWork]]/(Tasks[[#This Row],[_FinishWorkday]]-Tasks[[#This Row],[_StartWorkday]]+1),0)</f>
        <v>0</v>
      </c>
      <c r="CU70" s="41" t="n">
        <f aca="false">Tasks[[#This Row],[_WorkPerWorkday]]*(Tasks[[#This Row],[_StartWorkday]]-1)</f>
        <v>-0</v>
      </c>
      <c r="CV70" s="41" t="n">
        <f aca="false">IF(Tasks[[#This Row],[_IsLeaf]]=1,MAX(N(Tasks[[#This Row],[Duration]]),0.1),0)</f>
        <v>0</v>
      </c>
      <c r="CW70" s="41" t="n">
        <f aca="false">Tasks[[#This Row],[_WeightDur]]*Tasks[[#This Row],[_LeafProgress]]</f>
        <v>0</v>
      </c>
      <c r="CX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0" s="41" t="str">
        <f aca="false">IF(Tasks[[#This Row],[Task Name]]="","",Tasks[[#This Row],[_Pred1UIDText]]&amp;IF(AND(Tasks[[#This Row],[_Pred1UIDText]]&lt;&gt;"",Tasks[[#This Row],[_Pred2UIDText]]&lt;&gt;""),",","")&amp;Tasks[[#This Row],[_Pred2UIDText]])</f>
        <v/>
      </c>
      <c r="DC70" s="41" t="str">
        <f aca="false">IF(AND(Tasks[[#This Row],[_IsLeaf]]=1,N(Tasks[[#This Row],[Duration]])=0,Tasks[[#This Row],[_LeafProgress]]&lt;1),Tasks[[#This Row],[_LeafFcstFinish]]+Tasks[[#This Row],[_Row]]/100000,"")</f>
        <v/>
      </c>
      <c r="DD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0" s="41" t="n">
        <f aca="false">IF(NOT(Tasks[[#This Row],[_IsLeaf]]=1),0,IF(Tasks[[#This Row],[Baseline Cost]]="",Tasks[[#This Row],[_LeafCost]],N(Tasks[[#This Row],[Baseline Cost]])))</f>
        <v>0</v>
      </c>
      <c r="DF70" s="41" t="n">
        <f aca="false">Tasks[[#This Row],[_LeafBudget]]*Tasks[[#This Row],[_PlannedPct]]</f>
        <v>0</v>
      </c>
      <c r="DG70" s="41" t="n">
        <f aca="false">Tasks[[#This Row],[_LeafBudget]]*Tasks[[#This Row],[_LeafProgress]]</f>
        <v>0</v>
      </c>
      <c r="DH70" s="41" t="n">
        <f aca="false">IF(NOT(Tasks[[#This Row],[_IsLeaf]]=1),0,IF(Tasks[[#This Row],[Actual Cost]]="",Tasks[[#This Row],[_LeafCost]]*Tasks[[#This Row],[_LeafProgress]],N(Tasks[[#This Row],[Actual Cost]])))</f>
        <v>0</v>
      </c>
      <c r="DI70" s="41" t="str">
        <f aca="false">IF(Tasks[[#This Row],[Task Name]]="","",LEFT(Tasks[[#This Row],[WBS]],FIND(".",Tasks[[#This Row],[WBS]]&amp;".")-1))</f>
        <v/>
      </c>
      <c r="DJ70" s="41" t="str">
        <f aca="false">IF(AND(Tasks[[#This Row],[Task Name]]&lt;&gt;"",Tasks[[#This Row],[_Level]]=1),Tasks[[#This Row],[_Row]],"")</f>
        <v/>
      </c>
      <c r="DK70" s="41" t="str">
        <f aca="false">IF(AND(Tasks[[#This Row],[_IsLeaf]]=1,N(Tasks[[#This Row],[Duration]])=0),Tasks[[#This Row],[Planned Finish]]+Tasks[[#This Row],[_Row]]/100000,"")</f>
        <v/>
      </c>
      <c r="DL70" s="41" t="str">
        <f aca="false">IF(AND(Tasks[[#This Row],[_IsLeaf]]=1,Tasks[[#This Row],[_LeafProgress]]&lt;1,OR(N(Tasks[[#This Row],[Finish Var]])&gt;0,Tasks[[#This Row],[Status]]="Late Start")),MAX(0,Tasks[[#This Row],[Finish Var]])+1-Tasks[[#This Row],[_Row]]/1000000,"")</f>
        <v/>
      </c>
      <c r="DM70" s="41" t="str">
        <f aca="false">IF(AND(Tasks[[#This Row],[_IsLeaf]]=1,N(Tasks[[#This Row],[Actual Start]])=0,Tasks[[#This Row],[_LeafFcstStart]]&gt;=StatusDate,Tasks[[#This Row],[_LeafFcstStart]]&lt;=LookaheadEnd),Tasks[[#This Row],[_LeafFcstStart]]+Tasks[[#This Row],[_Row]]/100000,"")</f>
        <v/>
      </c>
      <c r="DN70" s="41" t="str">
        <f aca="false">IF(AND(Tasks[[#This Row],[_IsLeaf]]=1,Tasks[[#This Row],[_LeafProgress]]&lt;1,Tasks[[#This Row],[_LeafFcstFinish]]&gt;=StatusDate,Tasks[[#This Row],[_LeafFcstFinish]]&lt;=LookaheadEnd),Tasks[[#This Row],[_LeafFcstFinish]]+Tasks[[#This Row],[_Row]]/100000,"")</f>
        <v/>
      </c>
      <c r="DO70" s="41" t="str">
        <f aca="false">IF(Tasks[[#This Row],[_LeafCritical]],Tasks[[#This Row],[_LeafFcstStart]]+Tasks[[#This Row],[_Row]]/100000,"")</f>
        <v/>
      </c>
      <c r="DP70" s="41" t="n">
        <f aca="false">Tasks[[#This Row],[_LeafWork]]*Tasks[[#This Row],[_LeafProgress]]</f>
        <v>0</v>
      </c>
      <c r="DQ70" s="103" t="str">
        <f aca="false">IF(AND(Tasks[[#This Row],[_IsLeaf]]=1,Tasks[[#This Row],[_LeafProgress]]&gt;=1),IF(N(Tasks[[#This Row],[Actual Finish]])&gt;0,Tasks[[#This Row],[Actual Finish]],Tasks[[#This Row],[_LeafFcstFinish]]),"")</f>
        <v/>
      </c>
      <c r="DR70" s="41" t="n">
        <f aca="false">IF(Tasks[[#This Row],[_IsLeaf]]=1,N(Tasks[[#This Row],[Story Points]]),0)</f>
        <v>0</v>
      </c>
      <c r="DS70" s="41" t="str">
        <f aca="false">IF(AND(Tasks[[#This Row],[_IsLeaf]]=1,CurrentSprint&lt;&gt;"",Tasks[[#This Row],[Sprint]]=CurrentSprint),Tasks[[#This Row],[_Row]],"")</f>
        <v/>
      </c>
    </row>
    <row r="71" customFormat="false" ht="15" hidden="false" customHeight="false" outlineLevel="0" collapsed="false">
      <c r="A71" s="28" t="str">
        <f aca="false">IF(Tasks[[#This Row],[Task Name]]="","",COUNTA(Tasks[[#Headers],[Task Name]]:Tasks[[#This Row],[Task Name]])-1)</f>
        <v/>
      </c>
      <c r="B71" s="29" t="n">
        <v>66</v>
      </c>
      <c r="C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29"/>
      <c r="E71" s="30"/>
      <c r="F71" s="29"/>
      <c r="G71" s="29"/>
      <c r="H71" s="29"/>
      <c r="I71" s="29"/>
      <c r="J71" s="29"/>
      <c r="K71" s="29"/>
      <c r="L71" s="29"/>
      <c r="M71" s="29"/>
      <c r="N71" s="77"/>
      <c r="O71" s="77"/>
      <c r="P71" s="25" t="str">
        <f aca="false">IF(Tasks[[#This Row],[Task Name]]="","",IF(N(Tasks[[#This Row],[Baseline Start]])&gt;0,Tasks[[#This Row],[Baseline Start]],Tasks[[#This Row],[_CalcStart]]))</f>
        <v/>
      </c>
      <c r="Q71" s="25" t="str">
        <f aca="false">IF(Tasks[[#This Row],[Task Name]]="","",IF(N(Tasks[[#This Row],[Baseline Finish]])&gt;0,Tasks[[#This Row],[Baseline Finish]],Tasks[[#This Row],[_CalcFinish]]))</f>
        <v/>
      </c>
      <c r="R71" s="77"/>
      <c r="S71" s="77"/>
      <c r="T71" s="25" t="str">
        <f aca="false">IF(Tasks[[#This Row],[Task Name]]="","",IF(Tasks[[#This Row],[_IsSummary]],MIN(INDEX(Tasks[_LeafFcstStart],Tasks[[#This Row],[_Row]]+1):INDEX(Tasks[_LeafFcstStart],Tasks[[#This Row],[_Row]]+Tasks[[#This Row],[_Descendants]])),Tasks[[#This Row],[_LeafFcstStart]]))</f>
        <v/>
      </c>
      <c r="U71" s="25" t="str">
        <f aca="false">IF(Tasks[[#This Row],[Task Name]]="","",IF(Tasks[[#This Row],[_IsSummary]],MAX(INDEX(Tasks[_LeafFcstFinish],Tasks[[#This Row],[_Row]]+1):INDEX(Tasks[_LeafFcstFinish],Tasks[[#This Row],[_Row]]+Tasks[[#This Row],[_Descendants]])),Tasks[[#This Row],[_LeafFcstFinish]]))</f>
        <v/>
      </c>
      <c r="V7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1" s="25" t="str">
        <f aca="false">IF(Tasks[[#This Row],[Task Name]]="","",IF(Tasks[[#This Row],[_IsSummary]],MIN(INDEX(Tasks[_LeafLateStart],Tasks[[#This Row],[_Row]]+1):INDEX(Tasks[_LeafLateStart],Tasks[[#This Row],[_Row]]+Tasks[[#This Row],[_Descendants]])),Tasks[[#This Row],[_LeafLateStart]]))</f>
        <v/>
      </c>
      <c r="Y71" s="25" t="str">
        <f aca="false">IF(Tasks[[#This Row],[Task Name]]="","",IF(Tasks[[#This Row],[_IsSummary]],MAX(INDEX(Tasks[_LeafLateFinish],Tasks[[#This Row],[_Row]]+1):INDEX(Tasks[_LeafLateFinish],Tasks[[#This Row],[_Row]]+Tasks[[#This Row],[_Descendants]])),Tasks[[#This Row],[_LeafLateFinish]]))</f>
        <v/>
      </c>
      <c r="Z71" s="43" t="str">
        <f aca="false">IF(Tasks[[#This Row],[Task Name]]="","",IF(Tasks[[#This Row],[_IsSummary]],MIN(INDEX(Tasks[_LeafTotalSlack],Tasks[[#This Row],[_Row]]+1):INDEX(Tasks[_LeafTotalSlack],Tasks[[#This Row],[_Row]]+Tasks[[#This Row],[_Descendants]])),Tasks[[#This Row],[_LeafTotalSlack]]))</f>
        <v/>
      </c>
      <c r="AA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1" s="28" t="str">
        <f aca="false">IF(Tasks[[#This Row],[Task Name]]="","",IF(IF(Tasks[[#This Row],[_IsSummary]],COUNTIF(INDEX(Tasks[_LeafCritical],Tasks[[#This Row],[_Row]]+1):INDEX(Tasks[_LeafCritical],Tasks[[#This Row],[_Row]]+Tasks[[#This Row],[_Descendants]]),TRUE())&gt;0,Tasks[[#This Row],[_LeafCritical]]),"Yes",""))</f>
        <v/>
      </c>
      <c r="AC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1" s="24" t="str">
        <f aca="false">IF(Tasks[[#This Row],[Task Name]]="","",TRIM(IF(Tasks[[#This Row],[_Pred1Problem]]&lt;&gt;"","Pred 1: "&amp;Tasks[[#This Row],[_Pred1Problem]]&amp;". ","")&amp;IF(Tasks[[#This Row],[_Pred2Problem]]&lt;&gt;"","Pred 2: "&amp;Tasks[[#This Row],[_Pred2Problem]]&amp;".","")))</f>
        <v/>
      </c>
      <c r="AE71" s="91"/>
      <c r="AF7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1" s="28" t="str">
        <f aca="false">IF(Tasks[[#This Row],[Task Name]]="","",IF(Tasks[[#This Row],[Progress]]&gt;=1,"Complete",IF(OR(N(Tasks[[#This Row],[Actual Start]])&gt;0,Tasks[[#This Row],[Progress]]&gt;0),IF(Tasks[[#This Row],[Finish Var]]&gt;0,"Behind","In Progress"),IF(Tasks[[#This Row],[Planned Start]]&lt;StatusDate,"Late Start","Not Started"))))</f>
        <v/>
      </c>
      <c r="AH71" s="30"/>
      <c r="AI71" s="91"/>
      <c r="AJ7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1" s="98" t="str">
        <f aca="false">IF(Tasks[[#This Row],[Task Name]]="","",IF(Tasks[[#This Row],[_IsSummary]],SUM(INDEX(Tasks[_LeafWork],Tasks[[#This Row],[_Row]]+1):INDEX(Tasks[_LeafWork],Tasks[[#This Row],[_Row]]+Tasks[[#This Row],[_Descendants]])),Tasks[[#This Row],[_LeafWork]]))</f>
        <v/>
      </c>
      <c r="AL71" s="99" t="str">
        <f aca="false">IF(Tasks[[#This Row],[Task Name]]="","",IF(Tasks[[#This Row],[_IsSummary]],SUM(INDEX(Tasks[_LeafCost],Tasks[[#This Row],[_Row]]+1):INDEX(Tasks[_LeafCost],Tasks[[#This Row],[_Row]]+Tasks[[#This Row],[_Descendants]])),Tasks[[#This Row],[_LeafCost]]))</f>
        <v/>
      </c>
      <c r="AM71" s="100"/>
      <c r="AN71" s="29"/>
      <c r="AO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1" s="85"/>
      <c r="AQ71" s="24" t="str">
        <f aca="false">IF(Tasks[[#This Row],[Task Name]]="","",Tasks[[#This Row],[_Pred1IDText]]&amp;IF(AND(Tasks[[#This Row],[_Pred1IDText]]&lt;&gt;"",Tasks[[#This Row],[_Pred2IDText]]&lt;&gt;""),",","")&amp;Tasks[[#This Row],[_Pred2IDText]])</f>
        <v/>
      </c>
      <c r="AR71" s="30"/>
      <c r="AS71" s="25" t="str">
        <f aca="false">IF(Tasks[[#This Row],[Task Name]]="","",Tasks[[#This Row],[Forecast Start]])</f>
        <v/>
      </c>
      <c r="AT71" s="25" t="str">
        <f aca="false">IF(Tasks[[#This Row],[Task Name]]="","",Tasks[[#This Row],[Forecast Finish]])</f>
        <v/>
      </c>
      <c r="AU71" s="28" t="str">
        <f aca="false">IF(Tasks[[#This Row],[Task Name]]="","",IF(Tasks[[#This Row],[_IsSummary]],NETWORKDAYS.INTL(Tasks[[#This Row],[Forecast Start]],Tasks[[#This Row],[Forecast Finish]],WorkWeek,Holidays),N(Tasks[[#This Row],[Duration]])))</f>
        <v/>
      </c>
      <c r="AV71" s="98" t="str">
        <f aca="false">IF(Tasks[[#This Row],[Task Name]]="","",Tasks[[#This Row],[Work]])</f>
        <v/>
      </c>
      <c r="AW71" s="99" t="str">
        <f aca="false">IF(Tasks[[#This Row],[Task Name]]="","",Tasks[[#This Row],[Cost]])</f>
        <v/>
      </c>
      <c r="AX71" s="77"/>
      <c r="AY71" s="77"/>
      <c r="AZ71" s="29"/>
      <c r="BA71" s="101"/>
      <c r="BB71" s="100"/>
      <c r="BC71" s="28" t="str">
        <f aca="false">IF(OR(Tasks[[#This Row],[Task Name]]="",Tasks[[#This Row],[Baseline Duration]]=""),"",Tasks[[#This Row],[BL Source Duration]]-N(Tasks[[#This Row],[Baseline Duration]]))</f>
        <v/>
      </c>
      <c r="BD71" s="98" t="str">
        <f aca="false">IF(OR(Tasks[[#This Row],[Task Name]]="",Tasks[[#This Row],[Baseline Work]]=""),"",Tasks[[#This Row],[Work]]-N(Tasks[[#This Row],[Baseline Work]]))</f>
        <v/>
      </c>
      <c r="BE71" s="99" t="str">
        <f aca="false">IF(OR(Tasks[[#This Row],[Task Name]]="",Tasks[[#This Row],[Baseline Cost]]=""),"",Tasks[[#This Row],[Cost]]-N(Tasks[[#This Row],[Baseline Cost]]))</f>
        <v/>
      </c>
      <c r="BF71" s="99" t="str">
        <f aca="false">IF(Tasks[[#This Row],[Task Name]]="","",IF(Tasks[[#This Row],[_IsSummary]],SUM(INDEX(Tasks[_LeafBudget],Tasks[[#This Row],[_Row]]+1):INDEX(Tasks[_LeafBudget],Tasks[[#This Row],[_Row]]+Tasks[[#This Row],[_Descendants]])),Tasks[[#This Row],[_LeafBudget]]))</f>
        <v/>
      </c>
      <c r="BG71" s="99" t="str">
        <f aca="false">IF(Tasks[[#This Row],[Task Name]]="","",IF(Tasks[[#This Row],[_IsSummary]],SUM(INDEX(Tasks[_LeafPV],Tasks[[#This Row],[_Row]]+1):INDEX(Tasks[_LeafPV],Tasks[[#This Row],[_Row]]+Tasks[[#This Row],[_Descendants]])),Tasks[[#This Row],[_LeafPV]]))</f>
        <v/>
      </c>
      <c r="BH71" s="99" t="str">
        <f aca="false">IF(Tasks[[#This Row],[Task Name]]="","",IF(Tasks[[#This Row],[_IsSummary]],SUM(INDEX(Tasks[_LeafEV],Tasks[[#This Row],[_Row]]+1):INDEX(Tasks[_LeafEV],Tasks[[#This Row],[_Row]]+Tasks[[#This Row],[_Descendants]])),Tasks[[#This Row],[_LeafEV]]))</f>
        <v/>
      </c>
      <c r="BI71" s="99" t="str">
        <f aca="false">IF(Tasks[[#This Row],[Task Name]]="","",IF(Tasks[[#This Row],[_IsSummary]],SUM(INDEX(Tasks[_LeafAC],Tasks[[#This Row],[_Row]]+1):INDEX(Tasks[_LeafAC],Tasks[[#This Row],[_Row]]+Tasks[[#This Row],[_Descendants]])),Tasks[[#This Row],[_LeafAC]]))</f>
        <v/>
      </c>
      <c r="BJ71" s="41" t="str">
        <f aca="false">IF(Tasks[[#This Row],[Task Name]]="","",MAX(1,N(Tasks[[#This Row],[Level]])))</f>
        <v/>
      </c>
      <c r="BK71" s="41" t="n">
        <f aca="false">ROW()-ROW(Tasks[[#Headers],[ID]])</f>
        <v>66</v>
      </c>
      <c r="BL71" s="41" t="n">
        <f aca="false">IF(OR(Tasks[[#This Row],[Task Name]]="",Tasks[[#This Row],[_Level]]&lt;=1),0,IFERROR(LOOKUP(2,1/(Tasks[[#Headers],[_Level]]:Tasks[[#This Row],[_Level]]=Tasks[[#This Row],[_Level]]-1),ROW(Tasks[[#Headers],[_Level]]:Tasks[[#This Row],[_Level]])),0))</f>
        <v>0</v>
      </c>
      <c r="BM71" s="41" t="n">
        <f aca="false">IFERROR(N(INDEX(Tasks[_Level],Tasks[[#This Row],[_Row]]+1)),0)</f>
        <v>0</v>
      </c>
      <c r="BN71" s="102" t="b">
        <f aca="false">AND(Tasks[[#This Row],[Task Name]]&lt;&gt;"",Tasks[[#This Row],[_NextLevel]]&gt;Tasks[[#This Row],[_Level]])</f>
        <v>0</v>
      </c>
      <c r="BO71" s="41" t="n">
        <f aca="false">IF(Tasks[[#This Row],[_IsSummary]],COUNTIF(Tasks[WBS],Tasks[[#This Row],[WBS]]&amp;".*"),0)</f>
        <v>0</v>
      </c>
      <c r="BP71" s="41" t="n">
        <f aca="false">IF(AND(Tasks[[#This Row],[Task Name]]&lt;&gt;"",NOT(Tasks[[#This Row],[_IsSummary]])),1,0)</f>
        <v>0</v>
      </c>
      <c r="BQ71" s="41" t="n">
        <f aca="false">IF(N(Tasks[[#This Row],[Pred1 UID]])=0,0,IFERROR(MATCH(Tasks[[#This Row],[Pred1 UID]],Tasks[UID],0),-1))</f>
        <v>0</v>
      </c>
      <c r="BR71" s="41" t="n">
        <f aca="false">IF(N(Tasks[[#This Row],[Pred2 UID]])=0,0,IFERROR(MATCH(Tasks[[#This Row],[Pred2 UID]],Tasks[UID],0),-1))</f>
        <v>0</v>
      </c>
      <c r="BS7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1" s="103" t="str">
        <f aca="false">IF(NOT(Tasks[[#This Row],[_IsLeaf]]=1),"",IF(N(Tasks[[#This Row],[Duration]])&lt;=0,Tasks[[#This Row],[_LeafCalcStart]],WORKDAY.INTL(Tasks[[#This Row],[_LeafCalcStart]],Tasks[[#This Row],[Duration]]-1,WorkWeek,Holidays)))</f>
        <v/>
      </c>
      <c r="BU7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1" s="41" t="n">
        <f aca="false">IF(NOT(Tasks[[#This Row],[_IsLeaf]]=1),0,IF(N(Tasks[[#This Row],[Actual Finish]])&gt;0,1,MIN(1,N(Tasks[[#This Row],[% Complete]]))))</f>
        <v>0</v>
      </c>
      <c r="BX71" s="41" t="n">
        <f aca="false">IF(OR(NOT(Tasks[[#This Row],[_IsLeaf]]=1),Tasks[[#This Row],[Resource]]=""),0,N(Tasks[[#This Row],[Duration]])*HoursPerDay*IF(Tasks[[#This Row],[Units]]="",DefaultUnits,Tasks[[#This Row],[Units]]))</f>
        <v>0</v>
      </c>
      <c r="BY71" s="41" t="n">
        <f aca="false">IF(Tasks[[#This Row],[_LeafWork]]=0,0,Tasks[[#This Row],[_LeafWork]]*IFERROR(INDEX(res_Rate,MATCH(Tasks[[#This Row],[Resource]],res_Name,0)),0))</f>
        <v>0</v>
      </c>
      <c r="BZ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1" s="41" t="n">
        <f aca="false">IF(NOT(Tasks[[#This Row],[_IsLeaf]]=1),0,MAX(_xlfn.MAXIFS(Tasks[_Row],Tasks[Pred1 UID],Tasks[[#This Row],[UID]]),_xlfn.MAXIFS(Tasks[_Row],Tasks[Pred2 UID],Tasks[[#This Row],[UID]])))</f>
        <v>0</v>
      </c>
      <c r="CE7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1" s="103" t="str">
        <f aca="false">IF(NOT(Tasks[[#This Row],[_IsLeaf]]=1),"",MIN(ProjectFinish,IF(N(Tasks[[#This Row],[Deadline]])&gt;0,Tasks[[#This Row],[Deadline]],2958465),Tasks[[#This Row],[_SuccessorFinishLimit]]))</f>
        <v/>
      </c>
      <c r="CG71" s="103" t="str">
        <f aca="false">IF(NOT(Tasks[[#This Row],[_IsLeaf]]=1),"",IF(N(Tasks[[#This Row],[Duration]])&lt;=0,Tasks[[#This Row],[_LeafLateFinish]],WORKDAY.INTL(Tasks[[#This Row],[_LeafLateFinish]],-(Tasks[[#This Row],[Duration]]-1),WorkWeek,Holidays)))</f>
        <v/>
      </c>
      <c r="CH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1" s="102" t="b">
        <f aca="false">AND(Tasks[[#This Row],[_IsLeaf]]=1,Tasks[[#This Row],[_LeafProgress]]&lt;1,N(Tasks[[#This Row],[_LeafTotalSlack]])&lt;=CriticalSlackDays)</f>
        <v>0</v>
      </c>
      <c r="CJ71" s="103" t="str">
        <f aca="false">IF(Tasks[[#This Row],[Task Name]]="","",IF(Tasks[[#This Row],[_IsSummary]],MIN(INDEX(Tasks[_LeafCalcStart],Tasks[[#This Row],[_Row]]+1):INDEX(Tasks[_LeafCalcStart],Tasks[[#This Row],[_Row]]+Tasks[[#This Row],[_Descendants]])),Tasks[[#This Row],[_LeafCalcStart]]))</f>
        <v/>
      </c>
      <c r="CK71" s="103" t="str">
        <f aca="false">IF(Tasks[[#This Row],[Task Name]]="","",IF(Tasks[[#This Row],[_IsSummary]],MAX(INDEX(Tasks[_LeafCalcFinish],Tasks[[#This Row],[_Row]]+1):INDEX(Tasks[_LeafCalcFinish],Tasks[[#This Row],[_Row]]+Tasks[[#This Row],[_Descendants]])),Tasks[[#This Row],[_LeafCalcFinish]]))</f>
        <v/>
      </c>
      <c r="CL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1" s="41" t="n">
        <f aca="false">IF(AND(Tasks[[#This Row],[_IsLeaf]]=1,Tasks[[#This Row],[_LeafWork]]&gt;0),NETWORKDAYS.INTL(ProjectStart,Tasks[[#This Row],[_LeafFcstStart]],WorkWeek,Holidays),0)</f>
        <v>0</v>
      </c>
      <c r="CS71" s="41" t="n">
        <f aca="false">IF(AND(Tasks[[#This Row],[_IsLeaf]]=1,Tasks[[#This Row],[_LeafWork]]&gt;0),MAX(Tasks[[#This Row],[_StartWorkday]],NETWORKDAYS.INTL(ProjectStart,Tasks[[#This Row],[_LeafFcstFinish]],WorkWeek,Holidays)),0)</f>
        <v>0</v>
      </c>
      <c r="CT71" s="41" t="n">
        <f aca="false">IF(AND(Tasks[[#This Row],[_IsLeaf]]=1,Tasks[[#This Row],[_LeafWork]]&gt;0),Tasks[[#This Row],[_LeafWork]]/(Tasks[[#This Row],[_FinishWorkday]]-Tasks[[#This Row],[_StartWorkday]]+1),0)</f>
        <v>0</v>
      </c>
      <c r="CU71" s="41" t="n">
        <f aca="false">Tasks[[#This Row],[_WorkPerWorkday]]*(Tasks[[#This Row],[_StartWorkday]]-1)</f>
        <v>-0</v>
      </c>
      <c r="CV71" s="41" t="n">
        <f aca="false">IF(Tasks[[#This Row],[_IsLeaf]]=1,MAX(N(Tasks[[#This Row],[Duration]]),0.1),0)</f>
        <v>0</v>
      </c>
      <c r="CW71" s="41" t="n">
        <f aca="false">Tasks[[#This Row],[_WeightDur]]*Tasks[[#This Row],[_LeafProgress]]</f>
        <v>0</v>
      </c>
      <c r="CX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1" s="41" t="str">
        <f aca="false">IF(Tasks[[#This Row],[Task Name]]="","",Tasks[[#This Row],[_Pred1UIDText]]&amp;IF(AND(Tasks[[#This Row],[_Pred1UIDText]]&lt;&gt;"",Tasks[[#This Row],[_Pred2UIDText]]&lt;&gt;""),",","")&amp;Tasks[[#This Row],[_Pred2UIDText]])</f>
        <v/>
      </c>
      <c r="DC71" s="41" t="str">
        <f aca="false">IF(AND(Tasks[[#This Row],[_IsLeaf]]=1,N(Tasks[[#This Row],[Duration]])=0,Tasks[[#This Row],[_LeafProgress]]&lt;1),Tasks[[#This Row],[_LeafFcstFinish]]+Tasks[[#This Row],[_Row]]/100000,"")</f>
        <v/>
      </c>
      <c r="DD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1" s="41" t="n">
        <f aca="false">IF(NOT(Tasks[[#This Row],[_IsLeaf]]=1),0,IF(Tasks[[#This Row],[Baseline Cost]]="",Tasks[[#This Row],[_LeafCost]],N(Tasks[[#This Row],[Baseline Cost]])))</f>
        <v>0</v>
      </c>
      <c r="DF71" s="41" t="n">
        <f aca="false">Tasks[[#This Row],[_LeafBudget]]*Tasks[[#This Row],[_PlannedPct]]</f>
        <v>0</v>
      </c>
      <c r="DG71" s="41" t="n">
        <f aca="false">Tasks[[#This Row],[_LeafBudget]]*Tasks[[#This Row],[_LeafProgress]]</f>
        <v>0</v>
      </c>
      <c r="DH71" s="41" t="n">
        <f aca="false">IF(NOT(Tasks[[#This Row],[_IsLeaf]]=1),0,IF(Tasks[[#This Row],[Actual Cost]]="",Tasks[[#This Row],[_LeafCost]]*Tasks[[#This Row],[_LeafProgress]],N(Tasks[[#This Row],[Actual Cost]])))</f>
        <v>0</v>
      </c>
      <c r="DI71" s="41" t="str">
        <f aca="false">IF(Tasks[[#This Row],[Task Name]]="","",LEFT(Tasks[[#This Row],[WBS]],FIND(".",Tasks[[#This Row],[WBS]]&amp;".")-1))</f>
        <v/>
      </c>
      <c r="DJ71" s="41" t="str">
        <f aca="false">IF(AND(Tasks[[#This Row],[Task Name]]&lt;&gt;"",Tasks[[#This Row],[_Level]]=1),Tasks[[#This Row],[_Row]],"")</f>
        <v/>
      </c>
      <c r="DK71" s="41" t="str">
        <f aca="false">IF(AND(Tasks[[#This Row],[_IsLeaf]]=1,N(Tasks[[#This Row],[Duration]])=0),Tasks[[#This Row],[Planned Finish]]+Tasks[[#This Row],[_Row]]/100000,"")</f>
        <v/>
      </c>
      <c r="DL71" s="41" t="str">
        <f aca="false">IF(AND(Tasks[[#This Row],[_IsLeaf]]=1,Tasks[[#This Row],[_LeafProgress]]&lt;1,OR(N(Tasks[[#This Row],[Finish Var]])&gt;0,Tasks[[#This Row],[Status]]="Late Start")),MAX(0,Tasks[[#This Row],[Finish Var]])+1-Tasks[[#This Row],[_Row]]/1000000,"")</f>
        <v/>
      </c>
      <c r="DM71" s="41" t="str">
        <f aca="false">IF(AND(Tasks[[#This Row],[_IsLeaf]]=1,N(Tasks[[#This Row],[Actual Start]])=0,Tasks[[#This Row],[_LeafFcstStart]]&gt;=StatusDate,Tasks[[#This Row],[_LeafFcstStart]]&lt;=LookaheadEnd),Tasks[[#This Row],[_LeafFcstStart]]+Tasks[[#This Row],[_Row]]/100000,"")</f>
        <v/>
      </c>
      <c r="DN71" s="41" t="str">
        <f aca="false">IF(AND(Tasks[[#This Row],[_IsLeaf]]=1,Tasks[[#This Row],[_LeafProgress]]&lt;1,Tasks[[#This Row],[_LeafFcstFinish]]&gt;=StatusDate,Tasks[[#This Row],[_LeafFcstFinish]]&lt;=LookaheadEnd),Tasks[[#This Row],[_LeafFcstFinish]]+Tasks[[#This Row],[_Row]]/100000,"")</f>
        <v/>
      </c>
      <c r="DO71" s="41" t="str">
        <f aca="false">IF(Tasks[[#This Row],[_LeafCritical]],Tasks[[#This Row],[_LeafFcstStart]]+Tasks[[#This Row],[_Row]]/100000,"")</f>
        <v/>
      </c>
      <c r="DP71" s="41" t="n">
        <f aca="false">Tasks[[#This Row],[_LeafWork]]*Tasks[[#This Row],[_LeafProgress]]</f>
        <v>0</v>
      </c>
      <c r="DQ71" s="103" t="str">
        <f aca="false">IF(AND(Tasks[[#This Row],[_IsLeaf]]=1,Tasks[[#This Row],[_LeafProgress]]&gt;=1),IF(N(Tasks[[#This Row],[Actual Finish]])&gt;0,Tasks[[#This Row],[Actual Finish]],Tasks[[#This Row],[_LeafFcstFinish]]),"")</f>
        <v/>
      </c>
      <c r="DR71" s="41" t="n">
        <f aca="false">IF(Tasks[[#This Row],[_IsLeaf]]=1,N(Tasks[[#This Row],[Story Points]]),0)</f>
        <v>0</v>
      </c>
      <c r="DS71" s="41" t="str">
        <f aca="false">IF(AND(Tasks[[#This Row],[_IsLeaf]]=1,CurrentSprint&lt;&gt;"",Tasks[[#This Row],[Sprint]]=CurrentSprint),Tasks[[#This Row],[_Row]],"")</f>
        <v/>
      </c>
    </row>
    <row r="72" customFormat="false" ht="15" hidden="false" customHeight="false" outlineLevel="0" collapsed="false">
      <c r="A72" s="28" t="str">
        <f aca="false">IF(Tasks[[#This Row],[Task Name]]="","",COUNTA(Tasks[[#Headers],[Task Name]]:Tasks[[#This Row],[Task Name]])-1)</f>
        <v/>
      </c>
      <c r="B72" s="29" t="n">
        <v>67</v>
      </c>
      <c r="C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29"/>
      <c r="E72" s="30"/>
      <c r="F72" s="29"/>
      <c r="G72" s="29"/>
      <c r="H72" s="29"/>
      <c r="I72" s="29"/>
      <c r="J72" s="29"/>
      <c r="K72" s="29"/>
      <c r="L72" s="29"/>
      <c r="M72" s="29"/>
      <c r="N72" s="77"/>
      <c r="O72" s="77"/>
      <c r="P72" s="25" t="str">
        <f aca="false">IF(Tasks[[#This Row],[Task Name]]="","",IF(N(Tasks[[#This Row],[Baseline Start]])&gt;0,Tasks[[#This Row],[Baseline Start]],Tasks[[#This Row],[_CalcStart]]))</f>
        <v/>
      </c>
      <c r="Q72" s="25" t="str">
        <f aca="false">IF(Tasks[[#This Row],[Task Name]]="","",IF(N(Tasks[[#This Row],[Baseline Finish]])&gt;0,Tasks[[#This Row],[Baseline Finish]],Tasks[[#This Row],[_CalcFinish]]))</f>
        <v/>
      </c>
      <c r="R72" s="77"/>
      <c r="S72" s="77"/>
      <c r="T72" s="25" t="str">
        <f aca="false">IF(Tasks[[#This Row],[Task Name]]="","",IF(Tasks[[#This Row],[_IsSummary]],MIN(INDEX(Tasks[_LeafFcstStart],Tasks[[#This Row],[_Row]]+1):INDEX(Tasks[_LeafFcstStart],Tasks[[#This Row],[_Row]]+Tasks[[#This Row],[_Descendants]])),Tasks[[#This Row],[_LeafFcstStart]]))</f>
        <v/>
      </c>
      <c r="U72" s="25" t="str">
        <f aca="false">IF(Tasks[[#This Row],[Task Name]]="","",IF(Tasks[[#This Row],[_IsSummary]],MAX(INDEX(Tasks[_LeafFcstFinish],Tasks[[#This Row],[_Row]]+1):INDEX(Tasks[_LeafFcstFinish],Tasks[[#This Row],[_Row]]+Tasks[[#This Row],[_Descendants]])),Tasks[[#This Row],[_LeafFcstFinish]]))</f>
        <v/>
      </c>
      <c r="V7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2" s="25" t="str">
        <f aca="false">IF(Tasks[[#This Row],[Task Name]]="","",IF(Tasks[[#This Row],[_IsSummary]],MIN(INDEX(Tasks[_LeafLateStart],Tasks[[#This Row],[_Row]]+1):INDEX(Tasks[_LeafLateStart],Tasks[[#This Row],[_Row]]+Tasks[[#This Row],[_Descendants]])),Tasks[[#This Row],[_LeafLateStart]]))</f>
        <v/>
      </c>
      <c r="Y72" s="25" t="str">
        <f aca="false">IF(Tasks[[#This Row],[Task Name]]="","",IF(Tasks[[#This Row],[_IsSummary]],MAX(INDEX(Tasks[_LeafLateFinish],Tasks[[#This Row],[_Row]]+1):INDEX(Tasks[_LeafLateFinish],Tasks[[#This Row],[_Row]]+Tasks[[#This Row],[_Descendants]])),Tasks[[#This Row],[_LeafLateFinish]]))</f>
        <v/>
      </c>
      <c r="Z72" s="43" t="str">
        <f aca="false">IF(Tasks[[#This Row],[Task Name]]="","",IF(Tasks[[#This Row],[_IsSummary]],MIN(INDEX(Tasks[_LeafTotalSlack],Tasks[[#This Row],[_Row]]+1):INDEX(Tasks[_LeafTotalSlack],Tasks[[#This Row],[_Row]]+Tasks[[#This Row],[_Descendants]])),Tasks[[#This Row],[_LeafTotalSlack]]))</f>
        <v/>
      </c>
      <c r="AA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2" s="28" t="str">
        <f aca="false">IF(Tasks[[#This Row],[Task Name]]="","",IF(IF(Tasks[[#This Row],[_IsSummary]],COUNTIF(INDEX(Tasks[_LeafCritical],Tasks[[#This Row],[_Row]]+1):INDEX(Tasks[_LeafCritical],Tasks[[#This Row],[_Row]]+Tasks[[#This Row],[_Descendants]]),TRUE())&gt;0,Tasks[[#This Row],[_LeafCritical]]),"Yes",""))</f>
        <v/>
      </c>
      <c r="AC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2" s="24" t="str">
        <f aca="false">IF(Tasks[[#This Row],[Task Name]]="","",TRIM(IF(Tasks[[#This Row],[_Pred1Problem]]&lt;&gt;"","Pred 1: "&amp;Tasks[[#This Row],[_Pred1Problem]]&amp;". ","")&amp;IF(Tasks[[#This Row],[_Pred2Problem]]&lt;&gt;"","Pred 2: "&amp;Tasks[[#This Row],[_Pred2Problem]]&amp;".","")))</f>
        <v/>
      </c>
      <c r="AE72" s="91"/>
      <c r="AF7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2" s="28" t="str">
        <f aca="false">IF(Tasks[[#This Row],[Task Name]]="","",IF(Tasks[[#This Row],[Progress]]&gt;=1,"Complete",IF(OR(N(Tasks[[#This Row],[Actual Start]])&gt;0,Tasks[[#This Row],[Progress]]&gt;0),IF(Tasks[[#This Row],[Finish Var]]&gt;0,"Behind","In Progress"),IF(Tasks[[#This Row],[Planned Start]]&lt;StatusDate,"Late Start","Not Started"))))</f>
        <v/>
      </c>
      <c r="AH72" s="30"/>
      <c r="AI72" s="91"/>
      <c r="AJ7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2" s="98" t="str">
        <f aca="false">IF(Tasks[[#This Row],[Task Name]]="","",IF(Tasks[[#This Row],[_IsSummary]],SUM(INDEX(Tasks[_LeafWork],Tasks[[#This Row],[_Row]]+1):INDEX(Tasks[_LeafWork],Tasks[[#This Row],[_Row]]+Tasks[[#This Row],[_Descendants]])),Tasks[[#This Row],[_LeafWork]]))</f>
        <v/>
      </c>
      <c r="AL72" s="99" t="str">
        <f aca="false">IF(Tasks[[#This Row],[Task Name]]="","",IF(Tasks[[#This Row],[_IsSummary]],SUM(INDEX(Tasks[_LeafCost],Tasks[[#This Row],[_Row]]+1):INDEX(Tasks[_LeafCost],Tasks[[#This Row],[_Row]]+Tasks[[#This Row],[_Descendants]])),Tasks[[#This Row],[_LeafCost]]))</f>
        <v/>
      </c>
      <c r="AM72" s="100"/>
      <c r="AN72" s="29"/>
      <c r="AO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2" s="85"/>
      <c r="AQ72" s="24" t="str">
        <f aca="false">IF(Tasks[[#This Row],[Task Name]]="","",Tasks[[#This Row],[_Pred1IDText]]&amp;IF(AND(Tasks[[#This Row],[_Pred1IDText]]&lt;&gt;"",Tasks[[#This Row],[_Pred2IDText]]&lt;&gt;""),",","")&amp;Tasks[[#This Row],[_Pred2IDText]])</f>
        <v/>
      </c>
      <c r="AR72" s="30"/>
      <c r="AS72" s="25" t="str">
        <f aca="false">IF(Tasks[[#This Row],[Task Name]]="","",Tasks[[#This Row],[Forecast Start]])</f>
        <v/>
      </c>
      <c r="AT72" s="25" t="str">
        <f aca="false">IF(Tasks[[#This Row],[Task Name]]="","",Tasks[[#This Row],[Forecast Finish]])</f>
        <v/>
      </c>
      <c r="AU72" s="28" t="str">
        <f aca="false">IF(Tasks[[#This Row],[Task Name]]="","",IF(Tasks[[#This Row],[_IsSummary]],NETWORKDAYS.INTL(Tasks[[#This Row],[Forecast Start]],Tasks[[#This Row],[Forecast Finish]],WorkWeek,Holidays),N(Tasks[[#This Row],[Duration]])))</f>
        <v/>
      </c>
      <c r="AV72" s="98" t="str">
        <f aca="false">IF(Tasks[[#This Row],[Task Name]]="","",Tasks[[#This Row],[Work]])</f>
        <v/>
      </c>
      <c r="AW72" s="99" t="str">
        <f aca="false">IF(Tasks[[#This Row],[Task Name]]="","",Tasks[[#This Row],[Cost]])</f>
        <v/>
      </c>
      <c r="AX72" s="77"/>
      <c r="AY72" s="77"/>
      <c r="AZ72" s="29"/>
      <c r="BA72" s="101"/>
      <c r="BB72" s="100"/>
      <c r="BC72" s="28" t="str">
        <f aca="false">IF(OR(Tasks[[#This Row],[Task Name]]="",Tasks[[#This Row],[Baseline Duration]]=""),"",Tasks[[#This Row],[BL Source Duration]]-N(Tasks[[#This Row],[Baseline Duration]]))</f>
        <v/>
      </c>
      <c r="BD72" s="98" t="str">
        <f aca="false">IF(OR(Tasks[[#This Row],[Task Name]]="",Tasks[[#This Row],[Baseline Work]]=""),"",Tasks[[#This Row],[Work]]-N(Tasks[[#This Row],[Baseline Work]]))</f>
        <v/>
      </c>
      <c r="BE72" s="99" t="str">
        <f aca="false">IF(OR(Tasks[[#This Row],[Task Name]]="",Tasks[[#This Row],[Baseline Cost]]=""),"",Tasks[[#This Row],[Cost]]-N(Tasks[[#This Row],[Baseline Cost]]))</f>
        <v/>
      </c>
      <c r="BF72" s="99" t="str">
        <f aca="false">IF(Tasks[[#This Row],[Task Name]]="","",IF(Tasks[[#This Row],[_IsSummary]],SUM(INDEX(Tasks[_LeafBudget],Tasks[[#This Row],[_Row]]+1):INDEX(Tasks[_LeafBudget],Tasks[[#This Row],[_Row]]+Tasks[[#This Row],[_Descendants]])),Tasks[[#This Row],[_LeafBudget]]))</f>
        <v/>
      </c>
      <c r="BG72" s="99" t="str">
        <f aca="false">IF(Tasks[[#This Row],[Task Name]]="","",IF(Tasks[[#This Row],[_IsSummary]],SUM(INDEX(Tasks[_LeafPV],Tasks[[#This Row],[_Row]]+1):INDEX(Tasks[_LeafPV],Tasks[[#This Row],[_Row]]+Tasks[[#This Row],[_Descendants]])),Tasks[[#This Row],[_LeafPV]]))</f>
        <v/>
      </c>
      <c r="BH72" s="99" t="str">
        <f aca="false">IF(Tasks[[#This Row],[Task Name]]="","",IF(Tasks[[#This Row],[_IsSummary]],SUM(INDEX(Tasks[_LeafEV],Tasks[[#This Row],[_Row]]+1):INDEX(Tasks[_LeafEV],Tasks[[#This Row],[_Row]]+Tasks[[#This Row],[_Descendants]])),Tasks[[#This Row],[_LeafEV]]))</f>
        <v/>
      </c>
      <c r="BI72" s="99" t="str">
        <f aca="false">IF(Tasks[[#This Row],[Task Name]]="","",IF(Tasks[[#This Row],[_IsSummary]],SUM(INDEX(Tasks[_LeafAC],Tasks[[#This Row],[_Row]]+1):INDEX(Tasks[_LeafAC],Tasks[[#This Row],[_Row]]+Tasks[[#This Row],[_Descendants]])),Tasks[[#This Row],[_LeafAC]]))</f>
        <v/>
      </c>
      <c r="BJ72" s="41" t="str">
        <f aca="false">IF(Tasks[[#This Row],[Task Name]]="","",MAX(1,N(Tasks[[#This Row],[Level]])))</f>
        <v/>
      </c>
      <c r="BK72" s="41" t="n">
        <f aca="false">ROW()-ROW(Tasks[[#Headers],[ID]])</f>
        <v>67</v>
      </c>
      <c r="BL72" s="41" t="n">
        <f aca="false">IF(OR(Tasks[[#This Row],[Task Name]]="",Tasks[[#This Row],[_Level]]&lt;=1),0,IFERROR(LOOKUP(2,1/(Tasks[[#Headers],[_Level]]:Tasks[[#This Row],[_Level]]=Tasks[[#This Row],[_Level]]-1),ROW(Tasks[[#Headers],[_Level]]:Tasks[[#This Row],[_Level]])),0))</f>
        <v>0</v>
      </c>
      <c r="BM72" s="41" t="n">
        <f aca="false">IFERROR(N(INDEX(Tasks[_Level],Tasks[[#This Row],[_Row]]+1)),0)</f>
        <v>0</v>
      </c>
      <c r="BN72" s="102" t="b">
        <f aca="false">AND(Tasks[[#This Row],[Task Name]]&lt;&gt;"",Tasks[[#This Row],[_NextLevel]]&gt;Tasks[[#This Row],[_Level]])</f>
        <v>0</v>
      </c>
      <c r="BO72" s="41" t="n">
        <f aca="false">IF(Tasks[[#This Row],[_IsSummary]],COUNTIF(Tasks[WBS],Tasks[[#This Row],[WBS]]&amp;".*"),0)</f>
        <v>0</v>
      </c>
      <c r="BP72" s="41" t="n">
        <f aca="false">IF(AND(Tasks[[#This Row],[Task Name]]&lt;&gt;"",NOT(Tasks[[#This Row],[_IsSummary]])),1,0)</f>
        <v>0</v>
      </c>
      <c r="BQ72" s="41" t="n">
        <f aca="false">IF(N(Tasks[[#This Row],[Pred1 UID]])=0,0,IFERROR(MATCH(Tasks[[#This Row],[Pred1 UID]],Tasks[UID],0),-1))</f>
        <v>0</v>
      </c>
      <c r="BR72" s="41" t="n">
        <f aca="false">IF(N(Tasks[[#This Row],[Pred2 UID]])=0,0,IFERROR(MATCH(Tasks[[#This Row],[Pred2 UID]],Tasks[UID],0),-1))</f>
        <v>0</v>
      </c>
      <c r="BS7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2" s="103" t="str">
        <f aca="false">IF(NOT(Tasks[[#This Row],[_IsLeaf]]=1),"",IF(N(Tasks[[#This Row],[Duration]])&lt;=0,Tasks[[#This Row],[_LeafCalcStart]],WORKDAY.INTL(Tasks[[#This Row],[_LeafCalcStart]],Tasks[[#This Row],[Duration]]-1,WorkWeek,Holidays)))</f>
        <v/>
      </c>
      <c r="BU7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2" s="41" t="n">
        <f aca="false">IF(NOT(Tasks[[#This Row],[_IsLeaf]]=1),0,IF(N(Tasks[[#This Row],[Actual Finish]])&gt;0,1,MIN(1,N(Tasks[[#This Row],[% Complete]]))))</f>
        <v>0</v>
      </c>
      <c r="BX72" s="41" t="n">
        <f aca="false">IF(OR(NOT(Tasks[[#This Row],[_IsLeaf]]=1),Tasks[[#This Row],[Resource]]=""),0,N(Tasks[[#This Row],[Duration]])*HoursPerDay*IF(Tasks[[#This Row],[Units]]="",DefaultUnits,Tasks[[#This Row],[Units]]))</f>
        <v>0</v>
      </c>
      <c r="BY72" s="41" t="n">
        <f aca="false">IF(Tasks[[#This Row],[_LeafWork]]=0,0,Tasks[[#This Row],[_LeafWork]]*IFERROR(INDEX(res_Rate,MATCH(Tasks[[#This Row],[Resource]],res_Name,0)),0))</f>
        <v>0</v>
      </c>
      <c r="BZ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2" s="41" t="n">
        <f aca="false">IF(NOT(Tasks[[#This Row],[_IsLeaf]]=1),0,MAX(_xlfn.MAXIFS(Tasks[_Row],Tasks[Pred1 UID],Tasks[[#This Row],[UID]]),_xlfn.MAXIFS(Tasks[_Row],Tasks[Pred2 UID],Tasks[[#This Row],[UID]])))</f>
        <v>0</v>
      </c>
      <c r="CE7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2" s="103" t="str">
        <f aca="false">IF(NOT(Tasks[[#This Row],[_IsLeaf]]=1),"",MIN(ProjectFinish,IF(N(Tasks[[#This Row],[Deadline]])&gt;0,Tasks[[#This Row],[Deadline]],2958465),Tasks[[#This Row],[_SuccessorFinishLimit]]))</f>
        <v/>
      </c>
      <c r="CG72" s="103" t="str">
        <f aca="false">IF(NOT(Tasks[[#This Row],[_IsLeaf]]=1),"",IF(N(Tasks[[#This Row],[Duration]])&lt;=0,Tasks[[#This Row],[_LeafLateFinish]],WORKDAY.INTL(Tasks[[#This Row],[_LeafLateFinish]],-(Tasks[[#This Row],[Duration]]-1),WorkWeek,Holidays)))</f>
        <v/>
      </c>
      <c r="CH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2" s="102" t="b">
        <f aca="false">AND(Tasks[[#This Row],[_IsLeaf]]=1,Tasks[[#This Row],[_LeafProgress]]&lt;1,N(Tasks[[#This Row],[_LeafTotalSlack]])&lt;=CriticalSlackDays)</f>
        <v>0</v>
      </c>
      <c r="CJ72" s="103" t="str">
        <f aca="false">IF(Tasks[[#This Row],[Task Name]]="","",IF(Tasks[[#This Row],[_IsSummary]],MIN(INDEX(Tasks[_LeafCalcStart],Tasks[[#This Row],[_Row]]+1):INDEX(Tasks[_LeafCalcStart],Tasks[[#This Row],[_Row]]+Tasks[[#This Row],[_Descendants]])),Tasks[[#This Row],[_LeafCalcStart]]))</f>
        <v/>
      </c>
      <c r="CK72" s="103" t="str">
        <f aca="false">IF(Tasks[[#This Row],[Task Name]]="","",IF(Tasks[[#This Row],[_IsSummary]],MAX(INDEX(Tasks[_LeafCalcFinish],Tasks[[#This Row],[_Row]]+1):INDEX(Tasks[_LeafCalcFinish],Tasks[[#This Row],[_Row]]+Tasks[[#This Row],[_Descendants]])),Tasks[[#This Row],[_LeafCalcFinish]]))</f>
        <v/>
      </c>
      <c r="CL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2" s="41" t="n">
        <f aca="false">IF(AND(Tasks[[#This Row],[_IsLeaf]]=1,Tasks[[#This Row],[_LeafWork]]&gt;0),NETWORKDAYS.INTL(ProjectStart,Tasks[[#This Row],[_LeafFcstStart]],WorkWeek,Holidays),0)</f>
        <v>0</v>
      </c>
      <c r="CS72" s="41" t="n">
        <f aca="false">IF(AND(Tasks[[#This Row],[_IsLeaf]]=1,Tasks[[#This Row],[_LeafWork]]&gt;0),MAX(Tasks[[#This Row],[_StartWorkday]],NETWORKDAYS.INTL(ProjectStart,Tasks[[#This Row],[_LeafFcstFinish]],WorkWeek,Holidays)),0)</f>
        <v>0</v>
      </c>
      <c r="CT72" s="41" t="n">
        <f aca="false">IF(AND(Tasks[[#This Row],[_IsLeaf]]=1,Tasks[[#This Row],[_LeafWork]]&gt;0),Tasks[[#This Row],[_LeafWork]]/(Tasks[[#This Row],[_FinishWorkday]]-Tasks[[#This Row],[_StartWorkday]]+1),0)</f>
        <v>0</v>
      </c>
      <c r="CU72" s="41" t="n">
        <f aca="false">Tasks[[#This Row],[_WorkPerWorkday]]*(Tasks[[#This Row],[_StartWorkday]]-1)</f>
        <v>-0</v>
      </c>
      <c r="CV72" s="41" t="n">
        <f aca="false">IF(Tasks[[#This Row],[_IsLeaf]]=1,MAX(N(Tasks[[#This Row],[Duration]]),0.1),0)</f>
        <v>0</v>
      </c>
      <c r="CW72" s="41" t="n">
        <f aca="false">Tasks[[#This Row],[_WeightDur]]*Tasks[[#This Row],[_LeafProgress]]</f>
        <v>0</v>
      </c>
      <c r="CX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2" s="41" t="str">
        <f aca="false">IF(Tasks[[#This Row],[Task Name]]="","",Tasks[[#This Row],[_Pred1UIDText]]&amp;IF(AND(Tasks[[#This Row],[_Pred1UIDText]]&lt;&gt;"",Tasks[[#This Row],[_Pred2UIDText]]&lt;&gt;""),",","")&amp;Tasks[[#This Row],[_Pred2UIDText]])</f>
        <v/>
      </c>
      <c r="DC72" s="41" t="str">
        <f aca="false">IF(AND(Tasks[[#This Row],[_IsLeaf]]=1,N(Tasks[[#This Row],[Duration]])=0,Tasks[[#This Row],[_LeafProgress]]&lt;1),Tasks[[#This Row],[_LeafFcstFinish]]+Tasks[[#This Row],[_Row]]/100000,"")</f>
        <v/>
      </c>
      <c r="DD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2" s="41" t="n">
        <f aca="false">IF(NOT(Tasks[[#This Row],[_IsLeaf]]=1),0,IF(Tasks[[#This Row],[Baseline Cost]]="",Tasks[[#This Row],[_LeafCost]],N(Tasks[[#This Row],[Baseline Cost]])))</f>
        <v>0</v>
      </c>
      <c r="DF72" s="41" t="n">
        <f aca="false">Tasks[[#This Row],[_LeafBudget]]*Tasks[[#This Row],[_PlannedPct]]</f>
        <v>0</v>
      </c>
      <c r="DG72" s="41" t="n">
        <f aca="false">Tasks[[#This Row],[_LeafBudget]]*Tasks[[#This Row],[_LeafProgress]]</f>
        <v>0</v>
      </c>
      <c r="DH72" s="41" t="n">
        <f aca="false">IF(NOT(Tasks[[#This Row],[_IsLeaf]]=1),0,IF(Tasks[[#This Row],[Actual Cost]]="",Tasks[[#This Row],[_LeafCost]]*Tasks[[#This Row],[_LeafProgress]],N(Tasks[[#This Row],[Actual Cost]])))</f>
        <v>0</v>
      </c>
      <c r="DI72" s="41" t="str">
        <f aca="false">IF(Tasks[[#This Row],[Task Name]]="","",LEFT(Tasks[[#This Row],[WBS]],FIND(".",Tasks[[#This Row],[WBS]]&amp;".")-1))</f>
        <v/>
      </c>
      <c r="DJ72" s="41" t="str">
        <f aca="false">IF(AND(Tasks[[#This Row],[Task Name]]&lt;&gt;"",Tasks[[#This Row],[_Level]]=1),Tasks[[#This Row],[_Row]],"")</f>
        <v/>
      </c>
      <c r="DK72" s="41" t="str">
        <f aca="false">IF(AND(Tasks[[#This Row],[_IsLeaf]]=1,N(Tasks[[#This Row],[Duration]])=0),Tasks[[#This Row],[Planned Finish]]+Tasks[[#This Row],[_Row]]/100000,"")</f>
        <v/>
      </c>
      <c r="DL72" s="41" t="str">
        <f aca="false">IF(AND(Tasks[[#This Row],[_IsLeaf]]=1,Tasks[[#This Row],[_LeafProgress]]&lt;1,OR(N(Tasks[[#This Row],[Finish Var]])&gt;0,Tasks[[#This Row],[Status]]="Late Start")),MAX(0,Tasks[[#This Row],[Finish Var]])+1-Tasks[[#This Row],[_Row]]/1000000,"")</f>
        <v/>
      </c>
      <c r="DM72" s="41" t="str">
        <f aca="false">IF(AND(Tasks[[#This Row],[_IsLeaf]]=1,N(Tasks[[#This Row],[Actual Start]])=0,Tasks[[#This Row],[_LeafFcstStart]]&gt;=StatusDate,Tasks[[#This Row],[_LeafFcstStart]]&lt;=LookaheadEnd),Tasks[[#This Row],[_LeafFcstStart]]+Tasks[[#This Row],[_Row]]/100000,"")</f>
        <v/>
      </c>
      <c r="DN72" s="41" t="str">
        <f aca="false">IF(AND(Tasks[[#This Row],[_IsLeaf]]=1,Tasks[[#This Row],[_LeafProgress]]&lt;1,Tasks[[#This Row],[_LeafFcstFinish]]&gt;=StatusDate,Tasks[[#This Row],[_LeafFcstFinish]]&lt;=LookaheadEnd),Tasks[[#This Row],[_LeafFcstFinish]]+Tasks[[#This Row],[_Row]]/100000,"")</f>
        <v/>
      </c>
      <c r="DO72" s="41" t="str">
        <f aca="false">IF(Tasks[[#This Row],[_LeafCritical]],Tasks[[#This Row],[_LeafFcstStart]]+Tasks[[#This Row],[_Row]]/100000,"")</f>
        <v/>
      </c>
      <c r="DP72" s="41" t="n">
        <f aca="false">Tasks[[#This Row],[_LeafWork]]*Tasks[[#This Row],[_LeafProgress]]</f>
        <v>0</v>
      </c>
      <c r="DQ72" s="103" t="str">
        <f aca="false">IF(AND(Tasks[[#This Row],[_IsLeaf]]=1,Tasks[[#This Row],[_LeafProgress]]&gt;=1),IF(N(Tasks[[#This Row],[Actual Finish]])&gt;0,Tasks[[#This Row],[Actual Finish]],Tasks[[#This Row],[_LeafFcstFinish]]),"")</f>
        <v/>
      </c>
      <c r="DR72" s="41" t="n">
        <f aca="false">IF(Tasks[[#This Row],[_IsLeaf]]=1,N(Tasks[[#This Row],[Story Points]]),0)</f>
        <v>0</v>
      </c>
      <c r="DS72" s="41" t="str">
        <f aca="false">IF(AND(Tasks[[#This Row],[_IsLeaf]]=1,CurrentSprint&lt;&gt;"",Tasks[[#This Row],[Sprint]]=CurrentSprint),Tasks[[#This Row],[_Row]],"")</f>
        <v/>
      </c>
    </row>
    <row r="73" customFormat="false" ht="15" hidden="false" customHeight="false" outlineLevel="0" collapsed="false">
      <c r="A73" s="28" t="str">
        <f aca="false">IF(Tasks[[#This Row],[Task Name]]="","",COUNTA(Tasks[[#Headers],[Task Name]]:Tasks[[#This Row],[Task Name]])-1)</f>
        <v/>
      </c>
      <c r="B73" s="29" t="n">
        <v>68</v>
      </c>
      <c r="C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29"/>
      <c r="E73" s="30"/>
      <c r="F73" s="29"/>
      <c r="G73" s="29"/>
      <c r="H73" s="29"/>
      <c r="I73" s="29"/>
      <c r="J73" s="29"/>
      <c r="K73" s="29"/>
      <c r="L73" s="29"/>
      <c r="M73" s="29"/>
      <c r="N73" s="77"/>
      <c r="O73" s="77"/>
      <c r="P73" s="25" t="str">
        <f aca="false">IF(Tasks[[#This Row],[Task Name]]="","",IF(N(Tasks[[#This Row],[Baseline Start]])&gt;0,Tasks[[#This Row],[Baseline Start]],Tasks[[#This Row],[_CalcStart]]))</f>
        <v/>
      </c>
      <c r="Q73" s="25" t="str">
        <f aca="false">IF(Tasks[[#This Row],[Task Name]]="","",IF(N(Tasks[[#This Row],[Baseline Finish]])&gt;0,Tasks[[#This Row],[Baseline Finish]],Tasks[[#This Row],[_CalcFinish]]))</f>
        <v/>
      </c>
      <c r="R73" s="77"/>
      <c r="S73" s="77"/>
      <c r="T73" s="25" t="str">
        <f aca="false">IF(Tasks[[#This Row],[Task Name]]="","",IF(Tasks[[#This Row],[_IsSummary]],MIN(INDEX(Tasks[_LeafFcstStart],Tasks[[#This Row],[_Row]]+1):INDEX(Tasks[_LeafFcstStart],Tasks[[#This Row],[_Row]]+Tasks[[#This Row],[_Descendants]])),Tasks[[#This Row],[_LeafFcstStart]]))</f>
        <v/>
      </c>
      <c r="U73" s="25" t="str">
        <f aca="false">IF(Tasks[[#This Row],[Task Name]]="","",IF(Tasks[[#This Row],[_IsSummary]],MAX(INDEX(Tasks[_LeafFcstFinish],Tasks[[#This Row],[_Row]]+1):INDEX(Tasks[_LeafFcstFinish],Tasks[[#This Row],[_Row]]+Tasks[[#This Row],[_Descendants]])),Tasks[[#This Row],[_LeafFcstFinish]]))</f>
        <v/>
      </c>
      <c r="V7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3" s="25" t="str">
        <f aca="false">IF(Tasks[[#This Row],[Task Name]]="","",IF(Tasks[[#This Row],[_IsSummary]],MIN(INDEX(Tasks[_LeafLateStart],Tasks[[#This Row],[_Row]]+1):INDEX(Tasks[_LeafLateStart],Tasks[[#This Row],[_Row]]+Tasks[[#This Row],[_Descendants]])),Tasks[[#This Row],[_LeafLateStart]]))</f>
        <v/>
      </c>
      <c r="Y73" s="25" t="str">
        <f aca="false">IF(Tasks[[#This Row],[Task Name]]="","",IF(Tasks[[#This Row],[_IsSummary]],MAX(INDEX(Tasks[_LeafLateFinish],Tasks[[#This Row],[_Row]]+1):INDEX(Tasks[_LeafLateFinish],Tasks[[#This Row],[_Row]]+Tasks[[#This Row],[_Descendants]])),Tasks[[#This Row],[_LeafLateFinish]]))</f>
        <v/>
      </c>
      <c r="Z73" s="43" t="str">
        <f aca="false">IF(Tasks[[#This Row],[Task Name]]="","",IF(Tasks[[#This Row],[_IsSummary]],MIN(INDEX(Tasks[_LeafTotalSlack],Tasks[[#This Row],[_Row]]+1):INDEX(Tasks[_LeafTotalSlack],Tasks[[#This Row],[_Row]]+Tasks[[#This Row],[_Descendants]])),Tasks[[#This Row],[_LeafTotalSlack]]))</f>
        <v/>
      </c>
      <c r="AA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3" s="28" t="str">
        <f aca="false">IF(Tasks[[#This Row],[Task Name]]="","",IF(IF(Tasks[[#This Row],[_IsSummary]],COUNTIF(INDEX(Tasks[_LeafCritical],Tasks[[#This Row],[_Row]]+1):INDEX(Tasks[_LeafCritical],Tasks[[#This Row],[_Row]]+Tasks[[#This Row],[_Descendants]]),TRUE())&gt;0,Tasks[[#This Row],[_LeafCritical]]),"Yes",""))</f>
        <v/>
      </c>
      <c r="AC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3" s="24" t="str">
        <f aca="false">IF(Tasks[[#This Row],[Task Name]]="","",TRIM(IF(Tasks[[#This Row],[_Pred1Problem]]&lt;&gt;"","Pred 1: "&amp;Tasks[[#This Row],[_Pred1Problem]]&amp;". ","")&amp;IF(Tasks[[#This Row],[_Pred2Problem]]&lt;&gt;"","Pred 2: "&amp;Tasks[[#This Row],[_Pred2Problem]]&amp;".","")))</f>
        <v/>
      </c>
      <c r="AE73" s="91"/>
      <c r="AF7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3" s="28" t="str">
        <f aca="false">IF(Tasks[[#This Row],[Task Name]]="","",IF(Tasks[[#This Row],[Progress]]&gt;=1,"Complete",IF(OR(N(Tasks[[#This Row],[Actual Start]])&gt;0,Tasks[[#This Row],[Progress]]&gt;0),IF(Tasks[[#This Row],[Finish Var]]&gt;0,"Behind","In Progress"),IF(Tasks[[#This Row],[Planned Start]]&lt;StatusDate,"Late Start","Not Started"))))</f>
        <v/>
      </c>
      <c r="AH73" s="30"/>
      <c r="AI73" s="91"/>
      <c r="AJ7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3" s="98" t="str">
        <f aca="false">IF(Tasks[[#This Row],[Task Name]]="","",IF(Tasks[[#This Row],[_IsSummary]],SUM(INDEX(Tasks[_LeafWork],Tasks[[#This Row],[_Row]]+1):INDEX(Tasks[_LeafWork],Tasks[[#This Row],[_Row]]+Tasks[[#This Row],[_Descendants]])),Tasks[[#This Row],[_LeafWork]]))</f>
        <v/>
      </c>
      <c r="AL73" s="99" t="str">
        <f aca="false">IF(Tasks[[#This Row],[Task Name]]="","",IF(Tasks[[#This Row],[_IsSummary]],SUM(INDEX(Tasks[_LeafCost],Tasks[[#This Row],[_Row]]+1):INDEX(Tasks[_LeafCost],Tasks[[#This Row],[_Row]]+Tasks[[#This Row],[_Descendants]])),Tasks[[#This Row],[_LeafCost]]))</f>
        <v/>
      </c>
      <c r="AM73" s="100"/>
      <c r="AN73" s="29"/>
      <c r="AO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3" s="85"/>
      <c r="AQ73" s="24" t="str">
        <f aca="false">IF(Tasks[[#This Row],[Task Name]]="","",Tasks[[#This Row],[_Pred1IDText]]&amp;IF(AND(Tasks[[#This Row],[_Pred1IDText]]&lt;&gt;"",Tasks[[#This Row],[_Pred2IDText]]&lt;&gt;""),",","")&amp;Tasks[[#This Row],[_Pred2IDText]])</f>
        <v/>
      </c>
      <c r="AR73" s="30"/>
      <c r="AS73" s="25" t="str">
        <f aca="false">IF(Tasks[[#This Row],[Task Name]]="","",Tasks[[#This Row],[Forecast Start]])</f>
        <v/>
      </c>
      <c r="AT73" s="25" t="str">
        <f aca="false">IF(Tasks[[#This Row],[Task Name]]="","",Tasks[[#This Row],[Forecast Finish]])</f>
        <v/>
      </c>
      <c r="AU73" s="28" t="str">
        <f aca="false">IF(Tasks[[#This Row],[Task Name]]="","",IF(Tasks[[#This Row],[_IsSummary]],NETWORKDAYS.INTL(Tasks[[#This Row],[Forecast Start]],Tasks[[#This Row],[Forecast Finish]],WorkWeek,Holidays),N(Tasks[[#This Row],[Duration]])))</f>
        <v/>
      </c>
      <c r="AV73" s="98" t="str">
        <f aca="false">IF(Tasks[[#This Row],[Task Name]]="","",Tasks[[#This Row],[Work]])</f>
        <v/>
      </c>
      <c r="AW73" s="99" t="str">
        <f aca="false">IF(Tasks[[#This Row],[Task Name]]="","",Tasks[[#This Row],[Cost]])</f>
        <v/>
      </c>
      <c r="AX73" s="77"/>
      <c r="AY73" s="77"/>
      <c r="AZ73" s="29"/>
      <c r="BA73" s="101"/>
      <c r="BB73" s="100"/>
      <c r="BC73" s="28" t="str">
        <f aca="false">IF(OR(Tasks[[#This Row],[Task Name]]="",Tasks[[#This Row],[Baseline Duration]]=""),"",Tasks[[#This Row],[BL Source Duration]]-N(Tasks[[#This Row],[Baseline Duration]]))</f>
        <v/>
      </c>
      <c r="BD73" s="98" t="str">
        <f aca="false">IF(OR(Tasks[[#This Row],[Task Name]]="",Tasks[[#This Row],[Baseline Work]]=""),"",Tasks[[#This Row],[Work]]-N(Tasks[[#This Row],[Baseline Work]]))</f>
        <v/>
      </c>
      <c r="BE73" s="99" t="str">
        <f aca="false">IF(OR(Tasks[[#This Row],[Task Name]]="",Tasks[[#This Row],[Baseline Cost]]=""),"",Tasks[[#This Row],[Cost]]-N(Tasks[[#This Row],[Baseline Cost]]))</f>
        <v/>
      </c>
      <c r="BF73" s="99" t="str">
        <f aca="false">IF(Tasks[[#This Row],[Task Name]]="","",IF(Tasks[[#This Row],[_IsSummary]],SUM(INDEX(Tasks[_LeafBudget],Tasks[[#This Row],[_Row]]+1):INDEX(Tasks[_LeafBudget],Tasks[[#This Row],[_Row]]+Tasks[[#This Row],[_Descendants]])),Tasks[[#This Row],[_LeafBudget]]))</f>
        <v/>
      </c>
      <c r="BG73" s="99" t="str">
        <f aca="false">IF(Tasks[[#This Row],[Task Name]]="","",IF(Tasks[[#This Row],[_IsSummary]],SUM(INDEX(Tasks[_LeafPV],Tasks[[#This Row],[_Row]]+1):INDEX(Tasks[_LeafPV],Tasks[[#This Row],[_Row]]+Tasks[[#This Row],[_Descendants]])),Tasks[[#This Row],[_LeafPV]]))</f>
        <v/>
      </c>
      <c r="BH73" s="99" t="str">
        <f aca="false">IF(Tasks[[#This Row],[Task Name]]="","",IF(Tasks[[#This Row],[_IsSummary]],SUM(INDEX(Tasks[_LeafEV],Tasks[[#This Row],[_Row]]+1):INDEX(Tasks[_LeafEV],Tasks[[#This Row],[_Row]]+Tasks[[#This Row],[_Descendants]])),Tasks[[#This Row],[_LeafEV]]))</f>
        <v/>
      </c>
      <c r="BI73" s="99" t="str">
        <f aca="false">IF(Tasks[[#This Row],[Task Name]]="","",IF(Tasks[[#This Row],[_IsSummary]],SUM(INDEX(Tasks[_LeafAC],Tasks[[#This Row],[_Row]]+1):INDEX(Tasks[_LeafAC],Tasks[[#This Row],[_Row]]+Tasks[[#This Row],[_Descendants]])),Tasks[[#This Row],[_LeafAC]]))</f>
        <v/>
      </c>
      <c r="BJ73" s="41" t="str">
        <f aca="false">IF(Tasks[[#This Row],[Task Name]]="","",MAX(1,N(Tasks[[#This Row],[Level]])))</f>
        <v/>
      </c>
      <c r="BK73" s="41" t="n">
        <f aca="false">ROW()-ROW(Tasks[[#Headers],[ID]])</f>
        <v>68</v>
      </c>
      <c r="BL73" s="41" t="n">
        <f aca="false">IF(OR(Tasks[[#This Row],[Task Name]]="",Tasks[[#This Row],[_Level]]&lt;=1),0,IFERROR(LOOKUP(2,1/(Tasks[[#Headers],[_Level]]:Tasks[[#This Row],[_Level]]=Tasks[[#This Row],[_Level]]-1),ROW(Tasks[[#Headers],[_Level]]:Tasks[[#This Row],[_Level]])),0))</f>
        <v>0</v>
      </c>
      <c r="BM73" s="41" t="n">
        <f aca="false">IFERROR(N(INDEX(Tasks[_Level],Tasks[[#This Row],[_Row]]+1)),0)</f>
        <v>0</v>
      </c>
      <c r="BN73" s="102" t="b">
        <f aca="false">AND(Tasks[[#This Row],[Task Name]]&lt;&gt;"",Tasks[[#This Row],[_NextLevel]]&gt;Tasks[[#This Row],[_Level]])</f>
        <v>0</v>
      </c>
      <c r="BO73" s="41" t="n">
        <f aca="false">IF(Tasks[[#This Row],[_IsSummary]],COUNTIF(Tasks[WBS],Tasks[[#This Row],[WBS]]&amp;".*"),0)</f>
        <v>0</v>
      </c>
      <c r="BP73" s="41" t="n">
        <f aca="false">IF(AND(Tasks[[#This Row],[Task Name]]&lt;&gt;"",NOT(Tasks[[#This Row],[_IsSummary]])),1,0)</f>
        <v>0</v>
      </c>
      <c r="BQ73" s="41" t="n">
        <f aca="false">IF(N(Tasks[[#This Row],[Pred1 UID]])=0,0,IFERROR(MATCH(Tasks[[#This Row],[Pred1 UID]],Tasks[UID],0),-1))</f>
        <v>0</v>
      </c>
      <c r="BR73" s="41" t="n">
        <f aca="false">IF(N(Tasks[[#This Row],[Pred2 UID]])=0,0,IFERROR(MATCH(Tasks[[#This Row],[Pred2 UID]],Tasks[UID],0),-1))</f>
        <v>0</v>
      </c>
      <c r="BS7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3" s="103" t="str">
        <f aca="false">IF(NOT(Tasks[[#This Row],[_IsLeaf]]=1),"",IF(N(Tasks[[#This Row],[Duration]])&lt;=0,Tasks[[#This Row],[_LeafCalcStart]],WORKDAY.INTL(Tasks[[#This Row],[_LeafCalcStart]],Tasks[[#This Row],[Duration]]-1,WorkWeek,Holidays)))</f>
        <v/>
      </c>
      <c r="BU7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3" s="41" t="n">
        <f aca="false">IF(NOT(Tasks[[#This Row],[_IsLeaf]]=1),0,IF(N(Tasks[[#This Row],[Actual Finish]])&gt;0,1,MIN(1,N(Tasks[[#This Row],[% Complete]]))))</f>
        <v>0</v>
      </c>
      <c r="BX73" s="41" t="n">
        <f aca="false">IF(OR(NOT(Tasks[[#This Row],[_IsLeaf]]=1),Tasks[[#This Row],[Resource]]=""),0,N(Tasks[[#This Row],[Duration]])*HoursPerDay*IF(Tasks[[#This Row],[Units]]="",DefaultUnits,Tasks[[#This Row],[Units]]))</f>
        <v>0</v>
      </c>
      <c r="BY73" s="41" t="n">
        <f aca="false">IF(Tasks[[#This Row],[_LeafWork]]=0,0,Tasks[[#This Row],[_LeafWork]]*IFERROR(INDEX(res_Rate,MATCH(Tasks[[#This Row],[Resource]],res_Name,0)),0))</f>
        <v>0</v>
      </c>
      <c r="BZ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3" s="41" t="n">
        <f aca="false">IF(NOT(Tasks[[#This Row],[_IsLeaf]]=1),0,MAX(_xlfn.MAXIFS(Tasks[_Row],Tasks[Pred1 UID],Tasks[[#This Row],[UID]]),_xlfn.MAXIFS(Tasks[_Row],Tasks[Pred2 UID],Tasks[[#This Row],[UID]])))</f>
        <v>0</v>
      </c>
      <c r="CE7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3" s="103" t="str">
        <f aca="false">IF(NOT(Tasks[[#This Row],[_IsLeaf]]=1),"",MIN(ProjectFinish,IF(N(Tasks[[#This Row],[Deadline]])&gt;0,Tasks[[#This Row],[Deadline]],2958465),Tasks[[#This Row],[_SuccessorFinishLimit]]))</f>
        <v/>
      </c>
      <c r="CG73" s="103" t="str">
        <f aca="false">IF(NOT(Tasks[[#This Row],[_IsLeaf]]=1),"",IF(N(Tasks[[#This Row],[Duration]])&lt;=0,Tasks[[#This Row],[_LeafLateFinish]],WORKDAY.INTL(Tasks[[#This Row],[_LeafLateFinish]],-(Tasks[[#This Row],[Duration]]-1),WorkWeek,Holidays)))</f>
        <v/>
      </c>
      <c r="CH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3" s="102" t="b">
        <f aca="false">AND(Tasks[[#This Row],[_IsLeaf]]=1,Tasks[[#This Row],[_LeafProgress]]&lt;1,N(Tasks[[#This Row],[_LeafTotalSlack]])&lt;=CriticalSlackDays)</f>
        <v>0</v>
      </c>
      <c r="CJ73" s="103" t="str">
        <f aca="false">IF(Tasks[[#This Row],[Task Name]]="","",IF(Tasks[[#This Row],[_IsSummary]],MIN(INDEX(Tasks[_LeafCalcStart],Tasks[[#This Row],[_Row]]+1):INDEX(Tasks[_LeafCalcStart],Tasks[[#This Row],[_Row]]+Tasks[[#This Row],[_Descendants]])),Tasks[[#This Row],[_LeafCalcStart]]))</f>
        <v/>
      </c>
      <c r="CK73" s="103" t="str">
        <f aca="false">IF(Tasks[[#This Row],[Task Name]]="","",IF(Tasks[[#This Row],[_IsSummary]],MAX(INDEX(Tasks[_LeafCalcFinish],Tasks[[#This Row],[_Row]]+1):INDEX(Tasks[_LeafCalcFinish],Tasks[[#This Row],[_Row]]+Tasks[[#This Row],[_Descendants]])),Tasks[[#This Row],[_LeafCalcFinish]]))</f>
        <v/>
      </c>
      <c r="CL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3" s="41" t="n">
        <f aca="false">IF(AND(Tasks[[#This Row],[_IsLeaf]]=1,Tasks[[#This Row],[_LeafWork]]&gt;0),NETWORKDAYS.INTL(ProjectStart,Tasks[[#This Row],[_LeafFcstStart]],WorkWeek,Holidays),0)</f>
        <v>0</v>
      </c>
      <c r="CS73" s="41" t="n">
        <f aca="false">IF(AND(Tasks[[#This Row],[_IsLeaf]]=1,Tasks[[#This Row],[_LeafWork]]&gt;0),MAX(Tasks[[#This Row],[_StartWorkday]],NETWORKDAYS.INTL(ProjectStart,Tasks[[#This Row],[_LeafFcstFinish]],WorkWeek,Holidays)),0)</f>
        <v>0</v>
      </c>
      <c r="CT73" s="41" t="n">
        <f aca="false">IF(AND(Tasks[[#This Row],[_IsLeaf]]=1,Tasks[[#This Row],[_LeafWork]]&gt;0),Tasks[[#This Row],[_LeafWork]]/(Tasks[[#This Row],[_FinishWorkday]]-Tasks[[#This Row],[_StartWorkday]]+1),0)</f>
        <v>0</v>
      </c>
      <c r="CU73" s="41" t="n">
        <f aca="false">Tasks[[#This Row],[_WorkPerWorkday]]*(Tasks[[#This Row],[_StartWorkday]]-1)</f>
        <v>-0</v>
      </c>
      <c r="CV73" s="41" t="n">
        <f aca="false">IF(Tasks[[#This Row],[_IsLeaf]]=1,MAX(N(Tasks[[#This Row],[Duration]]),0.1),0)</f>
        <v>0</v>
      </c>
      <c r="CW73" s="41" t="n">
        <f aca="false">Tasks[[#This Row],[_WeightDur]]*Tasks[[#This Row],[_LeafProgress]]</f>
        <v>0</v>
      </c>
      <c r="CX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3" s="41" t="str">
        <f aca="false">IF(Tasks[[#This Row],[Task Name]]="","",Tasks[[#This Row],[_Pred1UIDText]]&amp;IF(AND(Tasks[[#This Row],[_Pred1UIDText]]&lt;&gt;"",Tasks[[#This Row],[_Pred2UIDText]]&lt;&gt;""),",","")&amp;Tasks[[#This Row],[_Pred2UIDText]])</f>
        <v/>
      </c>
      <c r="DC73" s="41" t="str">
        <f aca="false">IF(AND(Tasks[[#This Row],[_IsLeaf]]=1,N(Tasks[[#This Row],[Duration]])=0,Tasks[[#This Row],[_LeafProgress]]&lt;1),Tasks[[#This Row],[_LeafFcstFinish]]+Tasks[[#This Row],[_Row]]/100000,"")</f>
        <v/>
      </c>
      <c r="DD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3" s="41" t="n">
        <f aca="false">IF(NOT(Tasks[[#This Row],[_IsLeaf]]=1),0,IF(Tasks[[#This Row],[Baseline Cost]]="",Tasks[[#This Row],[_LeafCost]],N(Tasks[[#This Row],[Baseline Cost]])))</f>
        <v>0</v>
      </c>
      <c r="DF73" s="41" t="n">
        <f aca="false">Tasks[[#This Row],[_LeafBudget]]*Tasks[[#This Row],[_PlannedPct]]</f>
        <v>0</v>
      </c>
      <c r="DG73" s="41" t="n">
        <f aca="false">Tasks[[#This Row],[_LeafBudget]]*Tasks[[#This Row],[_LeafProgress]]</f>
        <v>0</v>
      </c>
      <c r="DH73" s="41" t="n">
        <f aca="false">IF(NOT(Tasks[[#This Row],[_IsLeaf]]=1),0,IF(Tasks[[#This Row],[Actual Cost]]="",Tasks[[#This Row],[_LeafCost]]*Tasks[[#This Row],[_LeafProgress]],N(Tasks[[#This Row],[Actual Cost]])))</f>
        <v>0</v>
      </c>
      <c r="DI73" s="41" t="str">
        <f aca="false">IF(Tasks[[#This Row],[Task Name]]="","",LEFT(Tasks[[#This Row],[WBS]],FIND(".",Tasks[[#This Row],[WBS]]&amp;".")-1))</f>
        <v/>
      </c>
      <c r="DJ73" s="41" t="str">
        <f aca="false">IF(AND(Tasks[[#This Row],[Task Name]]&lt;&gt;"",Tasks[[#This Row],[_Level]]=1),Tasks[[#This Row],[_Row]],"")</f>
        <v/>
      </c>
      <c r="DK73" s="41" t="str">
        <f aca="false">IF(AND(Tasks[[#This Row],[_IsLeaf]]=1,N(Tasks[[#This Row],[Duration]])=0),Tasks[[#This Row],[Planned Finish]]+Tasks[[#This Row],[_Row]]/100000,"")</f>
        <v/>
      </c>
      <c r="DL73" s="41" t="str">
        <f aca="false">IF(AND(Tasks[[#This Row],[_IsLeaf]]=1,Tasks[[#This Row],[_LeafProgress]]&lt;1,OR(N(Tasks[[#This Row],[Finish Var]])&gt;0,Tasks[[#This Row],[Status]]="Late Start")),MAX(0,Tasks[[#This Row],[Finish Var]])+1-Tasks[[#This Row],[_Row]]/1000000,"")</f>
        <v/>
      </c>
      <c r="DM73" s="41" t="str">
        <f aca="false">IF(AND(Tasks[[#This Row],[_IsLeaf]]=1,N(Tasks[[#This Row],[Actual Start]])=0,Tasks[[#This Row],[_LeafFcstStart]]&gt;=StatusDate,Tasks[[#This Row],[_LeafFcstStart]]&lt;=LookaheadEnd),Tasks[[#This Row],[_LeafFcstStart]]+Tasks[[#This Row],[_Row]]/100000,"")</f>
        <v/>
      </c>
      <c r="DN73" s="41" t="str">
        <f aca="false">IF(AND(Tasks[[#This Row],[_IsLeaf]]=1,Tasks[[#This Row],[_LeafProgress]]&lt;1,Tasks[[#This Row],[_LeafFcstFinish]]&gt;=StatusDate,Tasks[[#This Row],[_LeafFcstFinish]]&lt;=LookaheadEnd),Tasks[[#This Row],[_LeafFcstFinish]]+Tasks[[#This Row],[_Row]]/100000,"")</f>
        <v/>
      </c>
      <c r="DO73" s="41" t="str">
        <f aca="false">IF(Tasks[[#This Row],[_LeafCritical]],Tasks[[#This Row],[_LeafFcstStart]]+Tasks[[#This Row],[_Row]]/100000,"")</f>
        <v/>
      </c>
      <c r="DP73" s="41" t="n">
        <f aca="false">Tasks[[#This Row],[_LeafWork]]*Tasks[[#This Row],[_LeafProgress]]</f>
        <v>0</v>
      </c>
      <c r="DQ73" s="103" t="str">
        <f aca="false">IF(AND(Tasks[[#This Row],[_IsLeaf]]=1,Tasks[[#This Row],[_LeafProgress]]&gt;=1),IF(N(Tasks[[#This Row],[Actual Finish]])&gt;0,Tasks[[#This Row],[Actual Finish]],Tasks[[#This Row],[_LeafFcstFinish]]),"")</f>
        <v/>
      </c>
      <c r="DR73" s="41" t="n">
        <f aca="false">IF(Tasks[[#This Row],[_IsLeaf]]=1,N(Tasks[[#This Row],[Story Points]]),0)</f>
        <v>0</v>
      </c>
      <c r="DS73" s="41" t="str">
        <f aca="false">IF(AND(Tasks[[#This Row],[_IsLeaf]]=1,CurrentSprint&lt;&gt;"",Tasks[[#This Row],[Sprint]]=CurrentSprint),Tasks[[#This Row],[_Row]],"")</f>
        <v/>
      </c>
    </row>
    <row r="74" customFormat="false" ht="15" hidden="false" customHeight="false" outlineLevel="0" collapsed="false">
      <c r="A74" s="28" t="str">
        <f aca="false">IF(Tasks[[#This Row],[Task Name]]="","",COUNTA(Tasks[[#Headers],[Task Name]]:Tasks[[#This Row],[Task Name]])-1)</f>
        <v/>
      </c>
      <c r="B74" s="29" t="n">
        <v>69</v>
      </c>
      <c r="C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29"/>
      <c r="E74" s="30"/>
      <c r="F74" s="29"/>
      <c r="G74" s="29"/>
      <c r="H74" s="29"/>
      <c r="I74" s="29"/>
      <c r="J74" s="29"/>
      <c r="K74" s="29"/>
      <c r="L74" s="29"/>
      <c r="M74" s="29"/>
      <c r="N74" s="77"/>
      <c r="O74" s="77"/>
      <c r="P74" s="25" t="str">
        <f aca="false">IF(Tasks[[#This Row],[Task Name]]="","",IF(N(Tasks[[#This Row],[Baseline Start]])&gt;0,Tasks[[#This Row],[Baseline Start]],Tasks[[#This Row],[_CalcStart]]))</f>
        <v/>
      </c>
      <c r="Q74" s="25" t="str">
        <f aca="false">IF(Tasks[[#This Row],[Task Name]]="","",IF(N(Tasks[[#This Row],[Baseline Finish]])&gt;0,Tasks[[#This Row],[Baseline Finish]],Tasks[[#This Row],[_CalcFinish]]))</f>
        <v/>
      </c>
      <c r="R74" s="77"/>
      <c r="S74" s="77"/>
      <c r="T74" s="25" t="str">
        <f aca="false">IF(Tasks[[#This Row],[Task Name]]="","",IF(Tasks[[#This Row],[_IsSummary]],MIN(INDEX(Tasks[_LeafFcstStart],Tasks[[#This Row],[_Row]]+1):INDEX(Tasks[_LeafFcstStart],Tasks[[#This Row],[_Row]]+Tasks[[#This Row],[_Descendants]])),Tasks[[#This Row],[_LeafFcstStart]]))</f>
        <v/>
      </c>
      <c r="U74" s="25" t="str">
        <f aca="false">IF(Tasks[[#This Row],[Task Name]]="","",IF(Tasks[[#This Row],[_IsSummary]],MAX(INDEX(Tasks[_LeafFcstFinish],Tasks[[#This Row],[_Row]]+1):INDEX(Tasks[_LeafFcstFinish],Tasks[[#This Row],[_Row]]+Tasks[[#This Row],[_Descendants]])),Tasks[[#This Row],[_LeafFcstFinish]]))</f>
        <v/>
      </c>
      <c r="V7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4" s="25" t="str">
        <f aca="false">IF(Tasks[[#This Row],[Task Name]]="","",IF(Tasks[[#This Row],[_IsSummary]],MIN(INDEX(Tasks[_LeafLateStart],Tasks[[#This Row],[_Row]]+1):INDEX(Tasks[_LeafLateStart],Tasks[[#This Row],[_Row]]+Tasks[[#This Row],[_Descendants]])),Tasks[[#This Row],[_LeafLateStart]]))</f>
        <v/>
      </c>
      <c r="Y74" s="25" t="str">
        <f aca="false">IF(Tasks[[#This Row],[Task Name]]="","",IF(Tasks[[#This Row],[_IsSummary]],MAX(INDEX(Tasks[_LeafLateFinish],Tasks[[#This Row],[_Row]]+1):INDEX(Tasks[_LeafLateFinish],Tasks[[#This Row],[_Row]]+Tasks[[#This Row],[_Descendants]])),Tasks[[#This Row],[_LeafLateFinish]]))</f>
        <v/>
      </c>
      <c r="Z74" s="43" t="str">
        <f aca="false">IF(Tasks[[#This Row],[Task Name]]="","",IF(Tasks[[#This Row],[_IsSummary]],MIN(INDEX(Tasks[_LeafTotalSlack],Tasks[[#This Row],[_Row]]+1):INDEX(Tasks[_LeafTotalSlack],Tasks[[#This Row],[_Row]]+Tasks[[#This Row],[_Descendants]])),Tasks[[#This Row],[_LeafTotalSlack]]))</f>
        <v/>
      </c>
      <c r="AA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4" s="28" t="str">
        <f aca="false">IF(Tasks[[#This Row],[Task Name]]="","",IF(IF(Tasks[[#This Row],[_IsSummary]],COUNTIF(INDEX(Tasks[_LeafCritical],Tasks[[#This Row],[_Row]]+1):INDEX(Tasks[_LeafCritical],Tasks[[#This Row],[_Row]]+Tasks[[#This Row],[_Descendants]]),TRUE())&gt;0,Tasks[[#This Row],[_LeafCritical]]),"Yes",""))</f>
        <v/>
      </c>
      <c r="AC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4" s="24" t="str">
        <f aca="false">IF(Tasks[[#This Row],[Task Name]]="","",TRIM(IF(Tasks[[#This Row],[_Pred1Problem]]&lt;&gt;"","Pred 1: "&amp;Tasks[[#This Row],[_Pred1Problem]]&amp;". ","")&amp;IF(Tasks[[#This Row],[_Pred2Problem]]&lt;&gt;"","Pred 2: "&amp;Tasks[[#This Row],[_Pred2Problem]]&amp;".","")))</f>
        <v/>
      </c>
      <c r="AE74" s="91"/>
      <c r="AF7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4" s="28" t="str">
        <f aca="false">IF(Tasks[[#This Row],[Task Name]]="","",IF(Tasks[[#This Row],[Progress]]&gt;=1,"Complete",IF(OR(N(Tasks[[#This Row],[Actual Start]])&gt;0,Tasks[[#This Row],[Progress]]&gt;0),IF(Tasks[[#This Row],[Finish Var]]&gt;0,"Behind","In Progress"),IF(Tasks[[#This Row],[Planned Start]]&lt;StatusDate,"Late Start","Not Started"))))</f>
        <v/>
      </c>
      <c r="AH74" s="30"/>
      <c r="AI74" s="91"/>
      <c r="AJ7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4" s="98" t="str">
        <f aca="false">IF(Tasks[[#This Row],[Task Name]]="","",IF(Tasks[[#This Row],[_IsSummary]],SUM(INDEX(Tasks[_LeafWork],Tasks[[#This Row],[_Row]]+1):INDEX(Tasks[_LeafWork],Tasks[[#This Row],[_Row]]+Tasks[[#This Row],[_Descendants]])),Tasks[[#This Row],[_LeafWork]]))</f>
        <v/>
      </c>
      <c r="AL74" s="99" t="str">
        <f aca="false">IF(Tasks[[#This Row],[Task Name]]="","",IF(Tasks[[#This Row],[_IsSummary]],SUM(INDEX(Tasks[_LeafCost],Tasks[[#This Row],[_Row]]+1):INDEX(Tasks[_LeafCost],Tasks[[#This Row],[_Row]]+Tasks[[#This Row],[_Descendants]])),Tasks[[#This Row],[_LeafCost]]))</f>
        <v/>
      </c>
      <c r="AM74" s="100"/>
      <c r="AN74" s="29"/>
      <c r="AO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4" s="85"/>
      <c r="AQ74" s="24" t="str">
        <f aca="false">IF(Tasks[[#This Row],[Task Name]]="","",Tasks[[#This Row],[_Pred1IDText]]&amp;IF(AND(Tasks[[#This Row],[_Pred1IDText]]&lt;&gt;"",Tasks[[#This Row],[_Pred2IDText]]&lt;&gt;""),",","")&amp;Tasks[[#This Row],[_Pred2IDText]])</f>
        <v/>
      </c>
      <c r="AR74" s="30"/>
      <c r="AS74" s="25" t="str">
        <f aca="false">IF(Tasks[[#This Row],[Task Name]]="","",Tasks[[#This Row],[Forecast Start]])</f>
        <v/>
      </c>
      <c r="AT74" s="25" t="str">
        <f aca="false">IF(Tasks[[#This Row],[Task Name]]="","",Tasks[[#This Row],[Forecast Finish]])</f>
        <v/>
      </c>
      <c r="AU74" s="28" t="str">
        <f aca="false">IF(Tasks[[#This Row],[Task Name]]="","",IF(Tasks[[#This Row],[_IsSummary]],NETWORKDAYS.INTL(Tasks[[#This Row],[Forecast Start]],Tasks[[#This Row],[Forecast Finish]],WorkWeek,Holidays),N(Tasks[[#This Row],[Duration]])))</f>
        <v/>
      </c>
      <c r="AV74" s="98" t="str">
        <f aca="false">IF(Tasks[[#This Row],[Task Name]]="","",Tasks[[#This Row],[Work]])</f>
        <v/>
      </c>
      <c r="AW74" s="99" t="str">
        <f aca="false">IF(Tasks[[#This Row],[Task Name]]="","",Tasks[[#This Row],[Cost]])</f>
        <v/>
      </c>
      <c r="AX74" s="77"/>
      <c r="AY74" s="77"/>
      <c r="AZ74" s="29"/>
      <c r="BA74" s="101"/>
      <c r="BB74" s="100"/>
      <c r="BC74" s="28" t="str">
        <f aca="false">IF(OR(Tasks[[#This Row],[Task Name]]="",Tasks[[#This Row],[Baseline Duration]]=""),"",Tasks[[#This Row],[BL Source Duration]]-N(Tasks[[#This Row],[Baseline Duration]]))</f>
        <v/>
      </c>
      <c r="BD74" s="98" t="str">
        <f aca="false">IF(OR(Tasks[[#This Row],[Task Name]]="",Tasks[[#This Row],[Baseline Work]]=""),"",Tasks[[#This Row],[Work]]-N(Tasks[[#This Row],[Baseline Work]]))</f>
        <v/>
      </c>
      <c r="BE74" s="99" t="str">
        <f aca="false">IF(OR(Tasks[[#This Row],[Task Name]]="",Tasks[[#This Row],[Baseline Cost]]=""),"",Tasks[[#This Row],[Cost]]-N(Tasks[[#This Row],[Baseline Cost]]))</f>
        <v/>
      </c>
      <c r="BF74" s="99" t="str">
        <f aca="false">IF(Tasks[[#This Row],[Task Name]]="","",IF(Tasks[[#This Row],[_IsSummary]],SUM(INDEX(Tasks[_LeafBudget],Tasks[[#This Row],[_Row]]+1):INDEX(Tasks[_LeafBudget],Tasks[[#This Row],[_Row]]+Tasks[[#This Row],[_Descendants]])),Tasks[[#This Row],[_LeafBudget]]))</f>
        <v/>
      </c>
      <c r="BG74" s="99" t="str">
        <f aca="false">IF(Tasks[[#This Row],[Task Name]]="","",IF(Tasks[[#This Row],[_IsSummary]],SUM(INDEX(Tasks[_LeafPV],Tasks[[#This Row],[_Row]]+1):INDEX(Tasks[_LeafPV],Tasks[[#This Row],[_Row]]+Tasks[[#This Row],[_Descendants]])),Tasks[[#This Row],[_LeafPV]]))</f>
        <v/>
      </c>
      <c r="BH74" s="99" t="str">
        <f aca="false">IF(Tasks[[#This Row],[Task Name]]="","",IF(Tasks[[#This Row],[_IsSummary]],SUM(INDEX(Tasks[_LeafEV],Tasks[[#This Row],[_Row]]+1):INDEX(Tasks[_LeafEV],Tasks[[#This Row],[_Row]]+Tasks[[#This Row],[_Descendants]])),Tasks[[#This Row],[_LeafEV]]))</f>
        <v/>
      </c>
      <c r="BI74" s="99" t="str">
        <f aca="false">IF(Tasks[[#This Row],[Task Name]]="","",IF(Tasks[[#This Row],[_IsSummary]],SUM(INDEX(Tasks[_LeafAC],Tasks[[#This Row],[_Row]]+1):INDEX(Tasks[_LeafAC],Tasks[[#This Row],[_Row]]+Tasks[[#This Row],[_Descendants]])),Tasks[[#This Row],[_LeafAC]]))</f>
        <v/>
      </c>
      <c r="BJ74" s="41" t="str">
        <f aca="false">IF(Tasks[[#This Row],[Task Name]]="","",MAX(1,N(Tasks[[#This Row],[Level]])))</f>
        <v/>
      </c>
      <c r="BK74" s="41" t="n">
        <f aca="false">ROW()-ROW(Tasks[[#Headers],[ID]])</f>
        <v>69</v>
      </c>
      <c r="BL74" s="41" t="n">
        <f aca="false">IF(OR(Tasks[[#This Row],[Task Name]]="",Tasks[[#This Row],[_Level]]&lt;=1),0,IFERROR(LOOKUP(2,1/(Tasks[[#Headers],[_Level]]:Tasks[[#This Row],[_Level]]=Tasks[[#This Row],[_Level]]-1),ROW(Tasks[[#Headers],[_Level]]:Tasks[[#This Row],[_Level]])),0))</f>
        <v>0</v>
      </c>
      <c r="BM74" s="41" t="n">
        <f aca="false">IFERROR(N(INDEX(Tasks[_Level],Tasks[[#This Row],[_Row]]+1)),0)</f>
        <v>0</v>
      </c>
      <c r="BN74" s="102" t="b">
        <f aca="false">AND(Tasks[[#This Row],[Task Name]]&lt;&gt;"",Tasks[[#This Row],[_NextLevel]]&gt;Tasks[[#This Row],[_Level]])</f>
        <v>0</v>
      </c>
      <c r="BO74" s="41" t="n">
        <f aca="false">IF(Tasks[[#This Row],[_IsSummary]],COUNTIF(Tasks[WBS],Tasks[[#This Row],[WBS]]&amp;".*"),0)</f>
        <v>0</v>
      </c>
      <c r="BP74" s="41" t="n">
        <f aca="false">IF(AND(Tasks[[#This Row],[Task Name]]&lt;&gt;"",NOT(Tasks[[#This Row],[_IsSummary]])),1,0)</f>
        <v>0</v>
      </c>
      <c r="BQ74" s="41" t="n">
        <f aca="false">IF(N(Tasks[[#This Row],[Pred1 UID]])=0,0,IFERROR(MATCH(Tasks[[#This Row],[Pred1 UID]],Tasks[UID],0),-1))</f>
        <v>0</v>
      </c>
      <c r="BR74" s="41" t="n">
        <f aca="false">IF(N(Tasks[[#This Row],[Pred2 UID]])=0,0,IFERROR(MATCH(Tasks[[#This Row],[Pred2 UID]],Tasks[UID],0),-1))</f>
        <v>0</v>
      </c>
      <c r="BS7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4" s="103" t="str">
        <f aca="false">IF(NOT(Tasks[[#This Row],[_IsLeaf]]=1),"",IF(N(Tasks[[#This Row],[Duration]])&lt;=0,Tasks[[#This Row],[_LeafCalcStart]],WORKDAY.INTL(Tasks[[#This Row],[_LeafCalcStart]],Tasks[[#This Row],[Duration]]-1,WorkWeek,Holidays)))</f>
        <v/>
      </c>
      <c r="BU7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4" s="41" t="n">
        <f aca="false">IF(NOT(Tasks[[#This Row],[_IsLeaf]]=1),0,IF(N(Tasks[[#This Row],[Actual Finish]])&gt;0,1,MIN(1,N(Tasks[[#This Row],[% Complete]]))))</f>
        <v>0</v>
      </c>
      <c r="BX74" s="41" t="n">
        <f aca="false">IF(OR(NOT(Tasks[[#This Row],[_IsLeaf]]=1),Tasks[[#This Row],[Resource]]=""),0,N(Tasks[[#This Row],[Duration]])*HoursPerDay*IF(Tasks[[#This Row],[Units]]="",DefaultUnits,Tasks[[#This Row],[Units]]))</f>
        <v>0</v>
      </c>
      <c r="BY74" s="41" t="n">
        <f aca="false">IF(Tasks[[#This Row],[_LeafWork]]=0,0,Tasks[[#This Row],[_LeafWork]]*IFERROR(INDEX(res_Rate,MATCH(Tasks[[#This Row],[Resource]],res_Name,0)),0))</f>
        <v>0</v>
      </c>
      <c r="BZ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4" s="41" t="n">
        <f aca="false">IF(NOT(Tasks[[#This Row],[_IsLeaf]]=1),0,MAX(_xlfn.MAXIFS(Tasks[_Row],Tasks[Pred1 UID],Tasks[[#This Row],[UID]]),_xlfn.MAXIFS(Tasks[_Row],Tasks[Pred2 UID],Tasks[[#This Row],[UID]])))</f>
        <v>0</v>
      </c>
      <c r="CE7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4" s="103" t="str">
        <f aca="false">IF(NOT(Tasks[[#This Row],[_IsLeaf]]=1),"",MIN(ProjectFinish,IF(N(Tasks[[#This Row],[Deadline]])&gt;0,Tasks[[#This Row],[Deadline]],2958465),Tasks[[#This Row],[_SuccessorFinishLimit]]))</f>
        <v/>
      </c>
      <c r="CG74" s="103" t="str">
        <f aca="false">IF(NOT(Tasks[[#This Row],[_IsLeaf]]=1),"",IF(N(Tasks[[#This Row],[Duration]])&lt;=0,Tasks[[#This Row],[_LeafLateFinish]],WORKDAY.INTL(Tasks[[#This Row],[_LeafLateFinish]],-(Tasks[[#This Row],[Duration]]-1),WorkWeek,Holidays)))</f>
        <v/>
      </c>
      <c r="CH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4" s="102" t="b">
        <f aca="false">AND(Tasks[[#This Row],[_IsLeaf]]=1,Tasks[[#This Row],[_LeafProgress]]&lt;1,N(Tasks[[#This Row],[_LeafTotalSlack]])&lt;=CriticalSlackDays)</f>
        <v>0</v>
      </c>
      <c r="CJ74" s="103" t="str">
        <f aca="false">IF(Tasks[[#This Row],[Task Name]]="","",IF(Tasks[[#This Row],[_IsSummary]],MIN(INDEX(Tasks[_LeafCalcStart],Tasks[[#This Row],[_Row]]+1):INDEX(Tasks[_LeafCalcStart],Tasks[[#This Row],[_Row]]+Tasks[[#This Row],[_Descendants]])),Tasks[[#This Row],[_LeafCalcStart]]))</f>
        <v/>
      </c>
      <c r="CK74" s="103" t="str">
        <f aca="false">IF(Tasks[[#This Row],[Task Name]]="","",IF(Tasks[[#This Row],[_IsSummary]],MAX(INDEX(Tasks[_LeafCalcFinish],Tasks[[#This Row],[_Row]]+1):INDEX(Tasks[_LeafCalcFinish],Tasks[[#This Row],[_Row]]+Tasks[[#This Row],[_Descendants]])),Tasks[[#This Row],[_LeafCalcFinish]]))</f>
        <v/>
      </c>
      <c r="CL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4" s="41" t="n">
        <f aca="false">IF(AND(Tasks[[#This Row],[_IsLeaf]]=1,Tasks[[#This Row],[_LeafWork]]&gt;0),NETWORKDAYS.INTL(ProjectStart,Tasks[[#This Row],[_LeafFcstStart]],WorkWeek,Holidays),0)</f>
        <v>0</v>
      </c>
      <c r="CS74" s="41" t="n">
        <f aca="false">IF(AND(Tasks[[#This Row],[_IsLeaf]]=1,Tasks[[#This Row],[_LeafWork]]&gt;0),MAX(Tasks[[#This Row],[_StartWorkday]],NETWORKDAYS.INTL(ProjectStart,Tasks[[#This Row],[_LeafFcstFinish]],WorkWeek,Holidays)),0)</f>
        <v>0</v>
      </c>
      <c r="CT74" s="41" t="n">
        <f aca="false">IF(AND(Tasks[[#This Row],[_IsLeaf]]=1,Tasks[[#This Row],[_LeafWork]]&gt;0),Tasks[[#This Row],[_LeafWork]]/(Tasks[[#This Row],[_FinishWorkday]]-Tasks[[#This Row],[_StartWorkday]]+1),0)</f>
        <v>0</v>
      </c>
      <c r="CU74" s="41" t="n">
        <f aca="false">Tasks[[#This Row],[_WorkPerWorkday]]*(Tasks[[#This Row],[_StartWorkday]]-1)</f>
        <v>-0</v>
      </c>
      <c r="CV74" s="41" t="n">
        <f aca="false">IF(Tasks[[#This Row],[_IsLeaf]]=1,MAX(N(Tasks[[#This Row],[Duration]]),0.1),0)</f>
        <v>0</v>
      </c>
      <c r="CW74" s="41" t="n">
        <f aca="false">Tasks[[#This Row],[_WeightDur]]*Tasks[[#This Row],[_LeafProgress]]</f>
        <v>0</v>
      </c>
      <c r="CX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4" s="41" t="str">
        <f aca="false">IF(Tasks[[#This Row],[Task Name]]="","",Tasks[[#This Row],[_Pred1UIDText]]&amp;IF(AND(Tasks[[#This Row],[_Pred1UIDText]]&lt;&gt;"",Tasks[[#This Row],[_Pred2UIDText]]&lt;&gt;""),",","")&amp;Tasks[[#This Row],[_Pred2UIDText]])</f>
        <v/>
      </c>
      <c r="DC74" s="41" t="str">
        <f aca="false">IF(AND(Tasks[[#This Row],[_IsLeaf]]=1,N(Tasks[[#This Row],[Duration]])=0,Tasks[[#This Row],[_LeafProgress]]&lt;1),Tasks[[#This Row],[_LeafFcstFinish]]+Tasks[[#This Row],[_Row]]/100000,"")</f>
        <v/>
      </c>
      <c r="DD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4" s="41" t="n">
        <f aca="false">IF(NOT(Tasks[[#This Row],[_IsLeaf]]=1),0,IF(Tasks[[#This Row],[Baseline Cost]]="",Tasks[[#This Row],[_LeafCost]],N(Tasks[[#This Row],[Baseline Cost]])))</f>
        <v>0</v>
      </c>
      <c r="DF74" s="41" t="n">
        <f aca="false">Tasks[[#This Row],[_LeafBudget]]*Tasks[[#This Row],[_PlannedPct]]</f>
        <v>0</v>
      </c>
      <c r="DG74" s="41" t="n">
        <f aca="false">Tasks[[#This Row],[_LeafBudget]]*Tasks[[#This Row],[_LeafProgress]]</f>
        <v>0</v>
      </c>
      <c r="DH74" s="41" t="n">
        <f aca="false">IF(NOT(Tasks[[#This Row],[_IsLeaf]]=1),0,IF(Tasks[[#This Row],[Actual Cost]]="",Tasks[[#This Row],[_LeafCost]]*Tasks[[#This Row],[_LeafProgress]],N(Tasks[[#This Row],[Actual Cost]])))</f>
        <v>0</v>
      </c>
      <c r="DI74" s="41" t="str">
        <f aca="false">IF(Tasks[[#This Row],[Task Name]]="","",LEFT(Tasks[[#This Row],[WBS]],FIND(".",Tasks[[#This Row],[WBS]]&amp;".")-1))</f>
        <v/>
      </c>
      <c r="DJ74" s="41" t="str">
        <f aca="false">IF(AND(Tasks[[#This Row],[Task Name]]&lt;&gt;"",Tasks[[#This Row],[_Level]]=1),Tasks[[#This Row],[_Row]],"")</f>
        <v/>
      </c>
      <c r="DK74" s="41" t="str">
        <f aca="false">IF(AND(Tasks[[#This Row],[_IsLeaf]]=1,N(Tasks[[#This Row],[Duration]])=0),Tasks[[#This Row],[Planned Finish]]+Tasks[[#This Row],[_Row]]/100000,"")</f>
        <v/>
      </c>
      <c r="DL74" s="41" t="str">
        <f aca="false">IF(AND(Tasks[[#This Row],[_IsLeaf]]=1,Tasks[[#This Row],[_LeafProgress]]&lt;1,OR(N(Tasks[[#This Row],[Finish Var]])&gt;0,Tasks[[#This Row],[Status]]="Late Start")),MAX(0,Tasks[[#This Row],[Finish Var]])+1-Tasks[[#This Row],[_Row]]/1000000,"")</f>
        <v/>
      </c>
      <c r="DM74" s="41" t="str">
        <f aca="false">IF(AND(Tasks[[#This Row],[_IsLeaf]]=1,N(Tasks[[#This Row],[Actual Start]])=0,Tasks[[#This Row],[_LeafFcstStart]]&gt;=StatusDate,Tasks[[#This Row],[_LeafFcstStart]]&lt;=LookaheadEnd),Tasks[[#This Row],[_LeafFcstStart]]+Tasks[[#This Row],[_Row]]/100000,"")</f>
        <v/>
      </c>
      <c r="DN74" s="41" t="str">
        <f aca="false">IF(AND(Tasks[[#This Row],[_IsLeaf]]=1,Tasks[[#This Row],[_LeafProgress]]&lt;1,Tasks[[#This Row],[_LeafFcstFinish]]&gt;=StatusDate,Tasks[[#This Row],[_LeafFcstFinish]]&lt;=LookaheadEnd),Tasks[[#This Row],[_LeafFcstFinish]]+Tasks[[#This Row],[_Row]]/100000,"")</f>
        <v/>
      </c>
      <c r="DO74" s="41" t="str">
        <f aca="false">IF(Tasks[[#This Row],[_LeafCritical]],Tasks[[#This Row],[_LeafFcstStart]]+Tasks[[#This Row],[_Row]]/100000,"")</f>
        <v/>
      </c>
      <c r="DP74" s="41" t="n">
        <f aca="false">Tasks[[#This Row],[_LeafWork]]*Tasks[[#This Row],[_LeafProgress]]</f>
        <v>0</v>
      </c>
      <c r="DQ74" s="103" t="str">
        <f aca="false">IF(AND(Tasks[[#This Row],[_IsLeaf]]=1,Tasks[[#This Row],[_LeafProgress]]&gt;=1),IF(N(Tasks[[#This Row],[Actual Finish]])&gt;0,Tasks[[#This Row],[Actual Finish]],Tasks[[#This Row],[_LeafFcstFinish]]),"")</f>
        <v/>
      </c>
      <c r="DR74" s="41" t="n">
        <f aca="false">IF(Tasks[[#This Row],[_IsLeaf]]=1,N(Tasks[[#This Row],[Story Points]]),0)</f>
        <v>0</v>
      </c>
      <c r="DS74" s="41" t="str">
        <f aca="false">IF(AND(Tasks[[#This Row],[_IsLeaf]]=1,CurrentSprint&lt;&gt;"",Tasks[[#This Row],[Sprint]]=CurrentSprint),Tasks[[#This Row],[_Row]],"")</f>
        <v/>
      </c>
    </row>
    <row r="75" customFormat="false" ht="15" hidden="false" customHeight="false" outlineLevel="0" collapsed="false">
      <c r="A75" s="28" t="str">
        <f aca="false">IF(Tasks[[#This Row],[Task Name]]="","",COUNTA(Tasks[[#Headers],[Task Name]]:Tasks[[#This Row],[Task Name]])-1)</f>
        <v/>
      </c>
      <c r="B75" s="29" t="n">
        <v>70</v>
      </c>
      <c r="C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29"/>
      <c r="E75" s="30"/>
      <c r="F75" s="29"/>
      <c r="G75" s="29"/>
      <c r="H75" s="29"/>
      <c r="I75" s="29"/>
      <c r="J75" s="29"/>
      <c r="K75" s="29"/>
      <c r="L75" s="29"/>
      <c r="M75" s="29"/>
      <c r="N75" s="77"/>
      <c r="O75" s="77"/>
      <c r="P75" s="25" t="str">
        <f aca="false">IF(Tasks[[#This Row],[Task Name]]="","",IF(N(Tasks[[#This Row],[Baseline Start]])&gt;0,Tasks[[#This Row],[Baseline Start]],Tasks[[#This Row],[_CalcStart]]))</f>
        <v/>
      </c>
      <c r="Q75" s="25" t="str">
        <f aca="false">IF(Tasks[[#This Row],[Task Name]]="","",IF(N(Tasks[[#This Row],[Baseline Finish]])&gt;0,Tasks[[#This Row],[Baseline Finish]],Tasks[[#This Row],[_CalcFinish]]))</f>
        <v/>
      </c>
      <c r="R75" s="77"/>
      <c r="S75" s="77"/>
      <c r="T75" s="25" t="str">
        <f aca="false">IF(Tasks[[#This Row],[Task Name]]="","",IF(Tasks[[#This Row],[_IsSummary]],MIN(INDEX(Tasks[_LeafFcstStart],Tasks[[#This Row],[_Row]]+1):INDEX(Tasks[_LeafFcstStart],Tasks[[#This Row],[_Row]]+Tasks[[#This Row],[_Descendants]])),Tasks[[#This Row],[_LeafFcstStart]]))</f>
        <v/>
      </c>
      <c r="U75" s="25" t="str">
        <f aca="false">IF(Tasks[[#This Row],[Task Name]]="","",IF(Tasks[[#This Row],[_IsSummary]],MAX(INDEX(Tasks[_LeafFcstFinish],Tasks[[#This Row],[_Row]]+1):INDEX(Tasks[_LeafFcstFinish],Tasks[[#This Row],[_Row]]+Tasks[[#This Row],[_Descendants]])),Tasks[[#This Row],[_LeafFcstFinish]]))</f>
        <v/>
      </c>
      <c r="V7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5" s="25" t="str">
        <f aca="false">IF(Tasks[[#This Row],[Task Name]]="","",IF(Tasks[[#This Row],[_IsSummary]],MIN(INDEX(Tasks[_LeafLateStart],Tasks[[#This Row],[_Row]]+1):INDEX(Tasks[_LeafLateStart],Tasks[[#This Row],[_Row]]+Tasks[[#This Row],[_Descendants]])),Tasks[[#This Row],[_LeafLateStart]]))</f>
        <v/>
      </c>
      <c r="Y75" s="25" t="str">
        <f aca="false">IF(Tasks[[#This Row],[Task Name]]="","",IF(Tasks[[#This Row],[_IsSummary]],MAX(INDEX(Tasks[_LeafLateFinish],Tasks[[#This Row],[_Row]]+1):INDEX(Tasks[_LeafLateFinish],Tasks[[#This Row],[_Row]]+Tasks[[#This Row],[_Descendants]])),Tasks[[#This Row],[_LeafLateFinish]]))</f>
        <v/>
      </c>
      <c r="Z75" s="43" t="str">
        <f aca="false">IF(Tasks[[#This Row],[Task Name]]="","",IF(Tasks[[#This Row],[_IsSummary]],MIN(INDEX(Tasks[_LeafTotalSlack],Tasks[[#This Row],[_Row]]+1):INDEX(Tasks[_LeafTotalSlack],Tasks[[#This Row],[_Row]]+Tasks[[#This Row],[_Descendants]])),Tasks[[#This Row],[_LeafTotalSlack]]))</f>
        <v/>
      </c>
      <c r="AA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5" s="28" t="str">
        <f aca="false">IF(Tasks[[#This Row],[Task Name]]="","",IF(IF(Tasks[[#This Row],[_IsSummary]],COUNTIF(INDEX(Tasks[_LeafCritical],Tasks[[#This Row],[_Row]]+1):INDEX(Tasks[_LeafCritical],Tasks[[#This Row],[_Row]]+Tasks[[#This Row],[_Descendants]]),TRUE())&gt;0,Tasks[[#This Row],[_LeafCritical]]),"Yes",""))</f>
        <v/>
      </c>
      <c r="AC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5" s="24" t="str">
        <f aca="false">IF(Tasks[[#This Row],[Task Name]]="","",TRIM(IF(Tasks[[#This Row],[_Pred1Problem]]&lt;&gt;"","Pred 1: "&amp;Tasks[[#This Row],[_Pred1Problem]]&amp;". ","")&amp;IF(Tasks[[#This Row],[_Pred2Problem]]&lt;&gt;"","Pred 2: "&amp;Tasks[[#This Row],[_Pred2Problem]]&amp;".","")))</f>
        <v/>
      </c>
      <c r="AE75" s="91"/>
      <c r="AF7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5" s="28" t="str">
        <f aca="false">IF(Tasks[[#This Row],[Task Name]]="","",IF(Tasks[[#This Row],[Progress]]&gt;=1,"Complete",IF(OR(N(Tasks[[#This Row],[Actual Start]])&gt;0,Tasks[[#This Row],[Progress]]&gt;0),IF(Tasks[[#This Row],[Finish Var]]&gt;0,"Behind","In Progress"),IF(Tasks[[#This Row],[Planned Start]]&lt;StatusDate,"Late Start","Not Started"))))</f>
        <v/>
      </c>
      <c r="AH75" s="30"/>
      <c r="AI75" s="91"/>
      <c r="AJ7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5" s="98" t="str">
        <f aca="false">IF(Tasks[[#This Row],[Task Name]]="","",IF(Tasks[[#This Row],[_IsSummary]],SUM(INDEX(Tasks[_LeafWork],Tasks[[#This Row],[_Row]]+1):INDEX(Tasks[_LeafWork],Tasks[[#This Row],[_Row]]+Tasks[[#This Row],[_Descendants]])),Tasks[[#This Row],[_LeafWork]]))</f>
        <v/>
      </c>
      <c r="AL75" s="99" t="str">
        <f aca="false">IF(Tasks[[#This Row],[Task Name]]="","",IF(Tasks[[#This Row],[_IsSummary]],SUM(INDEX(Tasks[_LeafCost],Tasks[[#This Row],[_Row]]+1):INDEX(Tasks[_LeafCost],Tasks[[#This Row],[_Row]]+Tasks[[#This Row],[_Descendants]])),Tasks[[#This Row],[_LeafCost]]))</f>
        <v/>
      </c>
      <c r="AM75" s="100"/>
      <c r="AN75" s="29"/>
      <c r="AO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5" s="85"/>
      <c r="AQ75" s="24" t="str">
        <f aca="false">IF(Tasks[[#This Row],[Task Name]]="","",Tasks[[#This Row],[_Pred1IDText]]&amp;IF(AND(Tasks[[#This Row],[_Pred1IDText]]&lt;&gt;"",Tasks[[#This Row],[_Pred2IDText]]&lt;&gt;""),",","")&amp;Tasks[[#This Row],[_Pred2IDText]])</f>
        <v/>
      </c>
      <c r="AR75" s="30"/>
      <c r="AS75" s="25" t="str">
        <f aca="false">IF(Tasks[[#This Row],[Task Name]]="","",Tasks[[#This Row],[Forecast Start]])</f>
        <v/>
      </c>
      <c r="AT75" s="25" t="str">
        <f aca="false">IF(Tasks[[#This Row],[Task Name]]="","",Tasks[[#This Row],[Forecast Finish]])</f>
        <v/>
      </c>
      <c r="AU75" s="28" t="str">
        <f aca="false">IF(Tasks[[#This Row],[Task Name]]="","",IF(Tasks[[#This Row],[_IsSummary]],NETWORKDAYS.INTL(Tasks[[#This Row],[Forecast Start]],Tasks[[#This Row],[Forecast Finish]],WorkWeek,Holidays),N(Tasks[[#This Row],[Duration]])))</f>
        <v/>
      </c>
      <c r="AV75" s="98" t="str">
        <f aca="false">IF(Tasks[[#This Row],[Task Name]]="","",Tasks[[#This Row],[Work]])</f>
        <v/>
      </c>
      <c r="AW75" s="99" t="str">
        <f aca="false">IF(Tasks[[#This Row],[Task Name]]="","",Tasks[[#This Row],[Cost]])</f>
        <v/>
      </c>
      <c r="AX75" s="77"/>
      <c r="AY75" s="77"/>
      <c r="AZ75" s="29"/>
      <c r="BA75" s="101"/>
      <c r="BB75" s="100"/>
      <c r="BC75" s="28" t="str">
        <f aca="false">IF(OR(Tasks[[#This Row],[Task Name]]="",Tasks[[#This Row],[Baseline Duration]]=""),"",Tasks[[#This Row],[BL Source Duration]]-N(Tasks[[#This Row],[Baseline Duration]]))</f>
        <v/>
      </c>
      <c r="BD75" s="98" t="str">
        <f aca="false">IF(OR(Tasks[[#This Row],[Task Name]]="",Tasks[[#This Row],[Baseline Work]]=""),"",Tasks[[#This Row],[Work]]-N(Tasks[[#This Row],[Baseline Work]]))</f>
        <v/>
      </c>
      <c r="BE75" s="99" t="str">
        <f aca="false">IF(OR(Tasks[[#This Row],[Task Name]]="",Tasks[[#This Row],[Baseline Cost]]=""),"",Tasks[[#This Row],[Cost]]-N(Tasks[[#This Row],[Baseline Cost]]))</f>
        <v/>
      </c>
      <c r="BF75" s="99" t="str">
        <f aca="false">IF(Tasks[[#This Row],[Task Name]]="","",IF(Tasks[[#This Row],[_IsSummary]],SUM(INDEX(Tasks[_LeafBudget],Tasks[[#This Row],[_Row]]+1):INDEX(Tasks[_LeafBudget],Tasks[[#This Row],[_Row]]+Tasks[[#This Row],[_Descendants]])),Tasks[[#This Row],[_LeafBudget]]))</f>
        <v/>
      </c>
      <c r="BG75" s="99" t="str">
        <f aca="false">IF(Tasks[[#This Row],[Task Name]]="","",IF(Tasks[[#This Row],[_IsSummary]],SUM(INDEX(Tasks[_LeafPV],Tasks[[#This Row],[_Row]]+1):INDEX(Tasks[_LeafPV],Tasks[[#This Row],[_Row]]+Tasks[[#This Row],[_Descendants]])),Tasks[[#This Row],[_LeafPV]]))</f>
        <v/>
      </c>
      <c r="BH75" s="99" t="str">
        <f aca="false">IF(Tasks[[#This Row],[Task Name]]="","",IF(Tasks[[#This Row],[_IsSummary]],SUM(INDEX(Tasks[_LeafEV],Tasks[[#This Row],[_Row]]+1):INDEX(Tasks[_LeafEV],Tasks[[#This Row],[_Row]]+Tasks[[#This Row],[_Descendants]])),Tasks[[#This Row],[_LeafEV]]))</f>
        <v/>
      </c>
      <c r="BI75" s="99" t="str">
        <f aca="false">IF(Tasks[[#This Row],[Task Name]]="","",IF(Tasks[[#This Row],[_IsSummary]],SUM(INDEX(Tasks[_LeafAC],Tasks[[#This Row],[_Row]]+1):INDEX(Tasks[_LeafAC],Tasks[[#This Row],[_Row]]+Tasks[[#This Row],[_Descendants]])),Tasks[[#This Row],[_LeafAC]]))</f>
        <v/>
      </c>
      <c r="BJ75" s="41" t="str">
        <f aca="false">IF(Tasks[[#This Row],[Task Name]]="","",MAX(1,N(Tasks[[#This Row],[Level]])))</f>
        <v/>
      </c>
      <c r="BK75" s="41" t="n">
        <f aca="false">ROW()-ROW(Tasks[[#Headers],[ID]])</f>
        <v>70</v>
      </c>
      <c r="BL75" s="41" t="n">
        <f aca="false">IF(OR(Tasks[[#This Row],[Task Name]]="",Tasks[[#This Row],[_Level]]&lt;=1),0,IFERROR(LOOKUP(2,1/(Tasks[[#Headers],[_Level]]:Tasks[[#This Row],[_Level]]=Tasks[[#This Row],[_Level]]-1),ROW(Tasks[[#Headers],[_Level]]:Tasks[[#This Row],[_Level]])),0))</f>
        <v>0</v>
      </c>
      <c r="BM75" s="41" t="n">
        <f aca="false">IFERROR(N(INDEX(Tasks[_Level],Tasks[[#This Row],[_Row]]+1)),0)</f>
        <v>0</v>
      </c>
      <c r="BN75" s="102" t="b">
        <f aca="false">AND(Tasks[[#This Row],[Task Name]]&lt;&gt;"",Tasks[[#This Row],[_NextLevel]]&gt;Tasks[[#This Row],[_Level]])</f>
        <v>0</v>
      </c>
      <c r="BO75" s="41" t="n">
        <f aca="false">IF(Tasks[[#This Row],[_IsSummary]],COUNTIF(Tasks[WBS],Tasks[[#This Row],[WBS]]&amp;".*"),0)</f>
        <v>0</v>
      </c>
      <c r="BP75" s="41" t="n">
        <f aca="false">IF(AND(Tasks[[#This Row],[Task Name]]&lt;&gt;"",NOT(Tasks[[#This Row],[_IsSummary]])),1,0)</f>
        <v>0</v>
      </c>
      <c r="BQ75" s="41" t="n">
        <f aca="false">IF(N(Tasks[[#This Row],[Pred1 UID]])=0,0,IFERROR(MATCH(Tasks[[#This Row],[Pred1 UID]],Tasks[UID],0),-1))</f>
        <v>0</v>
      </c>
      <c r="BR75" s="41" t="n">
        <f aca="false">IF(N(Tasks[[#This Row],[Pred2 UID]])=0,0,IFERROR(MATCH(Tasks[[#This Row],[Pred2 UID]],Tasks[UID],0),-1))</f>
        <v>0</v>
      </c>
      <c r="BS7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5" s="103" t="str">
        <f aca="false">IF(NOT(Tasks[[#This Row],[_IsLeaf]]=1),"",IF(N(Tasks[[#This Row],[Duration]])&lt;=0,Tasks[[#This Row],[_LeafCalcStart]],WORKDAY.INTL(Tasks[[#This Row],[_LeafCalcStart]],Tasks[[#This Row],[Duration]]-1,WorkWeek,Holidays)))</f>
        <v/>
      </c>
      <c r="BU7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5" s="41" t="n">
        <f aca="false">IF(NOT(Tasks[[#This Row],[_IsLeaf]]=1),0,IF(N(Tasks[[#This Row],[Actual Finish]])&gt;0,1,MIN(1,N(Tasks[[#This Row],[% Complete]]))))</f>
        <v>0</v>
      </c>
      <c r="BX75" s="41" t="n">
        <f aca="false">IF(OR(NOT(Tasks[[#This Row],[_IsLeaf]]=1),Tasks[[#This Row],[Resource]]=""),0,N(Tasks[[#This Row],[Duration]])*HoursPerDay*IF(Tasks[[#This Row],[Units]]="",DefaultUnits,Tasks[[#This Row],[Units]]))</f>
        <v>0</v>
      </c>
      <c r="BY75" s="41" t="n">
        <f aca="false">IF(Tasks[[#This Row],[_LeafWork]]=0,0,Tasks[[#This Row],[_LeafWork]]*IFERROR(INDEX(res_Rate,MATCH(Tasks[[#This Row],[Resource]],res_Name,0)),0))</f>
        <v>0</v>
      </c>
      <c r="BZ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5" s="41" t="n">
        <f aca="false">IF(NOT(Tasks[[#This Row],[_IsLeaf]]=1),0,MAX(_xlfn.MAXIFS(Tasks[_Row],Tasks[Pred1 UID],Tasks[[#This Row],[UID]]),_xlfn.MAXIFS(Tasks[_Row],Tasks[Pred2 UID],Tasks[[#This Row],[UID]])))</f>
        <v>0</v>
      </c>
      <c r="CE7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5" s="103" t="str">
        <f aca="false">IF(NOT(Tasks[[#This Row],[_IsLeaf]]=1),"",MIN(ProjectFinish,IF(N(Tasks[[#This Row],[Deadline]])&gt;0,Tasks[[#This Row],[Deadline]],2958465),Tasks[[#This Row],[_SuccessorFinishLimit]]))</f>
        <v/>
      </c>
      <c r="CG75" s="103" t="str">
        <f aca="false">IF(NOT(Tasks[[#This Row],[_IsLeaf]]=1),"",IF(N(Tasks[[#This Row],[Duration]])&lt;=0,Tasks[[#This Row],[_LeafLateFinish]],WORKDAY.INTL(Tasks[[#This Row],[_LeafLateFinish]],-(Tasks[[#This Row],[Duration]]-1),WorkWeek,Holidays)))</f>
        <v/>
      </c>
      <c r="CH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5" s="102" t="b">
        <f aca="false">AND(Tasks[[#This Row],[_IsLeaf]]=1,Tasks[[#This Row],[_LeafProgress]]&lt;1,N(Tasks[[#This Row],[_LeafTotalSlack]])&lt;=CriticalSlackDays)</f>
        <v>0</v>
      </c>
      <c r="CJ75" s="103" t="str">
        <f aca="false">IF(Tasks[[#This Row],[Task Name]]="","",IF(Tasks[[#This Row],[_IsSummary]],MIN(INDEX(Tasks[_LeafCalcStart],Tasks[[#This Row],[_Row]]+1):INDEX(Tasks[_LeafCalcStart],Tasks[[#This Row],[_Row]]+Tasks[[#This Row],[_Descendants]])),Tasks[[#This Row],[_LeafCalcStart]]))</f>
        <v/>
      </c>
      <c r="CK75" s="103" t="str">
        <f aca="false">IF(Tasks[[#This Row],[Task Name]]="","",IF(Tasks[[#This Row],[_IsSummary]],MAX(INDEX(Tasks[_LeafCalcFinish],Tasks[[#This Row],[_Row]]+1):INDEX(Tasks[_LeafCalcFinish],Tasks[[#This Row],[_Row]]+Tasks[[#This Row],[_Descendants]])),Tasks[[#This Row],[_LeafCalcFinish]]))</f>
        <v/>
      </c>
      <c r="CL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5" s="41" t="n">
        <f aca="false">IF(AND(Tasks[[#This Row],[_IsLeaf]]=1,Tasks[[#This Row],[_LeafWork]]&gt;0),NETWORKDAYS.INTL(ProjectStart,Tasks[[#This Row],[_LeafFcstStart]],WorkWeek,Holidays),0)</f>
        <v>0</v>
      </c>
      <c r="CS75" s="41" t="n">
        <f aca="false">IF(AND(Tasks[[#This Row],[_IsLeaf]]=1,Tasks[[#This Row],[_LeafWork]]&gt;0),MAX(Tasks[[#This Row],[_StartWorkday]],NETWORKDAYS.INTL(ProjectStart,Tasks[[#This Row],[_LeafFcstFinish]],WorkWeek,Holidays)),0)</f>
        <v>0</v>
      </c>
      <c r="CT75" s="41" t="n">
        <f aca="false">IF(AND(Tasks[[#This Row],[_IsLeaf]]=1,Tasks[[#This Row],[_LeafWork]]&gt;0),Tasks[[#This Row],[_LeafWork]]/(Tasks[[#This Row],[_FinishWorkday]]-Tasks[[#This Row],[_StartWorkday]]+1),0)</f>
        <v>0</v>
      </c>
      <c r="CU75" s="41" t="n">
        <f aca="false">Tasks[[#This Row],[_WorkPerWorkday]]*(Tasks[[#This Row],[_StartWorkday]]-1)</f>
        <v>-0</v>
      </c>
      <c r="CV75" s="41" t="n">
        <f aca="false">IF(Tasks[[#This Row],[_IsLeaf]]=1,MAX(N(Tasks[[#This Row],[Duration]]),0.1),0)</f>
        <v>0</v>
      </c>
      <c r="CW75" s="41" t="n">
        <f aca="false">Tasks[[#This Row],[_WeightDur]]*Tasks[[#This Row],[_LeafProgress]]</f>
        <v>0</v>
      </c>
      <c r="CX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5" s="41" t="str">
        <f aca="false">IF(Tasks[[#This Row],[Task Name]]="","",Tasks[[#This Row],[_Pred1UIDText]]&amp;IF(AND(Tasks[[#This Row],[_Pred1UIDText]]&lt;&gt;"",Tasks[[#This Row],[_Pred2UIDText]]&lt;&gt;""),",","")&amp;Tasks[[#This Row],[_Pred2UIDText]])</f>
        <v/>
      </c>
      <c r="DC75" s="41" t="str">
        <f aca="false">IF(AND(Tasks[[#This Row],[_IsLeaf]]=1,N(Tasks[[#This Row],[Duration]])=0,Tasks[[#This Row],[_LeafProgress]]&lt;1),Tasks[[#This Row],[_LeafFcstFinish]]+Tasks[[#This Row],[_Row]]/100000,"")</f>
        <v/>
      </c>
      <c r="DD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5" s="41" t="n">
        <f aca="false">IF(NOT(Tasks[[#This Row],[_IsLeaf]]=1),0,IF(Tasks[[#This Row],[Baseline Cost]]="",Tasks[[#This Row],[_LeafCost]],N(Tasks[[#This Row],[Baseline Cost]])))</f>
        <v>0</v>
      </c>
      <c r="DF75" s="41" t="n">
        <f aca="false">Tasks[[#This Row],[_LeafBudget]]*Tasks[[#This Row],[_PlannedPct]]</f>
        <v>0</v>
      </c>
      <c r="DG75" s="41" t="n">
        <f aca="false">Tasks[[#This Row],[_LeafBudget]]*Tasks[[#This Row],[_LeafProgress]]</f>
        <v>0</v>
      </c>
      <c r="DH75" s="41" t="n">
        <f aca="false">IF(NOT(Tasks[[#This Row],[_IsLeaf]]=1),0,IF(Tasks[[#This Row],[Actual Cost]]="",Tasks[[#This Row],[_LeafCost]]*Tasks[[#This Row],[_LeafProgress]],N(Tasks[[#This Row],[Actual Cost]])))</f>
        <v>0</v>
      </c>
      <c r="DI75" s="41" t="str">
        <f aca="false">IF(Tasks[[#This Row],[Task Name]]="","",LEFT(Tasks[[#This Row],[WBS]],FIND(".",Tasks[[#This Row],[WBS]]&amp;".")-1))</f>
        <v/>
      </c>
      <c r="DJ75" s="41" t="str">
        <f aca="false">IF(AND(Tasks[[#This Row],[Task Name]]&lt;&gt;"",Tasks[[#This Row],[_Level]]=1),Tasks[[#This Row],[_Row]],"")</f>
        <v/>
      </c>
      <c r="DK75" s="41" t="str">
        <f aca="false">IF(AND(Tasks[[#This Row],[_IsLeaf]]=1,N(Tasks[[#This Row],[Duration]])=0),Tasks[[#This Row],[Planned Finish]]+Tasks[[#This Row],[_Row]]/100000,"")</f>
        <v/>
      </c>
      <c r="DL75" s="41" t="str">
        <f aca="false">IF(AND(Tasks[[#This Row],[_IsLeaf]]=1,Tasks[[#This Row],[_LeafProgress]]&lt;1,OR(N(Tasks[[#This Row],[Finish Var]])&gt;0,Tasks[[#This Row],[Status]]="Late Start")),MAX(0,Tasks[[#This Row],[Finish Var]])+1-Tasks[[#This Row],[_Row]]/1000000,"")</f>
        <v/>
      </c>
      <c r="DM75" s="41" t="str">
        <f aca="false">IF(AND(Tasks[[#This Row],[_IsLeaf]]=1,N(Tasks[[#This Row],[Actual Start]])=0,Tasks[[#This Row],[_LeafFcstStart]]&gt;=StatusDate,Tasks[[#This Row],[_LeafFcstStart]]&lt;=LookaheadEnd),Tasks[[#This Row],[_LeafFcstStart]]+Tasks[[#This Row],[_Row]]/100000,"")</f>
        <v/>
      </c>
      <c r="DN75" s="41" t="str">
        <f aca="false">IF(AND(Tasks[[#This Row],[_IsLeaf]]=1,Tasks[[#This Row],[_LeafProgress]]&lt;1,Tasks[[#This Row],[_LeafFcstFinish]]&gt;=StatusDate,Tasks[[#This Row],[_LeafFcstFinish]]&lt;=LookaheadEnd),Tasks[[#This Row],[_LeafFcstFinish]]+Tasks[[#This Row],[_Row]]/100000,"")</f>
        <v/>
      </c>
      <c r="DO75" s="41" t="str">
        <f aca="false">IF(Tasks[[#This Row],[_LeafCritical]],Tasks[[#This Row],[_LeafFcstStart]]+Tasks[[#This Row],[_Row]]/100000,"")</f>
        <v/>
      </c>
      <c r="DP75" s="41" t="n">
        <f aca="false">Tasks[[#This Row],[_LeafWork]]*Tasks[[#This Row],[_LeafProgress]]</f>
        <v>0</v>
      </c>
      <c r="DQ75" s="103" t="str">
        <f aca="false">IF(AND(Tasks[[#This Row],[_IsLeaf]]=1,Tasks[[#This Row],[_LeafProgress]]&gt;=1),IF(N(Tasks[[#This Row],[Actual Finish]])&gt;0,Tasks[[#This Row],[Actual Finish]],Tasks[[#This Row],[_LeafFcstFinish]]),"")</f>
        <v/>
      </c>
      <c r="DR75" s="41" t="n">
        <f aca="false">IF(Tasks[[#This Row],[_IsLeaf]]=1,N(Tasks[[#This Row],[Story Points]]),0)</f>
        <v>0</v>
      </c>
      <c r="DS75" s="41" t="str">
        <f aca="false">IF(AND(Tasks[[#This Row],[_IsLeaf]]=1,CurrentSprint&lt;&gt;"",Tasks[[#This Row],[Sprint]]=CurrentSprint),Tasks[[#This Row],[_Row]],"")</f>
        <v/>
      </c>
    </row>
    <row r="76" customFormat="false" ht="15" hidden="false" customHeight="false" outlineLevel="0" collapsed="false">
      <c r="A76" s="28" t="str">
        <f aca="false">IF(Tasks[[#This Row],[Task Name]]="","",COUNTA(Tasks[[#Headers],[Task Name]]:Tasks[[#This Row],[Task Name]])-1)</f>
        <v/>
      </c>
      <c r="B76" s="29" t="n">
        <v>71</v>
      </c>
      <c r="C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29"/>
      <c r="E76" s="30"/>
      <c r="F76" s="29"/>
      <c r="G76" s="29"/>
      <c r="H76" s="29"/>
      <c r="I76" s="29"/>
      <c r="J76" s="29"/>
      <c r="K76" s="29"/>
      <c r="L76" s="29"/>
      <c r="M76" s="29"/>
      <c r="N76" s="77"/>
      <c r="O76" s="77"/>
      <c r="P76" s="25" t="str">
        <f aca="false">IF(Tasks[[#This Row],[Task Name]]="","",IF(N(Tasks[[#This Row],[Baseline Start]])&gt;0,Tasks[[#This Row],[Baseline Start]],Tasks[[#This Row],[_CalcStart]]))</f>
        <v/>
      </c>
      <c r="Q76" s="25" t="str">
        <f aca="false">IF(Tasks[[#This Row],[Task Name]]="","",IF(N(Tasks[[#This Row],[Baseline Finish]])&gt;0,Tasks[[#This Row],[Baseline Finish]],Tasks[[#This Row],[_CalcFinish]]))</f>
        <v/>
      </c>
      <c r="R76" s="77"/>
      <c r="S76" s="77"/>
      <c r="T76" s="25" t="str">
        <f aca="false">IF(Tasks[[#This Row],[Task Name]]="","",IF(Tasks[[#This Row],[_IsSummary]],MIN(INDEX(Tasks[_LeafFcstStart],Tasks[[#This Row],[_Row]]+1):INDEX(Tasks[_LeafFcstStart],Tasks[[#This Row],[_Row]]+Tasks[[#This Row],[_Descendants]])),Tasks[[#This Row],[_LeafFcstStart]]))</f>
        <v/>
      </c>
      <c r="U76" s="25" t="str">
        <f aca="false">IF(Tasks[[#This Row],[Task Name]]="","",IF(Tasks[[#This Row],[_IsSummary]],MAX(INDEX(Tasks[_LeafFcstFinish],Tasks[[#This Row],[_Row]]+1):INDEX(Tasks[_LeafFcstFinish],Tasks[[#This Row],[_Row]]+Tasks[[#This Row],[_Descendants]])),Tasks[[#This Row],[_LeafFcstFinish]]))</f>
        <v/>
      </c>
      <c r="V7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6" s="25" t="str">
        <f aca="false">IF(Tasks[[#This Row],[Task Name]]="","",IF(Tasks[[#This Row],[_IsSummary]],MIN(INDEX(Tasks[_LeafLateStart],Tasks[[#This Row],[_Row]]+1):INDEX(Tasks[_LeafLateStart],Tasks[[#This Row],[_Row]]+Tasks[[#This Row],[_Descendants]])),Tasks[[#This Row],[_LeafLateStart]]))</f>
        <v/>
      </c>
      <c r="Y76" s="25" t="str">
        <f aca="false">IF(Tasks[[#This Row],[Task Name]]="","",IF(Tasks[[#This Row],[_IsSummary]],MAX(INDEX(Tasks[_LeafLateFinish],Tasks[[#This Row],[_Row]]+1):INDEX(Tasks[_LeafLateFinish],Tasks[[#This Row],[_Row]]+Tasks[[#This Row],[_Descendants]])),Tasks[[#This Row],[_LeafLateFinish]]))</f>
        <v/>
      </c>
      <c r="Z76" s="43" t="str">
        <f aca="false">IF(Tasks[[#This Row],[Task Name]]="","",IF(Tasks[[#This Row],[_IsSummary]],MIN(INDEX(Tasks[_LeafTotalSlack],Tasks[[#This Row],[_Row]]+1):INDEX(Tasks[_LeafTotalSlack],Tasks[[#This Row],[_Row]]+Tasks[[#This Row],[_Descendants]])),Tasks[[#This Row],[_LeafTotalSlack]]))</f>
        <v/>
      </c>
      <c r="AA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6" s="28" t="str">
        <f aca="false">IF(Tasks[[#This Row],[Task Name]]="","",IF(IF(Tasks[[#This Row],[_IsSummary]],COUNTIF(INDEX(Tasks[_LeafCritical],Tasks[[#This Row],[_Row]]+1):INDEX(Tasks[_LeafCritical],Tasks[[#This Row],[_Row]]+Tasks[[#This Row],[_Descendants]]),TRUE())&gt;0,Tasks[[#This Row],[_LeafCritical]]),"Yes",""))</f>
        <v/>
      </c>
      <c r="AC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6" s="24" t="str">
        <f aca="false">IF(Tasks[[#This Row],[Task Name]]="","",TRIM(IF(Tasks[[#This Row],[_Pred1Problem]]&lt;&gt;"","Pred 1: "&amp;Tasks[[#This Row],[_Pred1Problem]]&amp;". ","")&amp;IF(Tasks[[#This Row],[_Pred2Problem]]&lt;&gt;"","Pred 2: "&amp;Tasks[[#This Row],[_Pred2Problem]]&amp;".","")))</f>
        <v/>
      </c>
      <c r="AE76" s="91"/>
      <c r="AF7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6" s="28" t="str">
        <f aca="false">IF(Tasks[[#This Row],[Task Name]]="","",IF(Tasks[[#This Row],[Progress]]&gt;=1,"Complete",IF(OR(N(Tasks[[#This Row],[Actual Start]])&gt;0,Tasks[[#This Row],[Progress]]&gt;0),IF(Tasks[[#This Row],[Finish Var]]&gt;0,"Behind","In Progress"),IF(Tasks[[#This Row],[Planned Start]]&lt;StatusDate,"Late Start","Not Started"))))</f>
        <v/>
      </c>
      <c r="AH76" s="30"/>
      <c r="AI76" s="91"/>
      <c r="AJ7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6" s="98" t="str">
        <f aca="false">IF(Tasks[[#This Row],[Task Name]]="","",IF(Tasks[[#This Row],[_IsSummary]],SUM(INDEX(Tasks[_LeafWork],Tasks[[#This Row],[_Row]]+1):INDEX(Tasks[_LeafWork],Tasks[[#This Row],[_Row]]+Tasks[[#This Row],[_Descendants]])),Tasks[[#This Row],[_LeafWork]]))</f>
        <v/>
      </c>
      <c r="AL76" s="99" t="str">
        <f aca="false">IF(Tasks[[#This Row],[Task Name]]="","",IF(Tasks[[#This Row],[_IsSummary]],SUM(INDEX(Tasks[_LeafCost],Tasks[[#This Row],[_Row]]+1):INDEX(Tasks[_LeafCost],Tasks[[#This Row],[_Row]]+Tasks[[#This Row],[_Descendants]])),Tasks[[#This Row],[_LeafCost]]))</f>
        <v/>
      </c>
      <c r="AM76" s="100"/>
      <c r="AN76" s="29"/>
      <c r="AO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6" s="85"/>
      <c r="AQ76" s="24" t="str">
        <f aca="false">IF(Tasks[[#This Row],[Task Name]]="","",Tasks[[#This Row],[_Pred1IDText]]&amp;IF(AND(Tasks[[#This Row],[_Pred1IDText]]&lt;&gt;"",Tasks[[#This Row],[_Pred2IDText]]&lt;&gt;""),",","")&amp;Tasks[[#This Row],[_Pred2IDText]])</f>
        <v/>
      </c>
      <c r="AR76" s="30"/>
      <c r="AS76" s="25" t="str">
        <f aca="false">IF(Tasks[[#This Row],[Task Name]]="","",Tasks[[#This Row],[Forecast Start]])</f>
        <v/>
      </c>
      <c r="AT76" s="25" t="str">
        <f aca="false">IF(Tasks[[#This Row],[Task Name]]="","",Tasks[[#This Row],[Forecast Finish]])</f>
        <v/>
      </c>
      <c r="AU76" s="28" t="str">
        <f aca="false">IF(Tasks[[#This Row],[Task Name]]="","",IF(Tasks[[#This Row],[_IsSummary]],NETWORKDAYS.INTL(Tasks[[#This Row],[Forecast Start]],Tasks[[#This Row],[Forecast Finish]],WorkWeek,Holidays),N(Tasks[[#This Row],[Duration]])))</f>
        <v/>
      </c>
      <c r="AV76" s="98" t="str">
        <f aca="false">IF(Tasks[[#This Row],[Task Name]]="","",Tasks[[#This Row],[Work]])</f>
        <v/>
      </c>
      <c r="AW76" s="99" t="str">
        <f aca="false">IF(Tasks[[#This Row],[Task Name]]="","",Tasks[[#This Row],[Cost]])</f>
        <v/>
      </c>
      <c r="AX76" s="77"/>
      <c r="AY76" s="77"/>
      <c r="AZ76" s="29"/>
      <c r="BA76" s="101"/>
      <c r="BB76" s="100"/>
      <c r="BC76" s="28" t="str">
        <f aca="false">IF(OR(Tasks[[#This Row],[Task Name]]="",Tasks[[#This Row],[Baseline Duration]]=""),"",Tasks[[#This Row],[BL Source Duration]]-N(Tasks[[#This Row],[Baseline Duration]]))</f>
        <v/>
      </c>
      <c r="BD76" s="98" t="str">
        <f aca="false">IF(OR(Tasks[[#This Row],[Task Name]]="",Tasks[[#This Row],[Baseline Work]]=""),"",Tasks[[#This Row],[Work]]-N(Tasks[[#This Row],[Baseline Work]]))</f>
        <v/>
      </c>
      <c r="BE76" s="99" t="str">
        <f aca="false">IF(OR(Tasks[[#This Row],[Task Name]]="",Tasks[[#This Row],[Baseline Cost]]=""),"",Tasks[[#This Row],[Cost]]-N(Tasks[[#This Row],[Baseline Cost]]))</f>
        <v/>
      </c>
      <c r="BF76" s="99" t="str">
        <f aca="false">IF(Tasks[[#This Row],[Task Name]]="","",IF(Tasks[[#This Row],[_IsSummary]],SUM(INDEX(Tasks[_LeafBudget],Tasks[[#This Row],[_Row]]+1):INDEX(Tasks[_LeafBudget],Tasks[[#This Row],[_Row]]+Tasks[[#This Row],[_Descendants]])),Tasks[[#This Row],[_LeafBudget]]))</f>
        <v/>
      </c>
      <c r="BG76" s="99" t="str">
        <f aca="false">IF(Tasks[[#This Row],[Task Name]]="","",IF(Tasks[[#This Row],[_IsSummary]],SUM(INDEX(Tasks[_LeafPV],Tasks[[#This Row],[_Row]]+1):INDEX(Tasks[_LeafPV],Tasks[[#This Row],[_Row]]+Tasks[[#This Row],[_Descendants]])),Tasks[[#This Row],[_LeafPV]]))</f>
        <v/>
      </c>
      <c r="BH76" s="99" t="str">
        <f aca="false">IF(Tasks[[#This Row],[Task Name]]="","",IF(Tasks[[#This Row],[_IsSummary]],SUM(INDEX(Tasks[_LeafEV],Tasks[[#This Row],[_Row]]+1):INDEX(Tasks[_LeafEV],Tasks[[#This Row],[_Row]]+Tasks[[#This Row],[_Descendants]])),Tasks[[#This Row],[_LeafEV]]))</f>
        <v/>
      </c>
      <c r="BI76" s="99" t="str">
        <f aca="false">IF(Tasks[[#This Row],[Task Name]]="","",IF(Tasks[[#This Row],[_IsSummary]],SUM(INDEX(Tasks[_LeafAC],Tasks[[#This Row],[_Row]]+1):INDEX(Tasks[_LeafAC],Tasks[[#This Row],[_Row]]+Tasks[[#This Row],[_Descendants]])),Tasks[[#This Row],[_LeafAC]]))</f>
        <v/>
      </c>
      <c r="BJ76" s="41" t="str">
        <f aca="false">IF(Tasks[[#This Row],[Task Name]]="","",MAX(1,N(Tasks[[#This Row],[Level]])))</f>
        <v/>
      </c>
      <c r="BK76" s="41" t="n">
        <f aca="false">ROW()-ROW(Tasks[[#Headers],[ID]])</f>
        <v>71</v>
      </c>
      <c r="BL76" s="41" t="n">
        <f aca="false">IF(OR(Tasks[[#This Row],[Task Name]]="",Tasks[[#This Row],[_Level]]&lt;=1),0,IFERROR(LOOKUP(2,1/(Tasks[[#Headers],[_Level]]:Tasks[[#This Row],[_Level]]=Tasks[[#This Row],[_Level]]-1),ROW(Tasks[[#Headers],[_Level]]:Tasks[[#This Row],[_Level]])),0))</f>
        <v>0</v>
      </c>
      <c r="BM76" s="41" t="n">
        <f aca="false">IFERROR(N(INDEX(Tasks[_Level],Tasks[[#This Row],[_Row]]+1)),0)</f>
        <v>0</v>
      </c>
      <c r="BN76" s="102" t="b">
        <f aca="false">AND(Tasks[[#This Row],[Task Name]]&lt;&gt;"",Tasks[[#This Row],[_NextLevel]]&gt;Tasks[[#This Row],[_Level]])</f>
        <v>0</v>
      </c>
      <c r="BO76" s="41" t="n">
        <f aca="false">IF(Tasks[[#This Row],[_IsSummary]],COUNTIF(Tasks[WBS],Tasks[[#This Row],[WBS]]&amp;".*"),0)</f>
        <v>0</v>
      </c>
      <c r="BP76" s="41" t="n">
        <f aca="false">IF(AND(Tasks[[#This Row],[Task Name]]&lt;&gt;"",NOT(Tasks[[#This Row],[_IsSummary]])),1,0)</f>
        <v>0</v>
      </c>
      <c r="BQ76" s="41" t="n">
        <f aca="false">IF(N(Tasks[[#This Row],[Pred1 UID]])=0,0,IFERROR(MATCH(Tasks[[#This Row],[Pred1 UID]],Tasks[UID],0),-1))</f>
        <v>0</v>
      </c>
      <c r="BR76" s="41" t="n">
        <f aca="false">IF(N(Tasks[[#This Row],[Pred2 UID]])=0,0,IFERROR(MATCH(Tasks[[#This Row],[Pred2 UID]],Tasks[UID],0),-1))</f>
        <v>0</v>
      </c>
      <c r="BS7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6" s="103" t="str">
        <f aca="false">IF(NOT(Tasks[[#This Row],[_IsLeaf]]=1),"",IF(N(Tasks[[#This Row],[Duration]])&lt;=0,Tasks[[#This Row],[_LeafCalcStart]],WORKDAY.INTL(Tasks[[#This Row],[_LeafCalcStart]],Tasks[[#This Row],[Duration]]-1,WorkWeek,Holidays)))</f>
        <v/>
      </c>
      <c r="BU7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6" s="41" t="n">
        <f aca="false">IF(NOT(Tasks[[#This Row],[_IsLeaf]]=1),0,IF(N(Tasks[[#This Row],[Actual Finish]])&gt;0,1,MIN(1,N(Tasks[[#This Row],[% Complete]]))))</f>
        <v>0</v>
      </c>
      <c r="BX76" s="41" t="n">
        <f aca="false">IF(OR(NOT(Tasks[[#This Row],[_IsLeaf]]=1),Tasks[[#This Row],[Resource]]=""),0,N(Tasks[[#This Row],[Duration]])*HoursPerDay*IF(Tasks[[#This Row],[Units]]="",DefaultUnits,Tasks[[#This Row],[Units]]))</f>
        <v>0</v>
      </c>
      <c r="BY76" s="41" t="n">
        <f aca="false">IF(Tasks[[#This Row],[_LeafWork]]=0,0,Tasks[[#This Row],[_LeafWork]]*IFERROR(INDEX(res_Rate,MATCH(Tasks[[#This Row],[Resource]],res_Name,0)),0))</f>
        <v>0</v>
      </c>
      <c r="BZ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6" s="41" t="n">
        <f aca="false">IF(NOT(Tasks[[#This Row],[_IsLeaf]]=1),0,MAX(_xlfn.MAXIFS(Tasks[_Row],Tasks[Pred1 UID],Tasks[[#This Row],[UID]]),_xlfn.MAXIFS(Tasks[_Row],Tasks[Pred2 UID],Tasks[[#This Row],[UID]])))</f>
        <v>0</v>
      </c>
      <c r="CE7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6" s="103" t="str">
        <f aca="false">IF(NOT(Tasks[[#This Row],[_IsLeaf]]=1),"",MIN(ProjectFinish,IF(N(Tasks[[#This Row],[Deadline]])&gt;0,Tasks[[#This Row],[Deadline]],2958465),Tasks[[#This Row],[_SuccessorFinishLimit]]))</f>
        <v/>
      </c>
      <c r="CG76" s="103" t="str">
        <f aca="false">IF(NOT(Tasks[[#This Row],[_IsLeaf]]=1),"",IF(N(Tasks[[#This Row],[Duration]])&lt;=0,Tasks[[#This Row],[_LeafLateFinish]],WORKDAY.INTL(Tasks[[#This Row],[_LeafLateFinish]],-(Tasks[[#This Row],[Duration]]-1),WorkWeek,Holidays)))</f>
        <v/>
      </c>
      <c r="CH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6" s="102" t="b">
        <f aca="false">AND(Tasks[[#This Row],[_IsLeaf]]=1,Tasks[[#This Row],[_LeafProgress]]&lt;1,N(Tasks[[#This Row],[_LeafTotalSlack]])&lt;=CriticalSlackDays)</f>
        <v>0</v>
      </c>
      <c r="CJ76" s="103" t="str">
        <f aca="false">IF(Tasks[[#This Row],[Task Name]]="","",IF(Tasks[[#This Row],[_IsSummary]],MIN(INDEX(Tasks[_LeafCalcStart],Tasks[[#This Row],[_Row]]+1):INDEX(Tasks[_LeafCalcStart],Tasks[[#This Row],[_Row]]+Tasks[[#This Row],[_Descendants]])),Tasks[[#This Row],[_LeafCalcStart]]))</f>
        <v/>
      </c>
      <c r="CK76" s="103" t="str">
        <f aca="false">IF(Tasks[[#This Row],[Task Name]]="","",IF(Tasks[[#This Row],[_IsSummary]],MAX(INDEX(Tasks[_LeafCalcFinish],Tasks[[#This Row],[_Row]]+1):INDEX(Tasks[_LeafCalcFinish],Tasks[[#This Row],[_Row]]+Tasks[[#This Row],[_Descendants]])),Tasks[[#This Row],[_LeafCalcFinish]]))</f>
        <v/>
      </c>
      <c r="CL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6" s="41" t="n">
        <f aca="false">IF(AND(Tasks[[#This Row],[_IsLeaf]]=1,Tasks[[#This Row],[_LeafWork]]&gt;0),NETWORKDAYS.INTL(ProjectStart,Tasks[[#This Row],[_LeafFcstStart]],WorkWeek,Holidays),0)</f>
        <v>0</v>
      </c>
      <c r="CS76" s="41" t="n">
        <f aca="false">IF(AND(Tasks[[#This Row],[_IsLeaf]]=1,Tasks[[#This Row],[_LeafWork]]&gt;0),MAX(Tasks[[#This Row],[_StartWorkday]],NETWORKDAYS.INTL(ProjectStart,Tasks[[#This Row],[_LeafFcstFinish]],WorkWeek,Holidays)),0)</f>
        <v>0</v>
      </c>
      <c r="CT76" s="41" t="n">
        <f aca="false">IF(AND(Tasks[[#This Row],[_IsLeaf]]=1,Tasks[[#This Row],[_LeafWork]]&gt;0),Tasks[[#This Row],[_LeafWork]]/(Tasks[[#This Row],[_FinishWorkday]]-Tasks[[#This Row],[_StartWorkday]]+1),0)</f>
        <v>0</v>
      </c>
      <c r="CU76" s="41" t="n">
        <f aca="false">Tasks[[#This Row],[_WorkPerWorkday]]*(Tasks[[#This Row],[_StartWorkday]]-1)</f>
        <v>-0</v>
      </c>
      <c r="CV76" s="41" t="n">
        <f aca="false">IF(Tasks[[#This Row],[_IsLeaf]]=1,MAX(N(Tasks[[#This Row],[Duration]]),0.1),0)</f>
        <v>0</v>
      </c>
      <c r="CW76" s="41" t="n">
        <f aca="false">Tasks[[#This Row],[_WeightDur]]*Tasks[[#This Row],[_LeafProgress]]</f>
        <v>0</v>
      </c>
      <c r="CX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6" s="41" t="str">
        <f aca="false">IF(Tasks[[#This Row],[Task Name]]="","",Tasks[[#This Row],[_Pred1UIDText]]&amp;IF(AND(Tasks[[#This Row],[_Pred1UIDText]]&lt;&gt;"",Tasks[[#This Row],[_Pred2UIDText]]&lt;&gt;""),",","")&amp;Tasks[[#This Row],[_Pred2UIDText]])</f>
        <v/>
      </c>
      <c r="DC76" s="41" t="str">
        <f aca="false">IF(AND(Tasks[[#This Row],[_IsLeaf]]=1,N(Tasks[[#This Row],[Duration]])=0,Tasks[[#This Row],[_LeafProgress]]&lt;1),Tasks[[#This Row],[_LeafFcstFinish]]+Tasks[[#This Row],[_Row]]/100000,"")</f>
        <v/>
      </c>
      <c r="DD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6" s="41" t="n">
        <f aca="false">IF(NOT(Tasks[[#This Row],[_IsLeaf]]=1),0,IF(Tasks[[#This Row],[Baseline Cost]]="",Tasks[[#This Row],[_LeafCost]],N(Tasks[[#This Row],[Baseline Cost]])))</f>
        <v>0</v>
      </c>
      <c r="DF76" s="41" t="n">
        <f aca="false">Tasks[[#This Row],[_LeafBudget]]*Tasks[[#This Row],[_PlannedPct]]</f>
        <v>0</v>
      </c>
      <c r="DG76" s="41" t="n">
        <f aca="false">Tasks[[#This Row],[_LeafBudget]]*Tasks[[#This Row],[_LeafProgress]]</f>
        <v>0</v>
      </c>
      <c r="DH76" s="41" t="n">
        <f aca="false">IF(NOT(Tasks[[#This Row],[_IsLeaf]]=1),0,IF(Tasks[[#This Row],[Actual Cost]]="",Tasks[[#This Row],[_LeafCost]]*Tasks[[#This Row],[_LeafProgress]],N(Tasks[[#This Row],[Actual Cost]])))</f>
        <v>0</v>
      </c>
      <c r="DI76" s="41" t="str">
        <f aca="false">IF(Tasks[[#This Row],[Task Name]]="","",LEFT(Tasks[[#This Row],[WBS]],FIND(".",Tasks[[#This Row],[WBS]]&amp;".")-1))</f>
        <v/>
      </c>
      <c r="DJ76" s="41" t="str">
        <f aca="false">IF(AND(Tasks[[#This Row],[Task Name]]&lt;&gt;"",Tasks[[#This Row],[_Level]]=1),Tasks[[#This Row],[_Row]],"")</f>
        <v/>
      </c>
      <c r="DK76" s="41" t="str">
        <f aca="false">IF(AND(Tasks[[#This Row],[_IsLeaf]]=1,N(Tasks[[#This Row],[Duration]])=0),Tasks[[#This Row],[Planned Finish]]+Tasks[[#This Row],[_Row]]/100000,"")</f>
        <v/>
      </c>
      <c r="DL76" s="41" t="str">
        <f aca="false">IF(AND(Tasks[[#This Row],[_IsLeaf]]=1,Tasks[[#This Row],[_LeafProgress]]&lt;1,OR(N(Tasks[[#This Row],[Finish Var]])&gt;0,Tasks[[#This Row],[Status]]="Late Start")),MAX(0,Tasks[[#This Row],[Finish Var]])+1-Tasks[[#This Row],[_Row]]/1000000,"")</f>
        <v/>
      </c>
      <c r="DM76" s="41" t="str">
        <f aca="false">IF(AND(Tasks[[#This Row],[_IsLeaf]]=1,N(Tasks[[#This Row],[Actual Start]])=0,Tasks[[#This Row],[_LeafFcstStart]]&gt;=StatusDate,Tasks[[#This Row],[_LeafFcstStart]]&lt;=LookaheadEnd),Tasks[[#This Row],[_LeafFcstStart]]+Tasks[[#This Row],[_Row]]/100000,"")</f>
        <v/>
      </c>
      <c r="DN76" s="41" t="str">
        <f aca="false">IF(AND(Tasks[[#This Row],[_IsLeaf]]=1,Tasks[[#This Row],[_LeafProgress]]&lt;1,Tasks[[#This Row],[_LeafFcstFinish]]&gt;=StatusDate,Tasks[[#This Row],[_LeafFcstFinish]]&lt;=LookaheadEnd),Tasks[[#This Row],[_LeafFcstFinish]]+Tasks[[#This Row],[_Row]]/100000,"")</f>
        <v/>
      </c>
      <c r="DO76" s="41" t="str">
        <f aca="false">IF(Tasks[[#This Row],[_LeafCritical]],Tasks[[#This Row],[_LeafFcstStart]]+Tasks[[#This Row],[_Row]]/100000,"")</f>
        <v/>
      </c>
      <c r="DP76" s="41" t="n">
        <f aca="false">Tasks[[#This Row],[_LeafWork]]*Tasks[[#This Row],[_LeafProgress]]</f>
        <v>0</v>
      </c>
      <c r="DQ76" s="103" t="str">
        <f aca="false">IF(AND(Tasks[[#This Row],[_IsLeaf]]=1,Tasks[[#This Row],[_LeafProgress]]&gt;=1),IF(N(Tasks[[#This Row],[Actual Finish]])&gt;0,Tasks[[#This Row],[Actual Finish]],Tasks[[#This Row],[_LeafFcstFinish]]),"")</f>
        <v/>
      </c>
      <c r="DR76" s="41" t="n">
        <f aca="false">IF(Tasks[[#This Row],[_IsLeaf]]=1,N(Tasks[[#This Row],[Story Points]]),0)</f>
        <v>0</v>
      </c>
      <c r="DS76" s="41" t="str">
        <f aca="false">IF(AND(Tasks[[#This Row],[_IsLeaf]]=1,CurrentSprint&lt;&gt;"",Tasks[[#This Row],[Sprint]]=CurrentSprint),Tasks[[#This Row],[_Row]],"")</f>
        <v/>
      </c>
    </row>
    <row r="77" customFormat="false" ht="15" hidden="false" customHeight="false" outlineLevel="0" collapsed="false">
      <c r="A77" s="28" t="str">
        <f aca="false">IF(Tasks[[#This Row],[Task Name]]="","",COUNTA(Tasks[[#Headers],[Task Name]]:Tasks[[#This Row],[Task Name]])-1)</f>
        <v/>
      </c>
      <c r="B77" s="29" t="n">
        <v>72</v>
      </c>
      <c r="C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29"/>
      <c r="E77" s="30"/>
      <c r="F77" s="29"/>
      <c r="G77" s="29"/>
      <c r="H77" s="29"/>
      <c r="I77" s="29"/>
      <c r="J77" s="29"/>
      <c r="K77" s="29"/>
      <c r="L77" s="29"/>
      <c r="M77" s="29"/>
      <c r="N77" s="77"/>
      <c r="O77" s="77"/>
      <c r="P77" s="25" t="str">
        <f aca="false">IF(Tasks[[#This Row],[Task Name]]="","",IF(N(Tasks[[#This Row],[Baseline Start]])&gt;0,Tasks[[#This Row],[Baseline Start]],Tasks[[#This Row],[_CalcStart]]))</f>
        <v/>
      </c>
      <c r="Q77" s="25" t="str">
        <f aca="false">IF(Tasks[[#This Row],[Task Name]]="","",IF(N(Tasks[[#This Row],[Baseline Finish]])&gt;0,Tasks[[#This Row],[Baseline Finish]],Tasks[[#This Row],[_CalcFinish]]))</f>
        <v/>
      </c>
      <c r="R77" s="77"/>
      <c r="S77" s="77"/>
      <c r="T77" s="25" t="str">
        <f aca="false">IF(Tasks[[#This Row],[Task Name]]="","",IF(Tasks[[#This Row],[_IsSummary]],MIN(INDEX(Tasks[_LeafFcstStart],Tasks[[#This Row],[_Row]]+1):INDEX(Tasks[_LeafFcstStart],Tasks[[#This Row],[_Row]]+Tasks[[#This Row],[_Descendants]])),Tasks[[#This Row],[_LeafFcstStart]]))</f>
        <v/>
      </c>
      <c r="U77" s="25" t="str">
        <f aca="false">IF(Tasks[[#This Row],[Task Name]]="","",IF(Tasks[[#This Row],[_IsSummary]],MAX(INDEX(Tasks[_LeafFcstFinish],Tasks[[#This Row],[_Row]]+1):INDEX(Tasks[_LeafFcstFinish],Tasks[[#This Row],[_Row]]+Tasks[[#This Row],[_Descendants]])),Tasks[[#This Row],[_LeafFcstFinish]]))</f>
        <v/>
      </c>
      <c r="V7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7" s="25" t="str">
        <f aca="false">IF(Tasks[[#This Row],[Task Name]]="","",IF(Tasks[[#This Row],[_IsSummary]],MIN(INDEX(Tasks[_LeafLateStart],Tasks[[#This Row],[_Row]]+1):INDEX(Tasks[_LeafLateStart],Tasks[[#This Row],[_Row]]+Tasks[[#This Row],[_Descendants]])),Tasks[[#This Row],[_LeafLateStart]]))</f>
        <v/>
      </c>
      <c r="Y77" s="25" t="str">
        <f aca="false">IF(Tasks[[#This Row],[Task Name]]="","",IF(Tasks[[#This Row],[_IsSummary]],MAX(INDEX(Tasks[_LeafLateFinish],Tasks[[#This Row],[_Row]]+1):INDEX(Tasks[_LeafLateFinish],Tasks[[#This Row],[_Row]]+Tasks[[#This Row],[_Descendants]])),Tasks[[#This Row],[_LeafLateFinish]]))</f>
        <v/>
      </c>
      <c r="Z77" s="43" t="str">
        <f aca="false">IF(Tasks[[#This Row],[Task Name]]="","",IF(Tasks[[#This Row],[_IsSummary]],MIN(INDEX(Tasks[_LeafTotalSlack],Tasks[[#This Row],[_Row]]+1):INDEX(Tasks[_LeafTotalSlack],Tasks[[#This Row],[_Row]]+Tasks[[#This Row],[_Descendants]])),Tasks[[#This Row],[_LeafTotalSlack]]))</f>
        <v/>
      </c>
      <c r="AA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7" s="28" t="str">
        <f aca="false">IF(Tasks[[#This Row],[Task Name]]="","",IF(IF(Tasks[[#This Row],[_IsSummary]],COUNTIF(INDEX(Tasks[_LeafCritical],Tasks[[#This Row],[_Row]]+1):INDEX(Tasks[_LeafCritical],Tasks[[#This Row],[_Row]]+Tasks[[#This Row],[_Descendants]]),TRUE())&gt;0,Tasks[[#This Row],[_LeafCritical]]),"Yes",""))</f>
        <v/>
      </c>
      <c r="AC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7" s="24" t="str">
        <f aca="false">IF(Tasks[[#This Row],[Task Name]]="","",TRIM(IF(Tasks[[#This Row],[_Pred1Problem]]&lt;&gt;"","Pred 1: "&amp;Tasks[[#This Row],[_Pred1Problem]]&amp;". ","")&amp;IF(Tasks[[#This Row],[_Pred2Problem]]&lt;&gt;"","Pred 2: "&amp;Tasks[[#This Row],[_Pred2Problem]]&amp;".","")))</f>
        <v/>
      </c>
      <c r="AE77" s="91"/>
      <c r="AF7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7" s="28" t="str">
        <f aca="false">IF(Tasks[[#This Row],[Task Name]]="","",IF(Tasks[[#This Row],[Progress]]&gt;=1,"Complete",IF(OR(N(Tasks[[#This Row],[Actual Start]])&gt;0,Tasks[[#This Row],[Progress]]&gt;0),IF(Tasks[[#This Row],[Finish Var]]&gt;0,"Behind","In Progress"),IF(Tasks[[#This Row],[Planned Start]]&lt;StatusDate,"Late Start","Not Started"))))</f>
        <v/>
      </c>
      <c r="AH77" s="30"/>
      <c r="AI77" s="91"/>
      <c r="AJ7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7" s="98" t="str">
        <f aca="false">IF(Tasks[[#This Row],[Task Name]]="","",IF(Tasks[[#This Row],[_IsSummary]],SUM(INDEX(Tasks[_LeafWork],Tasks[[#This Row],[_Row]]+1):INDEX(Tasks[_LeafWork],Tasks[[#This Row],[_Row]]+Tasks[[#This Row],[_Descendants]])),Tasks[[#This Row],[_LeafWork]]))</f>
        <v/>
      </c>
      <c r="AL77" s="99" t="str">
        <f aca="false">IF(Tasks[[#This Row],[Task Name]]="","",IF(Tasks[[#This Row],[_IsSummary]],SUM(INDEX(Tasks[_LeafCost],Tasks[[#This Row],[_Row]]+1):INDEX(Tasks[_LeafCost],Tasks[[#This Row],[_Row]]+Tasks[[#This Row],[_Descendants]])),Tasks[[#This Row],[_LeafCost]]))</f>
        <v/>
      </c>
      <c r="AM77" s="100"/>
      <c r="AN77" s="29"/>
      <c r="AO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7" s="85"/>
      <c r="AQ77" s="24" t="str">
        <f aca="false">IF(Tasks[[#This Row],[Task Name]]="","",Tasks[[#This Row],[_Pred1IDText]]&amp;IF(AND(Tasks[[#This Row],[_Pred1IDText]]&lt;&gt;"",Tasks[[#This Row],[_Pred2IDText]]&lt;&gt;""),",","")&amp;Tasks[[#This Row],[_Pred2IDText]])</f>
        <v/>
      </c>
      <c r="AR77" s="30"/>
      <c r="AS77" s="25" t="str">
        <f aca="false">IF(Tasks[[#This Row],[Task Name]]="","",Tasks[[#This Row],[Forecast Start]])</f>
        <v/>
      </c>
      <c r="AT77" s="25" t="str">
        <f aca="false">IF(Tasks[[#This Row],[Task Name]]="","",Tasks[[#This Row],[Forecast Finish]])</f>
        <v/>
      </c>
      <c r="AU77" s="28" t="str">
        <f aca="false">IF(Tasks[[#This Row],[Task Name]]="","",IF(Tasks[[#This Row],[_IsSummary]],NETWORKDAYS.INTL(Tasks[[#This Row],[Forecast Start]],Tasks[[#This Row],[Forecast Finish]],WorkWeek,Holidays),N(Tasks[[#This Row],[Duration]])))</f>
        <v/>
      </c>
      <c r="AV77" s="98" t="str">
        <f aca="false">IF(Tasks[[#This Row],[Task Name]]="","",Tasks[[#This Row],[Work]])</f>
        <v/>
      </c>
      <c r="AW77" s="99" t="str">
        <f aca="false">IF(Tasks[[#This Row],[Task Name]]="","",Tasks[[#This Row],[Cost]])</f>
        <v/>
      </c>
      <c r="AX77" s="77"/>
      <c r="AY77" s="77"/>
      <c r="AZ77" s="29"/>
      <c r="BA77" s="101"/>
      <c r="BB77" s="100"/>
      <c r="BC77" s="28" t="str">
        <f aca="false">IF(OR(Tasks[[#This Row],[Task Name]]="",Tasks[[#This Row],[Baseline Duration]]=""),"",Tasks[[#This Row],[BL Source Duration]]-N(Tasks[[#This Row],[Baseline Duration]]))</f>
        <v/>
      </c>
      <c r="BD77" s="98" t="str">
        <f aca="false">IF(OR(Tasks[[#This Row],[Task Name]]="",Tasks[[#This Row],[Baseline Work]]=""),"",Tasks[[#This Row],[Work]]-N(Tasks[[#This Row],[Baseline Work]]))</f>
        <v/>
      </c>
      <c r="BE77" s="99" t="str">
        <f aca="false">IF(OR(Tasks[[#This Row],[Task Name]]="",Tasks[[#This Row],[Baseline Cost]]=""),"",Tasks[[#This Row],[Cost]]-N(Tasks[[#This Row],[Baseline Cost]]))</f>
        <v/>
      </c>
      <c r="BF77" s="99" t="str">
        <f aca="false">IF(Tasks[[#This Row],[Task Name]]="","",IF(Tasks[[#This Row],[_IsSummary]],SUM(INDEX(Tasks[_LeafBudget],Tasks[[#This Row],[_Row]]+1):INDEX(Tasks[_LeafBudget],Tasks[[#This Row],[_Row]]+Tasks[[#This Row],[_Descendants]])),Tasks[[#This Row],[_LeafBudget]]))</f>
        <v/>
      </c>
      <c r="BG77" s="99" t="str">
        <f aca="false">IF(Tasks[[#This Row],[Task Name]]="","",IF(Tasks[[#This Row],[_IsSummary]],SUM(INDEX(Tasks[_LeafPV],Tasks[[#This Row],[_Row]]+1):INDEX(Tasks[_LeafPV],Tasks[[#This Row],[_Row]]+Tasks[[#This Row],[_Descendants]])),Tasks[[#This Row],[_LeafPV]]))</f>
        <v/>
      </c>
      <c r="BH77" s="99" t="str">
        <f aca="false">IF(Tasks[[#This Row],[Task Name]]="","",IF(Tasks[[#This Row],[_IsSummary]],SUM(INDEX(Tasks[_LeafEV],Tasks[[#This Row],[_Row]]+1):INDEX(Tasks[_LeafEV],Tasks[[#This Row],[_Row]]+Tasks[[#This Row],[_Descendants]])),Tasks[[#This Row],[_LeafEV]]))</f>
        <v/>
      </c>
      <c r="BI77" s="99" t="str">
        <f aca="false">IF(Tasks[[#This Row],[Task Name]]="","",IF(Tasks[[#This Row],[_IsSummary]],SUM(INDEX(Tasks[_LeafAC],Tasks[[#This Row],[_Row]]+1):INDEX(Tasks[_LeafAC],Tasks[[#This Row],[_Row]]+Tasks[[#This Row],[_Descendants]])),Tasks[[#This Row],[_LeafAC]]))</f>
        <v/>
      </c>
      <c r="BJ77" s="41" t="str">
        <f aca="false">IF(Tasks[[#This Row],[Task Name]]="","",MAX(1,N(Tasks[[#This Row],[Level]])))</f>
        <v/>
      </c>
      <c r="BK77" s="41" t="n">
        <f aca="false">ROW()-ROW(Tasks[[#Headers],[ID]])</f>
        <v>72</v>
      </c>
      <c r="BL77" s="41" t="n">
        <f aca="false">IF(OR(Tasks[[#This Row],[Task Name]]="",Tasks[[#This Row],[_Level]]&lt;=1),0,IFERROR(LOOKUP(2,1/(Tasks[[#Headers],[_Level]]:Tasks[[#This Row],[_Level]]=Tasks[[#This Row],[_Level]]-1),ROW(Tasks[[#Headers],[_Level]]:Tasks[[#This Row],[_Level]])),0))</f>
        <v>0</v>
      </c>
      <c r="BM77" s="41" t="n">
        <f aca="false">IFERROR(N(INDEX(Tasks[_Level],Tasks[[#This Row],[_Row]]+1)),0)</f>
        <v>0</v>
      </c>
      <c r="BN77" s="102" t="b">
        <f aca="false">AND(Tasks[[#This Row],[Task Name]]&lt;&gt;"",Tasks[[#This Row],[_NextLevel]]&gt;Tasks[[#This Row],[_Level]])</f>
        <v>0</v>
      </c>
      <c r="BO77" s="41" t="n">
        <f aca="false">IF(Tasks[[#This Row],[_IsSummary]],COUNTIF(Tasks[WBS],Tasks[[#This Row],[WBS]]&amp;".*"),0)</f>
        <v>0</v>
      </c>
      <c r="BP77" s="41" t="n">
        <f aca="false">IF(AND(Tasks[[#This Row],[Task Name]]&lt;&gt;"",NOT(Tasks[[#This Row],[_IsSummary]])),1,0)</f>
        <v>0</v>
      </c>
      <c r="BQ77" s="41" t="n">
        <f aca="false">IF(N(Tasks[[#This Row],[Pred1 UID]])=0,0,IFERROR(MATCH(Tasks[[#This Row],[Pred1 UID]],Tasks[UID],0),-1))</f>
        <v>0</v>
      </c>
      <c r="BR77" s="41" t="n">
        <f aca="false">IF(N(Tasks[[#This Row],[Pred2 UID]])=0,0,IFERROR(MATCH(Tasks[[#This Row],[Pred2 UID]],Tasks[UID],0),-1))</f>
        <v>0</v>
      </c>
      <c r="BS7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7" s="103" t="str">
        <f aca="false">IF(NOT(Tasks[[#This Row],[_IsLeaf]]=1),"",IF(N(Tasks[[#This Row],[Duration]])&lt;=0,Tasks[[#This Row],[_LeafCalcStart]],WORKDAY.INTL(Tasks[[#This Row],[_LeafCalcStart]],Tasks[[#This Row],[Duration]]-1,WorkWeek,Holidays)))</f>
        <v/>
      </c>
      <c r="BU7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7" s="41" t="n">
        <f aca="false">IF(NOT(Tasks[[#This Row],[_IsLeaf]]=1),0,IF(N(Tasks[[#This Row],[Actual Finish]])&gt;0,1,MIN(1,N(Tasks[[#This Row],[% Complete]]))))</f>
        <v>0</v>
      </c>
      <c r="BX77" s="41" t="n">
        <f aca="false">IF(OR(NOT(Tasks[[#This Row],[_IsLeaf]]=1),Tasks[[#This Row],[Resource]]=""),0,N(Tasks[[#This Row],[Duration]])*HoursPerDay*IF(Tasks[[#This Row],[Units]]="",DefaultUnits,Tasks[[#This Row],[Units]]))</f>
        <v>0</v>
      </c>
      <c r="BY77" s="41" t="n">
        <f aca="false">IF(Tasks[[#This Row],[_LeafWork]]=0,0,Tasks[[#This Row],[_LeafWork]]*IFERROR(INDEX(res_Rate,MATCH(Tasks[[#This Row],[Resource]],res_Name,0)),0))</f>
        <v>0</v>
      </c>
      <c r="BZ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7" s="41" t="n">
        <f aca="false">IF(NOT(Tasks[[#This Row],[_IsLeaf]]=1),0,MAX(_xlfn.MAXIFS(Tasks[_Row],Tasks[Pred1 UID],Tasks[[#This Row],[UID]]),_xlfn.MAXIFS(Tasks[_Row],Tasks[Pred2 UID],Tasks[[#This Row],[UID]])))</f>
        <v>0</v>
      </c>
      <c r="CE7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7" s="103" t="str">
        <f aca="false">IF(NOT(Tasks[[#This Row],[_IsLeaf]]=1),"",MIN(ProjectFinish,IF(N(Tasks[[#This Row],[Deadline]])&gt;0,Tasks[[#This Row],[Deadline]],2958465),Tasks[[#This Row],[_SuccessorFinishLimit]]))</f>
        <v/>
      </c>
      <c r="CG77" s="103" t="str">
        <f aca="false">IF(NOT(Tasks[[#This Row],[_IsLeaf]]=1),"",IF(N(Tasks[[#This Row],[Duration]])&lt;=0,Tasks[[#This Row],[_LeafLateFinish]],WORKDAY.INTL(Tasks[[#This Row],[_LeafLateFinish]],-(Tasks[[#This Row],[Duration]]-1),WorkWeek,Holidays)))</f>
        <v/>
      </c>
      <c r="CH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7" s="102" t="b">
        <f aca="false">AND(Tasks[[#This Row],[_IsLeaf]]=1,Tasks[[#This Row],[_LeafProgress]]&lt;1,N(Tasks[[#This Row],[_LeafTotalSlack]])&lt;=CriticalSlackDays)</f>
        <v>0</v>
      </c>
      <c r="CJ77" s="103" t="str">
        <f aca="false">IF(Tasks[[#This Row],[Task Name]]="","",IF(Tasks[[#This Row],[_IsSummary]],MIN(INDEX(Tasks[_LeafCalcStart],Tasks[[#This Row],[_Row]]+1):INDEX(Tasks[_LeafCalcStart],Tasks[[#This Row],[_Row]]+Tasks[[#This Row],[_Descendants]])),Tasks[[#This Row],[_LeafCalcStart]]))</f>
        <v/>
      </c>
      <c r="CK77" s="103" t="str">
        <f aca="false">IF(Tasks[[#This Row],[Task Name]]="","",IF(Tasks[[#This Row],[_IsSummary]],MAX(INDEX(Tasks[_LeafCalcFinish],Tasks[[#This Row],[_Row]]+1):INDEX(Tasks[_LeafCalcFinish],Tasks[[#This Row],[_Row]]+Tasks[[#This Row],[_Descendants]])),Tasks[[#This Row],[_LeafCalcFinish]]))</f>
        <v/>
      </c>
      <c r="CL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7" s="41" t="n">
        <f aca="false">IF(AND(Tasks[[#This Row],[_IsLeaf]]=1,Tasks[[#This Row],[_LeafWork]]&gt;0),NETWORKDAYS.INTL(ProjectStart,Tasks[[#This Row],[_LeafFcstStart]],WorkWeek,Holidays),0)</f>
        <v>0</v>
      </c>
      <c r="CS77" s="41" t="n">
        <f aca="false">IF(AND(Tasks[[#This Row],[_IsLeaf]]=1,Tasks[[#This Row],[_LeafWork]]&gt;0),MAX(Tasks[[#This Row],[_StartWorkday]],NETWORKDAYS.INTL(ProjectStart,Tasks[[#This Row],[_LeafFcstFinish]],WorkWeek,Holidays)),0)</f>
        <v>0</v>
      </c>
      <c r="CT77" s="41" t="n">
        <f aca="false">IF(AND(Tasks[[#This Row],[_IsLeaf]]=1,Tasks[[#This Row],[_LeafWork]]&gt;0),Tasks[[#This Row],[_LeafWork]]/(Tasks[[#This Row],[_FinishWorkday]]-Tasks[[#This Row],[_StartWorkday]]+1),0)</f>
        <v>0</v>
      </c>
      <c r="CU77" s="41" t="n">
        <f aca="false">Tasks[[#This Row],[_WorkPerWorkday]]*(Tasks[[#This Row],[_StartWorkday]]-1)</f>
        <v>-0</v>
      </c>
      <c r="CV77" s="41" t="n">
        <f aca="false">IF(Tasks[[#This Row],[_IsLeaf]]=1,MAX(N(Tasks[[#This Row],[Duration]]),0.1),0)</f>
        <v>0</v>
      </c>
      <c r="CW77" s="41" t="n">
        <f aca="false">Tasks[[#This Row],[_WeightDur]]*Tasks[[#This Row],[_LeafProgress]]</f>
        <v>0</v>
      </c>
      <c r="CX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7" s="41" t="str">
        <f aca="false">IF(Tasks[[#This Row],[Task Name]]="","",Tasks[[#This Row],[_Pred1UIDText]]&amp;IF(AND(Tasks[[#This Row],[_Pred1UIDText]]&lt;&gt;"",Tasks[[#This Row],[_Pred2UIDText]]&lt;&gt;""),",","")&amp;Tasks[[#This Row],[_Pred2UIDText]])</f>
        <v/>
      </c>
      <c r="DC77" s="41" t="str">
        <f aca="false">IF(AND(Tasks[[#This Row],[_IsLeaf]]=1,N(Tasks[[#This Row],[Duration]])=0,Tasks[[#This Row],[_LeafProgress]]&lt;1),Tasks[[#This Row],[_LeafFcstFinish]]+Tasks[[#This Row],[_Row]]/100000,"")</f>
        <v/>
      </c>
      <c r="DD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7" s="41" t="n">
        <f aca="false">IF(NOT(Tasks[[#This Row],[_IsLeaf]]=1),0,IF(Tasks[[#This Row],[Baseline Cost]]="",Tasks[[#This Row],[_LeafCost]],N(Tasks[[#This Row],[Baseline Cost]])))</f>
        <v>0</v>
      </c>
      <c r="DF77" s="41" t="n">
        <f aca="false">Tasks[[#This Row],[_LeafBudget]]*Tasks[[#This Row],[_PlannedPct]]</f>
        <v>0</v>
      </c>
      <c r="DG77" s="41" t="n">
        <f aca="false">Tasks[[#This Row],[_LeafBudget]]*Tasks[[#This Row],[_LeafProgress]]</f>
        <v>0</v>
      </c>
      <c r="DH77" s="41" t="n">
        <f aca="false">IF(NOT(Tasks[[#This Row],[_IsLeaf]]=1),0,IF(Tasks[[#This Row],[Actual Cost]]="",Tasks[[#This Row],[_LeafCost]]*Tasks[[#This Row],[_LeafProgress]],N(Tasks[[#This Row],[Actual Cost]])))</f>
        <v>0</v>
      </c>
      <c r="DI77" s="41" t="str">
        <f aca="false">IF(Tasks[[#This Row],[Task Name]]="","",LEFT(Tasks[[#This Row],[WBS]],FIND(".",Tasks[[#This Row],[WBS]]&amp;".")-1))</f>
        <v/>
      </c>
      <c r="DJ77" s="41" t="str">
        <f aca="false">IF(AND(Tasks[[#This Row],[Task Name]]&lt;&gt;"",Tasks[[#This Row],[_Level]]=1),Tasks[[#This Row],[_Row]],"")</f>
        <v/>
      </c>
      <c r="DK77" s="41" t="str">
        <f aca="false">IF(AND(Tasks[[#This Row],[_IsLeaf]]=1,N(Tasks[[#This Row],[Duration]])=0),Tasks[[#This Row],[Planned Finish]]+Tasks[[#This Row],[_Row]]/100000,"")</f>
        <v/>
      </c>
      <c r="DL77" s="41" t="str">
        <f aca="false">IF(AND(Tasks[[#This Row],[_IsLeaf]]=1,Tasks[[#This Row],[_LeafProgress]]&lt;1,OR(N(Tasks[[#This Row],[Finish Var]])&gt;0,Tasks[[#This Row],[Status]]="Late Start")),MAX(0,Tasks[[#This Row],[Finish Var]])+1-Tasks[[#This Row],[_Row]]/1000000,"")</f>
        <v/>
      </c>
      <c r="DM77" s="41" t="str">
        <f aca="false">IF(AND(Tasks[[#This Row],[_IsLeaf]]=1,N(Tasks[[#This Row],[Actual Start]])=0,Tasks[[#This Row],[_LeafFcstStart]]&gt;=StatusDate,Tasks[[#This Row],[_LeafFcstStart]]&lt;=LookaheadEnd),Tasks[[#This Row],[_LeafFcstStart]]+Tasks[[#This Row],[_Row]]/100000,"")</f>
        <v/>
      </c>
      <c r="DN77" s="41" t="str">
        <f aca="false">IF(AND(Tasks[[#This Row],[_IsLeaf]]=1,Tasks[[#This Row],[_LeafProgress]]&lt;1,Tasks[[#This Row],[_LeafFcstFinish]]&gt;=StatusDate,Tasks[[#This Row],[_LeafFcstFinish]]&lt;=LookaheadEnd),Tasks[[#This Row],[_LeafFcstFinish]]+Tasks[[#This Row],[_Row]]/100000,"")</f>
        <v/>
      </c>
      <c r="DO77" s="41" t="str">
        <f aca="false">IF(Tasks[[#This Row],[_LeafCritical]],Tasks[[#This Row],[_LeafFcstStart]]+Tasks[[#This Row],[_Row]]/100000,"")</f>
        <v/>
      </c>
      <c r="DP77" s="41" t="n">
        <f aca="false">Tasks[[#This Row],[_LeafWork]]*Tasks[[#This Row],[_LeafProgress]]</f>
        <v>0</v>
      </c>
      <c r="DQ77" s="103" t="str">
        <f aca="false">IF(AND(Tasks[[#This Row],[_IsLeaf]]=1,Tasks[[#This Row],[_LeafProgress]]&gt;=1),IF(N(Tasks[[#This Row],[Actual Finish]])&gt;0,Tasks[[#This Row],[Actual Finish]],Tasks[[#This Row],[_LeafFcstFinish]]),"")</f>
        <v/>
      </c>
      <c r="DR77" s="41" t="n">
        <f aca="false">IF(Tasks[[#This Row],[_IsLeaf]]=1,N(Tasks[[#This Row],[Story Points]]),0)</f>
        <v>0</v>
      </c>
      <c r="DS77" s="41" t="str">
        <f aca="false">IF(AND(Tasks[[#This Row],[_IsLeaf]]=1,CurrentSprint&lt;&gt;"",Tasks[[#This Row],[Sprint]]=CurrentSprint),Tasks[[#This Row],[_Row]],"")</f>
        <v/>
      </c>
    </row>
    <row r="78" customFormat="false" ht="15" hidden="false" customHeight="false" outlineLevel="0" collapsed="false">
      <c r="A78" s="28" t="str">
        <f aca="false">IF(Tasks[[#This Row],[Task Name]]="","",COUNTA(Tasks[[#Headers],[Task Name]]:Tasks[[#This Row],[Task Name]])-1)</f>
        <v/>
      </c>
      <c r="B78" s="29" t="n">
        <v>73</v>
      </c>
      <c r="C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29"/>
      <c r="E78" s="30"/>
      <c r="F78" s="29"/>
      <c r="G78" s="29"/>
      <c r="H78" s="29"/>
      <c r="I78" s="29"/>
      <c r="J78" s="29"/>
      <c r="K78" s="29"/>
      <c r="L78" s="29"/>
      <c r="M78" s="29"/>
      <c r="N78" s="77"/>
      <c r="O78" s="77"/>
      <c r="P78" s="25" t="str">
        <f aca="false">IF(Tasks[[#This Row],[Task Name]]="","",IF(N(Tasks[[#This Row],[Baseline Start]])&gt;0,Tasks[[#This Row],[Baseline Start]],Tasks[[#This Row],[_CalcStart]]))</f>
        <v/>
      </c>
      <c r="Q78" s="25" t="str">
        <f aca="false">IF(Tasks[[#This Row],[Task Name]]="","",IF(N(Tasks[[#This Row],[Baseline Finish]])&gt;0,Tasks[[#This Row],[Baseline Finish]],Tasks[[#This Row],[_CalcFinish]]))</f>
        <v/>
      </c>
      <c r="R78" s="77"/>
      <c r="S78" s="77"/>
      <c r="T78" s="25" t="str">
        <f aca="false">IF(Tasks[[#This Row],[Task Name]]="","",IF(Tasks[[#This Row],[_IsSummary]],MIN(INDEX(Tasks[_LeafFcstStart],Tasks[[#This Row],[_Row]]+1):INDEX(Tasks[_LeafFcstStart],Tasks[[#This Row],[_Row]]+Tasks[[#This Row],[_Descendants]])),Tasks[[#This Row],[_LeafFcstStart]]))</f>
        <v/>
      </c>
      <c r="U78" s="25" t="str">
        <f aca="false">IF(Tasks[[#This Row],[Task Name]]="","",IF(Tasks[[#This Row],[_IsSummary]],MAX(INDEX(Tasks[_LeafFcstFinish],Tasks[[#This Row],[_Row]]+1):INDEX(Tasks[_LeafFcstFinish],Tasks[[#This Row],[_Row]]+Tasks[[#This Row],[_Descendants]])),Tasks[[#This Row],[_LeafFcstFinish]]))</f>
        <v/>
      </c>
      <c r="V7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8" s="25" t="str">
        <f aca="false">IF(Tasks[[#This Row],[Task Name]]="","",IF(Tasks[[#This Row],[_IsSummary]],MIN(INDEX(Tasks[_LeafLateStart],Tasks[[#This Row],[_Row]]+1):INDEX(Tasks[_LeafLateStart],Tasks[[#This Row],[_Row]]+Tasks[[#This Row],[_Descendants]])),Tasks[[#This Row],[_LeafLateStart]]))</f>
        <v/>
      </c>
      <c r="Y78" s="25" t="str">
        <f aca="false">IF(Tasks[[#This Row],[Task Name]]="","",IF(Tasks[[#This Row],[_IsSummary]],MAX(INDEX(Tasks[_LeafLateFinish],Tasks[[#This Row],[_Row]]+1):INDEX(Tasks[_LeafLateFinish],Tasks[[#This Row],[_Row]]+Tasks[[#This Row],[_Descendants]])),Tasks[[#This Row],[_LeafLateFinish]]))</f>
        <v/>
      </c>
      <c r="Z78" s="43" t="str">
        <f aca="false">IF(Tasks[[#This Row],[Task Name]]="","",IF(Tasks[[#This Row],[_IsSummary]],MIN(INDEX(Tasks[_LeafTotalSlack],Tasks[[#This Row],[_Row]]+1):INDEX(Tasks[_LeafTotalSlack],Tasks[[#This Row],[_Row]]+Tasks[[#This Row],[_Descendants]])),Tasks[[#This Row],[_LeafTotalSlack]]))</f>
        <v/>
      </c>
      <c r="AA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8" s="28" t="str">
        <f aca="false">IF(Tasks[[#This Row],[Task Name]]="","",IF(IF(Tasks[[#This Row],[_IsSummary]],COUNTIF(INDEX(Tasks[_LeafCritical],Tasks[[#This Row],[_Row]]+1):INDEX(Tasks[_LeafCritical],Tasks[[#This Row],[_Row]]+Tasks[[#This Row],[_Descendants]]),TRUE())&gt;0,Tasks[[#This Row],[_LeafCritical]]),"Yes",""))</f>
        <v/>
      </c>
      <c r="AC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8" s="24" t="str">
        <f aca="false">IF(Tasks[[#This Row],[Task Name]]="","",TRIM(IF(Tasks[[#This Row],[_Pred1Problem]]&lt;&gt;"","Pred 1: "&amp;Tasks[[#This Row],[_Pred1Problem]]&amp;". ","")&amp;IF(Tasks[[#This Row],[_Pred2Problem]]&lt;&gt;"","Pred 2: "&amp;Tasks[[#This Row],[_Pred2Problem]]&amp;".","")))</f>
        <v/>
      </c>
      <c r="AE78" s="91"/>
      <c r="AF7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8" s="28" t="str">
        <f aca="false">IF(Tasks[[#This Row],[Task Name]]="","",IF(Tasks[[#This Row],[Progress]]&gt;=1,"Complete",IF(OR(N(Tasks[[#This Row],[Actual Start]])&gt;0,Tasks[[#This Row],[Progress]]&gt;0),IF(Tasks[[#This Row],[Finish Var]]&gt;0,"Behind","In Progress"),IF(Tasks[[#This Row],[Planned Start]]&lt;StatusDate,"Late Start","Not Started"))))</f>
        <v/>
      </c>
      <c r="AH78" s="30"/>
      <c r="AI78" s="91"/>
      <c r="AJ7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8" s="98" t="str">
        <f aca="false">IF(Tasks[[#This Row],[Task Name]]="","",IF(Tasks[[#This Row],[_IsSummary]],SUM(INDEX(Tasks[_LeafWork],Tasks[[#This Row],[_Row]]+1):INDEX(Tasks[_LeafWork],Tasks[[#This Row],[_Row]]+Tasks[[#This Row],[_Descendants]])),Tasks[[#This Row],[_LeafWork]]))</f>
        <v/>
      </c>
      <c r="AL78" s="99" t="str">
        <f aca="false">IF(Tasks[[#This Row],[Task Name]]="","",IF(Tasks[[#This Row],[_IsSummary]],SUM(INDEX(Tasks[_LeafCost],Tasks[[#This Row],[_Row]]+1):INDEX(Tasks[_LeafCost],Tasks[[#This Row],[_Row]]+Tasks[[#This Row],[_Descendants]])),Tasks[[#This Row],[_LeafCost]]))</f>
        <v/>
      </c>
      <c r="AM78" s="100"/>
      <c r="AN78" s="29"/>
      <c r="AO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8" s="85"/>
      <c r="AQ78" s="24" t="str">
        <f aca="false">IF(Tasks[[#This Row],[Task Name]]="","",Tasks[[#This Row],[_Pred1IDText]]&amp;IF(AND(Tasks[[#This Row],[_Pred1IDText]]&lt;&gt;"",Tasks[[#This Row],[_Pred2IDText]]&lt;&gt;""),",","")&amp;Tasks[[#This Row],[_Pred2IDText]])</f>
        <v/>
      </c>
      <c r="AR78" s="30"/>
      <c r="AS78" s="25" t="str">
        <f aca="false">IF(Tasks[[#This Row],[Task Name]]="","",Tasks[[#This Row],[Forecast Start]])</f>
        <v/>
      </c>
      <c r="AT78" s="25" t="str">
        <f aca="false">IF(Tasks[[#This Row],[Task Name]]="","",Tasks[[#This Row],[Forecast Finish]])</f>
        <v/>
      </c>
      <c r="AU78" s="28" t="str">
        <f aca="false">IF(Tasks[[#This Row],[Task Name]]="","",IF(Tasks[[#This Row],[_IsSummary]],NETWORKDAYS.INTL(Tasks[[#This Row],[Forecast Start]],Tasks[[#This Row],[Forecast Finish]],WorkWeek,Holidays),N(Tasks[[#This Row],[Duration]])))</f>
        <v/>
      </c>
      <c r="AV78" s="98" t="str">
        <f aca="false">IF(Tasks[[#This Row],[Task Name]]="","",Tasks[[#This Row],[Work]])</f>
        <v/>
      </c>
      <c r="AW78" s="99" t="str">
        <f aca="false">IF(Tasks[[#This Row],[Task Name]]="","",Tasks[[#This Row],[Cost]])</f>
        <v/>
      </c>
      <c r="AX78" s="77"/>
      <c r="AY78" s="77"/>
      <c r="AZ78" s="29"/>
      <c r="BA78" s="101"/>
      <c r="BB78" s="100"/>
      <c r="BC78" s="28" t="str">
        <f aca="false">IF(OR(Tasks[[#This Row],[Task Name]]="",Tasks[[#This Row],[Baseline Duration]]=""),"",Tasks[[#This Row],[BL Source Duration]]-N(Tasks[[#This Row],[Baseline Duration]]))</f>
        <v/>
      </c>
      <c r="BD78" s="98" t="str">
        <f aca="false">IF(OR(Tasks[[#This Row],[Task Name]]="",Tasks[[#This Row],[Baseline Work]]=""),"",Tasks[[#This Row],[Work]]-N(Tasks[[#This Row],[Baseline Work]]))</f>
        <v/>
      </c>
      <c r="BE78" s="99" t="str">
        <f aca="false">IF(OR(Tasks[[#This Row],[Task Name]]="",Tasks[[#This Row],[Baseline Cost]]=""),"",Tasks[[#This Row],[Cost]]-N(Tasks[[#This Row],[Baseline Cost]]))</f>
        <v/>
      </c>
      <c r="BF78" s="99" t="str">
        <f aca="false">IF(Tasks[[#This Row],[Task Name]]="","",IF(Tasks[[#This Row],[_IsSummary]],SUM(INDEX(Tasks[_LeafBudget],Tasks[[#This Row],[_Row]]+1):INDEX(Tasks[_LeafBudget],Tasks[[#This Row],[_Row]]+Tasks[[#This Row],[_Descendants]])),Tasks[[#This Row],[_LeafBudget]]))</f>
        <v/>
      </c>
      <c r="BG78" s="99" t="str">
        <f aca="false">IF(Tasks[[#This Row],[Task Name]]="","",IF(Tasks[[#This Row],[_IsSummary]],SUM(INDEX(Tasks[_LeafPV],Tasks[[#This Row],[_Row]]+1):INDEX(Tasks[_LeafPV],Tasks[[#This Row],[_Row]]+Tasks[[#This Row],[_Descendants]])),Tasks[[#This Row],[_LeafPV]]))</f>
        <v/>
      </c>
      <c r="BH78" s="99" t="str">
        <f aca="false">IF(Tasks[[#This Row],[Task Name]]="","",IF(Tasks[[#This Row],[_IsSummary]],SUM(INDEX(Tasks[_LeafEV],Tasks[[#This Row],[_Row]]+1):INDEX(Tasks[_LeafEV],Tasks[[#This Row],[_Row]]+Tasks[[#This Row],[_Descendants]])),Tasks[[#This Row],[_LeafEV]]))</f>
        <v/>
      </c>
      <c r="BI78" s="99" t="str">
        <f aca="false">IF(Tasks[[#This Row],[Task Name]]="","",IF(Tasks[[#This Row],[_IsSummary]],SUM(INDEX(Tasks[_LeafAC],Tasks[[#This Row],[_Row]]+1):INDEX(Tasks[_LeafAC],Tasks[[#This Row],[_Row]]+Tasks[[#This Row],[_Descendants]])),Tasks[[#This Row],[_LeafAC]]))</f>
        <v/>
      </c>
      <c r="BJ78" s="41" t="str">
        <f aca="false">IF(Tasks[[#This Row],[Task Name]]="","",MAX(1,N(Tasks[[#This Row],[Level]])))</f>
        <v/>
      </c>
      <c r="BK78" s="41" t="n">
        <f aca="false">ROW()-ROW(Tasks[[#Headers],[ID]])</f>
        <v>73</v>
      </c>
      <c r="BL78" s="41" t="n">
        <f aca="false">IF(OR(Tasks[[#This Row],[Task Name]]="",Tasks[[#This Row],[_Level]]&lt;=1),0,IFERROR(LOOKUP(2,1/(Tasks[[#Headers],[_Level]]:Tasks[[#This Row],[_Level]]=Tasks[[#This Row],[_Level]]-1),ROW(Tasks[[#Headers],[_Level]]:Tasks[[#This Row],[_Level]])),0))</f>
        <v>0</v>
      </c>
      <c r="BM78" s="41" t="n">
        <f aca="false">IFERROR(N(INDEX(Tasks[_Level],Tasks[[#This Row],[_Row]]+1)),0)</f>
        <v>0</v>
      </c>
      <c r="BN78" s="102" t="b">
        <f aca="false">AND(Tasks[[#This Row],[Task Name]]&lt;&gt;"",Tasks[[#This Row],[_NextLevel]]&gt;Tasks[[#This Row],[_Level]])</f>
        <v>0</v>
      </c>
      <c r="BO78" s="41" t="n">
        <f aca="false">IF(Tasks[[#This Row],[_IsSummary]],COUNTIF(Tasks[WBS],Tasks[[#This Row],[WBS]]&amp;".*"),0)</f>
        <v>0</v>
      </c>
      <c r="BP78" s="41" t="n">
        <f aca="false">IF(AND(Tasks[[#This Row],[Task Name]]&lt;&gt;"",NOT(Tasks[[#This Row],[_IsSummary]])),1,0)</f>
        <v>0</v>
      </c>
      <c r="BQ78" s="41" t="n">
        <f aca="false">IF(N(Tasks[[#This Row],[Pred1 UID]])=0,0,IFERROR(MATCH(Tasks[[#This Row],[Pred1 UID]],Tasks[UID],0),-1))</f>
        <v>0</v>
      </c>
      <c r="BR78" s="41" t="n">
        <f aca="false">IF(N(Tasks[[#This Row],[Pred2 UID]])=0,0,IFERROR(MATCH(Tasks[[#This Row],[Pred2 UID]],Tasks[UID],0),-1))</f>
        <v>0</v>
      </c>
      <c r="BS7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8" s="103" t="str">
        <f aca="false">IF(NOT(Tasks[[#This Row],[_IsLeaf]]=1),"",IF(N(Tasks[[#This Row],[Duration]])&lt;=0,Tasks[[#This Row],[_LeafCalcStart]],WORKDAY.INTL(Tasks[[#This Row],[_LeafCalcStart]],Tasks[[#This Row],[Duration]]-1,WorkWeek,Holidays)))</f>
        <v/>
      </c>
      <c r="BU7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8" s="41" t="n">
        <f aca="false">IF(NOT(Tasks[[#This Row],[_IsLeaf]]=1),0,IF(N(Tasks[[#This Row],[Actual Finish]])&gt;0,1,MIN(1,N(Tasks[[#This Row],[% Complete]]))))</f>
        <v>0</v>
      </c>
      <c r="BX78" s="41" t="n">
        <f aca="false">IF(OR(NOT(Tasks[[#This Row],[_IsLeaf]]=1),Tasks[[#This Row],[Resource]]=""),0,N(Tasks[[#This Row],[Duration]])*HoursPerDay*IF(Tasks[[#This Row],[Units]]="",DefaultUnits,Tasks[[#This Row],[Units]]))</f>
        <v>0</v>
      </c>
      <c r="BY78" s="41" t="n">
        <f aca="false">IF(Tasks[[#This Row],[_LeafWork]]=0,0,Tasks[[#This Row],[_LeafWork]]*IFERROR(INDEX(res_Rate,MATCH(Tasks[[#This Row],[Resource]],res_Name,0)),0))</f>
        <v>0</v>
      </c>
      <c r="BZ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8" s="41" t="n">
        <f aca="false">IF(NOT(Tasks[[#This Row],[_IsLeaf]]=1),0,MAX(_xlfn.MAXIFS(Tasks[_Row],Tasks[Pred1 UID],Tasks[[#This Row],[UID]]),_xlfn.MAXIFS(Tasks[_Row],Tasks[Pred2 UID],Tasks[[#This Row],[UID]])))</f>
        <v>0</v>
      </c>
      <c r="CE7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8" s="103" t="str">
        <f aca="false">IF(NOT(Tasks[[#This Row],[_IsLeaf]]=1),"",MIN(ProjectFinish,IF(N(Tasks[[#This Row],[Deadline]])&gt;0,Tasks[[#This Row],[Deadline]],2958465),Tasks[[#This Row],[_SuccessorFinishLimit]]))</f>
        <v/>
      </c>
      <c r="CG78" s="103" t="str">
        <f aca="false">IF(NOT(Tasks[[#This Row],[_IsLeaf]]=1),"",IF(N(Tasks[[#This Row],[Duration]])&lt;=0,Tasks[[#This Row],[_LeafLateFinish]],WORKDAY.INTL(Tasks[[#This Row],[_LeafLateFinish]],-(Tasks[[#This Row],[Duration]]-1),WorkWeek,Holidays)))</f>
        <v/>
      </c>
      <c r="CH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8" s="102" t="b">
        <f aca="false">AND(Tasks[[#This Row],[_IsLeaf]]=1,Tasks[[#This Row],[_LeafProgress]]&lt;1,N(Tasks[[#This Row],[_LeafTotalSlack]])&lt;=CriticalSlackDays)</f>
        <v>0</v>
      </c>
      <c r="CJ78" s="103" t="str">
        <f aca="false">IF(Tasks[[#This Row],[Task Name]]="","",IF(Tasks[[#This Row],[_IsSummary]],MIN(INDEX(Tasks[_LeafCalcStart],Tasks[[#This Row],[_Row]]+1):INDEX(Tasks[_LeafCalcStart],Tasks[[#This Row],[_Row]]+Tasks[[#This Row],[_Descendants]])),Tasks[[#This Row],[_LeafCalcStart]]))</f>
        <v/>
      </c>
      <c r="CK78" s="103" t="str">
        <f aca="false">IF(Tasks[[#This Row],[Task Name]]="","",IF(Tasks[[#This Row],[_IsSummary]],MAX(INDEX(Tasks[_LeafCalcFinish],Tasks[[#This Row],[_Row]]+1):INDEX(Tasks[_LeafCalcFinish],Tasks[[#This Row],[_Row]]+Tasks[[#This Row],[_Descendants]])),Tasks[[#This Row],[_LeafCalcFinish]]))</f>
        <v/>
      </c>
      <c r="CL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8" s="41" t="n">
        <f aca="false">IF(AND(Tasks[[#This Row],[_IsLeaf]]=1,Tasks[[#This Row],[_LeafWork]]&gt;0),NETWORKDAYS.INTL(ProjectStart,Tasks[[#This Row],[_LeafFcstStart]],WorkWeek,Holidays),0)</f>
        <v>0</v>
      </c>
      <c r="CS78" s="41" t="n">
        <f aca="false">IF(AND(Tasks[[#This Row],[_IsLeaf]]=1,Tasks[[#This Row],[_LeafWork]]&gt;0),MAX(Tasks[[#This Row],[_StartWorkday]],NETWORKDAYS.INTL(ProjectStart,Tasks[[#This Row],[_LeafFcstFinish]],WorkWeek,Holidays)),0)</f>
        <v>0</v>
      </c>
      <c r="CT78" s="41" t="n">
        <f aca="false">IF(AND(Tasks[[#This Row],[_IsLeaf]]=1,Tasks[[#This Row],[_LeafWork]]&gt;0),Tasks[[#This Row],[_LeafWork]]/(Tasks[[#This Row],[_FinishWorkday]]-Tasks[[#This Row],[_StartWorkday]]+1),0)</f>
        <v>0</v>
      </c>
      <c r="CU78" s="41" t="n">
        <f aca="false">Tasks[[#This Row],[_WorkPerWorkday]]*(Tasks[[#This Row],[_StartWorkday]]-1)</f>
        <v>-0</v>
      </c>
      <c r="CV78" s="41" t="n">
        <f aca="false">IF(Tasks[[#This Row],[_IsLeaf]]=1,MAX(N(Tasks[[#This Row],[Duration]]),0.1),0)</f>
        <v>0</v>
      </c>
      <c r="CW78" s="41" t="n">
        <f aca="false">Tasks[[#This Row],[_WeightDur]]*Tasks[[#This Row],[_LeafProgress]]</f>
        <v>0</v>
      </c>
      <c r="CX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8" s="41" t="str">
        <f aca="false">IF(Tasks[[#This Row],[Task Name]]="","",Tasks[[#This Row],[_Pred1UIDText]]&amp;IF(AND(Tasks[[#This Row],[_Pred1UIDText]]&lt;&gt;"",Tasks[[#This Row],[_Pred2UIDText]]&lt;&gt;""),",","")&amp;Tasks[[#This Row],[_Pred2UIDText]])</f>
        <v/>
      </c>
      <c r="DC78" s="41" t="str">
        <f aca="false">IF(AND(Tasks[[#This Row],[_IsLeaf]]=1,N(Tasks[[#This Row],[Duration]])=0,Tasks[[#This Row],[_LeafProgress]]&lt;1),Tasks[[#This Row],[_LeafFcstFinish]]+Tasks[[#This Row],[_Row]]/100000,"")</f>
        <v/>
      </c>
      <c r="DD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8" s="41" t="n">
        <f aca="false">IF(NOT(Tasks[[#This Row],[_IsLeaf]]=1),0,IF(Tasks[[#This Row],[Baseline Cost]]="",Tasks[[#This Row],[_LeafCost]],N(Tasks[[#This Row],[Baseline Cost]])))</f>
        <v>0</v>
      </c>
      <c r="DF78" s="41" t="n">
        <f aca="false">Tasks[[#This Row],[_LeafBudget]]*Tasks[[#This Row],[_PlannedPct]]</f>
        <v>0</v>
      </c>
      <c r="DG78" s="41" t="n">
        <f aca="false">Tasks[[#This Row],[_LeafBudget]]*Tasks[[#This Row],[_LeafProgress]]</f>
        <v>0</v>
      </c>
      <c r="DH78" s="41" t="n">
        <f aca="false">IF(NOT(Tasks[[#This Row],[_IsLeaf]]=1),0,IF(Tasks[[#This Row],[Actual Cost]]="",Tasks[[#This Row],[_LeafCost]]*Tasks[[#This Row],[_LeafProgress]],N(Tasks[[#This Row],[Actual Cost]])))</f>
        <v>0</v>
      </c>
      <c r="DI78" s="41" t="str">
        <f aca="false">IF(Tasks[[#This Row],[Task Name]]="","",LEFT(Tasks[[#This Row],[WBS]],FIND(".",Tasks[[#This Row],[WBS]]&amp;".")-1))</f>
        <v/>
      </c>
      <c r="DJ78" s="41" t="str">
        <f aca="false">IF(AND(Tasks[[#This Row],[Task Name]]&lt;&gt;"",Tasks[[#This Row],[_Level]]=1),Tasks[[#This Row],[_Row]],"")</f>
        <v/>
      </c>
      <c r="DK78" s="41" t="str">
        <f aca="false">IF(AND(Tasks[[#This Row],[_IsLeaf]]=1,N(Tasks[[#This Row],[Duration]])=0),Tasks[[#This Row],[Planned Finish]]+Tasks[[#This Row],[_Row]]/100000,"")</f>
        <v/>
      </c>
      <c r="DL78" s="41" t="str">
        <f aca="false">IF(AND(Tasks[[#This Row],[_IsLeaf]]=1,Tasks[[#This Row],[_LeafProgress]]&lt;1,OR(N(Tasks[[#This Row],[Finish Var]])&gt;0,Tasks[[#This Row],[Status]]="Late Start")),MAX(0,Tasks[[#This Row],[Finish Var]])+1-Tasks[[#This Row],[_Row]]/1000000,"")</f>
        <v/>
      </c>
      <c r="DM78" s="41" t="str">
        <f aca="false">IF(AND(Tasks[[#This Row],[_IsLeaf]]=1,N(Tasks[[#This Row],[Actual Start]])=0,Tasks[[#This Row],[_LeafFcstStart]]&gt;=StatusDate,Tasks[[#This Row],[_LeafFcstStart]]&lt;=LookaheadEnd),Tasks[[#This Row],[_LeafFcstStart]]+Tasks[[#This Row],[_Row]]/100000,"")</f>
        <v/>
      </c>
      <c r="DN78" s="41" t="str">
        <f aca="false">IF(AND(Tasks[[#This Row],[_IsLeaf]]=1,Tasks[[#This Row],[_LeafProgress]]&lt;1,Tasks[[#This Row],[_LeafFcstFinish]]&gt;=StatusDate,Tasks[[#This Row],[_LeafFcstFinish]]&lt;=LookaheadEnd),Tasks[[#This Row],[_LeafFcstFinish]]+Tasks[[#This Row],[_Row]]/100000,"")</f>
        <v/>
      </c>
      <c r="DO78" s="41" t="str">
        <f aca="false">IF(Tasks[[#This Row],[_LeafCritical]],Tasks[[#This Row],[_LeafFcstStart]]+Tasks[[#This Row],[_Row]]/100000,"")</f>
        <v/>
      </c>
      <c r="DP78" s="41" t="n">
        <f aca="false">Tasks[[#This Row],[_LeafWork]]*Tasks[[#This Row],[_LeafProgress]]</f>
        <v>0</v>
      </c>
      <c r="DQ78" s="103" t="str">
        <f aca="false">IF(AND(Tasks[[#This Row],[_IsLeaf]]=1,Tasks[[#This Row],[_LeafProgress]]&gt;=1),IF(N(Tasks[[#This Row],[Actual Finish]])&gt;0,Tasks[[#This Row],[Actual Finish]],Tasks[[#This Row],[_LeafFcstFinish]]),"")</f>
        <v/>
      </c>
      <c r="DR78" s="41" t="n">
        <f aca="false">IF(Tasks[[#This Row],[_IsLeaf]]=1,N(Tasks[[#This Row],[Story Points]]),0)</f>
        <v>0</v>
      </c>
      <c r="DS78" s="41" t="str">
        <f aca="false">IF(AND(Tasks[[#This Row],[_IsLeaf]]=1,CurrentSprint&lt;&gt;"",Tasks[[#This Row],[Sprint]]=CurrentSprint),Tasks[[#This Row],[_Row]],"")</f>
        <v/>
      </c>
    </row>
    <row r="79" customFormat="false" ht="15" hidden="false" customHeight="false" outlineLevel="0" collapsed="false">
      <c r="A79" s="28" t="str">
        <f aca="false">IF(Tasks[[#This Row],[Task Name]]="","",COUNTA(Tasks[[#Headers],[Task Name]]:Tasks[[#This Row],[Task Name]])-1)</f>
        <v/>
      </c>
      <c r="B79" s="29" t="n">
        <v>74</v>
      </c>
      <c r="C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29"/>
      <c r="E79" s="30"/>
      <c r="F79" s="29"/>
      <c r="G79" s="29"/>
      <c r="H79" s="29"/>
      <c r="I79" s="29"/>
      <c r="J79" s="29"/>
      <c r="K79" s="29"/>
      <c r="L79" s="29"/>
      <c r="M79" s="29"/>
      <c r="N79" s="77"/>
      <c r="O79" s="77"/>
      <c r="P79" s="25" t="str">
        <f aca="false">IF(Tasks[[#This Row],[Task Name]]="","",IF(N(Tasks[[#This Row],[Baseline Start]])&gt;0,Tasks[[#This Row],[Baseline Start]],Tasks[[#This Row],[_CalcStart]]))</f>
        <v/>
      </c>
      <c r="Q79" s="25" t="str">
        <f aca="false">IF(Tasks[[#This Row],[Task Name]]="","",IF(N(Tasks[[#This Row],[Baseline Finish]])&gt;0,Tasks[[#This Row],[Baseline Finish]],Tasks[[#This Row],[_CalcFinish]]))</f>
        <v/>
      </c>
      <c r="R79" s="77"/>
      <c r="S79" s="77"/>
      <c r="T79" s="25" t="str">
        <f aca="false">IF(Tasks[[#This Row],[Task Name]]="","",IF(Tasks[[#This Row],[_IsSummary]],MIN(INDEX(Tasks[_LeafFcstStart],Tasks[[#This Row],[_Row]]+1):INDEX(Tasks[_LeafFcstStart],Tasks[[#This Row],[_Row]]+Tasks[[#This Row],[_Descendants]])),Tasks[[#This Row],[_LeafFcstStart]]))</f>
        <v/>
      </c>
      <c r="U79" s="25" t="str">
        <f aca="false">IF(Tasks[[#This Row],[Task Name]]="","",IF(Tasks[[#This Row],[_IsSummary]],MAX(INDEX(Tasks[_LeafFcstFinish],Tasks[[#This Row],[_Row]]+1):INDEX(Tasks[_LeafFcstFinish],Tasks[[#This Row],[_Row]]+Tasks[[#This Row],[_Descendants]])),Tasks[[#This Row],[_LeafFcstFinish]]))</f>
        <v/>
      </c>
      <c r="V7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7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9" s="25" t="str">
        <f aca="false">IF(Tasks[[#This Row],[Task Name]]="","",IF(Tasks[[#This Row],[_IsSummary]],MIN(INDEX(Tasks[_LeafLateStart],Tasks[[#This Row],[_Row]]+1):INDEX(Tasks[_LeafLateStart],Tasks[[#This Row],[_Row]]+Tasks[[#This Row],[_Descendants]])),Tasks[[#This Row],[_LeafLateStart]]))</f>
        <v/>
      </c>
      <c r="Y79" s="25" t="str">
        <f aca="false">IF(Tasks[[#This Row],[Task Name]]="","",IF(Tasks[[#This Row],[_IsSummary]],MAX(INDEX(Tasks[_LeafLateFinish],Tasks[[#This Row],[_Row]]+1):INDEX(Tasks[_LeafLateFinish],Tasks[[#This Row],[_Row]]+Tasks[[#This Row],[_Descendants]])),Tasks[[#This Row],[_LeafLateFinish]]))</f>
        <v/>
      </c>
      <c r="Z79" s="43" t="str">
        <f aca="false">IF(Tasks[[#This Row],[Task Name]]="","",IF(Tasks[[#This Row],[_IsSummary]],MIN(INDEX(Tasks[_LeafTotalSlack],Tasks[[#This Row],[_Row]]+1):INDEX(Tasks[_LeafTotalSlack],Tasks[[#This Row],[_Row]]+Tasks[[#This Row],[_Descendants]])),Tasks[[#This Row],[_LeafTotalSlack]]))</f>
        <v/>
      </c>
      <c r="AA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9" s="28" t="str">
        <f aca="false">IF(Tasks[[#This Row],[Task Name]]="","",IF(IF(Tasks[[#This Row],[_IsSummary]],COUNTIF(INDEX(Tasks[_LeafCritical],Tasks[[#This Row],[_Row]]+1):INDEX(Tasks[_LeafCritical],Tasks[[#This Row],[_Row]]+Tasks[[#This Row],[_Descendants]]),TRUE())&gt;0,Tasks[[#This Row],[_LeafCritical]]),"Yes",""))</f>
        <v/>
      </c>
      <c r="AC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9" s="24" t="str">
        <f aca="false">IF(Tasks[[#This Row],[Task Name]]="","",TRIM(IF(Tasks[[#This Row],[_Pred1Problem]]&lt;&gt;"","Pred 1: "&amp;Tasks[[#This Row],[_Pred1Problem]]&amp;". ","")&amp;IF(Tasks[[#This Row],[_Pred2Problem]]&lt;&gt;"","Pred 2: "&amp;Tasks[[#This Row],[_Pred2Problem]]&amp;".","")))</f>
        <v/>
      </c>
      <c r="AE79" s="91"/>
      <c r="AF7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9" s="28" t="str">
        <f aca="false">IF(Tasks[[#This Row],[Task Name]]="","",IF(Tasks[[#This Row],[Progress]]&gt;=1,"Complete",IF(OR(N(Tasks[[#This Row],[Actual Start]])&gt;0,Tasks[[#This Row],[Progress]]&gt;0),IF(Tasks[[#This Row],[Finish Var]]&gt;0,"Behind","In Progress"),IF(Tasks[[#This Row],[Planned Start]]&lt;StatusDate,"Late Start","Not Started"))))</f>
        <v/>
      </c>
      <c r="AH79" s="30"/>
      <c r="AI79" s="91"/>
      <c r="AJ7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9" s="98" t="str">
        <f aca="false">IF(Tasks[[#This Row],[Task Name]]="","",IF(Tasks[[#This Row],[_IsSummary]],SUM(INDEX(Tasks[_LeafWork],Tasks[[#This Row],[_Row]]+1):INDEX(Tasks[_LeafWork],Tasks[[#This Row],[_Row]]+Tasks[[#This Row],[_Descendants]])),Tasks[[#This Row],[_LeafWork]]))</f>
        <v/>
      </c>
      <c r="AL79" s="99" t="str">
        <f aca="false">IF(Tasks[[#This Row],[Task Name]]="","",IF(Tasks[[#This Row],[_IsSummary]],SUM(INDEX(Tasks[_LeafCost],Tasks[[#This Row],[_Row]]+1):INDEX(Tasks[_LeafCost],Tasks[[#This Row],[_Row]]+Tasks[[#This Row],[_Descendants]])),Tasks[[#This Row],[_LeafCost]]))</f>
        <v/>
      </c>
      <c r="AM79" s="100"/>
      <c r="AN79" s="29"/>
      <c r="AO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9" s="85"/>
      <c r="AQ79" s="24" t="str">
        <f aca="false">IF(Tasks[[#This Row],[Task Name]]="","",Tasks[[#This Row],[_Pred1IDText]]&amp;IF(AND(Tasks[[#This Row],[_Pred1IDText]]&lt;&gt;"",Tasks[[#This Row],[_Pred2IDText]]&lt;&gt;""),",","")&amp;Tasks[[#This Row],[_Pred2IDText]])</f>
        <v/>
      </c>
      <c r="AR79" s="30"/>
      <c r="AS79" s="25" t="str">
        <f aca="false">IF(Tasks[[#This Row],[Task Name]]="","",Tasks[[#This Row],[Forecast Start]])</f>
        <v/>
      </c>
      <c r="AT79" s="25" t="str">
        <f aca="false">IF(Tasks[[#This Row],[Task Name]]="","",Tasks[[#This Row],[Forecast Finish]])</f>
        <v/>
      </c>
      <c r="AU79" s="28" t="str">
        <f aca="false">IF(Tasks[[#This Row],[Task Name]]="","",IF(Tasks[[#This Row],[_IsSummary]],NETWORKDAYS.INTL(Tasks[[#This Row],[Forecast Start]],Tasks[[#This Row],[Forecast Finish]],WorkWeek,Holidays),N(Tasks[[#This Row],[Duration]])))</f>
        <v/>
      </c>
      <c r="AV79" s="98" t="str">
        <f aca="false">IF(Tasks[[#This Row],[Task Name]]="","",Tasks[[#This Row],[Work]])</f>
        <v/>
      </c>
      <c r="AW79" s="99" t="str">
        <f aca="false">IF(Tasks[[#This Row],[Task Name]]="","",Tasks[[#This Row],[Cost]])</f>
        <v/>
      </c>
      <c r="AX79" s="77"/>
      <c r="AY79" s="77"/>
      <c r="AZ79" s="29"/>
      <c r="BA79" s="101"/>
      <c r="BB79" s="100"/>
      <c r="BC79" s="28" t="str">
        <f aca="false">IF(OR(Tasks[[#This Row],[Task Name]]="",Tasks[[#This Row],[Baseline Duration]]=""),"",Tasks[[#This Row],[BL Source Duration]]-N(Tasks[[#This Row],[Baseline Duration]]))</f>
        <v/>
      </c>
      <c r="BD79" s="98" t="str">
        <f aca="false">IF(OR(Tasks[[#This Row],[Task Name]]="",Tasks[[#This Row],[Baseline Work]]=""),"",Tasks[[#This Row],[Work]]-N(Tasks[[#This Row],[Baseline Work]]))</f>
        <v/>
      </c>
      <c r="BE79" s="99" t="str">
        <f aca="false">IF(OR(Tasks[[#This Row],[Task Name]]="",Tasks[[#This Row],[Baseline Cost]]=""),"",Tasks[[#This Row],[Cost]]-N(Tasks[[#This Row],[Baseline Cost]]))</f>
        <v/>
      </c>
      <c r="BF79" s="99" t="str">
        <f aca="false">IF(Tasks[[#This Row],[Task Name]]="","",IF(Tasks[[#This Row],[_IsSummary]],SUM(INDEX(Tasks[_LeafBudget],Tasks[[#This Row],[_Row]]+1):INDEX(Tasks[_LeafBudget],Tasks[[#This Row],[_Row]]+Tasks[[#This Row],[_Descendants]])),Tasks[[#This Row],[_LeafBudget]]))</f>
        <v/>
      </c>
      <c r="BG79" s="99" t="str">
        <f aca="false">IF(Tasks[[#This Row],[Task Name]]="","",IF(Tasks[[#This Row],[_IsSummary]],SUM(INDEX(Tasks[_LeafPV],Tasks[[#This Row],[_Row]]+1):INDEX(Tasks[_LeafPV],Tasks[[#This Row],[_Row]]+Tasks[[#This Row],[_Descendants]])),Tasks[[#This Row],[_LeafPV]]))</f>
        <v/>
      </c>
      <c r="BH79" s="99" t="str">
        <f aca="false">IF(Tasks[[#This Row],[Task Name]]="","",IF(Tasks[[#This Row],[_IsSummary]],SUM(INDEX(Tasks[_LeafEV],Tasks[[#This Row],[_Row]]+1):INDEX(Tasks[_LeafEV],Tasks[[#This Row],[_Row]]+Tasks[[#This Row],[_Descendants]])),Tasks[[#This Row],[_LeafEV]]))</f>
        <v/>
      </c>
      <c r="BI79" s="99" t="str">
        <f aca="false">IF(Tasks[[#This Row],[Task Name]]="","",IF(Tasks[[#This Row],[_IsSummary]],SUM(INDEX(Tasks[_LeafAC],Tasks[[#This Row],[_Row]]+1):INDEX(Tasks[_LeafAC],Tasks[[#This Row],[_Row]]+Tasks[[#This Row],[_Descendants]])),Tasks[[#This Row],[_LeafAC]]))</f>
        <v/>
      </c>
      <c r="BJ79" s="41" t="str">
        <f aca="false">IF(Tasks[[#This Row],[Task Name]]="","",MAX(1,N(Tasks[[#This Row],[Level]])))</f>
        <v/>
      </c>
      <c r="BK79" s="41" t="n">
        <f aca="false">ROW()-ROW(Tasks[[#Headers],[ID]])</f>
        <v>74</v>
      </c>
      <c r="BL79" s="41" t="n">
        <f aca="false">IF(OR(Tasks[[#This Row],[Task Name]]="",Tasks[[#This Row],[_Level]]&lt;=1),0,IFERROR(LOOKUP(2,1/(Tasks[[#Headers],[_Level]]:Tasks[[#This Row],[_Level]]=Tasks[[#This Row],[_Level]]-1),ROW(Tasks[[#Headers],[_Level]]:Tasks[[#This Row],[_Level]])),0))</f>
        <v>0</v>
      </c>
      <c r="BM79" s="41" t="n">
        <f aca="false">IFERROR(N(INDEX(Tasks[_Level],Tasks[[#This Row],[_Row]]+1)),0)</f>
        <v>0</v>
      </c>
      <c r="BN79" s="102" t="b">
        <f aca="false">AND(Tasks[[#This Row],[Task Name]]&lt;&gt;"",Tasks[[#This Row],[_NextLevel]]&gt;Tasks[[#This Row],[_Level]])</f>
        <v>0</v>
      </c>
      <c r="BO79" s="41" t="n">
        <f aca="false">IF(Tasks[[#This Row],[_IsSummary]],COUNTIF(Tasks[WBS],Tasks[[#This Row],[WBS]]&amp;".*"),0)</f>
        <v>0</v>
      </c>
      <c r="BP79" s="41" t="n">
        <f aca="false">IF(AND(Tasks[[#This Row],[Task Name]]&lt;&gt;"",NOT(Tasks[[#This Row],[_IsSummary]])),1,0)</f>
        <v>0</v>
      </c>
      <c r="BQ79" s="41" t="n">
        <f aca="false">IF(N(Tasks[[#This Row],[Pred1 UID]])=0,0,IFERROR(MATCH(Tasks[[#This Row],[Pred1 UID]],Tasks[UID],0),-1))</f>
        <v>0</v>
      </c>
      <c r="BR79" s="41" t="n">
        <f aca="false">IF(N(Tasks[[#This Row],[Pred2 UID]])=0,0,IFERROR(MATCH(Tasks[[#This Row],[Pred2 UID]],Tasks[UID],0),-1))</f>
        <v>0</v>
      </c>
      <c r="BS7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9" s="103" t="str">
        <f aca="false">IF(NOT(Tasks[[#This Row],[_IsLeaf]]=1),"",IF(N(Tasks[[#This Row],[Duration]])&lt;=0,Tasks[[#This Row],[_LeafCalcStart]],WORKDAY.INTL(Tasks[[#This Row],[_LeafCalcStart]],Tasks[[#This Row],[Duration]]-1,WorkWeek,Holidays)))</f>
        <v/>
      </c>
      <c r="BU7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9" s="41" t="n">
        <f aca="false">IF(NOT(Tasks[[#This Row],[_IsLeaf]]=1),0,IF(N(Tasks[[#This Row],[Actual Finish]])&gt;0,1,MIN(1,N(Tasks[[#This Row],[% Complete]]))))</f>
        <v>0</v>
      </c>
      <c r="BX79" s="41" t="n">
        <f aca="false">IF(OR(NOT(Tasks[[#This Row],[_IsLeaf]]=1),Tasks[[#This Row],[Resource]]=""),0,N(Tasks[[#This Row],[Duration]])*HoursPerDay*IF(Tasks[[#This Row],[Units]]="",DefaultUnits,Tasks[[#This Row],[Units]]))</f>
        <v>0</v>
      </c>
      <c r="BY79" s="41" t="n">
        <f aca="false">IF(Tasks[[#This Row],[_LeafWork]]=0,0,Tasks[[#This Row],[_LeafWork]]*IFERROR(INDEX(res_Rate,MATCH(Tasks[[#This Row],[Resource]],res_Name,0)),0))</f>
        <v>0</v>
      </c>
      <c r="BZ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9" s="41" t="n">
        <f aca="false">IF(NOT(Tasks[[#This Row],[_IsLeaf]]=1),0,MAX(_xlfn.MAXIFS(Tasks[_Row],Tasks[Pred1 UID],Tasks[[#This Row],[UID]]),_xlfn.MAXIFS(Tasks[_Row],Tasks[Pred2 UID],Tasks[[#This Row],[UID]])))</f>
        <v>0</v>
      </c>
      <c r="CE7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9" s="103" t="str">
        <f aca="false">IF(NOT(Tasks[[#This Row],[_IsLeaf]]=1),"",MIN(ProjectFinish,IF(N(Tasks[[#This Row],[Deadline]])&gt;0,Tasks[[#This Row],[Deadline]],2958465),Tasks[[#This Row],[_SuccessorFinishLimit]]))</f>
        <v/>
      </c>
      <c r="CG79" s="103" t="str">
        <f aca="false">IF(NOT(Tasks[[#This Row],[_IsLeaf]]=1),"",IF(N(Tasks[[#This Row],[Duration]])&lt;=0,Tasks[[#This Row],[_LeafLateFinish]],WORKDAY.INTL(Tasks[[#This Row],[_LeafLateFinish]],-(Tasks[[#This Row],[Duration]]-1),WorkWeek,Holidays)))</f>
        <v/>
      </c>
      <c r="CH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9" s="102" t="b">
        <f aca="false">AND(Tasks[[#This Row],[_IsLeaf]]=1,Tasks[[#This Row],[_LeafProgress]]&lt;1,N(Tasks[[#This Row],[_LeafTotalSlack]])&lt;=CriticalSlackDays)</f>
        <v>0</v>
      </c>
      <c r="CJ79" s="103" t="str">
        <f aca="false">IF(Tasks[[#This Row],[Task Name]]="","",IF(Tasks[[#This Row],[_IsSummary]],MIN(INDEX(Tasks[_LeafCalcStart],Tasks[[#This Row],[_Row]]+1):INDEX(Tasks[_LeafCalcStart],Tasks[[#This Row],[_Row]]+Tasks[[#This Row],[_Descendants]])),Tasks[[#This Row],[_LeafCalcStart]]))</f>
        <v/>
      </c>
      <c r="CK79" s="103" t="str">
        <f aca="false">IF(Tasks[[#This Row],[Task Name]]="","",IF(Tasks[[#This Row],[_IsSummary]],MAX(INDEX(Tasks[_LeafCalcFinish],Tasks[[#This Row],[_Row]]+1):INDEX(Tasks[_LeafCalcFinish],Tasks[[#This Row],[_Row]]+Tasks[[#This Row],[_Descendants]])),Tasks[[#This Row],[_LeafCalcFinish]]))</f>
        <v/>
      </c>
      <c r="CL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9" s="41" t="n">
        <f aca="false">IF(AND(Tasks[[#This Row],[_IsLeaf]]=1,Tasks[[#This Row],[_LeafWork]]&gt;0),NETWORKDAYS.INTL(ProjectStart,Tasks[[#This Row],[_LeafFcstStart]],WorkWeek,Holidays),0)</f>
        <v>0</v>
      </c>
      <c r="CS79" s="41" t="n">
        <f aca="false">IF(AND(Tasks[[#This Row],[_IsLeaf]]=1,Tasks[[#This Row],[_LeafWork]]&gt;0),MAX(Tasks[[#This Row],[_StartWorkday]],NETWORKDAYS.INTL(ProjectStart,Tasks[[#This Row],[_LeafFcstFinish]],WorkWeek,Holidays)),0)</f>
        <v>0</v>
      </c>
      <c r="CT79" s="41" t="n">
        <f aca="false">IF(AND(Tasks[[#This Row],[_IsLeaf]]=1,Tasks[[#This Row],[_LeafWork]]&gt;0),Tasks[[#This Row],[_LeafWork]]/(Tasks[[#This Row],[_FinishWorkday]]-Tasks[[#This Row],[_StartWorkday]]+1),0)</f>
        <v>0</v>
      </c>
      <c r="CU79" s="41" t="n">
        <f aca="false">Tasks[[#This Row],[_WorkPerWorkday]]*(Tasks[[#This Row],[_StartWorkday]]-1)</f>
        <v>-0</v>
      </c>
      <c r="CV79" s="41" t="n">
        <f aca="false">IF(Tasks[[#This Row],[_IsLeaf]]=1,MAX(N(Tasks[[#This Row],[Duration]]),0.1),0)</f>
        <v>0</v>
      </c>
      <c r="CW79" s="41" t="n">
        <f aca="false">Tasks[[#This Row],[_WeightDur]]*Tasks[[#This Row],[_LeafProgress]]</f>
        <v>0</v>
      </c>
      <c r="CX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9" s="41" t="str">
        <f aca="false">IF(Tasks[[#This Row],[Task Name]]="","",Tasks[[#This Row],[_Pred1UIDText]]&amp;IF(AND(Tasks[[#This Row],[_Pred1UIDText]]&lt;&gt;"",Tasks[[#This Row],[_Pred2UIDText]]&lt;&gt;""),",","")&amp;Tasks[[#This Row],[_Pred2UIDText]])</f>
        <v/>
      </c>
      <c r="DC79" s="41" t="str">
        <f aca="false">IF(AND(Tasks[[#This Row],[_IsLeaf]]=1,N(Tasks[[#This Row],[Duration]])=0,Tasks[[#This Row],[_LeafProgress]]&lt;1),Tasks[[#This Row],[_LeafFcstFinish]]+Tasks[[#This Row],[_Row]]/100000,"")</f>
        <v/>
      </c>
      <c r="DD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9" s="41" t="n">
        <f aca="false">IF(NOT(Tasks[[#This Row],[_IsLeaf]]=1),0,IF(Tasks[[#This Row],[Baseline Cost]]="",Tasks[[#This Row],[_LeafCost]],N(Tasks[[#This Row],[Baseline Cost]])))</f>
        <v>0</v>
      </c>
      <c r="DF79" s="41" t="n">
        <f aca="false">Tasks[[#This Row],[_LeafBudget]]*Tasks[[#This Row],[_PlannedPct]]</f>
        <v>0</v>
      </c>
      <c r="DG79" s="41" t="n">
        <f aca="false">Tasks[[#This Row],[_LeafBudget]]*Tasks[[#This Row],[_LeafProgress]]</f>
        <v>0</v>
      </c>
      <c r="DH79" s="41" t="n">
        <f aca="false">IF(NOT(Tasks[[#This Row],[_IsLeaf]]=1),0,IF(Tasks[[#This Row],[Actual Cost]]="",Tasks[[#This Row],[_LeafCost]]*Tasks[[#This Row],[_LeafProgress]],N(Tasks[[#This Row],[Actual Cost]])))</f>
        <v>0</v>
      </c>
      <c r="DI79" s="41" t="str">
        <f aca="false">IF(Tasks[[#This Row],[Task Name]]="","",LEFT(Tasks[[#This Row],[WBS]],FIND(".",Tasks[[#This Row],[WBS]]&amp;".")-1))</f>
        <v/>
      </c>
      <c r="DJ79" s="41" t="str">
        <f aca="false">IF(AND(Tasks[[#This Row],[Task Name]]&lt;&gt;"",Tasks[[#This Row],[_Level]]=1),Tasks[[#This Row],[_Row]],"")</f>
        <v/>
      </c>
      <c r="DK79" s="41" t="str">
        <f aca="false">IF(AND(Tasks[[#This Row],[_IsLeaf]]=1,N(Tasks[[#This Row],[Duration]])=0),Tasks[[#This Row],[Planned Finish]]+Tasks[[#This Row],[_Row]]/100000,"")</f>
        <v/>
      </c>
      <c r="DL79" s="41" t="str">
        <f aca="false">IF(AND(Tasks[[#This Row],[_IsLeaf]]=1,Tasks[[#This Row],[_LeafProgress]]&lt;1,OR(N(Tasks[[#This Row],[Finish Var]])&gt;0,Tasks[[#This Row],[Status]]="Late Start")),MAX(0,Tasks[[#This Row],[Finish Var]])+1-Tasks[[#This Row],[_Row]]/1000000,"")</f>
        <v/>
      </c>
      <c r="DM79" s="41" t="str">
        <f aca="false">IF(AND(Tasks[[#This Row],[_IsLeaf]]=1,N(Tasks[[#This Row],[Actual Start]])=0,Tasks[[#This Row],[_LeafFcstStart]]&gt;=StatusDate,Tasks[[#This Row],[_LeafFcstStart]]&lt;=LookaheadEnd),Tasks[[#This Row],[_LeafFcstStart]]+Tasks[[#This Row],[_Row]]/100000,"")</f>
        <v/>
      </c>
      <c r="DN79" s="41" t="str">
        <f aca="false">IF(AND(Tasks[[#This Row],[_IsLeaf]]=1,Tasks[[#This Row],[_LeafProgress]]&lt;1,Tasks[[#This Row],[_LeafFcstFinish]]&gt;=StatusDate,Tasks[[#This Row],[_LeafFcstFinish]]&lt;=LookaheadEnd),Tasks[[#This Row],[_LeafFcstFinish]]+Tasks[[#This Row],[_Row]]/100000,"")</f>
        <v/>
      </c>
      <c r="DO79" s="41" t="str">
        <f aca="false">IF(Tasks[[#This Row],[_LeafCritical]],Tasks[[#This Row],[_LeafFcstStart]]+Tasks[[#This Row],[_Row]]/100000,"")</f>
        <v/>
      </c>
      <c r="DP79" s="41" t="n">
        <f aca="false">Tasks[[#This Row],[_LeafWork]]*Tasks[[#This Row],[_LeafProgress]]</f>
        <v>0</v>
      </c>
      <c r="DQ79" s="103" t="str">
        <f aca="false">IF(AND(Tasks[[#This Row],[_IsLeaf]]=1,Tasks[[#This Row],[_LeafProgress]]&gt;=1),IF(N(Tasks[[#This Row],[Actual Finish]])&gt;0,Tasks[[#This Row],[Actual Finish]],Tasks[[#This Row],[_LeafFcstFinish]]),"")</f>
        <v/>
      </c>
      <c r="DR79" s="41" t="n">
        <f aca="false">IF(Tasks[[#This Row],[_IsLeaf]]=1,N(Tasks[[#This Row],[Story Points]]),0)</f>
        <v>0</v>
      </c>
      <c r="DS79" s="41" t="str">
        <f aca="false">IF(AND(Tasks[[#This Row],[_IsLeaf]]=1,CurrentSprint&lt;&gt;"",Tasks[[#This Row],[Sprint]]=CurrentSprint),Tasks[[#This Row],[_Row]],"")</f>
        <v/>
      </c>
    </row>
    <row r="80" customFormat="false" ht="15" hidden="false" customHeight="false" outlineLevel="0" collapsed="false">
      <c r="A80" s="28" t="str">
        <f aca="false">IF(Tasks[[#This Row],[Task Name]]="","",COUNTA(Tasks[[#Headers],[Task Name]]:Tasks[[#This Row],[Task Name]])-1)</f>
        <v/>
      </c>
      <c r="B80" s="29" t="n">
        <v>75</v>
      </c>
      <c r="C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29"/>
      <c r="E80" s="30"/>
      <c r="F80" s="29"/>
      <c r="G80" s="29"/>
      <c r="H80" s="29"/>
      <c r="I80" s="29"/>
      <c r="J80" s="29"/>
      <c r="K80" s="29"/>
      <c r="L80" s="29"/>
      <c r="M80" s="29"/>
      <c r="N80" s="77"/>
      <c r="O80" s="77"/>
      <c r="P80" s="25" t="str">
        <f aca="false">IF(Tasks[[#This Row],[Task Name]]="","",IF(N(Tasks[[#This Row],[Baseline Start]])&gt;0,Tasks[[#This Row],[Baseline Start]],Tasks[[#This Row],[_CalcStart]]))</f>
        <v/>
      </c>
      <c r="Q80" s="25" t="str">
        <f aca="false">IF(Tasks[[#This Row],[Task Name]]="","",IF(N(Tasks[[#This Row],[Baseline Finish]])&gt;0,Tasks[[#This Row],[Baseline Finish]],Tasks[[#This Row],[_CalcFinish]]))</f>
        <v/>
      </c>
      <c r="R80" s="77"/>
      <c r="S80" s="77"/>
      <c r="T80" s="25" t="str">
        <f aca="false">IF(Tasks[[#This Row],[Task Name]]="","",IF(Tasks[[#This Row],[_IsSummary]],MIN(INDEX(Tasks[_LeafFcstStart],Tasks[[#This Row],[_Row]]+1):INDEX(Tasks[_LeafFcstStart],Tasks[[#This Row],[_Row]]+Tasks[[#This Row],[_Descendants]])),Tasks[[#This Row],[_LeafFcstStart]]))</f>
        <v/>
      </c>
      <c r="U80" s="25" t="str">
        <f aca="false">IF(Tasks[[#This Row],[Task Name]]="","",IF(Tasks[[#This Row],[_IsSummary]],MAX(INDEX(Tasks[_LeafFcstFinish],Tasks[[#This Row],[_Row]]+1):INDEX(Tasks[_LeafFcstFinish],Tasks[[#This Row],[_Row]]+Tasks[[#This Row],[_Descendants]])),Tasks[[#This Row],[_LeafFcstFinish]]))</f>
        <v/>
      </c>
      <c r="V8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0" s="25" t="str">
        <f aca="false">IF(Tasks[[#This Row],[Task Name]]="","",IF(Tasks[[#This Row],[_IsSummary]],MIN(INDEX(Tasks[_LeafLateStart],Tasks[[#This Row],[_Row]]+1):INDEX(Tasks[_LeafLateStart],Tasks[[#This Row],[_Row]]+Tasks[[#This Row],[_Descendants]])),Tasks[[#This Row],[_LeafLateStart]]))</f>
        <v/>
      </c>
      <c r="Y80" s="25" t="str">
        <f aca="false">IF(Tasks[[#This Row],[Task Name]]="","",IF(Tasks[[#This Row],[_IsSummary]],MAX(INDEX(Tasks[_LeafLateFinish],Tasks[[#This Row],[_Row]]+1):INDEX(Tasks[_LeafLateFinish],Tasks[[#This Row],[_Row]]+Tasks[[#This Row],[_Descendants]])),Tasks[[#This Row],[_LeafLateFinish]]))</f>
        <v/>
      </c>
      <c r="Z80" s="43" t="str">
        <f aca="false">IF(Tasks[[#This Row],[Task Name]]="","",IF(Tasks[[#This Row],[_IsSummary]],MIN(INDEX(Tasks[_LeafTotalSlack],Tasks[[#This Row],[_Row]]+1):INDEX(Tasks[_LeafTotalSlack],Tasks[[#This Row],[_Row]]+Tasks[[#This Row],[_Descendants]])),Tasks[[#This Row],[_LeafTotalSlack]]))</f>
        <v/>
      </c>
      <c r="AA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0" s="28" t="str">
        <f aca="false">IF(Tasks[[#This Row],[Task Name]]="","",IF(IF(Tasks[[#This Row],[_IsSummary]],COUNTIF(INDEX(Tasks[_LeafCritical],Tasks[[#This Row],[_Row]]+1):INDEX(Tasks[_LeafCritical],Tasks[[#This Row],[_Row]]+Tasks[[#This Row],[_Descendants]]),TRUE())&gt;0,Tasks[[#This Row],[_LeafCritical]]),"Yes",""))</f>
        <v/>
      </c>
      <c r="AC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0" s="24" t="str">
        <f aca="false">IF(Tasks[[#This Row],[Task Name]]="","",TRIM(IF(Tasks[[#This Row],[_Pred1Problem]]&lt;&gt;"","Pred 1: "&amp;Tasks[[#This Row],[_Pred1Problem]]&amp;". ","")&amp;IF(Tasks[[#This Row],[_Pred2Problem]]&lt;&gt;"","Pred 2: "&amp;Tasks[[#This Row],[_Pred2Problem]]&amp;".","")))</f>
        <v/>
      </c>
      <c r="AE80" s="91"/>
      <c r="AF8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0" s="28" t="str">
        <f aca="false">IF(Tasks[[#This Row],[Task Name]]="","",IF(Tasks[[#This Row],[Progress]]&gt;=1,"Complete",IF(OR(N(Tasks[[#This Row],[Actual Start]])&gt;0,Tasks[[#This Row],[Progress]]&gt;0),IF(Tasks[[#This Row],[Finish Var]]&gt;0,"Behind","In Progress"),IF(Tasks[[#This Row],[Planned Start]]&lt;StatusDate,"Late Start","Not Started"))))</f>
        <v/>
      </c>
      <c r="AH80" s="30"/>
      <c r="AI80" s="91"/>
      <c r="AJ8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0" s="98" t="str">
        <f aca="false">IF(Tasks[[#This Row],[Task Name]]="","",IF(Tasks[[#This Row],[_IsSummary]],SUM(INDEX(Tasks[_LeafWork],Tasks[[#This Row],[_Row]]+1):INDEX(Tasks[_LeafWork],Tasks[[#This Row],[_Row]]+Tasks[[#This Row],[_Descendants]])),Tasks[[#This Row],[_LeafWork]]))</f>
        <v/>
      </c>
      <c r="AL80" s="99" t="str">
        <f aca="false">IF(Tasks[[#This Row],[Task Name]]="","",IF(Tasks[[#This Row],[_IsSummary]],SUM(INDEX(Tasks[_LeafCost],Tasks[[#This Row],[_Row]]+1):INDEX(Tasks[_LeafCost],Tasks[[#This Row],[_Row]]+Tasks[[#This Row],[_Descendants]])),Tasks[[#This Row],[_LeafCost]]))</f>
        <v/>
      </c>
      <c r="AM80" s="100"/>
      <c r="AN80" s="29"/>
      <c r="AO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0" s="85"/>
      <c r="AQ80" s="24" t="str">
        <f aca="false">IF(Tasks[[#This Row],[Task Name]]="","",Tasks[[#This Row],[_Pred1IDText]]&amp;IF(AND(Tasks[[#This Row],[_Pred1IDText]]&lt;&gt;"",Tasks[[#This Row],[_Pred2IDText]]&lt;&gt;""),",","")&amp;Tasks[[#This Row],[_Pred2IDText]])</f>
        <v/>
      </c>
      <c r="AR80" s="30"/>
      <c r="AS80" s="25" t="str">
        <f aca="false">IF(Tasks[[#This Row],[Task Name]]="","",Tasks[[#This Row],[Forecast Start]])</f>
        <v/>
      </c>
      <c r="AT80" s="25" t="str">
        <f aca="false">IF(Tasks[[#This Row],[Task Name]]="","",Tasks[[#This Row],[Forecast Finish]])</f>
        <v/>
      </c>
      <c r="AU80" s="28" t="str">
        <f aca="false">IF(Tasks[[#This Row],[Task Name]]="","",IF(Tasks[[#This Row],[_IsSummary]],NETWORKDAYS.INTL(Tasks[[#This Row],[Forecast Start]],Tasks[[#This Row],[Forecast Finish]],WorkWeek,Holidays),N(Tasks[[#This Row],[Duration]])))</f>
        <v/>
      </c>
      <c r="AV80" s="98" t="str">
        <f aca="false">IF(Tasks[[#This Row],[Task Name]]="","",Tasks[[#This Row],[Work]])</f>
        <v/>
      </c>
      <c r="AW80" s="99" t="str">
        <f aca="false">IF(Tasks[[#This Row],[Task Name]]="","",Tasks[[#This Row],[Cost]])</f>
        <v/>
      </c>
      <c r="AX80" s="77"/>
      <c r="AY80" s="77"/>
      <c r="AZ80" s="29"/>
      <c r="BA80" s="101"/>
      <c r="BB80" s="100"/>
      <c r="BC80" s="28" t="str">
        <f aca="false">IF(OR(Tasks[[#This Row],[Task Name]]="",Tasks[[#This Row],[Baseline Duration]]=""),"",Tasks[[#This Row],[BL Source Duration]]-N(Tasks[[#This Row],[Baseline Duration]]))</f>
        <v/>
      </c>
      <c r="BD80" s="98" t="str">
        <f aca="false">IF(OR(Tasks[[#This Row],[Task Name]]="",Tasks[[#This Row],[Baseline Work]]=""),"",Tasks[[#This Row],[Work]]-N(Tasks[[#This Row],[Baseline Work]]))</f>
        <v/>
      </c>
      <c r="BE80" s="99" t="str">
        <f aca="false">IF(OR(Tasks[[#This Row],[Task Name]]="",Tasks[[#This Row],[Baseline Cost]]=""),"",Tasks[[#This Row],[Cost]]-N(Tasks[[#This Row],[Baseline Cost]]))</f>
        <v/>
      </c>
      <c r="BF80" s="99" t="str">
        <f aca="false">IF(Tasks[[#This Row],[Task Name]]="","",IF(Tasks[[#This Row],[_IsSummary]],SUM(INDEX(Tasks[_LeafBudget],Tasks[[#This Row],[_Row]]+1):INDEX(Tasks[_LeafBudget],Tasks[[#This Row],[_Row]]+Tasks[[#This Row],[_Descendants]])),Tasks[[#This Row],[_LeafBudget]]))</f>
        <v/>
      </c>
      <c r="BG80" s="99" t="str">
        <f aca="false">IF(Tasks[[#This Row],[Task Name]]="","",IF(Tasks[[#This Row],[_IsSummary]],SUM(INDEX(Tasks[_LeafPV],Tasks[[#This Row],[_Row]]+1):INDEX(Tasks[_LeafPV],Tasks[[#This Row],[_Row]]+Tasks[[#This Row],[_Descendants]])),Tasks[[#This Row],[_LeafPV]]))</f>
        <v/>
      </c>
      <c r="BH80" s="99" t="str">
        <f aca="false">IF(Tasks[[#This Row],[Task Name]]="","",IF(Tasks[[#This Row],[_IsSummary]],SUM(INDEX(Tasks[_LeafEV],Tasks[[#This Row],[_Row]]+1):INDEX(Tasks[_LeafEV],Tasks[[#This Row],[_Row]]+Tasks[[#This Row],[_Descendants]])),Tasks[[#This Row],[_LeafEV]]))</f>
        <v/>
      </c>
      <c r="BI80" s="99" t="str">
        <f aca="false">IF(Tasks[[#This Row],[Task Name]]="","",IF(Tasks[[#This Row],[_IsSummary]],SUM(INDEX(Tasks[_LeafAC],Tasks[[#This Row],[_Row]]+1):INDEX(Tasks[_LeafAC],Tasks[[#This Row],[_Row]]+Tasks[[#This Row],[_Descendants]])),Tasks[[#This Row],[_LeafAC]]))</f>
        <v/>
      </c>
      <c r="BJ80" s="41" t="str">
        <f aca="false">IF(Tasks[[#This Row],[Task Name]]="","",MAX(1,N(Tasks[[#This Row],[Level]])))</f>
        <v/>
      </c>
      <c r="BK80" s="41" t="n">
        <f aca="false">ROW()-ROW(Tasks[[#Headers],[ID]])</f>
        <v>75</v>
      </c>
      <c r="BL80" s="41" t="n">
        <f aca="false">IF(OR(Tasks[[#This Row],[Task Name]]="",Tasks[[#This Row],[_Level]]&lt;=1),0,IFERROR(LOOKUP(2,1/(Tasks[[#Headers],[_Level]]:Tasks[[#This Row],[_Level]]=Tasks[[#This Row],[_Level]]-1),ROW(Tasks[[#Headers],[_Level]]:Tasks[[#This Row],[_Level]])),0))</f>
        <v>0</v>
      </c>
      <c r="BM80" s="41" t="n">
        <f aca="false">IFERROR(N(INDEX(Tasks[_Level],Tasks[[#This Row],[_Row]]+1)),0)</f>
        <v>0</v>
      </c>
      <c r="BN80" s="102" t="b">
        <f aca="false">AND(Tasks[[#This Row],[Task Name]]&lt;&gt;"",Tasks[[#This Row],[_NextLevel]]&gt;Tasks[[#This Row],[_Level]])</f>
        <v>0</v>
      </c>
      <c r="BO80" s="41" t="n">
        <f aca="false">IF(Tasks[[#This Row],[_IsSummary]],COUNTIF(Tasks[WBS],Tasks[[#This Row],[WBS]]&amp;".*"),0)</f>
        <v>0</v>
      </c>
      <c r="BP80" s="41" t="n">
        <f aca="false">IF(AND(Tasks[[#This Row],[Task Name]]&lt;&gt;"",NOT(Tasks[[#This Row],[_IsSummary]])),1,0)</f>
        <v>0</v>
      </c>
      <c r="BQ80" s="41" t="n">
        <f aca="false">IF(N(Tasks[[#This Row],[Pred1 UID]])=0,0,IFERROR(MATCH(Tasks[[#This Row],[Pred1 UID]],Tasks[UID],0),-1))</f>
        <v>0</v>
      </c>
      <c r="BR80" s="41" t="n">
        <f aca="false">IF(N(Tasks[[#This Row],[Pred2 UID]])=0,0,IFERROR(MATCH(Tasks[[#This Row],[Pred2 UID]],Tasks[UID],0),-1))</f>
        <v>0</v>
      </c>
      <c r="BS8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0" s="103" t="str">
        <f aca="false">IF(NOT(Tasks[[#This Row],[_IsLeaf]]=1),"",IF(N(Tasks[[#This Row],[Duration]])&lt;=0,Tasks[[#This Row],[_LeafCalcStart]],WORKDAY.INTL(Tasks[[#This Row],[_LeafCalcStart]],Tasks[[#This Row],[Duration]]-1,WorkWeek,Holidays)))</f>
        <v/>
      </c>
      <c r="BU8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0" s="41" t="n">
        <f aca="false">IF(NOT(Tasks[[#This Row],[_IsLeaf]]=1),0,IF(N(Tasks[[#This Row],[Actual Finish]])&gt;0,1,MIN(1,N(Tasks[[#This Row],[% Complete]]))))</f>
        <v>0</v>
      </c>
      <c r="BX80" s="41" t="n">
        <f aca="false">IF(OR(NOT(Tasks[[#This Row],[_IsLeaf]]=1),Tasks[[#This Row],[Resource]]=""),0,N(Tasks[[#This Row],[Duration]])*HoursPerDay*IF(Tasks[[#This Row],[Units]]="",DefaultUnits,Tasks[[#This Row],[Units]]))</f>
        <v>0</v>
      </c>
      <c r="BY80" s="41" t="n">
        <f aca="false">IF(Tasks[[#This Row],[_LeafWork]]=0,0,Tasks[[#This Row],[_LeafWork]]*IFERROR(INDEX(res_Rate,MATCH(Tasks[[#This Row],[Resource]],res_Name,0)),0))</f>
        <v>0</v>
      </c>
      <c r="BZ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0" s="41" t="n">
        <f aca="false">IF(NOT(Tasks[[#This Row],[_IsLeaf]]=1),0,MAX(_xlfn.MAXIFS(Tasks[_Row],Tasks[Pred1 UID],Tasks[[#This Row],[UID]]),_xlfn.MAXIFS(Tasks[_Row],Tasks[Pred2 UID],Tasks[[#This Row],[UID]])))</f>
        <v>0</v>
      </c>
      <c r="CE8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0" s="103" t="str">
        <f aca="false">IF(NOT(Tasks[[#This Row],[_IsLeaf]]=1),"",MIN(ProjectFinish,IF(N(Tasks[[#This Row],[Deadline]])&gt;0,Tasks[[#This Row],[Deadline]],2958465),Tasks[[#This Row],[_SuccessorFinishLimit]]))</f>
        <v/>
      </c>
      <c r="CG80" s="103" t="str">
        <f aca="false">IF(NOT(Tasks[[#This Row],[_IsLeaf]]=1),"",IF(N(Tasks[[#This Row],[Duration]])&lt;=0,Tasks[[#This Row],[_LeafLateFinish]],WORKDAY.INTL(Tasks[[#This Row],[_LeafLateFinish]],-(Tasks[[#This Row],[Duration]]-1),WorkWeek,Holidays)))</f>
        <v/>
      </c>
      <c r="CH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0" s="102" t="b">
        <f aca="false">AND(Tasks[[#This Row],[_IsLeaf]]=1,Tasks[[#This Row],[_LeafProgress]]&lt;1,N(Tasks[[#This Row],[_LeafTotalSlack]])&lt;=CriticalSlackDays)</f>
        <v>0</v>
      </c>
      <c r="CJ80" s="103" t="str">
        <f aca="false">IF(Tasks[[#This Row],[Task Name]]="","",IF(Tasks[[#This Row],[_IsSummary]],MIN(INDEX(Tasks[_LeafCalcStart],Tasks[[#This Row],[_Row]]+1):INDEX(Tasks[_LeafCalcStart],Tasks[[#This Row],[_Row]]+Tasks[[#This Row],[_Descendants]])),Tasks[[#This Row],[_LeafCalcStart]]))</f>
        <v/>
      </c>
      <c r="CK80" s="103" t="str">
        <f aca="false">IF(Tasks[[#This Row],[Task Name]]="","",IF(Tasks[[#This Row],[_IsSummary]],MAX(INDEX(Tasks[_LeafCalcFinish],Tasks[[#This Row],[_Row]]+1):INDEX(Tasks[_LeafCalcFinish],Tasks[[#This Row],[_Row]]+Tasks[[#This Row],[_Descendants]])),Tasks[[#This Row],[_LeafCalcFinish]]))</f>
        <v/>
      </c>
      <c r="CL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0" s="41" t="n">
        <f aca="false">IF(AND(Tasks[[#This Row],[_IsLeaf]]=1,Tasks[[#This Row],[_LeafWork]]&gt;0),NETWORKDAYS.INTL(ProjectStart,Tasks[[#This Row],[_LeafFcstStart]],WorkWeek,Holidays),0)</f>
        <v>0</v>
      </c>
      <c r="CS80" s="41" t="n">
        <f aca="false">IF(AND(Tasks[[#This Row],[_IsLeaf]]=1,Tasks[[#This Row],[_LeafWork]]&gt;0),MAX(Tasks[[#This Row],[_StartWorkday]],NETWORKDAYS.INTL(ProjectStart,Tasks[[#This Row],[_LeafFcstFinish]],WorkWeek,Holidays)),0)</f>
        <v>0</v>
      </c>
      <c r="CT80" s="41" t="n">
        <f aca="false">IF(AND(Tasks[[#This Row],[_IsLeaf]]=1,Tasks[[#This Row],[_LeafWork]]&gt;0),Tasks[[#This Row],[_LeafWork]]/(Tasks[[#This Row],[_FinishWorkday]]-Tasks[[#This Row],[_StartWorkday]]+1),0)</f>
        <v>0</v>
      </c>
      <c r="CU80" s="41" t="n">
        <f aca="false">Tasks[[#This Row],[_WorkPerWorkday]]*(Tasks[[#This Row],[_StartWorkday]]-1)</f>
        <v>-0</v>
      </c>
      <c r="CV80" s="41" t="n">
        <f aca="false">IF(Tasks[[#This Row],[_IsLeaf]]=1,MAX(N(Tasks[[#This Row],[Duration]]),0.1),0)</f>
        <v>0</v>
      </c>
      <c r="CW80" s="41" t="n">
        <f aca="false">Tasks[[#This Row],[_WeightDur]]*Tasks[[#This Row],[_LeafProgress]]</f>
        <v>0</v>
      </c>
      <c r="CX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0" s="41" t="str">
        <f aca="false">IF(Tasks[[#This Row],[Task Name]]="","",Tasks[[#This Row],[_Pred1UIDText]]&amp;IF(AND(Tasks[[#This Row],[_Pred1UIDText]]&lt;&gt;"",Tasks[[#This Row],[_Pred2UIDText]]&lt;&gt;""),",","")&amp;Tasks[[#This Row],[_Pred2UIDText]])</f>
        <v/>
      </c>
      <c r="DC80" s="41" t="str">
        <f aca="false">IF(AND(Tasks[[#This Row],[_IsLeaf]]=1,N(Tasks[[#This Row],[Duration]])=0,Tasks[[#This Row],[_LeafProgress]]&lt;1),Tasks[[#This Row],[_LeafFcstFinish]]+Tasks[[#This Row],[_Row]]/100000,"")</f>
        <v/>
      </c>
      <c r="DD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0" s="41" t="n">
        <f aca="false">IF(NOT(Tasks[[#This Row],[_IsLeaf]]=1),0,IF(Tasks[[#This Row],[Baseline Cost]]="",Tasks[[#This Row],[_LeafCost]],N(Tasks[[#This Row],[Baseline Cost]])))</f>
        <v>0</v>
      </c>
      <c r="DF80" s="41" t="n">
        <f aca="false">Tasks[[#This Row],[_LeafBudget]]*Tasks[[#This Row],[_PlannedPct]]</f>
        <v>0</v>
      </c>
      <c r="DG80" s="41" t="n">
        <f aca="false">Tasks[[#This Row],[_LeafBudget]]*Tasks[[#This Row],[_LeafProgress]]</f>
        <v>0</v>
      </c>
      <c r="DH80" s="41" t="n">
        <f aca="false">IF(NOT(Tasks[[#This Row],[_IsLeaf]]=1),0,IF(Tasks[[#This Row],[Actual Cost]]="",Tasks[[#This Row],[_LeafCost]]*Tasks[[#This Row],[_LeafProgress]],N(Tasks[[#This Row],[Actual Cost]])))</f>
        <v>0</v>
      </c>
      <c r="DI80" s="41" t="str">
        <f aca="false">IF(Tasks[[#This Row],[Task Name]]="","",LEFT(Tasks[[#This Row],[WBS]],FIND(".",Tasks[[#This Row],[WBS]]&amp;".")-1))</f>
        <v/>
      </c>
      <c r="DJ80" s="41" t="str">
        <f aca="false">IF(AND(Tasks[[#This Row],[Task Name]]&lt;&gt;"",Tasks[[#This Row],[_Level]]=1),Tasks[[#This Row],[_Row]],"")</f>
        <v/>
      </c>
      <c r="DK80" s="41" t="str">
        <f aca="false">IF(AND(Tasks[[#This Row],[_IsLeaf]]=1,N(Tasks[[#This Row],[Duration]])=0),Tasks[[#This Row],[Planned Finish]]+Tasks[[#This Row],[_Row]]/100000,"")</f>
        <v/>
      </c>
      <c r="DL80" s="41" t="str">
        <f aca="false">IF(AND(Tasks[[#This Row],[_IsLeaf]]=1,Tasks[[#This Row],[_LeafProgress]]&lt;1,OR(N(Tasks[[#This Row],[Finish Var]])&gt;0,Tasks[[#This Row],[Status]]="Late Start")),MAX(0,Tasks[[#This Row],[Finish Var]])+1-Tasks[[#This Row],[_Row]]/1000000,"")</f>
        <v/>
      </c>
      <c r="DM80" s="41" t="str">
        <f aca="false">IF(AND(Tasks[[#This Row],[_IsLeaf]]=1,N(Tasks[[#This Row],[Actual Start]])=0,Tasks[[#This Row],[_LeafFcstStart]]&gt;=StatusDate,Tasks[[#This Row],[_LeafFcstStart]]&lt;=LookaheadEnd),Tasks[[#This Row],[_LeafFcstStart]]+Tasks[[#This Row],[_Row]]/100000,"")</f>
        <v/>
      </c>
      <c r="DN80" s="41" t="str">
        <f aca="false">IF(AND(Tasks[[#This Row],[_IsLeaf]]=1,Tasks[[#This Row],[_LeafProgress]]&lt;1,Tasks[[#This Row],[_LeafFcstFinish]]&gt;=StatusDate,Tasks[[#This Row],[_LeafFcstFinish]]&lt;=LookaheadEnd),Tasks[[#This Row],[_LeafFcstFinish]]+Tasks[[#This Row],[_Row]]/100000,"")</f>
        <v/>
      </c>
      <c r="DO80" s="41" t="str">
        <f aca="false">IF(Tasks[[#This Row],[_LeafCritical]],Tasks[[#This Row],[_LeafFcstStart]]+Tasks[[#This Row],[_Row]]/100000,"")</f>
        <v/>
      </c>
      <c r="DP80" s="41" t="n">
        <f aca="false">Tasks[[#This Row],[_LeafWork]]*Tasks[[#This Row],[_LeafProgress]]</f>
        <v>0</v>
      </c>
      <c r="DQ80" s="103" t="str">
        <f aca="false">IF(AND(Tasks[[#This Row],[_IsLeaf]]=1,Tasks[[#This Row],[_LeafProgress]]&gt;=1),IF(N(Tasks[[#This Row],[Actual Finish]])&gt;0,Tasks[[#This Row],[Actual Finish]],Tasks[[#This Row],[_LeafFcstFinish]]),"")</f>
        <v/>
      </c>
      <c r="DR80" s="41" t="n">
        <f aca="false">IF(Tasks[[#This Row],[_IsLeaf]]=1,N(Tasks[[#This Row],[Story Points]]),0)</f>
        <v>0</v>
      </c>
      <c r="DS80" s="41" t="str">
        <f aca="false">IF(AND(Tasks[[#This Row],[_IsLeaf]]=1,CurrentSprint&lt;&gt;"",Tasks[[#This Row],[Sprint]]=CurrentSprint),Tasks[[#This Row],[_Row]],"")</f>
        <v/>
      </c>
    </row>
    <row r="81" customFormat="false" ht="15" hidden="false" customHeight="false" outlineLevel="0" collapsed="false">
      <c r="A81" s="28" t="str">
        <f aca="false">IF(Tasks[[#This Row],[Task Name]]="","",COUNTA(Tasks[[#Headers],[Task Name]]:Tasks[[#This Row],[Task Name]])-1)</f>
        <v/>
      </c>
      <c r="B81" s="29" t="n">
        <v>76</v>
      </c>
      <c r="C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29"/>
      <c r="E81" s="30"/>
      <c r="F81" s="29"/>
      <c r="G81" s="29"/>
      <c r="H81" s="29"/>
      <c r="I81" s="29"/>
      <c r="J81" s="29"/>
      <c r="K81" s="29"/>
      <c r="L81" s="29"/>
      <c r="M81" s="29"/>
      <c r="N81" s="77"/>
      <c r="O81" s="77"/>
      <c r="P81" s="25" t="str">
        <f aca="false">IF(Tasks[[#This Row],[Task Name]]="","",IF(N(Tasks[[#This Row],[Baseline Start]])&gt;0,Tasks[[#This Row],[Baseline Start]],Tasks[[#This Row],[_CalcStart]]))</f>
        <v/>
      </c>
      <c r="Q81" s="25" t="str">
        <f aca="false">IF(Tasks[[#This Row],[Task Name]]="","",IF(N(Tasks[[#This Row],[Baseline Finish]])&gt;0,Tasks[[#This Row],[Baseline Finish]],Tasks[[#This Row],[_CalcFinish]]))</f>
        <v/>
      </c>
      <c r="R81" s="77"/>
      <c r="S81" s="77"/>
      <c r="T81" s="25" t="str">
        <f aca="false">IF(Tasks[[#This Row],[Task Name]]="","",IF(Tasks[[#This Row],[_IsSummary]],MIN(INDEX(Tasks[_LeafFcstStart],Tasks[[#This Row],[_Row]]+1):INDEX(Tasks[_LeafFcstStart],Tasks[[#This Row],[_Row]]+Tasks[[#This Row],[_Descendants]])),Tasks[[#This Row],[_LeafFcstStart]]))</f>
        <v/>
      </c>
      <c r="U81" s="25" t="str">
        <f aca="false">IF(Tasks[[#This Row],[Task Name]]="","",IF(Tasks[[#This Row],[_IsSummary]],MAX(INDEX(Tasks[_LeafFcstFinish],Tasks[[#This Row],[_Row]]+1):INDEX(Tasks[_LeafFcstFinish],Tasks[[#This Row],[_Row]]+Tasks[[#This Row],[_Descendants]])),Tasks[[#This Row],[_LeafFcstFinish]]))</f>
        <v/>
      </c>
      <c r="V8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1" s="25" t="str">
        <f aca="false">IF(Tasks[[#This Row],[Task Name]]="","",IF(Tasks[[#This Row],[_IsSummary]],MIN(INDEX(Tasks[_LeafLateStart],Tasks[[#This Row],[_Row]]+1):INDEX(Tasks[_LeafLateStart],Tasks[[#This Row],[_Row]]+Tasks[[#This Row],[_Descendants]])),Tasks[[#This Row],[_LeafLateStart]]))</f>
        <v/>
      </c>
      <c r="Y81" s="25" t="str">
        <f aca="false">IF(Tasks[[#This Row],[Task Name]]="","",IF(Tasks[[#This Row],[_IsSummary]],MAX(INDEX(Tasks[_LeafLateFinish],Tasks[[#This Row],[_Row]]+1):INDEX(Tasks[_LeafLateFinish],Tasks[[#This Row],[_Row]]+Tasks[[#This Row],[_Descendants]])),Tasks[[#This Row],[_LeafLateFinish]]))</f>
        <v/>
      </c>
      <c r="Z81" s="43" t="str">
        <f aca="false">IF(Tasks[[#This Row],[Task Name]]="","",IF(Tasks[[#This Row],[_IsSummary]],MIN(INDEX(Tasks[_LeafTotalSlack],Tasks[[#This Row],[_Row]]+1):INDEX(Tasks[_LeafTotalSlack],Tasks[[#This Row],[_Row]]+Tasks[[#This Row],[_Descendants]])),Tasks[[#This Row],[_LeafTotalSlack]]))</f>
        <v/>
      </c>
      <c r="AA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1" s="28" t="str">
        <f aca="false">IF(Tasks[[#This Row],[Task Name]]="","",IF(IF(Tasks[[#This Row],[_IsSummary]],COUNTIF(INDEX(Tasks[_LeafCritical],Tasks[[#This Row],[_Row]]+1):INDEX(Tasks[_LeafCritical],Tasks[[#This Row],[_Row]]+Tasks[[#This Row],[_Descendants]]),TRUE())&gt;0,Tasks[[#This Row],[_LeafCritical]]),"Yes",""))</f>
        <v/>
      </c>
      <c r="AC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1" s="24" t="str">
        <f aca="false">IF(Tasks[[#This Row],[Task Name]]="","",TRIM(IF(Tasks[[#This Row],[_Pred1Problem]]&lt;&gt;"","Pred 1: "&amp;Tasks[[#This Row],[_Pred1Problem]]&amp;". ","")&amp;IF(Tasks[[#This Row],[_Pred2Problem]]&lt;&gt;"","Pred 2: "&amp;Tasks[[#This Row],[_Pred2Problem]]&amp;".","")))</f>
        <v/>
      </c>
      <c r="AE81" s="91"/>
      <c r="AF8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1" s="28" t="str">
        <f aca="false">IF(Tasks[[#This Row],[Task Name]]="","",IF(Tasks[[#This Row],[Progress]]&gt;=1,"Complete",IF(OR(N(Tasks[[#This Row],[Actual Start]])&gt;0,Tasks[[#This Row],[Progress]]&gt;0),IF(Tasks[[#This Row],[Finish Var]]&gt;0,"Behind","In Progress"),IF(Tasks[[#This Row],[Planned Start]]&lt;StatusDate,"Late Start","Not Started"))))</f>
        <v/>
      </c>
      <c r="AH81" s="30"/>
      <c r="AI81" s="91"/>
      <c r="AJ8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1" s="98" t="str">
        <f aca="false">IF(Tasks[[#This Row],[Task Name]]="","",IF(Tasks[[#This Row],[_IsSummary]],SUM(INDEX(Tasks[_LeafWork],Tasks[[#This Row],[_Row]]+1):INDEX(Tasks[_LeafWork],Tasks[[#This Row],[_Row]]+Tasks[[#This Row],[_Descendants]])),Tasks[[#This Row],[_LeafWork]]))</f>
        <v/>
      </c>
      <c r="AL81" s="99" t="str">
        <f aca="false">IF(Tasks[[#This Row],[Task Name]]="","",IF(Tasks[[#This Row],[_IsSummary]],SUM(INDEX(Tasks[_LeafCost],Tasks[[#This Row],[_Row]]+1):INDEX(Tasks[_LeafCost],Tasks[[#This Row],[_Row]]+Tasks[[#This Row],[_Descendants]])),Tasks[[#This Row],[_LeafCost]]))</f>
        <v/>
      </c>
      <c r="AM81" s="100"/>
      <c r="AN81" s="29"/>
      <c r="AO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1" s="85"/>
      <c r="AQ81" s="24" t="str">
        <f aca="false">IF(Tasks[[#This Row],[Task Name]]="","",Tasks[[#This Row],[_Pred1IDText]]&amp;IF(AND(Tasks[[#This Row],[_Pred1IDText]]&lt;&gt;"",Tasks[[#This Row],[_Pred2IDText]]&lt;&gt;""),",","")&amp;Tasks[[#This Row],[_Pred2IDText]])</f>
        <v/>
      </c>
      <c r="AR81" s="30"/>
      <c r="AS81" s="25" t="str">
        <f aca="false">IF(Tasks[[#This Row],[Task Name]]="","",Tasks[[#This Row],[Forecast Start]])</f>
        <v/>
      </c>
      <c r="AT81" s="25" t="str">
        <f aca="false">IF(Tasks[[#This Row],[Task Name]]="","",Tasks[[#This Row],[Forecast Finish]])</f>
        <v/>
      </c>
      <c r="AU81" s="28" t="str">
        <f aca="false">IF(Tasks[[#This Row],[Task Name]]="","",IF(Tasks[[#This Row],[_IsSummary]],NETWORKDAYS.INTL(Tasks[[#This Row],[Forecast Start]],Tasks[[#This Row],[Forecast Finish]],WorkWeek,Holidays),N(Tasks[[#This Row],[Duration]])))</f>
        <v/>
      </c>
      <c r="AV81" s="98" t="str">
        <f aca="false">IF(Tasks[[#This Row],[Task Name]]="","",Tasks[[#This Row],[Work]])</f>
        <v/>
      </c>
      <c r="AW81" s="99" t="str">
        <f aca="false">IF(Tasks[[#This Row],[Task Name]]="","",Tasks[[#This Row],[Cost]])</f>
        <v/>
      </c>
      <c r="AX81" s="77"/>
      <c r="AY81" s="77"/>
      <c r="AZ81" s="29"/>
      <c r="BA81" s="101"/>
      <c r="BB81" s="100"/>
      <c r="BC81" s="28" t="str">
        <f aca="false">IF(OR(Tasks[[#This Row],[Task Name]]="",Tasks[[#This Row],[Baseline Duration]]=""),"",Tasks[[#This Row],[BL Source Duration]]-N(Tasks[[#This Row],[Baseline Duration]]))</f>
        <v/>
      </c>
      <c r="BD81" s="98" t="str">
        <f aca="false">IF(OR(Tasks[[#This Row],[Task Name]]="",Tasks[[#This Row],[Baseline Work]]=""),"",Tasks[[#This Row],[Work]]-N(Tasks[[#This Row],[Baseline Work]]))</f>
        <v/>
      </c>
      <c r="BE81" s="99" t="str">
        <f aca="false">IF(OR(Tasks[[#This Row],[Task Name]]="",Tasks[[#This Row],[Baseline Cost]]=""),"",Tasks[[#This Row],[Cost]]-N(Tasks[[#This Row],[Baseline Cost]]))</f>
        <v/>
      </c>
      <c r="BF81" s="99" t="str">
        <f aca="false">IF(Tasks[[#This Row],[Task Name]]="","",IF(Tasks[[#This Row],[_IsSummary]],SUM(INDEX(Tasks[_LeafBudget],Tasks[[#This Row],[_Row]]+1):INDEX(Tasks[_LeafBudget],Tasks[[#This Row],[_Row]]+Tasks[[#This Row],[_Descendants]])),Tasks[[#This Row],[_LeafBudget]]))</f>
        <v/>
      </c>
      <c r="BG81" s="99" t="str">
        <f aca="false">IF(Tasks[[#This Row],[Task Name]]="","",IF(Tasks[[#This Row],[_IsSummary]],SUM(INDEX(Tasks[_LeafPV],Tasks[[#This Row],[_Row]]+1):INDEX(Tasks[_LeafPV],Tasks[[#This Row],[_Row]]+Tasks[[#This Row],[_Descendants]])),Tasks[[#This Row],[_LeafPV]]))</f>
        <v/>
      </c>
      <c r="BH81" s="99" t="str">
        <f aca="false">IF(Tasks[[#This Row],[Task Name]]="","",IF(Tasks[[#This Row],[_IsSummary]],SUM(INDEX(Tasks[_LeafEV],Tasks[[#This Row],[_Row]]+1):INDEX(Tasks[_LeafEV],Tasks[[#This Row],[_Row]]+Tasks[[#This Row],[_Descendants]])),Tasks[[#This Row],[_LeafEV]]))</f>
        <v/>
      </c>
      <c r="BI81" s="99" t="str">
        <f aca="false">IF(Tasks[[#This Row],[Task Name]]="","",IF(Tasks[[#This Row],[_IsSummary]],SUM(INDEX(Tasks[_LeafAC],Tasks[[#This Row],[_Row]]+1):INDEX(Tasks[_LeafAC],Tasks[[#This Row],[_Row]]+Tasks[[#This Row],[_Descendants]])),Tasks[[#This Row],[_LeafAC]]))</f>
        <v/>
      </c>
      <c r="BJ81" s="41" t="str">
        <f aca="false">IF(Tasks[[#This Row],[Task Name]]="","",MAX(1,N(Tasks[[#This Row],[Level]])))</f>
        <v/>
      </c>
      <c r="BK81" s="41" t="n">
        <f aca="false">ROW()-ROW(Tasks[[#Headers],[ID]])</f>
        <v>76</v>
      </c>
      <c r="BL81" s="41" t="n">
        <f aca="false">IF(OR(Tasks[[#This Row],[Task Name]]="",Tasks[[#This Row],[_Level]]&lt;=1),0,IFERROR(LOOKUP(2,1/(Tasks[[#Headers],[_Level]]:Tasks[[#This Row],[_Level]]=Tasks[[#This Row],[_Level]]-1),ROW(Tasks[[#Headers],[_Level]]:Tasks[[#This Row],[_Level]])),0))</f>
        <v>0</v>
      </c>
      <c r="BM81" s="41" t="n">
        <f aca="false">IFERROR(N(INDEX(Tasks[_Level],Tasks[[#This Row],[_Row]]+1)),0)</f>
        <v>0</v>
      </c>
      <c r="BN81" s="102" t="b">
        <f aca="false">AND(Tasks[[#This Row],[Task Name]]&lt;&gt;"",Tasks[[#This Row],[_NextLevel]]&gt;Tasks[[#This Row],[_Level]])</f>
        <v>0</v>
      </c>
      <c r="BO81" s="41" t="n">
        <f aca="false">IF(Tasks[[#This Row],[_IsSummary]],COUNTIF(Tasks[WBS],Tasks[[#This Row],[WBS]]&amp;".*"),0)</f>
        <v>0</v>
      </c>
      <c r="BP81" s="41" t="n">
        <f aca="false">IF(AND(Tasks[[#This Row],[Task Name]]&lt;&gt;"",NOT(Tasks[[#This Row],[_IsSummary]])),1,0)</f>
        <v>0</v>
      </c>
      <c r="BQ81" s="41" t="n">
        <f aca="false">IF(N(Tasks[[#This Row],[Pred1 UID]])=0,0,IFERROR(MATCH(Tasks[[#This Row],[Pred1 UID]],Tasks[UID],0),-1))</f>
        <v>0</v>
      </c>
      <c r="BR81" s="41" t="n">
        <f aca="false">IF(N(Tasks[[#This Row],[Pred2 UID]])=0,0,IFERROR(MATCH(Tasks[[#This Row],[Pred2 UID]],Tasks[UID],0),-1))</f>
        <v>0</v>
      </c>
      <c r="BS8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1" s="103" t="str">
        <f aca="false">IF(NOT(Tasks[[#This Row],[_IsLeaf]]=1),"",IF(N(Tasks[[#This Row],[Duration]])&lt;=0,Tasks[[#This Row],[_LeafCalcStart]],WORKDAY.INTL(Tasks[[#This Row],[_LeafCalcStart]],Tasks[[#This Row],[Duration]]-1,WorkWeek,Holidays)))</f>
        <v/>
      </c>
      <c r="BU8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1" s="41" t="n">
        <f aca="false">IF(NOT(Tasks[[#This Row],[_IsLeaf]]=1),0,IF(N(Tasks[[#This Row],[Actual Finish]])&gt;0,1,MIN(1,N(Tasks[[#This Row],[% Complete]]))))</f>
        <v>0</v>
      </c>
      <c r="BX81" s="41" t="n">
        <f aca="false">IF(OR(NOT(Tasks[[#This Row],[_IsLeaf]]=1),Tasks[[#This Row],[Resource]]=""),0,N(Tasks[[#This Row],[Duration]])*HoursPerDay*IF(Tasks[[#This Row],[Units]]="",DefaultUnits,Tasks[[#This Row],[Units]]))</f>
        <v>0</v>
      </c>
      <c r="BY81" s="41" t="n">
        <f aca="false">IF(Tasks[[#This Row],[_LeafWork]]=0,0,Tasks[[#This Row],[_LeafWork]]*IFERROR(INDEX(res_Rate,MATCH(Tasks[[#This Row],[Resource]],res_Name,0)),0))</f>
        <v>0</v>
      </c>
      <c r="BZ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1" s="41" t="n">
        <f aca="false">IF(NOT(Tasks[[#This Row],[_IsLeaf]]=1),0,MAX(_xlfn.MAXIFS(Tasks[_Row],Tasks[Pred1 UID],Tasks[[#This Row],[UID]]),_xlfn.MAXIFS(Tasks[_Row],Tasks[Pred2 UID],Tasks[[#This Row],[UID]])))</f>
        <v>0</v>
      </c>
      <c r="CE8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1" s="103" t="str">
        <f aca="false">IF(NOT(Tasks[[#This Row],[_IsLeaf]]=1),"",MIN(ProjectFinish,IF(N(Tasks[[#This Row],[Deadline]])&gt;0,Tasks[[#This Row],[Deadline]],2958465),Tasks[[#This Row],[_SuccessorFinishLimit]]))</f>
        <v/>
      </c>
      <c r="CG81" s="103" t="str">
        <f aca="false">IF(NOT(Tasks[[#This Row],[_IsLeaf]]=1),"",IF(N(Tasks[[#This Row],[Duration]])&lt;=0,Tasks[[#This Row],[_LeafLateFinish]],WORKDAY.INTL(Tasks[[#This Row],[_LeafLateFinish]],-(Tasks[[#This Row],[Duration]]-1),WorkWeek,Holidays)))</f>
        <v/>
      </c>
      <c r="CH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1" s="102" t="b">
        <f aca="false">AND(Tasks[[#This Row],[_IsLeaf]]=1,Tasks[[#This Row],[_LeafProgress]]&lt;1,N(Tasks[[#This Row],[_LeafTotalSlack]])&lt;=CriticalSlackDays)</f>
        <v>0</v>
      </c>
      <c r="CJ81" s="103" t="str">
        <f aca="false">IF(Tasks[[#This Row],[Task Name]]="","",IF(Tasks[[#This Row],[_IsSummary]],MIN(INDEX(Tasks[_LeafCalcStart],Tasks[[#This Row],[_Row]]+1):INDEX(Tasks[_LeafCalcStart],Tasks[[#This Row],[_Row]]+Tasks[[#This Row],[_Descendants]])),Tasks[[#This Row],[_LeafCalcStart]]))</f>
        <v/>
      </c>
      <c r="CK81" s="103" t="str">
        <f aca="false">IF(Tasks[[#This Row],[Task Name]]="","",IF(Tasks[[#This Row],[_IsSummary]],MAX(INDEX(Tasks[_LeafCalcFinish],Tasks[[#This Row],[_Row]]+1):INDEX(Tasks[_LeafCalcFinish],Tasks[[#This Row],[_Row]]+Tasks[[#This Row],[_Descendants]])),Tasks[[#This Row],[_LeafCalcFinish]]))</f>
        <v/>
      </c>
      <c r="CL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1" s="41" t="n">
        <f aca="false">IF(AND(Tasks[[#This Row],[_IsLeaf]]=1,Tasks[[#This Row],[_LeafWork]]&gt;0),NETWORKDAYS.INTL(ProjectStart,Tasks[[#This Row],[_LeafFcstStart]],WorkWeek,Holidays),0)</f>
        <v>0</v>
      </c>
      <c r="CS81" s="41" t="n">
        <f aca="false">IF(AND(Tasks[[#This Row],[_IsLeaf]]=1,Tasks[[#This Row],[_LeafWork]]&gt;0),MAX(Tasks[[#This Row],[_StartWorkday]],NETWORKDAYS.INTL(ProjectStart,Tasks[[#This Row],[_LeafFcstFinish]],WorkWeek,Holidays)),0)</f>
        <v>0</v>
      </c>
      <c r="CT81" s="41" t="n">
        <f aca="false">IF(AND(Tasks[[#This Row],[_IsLeaf]]=1,Tasks[[#This Row],[_LeafWork]]&gt;0),Tasks[[#This Row],[_LeafWork]]/(Tasks[[#This Row],[_FinishWorkday]]-Tasks[[#This Row],[_StartWorkday]]+1),0)</f>
        <v>0</v>
      </c>
      <c r="CU81" s="41" t="n">
        <f aca="false">Tasks[[#This Row],[_WorkPerWorkday]]*(Tasks[[#This Row],[_StartWorkday]]-1)</f>
        <v>-0</v>
      </c>
      <c r="CV81" s="41" t="n">
        <f aca="false">IF(Tasks[[#This Row],[_IsLeaf]]=1,MAX(N(Tasks[[#This Row],[Duration]]),0.1),0)</f>
        <v>0</v>
      </c>
      <c r="CW81" s="41" t="n">
        <f aca="false">Tasks[[#This Row],[_WeightDur]]*Tasks[[#This Row],[_LeafProgress]]</f>
        <v>0</v>
      </c>
      <c r="CX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1" s="41" t="str">
        <f aca="false">IF(Tasks[[#This Row],[Task Name]]="","",Tasks[[#This Row],[_Pred1UIDText]]&amp;IF(AND(Tasks[[#This Row],[_Pred1UIDText]]&lt;&gt;"",Tasks[[#This Row],[_Pred2UIDText]]&lt;&gt;""),",","")&amp;Tasks[[#This Row],[_Pred2UIDText]])</f>
        <v/>
      </c>
      <c r="DC81" s="41" t="str">
        <f aca="false">IF(AND(Tasks[[#This Row],[_IsLeaf]]=1,N(Tasks[[#This Row],[Duration]])=0,Tasks[[#This Row],[_LeafProgress]]&lt;1),Tasks[[#This Row],[_LeafFcstFinish]]+Tasks[[#This Row],[_Row]]/100000,"")</f>
        <v/>
      </c>
      <c r="DD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1" s="41" t="n">
        <f aca="false">IF(NOT(Tasks[[#This Row],[_IsLeaf]]=1),0,IF(Tasks[[#This Row],[Baseline Cost]]="",Tasks[[#This Row],[_LeafCost]],N(Tasks[[#This Row],[Baseline Cost]])))</f>
        <v>0</v>
      </c>
      <c r="DF81" s="41" t="n">
        <f aca="false">Tasks[[#This Row],[_LeafBudget]]*Tasks[[#This Row],[_PlannedPct]]</f>
        <v>0</v>
      </c>
      <c r="DG81" s="41" t="n">
        <f aca="false">Tasks[[#This Row],[_LeafBudget]]*Tasks[[#This Row],[_LeafProgress]]</f>
        <v>0</v>
      </c>
      <c r="DH81" s="41" t="n">
        <f aca="false">IF(NOT(Tasks[[#This Row],[_IsLeaf]]=1),0,IF(Tasks[[#This Row],[Actual Cost]]="",Tasks[[#This Row],[_LeafCost]]*Tasks[[#This Row],[_LeafProgress]],N(Tasks[[#This Row],[Actual Cost]])))</f>
        <v>0</v>
      </c>
      <c r="DI81" s="41" t="str">
        <f aca="false">IF(Tasks[[#This Row],[Task Name]]="","",LEFT(Tasks[[#This Row],[WBS]],FIND(".",Tasks[[#This Row],[WBS]]&amp;".")-1))</f>
        <v/>
      </c>
      <c r="DJ81" s="41" t="str">
        <f aca="false">IF(AND(Tasks[[#This Row],[Task Name]]&lt;&gt;"",Tasks[[#This Row],[_Level]]=1),Tasks[[#This Row],[_Row]],"")</f>
        <v/>
      </c>
      <c r="DK81" s="41" t="str">
        <f aca="false">IF(AND(Tasks[[#This Row],[_IsLeaf]]=1,N(Tasks[[#This Row],[Duration]])=0),Tasks[[#This Row],[Planned Finish]]+Tasks[[#This Row],[_Row]]/100000,"")</f>
        <v/>
      </c>
      <c r="DL81" s="41" t="str">
        <f aca="false">IF(AND(Tasks[[#This Row],[_IsLeaf]]=1,Tasks[[#This Row],[_LeafProgress]]&lt;1,OR(N(Tasks[[#This Row],[Finish Var]])&gt;0,Tasks[[#This Row],[Status]]="Late Start")),MAX(0,Tasks[[#This Row],[Finish Var]])+1-Tasks[[#This Row],[_Row]]/1000000,"")</f>
        <v/>
      </c>
      <c r="DM81" s="41" t="str">
        <f aca="false">IF(AND(Tasks[[#This Row],[_IsLeaf]]=1,N(Tasks[[#This Row],[Actual Start]])=0,Tasks[[#This Row],[_LeafFcstStart]]&gt;=StatusDate,Tasks[[#This Row],[_LeafFcstStart]]&lt;=LookaheadEnd),Tasks[[#This Row],[_LeafFcstStart]]+Tasks[[#This Row],[_Row]]/100000,"")</f>
        <v/>
      </c>
      <c r="DN81" s="41" t="str">
        <f aca="false">IF(AND(Tasks[[#This Row],[_IsLeaf]]=1,Tasks[[#This Row],[_LeafProgress]]&lt;1,Tasks[[#This Row],[_LeafFcstFinish]]&gt;=StatusDate,Tasks[[#This Row],[_LeafFcstFinish]]&lt;=LookaheadEnd),Tasks[[#This Row],[_LeafFcstFinish]]+Tasks[[#This Row],[_Row]]/100000,"")</f>
        <v/>
      </c>
      <c r="DO81" s="41" t="str">
        <f aca="false">IF(Tasks[[#This Row],[_LeafCritical]],Tasks[[#This Row],[_LeafFcstStart]]+Tasks[[#This Row],[_Row]]/100000,"")</f>
        <v/>
      </c>
      <c r="DP81" s="41" t="n">
        <f aca="false">Tasks[[#This Row],[_LeafWork]]*Tasks[[#This Row],[_LeafProgress]]</f>
        <v>0</v>
      </c>
      <c r="DQ81" s="103" t="str">
        <f aca="false">IF(AND(Tasks[[#This Row],[_IsLeaf]]=1,Tasks[[#This Row],[_LeafProgress]]&gt;=1),IF(N(Tasks[[#This Row],[Actual Finish]])&gt;0,Tasks[[#This Row],[Actual Finish]],Tasks[[#This Row],[_LeafFcstFinish]]),"")</f>
        <v/>
      </c>
      <c r="DR81" s="41" t="n">
        <f aca="false">IF(Tasks[[#This Row],[_IsLeaf]]=1,N(Tasks[[#This Row],[Story Points]]),0)</f>
        <v>0</v>
      </c>
      <c r="DS81" s="41" t="str">
        <f aca="false">IF(AND(Tasks[[#This Row],[_IsLeaf]]=1,CurrentSprint&lt;&gt;"",Tasks[[#This Row],[Sprint]]=CurrentSprint),Tasks[[#This Row],[_Row]],"")</f>
        <v/>
      </c>
    </row>
    <row r="82" customFormat="false" ht="15" hidden="false" customHeight="false" outlineLevel="0" collapsed="false">
      <c r="A82" s="28" t="str">
        <f aca="false">IF(Tasks[[#This Row],[Task Name]]="","",COUNTA(Tasks[[#Headers],[Task Name]]:Tasks[[#This Row],[Task Name]])-1)</f>
        <v/>
      </c>
      <c r="B82" s="29" t="n">
        <v>77</v>
      </c>
      <c r="C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29"/>
      <c r="E82" s="30"/>
      <c r="F82" s="29"/>
      <c r="G82" s="29"/>
      <c r="H82" s="29"/>
      <c r="I82" s="29"/>
      <c r="J82" s="29"/>
      <c r="K82" s="29"/>
      <c r="L82" s="29"/>
      <c r="M82" s="29"/>
      <c r="N82" s="77"/>
      <c r="O82" s="77"/>
      <c r="P82" s="25" t="str">
        <f aca="false">IF(Tasks[[#This Row],[Task Name]]="","",IF(N(Tasks[[#This Row],[Baseline Start]])&gt;0,Tasks[[#This Row],[Baseline Start]],Tasks[[#This Row],[_CalcStart]]))</f>
        <v/>
      </c>
      <c r="Q82" s="25" t="str">
        <f aca="false">IF(Tasks[[#This Row],[Task Name]]="","",IF(N(Tasks[[#This Row],[Baseline Finish]])&gt;0,Tasks[[#This Row],[Baseline Finish]],Tasks[[#This Row],[_CalcFinish]]))</f>
        <v/>
      </c>
      <c r="R82" s="77"/>
      <c r="S82" s="77"/>
      <c r="T82" s="25" t="str">
        <f aca="false">IF(Tasks[[#This Row],[Task Name]]="","",IF(Tasks[[#This Row],[_IsSummary]],MIN(INDEX(Tasks[_LeafFcstStart],Tasks[[#This Row],[_Row]]+1):INDEX(Tasks[_LeafFcstStart],Tasks[[#This Row],[_Row]]+Tasks[[#This Row],[_Descendants]])),Tasks[[#This Row],[_LeafFcstStart]]))</f>
        <v/>
      </c>
      <c r="U82" s="25" t="str">
        <f aca="false">IF(Tasks[[#This Row],[Task Name]]="","",IF(Tasks[[#This Row],[_IsSummary]],MAX(INDEX(Tasks[_LeafFcstFinish],Tasks[[#This Row],[_Row]]+1):INDEX(Tasks[_LeafFcstFinish],Tasks[[#This Row],[_Row]]+Tasks[[#This Row],[_Descendants]])),Tasks[[#This Row],[_LeafFcstFinish]]))</f>
        <v/>
      </c>
      <c r="V8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2" s="25" t="str">
        <f aca="false">IF(Tasks[[#This Row],[Task Name]]="","",IF(Tasks[[#This Row],[_IsSummary]],MIN(INDEX(Tasks[_LeafLateStart],Tasks[[#This Row],[_Row]]+1):INDEX(Tasks[_LeafLateStart],Tasks[[#This Row],[_Row]]+Tasks[[#This Row],[_Descendants]])),Tasks[[#This Row],[_LeafLateStart]]))</f>
        <v/>
      </c>
      <c r="Y82" s="25" t="str">
        <f aca="false">IF(Tasks[[#This Row],[Task Name]]="","",IF(Tasks[[#This Row],[_IsSummary]],MAX(INDEX(Tasks[_LeafLateFinish],Tasks[[#This Row],[_Row]]+1):INDEX(Tasks[_LeafLateFinish],Tasks[[#This Row],[_Row]]+Tasks[[#This Row],[_Descendants]])),Tasks[[#This Row],[_LeafLateFinish]]))</f>
        <v/>
      </c>
      <c r="Z82" s="43" t="str">
        <f aca="false">IF(Tasks[[#This Row],[Task Name]]="","",IF(Tasks[[#This Row],[_IsSummary]],MIN(INDEX(Tasks[_LeafTotalSlack],Tasks[[#This Row],[_Row]]+1):INDEX(Tasks[_LeafTotalSlack],Tasks[[#This Row],[_Row]]+Tasks[[#This Row],[_Descendants]])),Tasks[[#This Row],[_LeafTotalSlack]]))</f>
        <v/>
      </c>
      <c r="AA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2" s="28" t="str">
        <f aca="false">IF(Tasks[[#This Row],[Task Name]]="","",IF(IF(Tasks[[#This Row],[_IsSummary]],COUNTIF(INDEX(Tasks[_LeafCritical],Tasks[[#This Row],[_Row]]+1):INDEX(Tasks[_LeafCritical],Tasks[[#This Row],[_Row]]+Tasks[[#This Row],[_Descendants]]),TRUE())&gt;0,Tasks[[#This Row],[_LeafCritical]]),"Yes",""))</f>
        <v/>
      </c>
      <c r="AC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2" s="24" t="str">
        <f aca="false">IF(Tasks[[#This Row],[Task Name]]="","",TRIM(IF(Tasks[[#This Row],[_Pred1Problem]]&lt;&gt;"","Pred 1: "&amp;Tasks[[#This Row],[_Pred1Problem]]&amp;". ","")&amp;IF(Tasks[[#This Row],[_Pred2Problem]]&lt;&gt;"","Pred 2: "&amp;Tasks[[#This Row],[_Pred2Problem]]&amp;".","")))</f>
        <v/>
      </c>
      <c r="AE82" s="91"/>
      <c r="AF8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2" s="28" t="str">
        <f aca="false">IF(Tasks[[#This Row],[Task Name]]="","",IF(Tasks[[#This Row],[Progress]]&gt;=1,"Complete",IF(OR(N(Tasks[[#This Row],[Actual Start]])&gt;0,Tasks[[#This Row],[Progress]]&gt;0),IF(Tasks[[#This Row],[Finish Var]]&gt;0,"Behind","In Progress"),IF(Tasks[[#This Row],[Planned Start]]&lt;StatusDate,"Late Start","Not Started"))))</f>
        <v/>
      </c>
      <c r="AH82" s="30"/>
      <c r="AI82" s="91"/>
      <c r="AJ8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2" s="98" t="str">
        <f aca="false">IF(Tasks[[#This Row],[Task Name]]="","",IF(Tasks[[#This Row],[_IsSummary]],SUM(INDEX(Tasks[_LeafWork],Tasks[[#This Row],[_Row]]+1):INDEX(Tasks[_LeafWork],Tasks[[#This Row],[_Row]]+Tasks[[#This Row],[_Descendants]])),Tasks[[#This Row],[_LeafWork]]))</f>
        <v/>
      </c>
      <c r="AL82" s="99" t="str">
        <f aca="false">IF(Tasks[[#This Row],[Task Name]]="","",IF(Tasks[[#This Row],[_IsSummary]],SUM(INDEX(Tasks[_LeafCost],Tasks[[#This Row],[_Row]]+1):INDEX(Tasks[_LeafCost],Tasks[[#This Row],[_Row]]+Tasks[[#This Row],[_Descendants]])),Tasks[[#This Row],[_LeafCost]]))</f>
        <v/>
      </c>
      <c r="AM82" s="100"/>
      <c r="AN82" s="29"/>
      <c r="AO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2" s="85"/>
      <c r="AQ82" s="24" t="str">
        <f aca="false">IF(Tasks[[#This Row],[Task Name]]="","",Tasks[[#This Row],[_Pred1IDText]]&amp;IF(AND(Tasks[[#This Row],[_Pred1IDText]]&lt;&gt;"",Tasks[[#This Row],[_Pred2IDText]]&lt;&gt;""),",","")&amp;Tasks[[#This Row],[_Pred2IDText]])</f>
        <v/>
      </c>
      <c r="AR82" s="30"/>
      <c r="AS82" s="25" t="str">
        <f aca="false">IF(Tasks[[#This Row],[Task Name]]="","",Tasks[[#This Row],[Forecast Start]])</f>
        <v/>
      </c>
      <c r="AT82" s="25" t="str">
        <f aca="false">IF(Tasks[[#This Row],[Task Name]]="","",Tasks[[#This Row],[Forecast Finish]])</f>
        <v/>
      </c>
      <c r="AU82" s="28" t="str">
        <f aca="false">IF(Tasks[[#This Row],[Task Name]]="","",IF(Tasks[[#This Row],[_IsSummary]],NETWORKDAYS.INTL(Tasks[[#This Row],[Forecast Start]],Tasks[[#This Row],[Forecast Finish]],WorkWeek,Holidays),N(Tasks[[#This Row],[Duration]])))</f>
        <v/>
      </c>
      <c r="AV82" s="98" t="str">
        <f aca="false">IF(Tasks[[#This Row],[Task Name]]="","",Tasks[[#This Row],[Work]])</f>
        <v/>
      </c>
      <c r="AW82" s="99" t="str">
        <f aca="false">IF(Tasks[[#This Row],[Task Name]]="","",Tasks[[#This Row],[Cost]])</f>
        <v/>
      </c>
      <c r="AX82" s="77"/>
      <c r="AY82" s="77"/>
      <c r="AZ82" s="29"/>
      <c r="BA82" s="101"/>
      <c r="BB82" s="100"/>
      <c r="BC82" s="28" t="str">
        <f aca="false">IF(OR(Tasks[[#This Row],[Task Name]]="",Tasks[[#This Row],[Baseline Duration]]=""),"",Tasks[[#This Row],[BL Source Duration]]-N(Tasks[[#This Row],[Baseline Duration]]))</f>
        <v/>
      </c>
      <c r="BD82" s="98" t="str">
        <f aca="false">IF(OR(Tasks[[#This Row],[Task Name]]="",Tasks[[#This Row],[Baseline Work]]=""),"",Tasks[[#This Row],[Work]]-N(Tasks[[#This Row],[Baseline Work]]))</f>
        <v/>
      </c>
      <c r="BE82" s="99" t="str">
        <f aca="false">IF(OR(Tasks[[#This Row],[Task Name]]="",Tasks[[#This Row],[Baseline Cost]]=""),"",Tasks[[#This Row],[Cost]]-N(Tasks[[#This Row],[Baseline Cost]]))</f>
        <v/>
      </c>
      <c r="BF82" s="99" t="str">
        <f aca="false">IF(Tasks[[#This Row],[Task Name]]="","",IF(Tasks[[#This Row],[_IsSummary]],SUM(INDEX(Tasks[_LeafBudget],Tasks[[#This Row],[_Row]]+1):INDEX(Tasks[_LeafBudget],Tasks[[#This Row],[_Row]]+Tasks[[#This Row],[_Descendants]])),Tasks[[#This Row],[_LeafBudget]]))</f>
        <v/>
      </c>
      <c r="BG82" s="99" t="str">
        <f aca="false">IF(Tasks[[#This Row],[Task Name]]="","",IF(Tasks[[#This Row],[_IsSummary]],SUM(INDEX(Tasks[_LeafPV],Tasks[[#This Row],[_Row]]+1):INDEX(Tasks[_LeafPV],Tasks[[#This Row],[_Row]]+Tasks[[#This Row],[_Descendants]])),Tasks[[#This Row],[_LeafPV]]))</f>
        <v/>
      </c>
      <c r="BH82" s="99" t="str">
        <f aca="false">IF(Tasks[[#This Row],[Task Name]]="","",IF(Tasks[[#This Row],[_IsSummary]],SUM(INDEX(Tasks[_LeafEV],Tasks[[#This Row],[_Row]]+1):INDEX(Tasks[_LeafEV],Tasks[[#This Row],[_Row]]+Tasks[[#This Row],[_Descendants]])),Tasks[[#This Row],[_LeafEV]]))</f>
        <v/>
      </c>
      <c r="BI82" s="99" t="str">
        <f aca="false">IF(Tasks[[#This Row],[Task Name]]="","",IF(Tasks[[#This Row],[_IsSummary]],SUM(INDEX(Tasks[_LeafAC],Tasks[[#This Row],[_Row]]+1):INDEX(Tasks[_LeafAC],Tasks[[#This Row],[_Row]]+Tasks[[#This Row],[_Descendants]])),Tasks[[#This Row],[_LeafAC]]))</f>
        <v/>
      </c>
      <c r="BJ82" s="41" t="str">
        <f aca="false">IF(Tasks[[#This Row],[Task Name]]="","",MAX(1,N(Tasks[[#This Row],[Level]])))</f>
        <v/>
      </c>
      <c r="BK82" s="41" t="n">
        <f aca="false">ROW()-ROW(Tasks[[#Headers],[ID]])</f>
        <v>77</v>
      </c>
      <c r="BL82" s="41" t="n">
        <f aca="false">IF(OR(Tasks[[#This Row],[Task Name]]="",Tasks[[#This Row],[_Level]]&lt;=1),0,IFERROR(LOOKUP(2,1/(Tasks[[#Headers],[_Level]]:Tasks[[#This Row],[_Level]]=Tasks[[#This Row],[_Level]]-1),ROW(Tasks[[#Headers],[_Level]]:Tasks[[#This Row],[_Level]])),0))</f>
        <v>0</v>
      </c>
      <c r="BM82" s="41" t="n">
        <f aca="false">IFERROR(N(INDEX(Tasks[_Level],Tasks[[#This Row],[_Row]]+1)),0)</f>
        <v>0</v>
      </c>
      <c r="BN82" s="102" t="b">
        <f aca="false">AND(Tasks[[#This Row],[Task Name]]&lt;&gt;"",Tasks[[#This Row],[_NextLevel]]&gt;Tasks[[#This Row],[_Level]])</f>
        <v>0</v>
      </c>
      <c r="BO82" s="41" t="n">
        <f aca="false">IF(Tasks[[#This Row],[_IsSummary]],COUNTIF(Tasks[WBS],Tasks[[#This Row],[WBS]]&amp;".*"),0)</f>
        <v>0</v>
      </c>
      <c r="BP82" s="41" t="n">
        <f aca="false">IF(AND(Tasks[[#This Row],[Task Name]]&lt;&gt;"",NOT(Tasks[[#This Row],[_IsSummary]])),1,0)</f>
        <v>0</v>
      </c>
      <c r="BQ82" s="41" t="n">
        <f aca="false">IF(N(Tasks[[#This Row],[Pred1 UID]])=0,0,IFERROR(MATCH(Tasks[[#This Row],[Pred1 UID]],Tasks[UID],0),-1))</f>
        <v>0</v>
      </c>
      <c r="BR82" s="41" t="n">
        <f aca="false">IF(N(Tasks[[#This Row],[Pred2 UID]])=0,0,IFERROR(MATCH(Tasks[[#This Row],[Pred2 UID]],Tasks[UID],0),-1))</f>
        <v>0</v>
      </c>
      <c r="BS8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2" s="103" t="str">
        <f aca="false">IF(NOT(Tasks[[#This Row],[_IsLeaf]]=1),"",IF(N(Tasks[[#This Row],[Duration]])&lt;=0,Tasks[[#This Row],[_LeafCalcStart]],WORKDAY.INTL(Tasks[[#This Row],[_LeafCalcStart]],Tasks[[#This Row],[Duration]]-1,WorkWeek,Holidays)))</f>
        <v/>
      </c>
      <c r="BU8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2" s="41" t="n">
        <f aca="false">IF(NOT(Tasks[[#This Row],[_IsLeaf]]=1),0,IF(N(Tasks[[#This Row],[Actual Finish]])&gt;0,1,MIN(1,N(Tasks[[#This Row],[% Complete]]))))</f>
        <v>0</v>
      </c>
      <c r="BX82" s="41" t="n">
        <f aca="false">IF(OR(NOT(Tasks[[#This Row],[_IsLeaf]]=1),Tasks[[#This Row],[Resource]]=""),0,N(Tasks[[#This Row],[Duration]])*HoursPerDay*IF(Tasks[[#This Row],[Units]]="",DefaultUnits,Tasks[[#This Row],[Units]]))</f>
        <v>0</v>
      </c>
      <c r="BY82" s="41" t="n">
        <f aca="false">IF(Tasks[[#This Row],[_LeafWork]]=0,0,Tasks[[#This Row],[_LeafWork]]*IFERROR(INDEX(res_Rate,MATCH(Tasks[[#This Row],[Resource]],res_Name,0)),0))</f>
        <v>0</v>
      </c>
      <c r="BZ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2" s="41" t="n">
        <f aca="false">IF(NOT(Tasks[[#This Row],[_IsLeaf]]=1),0,MAX(_xlfn.MAXIFS(Tasks[_Row],Tasks[Pred1 UID],Tasks[[#This Row],[UID]]),_xlfn.MAXIFS(Tasks[_Row],Tasks[Pred2 UID],Tasks[[#This Row],[UID]])))</f>
        <v>0</v>
      </c>
      <c r="CE8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2" s="103" t="str">
        <f aca="false">IF(NOT(Tasks[[#This Row],[_IsLeaf]]=1),"",MIN(ProjectFinish,IF(N(Tasks[[#This Row],[Deadline]])&gt;0,Tasks[[#This Row],[Deadline]],2958465),Tasks[[#This Row],[_SuccessorFinishLimit]]))</f>
        <v/>
      </c>
      <c r="CG82" s="103" t="str">
        <f aca="false">IF(NOT(Tasks[[#This Row],[_IsLeaf]]=1),"",IF(N(Tasks[[#This Row],[Duration]])&lt;=0,Tasks[[#This Row],[_LeafLateFinish]],WORKDAY.INTL(Tasks[[#This Row],[_LeafLateFinish]],-(Tasks[[#This Row],[Duration]]-1),WorkWeek,Holidays)))</f>
        <v/>
      </c>
      <c r="CH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2" s="102" t="b">
        <f aca="false">AND(Tasks[[#This Row],[_IsLeaf]]=1,Tasks[[#This Row],[_LeafProgress]]&lt;1,N(Tasks[[#This Row],[_LeafTotalSlack]])&lt;=CriticalSlackDays)</f>
        <v>0</v>
      </c>
      <c r="CJ82" s="103" t="str">
        <f aca="false">IF(Tasks[[#This Row],[Task Name]]="","",IF(Tasks[[#This Row],[_IsSummary]],MIN(INDEX(Tasks[_LeafCalcStart],Tasks[[#This Row],[_Row]]+1):INDEX(Tasks[_LeafCalcStart],Tasks[[#This Row],[_Row]]+Tasks[[#This Row],[_Descendants]])),Tasks[[#This Row],[_LeafCalcStart]]))</f>
        <v/>
      </c>
      <c r="CK82" s="103" t="str">
        <f aca="false">IF(Tasks[[#This Row],[Task Name]]="","",IF(Tasks[[#This Row],[_IsSummary]],MAX(INDEX(Tasks[_LeafCalcFinish],Tasks[[#This Row],[_Row]]+1):INDEX(Tasks[_LeafCalcFinish],Tasks[[#This Row],[_Row]]+Tasks[[#This Row],[_Descendants]])),Tasks[[#This Row],[_LeafCalcFinish]]))</f>
        <v/>
      </c>
      <c r="CL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2" s="41" t="n">
        <f aca="false">IF(AND(Tasks[[#This Row],[_IsLeaf]]=1,Tasks[[#This Row],[_LeafWork]]&gt;0),NETWORKDAYS.INTL(ProjectStart,Tasks[[#This Row],[_LeafFcstStart]],WorkWeek,Holidays),0)</f>
        <v>0</v>
      </c>
      <c r="CS82" s="41" t="n">
        <f aca="false">IF(AND(Tasks[[#This Row],[_IsLeaf]]=1,Tasks[[#This Row],[_LeafWork]]&gt;0),MAX(Tasks[[#This Row],[_StartWorkday]],NETWORKDAYS.INTL(ProjectStart,Tasks[[#This Row],[_LeafFcstFinish]],WorkWeek,Holidays)),0)</f>
        <v>0</v>
      </c>
      <c r="CT82" s="41" t="n">
        <f aca="false">IF(AND(Tasks[[#This Row],[_IsLeaf]]=1,Tasks[[#This Row],[_LeafWork]]&gt;0),Tasks[[#This Row],[_LeafWork]]/(Tasks[[#This Row],[_FinishWorkday]]-Tasks[[#This Row],[_StartWorkday]]+1),0)</f>
        <v>0</v>
      </c>
      <c r="CU82" s="41" t="n">
        <f aca="false">Tasks[[#This Row],[_WorkPerWorkday]]*(Tasks[[#This Row],[_StartWorkday]]-1)</f>
        <v>-0</v>
      </c>
      <c r="CV82" s="41" t="n">
        <f aca="false">IF(Tasks[[#This Row],[_IsLeaf]]=1,MAX(N(Tasks[[#This Row],[Duration]]),0.1),0)</f>
        <v>0</v>
      </c>
      <c r="CW82" s="41" t="n">
        <f aca="false">Tasks[[#This Row],[_WeightDur]]*Tasks[[#This Row],[_LeafProgress]]</f>
        <v>0</v>
      </c>
      <c r="CX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2" s="41" t="str">
        <f aca="false">IF(Tasks[[#This Row],[Task Name]]="","",Tasks[[#This Row],[_Pred1UIDText]]&amp;IF(AND(Tasks[[#This Row],[_Pred1UIDText]]&lt;&gt;"",Tasks[[#This Row],[_Pred2UIDText]]&lt;&gt;""),",","")&amp;Tasks[[#This Row],[_Pred2UIDText]])</f>
        <v/>
      </c>
      <c r="DC82" s="41" t="str">
        <f aca="false">IF(AND(Tasks[[#This Row],[_IsLeaf]]=1,N(Tasks[[#This Row],[Duration]])=0,Tasks[[#This Row],[_LeafProgress]]&lt;1),Tasks[[#This Row],[_LeafFcstFinish]]+Tasks[[#This Row],[_Row]]/100000,"")</f>
        <v/>
      </c>
      <c r="DD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2" s="41" t="n">
        <f aca="false">IF(NOT(Tasks[[#This Row],[_IsLeaf]]=1),0,IF(Tasks[[#This Row],[Baseline Cost]]="",Tasks[[#This Row],[_LeafCost]],N(Tasks[[#This Row],[Baseline Cost]])))</f>
        <v>0</v>
      </c>
      <c r="DF82" s="41" t="n">
        <f aca="false">Tasks[[#This Row],[_LeafBudget]]*Tasks[[#This Row],[_PlannedPct]]</f>
        <v>0</v>
      </c>
      <c r="DG82" s="41" t="n">
        <f aca="false">Tasks[[#This Row],[_LeafBudget]]*Tasks[[#This Row],[_LeafProgress]]</f>
        <v>0</v>
      </c>
      <c r="DH82" s="41" t="n">
        <f aca="false">IF(NOT(Tasks[[#This Row],[_IsLeaf]]=1),0,IF(Tasks[[#This Row],[Actual Cost]]="",Tasks[[#This Row],[_LeafCost]]*Tasks[[#This Row],[_LeafProgress]],N(Tasks[[#This Row],[Actual Cost]])))</f>
        <v>0</v>
      </c>
      <c r="DI82" s="41" t="str">
        <f aca="false">IF(Tasks[[#This Row],[Task Name]]="","",LEFT(Tasks[[#This Row],[WBS]],FIND(".",Tasks[[#This Row],[WBS]]&amp;".")-1))</f>
        <v/>
      </c>
      <c r="DJ82" s="41" t="str">
        <f aca="false">IF(AND(Tasks[[#This Row],[Task Name]]&lt;&gt;"",Tasks[[#This Row],[_Level]]=1),Tasks[[#This Row],[_Row]],"")</f>
        <v/>
      </c>
      <c r="DK82" s="41" t="str">
        <f aca="false">IF(AND(Tasks[[#This Row],[_IsLeaf]]=1,N(Tasks[[#This Row],[Duration]])=0),Tasks[[#This Row],[Planned Finish]]+Tasks[[#This Row],[_Row]]/100000,"")</f>
        <v/>
      </c>
      <c r="DL82" s="41" t="str">
        <f aca="false">IF(AND(Tasks[[#This Row],[_IsLeaf]]=1,Tasks[[#This Row],[_LeafProgress]]&lt;1,OR(N(Tasks[[#This Row],[Finish Var]])&gt;0,Tasks[[#This Row],[Status]]="Late Start")),MAX(0,Tasks[[#This Row],[Finish Var]])+1-Tasks[[#This Row],[_Row]]/1000000,"")</f>
        <v/>
      </c>
      <c r="DM82" s="41" t="str">
        <f aca="false">IF(AND(Tasks[[#This Row],[_IsLeaf]]=1,N(Tasks[[#This Row],[Actual Start]])=0,Tasks[[#This Row],[_LeafFcstStart]]&gt;=StatusDate,Tasks[[#This Row],[_LeafFcstStart]]&lt;=LookaheadEnd),Tasks[[#This Row],[_LeafFcstStart]]+Tasks[[#This Row],[_Row]]/100000,"")</f>
        <v/>
      </c>
      <c r="DN82" s="41" t="str">
        <f aca="false">IF(AND(Tasks[[#This Row],[_IsLeaf]]=1,Tasks[[#This Row],[_LeafProgress]]&lt;1,Tasks[[#This Row],[_LeafFcstFinish]]&gt;=StatusDate,Tasks[[#This Row],[_LeafFcstFinish]]&lt;=LookaheadEnd),Tasks[[#This Row],[_LeafFcstFinish]]+Tasks[[#This Row],[_Row]]/100000,"")</f>
        <v/>
      </c>
      <c r="DO82" s="41" t="str">
        <f aca="false">IF(Tasks[[#This Row],[_LeafCritical]],Tasks[[#This Row],[_LeafFcstStart]]+Tasks[[#This Row],[_Row]]/100000,"")</f>
        <v/>
      </c>
      <c r="DP82" s="41" t="n">
        <f aca="false">Tasks[[#This Row],[_LeafWork]]*Tasks[[#This Row],[_LeafProgress]]</f>
        <v>0</v>
      </c>
      <c r="DQ82" s="103" t="str">
        <f aca="false">IF(AND(Tasks[[#This Row],[_IsLeaf]]=1,Tasks[[#This Row],[_LeafProgress]]&gt;=1),IF(N(Tasks[[#This Row],[Actual Finish]])&gt;0,Tasks[[#This Row],[Actual Finish]],Tasks[[#This Row],[_LeafFcstFinish]]),"")</f>
        <v/>
      </c>
      <c r="DR82" s="41" t="n">
        <f aca="false">IF(Tasks[[#This Row],[_IsLeaf]]=1,N(Tasks[[#This Row],[Story Points]]),0)</f>
        <v>0</v>
      </c>
      <c r="DS82" s="41" t="str">
        <f aca="false">IF(AND(Tasks[[#This Row],[_IsLeaf]]=1,CurrentSprint&lt;&gt;"",Tasks[[#This Row],[Sprint]]=CurrentSprint),Tasks[[#This Row],[_Row]],"")</f>
        <v/>
      </c>
    </row>
    <row r="83" customFormat="false" ht="15" hidden="false" customHeight="false" outlineLevel="0" collapsed="false">
      <c r="A83" s="28" t="str">
        <f aca="false">IF(Tasks[[#This Row],[Task Name]]="","",COUNTA(Tasks[[#Headers],[Task Name]]:Tasks[[#This Row],[Task Name]])-1)</f>
        <v/>
      </c>
      <c r="B83" s="29" t="n">
        <v>78</v>
      </c>
      <c r="C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29"/>
      <c r="E83" s="30"/>
      <c r="F83" s="29"/>
      <c r="G83" s="29"/>
      <c r="H83" s="29"/>
      <c r="I83" s="29"/>
      <c r="J83" s="29"/>
      <c r="K83" s="29"/>
      <c r="L83" s="29"/>
      <c r="M83" s="29"/>
      <c r="N83" s="77"/>
      <c r="O83" s="77"/>
      <c r="P83" s="25" t="str">
        <f aca="false">IF(Tasks[[#This Row],[Task Name]]="","",IF(N(Tasks[[#This Row],[Baseline Start]])&gt;0,Tasks[[#This Row],[Baseline Start]],Tasks[[#This Row],[_CalcStart]]))</f>
        <v/>
      </c>
      <c r="Q83" s="25" t="str">
        <f aca="false">IF(Tasks[[#This Row],[Task Name]]="","",IF(N(Tasks[[#This Row],[Baseline Finish]])&gt;0,Tasks[[#This Row],[Baseline Finish]],Tasks[[#This Row],[_CalcFinish]]))</f>
        <v/>
      </c>
      <c r="R83" s="77"/>
      <c r="S83" s="77"/>
      <c r="T83" s="25" t="str">
        <f aca="false">IF(Tasks[[#This Row],[Task Name]]="","",IF(Tasks[[#This Row],[_IsSummary]],MIN(INDEX(Tasks[_LeafFcstStart],Tasks[[#This Row],[_Row]]+1):INDEX(Tasks[_LeafFcstStart],Tasks[[#This Row],[_Row]]+Tasks[[#This Row],[_Descendants]])),Tasks[[#This Row],[_LeafFcstStart]]))</f>
        <v/>
      </c>
      <c r="U83" s="25" t="str">
        <f aca="false">IF(Tasks[[#This Row],[Task Name]]="","",IF(Tasks[[#This Row],[_IsSummary]],MAX(INDEX(Tasks[_LeafFcstFinish],Tasks[[#This Row],[_Row]]+1):INDEX(Tasks[_LeafFcstFinish],Tasks[[#This Row],[_Row]]+Tasks[[#This Row],[_Descendants]])),Tasks[[#This Row],[_LeafFcstFinish]]))</f>
        <v/>
      </c>
      <c r="V8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3" s="25" t="str">
        <f aca="false">IF(Tasks[[#This Row],[Task Name]]="","",IF(Tasks[[#This Row],[_IsSummary]],MIN(INDEX(Tasks[_LeafLateStart],Tasks[[#This Row],[_Row]]+1):INDEX(Tasks[_LeafLateStart],Tasks[[#This Row],[_Row]]+Tasks[[#This Row],[_Descendants]])),Tasks[[#This Row],[_LeafLateStart]]))</f>
        <v/>
      </c>
      <c r="Y83" s="25" t="str">
        <f aca="false">IF(Tasks[[#This Row],[Task Name]]="","",IF(Tasks[[#This Row],[_IsSummary]],MAX(INDEX(Tasks[_LeafLateFinish],Tasks[[#This Row],[_Row]]+1):INDEX(Tasks[_LeafLateFinish],Tasks[[#This Row],[_Row]]+Tasks[[#This Row],[_Descendants]])),Tasks[[#This Row],[_LeafLateFinish]]))</f>
        <v/>
      </c>
      <c r="Z83" s="43" t="str">
        <f aca="false">IF(Tasks[[#This Row],[Task Name]]="","",IF(Tasks[[#This Row],[_IsSummary]],MIN(INDEX(Tasks[_LeafTotalSlack],Tasks[[#This Row],[_Row]]+1):INDEX(Tasks[_LeafTotalSlack],Tasks[[#This Row],[_Row]]+Tasks[[#This Row],[_Descendants]])),Tasks[[#This Row],[_LeafTotalSlack]]))</f>
        <v/>
      </c>
      <c r="AA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3" s="28" t="str">
        <f aca="false">IF(Tasks[[#This Row],[Task Name]]="","",IF(IF(Tasks[[#This Row],[_IsSummary]],COUNTIF(INDEX(Tasks[_LeafCritical],Tasks[[#This Row],[_Row]]+1):INDEX(Tasks[_LeafCritical],Tasks[[#This Row],[_Row]]+Tasks[[#This Row],[_Descendants]]),TRUE())&gt;0,Tasks[[#This Row],[_LeafCritical]]),"Yes",""))</f>
        <v/>
      </c>
      <c r="AC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3" s="24" t="str">
        <f aca="false">IF(Tasks[[#This Row],[Task Name]]="","",TRIM(IF(Tasks[[#This Row],[_Pred1Problem]]&lt;&gt;"","Pred 1: "&amp;Tasks[[#This Row],[_Pred1Problem]]&amp;". ","")&amp;IF(Tasks[[#This Row],[_Pred2Problem]]&lt;&gt;"","Pred 2: "&amp;Tasks[[#This Row],[_Pred2Problem]]&amp;".","")))</f>
        <v/>
      </c>
      <c r="AE83" s="91"/>
      <c r="AF8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3" s="28" t="str">
        <f aca="false">IF(Tasks[[#This Row],[Task Name]]="","",IF(Tasks[[#This Row],[Progress]]&gt;=1,"Complete",IF(OR(N(Tasks[[#This Row],[Actual Start]])&gt;0,Tasks[[#This Row],[Progress]]&gt;0),IF(Tasks[[#This Row],[Finish Var]]&gt;0,"Behind","In Progress"),IF(Tasks[[#This Row],[Planned Start]]&lt;StatusDate,"Late Start","Not Started"))))</f>
        <v/>
      </c>
      <c r="AH83" s="30"/>
      <c r="AI83" s="91"/>
      <c r="AJ8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3" s="98" t="str">
        <f aca="false">IF(Tasks[[#This Row],[Task Name]]="","",IF(Tasks[[#This Row],[_IsSummary]],SUM(INDEX(Tasks[_LeafWork],Tasks[[#This Row],[_Row]]+1):INDEX(Tasks[_LeafWork],Tasks[[#This Row],[_Row]]+Tasks[[#This Row],[_Descendants]])),Tasks[[#This Row],[_LeafWork]]))</f>
        <v/>
      </c>
      <c r="AL83" s="99" t="str">
        <f aca="false">IF(Tasks[[#This Row],[Task Name]]="","",IF(Tasks[[#This Row],[_IsSummary]],SUM(INDEX(Tasks[_LeafCost],Tasks[[#This Row],[_Row]]+1):INDEX(Tasks[_LeafCost],Tasks[[#This Row],[_Row]]+Tasks[[#This Row],[_Descendants]])),Tasks[[#This Row],[_LeafCost]]))</f>
        <v/>
      </c>
      <c r="AM83" s="100"/>
      <c r="AN83" s="29"/>
      <c r="AO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3" s="85"/>
      <c r="AQ83" s="24" t="str">
        <f aca="false">IF(Tasks[[#This Row],[Task Name]]="","",Tasks[[#This Row],[_Pred1IDText]]&amp;IF(AND(Tasks[[#This Row],[_Pred1IDText]]&lt;&gt;"",Tasks[[#This Row],[_Pred2IDText]]&lt;&gt;""),",","")&amp;Tasks[[#This Row],[_Pred2IDText]])</f>
        <v/>
      </c>
      <c r="AR83" s="30"/>
      <c r="AS83" s="25" t="str">
        <f aca="false">IF(Tasks[[#This Row],[Task Name]]="","",Tasks[[#This Row],[Forecast Start]])</f>
        <v/>
      </c>
      <c r="AT83" s="25" t="str">
        <f aca="false">IF(Tasks[[#This Row],[Task Name]]="","",Tasks[[#This Row],[Forecast Finish]])</f>
        <v/>
      </c>
      <c r="AU83" s="28" t="str">
        <f aca="false">IF(Tasks[[#This Row],[Task Name]]="","",IF(Tasks[[#This Row],[_IsSummary]],NETWORKDAYS.INTL(Tasks[[#This Row],[Forecast Start]],Tasks[[#This Row],[Forecast Finish]],WorkWeek,Holidays),N(Tasks[[#This Row],[Duration]])))</f>
        <v/>
      </c>
      <c r="AV83" s="98" t="str">
        <f aca="false">IF(Tasks[[#This Row],[Task Name]]="","",Tasks[[#This Row],[Work]])</f>
        <v/>
      </c>
      <c r="AW83" s="99" t="str">
        <f aca="false">IF(Tasks[[#This Row],[Task Name]]="","",Tasks[[#This Row],[Cost]])</f>
        <v/>
      </c>
      <c r="AX83" s="77"/>
      <c r="AY83" s="77"/>
      <c r="AZ83" s="29"/>
      <c r="BA83" s="101"/>
      <c r="BB83" s="100"/>
      <c r="BC83" s="28" t="str">
        <f aca="false">IF(OR(Tasks[[#This Row],[Task Name]]="",Tasks[[#This Row],[Baseline Duration]]=""),"",Tasks[[#This Row],[BL Source Duration]]-N(Tasks[[#This Row],[Baseline Duration]]))</f>
        <v/>
      </c>
      <c r="BD83" s="98" t="str">
        <f aca="false">IF(OR(Tasks[[#This Row],[Task Name]]="",Tasks[[#This Row],[Baseline Work]]=""),"",Tasks[[#This Row],[Work]]-N(Tasks[[#This Row],[Baseline Work]]))</f>
        <v/>
      </c>
      <c r="BE83" s="99" t="str">
        <f aca="false">IF(OR(Tasks[[#This Row],[Task Name]]="",Tasks[[#This Row],[Baseline Cost]]=""),"",Tasks[[#This Row],[Cost]]-N(Tasks[[#This Row],[Baseline Cost]]))</f>
        <v/>
      </c>
      <c r="BF83" s="99" t="str">
        <f aca="false">IF(Tasks[[#This Row],[Task Name]]="","",IF(Tasks[[#This Row],[_IsSummary]],SUM(INDEX(Tasks[_LeafBudget],Tasks[[#This Row],[_Row]]+1):INDEX(Tasks[_LeafBudget],Tasks[[#This Row],[_Row]]+Tasks[[#This Row],[_Descendants]])),Tasks[[#This Row],[_LeafBudget]]))</f>
        <v/>
      </c>
      <c r="BG83" s="99" t="str">
        <f aca="false">IF(Tasks[[#This Row],[Task Name]]="","",IF(Tasks[[#This Row],[_IsSummary]],SUM(INDEX(Tasks[_LeafPV],Tasks[[#This Row],[_Row]]+1):INDEX(Tasks[_LeafPV],Tasks[[#This Row],[_Row]]+Tasks[[#This Row],[_Descendants]])),Tasks[[#This Row],[_LeafPV]]))</f>
        <v/>
      </c>
      <c r="BH83" s="99" t="str">
        <f aca="false">IF(Tasks[[#This Row],[Task Name]]="","",IF(Tasks[[#This Row],[_IsSummary]],SUM(INDEX(Tasks[_LeafEV],Tasks[[#This Row],[_Row]]+1):INDEX(Tasks[_LeafEV],Tasks[[#This Row],[_Row]]+Tasks[[#This Row],[_Descendants]])),Tasks[[#This Row],[_LeafEV]]))</f>
        <v/>
      </c>
      <c r="BI83" s="99" t="str">
        <f aca="false">IF(Tasks[[#This Row],[Task Name]]="","",IF(Tasks[[#This Row],[_IsSummary]],SUM(INDEX(Tasks[_LeafAC],Tasks[[#This Row],[_Row]]+1):INDEX(Tasks[_LeafAC],Tasks[[#This Row],[_Row]]+Tasks[[#This Row],[_Descendants]])),Tasks[[#This Row],[_LeafAC]]))</f>
        <v/>
      </c>
      <c r="BJ83" s="41" t="str">
        <f aca="false">IF(Tasks[[#This Row],[Task Name]]="","",MAX(1,N(Tasks[[#This Row],[Level]])))</f>
        <v/>
      </c>
      <c r="BK83" s="41" t="n">
        <f aca="false">ROW()-ROW(Tasks[[#Headers],[ID]])</f>
        <v>78</v>
      </c>
      <c r="BL83" s="41" t="n">
        <f aca="false">IF(OR(Tasks[[#This Row],[Task Name]]="",Tasks[[#This Row],[_Level]]&lt;=1),0,IFERROR(LOOKUP(2,1/(Tasks[[#Headers],[_Level]]:Tasks[[#This Row],[_Level]]=Tasks[[#This Row],[_Level]]-1),ROW(Tasks[[#Headers],[_Level]]:Tasks[[#This Row],[_Level]])),0))</f>
        <v>0</v>
      </c>
      <c r="BM83" s="41" t="n">
        <f aca="false">IFERROR(N(INDEX(Tasks[_Level],Tasks[[#This Row],[_Row]]+1)),0)</f>
        <v>0</v>
      </c>
      <c r="BN83" s="102" t="b">
        <f aca="false">AND(Tasks[[#This Row],[Task Name]]&lt;&gt;"",Tasks[[#This Row],[_NextLevel]]&gt;Tasks[[#This Row],[_Level]])</f>
        <v>0</v>
      </c>
      <c r="BO83" s="41" t="n">
        <f aca="false">IF(Tasks[[#This Row],[_IsSummary]],COUNTIF(Tasks[WBS],Tasks[[#This Row],[WBS]]&amp;".*"),0)</f>
        <v>0</v>
      </c>
      <c r="BP83" s="41" t="n">
        <f aca="false">IF(AND(Tasks[[#This Row],[Task Name]]&lt;&gt;"",NOT(Tasks[[#This Row],[_IsSummary]])),1,0)</f>
        <v>0</v>
      </c>
      <c r="BQ83" s="41" t="n">
        <f aca="false">IF(N(Tasks[[#This Row],[Pred1 UID]])=0,0,IFERROR(MATCH(Tasks[[#This Row],[Pred1 UID]],Tasks[UID],0),-1))</f>
        <v>0</v>
      </c>
      <c r="BR83" s="41" t="n">
        <f aca="false">IF(N(Tasks[[#This Row],[Pred2 UID]])=0,0,IFERROR(MATCH(Tasks[[#This Row],[Pred2 UID]],Tasks[UID],0),-1))</f>
        <v>0</v>
      </c>
      <c r="BS8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3" s="103" t="str">
        <f aca="false">IF(NOT(Tasks[[#This Row],[_IsLeaf]]=1),"",IF(N(Tasks[[#This Row],[Duration]])&lt;=0,Tasks[[#This Row],[_LeafCalcStart]],WORKDAY.INTL(Tasks[[#This Row],[_LeafCalcStart]],Tasks[[#This Row],[Duration]]-1,WorkWeek,Holidays)))</f>
        <v/>
      </c>
      <c r="BU8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3" s="41" t="n">
        <f aca="false">IF(NOT(Tasks[[#This Row],[_IsLeaf]]=1),0,IF(N(Tasks[[#This Row],[Actual Finish]])&gt;0,1,MIN(1,N(Tasks[[#This Row],[% Complete]]))))</f>
        <v>0</v>
      </c>
      <c r="BX83" s="41" t="n">
        <f aca="false">IF(OR(NOT(Tasks[[#This Row],[_IsLeaf]]=1),Tasks[[#This Row],[Resource]]=""),0,N(Tasks[[#This Row],[Duration]])*HoursPerDay*IF(Tasks[[#This Row],[Units]]="",DefaultUnits,Tasks[[#This Row],[Units]]))</f>
        <v>0</v>
      </c>
      <c r="BY83" s="41" t="n">
        <f aca="false">IF(Tasks[[#This Row],[_LeafWork]]=0,0,Tasks[[#This Row],[_LeafWork]]*IFERROR(INDEX(res_Rate,MATCH(Tasks[[#This Row],[Resource]],res_Name,0)),0))</f>
        <v>0</v>
      </c>
      <c r="BZ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3" s="41" t="n">
        <f aca="false">IF(NOT(Tasks[[#This Row],[_IsLeaf]]=1),0,MAX(_xlfn.MAXIFS(Tasks[_Row],Tasks[Pred1 UID],Tasks[[#This Row],[UID]]),_xlfn.MAXIFS(Tasks[_Row],Tasks[Pred2 UID],Tasks[[#This Row],[UID]])))</f>
        <v>0</v>
      </c>
      <c r="CE8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3" s="103" t="str">
        <f aca="false">IF(NOT(Tasks[[#This Row],[_IsLeaf]]=1),"",MIN(ProjectFinish,IF(N(Tasks[[#This Row],[Deadline]])&gt;0,Tasks[[#This Row],[Deadline]],2958465),Tasks[[#This Row],[_SuccessorFinishLimit]]))</f>
        <v/>
      </c>
      <c r="CG83" s="103" t="str">
        <f aca="false">IF(NOT(Tasks[[#This Row],[_IsLeaf]]=1),"",IF(N(Tasks[[#This Row],[Duration]])&lt;=0,Tasks[[#This Row],[_LeafLateFinish]],WORKDAY.INTL(Tasks[[#This Row],[_LeafLateFinish]],-(Tasks[[#This Row],[Duration]]-1),WorkWeek,Holidays)))</f>
        <v/>
      </c>
      <c r="CH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3" s="102" t="b">
        <f aca="false">AND(Tasks[[#This Row],[_IsLeaf]]=1,Tasks[[#This Row],[_LeafProgress]]&lt;1,N(Tasks[[#This Row],[_LeafTotalSlack]])&lt;=CriticalSlackDays)</f>
        <v>0</v>
      </c>
      <c r="CJ83" s="103" t="str">
        <f aca="false">IF(Tasks[[#This Row],[Task Name]]="","",IF(Tasks[[#This Row],[_IsSummary]],MIN(INDEX(Tasks[_LeafCalcStart],Tasks[[#This Row],[_Row]]+1):INDEX(Tasks[_LeafCalcStart],Tasks[[#This Row],[_Row]]+Tasks[[#This Row],[_Descendants]])),Tasks[[#This Row],[_LeafCalcStart]]))</f>
        <v/>
      </c>
      <c r="CK83" s="103" t="str">
        <f aca="false">IF(Tasks[[#This Row],[Task Name]]="","",IF(Tasks[[#This Row],[_IsSummary]],MAX(INDEX(Tasks[_LeafCalcFinish],Tasks[[#This Row],[_Row]]+1):INDEX(Tasks[_LeafCalcFinish],Tasks[[#This Row],[_Row]]+Tasks[[#This Row],[_Descendants]])),Tasks[[#This Row],[_LeafCalcFinish]]))</f>
        <v/>
      </c>
      <c r="CL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3" s="41" t="n">
        <f aca="false">IF(AND(Tasks[[#This Row],[_IsLeaf]]=1,Tasks[[#This Row],[_LeafWork]]&gt;0),NETWORKDAYS.INTL(ProjectStart,Tasks[[#This Row],[_LeafFcstStart]],WorkWeek,Holidays),0)</f>
        <v>0</v>
      </c>
      <c r="CS83" s="41" t="n">
        <f aca="false">IF(AND(Tasks[[#This Row],[_IsLeaf]]=1,Tasks[[#This Row],[_LeafWork]]&gt;0),MAX(Tasks[[#This Row],[_StartWorkday]],NETWORKDAYS.INTL(ProjectStart,Tasks[[#This Row],[_LeafFcstFinish]],WorkWeek,Holidays)),0)</f>
        <v>0</v>
      </c>
      <c r="CT83" s="41" t="n">
        <f aca="false">IF(AND(Tasks[[#This Row],[_IsLeaf]]=1,Tasks[[#This Row],[_LeafWork]]&gt;0),Tasks[[#This Row],[_LeafWork]]/(Tasks[[#This Row],[_FinishWorkday]]-Tasks[[#This Row],[_StartWorkday]]+1),0)</f>
        <v>0</v>
      </c>
      <c r="CU83" s="41" t="n">
        <f aca="false">Tasks[[#This Row],[_WorkPerWorkday]]*(Tasks[[#This Row],[_StartWorkday]]-1)</f>
        <v>-0</v>
      </c>
      <c r="CV83" s="41" t="n">
        <f aca="false">IF(Tasks[[#This Row],[_IsLeaf]]=1,MAX(N(Tasks[[#This Row],[Duration]]),0.1),0)</f>
        <v>0</v>
      </c>
      <c r="CW83" s="41" t="n">
        <f aca="false">Tasks[[#This Row],[_WeightDur]]*Tasks[[#This Row],[_LeafProgress]]</f>
        <v>0</v>
      </c>
      <c r="CX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3" s="41" t="str">
        <f aca="false">IF(Tasks[[#This Row],[Task Name]]="","",Tasks[[#This Row],[_Pred1UIDText]]&amp;IF(AND(Tasks[[#This Row],[_Pred1UIDText]]&lt;&gt;"",Tasks[[#This Row],[_Pred2UIDText]]&lt;&gt;""),",","")&amp;Tasks[[#This Row],[_Pred2UIDText]])</f>
        <v/>
      </c>
      <c r="DC83" s="41" t="str">
        <f aca="false">IF(AND(Tasks[[#This Row],[_IsLeaf]]=1,N(Tasks[[#This Row],[Duration]])=0,Tasks[[#This Row],[_LeafProgress]]&lt;1),Tasks[[#This Row],[_LeafFcstFinish]]+Tasks[[#This Row],[_Row]]/100000,"")</f>
        <v/>
      </c>
      <c r="DD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3" s="41" t="n">
        <f aca="false">IF(NOT(Tasks[[#This Row],[_IsLeaf]]=1),0,IF(Tasks[[#This Row],[Baseline Cost]]="",Tasks[[#This Row],[_LeafCost]],N(Tasks[[#This Row],[Baseline Cost]])))</f>
        <v>0</v>
      </c>
      <c r="DF83" s="41" t="n">
        <f aca="false">Tasks[[#This Row],[_LeafBudget]]*Tasks[[#This Row],[_PlannedPct]]</f>
        <v>0</v>
      </c>
      <c r="DG83" s="41" t="n">
        <f aca="false">Tasks[[#This Row],[_LeafBudget]]*Tasks[[#This Row],[_LeafProgress]]</f>
        <v>0</v>
      </c>
      <c r="DH83" s="41" t="n">
        <f aca="false">IF(NOT(Tasks[[#This Row],[_IsLeaf]]=1),0,IF(Tasks[[#This Row],[Actual Cost]]="",Tasks[[#This Row],[_LeafCost]]*Tasks[[#This Row],[_LeafProgress]],N(Tasks[[#This Row],[Actual Cost]])))</f>
        <v>0</v>
      </c>
      <c r="DI83" s="41" t="str">
        <f aca="false">IF(Tasks[[#This Row],[Task Name]]="","",LEFT(Tasks[[#This Row],[WBS]],FIND(".",Tasks[[#This Row],[WBS]]&amp;".")-1))</f>
        <v/>
      </c>
      <c r="DJ83" s="41" t="str">
        <f aca="false">IF(AND(Tasks[[#This Row],[Task Name]]&lt;&gt;"",Tasks[[#This Row],[_Level]]=1),Tasks[[#This Row],[_Row]],"")</f>
        <v/>
      </c>
      <c r="DK83" s="41" t="str">
        <f aca="false">IF(AND(Tasks[[#This Row],[_IsLeaf]]=1,N(Tasks[[#This Row],[Duration]])=0),Tasks[[#This Row],[Planned Finish]]+Tasks[[#This Row],[_Row]]/100000,"")</f>
        <v/>
      </c>
      <c r="DL83" s="41" t="str">
        <f aca="false">IF(AND(Tasks[[#This Row],[_IsLeaf]]=1,Tasks[[#This Row],[_LeafProgress]]&lt;1,OR(N(Tasks[[#This Row],[Finish Var]])&gt;0,Tasks[[#This Row],[Status]]="Late Start")),MAX(0,Tasks[[#This Row],[Finish Var]])+1-Tasks[[#This Row],[_Row]]/1000000,"")</f>
        <v/>
      </c>
      <c r="DM83" s="41" t="str">
        <f aca="false">IF(AND(Tasks[[#This Row],[_IsLeaf]]=1,N(Tasks[[#This Row],[Actual Start]])=0,Tasks[[#This Row],[_LeafFcstStart]]&gt;=StatusDate,Tasks[[#This Row],[_LeafFcstStart]]&lt;=LookaheadEnd),Tasks[[#This Row],[_LeafFcstStart]]+Tasks[[#This Row],[_Row]]/100000,"")</f>
        <v/>
      </c>
      <c r="DN83" s="41" t="str">
        <f aca="false">IF(AND(Tasks[[#This Row],[_IsLeaf]]=1,Tasks[[#This Row],[_LeafProgress]]&lt;1,Tasks[[#This Row],[_LeafFcstFinish]]&gt;=StatusDate,Tasks[[#This Row],[_LeafFcstFinish]]&lt;=LookaheadEnd),Tasks[[#This Row],[_LeafFcstFinish]]+Tasks[[#This Row],[_Row]]/100000,"")</f>
        <v/>
      </c>
      <c r="DO83" s="41" t="str">
        <f aca="false">IF(Tasks[[#This Row],[_LeafCritical]],Tasks[[#This Row],[_LeafFcstStart]]+Tasks[[#This Row],[_Row]]/100000,"")</f>
        <v/>
      </c>
      <c r="DP83" s="41" t="n">
        <f aca="false">Tasks[[#This Row],[_LeafWork]]*Tasks[[#This Row],[_LeafProgress]]</f>
        <v>0</v>
      </c>
      <c r="DQ83" s="103" t="str">
        <f aca="false">IF(AND(Tasks[[#This Row],[_IsLeaf]]=1,Tasks[[#This Row],[_LeafProgress]]&gt;=1),IF(N(Tasks[[#This Row],[Actual Finish]])&gt;0,Tasks[[#This Row],[Actual Finish]],Tasks[[#This Row],[_LeafFcstFinish]]),"")</f>
        <v/>
      </c>
      <c r="DR83" s="41" t="n">
        <f aca="false">IF(Tasks[[#This Row],[_IsLeaf]]=1,N(Tasks[[#This Row],[Story Points]]),0)</f>
        <v>0</v>
      </c>
      <c r="DS83" s="41" t="str">
        <f aca="false">IF(AND(Tasks[[#This Row],[_IsLeaf]]=1,CurrentSprint&lt;&gt;"",Tasks[[#This Row],[Sprint]]=CurrentSprint),Tasks[[#This Row],[_Row]],"")</f>
        <v/>
      </c>
    </row>
    <row r="84" customFormat="false" ht="15" hidden="false" customHeight="false" outlineLevel="0" collapsed="false">
      <c r="A84" s="28" t="str">
        <f aca="false">IF(Tasks[[#This Row],[Task Name]]="","",COUNTA(Tasks[[#Headers],[Task Name]]:Tasks[[#This Row],[Task Name]])-1)</f>
        <v/>
      </c>
      <c r="B84" s="29" t="n">
        <v>79</v>
      </c>
      <c r="C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29"/>
      <c r="E84" s="30"/>
      <c r="F84" s="29"/>
      <c r="G84" s="29"/>
      <c r="H84" s="29"/>
      <c r="I84" s="29"/>
      <c r="J84" s="29"/>
      <c r="K84" s="29"/>
      <c r="L84" s="29"/>
      <c r="M84" s="29"/>
      <c r="N84" s="77"/>
      <c r="O84" s="77"/>
      <c r="P84" s="25" t="str">
        <f aca="false">IF(Tasks[[#This Row],[Task Name]]="","",IF(N(Tasks[[#This Row],[Baseline Start]])&gt;0,Tasks[[#This Row],[Baseline Start]],Tasks[[#This Row],[_CalcStart]]))</f>
        <v/>
      </c>
      <c r="Q84" s="25" t="str">
        <f aca="false">IF(Tasks[[#This Row],[Task Name]]="","",IF(N(Tasks[[#This Row],[Baseline Finish]])&gt;0,Tasks[[#This Row],[Baseline Finish]],Tasks[[#This Row],[_CalcFinish]]))</f>
        <v/>
      </c>
      <c r="R84" s="77"/>
      <c r="S84" s="77"/>
      <c r="T84" s="25" t="str">
        <f aca="false">IF(Tasks[[#This Row],[Task Name]]="","",IF(Tasks[[#This Row],[_IsSummary]],MIN(INDEX(Tasks[_LeafFcstStart],Tasks[[#This Row],[_Row]]+1):INDEX(Tasks[_LeafFcstStart],Tasks[[#This Row],[_Row]]+Tasks[[#This Row],[_Descendants]])),Tasks[[#This Row],[_LeafFcstStart]]))</f>
        <v/>
      </c>
      <c r="U84" s="25" t="str">
        <f aca="false">IF(Tasks[[#This Row],[Task Name]]="","",IF(Tasks[[#This Row],[_IsSummary]],MAX(INDEX(Tasks[_LeafFcstFinish],Tasks[[#This Row],[_Row]]+1):INDEX(Tasks[_LeafFcstFinish],Tasks[[#This Row],[_Row]]+Tasks[[#This Row],[_Descendants]])),Tasks[[#This Row],[_LeafFcstFinish]]))</f>
        <v/>
      </c>
      <c r="V8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4" s="25" t="str">
        <f aca="false">IF(Tasks[[#This Row],[Task Name]]="","",IF(Tasks[[#This Row],[_IsSummary]],MIN(INDEX(Tasks[_LeafLateStart],Tasks[[#This Row],[_Row]]+1):INDEX(Tasks[_LeafLateStart],Tasks[[#This Row],[_Row]]+Tasks[[#This Row],[_Descendants]])),Tasks[[#This Row],[_LeafLateStart]]))</f>
        <v/>
      </c>
      <c r="Y84" s="25" t="str">
        <f aca="false">IF(Tasks[[#This Row],[Task Name]]="","",IF(Tasks[[#This Row],[_IsSummary]],MAX(INDEX(Tasks[_LeafLateFinish],Tasks[[#This Row],[_Row]]+1):INDEX(Tasks[_LeafLateFinish],Tasks[[#This Row],[_Row]]+Tasks[[#This Row],[_Descendants]])),Tasks[[#This Row],[_LeafLateFinish]]))</f>
        <v/>
      </c>
      <c r="Z84" s="43" t="str">
        <f aca="false">IF(Tasks[[#This Row],[Task Name]]="","",IF(Tasks[[#This Row],[_IsSummary]],MIN(INDEX(Tasks[_LeafTotalSlack],Tasks[[#This Row],[_Row]]+1):INDEX(Tasks[_LeafTotalSlack],Tasks[[#This Row],[_Row]]+Tasks[[#This Row],[_Descendants]])),Tasks[[#This Row],[_LeafTotalSlack]]))</f>
        <v/>
      </c>
      <c r="AA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4" s="28" t="str">
        <f aca="false">IF(Tasks[[#This Row],[Task Name]]="","",IF(IF(Tasks[[#This Row],[_IsSummary]],COUNTIF(INDEX(Tasks[_LeafCritical],Tasks[[#This Row],[_Row]]+1):INDEX(Tasks[_LeafCritical],Tasks[[#This Row],[_Row]]+Tasks[[#This Row],[_Descendants]]),TRUE())&gt;0,Tasks[[#This Row],[_LeafCritical]]),"Yes",""))</f>
        <v/>
      </c>
      <c r="AC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4" s="24" t="str">
        <f aca="false">IF(Tasks[[#This Row],[Task Name]]="","",TRIM(IF(Tasks[[#This Row],[_Pred1Problem]]&lt;&gt;"","Pred 1: "&amp;Tasks[[#This Row],[_Pred1Problem]]&amp;". ","")&amp;IF(Tasks[[#This Row],[_Pred2Problem]]&lt;&gt;"","Pred 2: "&amp;Tasks[[#This Row],[_Pred2Problem]]&amp;".","")))</f>
        <v/>
      </c>
      <c r="AE84" s="91"/>
      <c r="AF8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4" s="28" t="str">
        <f aca="false">IF(Tasks[[#This Row],[Task Name]]="","",IF(Tasks[[#This Row],[Progress]]&gt;=1,"Complete",IF(OR(N(Tasks[[#This Row],[Actual Start]])&gt;0,Tasks[[#This Row],[Progress]]&gt;0),IF(Tasks[[#This Row],[Finish Var]]&gt;0,"Behind","In Progress"),IF(Tasks[[#This Row],[Planned Start]]&lt;StatusDate,"Late Start","Not Started"))))</f>
        <v/>
      </c>
      <c r="AH84" s="30"/>
      <c r="AI84" s="91"/>
      <c r="AJ8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4" s="98" t="str">
        <f aca="false">IF(Tasks[[#This Row],[Task Name]]="","",IF(Tasks[[#This Row],[_IsSummary]],SUM(INDEX(Tasks[_LeafWork],Tasks[[#This Row],[_Row]]+1):INDEX(Tasks[_LeafWork],Tasks[[#This Row],[_Row]]+Tasks[[#This Row],[_Descendants]])),Tasks[[#This Row],[_LeafWork]]))</f>
        <v/>
      </c>
      <c r="AL84" s="99" t="str">
        <f aca="false">IF(Tasks[[#This Row],[Task Name]]="","",IF(Tasks[[#This Row],[_IsSummary]],SUM(INDEX(Tasks[_LeafCost],Tasks[[#This Row],[_Row]]+1):INDEX(Tasks[_LeafCost],Tasks[[#This Row],[_Row]]+Tasks[[#This Row],[_Descendants]])),Tasks[[#This Row],[_LeafCost]]))</f>
        <v/>
      </c>
      <c r="AM84" s="100"/>
      <c r="AN84" s="29"/>
      <c r="AO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4" s="85"/>
      <c r="AQ84" s="24" t="str">
        <f aca="false">IF(Tasks[[#This Row],[Task Name]]="","",Tasks[[#This Row],[_Pred1IDText]]&amp;IF(AND(Tasks[[#This Row],[_Pred1IDText]]&lt;&gt;"",Tasks[[#This Row],[_Pred2IDText]]&lt;&gt;""),",","")&amp;Tasks[[#This Row],[_Pred2IDText]])</f>
        <v/>
      </c>
      <c r="AR84" s="30"/>
      <c r="AS84" s="25" t="str">
        <f aca="false">IF(Tasks[[#This Row],[Task Name]]="","",Tasks[[#This Row],[Forecast Start]])</f>
        <v/>
      </c>
      <c r="AT84" s="25" t="str">
        <f aca="false">IF(Tasks[[#This Row],[Task Name]]="","",Tasks[[#This Row],[Forecast Finish]])</f>
        <v/>
      </c>
      <c r="AU84" s="28" t="str">
        <f aca="false">IF(Tasks[[#This Row],[Task Name]]="","",IF(Tasks[[#This Row],[_IsSummary]],NETWORKDAYS.INTL(Tasks[[#This Row],[Forecast Start]],Tasks[[#This Row],[Forecast Finish]],WorkWeek,Holidays),N(Tasks[[#This Row],[Duration]])))</f>
        <v/>
      </c>
      <c r="AV84" s="98" t="str">
        <f aca="false">IF(Tasks[[#This Row],[Task Name]]="","",Tasks[[#This Row],[Work]])</f>
        <v/>
      </c>
      <c r="AW84" s="99" t="str">
        <f aca="false">IF(Tasks[[#This Row],[Task Name]]="","",Tasks[[#This Row],[Cost]])</f>
        <v/>
      </c>
      <c r="AX84" s="77"/>
      <c r="AY84" s="77"/>
      <c r="AZ84" s="29"/>
      <c r="BA84" s="101"/>
      <c r="BB84" s="100"/>
      <c r="BC84" s="28" t="str">
        <f aca="false">IF(OR(Tasks[[#This Row],[Task Name]]="",Tasks[[#This Row],[Baseline Duration]]=""),"",Tasks[[#This Row],[BL Source Duration]]-N(Tasks[[#This Row],[Baseline Duration]]))</f>
        <v/>
      </c>
      <c r="BD84" s="98" t="str">
        <f aca="false">IF(OR(Tasks[[#This Row],[Task Name]]="",Tasks[[#This Row],[Baseline Work]]=""),"",Tasks[[#This Row],[Work]]-N(Tasks[[#This Row],[Baseline Work]]))</f>
        <v/>
      </c>
      <c r="BE84" s="99" t="str">
        <f aca="false">IF(OR(Tasks[[#This Row],[Task Name]]="",Tasks[[#This Row],[Baseline Cost]]=""),"",Tasks[[#This Row],[Cost]]-N(Tasks[[#This Row],[Baseline Cost]]))</f>
        <v/>
      </c>
      <c r="BF84" s="99" t="str">
        <f aca="false">IF(Tasks[[#This Row],[Task Name]]="","",IF(Tasks[[#This Row],[_IsSummary]],SUM(INDEX(Tasks[_LeafBudget],Tasks[[#This Row],[_Row]]+1):INDEX(Tasks[_LeafBudget],Tasks[[#This Row],[_Row]]+Tasks[[#This Row],[_Descendants]])),Tasks[[#This Row],[_LeafBudget]]))</f>
        <v/>
      </c>
      <c r="BG84" s="99" t="str">
        <f aca="false">IF(Tasks[[#This Row],[Task Name]]="","",IF(Tasks[[#This Row],[_IsSummary]],SUM(INDEX(Tasks[_LeafPV],Tasks[[#This Row],[_Row]]+1):INDEX(Tasks[_LeafPV],Tasks[[#This Row],[_Row]]+Tasks[[#This Row],[_Descendants]])),Tasks[[#This Row],[_LeafPV]]))</f>
        <v/>
      </c>
      <c r="BH84" s="99" t="str">
        <f aca="false">IF(Tasks[[#This Row],[Task Name]]="","",IF(Tasks[[#This Row],[_IsSummary]],SUM(INDEX(Tasks[_LeafEV],Tasks[[#This Row],[_Row]]+1):INDEX(Tasks[_LeafEV],Tasks[[#This Row],[_Row]]+Tasks[[#This Row],[_Descendants]])),Tasks[[#This Row],[_LeafEV]]))</f>
        <v/>
      </c>
      <c r="BI84" s="99" t="str">
        <f aca="false">IF(Tasks[[#This Row],[Task Name]]="","",IF(Tasks[[#This Row],[_IsSummary]],SUM(INDEX(Tasks[_LeafAC],Tasks[[#This Row],[_Row]]+1):INDEX(Tasks[_LeafAC],Tasks[[#This Row],[_Row]]+Tasks[[#This Row],[_Descendants]])),Tasks[[#This Row],[_LeafAC]]))</f>
        <v/>
      </c>
      <c r="BJ84" s="41" t="str">
        <f aca="false">IF(Tasks[[#This Row],[Task Name]]="","",MAX(1,N(Tasks[[#This Row],[Level]])))</f>
        <v/>
      </c>
      <c r="BK84" s="41" t="n">
        <f aca="false">ROW()-ROW(Tasks[[#Headers],[ID]])</f>
        <v>79</v>
      </c>
      <c r="BL84" s="41" t="n">
        <f aca="false">IF(OR(Tasks[[#This Row],[Task Name]]="",Tasks[[#This Row],[_Level]]&lt;=1),0,IFERROR(LOOKUP(2,1/(Tasks[[#Headers],[_Level]]:Tasks[[#This Row],[_Level]]=Tasks[[#This Row],[_Level]]-1),ROW(Tasks[[#Headers],[_Level]]:Tasks[[#This Row],[_Level]])),0))</f>
        <v>0</v>
      </c>
      <c r="BM84" s="41" t="n">
        <f aca="false">IFERROR(N(INDEX(Tasks[_Level],Tasks[[#This Row],[_Row]]+1)),0)</f>
        <v>0</v>
      </c>
      <c r="BN84" s="102" t="b">
        <f aca="false">AND(Tasks[[#This Row],[Task Name]]&lt;&gt;"",Tasks[[#This Row],[_NextLevel]]&gt;Tasks[[#This Row],[_Level]])</f>
        <v>0</v>
      </c>
      <c r="BO84" s="41" t="n">
        <f aca="false">IF(Tasks[[#This Row],[_IsSummary]],COUNTIF(Tasks[WBS],Tasks[[#This Row],[WBS]]&amp;".*"),0)</f>
        <v>0</v>
      </c>
      <c r="BP84" s="41" t="n">
        <f aca="false">IF(AND(Tasks[[#This Row],[Task Name]]&lt;&gt;"",NOT(Tasks[[#This Row],[_IsSummary]])),1,0)</f>
        <v>0</v>
      </c>
      <c r="BQ84" s="41" t="n">
        <f aca="false">IF(N(Tasks[[#This Row],[Pred1 UID]])=0,0,IFERROR(MATCH(Tasks[[#This Row],[Pred1 UID]],Tasks[UID],0),-1))</f>
        <v>0</v>
      </c>
      <c r="BR84" s="41" t="n">
        <f aca="false">IF(N(Tasks[[#This Row],[Pred2 UID]])=0,0,IFERROR(MATCH(Tasks[[#This Row],[Pred2 UID]],Tasks[UID],0),-1))</f>
        <v>0</v>
      </c>
      <c r="BS8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4" s="103" t="str">
        <f aca="false">IF(NOT(Tasks[[#This Row],[_IsLeaf]]=1),"",IF(N(Tasks[[#This Row],[Duration]])&lt;=0,Tasks[[#This Row],[_LeafCalcStart]],WORKDAY.INTL(Tasks[[#This Row],[_LeafCalcStart]],Tasks[[#This Row],[Duration]]-1,WorkWeek,Holidays)))</f>
        <v/>
      </c>
      <c r="BU8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4" s="41" t="n">
        <f aca="false">IF(NOT(Tasks[[#This Row],[_IsLeaf]]=1),0,IF(N(Tasks[[#This Row],[Actual Finish]])&gt;0,1,MIN(1,N(Tasks[[#This Row],[% Complete]]))))</f>
        <v>0</v>
      </c>
      <c r="BX84" s="41" t="n">
        <f aca="false">IF(OR(NOT(Tasks[[#This Row],[_IsLeaf]]=1),Tasks[[#This Row],[Resource]]=""),0,N(Tasks[[#This Row],[Duration]])*HoursPerDay*IF(Tasks[[#This Row],[Units]]="",DefaultUnits,Tasks[[#This Row],[Units]]))</f>
        <v>0</v>
      </c>
      <c r="BY84" s="41" t="n">
        <f aca="false">IF(Tasks[[#This Row],[_LeafWork]]=0,0,Tasks[[#This Row],[_LeafWork]]*IFERROR(INDEX(res_Rate,MATCH(Tasks[[#This Row],[Resource]],res_Name,0)),0))</f>
        <v>0</v>
      </c>
      <c r="BZ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4" s="41" t="n">
        <f aca="false">IF(NOT(Tasks[[#This Row],[_IsLeaf]]=1),0,MAX(_xlfn.MAXIFS(Tasks[_Row],Tasks[Pred1 UID],Tasks[[#This Row],[UID]]),_xlfn.MAXIFS(Tasks[_Row],Tasks[Pred2 UID],Tasks[[#This Row],[UID]])))</f>
        <v>0</v>
      </c>
      <c r="CE8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4" s="103" t="str">
        <f aca="false">IF(NOT(Tasks[[#This Row],[_IsLeaf]]=1),"",MIN(ProjectFinish,IF(N(Tasks[[#This Row],[Deadline]])&gt;0,Tasks[[#This Row],[Deadline]],2958465),Tasks[[#This Row],[_SuccessorFinishLimit]]))</f>
        <v/>
      </c>
      <c r="CG84" s="103" t="str">
        <f aca="false">IF(NOT(Tasks[[#This Row],[_IsLeaf]]=1),"",IF(N(Tasks[[#This Row],[Duration]])&lt;=0,Tasks[[#This Row],[_LeafLateFinish]],WORKDAY.INTL(Tasks[[#This Row],[_LeafLateFinish]],-(Tasks[[#This Row],[Duration]]-1),WorkWeek,Holidays)))</f>
        <v/>
      </c>
      <c r="CH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4" s="102" t="b">
        <f aca="false">AND(Tasks[[#This Row],[_IsLeaf]]=1,Tasks[[#This Row],[_LeafProgress]]&lt;1,N(Tasks[[#This Row],[_LeafTotalSlack]])&lt;=CriticalSlackDays)</f>
        <v>0</v>
      </c>
      <c r="CJ84" s="103" t="str">
        <f aca="false">IF(Tasks[[#This Row],[Task Name]]="","",IF(Tasks[[#This Row],[_IsSummary]],MIN(INDEX(Tasks[_LeafCalcStart],Tasks[[#This Row],[_Row]]+1):INDEX(Tasks[_LeafCalcStart],Tasks[[#This Row],[_Row]]+Tasks[[#This Row],[_Descendants]])),Tasks[[#This Row],[_LeafCalcStart]]))</f>
        <v/>
      </c>
      <c r="CK84" s="103" t="str">
        <f aca="false">IF(Tasks[[#This Row],[Task Name]]="","",IF(Tasks[[#This Row],[_IsSummary]],MAX(INDEX(Tasks[_LeafCalcFinish],Tasks[[#This Row],[_Row]]+1):INDEX(Tasks[_LeafCalcFinish],Tasks[[#This Row],[_Row]]+Tasks[[#This Row],[_Descendants]])),Tasks[[#This Row],[_LeafCalcFinish]]))</f>
        <v/>
      </c>
      <c r="CL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4" s="41" t="n">
        <f aca="false">IF(AND(Tasks[[#This Row],[_IsLeaf]]=1,Tasks[[#This Row],[_LeafWork]]&gt;0),NETWORKDAYS.INTL(ProjectStart,Tasks[[#This Row],[_LeafFcstStart]],WorkWeek,Holidays),0)</f>
        <v>0</v>
      </c>
      <c r="CS84" s="41" t="n">
        <f aca="false">IF(AND(Tasks[[#This Row],[_IsLeaf]]=1,Tasks[[#This Row],[_LeafWork]]&gt;0),MAX(Tasks[[#This Row],[_StartWorkday]],NETWORKDAYS.INTL(ProjectStart,Tasks[[#This Row],[_LeafFcstFinish]],WorkWeek,Holidays)),0)</f>
        <v>0</v>
      </c>
      <c r="CT84" s="41" t="n">
        <f aca="false">IF(AND(Tasks[[#This Row],[_IsLeaf]]=1,Tasks[[#This Row],[_LeafWork]]&gt;0),Tasks[[#This Row],[_LeafWork]]/(Tasks[[#This Row],[_FinishWorkday]]-Tasks[[#This Row],[_StartWorkday]]+1),0)</f>
        <v>0</v>
      </c>
      <c r="CU84" s="41" t="n">
        <f aca="false">Tasks[[#This Row],[_WorkPerWorkday]]*(Tasks[[#This Row],[_StartWorkday]]-1)</f>
        <v>-0</v>
      </c>
      <c r="CV84" s="41" t="n">
        <f aca="false">IF(Tasks[[#This Row],[_IsLeaf]]=1,MAX(N(Tasks[[#This Row],[Duration]]),0.1),0)</f>
        <v>0</v>
      </c>
      <c r="CW84" s="41" t="n">
        <f aca="false">Tasks[[#This Row],[_WeightDur]]*Tasks[[#This Row],[_LeafProgress]]</f>
        <v>0</v>
      </c>
      <c r="CX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4" s="41" t="str">
        <f aca="false">IF(Tasks[[#This Row],[Task Name]]="","",Tasks[[#This Row],[_Pred1UIDText]]&amp;IF(AND(Tasks[[#This Row],[_Pred1UIDText]]&lt;&gt;"",Tasks[[#This Row],[_Pred2UIDText]]&lt;&gt;""),",","")&amp;Tasks[[#This Row],[_Pred2UIDText]])</f>
        <v/>
      </c>
      <c r="DC84" s="41" t="str">
        <f aca="false">IF(AND(Tasks[[#This Row],[_IsLeaf]]=1,N(Tasks[[#This Row],[Duration]])=0,Tasks[[#This Row],[_LeafProgress]]&lt;1),Tasks[[#This Row],[_LeafFcstFinish]]+Tasks[[#This Row],[_Row]]/100000,"")</f>
        <v/>
      </c>
      <c r="DD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4" s="41" t="n">
        <f aca="false">IF(NOT(Tasks[[#This Row],[_IsLeaf]]=1),0,IF(Tasks[[#This Row],[Baseline Cost]]="",Tasks[[#This Row],[_LeafCost]],N(Tasks[[#This Row],[Baseline Cost]])))</f>
        <v>0</v>
      </c>
      <c r="DF84" s="41" t="n">
        <f aca="false">Tasks[[#This Row],[_LeafBudget]]*Tasks[[#This Row],[_PlannedPct]]</f>
        <v>0</v>
      </c>
      <c r="DG84" s="41" t="n">
        <f aca="false">Tasks[[#This Row],[_LeafBudget]]*Tasks[[#This Row],[_LeafProgress]]</f>
        <v>0</v>
      </c>
      <c r="DH84" s="41" t="n">
        <f aca="false">IF(NOT(Tasks[[#This Row],[_IsLeaf]]=1),0,IF(Tasks[[#This Row],[Actual Cost]]="",Tasks[[#This Row],[_LeafCost]]*Tasks[[#This Row],[_LeafProgress]],N(Tasks[[#This Row],[Actual Cost]])))</f>
        <v>0</v>
      </c>
      <c r="DI84" s="41" t="str">
        <f aca="false">IF(Tasks[[#This Row],[Task Name]]="","",LEFT(Tasks[[#This Row],[WBS]],FIND(".",Tasks[[#This Row],[WBS]]&amp;".")-1))</f>
        <v/>
      </c>
      <c r="DJ84" s="41" t="str">
        <f aca="false">IF(AND(Tasks[[#This Row],[Task Name]]&lt;&gt;"",Tasks[[#This Row],[_Level]]=1),Tasks[[#This Row],[_Row]],"")</f>
        <v/>
      </c>
      <c r="DK84" s="41" t="str">
        <f aca="false">IF(AND(Tasks[[#This Row],[_IsLeaf]]=1,N(Tasks[[#This Row],[Duration]])=0),Tasks[[#This Row],[Planned Finish]]+Tasks[[#This Row],[_Row]]/100000,"")</f>
        <v/>
      </c>
      <c r="DL84" s="41" t="str">
        <f aca="false">IF(AND(Tasks[[#This Row],[_IsLeaf]]=1,Tasks[[#This Row],[_LeafProgress]]&lt;1,OR(N(Tasks[[#This Row],[Finish Var]])&gt;0,Tasks[[#This Row],[Status]]="Late Start")),MAX(0,Tasks[[#This Row],[Finish Var]])+1-Tasks[[#This Row],[_Row]]/1000000,"")</f>
        <v/>
      </c>
      <c r="DM84" s="41" t="str">
        <f aca="false">IF(AND(Tasks[[#This Row],[_IsLeaf]]=1,N(Tasks[[#This Row],[Actual Start]])=0,Tasks[[#This Row],[_LeafFcstStart]]&gt;=StatusDate,Tasks[[#This Row],[_LeafFcstStart]]&lt;=LookaheadEnd),Tasks[[#This Row],[_LeafFcstStart]]+Tasks[[#This Row],[_Row]]/100000,"")</f>
        <v/>
      </c>
      <c r="DN84" s="41" t="str">
        <f aca="false">IF(AND(Tasks[[#This Row],[_IsLeaf]]=1,Tasks[[#This Row],[_LeafProgress]]&lt;1,Tasks[[#This Row],[_LeafFcstFinish]]&gt;=StatusDate,Tasks[[#This Row],[_LeafFcstFinish]]&lt;=LookaheadEnd),Tasks[[#This Row],[_LeafFcstFinish]]+Tasks[[#This Row],[_Row]]/100000,"")</f>
        <v/>
      </c>
      <c r="DO84" s="41" t="str">
        <f aca="false">IF(Tasks[[#This Row],[_LeafCritical]],Tasks[[#This Row],[_LeafFcstStart]]+Tasks[[#This Row],[_Row]]/100000,"")</f>
        <v/>
      </c>
      <c r="DP84" s="41" t="n">
        <f aca="false">Tasks[[#This Row],[_LeafWork]]*Tasks[[#This Row],[_LeafProgress]]</f>
        <v>0</v>
      </c>
      <c r="DQ84" s="103" t="str">
        <f aca="false">IF(AND(Tasks[[#This Row],[_IsLeaf]]=1,Tasks[[#This Row],[_LeafProgress]]&gt;=1),IF(N(Tasks[[#This Row],[Actual Finish]])&gt;0,Tasks[[#This Row],[Actual Finish]],Tasks[[#This Row],[_LeafFcstFinish]]),"")</f>
        <v/>
      </c>
      <c r="DR84" s="41" t="n">
        <f aca="false">IF(Tasks[[#This Row],[_IsLeaf]]=1,N(Tasks[[#This Row],[Story Points]]),0)</f>
        <v>0</v>
      </c>
      <c r="DS84" s="41" t="str">
        <f aca="false">IF(AND(Tasks[[#This Row],[_IsLeaf]]=1,CurrentSprint&lt;&gt;"",Tasks[[#This Row],[Sprint]]=CurrentSprint),Tasks[[#This Row],[_Row]],"")</f>
        <v/>
      </c>
    </row>
    <row r="85" customFormat="false" ht="15" hidden="false" customHeight="false" outlineLevel="0" collapsed="false">
      <c r="A85" s="28" t="str">
        <f aca="false">IF(Tasks[[#This Row],[Task Name]]="","",COUNTA(Tasks[[#Headers],[Task Name]]:Tasks[[#This Row],[Task Name]])-1)</f>
        <v/>
      </c>
      <c r="B85" s="29" t="n">
        <v>80</v>
      </c>
      <c r="C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29"/>
      <c r="E85" s="30"/>
      <c r="F85" s="29"/>
      <c r="G85" s="29"/>
      <c r="H85" s="29"/>
      <c r="I85" s="29"/>
      <c r="J85" s="29"/>
      <c r="K85" s="29"/>
      <c r="L85" s="29"/>
      <c r="M85" s="29"/>
      <c r="N85" s="77"/>
      <c r="O85" s="77"/>
      <c r="P85" s="25" t="str">
        <f aca="false">IF(Tasks[[#This Row],[Task Name]]="","",IF(N(Tasks[[#This Row],[Baseline Start]])&gt;0,Tasks[[#This Row],[Baseline Start]],Tasks[[#This Row],[_CalcStart]]))</f>
        <v/>
      </c>
      <c r="Q85" s="25" t="str">
        <f aca="false">IF(Tasks[[#This Row],[Task Name]]="","",IF(N(Tasks[[#This Row],[Baseline Finish]])&gt;0,Tasks[[#This Row],[Baseline Finish]],Tasks[[#This Row],[_CalcFinish]]))</f>
        <v/>
      </c>
      <c r="R85" s="77"/>
      <c r="S85" s="77"/>
      <c r="T85" s="25" t="str">
        <f aca="false">IF(Tasks[[#This Row],[Task Name]]="","",IF(Tasks[[#This Row],[_IsSummary]],MIN(INDEX(Tasks[_LeafFcstStart],Tasks[[#This Row],[_Row]]+1):INDEX(Tasks[_LeafFcstStart],Tasks[[#This Row],[_Row]]+Tasks[[#This Row],[_Descendants]])),Tasks[[#This Row],[_LeafFcstStart]]))</f>
        <v/>
      </c>
      <c r="U85" s="25" t="str">
        <f aca="false">IF(Tasks[[#This Row],[Task Name]]="","",IF(Tasks[[#This Row],[_IsSummary]],MAX(INDEX(Tasks[_LeafFcstFinish],Tasks[[#This Row],[_Row]]+1):INDEX(Tasks[_LeafFcstFinish],Tasks[[#This Row],[_Row]]+Tasks[[#This Row],[_Descendants]])),Tasks[[#This Row],[_LeafFcstFinish]]))</f>
        <v/>
      </c>
      <c r="V8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5" s="25" t="str">
        <f aca="false">IF(Tasks[[#This Row],[Task Name]]="","",IF(Tasks[[#This Row],[_IsSummary]],MIN(INDEX(Tasks[_LeafLateStart],Tasks[[#This Row],[_Row]]+1):INDEX(Tasks[_LeafLateStart],Tasks[[#This Row],[_Row]]+Tasks[[#This Row],[_Descendants]])),Tasks[[#This Row],[_LeafLateStart]]))</f>
        <v/>
      </c>
      <c r="Y85" s="25" t="str">
        <f aca="false">IF(Tasks[[#This Row],[Task Name]]="","",IF(Tasks[[#This Row],[_IsSummary]],MAX(INDEX(Tasks[_LeafLateFinish],Tasks[[#This Row],[_Row]]+1):INDEX(Tasks[_LeafLateFinish],Tasks[[#This Row],[_Row]]+Tasks[[#This Row],[_Descendants]])),Tasks[[#This Row],[_LeafLateFinish]]))</f>
        <v/>
      </c>
      <c r="Z85" s="43" t="str">
        <f aca="false">IF(Tasks[[#This Row],[Task Name]]="","",IF(Tasks[[#This Row],[_IsSummary]],MIN(INDEX(Tasks[_LeafTotalSlack],Tasks[[#This Row],[_Row]]+1):INDEX(Tasks[_LeafTotalSlack],Tasks[[#This Row],[_Row]]+Tasks[[#This Row],[_Descendants]])),Tasks[[#This Row],[_LeafTotalSlack]]))</f>
        <v/>
      </c>
      <c r="AA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5" s="28" t="str">
        <f aca="false">IF(Tasks[[#This Row],[Task Name]]="","",IF(IF(Tasks[[#This Row],[_IsSummary]],COUNTIF(INDEX(Tasks[_LeafCritical],Tasks[[#This Row],[_Row]]+1):INDEX(Tasks[_LeafCritical],Tasks[[#This Row],[_Row]]+Tasks[[#This Row],[_Descendants]]),TRUE())&gt;0,Tasks[[#This Row],[_LeafCritical]]),"Yes",""))</f>
        <v/>
      </c>
      <c r="AC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5" s="24" t="str">
        <f aca="false">IF(Tasks[[#This Row],[Task Name]]="","",TRIM(IF(Tasks[[#This Row],[_Pred1Problem]]&lt;&gt;"","Pred 1: "&amp;Tasks[[#This Row],[_Pred1Problem]]&amp;". ","")&amp;IF(Tasks[[#This Row],[_Pred2Problem]]&lt;&gt;"","Pred 2: "&amp;Tasks[[#This Row],[_Pred2Problem]]&amp;".","")))</f>
        <v/>
      </c>
      <c r="AE85" s="91"/>
      <c r="AF8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5" s="28" t="str">
        <f aca="false">IF(Tasks[[#This Row],[Task Name]]="","",IF(Tasks[[#This Row],[Progress]]&gt;=1,"Complete",IF(OR(N(Tasks[[#This Row],[Actual Start]])&gt;0,Tasks[[#This Row],[Progress]]&gt;0),IF(Tasks[[#This Row],[Finish Var]]&gt;0,"Behind","In Progress"),IF(Tasks[[#This Row],[Planned Start]]&lt;StatusDate,"Late Start","Not Started"))))</f>
        <v/>
      </c>
      <c r="AH85" s="30"/>
      <c r="AI85" s="91"/>
      <c r="AJ8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5" s="98" t="str">
        <f aca="false">IF(Tasks[[#This Row],[Task Name]]="","",IF(Tasks[[#This Row],[_IsSummary]],SUM(INDEX(Tasks[_LeafWork],Tasks[[#This Row],[_Row]]+1):INDEX(Tasks[_LeafWork],Tasks[[#This Row],[_Row]]+Tasks[[#This Row],[_Descendants]])),Tasks[[#This Row],[_LeafWork]]))</f>
        <v/>
      </c>
      <c r="AL85" s="99" t="str">
        <f aca="false">IF(Tasks[[#This Row],[Task Name]]="","",IF(Tasks[[#This Row],[_IsSummary]],SUM(INDEX(Tasks[_LeafCost],Tasks[[#This Row],[_Row]]+1):INDEX(Tasks[_LeafCost],Tasks[[#This Row],[_Row]]+Tasks[[#This Row],[_Descendants]])),Tasks[[#This Row],[_LeafCost]]))</f>
        <v/>
      </c>
      <c r="AM85" s="100"/>
      <c r="AN85" s="29"/>
      <c r="AO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5" s="85"/>
      <c r="AQ85" s="24" t="str">
        <f aca="false">IF(Tasks[[#This Row],[Task Name]]="","",Tasks[[#This Row],[_Pred1IDText]]&amp;IF(AND(Tasks[[#This Row],[_Pred1IDText]]&lt;&gt;"",Tasks[[#This Row],[_Pred2IDText]]&lt;&gt;""),",","")&amp;Tasks[[#This Row],[_Pred2IDText]])</f>
        <v/>
      </c>
      <c r="AR85" s="30"/>
      <c r="AS85" s="25" t="str">
        <f aca="false">IF(Tasks[[#This Row],[Task Name]]="","",Tasks[[#This Row],[Forecast Start]])</f>
        <v/>
      </c>
      <c r="AT85" s="25" t="str">
        <f aca="false">IF(Tasks[[#This Row],[Task Name]]="","",Tasks[[#This Row],[Forecast Finish]])</f>
        <v/>
      </c>
      <c r="AU85" s="28" t="str">
        <f aca="false">IF(Tasks[[#This Row],[Task Name]]="","",IF(Tasks[[#This Row],[_IsSummary]],NETWORKDAYS.INTL(Tasks[[#This Row],[Forecast Start]],Tasks[[#This Row],[Forecast Finish]],WorkWeek,Holidays),N(Tasks[[#This Row],[Duration]])))</f>
        <v/>
      </c>
      <c r="AV85" s="98" t="str">
        <f aca="false">IF(Tasks[[#This Row],[Task Name]]="","",Tasks[[#This Row],[Work]])</f>
        <v/>
      </c>
      <c r="AW85" s="99" t="str">
        <f aca="false">IF(Tasks[[#This Row],[Task Name]]="","",Tasks[[#This Row],[Cost]])</f>
        <v/>
      </c>
      <c r="AX85" s="77"/>
      <c r="AY85" s="77"/>
      <c r="AZ85" s="29"/>
      <c r="BA85" s="101"/>
      <c r="BB85" s="100"/>
      <c r="BC85" s="28" t="str">
        <f aca="false">IF(OR(Tasks[[#This Row],[Task Name]]="",Tasks[[#This Row],[Baseline Duration]]=""),"",Tasks[[#This Row],[BL Source Duration]]-N(Tasks[[#This Row],[Baseline Duration]]))</f>
        <v/>
      </c>
      <c r="BD85" s="98" t="str">
        <f aca="false">IF(OR(Tasks[[#This Row],[Task Name]]="",Tasks[[#This Row],[Baseline Work]]=""),"",Tasks[[#This Row],[Work]]-N(Tasks[[#This Row],[Baseline Work]]))</f>
        <v/>
      </c>
      <c r="BE85" s="99" t="str">
        <f aca="false">IF(OR(Tasks[[#This Row],[Task Name]]="",Tasks[[#This Row],[Baseline Cost]]=""),"",Tasks[[#This Row],[Cost]]-N(Tasks[[#This Row],[Baseline Cost]]))</f>
        <v/>
      </c>
      <c r="BF85" s="99" t="str">
        <f aca="false">IF(Tasks[[#This Row],[Task Name]]="","",IF(Tasks[[#This Row],[_IsSummary]],SUM(INDEX(Tasks[_LeafBudget],Tasks[[#This Row],[_Row]]+1):INDEX(Tasks[_LeafBudget],Tasks[[#This Row],[_Row]]+Tasks[[#This Row],[_Descendants]])),Tasks[[#This Row],[_LeafBudget]]))</f>
        <v/>
      </c>
      <c r="BG85" s="99" t="str">
        <f aca="false">IF(Tasks[[#This Row],[Task Name]]="","",IF(Tasks[[#This Row],[_IsSummary]],SUM(INDEX(Tasks[_LeafPV],Tasks[[#This Row],[_Row]]+1):INDEX(Tasks[_LeafPV],Tasks[[#This Row],[_Row]]+Tasks[[#This Row],[_Descendants]])),Tasks[[#This Row],[_LeafPV]]))</f>
        <v/>
      </c>
      <c r="BH85" s="99" t="str">
        <f aca="false">IF(Tasks[[#This Row],[Task Name]]="","",IF(Tasks[[#This Row],[_IsSummary]],SUM(INDEX(Tasks[_LeafEV],Tasks[[#This Row],[_Row]]+1):INDEX(Tasks[_LeafEV],Tasks[[#This Row],[_Row]]+Tasks[[#This Row],[_Descendants]])),Tasks[[#This Row],[_LeafEV]]))</f>
        <v/>
      </c>
      <c r="BI85" s="99" t="str">
        <f aca="false">IF(Tasks[[#This Row],[Task Name]]="","",IF(Tasks[[#This Row],[_IsSummary]],SUM(INDEX(Tasks[_LeafAC],Tasks[[#This Row],[_Row]]+1):INDEX(Tasks[_LeafAC],Tasks[[#This Row],[_Row]]+Tasks[[#This Row],[_Descendants]])),Tasks[[#This Row],[_LeafAC]]))</f>
        <v/>
      </c>
      <c r="BJ85" s="41" t="str">
        <f aca="false">IF(Tasks[[#This Row],[Task Name]]="","",MAX(1,N(Tasks[[#This Row],[Level]])))</f>
        <v/>
      </c>
      <c r="BK85" s="41" t="n">
        <f aca="false">ROW()-ROW(Tasks[[#Headers],[ID]])</f>
        <v>80</v>
      </c>
      <c r="BL85" s="41" t="n">
        <f aca="false">IF(OR(Tasks[[#This Row],[Task Name]]="",Tasks[[#This Row],[_Level]]&lt;=1),0,IFERROR(LOOKUP(2,1/(Tasks[[#Headers],[_Level]]:Tasks[[#This Row],[_Level]]=Tasks[[#This Row],[_Level]]-1),ROW(Tasks[[#Headers],[_Level]]:Tasks[[#This Row],[_Level]])),0))</f>
        <v>0</v>
      </c>
      <c r="BM85" s="41" t="n">
        <f aca="false">IFERROR(N(INDEX(Tasks[_Level],Tasks[[#This Row],[_Row]]+1)),0)</f>
        <v>0</v>
      </c>
      <c r="BN85" s="102" t="b">
        <f aca="false">AND(Tasks[[#This Row],[Task Name]]&lt;&gt;"",Tasks[[#This Row],[_NextLevel]]&gt;Tasks[[#This Row],[_Level]])</f>
        <v>0</v>
      </c>
      <c r="BO85" s="41" t="n">
        <f aca="false">IF(Tasks[[#This Row],[_IsSummary]],COUNTIF(Tasks[WBS],Tasks[[#This Row],[WBS]]&amp;".*"),0)</f>
        <v>0</v>
      </c>
      <c r="BP85" s="41" t="n">
        <f aca="false">IF(AND(Tasks[[#This Row],[Task Name]]&lt;&gt;"",NOT(Tasks[[#This Row],[_IsSummary]])),1,0)</f>
        <v>0</v>
      </c>
      <c r="BQ85" s="41" t="n">
        <f aca="false">IF(N(Tasks[[#This Row],[Pred1 UID]])=0,0,IFERROR(MATCH(Tasks[[#This Row],[Pred1 UID]],Tasks[UID],0),-1))</f>
        <v>0</v>
      </c>
      <c r="BR85" s="41" t="n">
        <f aca="false">IF(N(Tasks[[#This Row],[Pred2 UID]])=0,0,IFERROR(MATCH(Tasks[[#This Row],[Pred2 UID]],Tasks[UID],0),-1))</f>
        <v>0</v>
      </c>
      <c r="BS8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5" s="103" t="str">
        <f aca="false">IF(NOT(Tasks[[#This Row],[_IsLeaf]]=1),"",IF(N(Tasks[[#This Row],[Duration]])&lt;=0,Tasks[[#This Row],[_LeafCalcStart]],WORKDAY.INTL(Tasks[[#This Row],[_LeafCalcStart]],Tasks[[#This Row],[Duration]]-1,WorkWeek,Holidays)))</f>
        <v/>
      </c>
      <c r="BU8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5" s="41" t="n">
        <f aca="false">IF(NOT(Tasks[[#This Row],[_IsLeaf]]=1),0,IF(N(Tasks[[#This Row],[Actual Finish]])&gt;0,1,MIN(1,N(Tasks[[#This Row],[% Complete]]))))</f>
        <v>0</v>
      </c>
      <c r="BX85" s="41" t="n">
        <f aca="false">IF(OR(NOT(Tasks[[#This Row],[_IsLeaf]]=1),Tasks[[#This Row],[Resource]]=""),0,N(Tasks[[#This Row],[Duration]])*HoursPerDay*IF(Tasks[[#This Row],[Units]]="",DefaultUnits,Tasks[[#This Row],[Units]]))</f>
        <v>0</v>
      </c>
      <c r="BY85" s="41" t="n">
        <f aca="false">IF(Tasks[[#This Row],[_LeafWork]]=0,0,Tasks[[#This Row],[_LeafWork]]*IFERROR(INDEX(res_Rate,MATCH(Tasks[[#This Row],[Resource]],res_Name,0)),0))</f>
        <v>0</v>
      </c>
      <c r="BZ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5" s="41" t="n">
        <f aca="false">IF(NOT(Tasks[[#This Row],[_IsLeaf]]=1),0,MAX(_xlfn.MAXIFS(Tasks[_Row],Tasks[Pred1 UID],Tasks[[#This Row],[UID]]),_xlfn.MAXIFS(Tasks[_Row],Tasks[Pred2 UID],Tasks[[#This Row],[UID]])))</f>
        <v>0</v>
      </c>
      <c r="CE8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5" s="103" t="str">
        <f aca="false">IF(NOT(Tasks[[#This Row],[_IsLeaf]]=1),"",MIN(ProjectFinish,IF(N(Tasks[[#This Row],[Deadline]])&gt;0,Tasks[[#This Row],[Deadline]],2958465),Tasks[[#This Row],[_SuccessorFinishLimit]]))</f>
        <v/>
      </c>
      <c r="CG85" s="103" t="str">
        <f aca="false">IF(NOT(Tasks[[#This Row],[_IsLeaf]]=1),"",IF(N(Tasks[[#This Row],[Duration]])&lt;=0,Tasks[[#This Row],[_LeafLateFinish]],WORKDAY.INTL(Tasks[[#This Row],[_LeafLateFinish]],-(Tasks[[#This Row],[Duration]]-1),WorkWeek,Holidays)))</f>
        <v/>
      </c>
      <c r="CH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5" s="102" t="b">
        <f aca="false">AND(Tasks[[#This Row],[_IsLeaf]]=1,Tasks[[#This Row],[_LeafProgress]]&lt;1,N(Tasks[[#This Row],[_LeafTotalSlack]])&lt;=CriticalSlackDays)</f>
        <v>0</v>
      </c>
      <c r="CJ85" s="103" t="str">
        <f aca="false">IF(Tasks[[#This Row],[Task Name]]="","",IF(Tasks[[#This Row],[_IsSummary]],MIN(INDEX(Tasks[_LeafCalcStart],Tasks[[#This Row],[_Row]]+1):INDEX(Tasks[_LeafCalcStart],Tasks[[#This Row],[_Row]]+Tasks[[#This Row],[_Descendants]])),Tasks[[#This Row],[_LeafCalcStart]]))</f>
        <v/>
      </c>
      <c r="CK85" s="103" t="str">
        <f aca="false">IF(Tasks[[#This Row],[Task Name]]="","",IF(Tasks[[#This Row],[_IsSummary]],MAX(INDEX(Tasks[_LeafCalcFinish],Tasks[[#This Row],[_Row]]+1):INDEX(Tasks[_LeafCalcFinish],Tasks[[#This Row],[_Row]]+Tasks[[#This Row],[_Descendants]])),Tasks[[#This Row],[_LeafCalcFinish]]))</f>
        <v/>
      </c>
      <c r="CL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5" s="41" t="n">
        <f aca="false">IF(AND(Tasks[[#This Row],[_IsLeaf]]=1,Tasks[[#This Row],[_LeafWork]]&gt;0),NETWORKDAYS.INTL(ProjectStart,Tasks[[#This Row],[_LeafFcstStart]],WorkWeek,Holidays),0)</f>
        <v>0</v>
      </c>
      <c r="CS85" s="41" t="n">
        <f aca="false">IF(AND(Tasks[[#This Row],[_IsLeaf]]=1,Tasks[[#This Row],[_LeafWork]]&gt;0),MAX(Tasks[[#This Row],[_StartWorkday]],NETWORKDAYS.INTL(ProjectStart,Tasks[[#This Row],[_LeafFcstFinish]],WorkWeek,Holidays)),0)</f>
        <v>0</v>
      </c>
      <c r="CT85" s="41" t="n">
        <f aca="false">IF(AND(Tasks[[#This Row],[_IsLeaf]]=1,Tasks[[#This Row],[_LeafWork]]&gt;0),Tasks[[#This Row],[_LeafWork]]/(Tasks[[#This Row],[_FinishWorkday]]-Tasks[[#This Row],[_StartWorkday]]+1),0)</f>
        <v>0</v>
      </c>
      <c r="CU85" s="41" t="n">
        <f aca="false">Tasks[[#This Row],[_WorkPerWorkday]]*(Tasks[[#This Row],[_StartWorkday]]-1)</f>
        <v>-0</v>
      </c>
      <c r="CV85" s="41" t="n">
        <f aca="false">IF(Tasks[[#This Row],[_IsLeaf]]=1,MAX(N(Tasks[[#This Row],[Duration]]),0.1),0)</f>
        <v>0</v>
      </c>
      <c r="CW85" s="41" t="n">
        <f aca="false">Tasks[[#This Row],[_WeightDur]]*Tasks[[#This Row],[_LeafProgress]]</f>
        <v>0</v>
      </c>
      <c r="CX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5" s="41" t="str">
        <f aca="false">IF(Tasks[[#This Row],[Task Name]]="","",Tasks[[#This Row],[_Pred1UIDText]]&amp;IF(AND(Tasks[[#This Row],[_Pred1UIDText]]&lt;&gt;"",Tasks[[#This Row],[_Pred2UIDText]]&lt;&gt;""),",","")&amp;Tasks[[#This Row],[_Pred2UIDText]])</f>
        <v/>
      </c>
      <c r="DC85" s="41" t="str">
        <f aca="false">IF(AND(Tasks[[#This Row],[_IsLeaf]]=1,N(Tasks[[#This Row],[Duration]])=0,Tasks[[#This Row],[_LeafProgress]]&lt;1),Tasks[[#This Row],[_LeafFcstFinish]]+Tasks[[#This Row],[_Row]]/100000,"")</f>
        <v/>
      </c>
      <c r="DD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5" s="41" t="n">
        <f aca="false">IF(NOT(Tasks[[#This Row],[_IsLeaf]]=1),0,IF(Tasks[[#This Row],[Baseline Cost]]="",Tasks[[#This Row],[_LeafCost]],N(Tasks[[#This Row],[Baseline Cost]])))</f>
        <v>0</v>
      </c>
      <c r="DF85" s="41" t="n">
        <f aca="false">Tasks[[#This Row],[_LeafBudget]]*Tasks[[#This Row],[_PlannedPct]]</f>
        <v>0</v>
      </c>
      <c r="DG85" s="41" t="n">
        <f aca="false">Tasks[[#This Row],[_LeafBudget]]*Tasks[[#This Row],[_LeafProgress]]</f>
        <v>0</v>
      </c>
      <c r="DH85" s="41" t="n">
        <f aca="false">IF(NOT(Tasks[[#This Row],[_IsLeaf]]=1),0,IF(Tasks[[#This Row],[Actual Cost]]="",Tasks[[#This Row],[_LeafCost]]*Tasks[[#This Row],[_LeafProgress]],N(Tasks[[#This Row],[Actual Cost]])))</f>
        <v>0</v>
      </c>
      <c r="DI85" s="41" t="str">
        <f aca="false">IF(Tasks[[#This Row],[Task Name]]="","",LEFT(Tasks[[#This Row],[WBS]],FIND(".",Tasks[[#This Row],[WBS]]&amp;".")-1))</f>
        <v/>
      </c>
      <c r="DJ85" s="41" t="str">
        <f aca="false">IF(AND(Tasks[[#This Row],[Task Name]]&lt;&gt;"",Tasks[[#This Row],[_Level]]=1),Tasks[[#This Row],[_Row]],"")</f>
        <v/>
      </c>
      <c r="DK85" s="41" t="str">
        <f aca="false">IF(AND(Tasks[[#This Row],[_IsLeaf]]=1,N(Tasks[[#This Row],[Duration]])=0),Tasks[[#This Row],[Planned Finish]]+Tasks[[#This Row],[_Row]]/100000,"")</f>
        <v/>
      </c>
      <c r="DL85" s="41" t="str">
        <f aca="false">IF(AND(Tasks[[#This Row],[_IsLeaf]]=1,Tasks[[#This Row],[_LeafProgress]]&lt;1,OR(N(Tasks[[#This Row],[Finish Var]])&gt;0,Tasks[[#This Row],[Status]]="Late Start")),MAX(0,Tasks[[#This Row],[Finish Var]])+1-Tasks[[#This Row],[_Row]]/1000000,"")</f>
        <v/>
      </c>
      <c r="DM85" s="41" t="str">
        <f aca="false">IF(AND(Tasks[[#This Row],[_IsLeaf]]=1,N(Tasks[[#This Row],[Actual Start]])=0,Tasks[[#This Row],[_LeafFcstStart]]&gt;=StatusDate,Tasks[[#This Row],[_LeafFcstStart]]&lt;=LookaheadEnd),Tasks[[#This Row],[_LeafFcstStart]]+Tasks[[#This Row],[_Row]]/100000,"")</f>
        <v/>
      </c>
      <c r="DN85" s="41" t="str">
        <f aca="false">IF(AND(Tasks[[#This Row],[_IsLeaf]]=1,Tasks[[#This Row],[_LeafProgress]]&lt;1,Tasks[[#This Row],[_LeafFcstFinish]]&gt;=StatusDate,Tasks[[#This Row],[_LeafFcstFinish]]&lt;=LookaheadEnd),Tasks[[#This Row],[_LeafFcstFinish]]+Tasks[[#This Row],[_Row]]/100000,"")</f>
        <v/>
      </c>
      <c r="DO85" s="41" t="str">
        <f aca="false">IF(Tasks[[#This Row],[_LeafCritical]],Tasks[[#This Row],[_LeafFcstStart]]+Tasks[[#This Row],[_Row]]/100000,"")</f>
        <v/>
      </c>
      <c r="DP85" s="41" t="n">
        <f aca="false">Tasks[[#This Row],[_LeafWork]]*Tasks[[#This Row],[_LeafProgress]]</f>
        <v>0</v>
      </c>
      <c r="DQ85" s="103" t="str">
        <f aca="false">IF(AND(Tasks[[#This Row],[_IsLeaf]]=1,Tasks[[#This Row],[_LeafProgress]]&gt;=1),IF(N(Tasks[[#This Row],[Actual Finish]])&gt;0,Tasks[[#This Row],[Actual Finish]],Tasks[[#This Row],[_LeafFcstFinish]]),"")</f>
        <v/>
      </c>
      <c r="DR85" s="41" t="n">
        <f aca="false">IF(Tasks[[#This Row],[_IsLeaf]]=1,N(Tasks[[#This Row],[Story Points]]),0)</f>
        <v>0</v>
      </c>
      <c r="DS85" s="41" t="str">
        <f aca="false">IF(AND(Tasks[[#This Row],[_IsLeaf]]=1,CurrentSprint&lt;&gt;"",Tasks[[#This Row],[Sprint]]=CurrentSprint),Tasks[[#This Row],[_Row]],"")</f>
        <v/>
      </c>
    </row>
    <row r="86" customFormat="false" ht="15" hidden="false" customHeight="false" outlineLevel="0" collapsed="false">
      <c r="A86" s="28" t="str">
        <f aca="false">IF(Tasks[[#This Row],[Task Name]]="","",COUNTA(Tasks[[#Headers],[Task Name]]:Tasks[[#This Row],[Task Name]])-1)</f>
        <v/>
      </c>
      <c r="B86" s="29" t="n">
        <v>81</v>
      </c>
      <c r="C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29"/>
      <c r="E86" s="30"/>
      <c r="F86" s="29"/>
      <c r="G86" s="29"/>
      <c r="H86" s="29"/>
      <c r="I86" s="29"/>
      <c r="J86" s="29"/>
      <c r="K86" s="29"/>
      <c r="L86" s="29"/>
      <c r="M86" s="29"/>
      <c r="N86" s="77"/>
      <c r="O86" s="77"/>
      <c r="P86" s="25" t="str">
        <f aca="false">IF(Tasks[[#This Row],[Task Name]]="","",IF(N(Tasks[[#This Row],[Baseline Start]])&gt;0,Tasks[[#This Row],[Baseline Start]],Tasks[[#This Row],[_CalcStart]]))</f>
        <v/>
      </c>
      <c r="Q86" s="25" t="str">
        <f aca="false">IF(Tasks[[#This Row],[Task Name]]="","",IF(N(Tasks[[#This Row],[Baseline Finish]])&gt;0,Tasks[[#This Row],[Baseline Finish]],Tasks[[#This Row],[_CalcFinish]]))</f>
        <v/>
      </c>
      <c r="R86" s="77"/>
      <c r="S86" s="77"/>
      <c r="T86" s="25" t="str">
        <f aca="false">IF(Tasks[[#This Row],[Task Name]]="","",IF(Tasks[[#This Row],[_IsSummary]],MIN(INDEX(Tasks[_LeafFcstStart],Tasks[[#This Row],[_Row]]+1):INDEX(Tasks[_LeafFcstStart],Tasks[[#This Row],[_Row]]+Tasks[[#This Row],[_Descendants]])),Tasks[[#This Row],[_LeafFcstStart]]))</f>
        <v/>
      </c>
      <c r="U86" s="25" t="str">
        <f aca="false">IF(Tasks[[#This Row],[Task Name]]="","",IF(Tasks[[#This Row],[_IsSummary]],MAX(INDEX(Tasks[_LeafFcstFinish],Tasks[[#This Row],[_Row]]+1):INDEX(Tasks[_LeafFcstFinish],Tasks[[#This Row],[_Row]]+Tasks[[#This Row],[_Descendants]])),Tasks[[#This Row],[_LeafFcstFinish]]))</f>
        <v/>
      </c>
      <c r="V8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6" s="25" t="str">
        <f aca="false">IF(Tasks[[#This Row],[Task Name]]="","",IF(Tasks[[#This Row],[_IsSummary]],MIN(INDEX(Tasks[_LeafLateStart],Tasks[[#This Row],[_Row]]+1):INDEX(Tasks[_LeafLateStart],Tasks[[#This Row],[_Row]]+Tasks[[#This Row],[_Descendants]])),Tasks[[#This Row],[_LeafLateStart]]))</f>
        <v/>
      </c>
      <c r="Y86" s="25" t="str">
        <f aca="false">IF(Tasks[[#This Row],[Task Name]]="","",IF(Tasks[[#This Row],[_IsSummary]],MAX(INDEX(Tasks[_LeafLateFinish],Tasks[[#This Row],[_Row]]+1):INDEX(Tasks[_LeafLateFinish],Tasks[[#This Row],[_Row]]+Tasks[[#This Row],[_Descendants]])),Tasks[[#This Row],[_LeafLateFinish]]))</f>
        <v/>
      </c>
      <c r="Z86" s="43" t="str">
        <f aca="false">IF(Tasks[[#This Row],[Task Name]]="","",IF(Tasks[[#This Row],[_IsSummary]],MIN(INDEX(Tasks[_LeafTotalSlack],Tasks[[#This Row],[_Row]]+1):INDEX(Tasks[_LeafTotalSlack],Tasks[[#This Row],[_Row]]+Tasks[[#This Row],[_Descendants]])),Tasks[[#This Row],[_LeafTotalSlack]]))</f>
        <v/>
      </c>
      <c r="AA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6" s="28" t="str">
        <f aca="false">IF(Tasks[[#This Row],[Task Name]]="","",IF(IF(Tasks[[#This Row],[_IsSummary]],COUNTIF(INDEX(Tasks[_LeafCritical],Tasks[[#This Row],[_Row]]+1):INDEX(Tasks[_LeafCritical],Tasks[[#This Row],[_Row]]+Tasks[[#This Row],[_Descendants]]),TRUE())&gt;0,Tasks[[#This Row],[_LeafCritical]]),"Yes",""))</f>
        <v/>
      </c>
      <c r="AC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6" s="24" t="str">
        <f aca="false">IF(Tasks[[#This Row],[Task Name]]="","",TRIM(IF(Tasks[[#This Row],[_Pred1Problem]]&lt;&gt;"","Pred 1: "&amp;Tasks[[#This Row],[_Pred1Problem]]&amp;". ","")&amp;IF(Tasks[[#This Row],[_Pred2Problem]]&lt;&gt;"","Pred 2: "&amp;Tasks[[#This Row],[_Pred2Problem]]&amp;".","")))</f>
        <v/>
      </c>
      <c r="AE86" s="91"/>
      <c r="AF8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6" s="28" t="str">
        <f aca="false">IF(Tasks[[#This Row],[Task Name]]="","",IF(Tasks[[#This Row],[Progress]]&gt;=1,"Complete",IF(OR(N(Tasks[[#This Row],[Actual Start]])&gt;0,Tasks[[#This Row],[Progress]]&gt;0),IF(Tasks[[#This Row],[Finish Var]]&gt;0,"Behind","In Progress"),IF(Tasks[[#This Row],[Planned Start]]&lt;StatusDate,"Late Start","Not Started"))))</f>
        <v/>
      </c>
      <c r="AH86" s="30"/>
      <c r="AI86" s="91"/>
      <c r="AJ8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6" s="98" t="str">
        <f aca="false">IF(Tasks[[#This Row],[Task Name]]="","",IF(Tasks[[#This Row],[_IsSummary]],SUM(INDEX(Tasks[_LeafWork],Tasks[[#This Row],[_Row]]+1):INDEX(Tasks[_LeafWork],Tasks[[#This Row],[_Row]]+Tasks[[#This Row],[_Descendants]])),Tasks[[#This Row],[_LeafWork]]))</f>
        <v/>
      </c>
      <c r="AL86" s="99" t="str">
        <f aca="false">IF(Tasks[[#This Row],[Task Name]]="","",IF(Tasks[[#This Row],[_IsSummary]],SUM(INDEX(Tasks[_LeafCost],Tasks[[#This Row],[_Row]]+1):INDEX(Tasks[_LeafCost],Tasks[[#This Row],[_Row]]+Tasks[[#This Row],[_Descendants]])),Tasks[[#This Row],[_LeafCost]]))</f>
        <v/>
      </c>
      <c r="AM86" s="100"/>
      <c r="AN86" s="29"/>
      <c r="AO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6" s="85"/>
      <c r="AQ86" s="24" t="str">
        <f aca="false">IF(Tasks[[#This Row],[Task Name]]="","",Tasks[[#This Row],[_Pred1IDText]]&amp;IF(AND(Tasks[[#This Row],[_Pred1IDText]]&lt;&gt;"",Tasks[[#This Row],[_Pred2IDText]]&lt;&gt;""),",","")&amp;Tasks[[#This Row],[_Pred2IDText]])</f>
        <v/>
      </c>
      <c r="AR86" s="30"/>
      <c r="AS86" s="25" t="str">
        <f aca="false">IF(Tasks[[#This Row],[Task Name]]="","",Tasks[[#This Row],[Forecast Start]])</f>
        <v/>
      </c>
      <c r="AT86" s="25" t="str">
        <f aca="false">IF(Tasks[[#This Row],[Task Name]]="","",Tasks[[#This Row],[Forecast Finish]])</f>
        <v/>
      </c>
      <c r="AU86" s="28" t="str">
        <f aca="false">IF(Tasks[[#This Row],[Task Name]]="","",IF(Tasks[[#This Row],[_IsSummary]],NETWORKDAYS.INTL(Tasks[[#This Row],[Forecast Start]],Tasks[[#This Row],[Forecast Finish]],WorkWeek,Holidays),N(Tasks[[#This Row],[Duration]])))</f>
        <v/>
      </c>
      <c r="AV86" s="98" t="str">
        <f aca="false">IF(Tasks[[#This Row],[Task Name]]="","",Tasks[[#This Row],[Work]])</f>
        <v/>
      </c>
      <c r="AW86" s="99" t="str">
        <f aca="false">IF(Tasks[[#This Row],[Task Name]]="","",Tasks[[#This Row],[Cost]])</f>
        <v/>
      </c>
      <c r="AX86" s="77"/>
      <c r="AY86" s="77"/>
      <c r="AZ86" s="29"/>
      <c r="BA86" s="101"/>
      <c r="BB86" s="100"/>
      <c r="BC86" s="28" t="str">
        <f aca="false">IF(OR(Tasks[[#This Row],[Task Name]]="",Tasks[[#This Row],[Baseline Duration]]=""),"",Tasks[[#This Row],[BL Source Duration]]-N(Tasks[[#This Row],[Baseline Duration]]))</f>
        <v/>
      </c>
      <c r="BD86" s="98" t="str">
        <f aca="false">IF(OR(Tasks[[#This Row],[Task Name]]="",Tasks[[#This Row],[Baseline Work]]=""),"",Tasks[[#This Row],[Work]]-N(Tasks[[#This Row],[Baseline Work]]))</f>
        <v/>
      </c>
      <c r="BE86" s="99" t="str">
        <f aca="false">IF(OR(Tasks[[#This Row],[Task Name]]="",Tasks[[#This Row],[Baseline Cost]]=""),"",Tasks[[#This Row],[Cost]]-N(Tasks[[#This Row],[Baseline Cost]]))</f>
        <v/>
      </c>
      <c r="BF86" s="99" t="str">
        <f aca="false">IF(Tasks[[#This Row],[Task Name]]="","",IF(Tasks[[#This Row],[_IsSummary]],SUM(INDEX(Tasks[_LeafBudget],Tasks[[#This Row],[_Row]]+1):INDEX(Tasks[_LeafBudget],Tasks[[#This Row],[_Row]]+Tasks[[#This Row],[_Descendants]])),Tasks[[#This Row],[_LeafBudget]]))</f>
        <v/>
      </c>
      <c r="BG86" s="99" t="str">
        <f aca="false">IF(Tasks[[#This Row],[Task Name]]="","",IF(Tasks[[#This Row],[_IsSummary]],SUM(INDEX(Tasks[_LeafPV],Tasks[[#This Row],[_Row]]+1):INDEX(Tasks[_LeafPV],Tasks[[#This Row],[_Row]]+Tasks[[#This Row],[_Descendants]])),Tasks[[#This Row],[_LeafPV]]))</f>
        <v/>
      </c>
      <c r="BH86" s="99" t="str">
        <f aca="false">IF(Tasks[[#This Row],[Task Name]]="","",IF(Tasks[[#This Row],[_IsSummary]],SUM(INDEX(Tasks[_LeafEV],Tasks[[#This Row],[_Row]]+1):INDEX(Tasks[_LeafEV],Tasks[[#This Row],[_Row]]+Tasks[[#This Row],[_Descendants]])),Tasks[[#This Row],[_LeafEV]]))</f>
        <v/>
      </c>
      <c r="BI86" s="99" t="str">
        <f aca="false">IF(Tasks[[#This Row],[Task Name]]="","",IF(Tasks[[#This Row],[_IsSummary]],SUM(INDEX(Tasks[_LeafAC],Tasks[[#This Row],[_Row]]+1):INDEX(Tasks[_LeafAC],Tasks[[#This Row],[_Row]]+Tasks[[#This Row],[_Descendants]])),Tasks[[#This Row],[_LeafAC]]))</f>
        <v/>
      </c>
      <c r="BJ86" s="41" t="str">
        <f aca="false">IF(Tasks[[#This Row],[Task Name]]="","",MAX(1,N(Tasks[[#This Row],[Level]])))</f>
        <v/>
      </c>
      <c r="BK86" s="41" t="n">
        <f aca="false">ROW()-ROW(Tasks[[#Headers],[ID]])</f>
        <v>81</v>
      </c>
      <c r="BL86" s="41" t="n">
        <f aca="false">IF(OR(Tasks[[#This Row],[Task Name]]="",Tasks[[#This Row],[_Level]]&lt;=1),0,IFERROR(LOOKUP(2,1/(Tasks[[#Headers],[_Level]]:Tasks[[#This Row],[_Level]]=Tasks[[#This Row],[_Level]]-1),ROW(Tasks[[#Headers],[_Level]]:Tasks[[#This Row],[_Level]])),0))</f>
        <v>0</v>
      </c>
      <c r="BM86" s="41" t="n">
        <f aca="false">IFERROR(N(INDEX(Tasks[_Level],Tasks[[#This Row],[_Row]]+1)),0)</f>
        <v>0</v>
      </c>
      <c r="BN86" s="102" t="b">
        <f aca="false">AND(Tasks[[#This Row],[Task Name]]&lt;&gt;"",Tasks[[#This Row],[_NextLevel]]&gt;Tasks[[#This Row],[_Level]])</f>
        <v>0</v>
      </c>
      <c r="BO86" s="41" t="n">
        <f aca="false">IF(Tasks[[#This Row],[_IsSummary]],COUNTIF(Tasks[WBS],Tasks[[#This Row],[WBS]]&amp;".*"),0)</f>
        <v>0</v>
      </c>
      <c r="BP86" s="41" t="n">
        <f aca="false">IF(AND(Tasks[[#This Row],[Task Name]]&lt;&gt;"",NOT(Tasks[[#This Row],[_IsSummary]])),1,0)</f>
        <v>0</v>
      </c>
      <c r="BQ86" s="41" t="n">
        <f aca="false">IF(N(Tasks[[#This Row],[Pred1 UID]])=0,0,IFERROR(MATCH(Tasks[[#This Row],[Pred1 UID]],Tasks[UID],0),-1))</f>
        <v>0</v>
      </c>
      <c r="BR86" s="41" t="n">
        <f aca="false">IF(N(Tasks[[#This Row],[Pred2 UID]])=0,0,IFERROR(MATCH(Tasks[[#This Row],[Pred2 UID]],Tasks[UID],0),-1))</f>
        <v>0</v>
      </c>
      <c r="BS8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6" s="103" t="str">
        <f aca="false">IF(NOT(Tasks[[#This Row],[_IsLeaf]]=1),"",IF(N(Tasks[[#This Row],[Duration]])&lt;=0,Tasks[[#This Row],[_LeafCalcStart]],WORKDAY.INTL(Tasks[[#This Row],[_LeafCalcStart]],Tasks[[#This Row],[Duration]]-1,WorkWeek,Holidays)))</f>
        <v/>
      </c>
      <c r="BU8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6" s="41" t="n">
        <f aca="false">IF(NOT(Tasks[[#This Row],[_IsLeaf]]=1),0,IF(N(Tasks[[#This Row],[Actual Finish]])&gt;0,1,MIN(1,N(Tasks[[#This Row],[% Complete]]))))</f>
        <v>0</v>
      </c>
      <c r="BX86" s="41" t="n">
        <f aca="false">IF(OR(NOT(Tasks[[#This Row],[_IsLeaf]]=1),Tasks[[#This Row],[Resource]]=""),0,N(Tasks[[#This Row],[Duration]])*HoursPerDay*IF(Tasks[[#This Row],[Units]]="",DefaultUnits,Tasks[[#This Row],[Units]]))</f>
        <v>0</v>
      </c>
      <c r="BY86" s="41" t="n">
        <f aca="false">IF(Tasks[[#This Row],[_LeafWork]]=0,0,Tasks[[#This Row],[_LeafWork]]*IFERROR(INDEX(res_Rate,MATCH(Tasks[[#This Row],[Resource]],res_Name,0)),0))</f>
        <v>0</v>
      </c>
      <c r="BZ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6" s="41" t="n">
        <f aca="false">IF(NOT(Tasks[[#This Row],[_IsLeaf]]=1),0,MAX(_xlfn.MAXIFS(Tasks[_Row],Tasks[Pred1 UID],Tasks[[#This Row],[UID]]),_xlfn.MAXIFS(Tasks[_Row],Tasks[Pred2 UID],Tasks[[#This Row],[UID]])))</f>
        <v>0</v>
      </c>
      <c r="CE8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6" s="103" t="str">
        <f aca="false">IF(NOT(Tasks[[#This Row],[_IsLeaf]]=1),"",MIN(ProjectFinish,IF(N(Tasks[[#This Row],[Deadline]])&gt;0,Tasks[[#This Row],[Deadline]],2958465),Tasks[[#This Row],[_SuccessorFinishLimit]]))</f>
        <v/>
      </c>
      <c r="CG86" s="103" t="str">
        <f aca="false">IF(NOT(Tasks[[#This Row],[_IsLeaf]]=1),"",IF(N(Tasks[[#This Row],[Duration]])&lt;=0,Tasks[[#This Row],[_LeafLateFinish]],WORKDAY.INTL(Tasks[[#This Row],[_LeafLateFinish]],-(Tasks[[#This Row],[Duration]]-1),WorkWeek,Holidays)))</f>
        <v/>
      </c>
      <c r="CH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6" s="102" t="b">
        <f aca="false">AND(Tasks[[#This Row],[_IsLeaf]]=1,Tasks[[#This Row],[_LeafProgress]]&lt;1,N(Tasks[[#This Row],[_LeafTotalSlack]])&lt;=CriticalSlackDays)</f>
        <v>0</v>
      </c>
      <c r="CJ86" s="103" t="str">
        <f aca="false">IF(Tasks[[#This Row],[Task Name]]="","",IF(Tasks[[#This Row],[_IsSummary]],MIN(INDEX(Tasks[_LeafCalcStart],Tasks[[#This Row],[_Row]]+1):INDEX(Tasks[_LeafCalcStart],Tasks[[#This Row],[_Row]]+Tasks[[#This Row],[_Descendants]])),Tasks[[#This Row],[_LeafCalcStart]]))</f>
        <v/>
      </c>
      <c r="CK86" s="103" t="str">
        <f aca="false">IF(Tasks[[#This Row],[Task Name]]="","",IF(Tasks[[#This Row],[_IsSummary]],MAX(INDEX(Tasks[_LeafCalcFinish],Tasks[[#This Row],[_Row]]+1):INDEX(Tasks[_LeafCalcFinish],Tasks[[#This Row],[_Row]]+Tasks[[#This Row],[_Descendants]])),Tasks[[#This Row],[_LeafCalcFinish]]))</f>
        <v/>
      </c>
      <c r="CL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6" s="41" t="n">
        <f aca="false">IF(AND(Tasks[[#This Row],[_IsLeaf]]=1,Tasks[[#This Row],[_LeafWork]]&gt;0),NETWORKDAYS.INTL(ProjectStart,Tasks[[#This Row],[_LeafFcstStart]],WorkWeek,Holidays),0)</f>
        <v>0</v>
      </c>
      <c r="CS86" s="41" t="n">
        <f aca="false">IF(AND(Tasks[[#This Row],[_IsLeaf]]=1,Tasks[[#This Row],[_LeafWork]]&gt;0),MAX(Tasks[[#This Row],[_StartWorkday]],NETWORKDAYS.INTL(ProjectStart,Tasks[[#This Row],[_LeafFcstFinish]],WorkWeek,Holidays)),0)</f>
        <v>0</v>
      </c>
      <c r="CT86" s="41" t="n">
        <f aca="false">IF(AND(Tasks[[#This Row],[_IsLeaf]]=1,Tasks[[#This Row],[_LeafWork]]&gt;0),Tasks[[#This Row],[_LeafWork]]/(Tasks[[#This Row],[_FinishWorkday]]-Tasks[[#This Row],[_StartWorkday]]+1),0)</f>
        <v>0</v>
      </c>
      <c r="CU86" s="41" t="n">
        <f aca="false">Tasks[[#This Row],[_WorkPerWorkday]]*(Tasks[[#This Row],[_StartWorkday]]-1)</f>
        <v>-0</v>
      </c>
      <c r="CV86" s="41" t="n">
        <f aca="false">IF(Tasks[[#This Row],[_IsLeaf]]=1,MAX(N(Tasks[[#This Row],[Duration]]),0.1),0)</f>
        <v>0</v>
      </c>
      <c r="CW86" s="41" t="n">
        <f aca="false">Tasks[[#This Row],[_WeightDur]]*Tasks[[#This Row],[_LeafProgress]]</f>
        <v>0</v>
      </c>
      <c r="CX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6" s="41" t="str">
        <f aca="false">IF(Tasks[[#This Row],[Task Name]]="","",Tasks[[#This Row],[_Pred1UIDText]]&amp;IF(AND(Tasks[[#This Row],[_Pred1UIDText]]&lt;&gt;"",Tasks[[#This Row],[_Pred2UIDText]]&lt;&gt;""),",","")&amp;Tasks[[#This Row],[_Pred2UIDText]])</f>
        <v/>
      </c>
      <c r="DC86" s="41" t="str">
        <f aca="false">IF(AND(Tasks[[#This Row],[_IsLeaf]]=1,N(Tasks[[#This Row],[Duration]])=0,Tasks[[#This Row],[_LeafProgress]]&lt;1),Tasks[[#This Row],[_LeafFcstFinish]]+Tasks[[#This Row],[_Row]]/100000,"")</f>
        <v/>
      </c>
      <c r="DD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6" s="41" t="n">
        <f aca="false">IF(NOT(Tasks[[#This Row],[_IsLeaf]]=1),0,IF(Tasks[[#This Row],[Baseline Cost]]="",Tasks[[#This Row],[_LeafCost]],N(Tasks[[#This Row],[Baseline Cost]])))</f>
        <v>0</v>
      </c>
      <c r="DF86" s="41" t="n">
        <f aca="false">Tasks[[#This Row],[_LeafBudget]]*Tasks[[#This Row],[_PlannedPct]]</f>
        <v>0</v>
      </c>
      <c r="DG86" s="41" t="n">
        <f aca="false">Tasks[[#This Row],[_LeafBudget]]*Tasks[[#This Row],[_LeafProgress]]</f>
        <v>0</v>
      </c>
      <c r="DH86" s="41" t="n">
        <f aca="false">IF(NOT(Tasks[[#This Row],[_IsLeaf]]=1),0,IF(Tasks[[#This Row],[Actual Cost]]="",Tasks[[#This Row],[_LeafCost]]*Tasks[[#This Row],[_LeafProgress]],N(Tasks[[#This Row],[Actual Cost]])))</f>
        <v>0</v>
      </c>
      <c r="DI86" s="41" t="str">
        <f aca="false">IF(Tasks[[#This Row],[Task Name]]="","",LEFT(Tasks[[#This Row],[WBS]],FIND(".",Tasks[[#This Row],[WBS]]&amp;".")-1))</f>
        <v/>
      </c>
      <c r="DJ86" s="41" t="str">
        <f aca="false">IF(AND(Tasks[[#This Row],[Task Name]]&lt;&gt;"",Tasks[[#This Row],[_Level]]=1),Tasks[[#This Row],[_Row]],"")</f>
        <v/>
      </c>
      <c r="DK86" s="41" t="str">
        <f aca="false">IF(AND(Tasks[[#This Row],[_IsLeaf]]=1,N(Tasks[[#This Row],[Duration]])=0),Tasks[[#This Row],[Planned Finish]]+Tasks[[#This Row],[_Row]]/100000,"")</f>
        <v/>
      </c>
      <c r="DL86" s="41" t="str">
        <f aca="false">IF(AND(Tasks[[#This Row],[_IsLeaf]]=1,Tasks[[#This Row],[_LeafProgress]]&lt;1,OR(N(Tasks[[#This Row],[Finish Var]])&gt;0,Tasks[[#This Row],[Status]]="Late Start")),MAX(0,Tasks[[#This Row],[Finish Var]])+1-Tasks[[#This Row],[_Row]]/1000000,"")</f>
        <v/>
      </c>
      <c r="DM86" s="41" t="str">
        <f aca="false">IF(AND(Tasks[[#This Row],[_IsLeaf]]=1,N(Tasks[[#This Row],[Actual Start]])=0,Tasks[[#This Row],[_LeafFcstStart]]&gt;=StatusDate,Tasks[[#This Row],[_LeafFcstStart]]&lt;=LookaheadEnd),Tasks[[#This Row],[_LeafFcstStart]]+Tasks[[#This Row],[_Row]]/100000,"")</f>
        <v/>
      </c>
      <c r="DN86" s="41" t="str">
        <f aca="false">IF(AND(Tasks[[#This Row],[_IsLeaf]]=1,Tasks[[#This Row],[_LeafProgress]]&lt;1,Tasks[[#This Row],[_LeafFcstFinish]]&gt;=StatusDate,Tasks[[#This Row],[_LeafFcstFinish]]&lt;=LookaheadEnd),Tasks[[#This Row],[_LeafFcstFinish]]+Tasks[[#This Row],[_Row]]/100000,"")</f>
        <v/>
      </c>
      <c r="DO86" s="41" t="str">
        <f aca="false">IF(Tasks[[#This Row],[_LeafCritical]],Tasks[[#This Row],[_LeafFcstStart]]+Tasks[[#This Row],[_Row]]/100000,"")</f>
        <v/>
      </c>
      <c r="DP86" s="41" t="n">
        <f aca="false">Tasks[[#This Row],[_LeafWork]]*Tasks[[#This Row],[_LeafProgress]]</f>
        <v>0</v>
      </c>
      <c r="DQ86" s="103" t="str">
        <f aca="false">IF(AND(Tasks[[#This Row],[_IsLeaf]]=1,Tasks[[#This Row],[_LeafProgress]]&gt;=1),IF(N(Tasks[[#This Row],[Actual Finish]])&gt;0,Tasks[[#This Row],[Actual Finish]],Tasks[[#This Row],[_LeafFcstFinish]]),"")</f>
        <v/>
      </c>
      <c r="DR86" s="41" t="n">
        <f aca="false">IF(Tasks[[#This Row],[_IsLeaf]]=1,N(Tasks[[#This Row],[Story Points]]),0)</f>
        <v>0</v>
      </c>
      <c r="DS86" s="41" t="str">
        <f aca="false">IF(AND(Tasks[[#This Row],[_IsLeaf]]=1,CurrentSprint&lt;&gt;"",Tasks[[#This Row],[Sprint]]=CurrentSprint),Tasks[[#This Row],[_Row]],"")</f>
        <v/>
      </c>
    </row>
    <row r="87" customFormat="false" ht="15" hidden="false" customHeight="false" outlineLevel="0" collapsed="false">
      <c r="A87" s="28" t="str">
        <f aca="false">IF(Tasks[[#This Row],[Task Name]]="","",COUNTA(Tasks[[#Headers],[Task Name]]:Tasks[[#This Row],[Task Name]])-1)</f>
        <v/>
      </c>
      <c r="B87" s="29" t="n">
        <v>82</v>
      </c>
      <c r="C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29"/>
      <c r="E87" s="30"/>
      <c r="F87" s="29"/>
      <c r="G87" s="29"/>
      <c r="H87" s="29"/>
      <c r="I87" s="29"/>
      <c r="J87" s="29"/>
      <c r="K87" s="29"/>
      <c r="L87" s="29"/>
      <c r="M87" s="29"/>
      <c r="N87" s="77"/>
      <c r="O87" s="77"/>
      <c r="P87" s="25" t="str">
        <f aca="false">IF(Tasks[[#This Row],[Task Name]]="","",IF(N(Tasks[[#This Row],[Baseline Start]])&gt;0,Tasks[[#This Row],[Baseline Start]],Tasks[[#This Row],[_CalcStart]]))</f>
        <v/>
      </c>
      <c r="Q87" s="25" t="str">
        <f aca="false">IF(Tasks[[#This Row],[Task Name]]="","",IF(N(Tasks[[#This Row],[Baseline Finish]])&gt;0,Tasks[[#This Row],[Baseline Finish]],Tasks[[#This Row],[_CalcFinish]]))</f>
        <v/>
      </c>
      <c r="R87" s="77"/>
      <c r="S87" s="77"/>
      <c r="T87" s="25" t="str">
        <f aca="false">IF(Tasks[[#This Row],[Task Name]]="","",IF(Tasks[[#This Row],[_IsSummary]],MIN(INDEX(Tasks[_LeafFcstStart],Tasks[[#This Row],[_Row]]+1):INDEX(Tasks[_LeafFcstStart],Tasks[[#This Row],[_Row]]+Tasks[[#This Row],[_Descendants]])),Tasks[[#This Row],[_LeafFcstStart]]))</f>
        <v/>
      </c>
      <c r="U87" s="25" t="str">
        <f aca="false">IF(Tasks[[#This Row],[Task Name]]="","",IF(Tasks[[#This Row],[_IsSummary]],MAX(INDEX(Tasks[_LeafFcstFinish],Tasks[[#This Row],[_Row]]+1):INDEX(Tasks[_LeafFcstFinish],Tasks[[#This Row],[_Row]]+Tasks[[#This Row],[_Descendants]])),Tasks[[#This Row],[_LeafFcstFinish]]))</f>
        <v/>
      </c>
      <c r="V8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7" s="25" t="str">
        <f aca="false">IF(Tasks[[#This Row],[Task Name]]="","",IF(Tasks[[#This Row],[_IsSummary]],MIN(INDEX(Tasks[_LeafLateStart],Tasks[[#This Row],[_Row]]+1):INDEX(Tasks[_LeafLateStart],Tasks[[#This Row],[_Row]]+Tasks[[#This Row],[_Descendants]])),Tasks[[#This Row],[_LeafLateStart]]))</f>
        <v/>
      </c>
      <c r="Y87" s="25" t="str">
        <f aca="false">IF(Tasks[[#This Row],[Task Name]]="","",IF(Tasks[[#This Row],[_IsSummary]],MAX(INDEX(Tasks[_LeafLateFinish],Tasks[[#This Row],[_Row]]+1):INDEX(Tasks[_LeafLateFinish],Tasks[[#This Row],[_Row]]+Tasks[[#This Row],[_Descendants]])),Tasks[[#This Row],[_LeafLateFinish]]))</f>
        <v/>
      </c>
      <c r="Z87" s="43" t="str">
        <f aca="false">IF(Tasks[[#This Row],[Task Name]]="","",IF(Tasks[[#This Row],[_IsSummary]],MIN(INDEX(Tasks[_LeafTotalSlack],Tasks[[#This Row],[_Row]]+1):INDEX(Tasks[_LeafTotalSlack],Tasks[[#This Row],[_Row]]+Tasks[[#This Row],[_Descendants]])),Tasks[[#This Row],[_LeafTotalSlack]]))</f>
        <v/>
      </c>
      <c r="AA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7" s="28" t="str">
        <f aca="false">IF(Tasks[[#This Row],[Task Name]]="","",IF(IF(Tasks[[#This Row],[_IsSummary]],COUNTIF(INDEX(Tasks[_LeafCritical],Tasks[[#This Row],[_Row]]+1):INDEX(Tasks[_LeafCritical],Tasks[[#This Row],[_Row]]+Tasks[[#This Row],[_Descendants]]),TRUE())&gt;0,Tasks[[#This Row],[_LeafCritical]]),"Yes",""))</f>
        <v/>
      </c>
      <c r="AC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7" s="24" t="str">
        <f aca="false">IF(Tasks[[#This Row],[Task Name]]="","",TRIM(IF(Tasks[[#This Row],[_Pred1Problem]]&lt;&gt;"","Pred 1: "&amp;Tasks[[#This Row],[_Pred1Problem]]&amp;". ","")&amp;IF(Tasks[[#This Row],[_Pred2Problem]]&lt;&gt;"","Pred 2: "&amp;Tasks[[#This Row],[_Pred2Problem]]&amp;".","")))</f>
        <v/>
      </c>
      <c r="AE87" s="91"/>
      <c r="AF8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7" s="28" t="str">
        <f aca="false">IF(Tasks[[#This Row],[Task Name]]="","",IF(Tasks[[#This Row],[Progress]]&gt;=1,"Complete",IF(OR(N(Tasks[[#This Row],[Actual Start]])&gt;0,Tasks[[#This Row],[Progress]]&gt;0),IF(Tasks[[#This Row],[Finish Var]]&gt;0,"Behind","In Progress"),IF(Tasks[[#This Row],[Planned Start]]&lt;StatusDate,"Late Start","Not Started"))))</f>
        <v/>
      </c>
      <c r="AH87" s="30"/>
      <c r="AI87" s="91"/>
      <c r="AJ8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7" s="98" t="str">
        <f aca="false">IF(Tasks[[#This Row],[Task Name]]="","",IF(Tasks[[#This Row],[_IsSummary]],SUM(INDEX(Tasks[_LeafWork],Tasks[[#This Row],[_Row]]+1):INDEX(Tasks[_LeafWork],Tasks[[#This Row],[_Row]]+Tasks[[#This Row],[_Descendants]])),Tasks[[#This Row],[_LeafWork]]))</f>
        <v/>
      </c>
      <c r="AL87" s="99" t="str">
        <f aca="false">IF(Tasks[[#This Row],[Task Name]]="","",IF(Tasks[[#This Row],[_IsSummary]],SUM(INDEX(Tasks[_LeafCost],Tasks[[#This Row],[_Row]]+1):INDEX(Tasks[_LeafCost],Tasks[[#This Row],[_Row]]+Tasks[[#This Row],[_Descendants]])),Tasks[[#This Row],[_LeafCost]]))</f>
        <v/>
      </c>
      <c r="AM87" s="100"/>
      <c r="AN87" s="29"/>
      <c r="AO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7" s="85"/>
      <c r="AQ87" s="24" t="str">
        <f aca="false">IF(Tasks[[#This Row],[Task Name]]="","",Tasks[[#This Row],[_Pred1IDText]]&amp;IF(AND(Tasks[[#This Row],[_Pred1IDText]]&lt;&gt;"",Tasks[[#This Row],[_Pred2IDText]]&lt;&gt;""),",","")&amp;Tasks[[#This Row],[_Pred2IDText]])</f>
        <v/>
      </c>
      <c r="AR87" s="30"/>
      <c r="AS87" s="25" t="str">
        <f aca="false">IF(Tasks[[#This Row],[Task Name]]="","",Tasks[[#This Row],[Forecast Start]])</f>
        <v/>
      </c>
      <c r="AT87" s="25" t="str">
        <f aca="false">IF(Tasks[[#This Row],[Task Name]]="","",Tasks[[#This Row],[Forecast Finish]])</f>
        <v/>
      </c>
      <c r="AU87" s="28" t="str">
        <f aca="false">IF(Tasks[[#This Row],[Task Name]]="","",IF(Tasks[[#This Row],[_IsSummary]],NETWORKDAYS.INTL(Tasks[[#This Row],[Forecast Start]],Tasks[[#This Row],[Forecast Finish]],WorkWeek,Holidays),N(Tasks[[#This Row],[Duration]])))</f>
        <v/>
      </c>
      <c r="AV87" s="98" t="str">
        <f aca="false">IF(Tasks[[#This Row],[Task Name]]="","",Tasks[[#This Row],[Work]])</f>
        <v/>
      </c>
      <c r="AW87" s="99" t="str">
        <f aca="false">IF(Tasks[[#This Row],[Task Name]]="","",Tasks[[#This Row],[Cost]])</f>
        <v/>
      </c>
      <c r="AX87" s="77"/>
      <c r="AY87" s="77"/>
      <c r="AZ87" s="29"/>
      <c r="BA87" s="101"/>
      <c r="BB87" s="100"/>
      <c r="BC87" s="28" t="str">
        <f aca="false">IF(OR(Tasks[[#This Row],[Task Name]]="",Tasks[[#This Row],[Baseline Duration]]=""),"",Tasks[[#This Row],[BL Source Duration]]-N(Tasks[[#This Row],[Baseline Duration]]))</f>
        <v/>
      </c>
      <c r="BD87" s="98" t="str">
        <f aca="false">IF(OR(Tasks[[#This Row],[Task Name]]="",Tasks[[#This Row],[Baseline Work]]=""),"",Tasks[[#This Row],[Work]]-N(Tasks[[#This Row],[Baseline Work]]))</f>
        <v/>
      </c>
      <c r="BE87" s="99" t="str">
        <f aca="false">IF(OR(Tasks[[#This Row],[Task Name]]="",Tasks[[#This Row],[Baseline Cost]]=""),"",Tasks[[#This Row],[Cost]]-N(Tasks[[#This Row],[Baseline Cost]]))</f>
        <v/>
      </c>
      <c r="BF87" s="99" t="str">
        <f aca="false">IF(Tasks[[#This Row],[Task Name]]="","",IF(Tasks[[#This Row],[_IsSummary]],SUM(INDEX(Tasks[_LeafBudget],Tasks[[#This Row],[_Row]]+1):INDEX(Tasks[_LeafBudget],Tasks[[#This Row],[_Row]]+Tasks[[#This Row],[_Descendants]])),Tasks[[#This Row],[_LeafBudget]]))</f>
        <v/>
      </c>
      <c r="BG87" s="99" t="str">
        <f aca="false">IF(Tasks[[#This Row],[Task Name]]="","",IF(Tasks[[#This Row],[_IsSummary]],SUM(INDEX(Tasks[_LeafPV],Tasks[[#This Row],[_Row]]+1):INDEX(Tasks[_LeafPV],Tasks[[#This Row],[_Row]]+Tasks[[#This Row],[_Descendants]])),Tasks[[#This Row],[_LeafPV]]))</f>
        <v/>
      </c>
      <c r="BH87" s="99" t="str">
        <f aca="false">IF(Tasks[[#This Row],[Task Name]]="","",IF(Tasks[[#This Row],[_IsSummary]],SUM(INDEX(Tasks[_LeafEV],Tasks[[#This Row],[_Row]]+1):INDEX(Tasks[_LeafEV],Tasks[[#This Row],[_Row]]+Tasks[[#This Row],[_Descendants]])),Tasks[[#This Row],[_LeafEV]]))</f>
        <v/>
      </c>
      <c r="BI87" s="99" t="str">
        <f aca="false">IF(Tasks[[#This Row],[Task Name]]="","",IF(Tasks[[#This Row],[_IsSummary]],SUM(INDEX(Tasks[_LeafAC],Tasks[[#This Row],[_Row]]+1):INDEX(Tasks[_LeafAC],Tasks[[#This Row],[_Row]]+Tasks[[#This Row],[_Descendants]])),Tasks[[#This Row],[_LeafAC]]))</f>
        <v/>
      </c>
      <c r="BJ87" s="41" t="str">
        <f aca="false">IF(Tasks[[#This Row],[Task Name]]="","",MAX(1,N(Tasks[[#This Row],[Level]])))</f>
        <v/>
      </c>
      <c r="BK87" s="41" t="n">
        <f aca="false">ROW()-ROW(Tasks[[#Headers],[ID]])</f>
        <v>82</v>
      </c>
      <c r="BL87" s="41" t="n">
        <f aca="false">IF(OR(Tasks[[#This Row],[Task Name]]="",Tasks[[#This Row],[_Level]]&lt;=1),0,IFERROR(LOOKUP(2,1/(Tasks[[#Headers],[_Level]]:Tasks[[#This Row],[_Level]]=Tasks[[#This Row],[_Level]]-1),ROW(Tasks[[#Headers],[_Level]]:Tasks[[#This Row],[_Level]])),0))</f>
        <v>0</v>
      </c>
      <c r="BM87" s="41" t="n">
        <f aca="false">IFERROR(N(INDEX(Tasks[_Level],Tasks[[#This Row],[_Row]]+1)),0)</f>
        <v>0</v>
      </c>
      <c r="BN87" s="102" t="b">
        <f aca="false">AND(Tasks[[#This Row],[Task Name]]&lt;&gt;"",Tasks[[#This Row],[_NextLevel]]&gt;Tasks[[#This Row],[_Level]])</f>
        <v>0</v>
      </c>
      <c r="BO87" s="41" t="n">
        <f aca="false">IF(Tasks[[#This Row],[_IsSummary]],COUNTIF(Tasks[WBS],Tasks[[#This Row],[WBS]]&amp;".*"),0)</f>
        <v>0</v>
      </c>
      <c r="BP87" s="41" t="n">
        <f aca="false">IF(AND(Tasks[[#This Row],[Task Name]]&lt;&gt;"",NOT(Tasks[[#This Row],[_IsSummary]])),1,0)</f>
        <v>0</v>
      </c>
      <c r="BQ87" s="41" t="n">
        <f aca="false">IF(N(Tasks[[#This Row],[Pred1 UID]])=0,0,IFERROR(MATCH(Tasks[[#This Row],[Pred1 UID]],Tasks[UID],0),-1))</f>
        <v>0</v>
      </c>
      <c r="BR87" s="41" t="n">
        <f aca="false">IF(N(Tasks[[#This Row],[Pred2 UID]])=0,0,IFERROR(MATCH(Tasks[[#This Row],[Pred2 UID]],Tasks[UID],0),-1))</f>
        <v>0</v>
      </c>
      <c r="BS8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7" s="103" t="str">
        <f aca="false">IF(NOT(Tasks[[#This Row],[_IsLeaf]]=1),"",IF(N(Tasks[[#This Row],[Duration]])&lt;=0,Tasks[[#This Row],[_LeafCalcStart]],WORKDAY.INTL(Tasks[[#This Row],[_LeafCalcStart]],Tasks[[#This Row],[Duration]]-1,WorkWeek,Holidays)))</f>
        <v/>
      </c>
      <c r="BU8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7" s="41" t="n">
        <f aca="false">IF(NOT(Tasks[[#This Row],[_IsLeaf]]=1),0,IF(N(Tasks[[#This Row],[Actual Finish]])&gt;0,1,MIN(1,N(Tasks[[#This Row],[% Complete]]))))</f>
        <v>0</v>
      </c>
      <c r="BX87" s="41" t="n">
        <f aca="false">IF(OR(NOT(Tasks[[#This Row],[_IsLeaf]]=1),Tasks[[#This Row],[Resource]]=""),0,N(Tasks[[#This Row],[Duration]])*HoursPerDay*IF(Tasks[[#This Row],[Units]]="",DefaultUnits,Tasks[[#This Row],[Units]]))</f>
        <v>0</v>
      </c>
      <c r="BY87" s="41" t="n">
        <f aca="false">IF(Tasks[[#This Row],[_LeafWork]]=0,0,Tasks[[#This Row],[_LeafWork]]*IFERROR(INDEX(res_Rate,MATCH(Tasks[[#This Row],[Resource]],res_Name,0)),0))</f>
        <v>0</v>
      </c>
      <c r="BZ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7" s="41" t="n">
        <f aca="false">IF(NOT(Tasks[[#This Row],[_IsLeaf]]=1),0,MAX(_xlfn.MAXIFS(Tasks[_Row],Tasks[Pred1 UID],Tasks[[#This Row],[UID]]),_xlfn.MAXIFS(Tasks[_Row],Tasks[Pred2 UID],Tasks[[#This Row],[UID]])))</f>
        <v>0</v>
      </c>
      <c r="CE8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7" s="103" t="str">
        <f aca="false">IF(NOT(Tasks[[#This Row],[_IsLeaf]]=1),"",MIN(ProjectFinish,IF(N(Tasks[[#This Row],[Deadline]])&gt;0,Tasks[[#This Row],[Deadline]],2958465),Tasks[[#This Row],[_SuccessorFinishLimit]]))</f>
        <v/>
      </c>
      <c r="CG87" s="103" t="str">
        <f aca="false">IF(NOT(Tasks[[#This Row],[_IsLeaf]]=1),"",IF(N(Tasks[[#This Row],[Duration]])&lt;=0,Tasks[[#This Row],[_LeafLateFinish]],WORKDAY.INTL(Tasks[[#This Row],[_LeafLateFinish]],-(Tasks[[#This Row],[Duration]]-1),WorkWeek,Holidays)))</f>
        <v/>
      </c>
      <c r="CH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7" s="102" t="b">
        <f aca="false">AND(Tasks[[#This Row],[_IsLeaf]]=1,Tasks[[#This Row],[_LeafProgress]]&lt;1,N(Tasks[[#This Row],[_LeafTotalSlack]])&lt;=CriticalSlackDays)</f>
        <v>0</v>
      </c>
      <c r="CJ87" s="103" t="str">
        <f aca="false">IF(Tasks[[#This Row],[Task Name]]="","",IF(Tasks[[#This Row],[_IsSummary]],MIN(INDEX(Tasks[_LeafCalcStart],Tasks[[#This Row],[_Row]]+1):INDEX(Tasks[_LeafCalcStart],Tasks[[#This Row],[_Row]]+Tasks[[#This Row],[_Descendants]])),Tasks[[#This Row],[_LeafCalcStart]]))</f>
        <v/>
      </c>
      <c r="CK87" s="103" t="str">
        <f aca="false">IF(Tasks[[#This Row],[Task Name]]="","",IF(Tasks[[#This Row],[_IsSummary]],MAX(INDEX(Tasks[_LeafCalcFinish],Tasks[[#This Row],[_Row]]+1):INDEX(Tasks[_LeafCalcFinish],Tasks[[#This Row],[_Row]]+Tasks[[#This Row],[_Descendants]])),Tasks[[#This Row],[_LeafCalcFinish]]))</f>
        <v/>
      </c>
      <c r="CL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7" s="41" t="n">
        <f aca="false">IF(AND(Tasks[[#This Row],[_IsLeaf]]=1,Tasks[[#This Row],[_LeafWork]]&gt;0),NETWORKDAYS.INTL(ProjectStart,Tasks[[#This Row],[_LeafFcstStart]],WorkWeek,Holidays),0)</f>
        <v>0</v>
      </c>
      <c r="CS87" s="41" t="n">
        <f aca="false">IF(AND(Tasks[[#This Row],[_IsLeaf]]=1,Tasks[[#This Row],[_LeafWork]]&gt;0),MAX(Tasks[[#This Row],[_StartWorkday]],NETWORKDAYS.INTL(ProjectStart,Tasks[[#This Row],[_LeafFcstFinish]],WorkWeek,Holidays)),0)</f>
        <v>0</v>
      </c>
      <c r="CT87" s="41" t="n">
        <f aca="false">IF(AND(Tasks[[#This Row],[_IsLeaf]]=1,Tasks[[#This Row],[_LeafWork]]&gt;0),Tasks[[#This Row],[_LeafWork]]/(Tasks[[#This Row],[_FinishWorkday]]-Tasks[[#This Row],[_StartWorkday]]+1),0)</f>
        <v>0</v>
      </c>
      <c r="CU87" s="41" t="n">
        <f aca="false">Tasks[[#This Row],[_WorkPerWorkday]]*(Tasks[[#This Row],[_StartWorkday]]-1)</f>
        <v>-0</v>
      </c>
      <c r="CV87" s="41" t="n">
        <f aca="false">IF(Tasks[[#This Row],[_IsLeaf]]=1,MAX(N(Tasks[[#This Row],[Duration]]),0.1),0)</f>
        <v>0</v>
      </c>
      <c r="CW87" s="41" t="n">
        <f aca="false">Tasks[[#This Row],[_WeightDur]]*Tasks[[#This Row],[_LeafProgress]]</f>
        <v>0</v>
      </c>
      <c r="CX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7" s="41" t="str">
        <f aca="false">IF(Tasks[[#This Row],[Task Name]]="","",Tasks[[#This Row],[_Pred1UIDText]]&amp;IF(AND(Tasks[[#This Row],[_Pred1UIDText]]&lt;&gt;"",Tasks[[#This Row],[_Pred2UIDText]]&lt;&gt;""),",","")&amp;Tasks[[#This Row],[_Pred2UIDText]])</f>
        <v/>
      </c>
      <c r="DC87" s="41" t="str">
        <f aca="false">IF(AND(Tasks[[#This Row],[_IsLeaf]]=1,N(Tasks[[#This Row],[Duration]])=0,Tasks[[#This Row],[_LeafProgress]]&lt;1),Tasks[[#This Row],[_LeafFcstFinish]]+Tasks[[#This Row],[_Row]]/100000,"")</f>
        <v/>
      </c>
      <c r="DD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7" s="41" t="n">
        <f aca="false">IF(NOT(Tasks[[#This Row],[_IsLeaf]]=1),0,IF(Tasks[[#This Row],[Baseline Cost]]="",Tasks[[#This Row],[_LeafCost]],N(Tasks[[#This Row],[Baseline Cost]])))</f>
        <v>0</v>
      </c>
      <c r="DF87" s="41" t="n">
        <f aca="false">Tasks[[#This Row],[_LeafBudget]]*Tasks[[#This Row],[_PlannedPct]]</f>
        <v>0</v>
      </c>
      <c r="DG87" s="41" t="n">
        <f aca="false">Tasks[[#This Row],[_LeafBudget]]*Tasks[[#This Row],[_LeafProgress]]</f>
        <v>0</v>
      </c>
      <c r="DH87" s="41" t="n">
        <f aca="false">IF(NOT(Tasks[[#This Row],[_IsLeaf]]=1),0,IF(Tasks[[#This Row],[Actual Cost]]="",Tasks[[#This Row],[_LeafCost]]*Tasks[[#This Row],[_LeafProgress]],N(Tasks[[#This Row],[Actual Cost]])))</f>
        <v>0</v>
      </c>
      <c r="DI87" s="41" t="str">
        <f aca="false">IF(Tasks[[#This Row],[Task Name]]="","",LEFT(Tasks[[#This Row],[WBS]],FIND(".",Tasks[[#This Row],[WBS]]&amp;".")-1))</f>
        <v/>
      </c>
      <c r="DJ87" s="41" t="str">
        <f aca="false">IF(AND(Tasks[[#This Row],[Task Name]]&lt;&gt;"",Tasks[[#This Row],[_Level]]=1),Tasks[[#This Row],[_Row]],"")</f>
        <v/>
      </c>
      <c r="DK87" s="41" t="str">
        <f aca="false">IF(AND(Tasks[[#This Row],[_IsLeaf]]=1,N(Tasks[[#This Row],[Duration]])=0),Tasks[[#This Row],[Planned Finish]]+Tasks[[#This Row],[_Row]]/100000,"")</f>
        <v/>
      </c>
      <c r="DL87" s="41" t="str">
        <f aca="false">IF(AND(Tasks[[#This Row],[_IsLeaf]]=1,Tasks[[#This Row],[_LeafProgress]]&lt;1,OR(N(Tasks[[#This Row],[Finish Var]])&gt;0,Tasks[[#This Row],[Status]]="Late Start")),MAX(0,Tasks[[#This Row],[Finish Var]])+1-Tasks[[#This Row],[_Row]]/1000000,"")</f>
        <v/>
      </c>
      <c r="DM87" s="41" t="str">
        <f aca="false">IF(AND(Tasks[[#This Row],[_IsLeaf]]=1,N(Tasks[[#This Row],[Actual Start]])=0,Tasks[[#This Row],[_LeafFcstStart]]&gt;=StatusDate,Tasks[[#This Row],[_LeafFcstStart]]&lt;=LookaheadEnd),Tasks[[#This Row],[_LeafFcstStart]]+Tasks[[#This Row],[_Row]]/100000,"")</f>
        <v/>
      </c>
      <c r="DN87" s="41" t="str">
        <f aca="false">IF(AND(Tasks[[#This Row],[_IsLeaf]]=1,Tasks[[#This Row],[_LeafProgress]]&lt;1,Tasks[[#This Row],[_LeafFcstFinish]]&gt;=StatusDate,Tasks[[#This Row],[_LeafFcstFinish]]&lt;=LookaheadEnd),Tasks[[#This Row],[_LeafFcstFinish]]+Tasks[[#This Row],[_Row]]/100000,"")</f>
        <v/>
      </c>
      <c r="DO87" s="41" t="str">
        <f aca="false">IF(Tasks[[#This Row],[_LeafCritical]],Tasks[[#This Row],[_LeafFcstStart]]+Tasks[[#This Row],[_Row]]/100000,"")</f>
        <v/>
      </c>
      <c r="DP87" s="41" t="n">
        <f aca="false">Tasks[[#This Row],[_LeafWork]]*Tasks[[#This Row],[_LeafProgress]]</f>
        <v>0</v>
      </c>
      <c r="DQ87" s="103" t="str">
        <f aca="false">IF(AND(Tasks[[#This Row],[_IsLeaf]]=1,Tasks[[#This Row],[_LeafProgress]]&gt;=1),IF(N(Tasks[[#This Row],[Actual Finish]])&gt;0,Tasks[[#This Row],[Actual Finish]],Tasks[[#This Row],[_LeafFcstFinish]]),"")</f>
        <v/>
      </c>
      <c r="DR87" s="41" t="n">
        <f aca="false">IF(Tasks[[#This Row],[_IsLeaf]]=1,N(Tasks[[#This Row],[Story Points]]),0)</f>
        <v>0</v>
      </c>
      <c r="DS87" s="41" t="str">
        <f aca="false">IF(AND(Tasks[[#This Row],[_IsLeaf]]=1,CurrentSprint&lt;&gt;"",Tasks[[#This Row],[Sprint]]=CurrentSprint),Tasks[[#This Row],[_Row]],"")</f>
        <v/>
      </c>
    </row>
    <row r="88" customFormat="false" ht="15" hidden="false" customHeight="false" outlineLevel="0" collapsed="false">
      <c r="A88" s="28" t="str">
        <f aca="false">IF(Tasks[[#This Row],[Task Name]]="","",COUNTA(Tasks[[#Headers],[Task Name]]:Tasks[[#This Row],[Task Name]])-1)</f>
        <v/>
      </c>
      <c r="B88" s="29" t="n">
        <v>83</v>
      </c>
      <c r="C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29"/>
      <c r="E88" s="30"/>
      <c r="F88" s="29"/>
      <c r="G88" s="29"/>
      <c r="H88" s="29"/>
      <c r="I88" s="29"/>
      <c r="J88" s="29"/>
      <c r="K88" s="29"/>
      <c r="L88" s="29"/>
      <c r="M88" s="29"/>
      <c r="N88" s="77"/>
      <c r="O88" s="77"/>
      <c r="P88" s="25" t="str">
        <f aca="false">IF(Tasks[[#This Row],[Task Name]]="","",IF(N(Tasks[[#This Row],[Baseline Start]])&gt;0,Tasks[[#This Row],[Baseline Start]],Tasks[[#This Row],[_CalcStart]]))</f>
        <v/>
      </c>
      <c r="Q88" s="25" t="str">
        <f aca="false">IF(Tasks[[#This Row],[Task Name]]="","",IF(N(Tasks[[#This Row],[Baseline Finish]])&gt;0,Tasks[[#This Row],[Baseline Finish]],Tasks[[#This Row],[_CalcFinish]]))</f>
        <v/>
      </c>
      <c r="R88" s="77"/>
      <c r="S88" s="77"/>
      <c r="T88" s="25" t="str">
        <f aca="false">IF(Tasks[[#This Row],[Task Name]]="","",IF(Tasks[[#This Row],[_IsSummary]],MIN(INDEX(Tasks[_LeafFcstStart],Tasks[[#This Row],[_Row]]+1):INDEX(Tasks[_LeafFcstStart],Tasks[[#This Row],[_Row]]+Tasks[[#This Row],[_Descendants]])),Tasks[[#This Row],[_LeafFcstStart]]))</f>
        <v/>
      </c>
      <c r="U88" s="25" t="str">
        <f aca="false">IF(Tasks[[#This Row],[Task Name]]="","",IF(Tasks[[#This Row],[_IsSummary]],MAX(INDEX(Tasks[_LeafFcstFinish],Tasks[[#This Row],[_Row]]+1):INDEX(Tasks[_LeafFcstFinish],Tasks[[#This Row],[_Row]]+Tasks[[#This Row],[_Descendants]])),Tasks[[#This Row],[_LeafFcstFinish]]))</f>
        <v/>
      </c>
      <c r="V8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8" s="25" t="str">
        <f aca="false">IF(Tasks[[#This Row],[Task Name]]="","",IF(Tasks[[#This Row],[_IsSummary]],MIN(INDEX(Tasks[_LeafLateStart],Tasks[[#This Row],[_Row]]+1):INDEX(Tasks[_LeafLateStart],Tasks[[#This Row],[_Row]]+Tasks[[#This Row],[_Descendants]])),Tasks[[#This Row],[_LeafLateStart]]))</f>
        <v/>
      </c>
      <c r="Y88" s="25" t="str">
        <f aca="false">IF(Tasks[[#This Row],[Task Name]]="","",IF(Tasks[[#This Row],[_IsSummary]],MAX(INDEX(Tasks[_LeafLateFinish],Tasks[[#This Row],[_Row]]+1):INDEX(Tasks[_LeafLateFinish],Tasks[[#This Row],[_Row]]+Tasks[[#This Row],[_Descendants]])),Tasks[[#This Row],[_LeafLateFinish]]))</f>
        <v/>
      </c>
      <c r="Z88" s="43" t="str">
        <f aca="false">IF(Tasks[[#This Row],[Task Name]]="","",IF(Tasks[[#This Row],[_IsSummary]],MIN(INDEX(Tasks[_LeafTotalSlack],Tasks[[#This Row],[_Row]]+1):INDEX(Tasks[_LeafTotalSlack],Tasks[[#This Row],[_Row]]+Tasks[[#This Row],[_Descendants]])),Tasks[[#This Row],[_LeafTotalSlack]]))</f>
        <v/>
      </c>
      <c r="AA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8" s="28" t="str">
        <f aca="false">IF(Tasks[[#This Row],[Task Name]]="","",IF(IF(Tasks[[#This Row],[_IsSummary]],COUNTIF(INDEX(Tasks[_LeafCritical],Tasks[[#This Row],[_Row]]+1):INDEX(Tasks[_LeafCritical],Tasks[[#This Row],[_Row]]+Tasks[[#This Row],[_Descendants]]),TRUE())&gt;0,Tasks[[#This Row],[_LeafCritical]]),"Yes",""))</f>
        <v/>
      </c>
      <c r="AC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8" s="24" t="str">
        <f aca="false">IF(Tasks[[#This Row],[Task Name]]="","",TRIM(IF(Tasks[[#This Row],[_Pred1Problem]]&lt;&gt;"","Pred 1: "&amp;Tasks[[#This Row],[_Pred1Problem]]&amp;". ","")&amp;IF(Tasks[[#This Row],[_Pred2Problem]]&lt;&gt;"","Pred 2: "&amp;Tasks[[#This Row],[_Pred2Problem]]&amp;".","")))</f>
        <v/>
      </c>
      <c r="AE88" s="91"/>
      <c r="AF8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8" s="28" t="str">
        <f aca="false">IF(Tasks[[#This Row],[Task Name]]="","",IF(Tasks[[#This Row],[Progress]]&gt;=1,"Complete",IF(OR(N(Tasks[[#This Row],[Actual Start]])&gt;0,Tasks[[#This Row],[Progress]]&gt;0),IF(Tasks[[#This Row],[Finish Var]]&gt;0,"Behind","In Progress"),IF(Tasks[[#This Row],[Planned Start]]&lt;StatusDate,"Late Start","Not Started"))))</f>
        <v/>
      </c>
      <c r="AH88" s="30"/>
      <c r="AI88" s="91"/>
      <c r="AJ8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8" s="98" t="str">
        <f aca="false">IF(Tasks[[#This Row],[Task Name]]="","",IF(Tasks[[#This Row],[_IsSummary]],SUM(INDEX(Tasks[_LeafWork],Tasks[[#This Row],[_Row]]+1):INDEX(Tasks[_LeafWork],Tasks[[#This Row],[_Row]]+Tasks[[#This Row],[_Descendants]])),Tasks[[#This Row],[_LeafWork]]))</f>
        <v/>
      </c>
      <c r="AL88" s="99" t="str">
        <f aca="false">IF(Tasks[[#This Row],[Task Name]]="","",IF(Tasks[[#This Row],[_IsSummary]],SUM(INDEX(Tasks[_LeafCost],Tasks[[#This Row],[_Row]]+1):INDEX(Tasks[_LeafCost],Tasks[[#This Row],[_Row]]+Tasks[[#This Row],[_Descendants]])),Tasks[[#This Row],[_LeafCost]]))</f>
        <v/>
      </c>
      <c r="AM88" s="100"/>
      <c r="AN88" s="29"/>
      <c r="AO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8" s="85"/>
      <c r="AQ88" s="24" t="str">
        <f aca="false">IF(Tasks[[#This Row],[Task Name]]="","",Tasks[[#This Row],[_Pred1IDText]]&amp;IF(AND(Tasks[[#This Row],[_Pred1IDText]]&lt;&gt;"",Tasks[[#This Row],[_Pred2IDText]]&lt;&gt;""),",","")&amp;Tasks[[#This Row],[_Pred2IDText]])</f>
        <v/>
      </c>
      <c r="AR88" s="30"/>
      <c r="AS88" s="25" t="str">
        <f aca="false">IF(Tasks[[#This Row],[Task Name]]="","",Tasks[[#This Row],[Forecast Start]])</f>
        <v/>
      </c>
      <c r="AT88" s="25" t="str">
        <f aca="false">IF(Tasks[[#This Row],[Task Name]]="","",Tasks[[#This Row],[Forecast Finish]])</f>
        <v/>
      </c>
      <c r="AU88" s="28" t="str">
        <f aca="false">IF(Tasks[[#This Row],[Task Name]]="","",IF(Tasks[[#This Row],[_IsSummary]],NETWORKDAYS.INTL(Tasks[[#This Row],[Forecast Start]],Tasks[[#This Row],[Forecast Finish]],WorkWeek,Holidays),N(Tasks[[#This Row],[Duration]])))</f>
        <v/>
      </c>
      <c r="AV88" s="98" t="str">
        <f aca="false">IF(Tasks[[#This Row],[Task Name]]="","",Tasks[[#This Row],[Work]])</f>
        <v/>
      </c>
      <c r="AW88" s="99" t="str">
        <f aca="false">IF(Tasks[[#This Row],[Task Name]]="","",Tasks[[#This Row],[Cost]])</f>
        <v/>
      </c>
      <c r="AX88" s="77"/>
      <c r="AY88" s="77"/>
      <c r="AZ88" s="29"/>
      <c r="BA88" s="101"/>
      <c r="BB88" s="100"/>
      <c r="BC88" s="28" t="str">
        <f aca="false">IF(OR(Tasks[[#This Row],[Task Name]]="",Tasks[[#This Row],[Baseline Duration]]=""),"",Tasks[[#This Row],[BL Source Duration]]-N(Tasks[[#This Row],[Baseline Duration]]))</f>
        <v/>
      </c>
      <c r="BD88" s="98" t="str">
        <f aca="false">IF(OR(Tasks[[#This Row],[Task Name]]="",Tasks[[#This Row],[Baseline Work]]=""),"",Tasks[[#This Row],[Work]]-N(Tasks[[#This Row],[Baseline Work]]))</f>
        <v/>
      </c>
      <c r="BE88" s="99" t="str">
        <f aca="false">IF(OR(Tasks[[#This Row],[Task Name]]="",Tasks[[#This Row],[Baseline Cost]]=""),"",Tasks[[#This Row],[Cost]]-N(Tasks[[#This Row],[Baseline Cost]]))</f>
        <v/>
      </c>
      <c r="BF88" s="99" t="str">
        <f aca="false">IF(Tasks[[#This Row],[Task Name]]="","",IF(Tasks[[#This Row],[_IsSummary]],SUM(INDEX(Tasks[_LeafBudget],Tasks[[#This Row],[_Row]]+1):INDEX(Tasks[_LeafBudget],Tasks[[#This Row],[_Row]]+Tasks[[#This Row],[_Descendants]])),Tasks[[#This Row],[_LeafBudget]]))</f>
        <v/>
      </c>
      <c r="BG88" s="99" t="str">
        <f aca="false">IF(Tasks[[#This Row],[Task Name]]="","",IF(Tasks[[#This Row],[_IsSummary]],SUM(INDEX(Tasks[_LeafPV],Tasks[[#This Row],[_Row]]+1):INDEX(Tasks[_LeafPV],Tasks[[#This Row],[_Row]]+Tasks[[#This Row],[_Descendants]])),Tasks[[#This Row],[_LeafPV]]))</f>
        <v/>
      </c>
      <c r="BH88" s="99" t="str">
        <f aca="false">IF(Tasks[[#This Row],[Task Name]]="","",IF(Tasks[[#This Row],[_IsSummary]],SUM(INDEX(Tasks[_LeafEV],Tasks[[#This Row],[_Row]]+1):INDEX(Tasks[_LeafEV],Tasks[[#This Row],[_Row]]+Tasks[[#This Row],[_Descendants]])),Tasks[[#This Row],[_LeafEV]]))</f>
        <v/>
      </c>
      <c r="BI88" s="99" t="str">
        <f aca="false">IF(Tasks[[#This Row],[Task Name]]="","",IF(Tasks[[#This Row],[_IsSummary]],SUM(INDEX(Tasks[_LeafAC],Tasks[[#This Row],[_Row]]+1):INDEX(Tasks[_LeafAC],Tasks[[#This Row],[_Row]]+Tasks[[#This Row],[_Descendants]])),Tasks[[#This Row],[_LeafAC]]))</f>
        <v/>
      </c>
      <c r="BJ88" s="41" t="str">
        <f aca="false">IF(Tasks[[#This Row],[Task Name]]="","",MAX(1,N(Tasks[[#This Row],[Level]])))</f>
        <v/>
      </c>
      <c r="BK88" s="41" t="n">
        <f aca="false">ROW()-ROW(Tasks[[#Headers],[ID]])</f>
        <v>83</v>
      </c>
      <c r="BL88" s="41" t="n">
        <f aca="false">IF(OR(Tasks[[#This Row],[Task Name]]="",Tasks[[#This Row],[_Level]]&lt;=1),0,IFERROR(LOOKUP(2,1/(Tasks[[#Headers],[_Level]]:Tasks[[#This Row],[_Level]]=Tasks[[#This Row],[_Level]]-1),ROW(Tasks[[#Headers],[_Level]]:Tasks[[#This Row],[_Level]])),0))</f>
        <v>0</v>
      </c>
      <c r="BM88" s="41" t="n">
        <f aca="false">IFERROR(N(INDEX(Tasks[_Level],Tasks[[#This Row],[_Row]]+1)),0)</f>
        <v>0</v>
      </c>
      <c r="BN88" s="102" t="b">
        <f aca="false">AND(Tasks[[#This Row],[Task Name]]&lt;&gt;"",Tasks[[#This Row],[_NextLevel]]&gt;Tasks[[#This Row],[_Level]])</f>
        <v>0</v>
      </c>
      <c r="BO88" s="41" t="n">
        <f aca="false">IF(Tasks[[#This Row],[_IsSummary]],COUNTIF(Tasks[WBS],Tasks[[#This Row],[WBS]]&amp;".*"),0)</f>
        <v>0</v>
      </c>
      <c r="BP88" s="41" t="n">
        <f aca="false">IF(AND(Tasks[[#This Row],[Task Name]]&lt;&gt;"",NOT(Tasks[[#This Row],[_IsSummary]])),1,0)</f>
        <v>0</v>
      </c>
      <c r="BQ88" s="41" t="n">
        <f aca="false">IF(N(Tasks[[#This Row],[Pred1 UID]])=0,0,IFERROR(MATCH(Tasks[[#This Row],[Pred1 UID]],Tasks[UID],0),-1))</f>
        <v>0</v>
      </c>
      <c r="BR88" s="41" t="n">
        <f aca="false">IF(N(Tasks[[#This Row],[Pred2 UID]])=0,0,IFERROR(MATCH(Tasks[[#This Row],[Pred2 UID]],Tasks[UID],0),-1))</f>
        <v>0</v>
      </c>
      <c r="BS8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8" s="103" t="str">
        <f aca="false">IF(NOT(Tasks[[#This Row],[_IsLeaf]]=1),"",IF(N(Tasks[[#This Row],[Duration]])&lt;=0,Tasks[[#This Row],[_LeafCalcStart]],WORKDAY.INTL(Tasks[[#This Row],[_LeafCalcStart]],Tasks[[#This Row],[Duration]]-1,WorkWeek,Holidays)))</f>
        <v/>
      </c>
      <c r="BU8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8" s="41" t="n">
        <f aca="false">IF(NOT(Tasks[[#This Row],[_IsLeaf]]=1),0,IF(N(Tasks[[#This Row],[Actual Finish]])&gt;0,1,MIN(1,N(Tasks[[#This Row],[% Complete]]))))</f>
        <v>0</v>
      </c>
      <c r="BX88" s="41" t="n">
        <f aca="false">IF(OR(NOT(Tasks[[#This Row],[_IsLeaf]]=1),Tasks[[#This Row],[Resource]]=""),0,N(Tasks[[#This Row],[Duration]])*HoursPerDay*IF(Tasks[[#This Row],[Units]]="",DefaultUnits,Tasks[[#This Row],[Units]]))</f>
        <v>0</v>
      </c>
      <c r="BY88" s="41" t="n">
        <f aca="false">IF(Tasks[[#This Row],[_LeafWork]]=0,0,Tasks[[#This Row],[_LeafWork]]*IFERROR(INDEX(res_Rate,MATCH(Tasks[[#This Row],[Resource]],res_Name,0)),0))</f>
        <v>0</v>
      </c>
      <c r="BZ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8" s="41" t="n">
        <f aca="false">IF(NOT(Tasks[[#This Row],[_IsLeaf]]=1),0,MAX(_xlfn.MAXIFS(Tasks[_Row],Tasks[Pred1 UID],Tasks[[#This Row],[UID]]),_xlfn.MAXIFS(Tasks[_Row],Tasks[Pred2 UID],Tasks[[#This Row],[UID]])))</f>
        <v>0</v>
      </c>
      <c r="CE8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8" s="103" t="str">
        <f aca="false">IF(NOT(Tasks[[#This Row],[_IsLeaf]]=1),"",MIN(ProjectFinish,IF(N(Tasks[[#This Row],[Deadline]])&gt;0,Tasks[[#This Row],[Deadline]],2958465),Tasks[[#This Row],[_SuccessorFinishLimit]]))</f>
        <v/>
      </c>
      <c r="CG88" s="103" t="str">
        <f aca="false">IF(NOT(Tasks[[#This Row],[_IsLeaf]]=1),"",IF(N(Tasks[[#This Row],[Duration]])&lt;=0,Tasks[[#This Row],[_LeafLateFinish]],WORKDAY.INTL(Tasks[[#This Row],[_LeafLateFinish]],-(Tasks[[#This Row],[Duration]]-1),WorkWeek,Holidays)))</f>
        <v/>
      </c>
      <c r="CH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8" s="102" t="b">
        <f aca="false">AND(Tasks[[#This Row],[_IsLeaf]]=1,Tasks[[#This Row],[_LeafProgress]]&lt;1,N(Tasks[[#This Row],[_LeafTotalSlack]])&lt;=CriticalSlackDays)</f>
        <v>0</v>
      </c>
      <c r="CJ88" s="103" t="str">
        <f aca="false">IF(Tasks[[#This Row],[Task Name]]="","",IF(Tasks[[#This Row],[_IsSummary]],MIN(INDEX(Tasks[_LeafCalcStart],Tasks[[#This Row],[_Row]]+1):INDEX(Tasks[_LeafCalcStart],Tasks[[#This Row],[_Row]]+Tasks[[#This Row],[_Descendants]])),Tasks[[#This Row],[_LeafCalcStart]]))</f>
        <v/>
      </c>
      <c r="CK88" s="103" t="str">
        <f aca="false">IF(Tasks[[#This Row],[Task Name]]="","",IF(Tasks[[#This Row],[_IsSummary]],MAX(INDEX(Tasks[_LeafCalcFinish],Tasks[[#This Row],[_Row]]+1):INDEX(Tasks[_LeafCalcFinish],Tasks[[#This Row],[_Row]]+Tasks[[#This Row],[_Descendants]])),Tasks[[#This Row],[_LeafCalcFinish]]))</f>
        <v/>
      </c>
      <c r="CL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8" s="41" t="n">
        <f aca="false">IF(AND(Tasks[[#This Row],[_IsLeaf]]=1,Tasks[[#This Row],[_LeafWork]]&gt;0),NETWORKDAYS.INTL(ProjectStart,Tasks[[#This Row],[_LeafFcstStart]],WorkWeek,Holidays),0)</f>
        <v>0</v>
      </c>
      <c r="CS88" s="41" t="n">
        <f aca="false">IF(AND(Tasks[[#This Row],[_IsLeaf]]=1,Tasks[[#This Row],[_LeafWork]]&gt;0),MAX(Tasks[[#This Row],[_StartWorkday]],NETWORKDAYS.INTL(ProjectStart,Tasks[[#This Row],[_LeafFcstFinish]],WorkWeek,Holidays)),0)</f>
        <v>0</v>
      </c>
      <c r="CT88" s="41" t="n">
        <f aca="false">IF(AND(Tasks[[#This Row],[_IsLeaf]]=1,Tasks[[#This Row],[_LeafWork]]&gt;0),Tasks[[#This Row],[_LeafWork]]/(Tasks[[#This Row],[_FinishWorkday]]-Tasks[[#This Row],[_StartWorkday]]+1),0)</f>
        <v>0</v>
      </c>
      <c r="CU88" s="41" t="n">
        <f aca="false">Tasks[[#This Row],[_WorkPerWorkday]]*(Tasks[[#This Row],[_StartWorkday]]-1)</f>
        <v>-0</v>
      </c>
      <c r="CV88" s="41" t="n">
        <f aca="false">IF(Tasks[[#This Row],[_IsLeaf]]=1,MAX(N(Tasks[[#This Row],[Duration]]),0.1),0)</f>
        <v>0</v>
      </c>
      <c r="CW88" s="41" t="n">
        <f aca="false">Tasks[[#This Row],[_WeightDur]]*Tasks[[#This Row],[_LeafProgress]]</f>
        <v>0</v>
      </c>
      <c r="CX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8" s="41" t="str">
        <f aca="false">IF(Tasks[[#This Row],[Task Name]]="","",Tasks[[#This Row],[_Pred1UIDText]]&amp;IF(AND(Tasks[[#This Row],[_Pred1UIDText]]&lt;&gt;"",Tasks[[#This Row],[_Pred2UIDText]]&lt;&gt;""),",","")&amp;Tasks[[#This Row],[_Pred2UIDText]])</f>
        <v/>
      </c>
      <c r="DC88" s="41" t="str">
        <f aca="false">IF(AND(Tasks[[#This Row],[_IsLeaf]]=1,N(Tasks[[#This Row],[Duration]])=0,Tasks[[#This Row],[_LeafProgress]]&lt;1),Tasks[[#This Row],[_LeafFcstFinish]]+Tasks[[#This Row],[_Row]]/100000,"")</f>
        <v/>
      </c>
      <c r="DD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8" s="41" t="n">
        <f aca="false">IF(NOT(Tasks[[#This Row],[_IsLeaf]]=1),0,IF(Tasks[[#This Row],[Baseline Cost]]="",Tasks[[#This Row],[_LeafCost]],N(Tasks[[#This Row],[Baseline Cost]])))</f>
        <v>0</v>
      </c>
      <c r="DF88" s="41" t="n">
        <f aca="false">Tasks[[#This Row],[_LeafBudget]]*Tasks[[#This Row],[_PlannedPct]]</f>
        <v>0</v>
      </c>
      <c r="DG88" s="41" t="n">
        <f aca="false">Tasks[[#This Row],[_LeafBudget]]*Tasks[[#This Row],[_LeafProgress]]</f>
        <v>0</v>
      </c>
      <c r="DH88" s="41" t="n">
        <f aca="false">IF(NOT(Tasks[[#This Row],[_IsLeaf]]=1),0,IF(Tasks[[#This Row],[Actual Cost]]="",Tasks[[#This Row],[_LeafCost]]*Tasks[[#This Row],[_LeafProgress]],N(Tasks[[#This Row],[Actual Cost]])))</f>
        <v>0</v>
      </c>
      <c r="DI88" s="41" t="str">
        <f aca="false">IF(Tasks[[#This Row],[Task Name]]="","",LEFT(Tasks[[#This Row],[WBS]],FIND(".",Tasks[[#This Row],[WBS]]&amp;".")-1))</f>
        <v/>
      </c>
      <c r="DJ88" s="41" t="str">
        <f aca="false">IF(AND(Tasks[[#This Row],[Task Name]]&lt;&gt;"",Tasks[[#This Row],[_Level]]=1),Tasks[[#This Row],[_Row]],"")</f>
        <v/>
      </c>
      <c r="DK88" s="41" t="str">
        <f aca="false">IF(AND(Tasks[[#This Row],[_IsLeaf]]=1,N(Tasks[[#This Row],[Duration]])=0),Tasks[[#This Row],[Planned Finish]]+Tasks[[#This Row],[_Row]]/100000,"")</f>
        <v/>
      </c>
      <c r="DL88" s="41" t="str">
        <f aca="false">IF(AND(Tasks[[#This Row],[_IsLeaf]]=1,Tasks[[#This Row],[_LeafProgress]]&lt;1,OR(N(Tasks[[#This Row],[Finish Var]])&gt;0,Tasks[[#This Row],[Status]]="Late Start")),MAX(0,Tasks[[#This Row],[Finish Var]])+1-Tasks[[#This Row],[_Row]]/1000000,"")</f>
        <v/>
      </c>
      <c r="DM88" s="41" t="str">
        <f aca="false">IF(AND(Tasks[[#This Row],[_IsLeaf]]=1,N(Tasks[[#This Row],[Actual Start]])=0,Tasks[[#This Row],[_LeafFcstStart]]&gt;=StatusDate,Tasks[[#This Row],[_LeafFcstStart]]&lt;=LookaheadEnd),Tasks[[#This Row],[_LeafFcstStart]]+Tasks[[#This Row],[_Row]]/100000,"")</f>
        <v/>
      </c>
      <c r="DN88" s="41" t="str">
        <f aca="false">IF(AND(Tasks[[#This Row],[_IsLeaf]]=1,Tasks[[#This Row],[_LeafProgress]]&lt;1,Tasks[[#This Row],[_LeafFcstFinish]]&gt;=StatusDate,Tasks[[#This Row],[_LeafFcstFinish]]&lt;=LookaheadEnd),Tasks[[#This Row],[_LeafFcstFinish]]+Tasks[[#This Row],[_Row]]/100000,"")</f>
        <v/>
      </c>
      <c r="DO88" s="41" t="str">
        <f aca="false">IF(Tasks[[#This Row],[_LeafCritical]],Tasks[[#This Row],[_LeafFcstStart]]+Tasks[[#This Row],[_Row]]/100000,"")</f>
        <v/>
      </c>
      <c r="DP88" s="41" t="n">
        <f aca="false">Tasks[[#This Row],[_LeafWork]]*Tasks[[#This Row],[_LeafProgress]]</f>
        <v>0</v>
      </c>
      <c r="DQ88" s="103" t="str">
        <f aca="false">IF(AND(Tasks[[#This Row],[_IsLeaf]]=1,Tasks[[#This Row],[_LeafProgress]]&gt;=1),IF(N(Tasks[[#This Row],[Actual Finish]])&gt;0,Tasks[[#This Row],[Actual Finish]],Tasks[[#This Row],[_LeafFcstFinish]]),"")</f>
        <v/>
      </c>
      <c r="DR88" s="41" t="n">
        <f aca="false">IF(Tasks[[#This Row],[_IsLeaf]]=1,N(Tasks[[#This Row],[Story Points]]),0)</f>
        <v>0</v>
      </c>
      <c r="DS88" s="41" t="str">
        <f aca="false">IF(AND(Tasks[[#This Row],[_IsLeaf]]=1,CurrentSprint&lt;&gt;"",Tasks[[#This Row],[Sprint]]=CurrentSprint),Tasks[[#This Row],[_Row]],"")</f>
        <v/>
      </c>
    </row>
    <row r="89" customFormat="false" ht="15" hidden="false" customHeight="false" outlineLevel="0" collapsed="false">
      <c r="A89" s="28" t="str">
        <f aca="false">IF(Tasks[[#This Row],[Task Name]]="","",COUNTA(Tasks[[#Headers],[Task Name]]:Tasks[[#This Row],[Task Name]])-1)</f>
        <v/>
      </c>
      <c r="B89" s="29" t="n">
        <v>84</v>
      </c>
      <c r="C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29"/>
      <c r="E89" s="30"/>
      <c r="F89" s="29"/>
      <c r="G89" s="29"/>
      <c r="H89" s="29"/>
      <c r="I89" s="29"/>
      <c r="J89" s="29"/>
      <c r="K89" s="29"/>
      <c r="L89" s="29"/>
      <c r="M89" s="29"/>
      <c r="N89" s="77"/>
      <c r="O89" s="77"/>
      <c r="P89" s="25" t="str">
        <f aca="false">IF(Tasks[[#This Row],[Task Name]]="","",IF(N(Tasks[[#This Row],[Baseline Start]])&gt;0,Tasks[[#This Row],[Baseline Start]],Tasks[[#This Row],[_CalcStart]]))</f>
        <v/>
      </c>
      <c r="Q89" s="25" t="str">
        <f aca="false">IF(Tasks[[#This Row],[Task Name]]="","",IF(N(Tasks[[#This Row],[Baseline Finish]])&gt;0,Tasks[[#This Row],[Baseline Finish]],Tasks[[#This Row],[_CalcFinish]]))</f>
        <v/>
      </c>
      <c r="R89" s="77"/>
      <c r="S89" s="77"/>
      <c r="T89" s="25" t="str">
        <f aca="false">IF(Tasks[[#This Row],[Task Name]]="","",IF(Tasks[[#This Row],[_IsSummary]],MIN(INDEX(Tasks[_LeafFcstStart],Tasks[[#This Row],[_Row]]+1):INDEX(Tasks[_LeafFcstStart],Tasks[[#This Row],[_Row]]+Tasks[[#This Row],[_Descendants]])),Tasks[[#This Row],[_LeafFcstStart]]))</f>
        <v/>
      </c>
      <c r="U89" s="25" t="str">
        <f aca="false">IF(Tasks[[#This Row],[Task Name]]="","",IF(Tasks[[#This Row],[_IsSummary]],MAX(INDEX(Tasks[_LeafFcstFinish],Tasks[[#This Row],[_Row]]+1):INDEX(Tasks[_LeafFcstFinish],Tasks[[#This Row],[_Row]]+Tasks[[#This Row],[_Descendants]])),Tasks[[#This Row],[_LeafFcstFinish]]))</f>
        <v/>
      </c>
      <c r="V8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8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9" s="25" t="str">
        <f aca="false">IF(Tasks[[#This Row],[Task Name]]="","",IF(Tasks[[#This Row],[_IsSummary]],MIN(INDEX(Tasks[_LeafLateStart],Tasks[[#This Row],[_Row]]+1):INDEX(Tasks[_LeafLateStart],Tasks[[#This Row],[_Row]]+Tasks[[#This Row],[_Descendants]])),Tasks[[#This Row],[_LeafLateStart]]))</f>
        <v/>
      </c>
      <c r="Y89" s="25" t="str">
        <f aca="false">IF(Tasks[[#This Row],[Task Name]]="","",IF(Tasks[[#This Row],[_IsSummary]],MAX(INDEX(Tasks[_LeafLateFinish],Tasks[[#This Row],[_Row]]+1):INDEX(Tasks[_LeafLateFinish],Tasks[[#This Row],[_Row]]+Tasks[[#This Row],[_Descendants]])),Tasks[[#This Row],[_LeafLateFinish]]))</f>
        <v/>
      </c>
      <c r="Z89" s="43" t="str">
        <f aca="false">IF(Tasks[[#This Row],[Task Name]]="","",IF(Tasks[[#This Row],[_IsSummary]],MIN(INDEX(Tasks[_LeafTotalSlack],Tasks[[#This Row],[_Row]]+1):INDEX(Tasks[_LeafTotalSlack],Tasks[[#This Row],[_Row]]+Tasks[[#This Row],[_Descendants]])),Tasks[[#This Row],[_LeafTotalSlack]]))</f>
        <v/>
      </c>
      <c r="AA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9" s="28" t="str">
        <f aca="false">IF(Tasks[[#This Row],[Task Name]]="","",IF(IF(Tasks[[#This Row],[_IsSummary]],COUNTIF(INDEX(Tasks[_LeafCritical],Tasks[[#This Row],[_Row]]+1):INDEX(Tasks[_LeafCritical],Tasks[[#This Row],[_Row]]+Tasks[[#This Row],[_Descendants]]),TRUE())&gt;0,Tasks[[#This Row],[_LeafCritical]]),"Yes",""))</f>
        <v/>
      </c>
      <c r="AC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9" s="24" t="str">
        <f aca="false">IF(Tasks[[#This Row],[Task Name]]="","",TRIM(IF(Tasks[[#This Row],[_Pred1Problem]]&lt;&gt;"","Pred 1: "&amp;Tasks[[#This Row],[_Pred1Problem]]&amp;". ","")&amp;IF(Tasks[[#This Row],[_Pred2Problem]]&lt;&gt;"","Pred 2: "&amp;Tasks[[#This Row],[_Pred2Problem]]&amp;".","")))</f>
        <v/>
      </c>
      <c r="AE89" s="91"/>
      <c r="AF8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9" s="28" t="str">
        <f aca="false">IF(Tasks[[#This Row],[Task Name]]="","",IF(Tasks[[#This Row],[Progress]]&gt;=1,"Complete",IF(OR(N(Tasks[[#This Row],[Actual Start]])&gt;0,Tasks[[#This Row],[Progress]]&gt;0),IF(Tasks[[#This Row],[Finish Var]]&gt;0,"Behind","In Progress"),IF(Tasks[[#This Row],[Planned Start]]&lt;StatusDate,"Late Start","Not Started"))))</f>
        <v/>
      </c>
      <c r="AH89" s="30"/>
      <c r="AI89" s="91"/>
      <c r="AJ8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9" s="98" t="str">
        <f aca="false">IF(Tasks[[#This Row],[Task Name]]="","",IF(Tasks[[#This Row],[_IsSummary]],SUM(INDEX(Tasks[_LeafWork],Tasks[[#This Row],[_Row]]+1):INDEX(Tasks[_LeafWork],Tasks[[#This Row],[_Row]]+Tasks[[#This Row],[_Descendants]])),Tasks[[#This Row],[_LeafWork]]))</f>
        <v/>
      </c>
      <c r="AL89" s="99" t="str">
        <f aca="false">IF(Tasks[[#This Row],[Task Name]]="","",IF(Tasks[[#This Row],[_IsSummary]],SUM(INDEX(Tasks[_LeafCost],Tasks[[#This Row],[_Row]]+1):INDEX(Tasks[_LeafCost],Tasks[[#This Row],[_Row]]+Tasks[[#This Row],[_Descendants]])),Tasks[[#This Row],[_LeafCost]]))</f>
        <v/>
      </c>
      <c r="AM89" s="100"/>
      <c r="AN89" s="29"/>
      <c r="AO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9" s="85"/>
      <c r="AQ89" s="24" t="str">
        <f aca="false">IF(Tasks[[#This Row],[Task Name]]="","",Tasks[[#This Row],[_Pred1IDText]]&amp;IF(AND(Tasks[[#This Row],[_Pred1IDText]]&lt;&gt;"",Tasks[[#This Row],[_Pred2IDText]]&lt;&gt;""),",","")&amp;Tasks[[#This Row],[_Pred2IDText]])</f>
        <v/>
      </c>
      <c r="AR89" s="30"/>
      <c r="AS89" s="25" t="str">
        <f aca="false">IF(Tasks[[#This Row],[Task Name]]="","",Tasks[[#This Row],[Forecast Start]])</f>
        <v/>
      </c>
      <c r="AT89" s="25" t="str">
        <f aca="false">IF(Tasks[[#This Row],[Task Name]]="","",Tasks[[#This Row],[Forecast Finish]])</f>
        <v/>
      </c>
      <c r="AU89" s="28" t="str">
        <f aca="false">IF(Tasks[[#This Row],[Task Name]]="","",IF(Tasks[[#This Row],[_IsSummary]],NETWORKDAYS.INTL(Tasks[[#This Row],[Forecast Start]],Tasks[[#This Row],[Forecast Finish]],WorkWeek,Holidays),N(Tasks[[#This Row],[Duration]])))</f>
        <v/>
      </c>
      <c r="AV89" s="98" t="str">
        <f aca="false">IF(Tasks[[#This Row],[Task Name]]="","",Tasks[[#This Row],[Work]])</f>
        <v/>
      </c>
      <c r="AW89" s="99" t="str">
        <f aca="false">IF(Tasks[[#This Row],[Task Name]]="","",Tasks[[#This Row],[Cost]])</f>
        <v/>
      </c>
      <c r="AX89" s="77"/>
      <c r="AY89" s="77"/>
      <c r="AZ89" s="29"/>
      <c r="BA89" s="101"/>
      <c r="BB89" s="100"/>
      <c r="BC89" s="28" t="str">
        <f aca="false">IF(OR(Tasks[[#This Row],[Task Name]]="",Tasks[[#This Row],[Baseline Duration]]=""),"",Tasks[[#This Row],[BL Source Duration]]-N(Tasks[[#This Row],[Baseline Duration]]))</f>
        <v/>
      </c>
      <c r="BD89" s="98" t="str">
        <f aca="false">IF(OR(Tasks[[#This Row],[Task Name]]="",Tasks[[#This Row],[Baseline Work]]=""),"",Tasks[[#This Row],[Work]]-N(Tasks[[#This Row],[Baseline Work]]))</f>
        <v/>
      </c>
      <c r="BE89" s="99" t="str">
        <f aca="false">IF(OR(Tasks[[#This Row],[Task Name]]="",Tasks[[#This Row],[Baseline Cost]]=""),"",Tasks[[#This Row],[Cost]]-N(Tasks[[#This Row],[Baseline Cost]]))</f>
        <v/>
      </c>
      <c r="BF89" s="99" t="str">
        <f aca="false">IF(Tasks[[#This Row],[Task Name]]="","",IF(Tasks[[#This Row],[_IsSummary]],SUM(INDEX(Tasks[_LeafBudget],Tasks[[#This Row],[_Row]]+1):INDEX(Tasks[_LeafBudget],Tasks[[#This Row],[_Row]]+Tasks[[#This Row],[_Descendants]])),Tasks[[#This Row],[_LeafBudget]]))</f>
        <v/>
      </c>
      <c r="BG89" s="99" t="str">
        <f aca="false">IF(Tasks[[#This Row],[Task Name]]="","",IF(Tasks[[#This Row],[_IsSummary]],SUM(INDEX(Tasks[_LeafPV],Tasks[[#This Row],[_Row]]+1):INDEX(Tasks[_LeafPV],Tasks[[#This Row],[_Row]]+Tasks[[#This Row],[_Descendants]])),Tasks[[#This Row],[_LeafPV]]))</f>
        <v/>
      </c>
      <c r="BH89" s="99" t="str">
        <f aca="false">IF(Tasks[[#This Row],[Task Name]]="","",IF(Tasks[[#This Row],[_IsSummary]],SUM(INDEX(Tasks[_LeafEV],Tasks[[#This Row],[_Row]]+1):INDEX(Tasks[_LeafEV],Tasks[[#This Row],[_Row]]+Tasks[[#This Row],[_Descendants]])),Tasks[[#This Row],[_LeafEV]]))</f>
        <v/>
      </c>
      <c r="BI89" s="99" t="str">
        <f aca="false">IF(Tasks[[#This Row],[Task Name]]="","",IF(Tasks[[#This Row],[_IsSummary]],SUM(INDEX(Tasks[_LeafAC],Tasks[[#This Row],[_Row]]+1):INDEX(Tasks[_LeafAC],Tasks[[#This Row],[_Row]]+Tasks[[#This Row],[_Descendants]])),Tasks[[#This Row],[_LeafAC]]))</f>
        <v/>
      </c>
      <c r="BJ89" s="41" t="str">
        <f aca="false">IF(Tasks[[#This Row],[Task Name]]="","",MAX(1,N(Tasks[[#This Row],[Level]])))</f>
        <v/>
      </c>
      <c r="BK89" s="41" t="n">
        <f aca="false">ROW()-ROW(Tasks[[#Headers],[ID]])</f>
        <v>84</v>
      </c>
      <c r="BL89" s="41" t="n">
        <f aca="false">IF(OR(Tasks[[#This Row],[Task Name]]="",Tasks[[#This Row],[_Level]]&lt;=1),0,IFERROR(LOOKUP(2,1/(Tasks[[#Headers],[_Level]]:Tasks[[#This Row],[_Level]]=Tasks[[#This Row],[_Level]]-1),ROW(Tasks[[#Headers],[_Level]]:Tasks[[#This Row],[_Level]])),0))</f>
        <v>0</v>
      </c>
      <c r="BM89" s="41" t="n">
        <f aca="false">IFERROR(N(INDEX(Tasks[_Level],Tasks[[#This Row],[_Row]]+1)),0)</f>
        <v>0</v>
      </c>
      <c r="BN89" s="102" t="b">
        <f aca="false">AND(Tasks[[#This Row],[Task Name]]&lt;&gt;"",Tasks[[#This Row],[_NextLevel]]&gt;Tasks[[#This Row],[_Level]])</f>
        <v>0</v>
      </c>
      <c r="BO89" s="41" t="n">
        <f aca="false">IF(Tasks[[#This Row],[_IsSummary]],COUNTIF(Tasks[WBS],Tasks[[#This Row],[WBS]]&amp;".*"),0)</f>
        <v>0</v>
      </c>
      <c r="BP89" s="41" t="n">
        <f aca="false">IF(AND(Tasks[[#This Row],[Task Name]]&lt;&gt;"",NOT(Tasks[[#This Row],[_IsSummary]])),1,0)</f>
        <v>0</v>
      </c>
      <c r="BQ89" s="41" t="n">
        <f aca="false">IF(N(Tasks[[#This Row],[Pred1 UID]])=0,0,IFERROR(MATCH(Tasks[[#This Row],[Pred1 UID]],Tasks[UID],0),-1))</f>
        <v>0</v>
      </c>
      <c r="BR89" s="41" t="n">
        <f aca="false">IF(N(Tasks[[#This Row],[Pred2 UID]])=0,0,IFERROR(MATCH(Tasks[[#This Row],[Pred2 UID]],Tasks[UID],0),-1))</f>
        <v>0</v>
      </c>
      <c r="BS8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9" s="103" t="str">
        <f aca="false">IF(NOT(Tasks[[#This Row],[_IsLeaf]]=1),"",IF(N(Tasks[[#This Row],[Duration]])&lt;=0,Tasks[[#This Row],[_LeafCalcStart]],WORKDAY.INTL(Tasks[[#This Row],[_LeafCalcStart]],Tasks[[#This Row],[Duration]]-1,WorkWeek,Holidays)))</f>
        <v/>
      </c>
      <c r="BU8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9" s="41" t="n">
        <f aca="false">IF(NOT(Tasks[[#This Row],[_IsLeaf]]=1),0,IF(N(Tasks[[#This Row],[Actual Finish]])&gt;0,1,MIN(1,N(Tasks[[#This Row],[% Complete]]))))</f>
        <v>0</v>
      </c>
      <c r="BX89" s="41" t="n">
        <f aca="false">IF(OR(NOT(Tasks[[#This Row],[_IsLeaf]]=1),Tasks[[#This Row],[Resource]]=""),0,N(Tasks[[#This Row],[Duration]])*HoursPerDay*IF(Tasks[[#This Row],[Units]]="",DefaultUnits,Tasks[[#This Row],[Units]]))</f>
        <v>0</v>
      </c>
      <c r="BY89" s="41" t="n">
        <f aca="false">IF(Tasks[[#This Row],[_LeafWork]]=0,0,Tasks[[#This Row],[_LeafWork]]*IFERROR(INDEX(res_Rate,MATCH(Tasks[[#This Row],[Resource]],res_Name,0)),0))</f>
        <v>0</v>
      </c>
      <c r="BZ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9" s="41" t="n">
        <f aca="false">IF(NOT(Tasks[[#This Row],[_IsLeaf]]=1),0,MAX(_xlfn.MAXIFS(Tasks[_Row],Tasks[Pred1 UID],Tasks[[#This Row],[UID]]),_xlfn.MAXIFS(Tasks[_Row],Tasks[Pred2 UID],Tasks[[#This Row],[UID]])))</f>
        <v>0</v>
      </c>
      <c r="CE8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9" s="103" t="str">
        <f aca="false">IF(NOT(Tasks[[#This Row],[_IsLeaf]]=1),"",MIN(ProjectFinish,IF(N(Tasks[[#This Row],[Deadline]])&gt;0,Tasks[[#This Row],[Deadline]],2958465),Tasks[[#This Row],[_SuccessorFinishLimit]]))</f>
        <v/>
      </c>
      <c r="CG89" s="103" t="str">
        <f aca="false">IF(NOT(Tasks[[#This Row],[_IsLeaf]]=1),"",IF(N(Tasks[[#This Row],[Duration]])&lt;=0,Tasks[[#This Row],[_LeafLateFinish]],WORKDAY.INTL(Tasks[[#This Row],[_LeafLateFinish]],-(Tasks[[#This Row],[Duration]]-1),WorkWeek,Holidays)))</f>
        <v/>
      </c>
      <c r="CH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9" s="102" t="b">
        <f aca="false">AND(Tasks[[#This Row],[_IsLeaf]]=1,Tasks[[#This Row],[_LeafProgress]]&lt;1,N(Tasks[[#This Row],[_LeafTotalSlack]])&lt;=CriticalSlackDays)</f>
        <v>0</v>
      </c>
      <c r="CJ89" s="103" t="str">
        <f aca="false">IF(Tasks[[#This Row],[Task Name]]="","",IF(Tasks[[#This Row],[_IsSummary]],MIN(INDEX(Tasks[_LeafCalcStart],Tasks[[#This Row],[_Row]]+1):INDEX(Tasks[_LeafCalcStart],Tasks[[#This Row],[_Row]]+Tasks[[#This Row],[_Descendants]])),Tasks[[#This Row],[_LeafCalcStart]]))</f>
        <v/>
      </c>
      <c r="CK89" s="103" t="str">
        <f aca="false">IF(Tasks[[#This Row],[Task Name]]="","",IF(Tasks[[#This Row],[_IsSummary]],MAX(INDEX(Tasks[_LeafCalcFinish],Tasks[[#This Row],[_Row]]+1):INDEX(Tasks[_LeafCalcFinish],Tasks[[#This Row],[_Row]]+Tasks[[#This Row],[_Descendants]])),Tasks[[#This Row],[_LeafCalcFinish]]))</f>
        <v/>
      </c>
      <c r="CL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9" s="41" t="n">
        <f aca="false">IF(AND(Tasks[[#This Row],[_IsLeaf]]=1,Tasks[[#This Row],[_LeafWork]]&gt;0),NETWORKDAYS.INTL(ProjectStart,Tasks[[#This Row],[_LeafFcstStart]],WorkWeek,Holidays),0)</f>
        <v>0</v>
      </c>
      <c r="CS89" s="41" t="n">
        <f aca="false">IF(AND(Tasks[[#This Row],[_IsLeaf]]=1,Tasks[[#This Row],[_LeafWork]]&gt;0),MAX(Tasks[[#This Row],[_StartWorkday]],NETWORKDAYS.INTL(ProjectStart,Tasks[[#This Row],[_LeafFcstFinish]],WorkWeek,Holidays)),0)</f>
        <v>0</v>
      </c>
      <c r="CT89" s="41" t="n">
        <f aca="false">IF(AND(Tasks[[#This Row],[_IsLeaf]]=1,Tasks[[#This Row],[_LeafWork]]&gt;0),Tasks[[#This Row],[_LeafWork]]/(Tasks[[#This Row],[_FinishWorkday]]-Tasks[[#This Row],[_StartWorkday]]+1),0)</f>
        <v>0</v>
      </c>
      <c r="CU89" s="41" t="n">
        <f aca="false">Tasks[[#This Row],[_WorkPerWorkday]]*(Tasks[[#This Row],[_StartWorkday]]-1)</f>
        <v>-0</v>
      </c>
      <c r="CV89" s="41" t="n">
        <f aca="false">IF(Tasks[[#This Row],[_IsLeaf]]=1,MAX(N(Tasks[[#This Row],[Duration]]),0.1),0)</f>
        <v>0</v>
      </c>
      <c r="CW89" s="41" t="n">
        <f aca="false">Tasks[[#This Row],[_WeightDur]]*Tasks[[#This Row],[_LeafProgress]]</f>
        <v>0</v>
      </c>
      <c r="CX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9" s="41" t="str">
        <f aca="false">IF(Tasks[[#This Row],[Task Name]]="","",Tasks[[#This Row],[_Pred1UIDText]]&amp;IF(AND(Tasks[[#This Row],[_Pred1UIDText]]&lt;&gt;"",Tasks[[#This Row],[_Pred2UIDText]]&lt;&gt;""),",","")&amp;Tasks[[#This Row],[_Pred2UIDText]])</f>
        <v/>
      </c>
      <c r="DC89" s="41" t="str">
        <f aca="false">IF(AND(Tasks[[#This Row],[_IsLeaf]]=1,N(Tasks[[#This Row],[Duration]])=0,Tasks[[#This Row],[_LeafProgress]]&lt;1),Tasks[[#This Row],[_LeafFcstFinish]]+Tasks[[#This Row],[_Row]]/100000,"")</f>
        <v/>
      </c>
      <c r="DD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9" s="41" t="n">
        <f aca="false">IF(NOT(Tasks[[#This Row],[_IsLeaf]]=1),0,IF(Tasks[[#This Row],[Baseline Cost]]="",Tasks[[#This Row],[_LeafCost]],N(Tasks[[#This Row],[Baseline Cost]])))</f>
        <v>0</v>
      </c>
      <c r="DF89" s="41" t="n">
        <f aca="false">Tasks[[#This Row],[_LeafBudget]]*Tasks[[#This Row],[_PlannedPct]]</f>
        <v>0</v>
      </c>
      <c r="DG89" s="41" t="n">
        <f aca="false">Tasks[[#This Row],[_LeafBudget]]*Tasks[[#This Row],[_LeafProgress]]</f>
        <v>0</v>
      </c>
      <c r="DH89" s="41" t="n">
        <f aca="false">IF(NOT(Tasks[[#This Row],[_IsLeaf]]=1),0,IF(Tasks[[#This Row],[Actual Cost]]="",Tasks[[#This Row],[_LeafCost]]*Tasks[[#This Row],[_LeafProgress]],N(Tasks[[#This Row],[Actual Cost]])))</f>
        <v>0</v>
      </c>
      <c r="DI89" s="41" t="str">
        <f aca="false">IF(Tasks[[#This Row],[Task Name]]="","",LEFT(Tasks[[#This Row],[WBS]],FIND(".",Tasks[[#This Row],[WBS]]&amp;".")-1))</f>
        <v/>
      </c>
      <c r="DJ89" s="41" t="str">
        <f aca="false">IF(AND(Tasks[[#This Row],[Task Name]]&lt;&gt;"",Tasks[[#This Row],[_Level]]=1),Tasks[[#This Row],[_Row]],"")</f>
        <v/>
      </c>
      <c r="DK89" s="41" t="str">
        <f aca="false">IF(AND(Tasks[[#This Row],[_IsLeaf]]=1,N(Tasks[[#This Row],[Duration]])=0),Tasks[[#This Row],[Planned Finish]]+Tasks[[#This Row],[_Row]]/100000,"")</f>
        <v/>
      </c>
      <c r="DL89" s="41" t="str">
        <f aca="false">IF(AND(Tasks[[#This Row],[_IsLeaf]]=1,Tasks[[#This Row],[_LeafProgress]]&lt;1,OR(N(Tasks[[#This Row],[Finish Var]])&gt;0,Tasks[[#This Row],[Status]]="Late Start")),MAX(0,Tasks[[#This Row],[Finish Var]])+1-Tasks[[#This Row],[_Row]]/1000000,"")</f>
        <v/>
      </c>
      <c r="DM89" s="41" t="str">
        <f aca="false">IF(AND(Tasks[[#This Row],[_IsLeaf]]=1,N(Tasks[[#This Row],[Actual Start]])=0,Tasks[[#This Row],[_LeafFcstStart]]&gt;=StatusDate,Tasks[[#This Row],[_LeafFcstStart]]&lt;=LookaheadEnd),Tasks[[#This Row],[_LeafFcstStart]]+Tasks[[#This Row],[_Row]]/100000,"")</f>
        <v/>
      </c>
      <c r="DN89" s="41" t="str">
        <f aca="false">IF(AND(Tasks[[#This Row],[_IsLeaf]]=1,Tasks[[#This Row],[_LeafProgress]]&lt;1,Tasks[[#This Row],[_LeafFcstFinish]]&gt;=StatusDate,Tasks[[#This Row],[_LeafFcstFinish]]&lt;=LookaheadEnd),Tasks[[#This Row],[_LeafFcstFinish]]+Tasks[[#This Row],[_Row]]/100000,"")</f>
        <v/>
      </c>
      <c r="DO89" s="41" t="str">
        <f aca="false">IF(Tasks[[#This Row],[_LeafCritical]],Tasks[[#This Row],[_LeafFcstStart]]+Tasks[[#This Row],[_Row]]/100000,"")</f>
        <v/>
      </c>
      <c r="DP89" s="41" t="n">
        <f aca="false">Tasks[[#This Row],[_LeafWork]]*Tasks[[#This Row],[_LeafProgress]]</f>
        <v>0</v>
      </c>
      <c r="DQ89" s="103" t="str">
        <f aca="false">IF(AND(Tasks[[#This Row],[_IsLeaf]]=1,Tasks[[#This Row],[_LeafProgress]]&gt;=1),IF(N(Tasks[[#This Row],[Actual Finish]])&gt;0,Tasks[[#This Row],[Actual Finish]],Tasks[[#This Row],[_LeafFcstFinish]]),"")</f>
        <v/>
      </c>
      <c r="DR89" s="41" t="n">
        <f aca="false">IF(Tasks[[#This Row],[_IsLeaf]]=1,N(Tasks[[#This Row],[Story Points]]),0)</f>
        <v>0</v>
      </c>
      <c r="DS89" s="41" t="str">
        <f aca="false">IF(AND(Tasks[[#This Row],[_IsLeaf]]=1,CurrentSprint&lt;&gt;"",Tasks[[#This Row],[Sprint]]=CurrentSprint),Tasks[[#This Row],[_Row]],"")</f>
        <v/>
      </c>
    </row>
    <row r="90" customFormat="false" ht="15" hidden="false" customHeight="false" outlineLevel="0" collapsed="false">
      <c r="A90" s="28" t="str">
        <f aca="false">IF(Tasks[[#This Row],[Task Name]]="","",COUNTA(Tasks[[#Headers],[Task Name]]:Tasks[[#This Row],[Task Name]])-1)</f>
        <v/>
      </c>
      <c r="B90" s="29" t="n">
        <v>85</v>
      </c>
      <c r="C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29"/>
      <c r="E90" s="30"/>
      <c r="F90" s="29"/>
      <c r="G90" s="29"/>
      <c r="H90" s="29"/>
      <c r="I90" s="29"/>
      <c r="J90" s="29"/>
      <c r="K90" s="29"/>
      <c r="L90" s="29"/>
      <c r="M90" s="29"/>
      <c r="N90" s="77"/>
      <c r="O90" s="77"/>
      <c r="P90" s="25" t="str">
        <f aca="false">IF(Tasks[[#This Row],[Task Name]]="","",IF(N(Tasks[[#This Row],[Baseline Start]])&gt;0,Tasks[[#This Row],[Baseline Start]],Tasks[[#This Row],[_CalcStart]]))</f>
        <v/>
      </c>
      <c r="Q90" s="25" t="str">
        <f aca="false">IF(Tasks[[#This Row],[Task Name]]="","",IF(N(Tasks[[#This Row],[Baseline Finish]])&gt;0,Tasks[[#This Row],[Baseline Finish]],Tasks[[#This Row],[_CalcFinish]]))</f>
        <v/>
      </c>
      <c r="R90" s="77"/>
      <c r="S90" s="77"/>
      <c r="T90" s="25" t="str">
        <f aca="false">IF(Tasks[[#This Row],[Task Name]]="","",IF(Tasks[[#This Row],[_IsSummary]],MIN(INDEX(Tasks[_LeafFcstStart],Tasks[[#This Row],[_Row]]+1):INDEX(Tasks[_LeafFcstStart],Tasks[[#This Row],[_Row]]+Tasks[[#This Row],[_Descendants]])),Tasks[[#This Row],[_LeafFcstStart]]))</f>
        <v/>
      </c>
      <c r="U90" s="25" t="str">
        <f aca="false">IF(Tasks[[#This Row],[Task Name]]="","",IF(Tasks[[#This Row],[_IsSummary]],MAX(INDEX(Tasks[_LeafFcstFinish],Tasks[[#This Row],[_Row]]+1):INDEX(Tasks[_LeafFcstFinish],Tasks[[#This Row],[_Row]]+Tasks[[#This Row],[_Descendants]])),Tasks[[#This Row],[_LeafFcstFinish]]))</f>
        <v/>
      </c>
      <c r="V9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0" s="25" t="str">
        <f aca="false">IF(Tasks[[#This Row],[Task Name]]="","",IF(Tasks[[#This Row],[_IsSummary]],MIN(INDEX(Tasks[_LeafLateStart],Tasks[[#This Row],[_Row]]+1):INDEX(Tasks[_LeafLateStart],Tasks[[#This Row],[_Row]]+Tasks[[#This Row],[_Descendants]])),Tasks[[#This Row],[_LeafLateStart]]))</f>
        <v/>
      </c>
      <c r="Y90" s="25" t="str">
        <f aca="false">IF(Tasks[[#This Row],[Task Name]]="","",IF(Tasks[[#This Row],[_IsSummary]],MAX(INDEX(Tasks[_LeafLateFinish],Tasks[[#This Row],[_Row]]+1):INDEX(Tasks[_LeafLateFinish],Tasks[[#This Row],[_Row]]+Tasks[[#This Row],[_Descendants]])),Tasks[[#This Row],[_LeafLateFinish]]))</f>
        <v/>
      </c>
      <c r="Z90" s="43" t="str">
        <f aca="false">IF(Tasks[[#This Row],[Task Name]]="","",IF(Tasks[[#This Row],[_IsSummary]],MIN(INDEX(Tasks[_LeafTotalSlack],Tasks[[#This Row],[_Row]]+1):INDEX(Tasks[_LeafTotalSlack],Tasks[[#This Row],[_Row]]+Tasks[[#This Row],[_Descendants]])),Tasks[[#This Row],[_LeafTotalSlack]]))</f>
        <v/>
      </c>
      <c r="AA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0" s="28" t="str">
        <f aca="false">IF(Tasks[[#This Row],[Task Name]]="","",IF(IF(Tasks[[#This Row],[_IsSummary]],COUNTIF(INDEX(Tasks[_LeafCritical],Tasks[[#This Row],[_Row]]+1):INDEX(Tasks[_LeafCritical],Tasks[[#This Row],[_Row]]+Tasks[[#This Row],[_Descendants]]),TRUE())&gt;0,Tasks[[#This Row],[_LeafCritical]]),"Yes",""))</f>
        <v/>
      </c>
      <c r="AC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0" s="24" t="str">
        <f aca="false">IF(Tasks[[#This Row],[Task Name]]="","",TRIM(IF(Tasks[[#This Row],[_Pred1Problem]]&lt;&gt;"","Pred 1: "&amp;Tasks[[#This Row],[_Pred1Problem]]&amp;". ","")&amp;IF(Tasks[[#This Row],[_Pred2Problem]]&lt;&gt;"","Pred 2: "&amp;Tasks[[#This Row],[_Pred2Problem]]&amp;".","")))</f>
        <v/>
      </c>
      <c r="AE90" s="91"/>
      <c r="AF9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0" s="28" t="str">
        <f aca="false">IF(Tasks[[#This Row],[Task Name]]="","",IF(Tasks[[#This Row],[Progress]]&gt;=1,"Complete",IF(OR(N(Tasks[[#This Row],[Actual Start]])&gt;0,Tasks[[#This Row],[Progress]]&gt;0),IF(Tasks[[#This Row],[Finish Var]]&gt;0,"Behind","In Progress"),IF(Tasks[[#This Row],[Planned Start]]&lt;StatusDate,"Late Start","Not Started"))))</f>
        <v/>
      </c>
      <c r="AH90" s="30"/>
      <c r="AI90" s="91"/>
      <c r="AJ9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0" s="98" t="str">
        <f aca="false">IF(Tasks[[#This Row],[Task Name]]="","",IF(Tasks[[#This Row],[_IsSummary]],SUM(INDEX(Tasks[_LeafWork],Tasks[[#This Row],[_Row]]+1):INDEX(Tasks[_LeafWork],Tasks[[#This Row],[_Row]]+Tasks[[#This Row],[_Descendants]])),Tasks[[#This Row],[_LeafWork]]))</f>
        <v/>
      </c>
      <c r="AL90" s="99" t="str">
        <f aca="false">IF(Tasks[[#This Row],[Task Name]]="","",IF(Tasks[[#This Row],[_IsSummary]],SUM(INDEX(Tasks[_LeafCost],Tasks[[#This Row],[_Row]]+1):INDEX(Tasks[_LeafCost],Tasks[[#This Row],[_Row]]+Tasks[[#This Row],[_Descendants]])),Tasks[[#This Row],[_LeafCost]]))</f>
        <v/>
      </c>
      <c r="AM90" s="100"/>
      <c r="AN90" s="29"/>
      <c r="AO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0" s="85"/>
      <c r="AQ90" s="24" t="str">
        <f aca="false">IF(Tasks[[#This Row],[Task Name]]="","",Tasks[[#This Row],[_Pred1IDText]]&amp;IF(AND(Tasks[[#This Row],[_Pred1IDText]]&lt;&gt;"",Tasks[[#This Row],[_Pred2IDText]]&lt;&gt;""),",","")&amp;Tasks[[#This Row],[_Pred2IDText]])</f>
        <v/>
      </c>
      <c r="AR90" s="30"/>
      <c r="AS90" s="25" t="str">
        <f aca="false">IF(Tasks[[#This Row],[Task Name]]="","",Tasks[[#This Row],[Forecast Start]])</f>
        <v/>
      </c>
      <c r="AT90" s="25" t="str">
        <f aca="false">IF(Tasks[[#This Row],[Task Name]]="","",Tasks[[#This Row],[Forecast Finish]])</f>
        <v/>
      </c>
      <c r="AU90" s="28" t="str">
        <f aca="false">IF(Tasks[[#This Row],[Task Name]]="","",IF(Tasks[[#This Row],[_IsSummary]],NETWORKDAYS.INTL(Tasks[[#This Row],[Forecast Start]],Tasks[[#This Row],[Forecast Finish]],WorkWeek,Holidays),N(Tasks[[#This Row],[Duration]])))</f>
        <v/>
      </c>
      <c r="AV90" s="98" t="str">
        <f aca="false">IF(Tasks[[#This Row],[Task Name]]="","",Tasks[[#This Row],[Work]])</f>
        <v/>
      </c>
      <c r="AW90" s="99" t="str">
        <f aca="false">IF(Tasks[[#This Row],[Task Name]]="","",Tasks[[#This Row],[Cost]])</f>
        <v/>
      </c>
      <c r="AX90" s="77"/>
      <c r="AY90" s="77"/>
      <c r="AZ90" s="29"/>
      <c r="BA90" s="101"/>
      <c r="BB90" s="100"/>
      <c r="BC90" s="28" t="str">
        <f aca="false">IF(OR(Tasks[[#This Row],[Task Name]]="",Tasks[[#This Row],[Baseline Duration]]=""),"",Tasks[[#This Row],[BL Source Duration]]-N(Tasks[[#This Row],[Baseline Duration]]))</f>
        <v/>
      </c>
      <c r="BD90" s="98" t="str">
        <f aca="false">IF(OR(Tasks[[#This Row],[Task Name]]="",Tasks[[#This Row],[Baseline Work]]=""),"",Tasks[[#This Row],[Work]]-N(Tasks[[#This Row],[Baseline Work]]))</f>
        <v/>
      </c>
      <c r="BE90" s="99" t="str">
        <f aca="false">IF(OR(Tasks[[#This Row],[Task Name]]="",Tasks[[#This Row],[Baseline Cost]]=""),"",Tasks[[#This Row],[Cost]]-N(Tasks[[#This Row],[Baseline Cost]]))</f>
        <v/>
      </c>
      <c r="BF90" s="99" t="str">
        <f aca="false">IF(Tasks[[#This Row],[Task Name]]="","",IF(Tasks[[#This Row],[_IsSummary]],SUM(INDEX(Tasks[_LeafBudget],Tasks[[#This Row],[_Row]]+1):INDEX(Tasks[_LeafBudget],Tasks[[#This Row],[_Row]]+Tasks[[#This Row],[_Descendants]])),Tasks[[#This Row],[_LeafBudget]]))</f>
        <v/>
      </c>
      <c r="BG90" s="99" t="str">
        <f aca="false">IF(Tasks[[#This Row],[Task Name]]="","",IF(Tasks[[#This Row],[_IsSummary]],SUM(INDEX(Tasks[_LeafPV],Tasks[[#This Row],[_Row]]+1):INDEX(Tasks[_LeafPV],Tasks[[#This Row],[_Row]]+Tasks[[#This Row],[_Descendants]])),Tasks[[#This Row],[_LeafPV]]))</f>
        <v/>
      </c>
      <c r="BH90" s="99" t="str">
        <f aca="false">IF(Tasks[[#This Row],[Task Name]]="","",IF(Tasks[[#This Row],[_IsSummary]],SUM(INDEX(Tasks[_LeafEV],Tasks[[#This Row],[_Row]]+1):INDEX(Tasks[_LeafEV],Tasks[[#This Row],[_Row]]+Tasks[[#This Row],[_Descendants]])),Tasks[[#This Row],[_LeafEV]]))</f>
        <v/>
      </c>
      <c r="BI90" s="99" t="str">
        <f aca="false">IF(Tasks[[#This Row],[Task Name]]="","",IF(Tasks[[#This Row],[_IsSummary]],SUM(INDEX(Tasks[_LeafAC],Tasks[[#This Row],[_Row]]+1):INDEX(Tasks[_LeafAC],Tasks[[#This Row],[_Row]]+Tasks[[#This Row],[_Descendants]])),Tasks[[#This Row],[_LeafAC]]))</f>
        <v/>
      </c>
      <c r="BJ90" s="41" t="str">
        <f aca="false">IF(Tasks[[#This Row],[Task Name]]="","",MAX(1,N(Tasks[[#This Row],[Level]])))</f>
        <v/>
      </c>
      <c r="BK90" s="41" t="n">
        <f aca="false">ROW()-ROW(Tasks[[#Headers],[ID]])</f>
        <v>85</v>
      </c>
      <c r="BL90" s="41" t="n">
        <f aca="false">IF(OR(Tasks[[#This Row],[Task Name]]="",Tasks[[#This Row],[_Level]]&lt;=1),0,IFERROR(LOOKUP(2,1/(Tasks[[#Headers],[_Level]]:Tasks[[#This Row],[_Level]]=Tasks[[#This Row],[_Level]]-1),ROW(Tasks[[#Headers],[_Level]]:Tasks[[#This Row],[_Level]])),0))</f>
        <v>0</v>
      </c>
      <c r="BM90" s="41" t="n">
        <f aca="false">IFERROR(N(INDEX(Tasks[_Level],Tasks[[#This Row],[_Row]]+1)),0)</f>
        <v>0</v>
      </c>
      <c r="BN90" s="102" t="b">
        <f aca="false">AND(Tasks[[#This Row],[Task Name]]&lt;&gt;"",Tasks[[#This Row],[_NextLevel]]&gt;Tasks[[#This Row],[_Level]])</f>
        <v>0</v>
      </c>
      <c r="BO90" s="41" t="n">
        <f aca="false">IF(Tasks[[#This Row],[_IsSummary]],COUNTIF(Tasks[WBS],Tasks[[#This Row],[WBS]]&amp;".*"),0)</f>
        <v>0</v>
      </c>
      <c r="BP90" s="41" t="n">
        <f aca="false">IF(AND(Tasks[[#This Row],[Task Name]]&lt;&gt;"",NOT(Tasks[[#This Row],[_IsSummary]])),1,0)</f>
        <v>0</v>
      </c>
      <c r="BQ90" s="41" t="n">
        <f aca="false">IF(N(Tasks[[#This Row],[Pred1 UID]])=0,0,IFERROR(MATCH(Tasks[[#This Row],[Pred1 UID]],Tasks[UID],0),-1))</f>
        <v>0</v>
      </c>
      <c r="BR90" s="41" t="n">
        <f aca="false">IF(N(Tasks[[#This Row],[Pred2 UID]])=0,0,IFERROR(MATCH(Tasks[[#This Row],[Pred2 UID]],Tasks[UID],0),-1))</f>
        <v>0</v>
      </c>
      <c r="BS9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0" s="103" t="str">
        <f aca="false">IF(NOT(Tasks[[#This Row],[_IsLeaf]]=1),"",IF(N(Tasks[[#This Row],[Duration]])&lt;=0,Tasks[[#This Row],[_LeafCalcStart]],WORKDAY.INTL(Tasks[[#This Row],[_LeafCalcStart]],Tasks[[#This Row],[Duration]]-1,WorkWeek,Holidays)))</f>
        <v/>
      </c>
      <c r="BU9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0" s="41" t="n">
        <f aca="false">IF(NOT(Tasks[[#This Row],[_IsLeaf]]=1),0,IF(N(Tasks[[#This Row],[Actual Finish]])&gt;0,1,MIN(1,N(Tasks[[#This Row],[% Complete]]))))</f>
        <v>0</v>
      </c>
      <c r="BX90" s="41" t="n">
        <f aca="false">IF(OR(NOT(Tasks[[#This Row],[_IsLeaf]]=1),Tasks[[#This Row],[Resource]]=""),0,N(Tasks[[#This Row],[Duration]])*HoursPerDay*IF(Tasks[[#This Row],[Units]]="",DefaultUnits,Tasks[[#This Row],[Units]]))</f>
        <v>0</v>
      </c>
      <c r="BY90" s="41" t="n">
        <f aca="false">IF(Tasks[[#This Row],[_LeafWork]]=0,0,Tasks[[#This Row],[_LeafWork]]*IFERROR(INDEX(res_Rate,MATCH(Tasks[[#This Row],[Resource]],res_Name,0)),0))</f>
        <v>0</v>
      </c>
      <c r="BZ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0" s="41" t="n">
        <f aca="false">IF(NOT(Tasks[[#This Row],[_IsLeaf]]=1),0,MAX(_xlfn.MAXIFS(Tasks[_Row],Tasks[Pred1 UID],Tasks[[#This Row],[UID]]),_xlfn.MAXIFS(Tasks[_Row],Tasks[Pred2 UID],Tasks[[#This Row],[UID]])))</f>
        <v>0</v>
      </c>
      <c r="CE9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0" s="103" t="str">
        <f aca="false">IF(NOT(Tasks[[#This Row],[_IsLeaf]]=1),"",MIN(ProjectFinish,IF(N(Tasks[[#This Row],[Deadline]])&gt;0,Tasks[[#This Row],[Deadline]],2958465),Tasks[[#This Row],[_SuccessorFinishLimit]]))</f>
        <v/>
      </c>
      <c r="CG90" s="103" t="str">
        <f aca="false">IF(NOT(Tasks[[#This Row],[_IsLeaf]]=1),"",IF(N(Tasks[[#This Row],[Duration]])&lt;=0,Tasks[[#This Row],[_LeafLateFinish]],WORKDAY.INTL(Tasks[[#This Row],[_LeafLateFinish]],-(Tasks[[#This Row],[Duration]]-1),WorkWeek,Holidays)))</f>
        <v/>
      </c>
      <c r="CH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0" s="102" t="b">
        <f aca="false">AND(Tasks[[#This Row],[_IsLeaf]]=1,Tasks[[#This Row],[_LeafProgress]]&lt;1,N(Tasks[[#This Row],[_LeafTotalSlack]])&lt;=CriticalSlackDays)</f>
        <v>0</v>
      </c>
      <c r="CJ90" s="103" t="str">
        <f aca="false">IF(Tasks[[#This Row],[Task Name]]="","",IF(Tasks[[#This Row],[_IsSummary]],MIN(INDEX(Tasks[_LeafCalcStart],Tasks[[#This Row],[_Row]]+1):INDEX(Tasks[_LeafCalcStart],Tasks[[#This Row],[_Row]]+Tasks[[#This Row],[_Descendants]])),Tasks[[#This Row],[_LeafCalcStart]]))</f>
        <v/>
      </c>
      <c r="CK90" s="103" t="str">
        <f aca="false">IF(Tasks[[#This Row],[Task Name]]="","",IF(Tasks[[#This Row],[_IsSummary]],MAX(INDEX(Tasks[_LeafCalcFinish],Tasks[[#This Row],[_Row]]+1):INDEX(Tasks[_LeafCalcFinish],Tasks[[#This Row],[_Row]]+Tasks[[#This Row],[_Descendants]])),Tasks[[#This Row],[_LeafCalcFinish]]))</f>
        <v/>
      </c>
      <c r="CL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0" s="41" t="n">
        <f aca="false">IF(AND(Tasks[[#This Row],[_IsLeaf]]=1,Tasks[[#This Row],[_LeafWork]]&gt;0),NETWORKDAYS.INTL(ProjectStart,Tasks[[#This Row],[_LeafFcstStart]],WorkWeek,Holidays),0)</f>
        <v>0</v>
      </c>
      <c r="CS90" s="41" t="n">
        <f aca="false">IF(AND(Tasks[[#This Row],[_IsLeaf]]=1,Tasks[[#This Row],[_LeafWork]]&gt;0),MAX(Tasks[[#This Row],[_StartWorkday]],NETWORKDAYS.INTL(ProjectStart,Tasks[[#This Row],[_LeafFcstFinish]],WorkWeek,Holidays)),0)</f>
        <v>0</v>
      </c>
      <c r="CT90" s="41" t="n">
        <f aca="false">IF(AND(Tasks[[#This Row],[_IsLeaf]]=1,Tasks[[#This Row],[_LeafWork]]&gt;0),Tasks[[#This Row],[_LeafWork]]/(Tasks[[#This Row],[_FinishWorkday]]-Tasks[[#This Row],[_StartWorkday]]+1),0)</f>
        <v>0</v>
      </c>
      <c r="CU90" s="41" t="n">
        <f aca="false">Tasks[[#This Row],[_WorkPerWorkday]]*(Tasks[[#This Row],[_StartWorkday]]-1)</f>
        <v>-0</v>
      </c>
      <c r="CV90" s="41" t="n">
        <f aca="false">IF(Tasks[[#This Row],[_IsLeaf]]=1,MAX(N(Tasks[[#This Row],[Duration]]),0.1),0)</f>
        <v>0</v>
      </c>
      <c r="CW90" s="41" t="n">
        <f aca="false">Tasks[[#This Row],[_WeightDur]]*Tasks[[#This Row],[_LeafProgress]]</f>
        <v>0</v>
      </c>
      <c r="CX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0" s="41" t="str">
        <f aca="false">IF(Tasks[[#This Row],[Task Name]]="","",Tasks[[#This Row],[_Pred1UIDText]]&amp;IF(AND(Tasks[[#This Row],[_Pred1UIDText]]&lt;&gt;"",Tasks[[#This Row],[_Pred2UIDText]]&lt;&gt;""),",","")&amp;Tasks[[#This Row],[_Pred2UIDText]])</f>
        <v/>
      </c>
      <c r="DC90" s="41" t="str">
        <f aca="false">IF(AND(Tasks[[#This Row],[_IsLeaf]]=1,N(Tasks[[#This Row],[Duration]])=0,Tasks[[#This Row],[_LeafProgress]]&lt;1),Tasks[[#This Row],[_LeafFcstFinish]]+Tasks[[#This Row],[_Row]]/100000,"")</f>
        <v/>
      </c>
      <c r="DD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0" s="41" t="n">
        <f aca="false">IF(NOT(Tasks[[#This Row],[_IsLeaf]]=1),0,IF(Tasks[[#This Row],[Baseline Cost]]="",Tasks[[#This Row],[_LeafCost]],N(Tasks[[#This Row],[Baseline Cost]])))</f>
        <v>0</v>
      </c>
      <c r="DF90" s="41" t="n">
        <f aca="false">Tasks[[#This Row],[_LeafBudget]]*Tasks[[#This Row],[_PlannedPct]]</f>
        <v>0</v>
      </c>
      <c r="DG90" s="41" t="n">
        <f aca="false">Tasks[[#This Row],[_LeafBudget]]*Tasks[[#This Row],[_LeafProgress]]</f>
        <v>0</v>
      </c>
      <c r="DH90" s="41" t="n">
        <f aca="false">IF(NOT(Tasks[[#This Row],[_IsLeaf]]=1),0,IF(Tasks[[#This Row],[Actual Cost]]="",Tasks[[#This Row],[_LeafCost]]*Tasks[[#This Row],[_LeafProgress]],N(Tasks[[#This Row],[Actual Cost]])))</f>
        <v>0</v>
      </c>
      <c r="DI90" s="41" t="str">
        <f aca="false">IF(Tasks[[#This Row],[Task Name]]="","",LEFT(Tasks[[#This Row],[WBS]],FIND(".",Tasks[[#This Row],[WBS]]&amp;".")-1))</f>
        <v/>
      </c>
      <c r="DJ90" s="41" t="str">
        <f aca="false">IF(AND(Tasks[[#This Row],[Task Name]]&lt;&gt;"",Tasks[[#This Row],[_Level]]=1),Tasks[[#This Row],[_Row]],"")</f>
        <v/>
      </c>
      <c r="DK90" s="41" t="str">
        <f aca="false">IF(AND(Tasks[[#This Row],[_IsLeaf]]=1,N(Tasks[[#This Row],[Duration]])=0),Tasks[[#This Row],[Planned Finish]]+Tasks[[#This Row],[_Row]]/100000,"")</f>
        <v/>
      </c>
      <c r="DL90" s="41" t="str">
        <f aca="false">IF(AND(Tasks[[#This Row],[_IsLeaf]]=1,Tasks[[#This Row],[_LeafProgress]]&lt;1,OR(N(Tasks[[#This Row],[Finish Var]])&gt;0,Tasks[[#This Row],[Status]]="Late Start")),MAX(0,Tasks[[#This Row],[Finish Var]])+1-Tasks[[#This Row],[_Row]]/1000000,"")</f>
        <v/>
      </c>
      <c r="DM90" s="41" t="str">
        <f aca="false">IF(AND(Tasks[[#This Row],[_IsLeaf]]=1,N(Tasks[[#This Row],[Actual Start]])=0,Tasks[[#This Row],[_LeafFcstStart]]&gt;=StatusDate,Tasks[[#This Row],[_LeafFcstStart]]&lt;=LookaheadEnd),Tasks[[#This Row],[_LeafFcstStart]]+Tasks[[#This Row],[_Row]]/100000,"")</f>
        <v/>
      </c>
      <c r="DN90" s="41" t="str">
        <f aca="false">IF(AND(Tasks[[#This Row],[_IsLeaf]]=1,Tasks[[#This Row],[_LeafProgress]]&lt;1,Tasks[[#This Row],[_LeafFcstFinish]]&gt;=StatusDate,Tasks[[#This Row],[_LeafFcstFinish]]&lt;=LookaheadEnd),Tasks[[#This Row],[_LeafFcstFinish]]+Tasks[[#This Row],[_Row]]/100000,"")</f>
        <v/>
      </c>
      <c r="DO90" s="41" t="str">
        <f aca="false">IF(Tasks[[#This Row],[_LeafCritical]],Tasks[[#This Row],[_LeafFcstStart]]+Tasks[[#This Row],[_Row]]/100000,"")</f>
        <v/>
      </c>
      <c r="DP90" s="41" t="n">
        <f aca="false">Tasks[[#This Row],[_LeafWork]]*Tasks[[#This Row],[_LeafProgress]]</f>
        <v>0</v>
      </c>
      <c r="DQ90" s="103" t="str">
        <f aca="false">IF(AND(Tasks[[#This Row],[_IsLeaf]]=1,Tasks[[#This Row],[_LeafProgress]]&gt;=1),IF(N(Tasks[[#This Row],[Actual Finish]])&gt;0,Tasks[[#This Row],[Actual Finish]],Tasks[[#This Row],[_LeafFcstFinish]]),"")</f>
        <v/>
      </c>
      <c r="DR90" s="41" t="n">
        <f aca="false">IF(Tasks[[#This Row],[_IsLeaf]]=1,N(Tasks[[#This Row],[Story Points]]),0)</f>
        <v>0</v>
      </c>
      <c r="DS90" s="41" t="str">
        <f aca="false">IF(AND(Tasks[[#This Row],[_IsLeaf]]=1,CurrentSprint&lt;&gt;"",Tasks[[#This Row],[Sprint]]=CurrentSprint),Tasks[[#This Row],[_Row]],"")</f>
        <v/>
      </c>
    </row>
    <row r="91" customFormat="false" ht="15" hidden="false" customHeight="false" outlineLevel="0" collapsed="false">
      <c r="A91" s="28" t="str">
        <f aca="false">IF(Tasks[[#This Row],[Task Name]]="","",COUNTA(Tasks[[#Headers],[Task Name]]:Tasks[[#This Row],[Task Name]])-1)</f>
        <v/>
      </c>
      <c r="B91" s="29" t="n">
        <v>86</v>
      </c>
      <c r="C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29"/>
      <c r="E91" s="30"/>
      <c r="F91" s="29"/>
      <c r="G91" s="29"/>
      <c r="H91" s="29"/>
      <c r="I91" s="29"/>
      <c r="J91" s="29"/>
      <c r="K91" s="29"/>
      <c r="L91" s="29"/>
      <c r="M91" s="29"/>
      <c r="N91" s="77"/>
      <c r="O91" s="77"/>
      <c r="P91" s="25" t="str">
        <f aca="false">IF(Tasks[[#This Row],[Task Name]]="","",IF(N(Tasks[[#This Row],[Baseline Start]])&gt;0,Tasks[[#This Row],[Baseline Start]],Tasks[[#This Row],[_CalcStart]]))</f>
        <v/>
      </c>
      <c r="Q91" s="25" t="str">
        <f aca="false">IF(Tasks[[#This Row],[Task Name]]="","",IF(N(Tasks[[#This Row],[Baseline Finish]])&gt;0,Tasks[[#This Row],[Baseline Finish]],Tasks[[#This Row],[_CalcFinish]]))</f>
        <v/>
      </c>
      <c r="R91" s="77"/>
      <c r="S91" s="77"/>
      <c r="T91" s="25" t="str">
        <f aca="false">IF(Tasks[[#This Row],[Task Name]]="","",IF(Tasks[[#This Row],[_IsSummary]],MIN(INDEX(Tasks[_LeafFcstStart],Tasks[[#This Row],[_Row]]+1):INDEX(Tasks[_LeafFcstStart],Tasks[[#This Row],[_Row]]+Tasks[[#This Row],[_Descendants]])),Tasks[[#This Row],[_LeafFcstStart]]))</f>
        <v/>
      </c>
      <c r="U91" s="25" t="str">
        <f aca="false">IF(Tasks[[#This Row],[Task Name]]="","",IF(Tasks[[#This Row],[_IsSummary]],MAX(INDEX(Tasks[_LeafFcstFinish],Tasks[[#This Row],[_Row]]+1):INDEX(Tasks[_LeafFcstFinish],Tasks[[#This Row],[_Row]]+Tasks[[#This Row],[_Descendants]])),Tasks[[#This Row],[_LeafFcstFinish]]))</f>
        <v/>
      </c>
      <c r="V9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1" s="25" t="str">
        <f aca="false">IF(Tasks[[#This Row],[Task Name]]="","",IF(Tasks[[#This Row],[_IsSummary]],MIN(INDEX(Tasks[_LeafLateStart],Tasks[[#This Row],[_Row]]+1):INDEX(Tasks[_LeafLateStart],Tasks[[#This Row],[_Row]]+Tasks[[#This Row],[_Descendants]])),Tasks[[#This Row],[_LeafLateStart]]))</f>
        <v/>
      </c>
      <c r="Y91" s="25" t="str">
        <f aca="false">IF(Tasks[[#This Row],[Task Name]]="","",IF(Tasks[[#This Row],[_IsSummary]],MAX(INDEX(Tasks[_LeafLateFinish],Tasks[[#This Row],[_Row]]+1):INDEX(Tasks[_LeafLateFinish],Tasks[[#This Row],[_Row]]+Tasks[[#This Row],[_Descendants]])),Tasks[[#This Row],[_LeafLateFinish]]))</f>
        <v/>
      </c>
      <c r="Z91" s="43" t="str">
        <f aca="false">IF(Tasks[[#This Row],[Task Name]]="","",IF(Tasks[[#This Row],[_IsSummary]],MIN(INDEX(Tasks[_LeafTotalSlack],Tasks[[#This Row],[_Row]]+1):INDEX(Tasks[_LeafTotalSlack],Tasks[[#This Row],[_Row]]+Tasks[[#This Row],[_Descendants]])),Tasks[[#This Row],[_LeafTotalSlack]]))</f>
        <v/>
      </c>
      <c r="AA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1" s="28" t="str">
        <f aca="false">IF(Tasks[[#This Row],[Task Name]]="","",IF(IF(Tasks[[#This Row],[_IsSummary]],COUNTIF(INDEX(Tasks[_LeafCritical],Tasks[[#This Row],[_Row]]+1):INDEX(Tasks[_LeafCritical],Tasks[[#This Row],[_Row]]+Tasks[[#This Row],[_Descendants]]),TRUE())&gt;0,Tasks[[#This Row],[_LeafCritical]]),"Yes",""))</f>
        <v/>
      </c>
      <c r="AC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1" s="24" t="str">
        <f aca="false">IF(Tasks[[#This Row],[Task Name]]="","",TRIM(IF(Tasks[[#This Row],[_Pred1Problem]]&lt;&gt;"","Pred 1: "&amp;Tasks[[#This Row],[_Pred1Problem]]&amp;". ","")&amp;IF(Tasks[[#This Row],[_Pred2Problem]]&lt;&gt;"","Pred 2: "&amp;Tasks[[#This Row],[_Pred2Problem]]&amp;".","")))</f>
        <v/>
      </c>
      <c r="AE91" s="91"/>
      <c r="AF9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1" s="28" t="str">
        <f aca="false">IF(Tasks[[#This Row],[Task Name]]="","",IF(Tasks[[#This Row],[Progress]]&gt;=1,"Complete",IF(OR(N(Tasks[[#This Row],[Actual Start]])&gt;0,Tasks[[#This Row],[Progress]]&gt;0),IF(Tasks[[#This Row],[Finish Var]]&gt;0,"Behind","In Progress"),IF(Tasks[[#This Row],[Planned Start]]&lt;StatusDate,"Late Start","Not Started"))))</f>
        <v/>
      </c>
      <c r="AH91" s="30"/>
      <c r="AI91" s="91"/>
      <c r="AJ9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1" s="98" t="str">
        <f aca="false">IF(Tasks[[#This Row],[Task Name]]="","",IF(Tasks[[#This Row],[_IsSummary]],SUM(INDEX(Tasks[_LeafWork],Tasks[[#This Row],[_Row]]+1):INDEX(Tasks[_LeafWork],Tasks[[#This Row],[_Row]]+Tasks[[#This Row],[_Descendants]])),Tasks[[#This Row],[_LeafWork]]))</f>
        <v/>
      </c>
      <c r="AL91" s="99" t="str">
        <f aca="false">IF(Tasks[[#This Row],[Task Name]]="","",IF(Tasks[[#This Row],[_IsSummary]],SUM(INDEX(Tasks[_LeafCost],Tasks[[#This Row],[_Row]]+1):INDEX(Tasks[_LeafCost],Tasks[[#This Row],[_Row]]+Tasks[[#This Row],[_Descendants]])),Tasks[[#This Row],[_LeafCost]]))</f>
        <v/>
      </c>
      <c r="AM91" s="100"/>
      <c r="AN91" s="29"/>
      <c r="AO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1" s="85"/>
      <c r="AQ91" s="24" t="str">
        <f aca="false">IF(Tasks[[#This Row],[Task Name]]="","",Tasks[[#This Row],[_Pred1IDText]]&amp;IF(AND(Tasks[[#This Row],[_Pred1IDText]]&lt;&gt;"",Tasks[[#This Row],[_Pred2IDText]]&lt;&gt;""),",","")&amp;Tasks[[#This Row],[_Pred2IDText]])</f>
        <v/>
      </c>
      <c r="AR91" s="30"/>
      <c r="AS91" s="25" t="str">
        <f aca="false">IF(Tasks[[#This Row],[Task Name]]="","",Tasks[[#This Row],[Forecast Start]])</f>
        <v/>
      </c>
      <c r="AT91" s="25" t="str">
        <f aca="false">IF(Tasks[[#This Row],[Task Name]]="","",Tasks[[#This Row],[Forecast Finish]])</f>
        <v/>
      </c>
      <c r="AU91" s="28" t="str">
        <f aca="false">IF(Tasks[[#This Row],[Task Name]]="","",IF(Tasks[[#This Row],[_IsSummary]],NETWORKDAYS.INTL(Tasks[[#This Row],[Forecast Start]],Tasks[[#This Row],[Forecast Finish]],WorkWeek,Holidays),N(Tasks[[#This Row],[Duration]])))</f>
        <v/>
      </c>
      <c r="AV91" s="98" t="str">
        <f aca="false">IF(Tasks[[#This Row],[Task Name]]="","",Tasks[[#This Row],[Work]])</f>
        <v/>
      </c>
      <c r="AW91" s="99" t="str">
        <f aca="false">IF(Tasks[[#This Row],[Task Name]]="","",Tasks[[#This Row],[Cost]])</f>
        <v/>
      </c>
      <c r="AX91" s="77"/>
      <c r="AY91" s="77"/>
      <c r="AZ91" s="29"/>
      <c r="BA91" s="101"/>
      <c r="BB91" s="100"/>
      <c r="BC91" s="28" t="str">
        <f aca="false">IF(OR(Tasks[[#This Row],[Task Name]]="",Tasks[[#This Row],[Baseline Duration]]=""),"",Tasks[[#This Row],[BL Source Duration]]-N(Tasks[[#This Row],[Baseline Duration]]))</f>
        <v/>
      </c>
      <c r="BD91" s="98" t="str">
        <f aca="false">IF(OR(Tasks[[#This Row],[Task Name]]="",Tasks[[#This Row],[Baseline Work]]=""),"",Tasks[[#This Row],[Work]]-N(Tasks[[#This Row],[Baseline Work]]))</f>
        <v/>
      </c>
      <c r="BE91" s="99" t="str">
        <f aca="false">IF(OR(Tasks[[#This Row],[Task Name]]="",Tasks[[#This Row],[Baseline Cost]]=""),"",Tasks[[#This Row],[Cost]]-N(Tasks[[#This Row],[Baseline Cost]]))</f>
        <v/>
      </c>
      <c r="BF91" s="99" t="str">
        <f aca="false">IF(Tasks[[#This Row],[Task Name]]="","",IF(Tasks[[#This Row],[_IsSummary]],SUM(INDEX(Tasks[_LeafBudget],Tasks[[#This Row],[_Row]]+1):INDEX(Tasks[_LeafBudget],Tasks[[#This Row],[_Row]]+Tasks[[#This Row],[_Descendants]])),Tasks[[#This Row],[_LeafBudget]]))</f>
        <v/>
      </c>
      <c r="BG91" s="99" t="str">
        <f aca="false">IF(Tasks[[#This Row],[Task Name]]="","",IF(Tasks[[#This Row],[_IsSummary]],SUM(INDEX(Tasks[_LeafPV],Tasks[[#This Row],[_Row]]+1):INDEX(Tasks[_LeafPV],Tasks[[#This Row],[_Row]]+Tasks[[#This Row],[_Descendants]])),Tasks[[#This Row],[_LeafPV]]))</f>
        <v/>
      </c>
      <c r="BH91" s="99" t="str">
        <f aca="false">IF(Tasks[[#This Row],[Task Name]]="","",IF(Tasks[[#This Row],[_IsSummary]],SUM(INDEX(Tasks[_LeafEV],Tasks[[#This Row],[_Row]]+1):INDEX(Tasks[_LeafEV],Tasks[[#This Row],[_Row]]+Tasks[[#This Row],[_Descendants]])),Tasks[[#This Row],[_LeafEV]]))</f>
        <v/>
      </c>
      <c r="BI91" s="99" t="str">
        <f aca="false">IF(Tasks[[#This Row],[Task Name]]="","",IF(Tasks[[#This Row],[_IsSummary]],SUM(INDEX(Tasks[_LeafAC],Tasks[[#This Row],[_Row]]+1):INDEX(Tasks[_LeafAC],Tasks[[#This Row],[_Row]]+Tasks[[#This Row],[_Descendants]])),Tasks[[#This Row],[_LeafAC]]))</f>
        <v/>
      </c>
      <c r="BJ91" s="41" t="str">
        <f aca="false">IF(Tasks[[#This Row],[Task Name]]="","",MAX(1,N(Tasks[[#This Row],[Level]])))</f>
        <v/>
      </c>
      <c r="BK91" s="41" t="n">
        <f aca="false">ROW()-ROW(Tasks[[#Headers],[ID]])</f>
        <v>86</v>
      </c>
      <c r="BL91" s="41" t="n">
        <f aca="false">IF(OR(Tasks[[#This Row],[Task Name]]="",Tasks[[#This Row],[_Level]]&lt;=1),0,IFERROR(LOOKUP(2,1/(Tasks[[#Headers],[_Level]]:Tasks[[#This Row],[_Level]]=Tasks[[#This Row],[_Level]]-1),ROW(Tasks[[#Headers],[_Level]]:Tasks[[#This Row],[_Level]])),0))</f>
        <v>0</v>
      </c>
      <c r="BM91" s="41" t="n">
        <f aca="false">IFERROR(N(INDEX(Tasks[_Level],Tasks[[#This Row],[_Row]]+1)),0)</f>
        <v>0</v>
      </c>
      <c r="BN91" s="102" t="b">
        <f aca="false">AND(Tasks[[#This Row],[Task Name]]&lt;&gt;"",Tasks[[#This Row],[_NextLevel]]&gt;Tasks[[#This Row],[_Level]])</f>
        <v>0</v>
      </c>
      <c r="BO91" s="41" t="n">
        <f aca="false">IF(Tasks[[#This Row],[_IsSummary]],COUNTIF(Tasks[WBS],Tasks[[#This Row],[WBS]]&amp;".*"),0)</f>
        <v>0</v>
      </c>
      <c r="BP91" s="41" t="n">
        <f aca="false">IF(AND(Tasks[[#This Row],[Task Name]]&lt;&gt;"",NOT(Tasks[[#This Row],[_IsSummary]])),1,0)</f>
        <v>0</v>
      </c>
      <c r="BQ91" s="41" t="n">
        <f aca="false">IF(N(Tasks[[#This Row],[Pred1 UID]])=0,0,IFERROR(MATCH(Tasks[[#This Row],[Pred1 UID]],Tasks[UID],0),-1))</f>
        <v>0</v>
      </c>
      <c r="BR91" s="41" t="n">
        <f aca="false">IF(N(Tasks[[#This Row],[Pred2 UID]])=0,0,IFERROR(MATCH(Tasks[[#This Row],[Pred2 UID]],Tasks[UID],0),-1))</f>
        <v>0</v>
      </c>
      <c r="BS9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1" s="103" t="str">
        <f aca="false">IF(NOT(Tasks[[#This Row],[_IsLeaf]]=1),"",IF(N(Tasks[[#This Row],[Duration]])&lt;=0,Tasks[[#This Row],[_LeafCalcStart]],WORKDAY.INTL(Tasks[[#This Row],[_LeafCalcStart]],Tasks[[#This Row],[Duration]]-1,WorkWeek,Holidays)))</f>
        <v/>
      </c>
      <c r="BU9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1" s="41" t="n">
        <f aca="false">IF(NOT(Tasks[[#This Row],[_IsLeaf]]=1),0,IF(N(Tasks[[#This Row],[Actual Finish]])&gt;0,1,MIN(1,N(Tasks[[#This Row],[% Complete]]))))</f>
        <v>0</v>
      </c>
      <c r="BX91" s="41" t="n">
        <f aca="false">IF(OR(NOT(Tasks[[#This Row],[_IsLeaf]]=1),Tasks[[#This Row],[Resource]]=""),0,N(Tasks[[#This Row],[Duration]])*HoursPerDay*IF(Tasks[[#This Row],[Units]]="",DefaultUnits,Tasks[[#This Row],[Units]]))</f>
        <v>0</v>
      </c>
      <c r="BY91" s="41" t="n">
        <f aca="false">IF(Tasks[[#This Row],[_LeafWork]]=0,0,Tasks[[#This Row],[_LeafWork]]*IFERROR(INDEX(res_Rate,MATCH(Tasks[[#This Row],[Resource]],res_Name,0)),0))</f>
        <v>0</v>
      </c>
      <c r="BZ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1" s="41" t="n">
        <f aca="false">IF(NOT(Tasks[[#This Row],[_IsLeaf]]=1),0,MAX(_xlfn.MAXIFS(Tasks[_Row],Tasks[Pred1 UID],Tasks[[#This Row],[UID]]),_xlfn.MAXIFS(Tasks[_Row],Tasks[Pred2 UID],Tasks[[#This Row],[UID]])))</f>
        <v>0</v>
      </c>
      <c r="CE9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1" s="103" t="str">
        <f aca="false">IF(NOT(Tasks[[#This Row],[_IsLeaf]]=1),"",MIN(ProjectFinish,IF(N(Tasks[[#This Row],[Deadline]])&gt;0,Tasks[[#This Row],[Deadline]],2958465),Tasks[[#This Row],[_SuccessorFinishLimit]]))</f>
        <v/>
      </c>
      <c r="CG91" s="103" t="str">
        <f aca="false">IF(NOT(Tasks[[#This Row],[_IsLeaf]]=1),"",IF(N(Tasks[[#This Row],[Duration]])&lt;=0,Tasks[[#This Row],[_LeafLateFinish]],WORKDAY.INTL(Tasks[[#This Row],[_LeafLateFinish]],-(Tasks[[#This Row],[Duration]]-1),WorkWeek,Holidays)))</f>
        <v/>
      </c>
      <c r="CH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1" s="102" t="b">
        <f aca="false">AND(Tasks[[#This Row],[_IsLeaf]]=1,Tasks[[#This Row],[_LeafProgress]]&lt;1,N(Tasks[[#This Row],[_LeafTotalSlack]])&lt;=CriticalSlackDays)</f>
        <v>0</v>
      </c>
      <c r="CJ91" s="103" t="str">
        <f aca="false">IF(Tasks[[#This Row],[Task Name]]="","",IF(Tasks[[#This Row],[_IsSummary]],MIN(INDEX(Tasks[_LeafCalcStart],Tasks[[#This Row],[_Row]]+1):INDEX(Tasks[_LeafCalcStart],Tasks[[#This Row],[_Row]]+Tasks[[#This Row],[_Descendants]])),Tasks[[#This Row],[_LeafCalcStart]]))</f>
        <v/>
      </c>
      <c r="CK91" s="103" t="str">
        <f aca="false">IF(Tasks[[#This Row],[Task Name]]="","",IF(Tasks[[#This Row],[_IsSummary]],MAX(INDEX(Tasks[_LeafCalcFinish],Tasks[[#This Row],[_Row]]+1):INDEX(Tasks[_LeafCalcFinish],Tasks[[#This Row],[_Row]]+Tasks[[#This Row],[_Descendants]])),Tasks[[#This Row],[_LeafCalcFinish]]))</f>
        <v/>
      </c>
      <c r="CL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1" s="41" t="n">
        <f aca="false">IF(AND(Tasks[[#This Row],[_IsLeaf]]=1,Tasks[[#This Row],[_LeafWork]]&gt;0),NETWORKDAYS.INTL(ProjectStart,Tasks[[#This Row],[_LeafFcstStart]],WorkWeek,Holidays),0)</f>
        <v>0</v>
      </c>
      <c r="CS91" s="41" t="n">
        <f aca="false">IF(AND(Tasks[[#This Row],[_IsLeaf]]=1,Tasks[[#This Row],[_LeafWork]]&gt;0),MAX(Tasks[[#This Row],[_StartWorkday]],NETWORKDAYS.INTL(ProjectStart,Tasks[[#This Row],[_LeafFcstFinish]],WorkWeek,Holidays)),0)</f>
        <v>0</v>
      </c>
      <c r="CT91" s="41" t="n">
        <f aca="false">IF(AND(Tasks[[#This Row],[_IsLeaf]]=1,Tasks[[#This Row],[_LeafWork]]&gt;0),Tasks[[#This Row],[_LeafWork]]/(Tasks[[#This Row],[_FinishWorkday]]-Tasks[[#This Row],[_StartWorkday]]+1),0)</f>
        <v>0</v>
      </c>
      <c r="CU91" s="41" t="n">
        <f aca="false">Tasks[[#This Row],[_WorkPerWorkday]]*(Tasks[[#This Row],[_StartWorkday]]-1)</f>
        <v>-0</v>
      </c>
      <c r="CV91" s="41" t="n">
        <f aca="false">IF(Tasks[[#This Row],[_IsLeaf]]=1,MAX(N(Tasks[[#This Row],[Duration]]),0.1),0)</f>
        <v>0</v>
      </c>
      <c r="CW91" s="41" t="n">
        <f aca="false">Tasks[[#This Row],[_WeightDur]]*Tasks[[#This Row],[_LeafProgress]]</f>
        <v>0</v>
      </c>
      <c r="CX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1" s="41" t="str">
        <f aca="false">IF(Tasks[[#This Row],[Task Name]]="","",Tasks[[#This Row],[_Pred1UIDText]]&amp;IF(AND(Tasks[[#This Row],[_Pred1UIDText]]&lt;&gt;"",Tasks[[#This Row],[_Pred2UIDText]]&lt;&gt;""),",","")&amp;Tasks[[#This Row],[_Pred2UIDText]])</f>
        <v/>
      </c>
      <c r="DC91" s="41" t="str">
        <f aca="false">IF(AND(Tasks[[#This Row],[_IsLeaf]]=1,N(Tasks[[#This Row],[Duration]])=0,Tasks[[#This Row],[_LeafProgress]]&lt;1),Tasks[[#This Row],[_LeafFcstFinish]]+Tasks[[#This Row],[_Row]]/100000,"")</f>
        <v/>
      </c>
      <c r="DD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1" s="41" t="n">
        <f aca="false">IF(NOT(Tasks[[#This Row],[_IsLeaf]]=1),0,IF(Tasks[[#This Row],[Baseline Cost]]="",Tasks[[#This Row],[_LeafCost]],N(Tasks[[#This Row],[Baseline Cost]])))</f>
        <v>0</v>
      </c>
      <c r="DF91" s="41" t="n">
        <f aca="false">Tasks[[#This Row],[_LeafBudget]]*Tasks[[#This Row],[_PlannedPct]]</f>
        <v>0</v>
      </c>
      <c r="DG91" s="41" t="n">
        <f aca="false">Tasks[[#This Row],[_LeafBudget]]*Tasks[[#This Row],[_LeafProgress]]</f>
        <v>0</v>
      </c>
      <c r="DH91" s="41" t="n">
        <f aca="false">IF(NOT(Tasks[[#This Row],[_IsLeaf]]=1),0,IF(Tasks[[#This Row],[Actual Cost]]="",Tasks[[#This Row],[_LeafCost]]*Tasks[[#This Row],[_LeafProgress]],N(Tasks[[#This Row],[Actual Cost]])))</f>
        <v>0</v>
      </c>
      <c r="DI91" s="41" t="str">
        <f aca="false">IF(Tasks[[#This Row],[Task Name]]="","",LEFT(Tasks[[#This Row],[WBS]],FIND(".",Tasks[[#This Row],[WBS]]&amp;".")-1))</f>
        <v/>
      </c>
      <c r="DJ91" s="41" t="str">
        <f aca="false">IF(AND(Tasks[[#This Row],[Task Name]]&lt;&gt;"",Tasks[[#This Row],[_Level]]=1),Tasks[[#This Row],[_Row]],"")</f>
        <v/>
      </c>
      <c r="DK91" s="41" t="str">
        <f aca="false">IF(AND(Tasks[[#This Row],[_IsLeaf]]=1,N(Tasks[[#This Row],[Duration]])=0),Tasks[[#This Row],[Planned Finish]]+Tasks[[#This Row],[_Row]]/100000,"")</f>
        <v/>
      </c>
      <c r="DL91" s="41" t="str">
        <f aca="false">IF(AND(Tasks[[#This Row],[_IsLeaf]]=1,Tasks[[#This Row],[_LeafProgress]]&lt;1,OR(N(Tasks[[#This Row],[Finish Var]])&gt;0,Tasks[[#This Row],[Status]]="Late Start")),MAX(0,Tasks[[#This Row],[Finish Var]])+1-Tasks[[#This Row],[_Row]]/1000000,"")</f>
        <v/>
      </c>
      <c r="DM91" s="41" t="str">
        <f aca="false">IF(AND(Tasks[[#This Row],[_IsLeaf]]=1,N(Tasks[[#This Row],[Actual Start]])=0,Tasks[[#This Row],[_LeafFcstStart]]&gt;=StatusDate,Tasks[[#This Row],[_LeafFcstStart]]&lt;=LookaheadEnd),Tasks[[#This Row],[_LeafFcstStart]]+Tasks[[#This Row],[_Row]]/100000,"")</f>
        <v/>
      </c>
      <c r="DN91" s="41" t="str">
        <f aca="false">IF(AND(Tasks[[#This Row],[_IsLeaf]]=1,Tasks[[#This Row],[_LeafProgress]]&lt;1,Tasks[[#This Row],[_LeafFcstFinish]]&gt;=StatusDate,Tasks[[#This Row],[_LeafFcstFinish]]&lt;=LookaheadEnd),Tasks[[#This Row],[_LeafFcstFinish]]+Tasks[[#This Row],[_Row]]/100000,"")</f>
        <v/>
      </c>
      <c r="DO91" s="41" t="str">
        <f aca="false">IF(Tasks[[#This Row],[_LeafCritical]],Tasks[[#This Row],[_LeafFcstStart]]+Tasks[[#This Row],[_Row]]/100000,"")</f>
        <v/>
      </c>
      <c r="DP91" s="41" t="n">
        <f aca="false">Tasks[[#This Row],[_LeafWork]]*Tasks[[#This Row],[_LeafProgress]]</f>
        <v>0</v>
      </c>
      <c r="DQ91" s="103" t="str">
        <f aca="false">IF(AND(Tasks[[#This Row],[_IsLeaf]]=1,Tasks[[#This Row],[_LeafProgress]]&gt;=1),IF(N(Tasks[[#This Row],[Actual Finish]])&gt;0,Tasks[[#This Row],[Actual Finish]],Tasks[[#This Row],[_LeafFcstFinish]]),"")</f>
        <v/>
      </c>
      <c r="DR91" s="41" t="n">
        <f aca="false">IF(Tasks[[#This Row],[_IsLeaf]]=1,N(Tasks[[#This Row],[Story Points]]),0)</f>
        <v>0</v>
      </c>
      <c r="DS91" s="41" t="str">
        <f aca="false">IF(AND(Tasks[[#This Row],[_IsLeaf]]=1,CurrentSprint&lt;&gt;"",Tasks[[#This Row],[Sprint]]=CurrentSprint),Tasks[[#This Row],[_Row]],"")</f>
        <v/>
      </c>
    </row>
    <row r="92" customFormat="false" ht="15" hidden="false" customHeight="false" outlineLevel="0" collapsed="false">
      <c r="A92" s="28" t="str">
        <f aca="false">IF(Tasks[[#This Row],[Task Name]]="","",COUNTA(Tasks[[#Headers],[Task Name]]:Tasks[[#This Row],[Task Name]])-1)</f>
        <v/>
      </c>
      <c r="B92" s="29" t="n">
        <v>87</v>
      </c>
      <c r="C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29"/>
      <c r="E92" s="30"/>
      <c r="F92" s="29"/>
      <c r="G92" s="29"/>
      <c r="H92" s="29"/>
      <c r="I92" s="29"/>
      <c r="J92" s="29"/>
      <c r="K92" s="29"/>
      <c r="L92" s="29"/>
      <c r="M92" s="29"/>
      <c r="N92" s="77"/>
      <c r="O92" s="77"/>
      <c r="P92" s="25" t="str">
        <f aca="false">IF(Tasks[[#This Row],[Task Name]]="","",IF(N(Tasks[[#This Row],[Baseline Start]])&gt;0,Tasks[[#This Row],[Baseline Start]],Tasks[[#This Row],[_CalcStart]]))</f>
        <v/>
      </c>
      <c r="Q92" s="25" t="str">
        <f aca="false">IF(Tasks[[#This Row],[Task Name]]="","",IF(N(Tasks[[#This Row],[Baseline Finish]])&gt;0,Tasks[[#This Row],[Baseline Finish]],Tasks[[#This Row],[_CalcFinish]]))</f>
        <v/>
      </c>
      <c r="R92" s="77"/>
      <c r="S92" s="77"/>
      <c r="T92" s="25" t="str">
        <f aca="false">IF(Tasks[[#This Row],[Task Name]]="","",IF(Tasks[[#This Row],[_IsSummary]],MIN(INDEX(Tasks[_LeafFcstStart],Tasks[[#This Row],[_Row]]+1):INDEX(Tasks[_LeafFcstStart],Tasks[[#This Row],[_Row]]+Tasks[[#This Row],[_Descendants]])),Tasks[[#This Row],[_LeafFcstStart]]))</f>
        <v/>
      </c>
      <c r="U92" s="25" t="str">
        <f aca="false">IF(Tasks[[#This Row],[Task Name]]="","",IF(Tasks[[#This Row],[_IsSummary]],MAX(INDEX(Tasks[_LeafFcstFinish],Tasks[[#This Row],[_Row]]+1):INDEX(Tasks[_LeafFcstFinish],Tasks[[#This Row],[_Row]]+Tasks[[#This Row],[_Descendants]])),Tasks[[#This Row],[_LeafFcstFinish]]))</f>
        <v/>
      </c>
      <c r="V9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2" s="25" t="str">
        <f aca="false">IF(Tasks[[#This Row],[Task Name]]="","",IF(Tasks[[#This Row],[_IsSummary]],MIN(INDEX(Tasks[_LeafLateStart],Tasks[[#This Row],[_Row]]+1):INDEX(Tasks[_LeafLateStart],Tasks[[#This Row],[_Row]]+Tasks[[#This Row],[_Descendants]])),Tasks[[#This Row],[_LeafLateStart]]))</f>
        <v/>
      </c>
      <c r="Y92" s="25" t="str">
        <f aca="false">IF(Tasks[[#This Row],[Task Name]]="","",IF(Tasks[[#This Row],[_IsSummary]],MAX(INDEX(Tasks[_LeafLateFinish],Tasks[[#This Row],[_Row]]+1):INDEX(Tasks[_LeafLateFinish],Tasks[[#This Row],[_Row]]+Tasks[[#This Row],[_Descendants]])),Tasks[[#This Row],[_LeafLateFinish]]))</f>
        <v/>
      </c>
      <c r="Z92" s="43" t="str">
        <f aca="false">IF(Tasks[[#This Row],[Task Name]]="","",IF(Tasks[[#This Row],[_IsSummary]],MIN(INDEX(Tasks[_LeafTotalSlack],Tasks[[#This Row],[_Row]]+1):INDEX(Tasks[_LeafTotalSlack],Tasks[[#This Row],[_Row]]+Tasks[[#This Row],[_Descendants]])),Tasks[[#This Row],[_LeafTotalSlack]]))</f>
        <v/>
      </c>
      <c r="AA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2" s="28" t="str">
        <f aca="false">IF(Tasks[[#This Row],[Task Name]]="","",IF(IF(Tasks[[#This Row],[_IsSummary]],COUNTIF(INDEX(Tasks[_LeafCritical],Tasks[[#This Row],[_Row]]+1):INDEX(Tasks[_LeafCritical],Tasks[[#This Row],[_Row]]+Tasks[[#This Row],[_Descendants]]),TRUE())&gt;0,Tasks[[#This Row],[_LeafCritical]]),"Yes",""))</f>
        <v/>
      </c>
      <c r="AC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2" s="24" t="str">
        <f aca="false">IF(Tasks[[#This Row],[Task Name]]="","",TRIM(IF(Tasks[[#This Row],[_Pred1Problem]]&lt;&gt;"","Pred 1: "&amp;Tasks[[#This Row],[_Pred1Problem]]&amp;". ","")&amp;IF(Tasks[[#This Row],[_Pred2Problem]]&lt;&gt;"","Pred 2: "&amp;Tasks[[#This Row],[_Pred2Problem]]&amp;".","")))</f>
        <v/>
      </c>
      <c r="AE92" s="91"/>
      <c r="AF9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2" s="28" t="str">
        <f aca="false">IF(Tasks[[#This Row],[Task Name]]="","",IF(Tasks[[#This Row],[Progress]]&gt;=1,"Complete",IF(OR(N(Tasks[[#This Row],[Actual Start]])&gt;0,Tasks[[#This Row],[Progress]]&gt;0),IF(Tasks[[#This Row],[Finish Var]]&gt;0,"Behind","In Progress"),IF(Tasks[[#This Row],[Planned Start]]&lt;StatusDate,"Late Start","Not Started"))))</f>
        <v/>
      </c>
      <c r="AH92" s="30"/>
      <c r="AI92" s="91"/>
      <c r="AJ9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2" s="98" t="str">
        <f aca="false">IF(Tasks[[#This Row],[Task Name]]="","",IF(Tasks[[#This Row],[_IsSummary]],SUM(INDEX(Tasks[_LeafWork],Tasks[[#This Row],[_Row]]+1):INDEX(Tasks[_LeafWork],Tasks[[#This Row],[_Row]]+Tasks[[#This Row],[_Descendants]])),Tasks[[#This Row],[_LeafWork]]))</f>
        <v/>
      </c>
      <c r="AL92" s="99" t="str">
        <f aca="false">IF(Tasks[[#This Row],[Task Name]]="","",IF(Tasks[[#This Row],[_IsSummary]],SUM(INDEX(Tasks[_LeafCost],Tasks[[#This Row],[_Row]]+1):INDEX(Tasks[_LeafCost],Tasks[[#This Row],[_Row]]+Tasks[[#This Row],[_Descendants]])),Tasks[[#This Row],[_LeafCost]]))</f>
        <v/>
      </c>
      <c r="AM92" s="100"/>
      <c r="AN92" s="29"/>
      <c r="AO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2" s="85"/>
      <c r="AQ92" s="24" t="str">
        <f aca="false">IF(Tasks[[#This Row],[Task Name]]="","",Tasks[[#This Row],[_Pred1IDText]]&amp;IF(AND(Tasks[[#This Row],[_Pred1IDText]]&lt;&gt;"",Tasks[[#This Row],[_Pred2IDText]]&lt;&gt;""),",","")&amp;Tasks[[#This Row],[_Pred2IDText]])</f>
        <v/>
      </c>
      <c r="AR92" s="30"/>
      <c r="AS92" s="25" t="str">
        <f aca="false">IF(Tasks[[#This Row],[Task Name]]="","",Tasks[[#This Row],[Forecast Start]])</f>
        <v/>
      </c>
      <c r="AT92" s="25" t="str">
        <f aca="false">IF(Tasks[[#This Row],[Task Name]]="","",Tasks[[#This Row],[Forecast Finish]])</f>
        <v/>
      </c>
      <c r="AU92" s="28" t="str">
        <f aca="false">IF(Tasks[[#This Row],[Task Name]]="","",IF(Tasks[[#This Row],[_IsSummary]],NETWORKDAYS.INTL(Tasks[[#This Row],[Forecast Start]],Tasks[[#This Row],[Forecast Finish]],WorkWeek,Holidays),N(Tasks[[#This Row],[Duration]])))</f>
        <v/>
      </c>
      <c r="AV92" s="98" t="str">
        <f aca="false">IF(Tasks[[#This Row],[Task Name]]="","",Tasks[[#This Row],[Work]])</f>
        <v/>
      </c>
      <c r="AW92" s="99" t="str">
        <f aca="false">IF(Tasks[[#This Row],[Task Name]]="","",Tasks[[#This Row],[Cost]])</f>
        <v/>
      </c>
      <c r="AX92" s="77"/>
      <c r="AY92" s="77"/>
      <c r="AZ92" s="29"/>
      <c r="BA92" s="101"/>
      <c r="BB92" s="100"/>
      <c r="BC92" s="28" t="str">
        <f aca="false">IF(OR(Tasks[[#This Row],[Task Name]]="",Tasks[[#This Row],[Baseline Duration]]=""),"",Tasks[[#This Row],[BL Source Duration]]-N(Tasks[[#This Row],[Baseline Duration]]))</f>
        <v/>
      </c>
      <c r="BD92" s="98" t="str">
        <f aca="false">IF(OR(Tasks[[#This Row],[Task Name]]="",Tasks[[#This Row],[Baseline Work]]=""),"",Tasks[[#This Row],[Work]]-N(Tasks[[#This Row],[Baseline Work]]))</f>
        <v/>
      </c>
      <c r="BE92" s="99" t="str">
        <f aca="false">IF(OR(Tasks[[#This Row],[Task Name]]="",Tasks[[#This Row],[Baseline Cost]]=""),"",Tasks[[#This Row],[Cost]]-N(Tasks[[#This Row],[Baseline Cost]]))</f>
        <v/>
      </c>
      <c r="BF92" s="99" t="str">
        <f aca="false">IF(Tasks[[#This Row],[Task Name]]="","",IF(Tasks[[#This Row],[_IsSummary]],SUM(INDEX(Tasks[_LeafBudget],Tasks[[#This Row],[_Row]]+1):INDEX(Tasks[_LeafBudget],Tasks[[#This Row],[_Row]]+Tasks[[#This Row],[_Descendants]])),Tasks[[#This Row],[_LeafBudget]]))</f>
        <v/>
      </c>
      <c r="BG92" s="99" t="str">
        <f aca="false">IF(Tasks[[#This Row],[Task Name]]="","",IF(Tasks[[#This Row],[_IsSummary]],SUM(INDEX(Tasks[_LeafPV],Tasks[[#This Row],[_Row]]+1):INDEX(Tasks[_LeafPV],Tasks[[#This Row],[_Row]]+Tasks[[#This Row],[_Descendants]])),Tasks[[#This Row],[_LeafPV]]))</f>
        <v/>
      </c>
      <c r="BH92" s="99" t="str">
        <f aca="false">IF(Tasks[[#This Row],[Task Name]]="","",IF(Tasks[[#This Row],[_IsSummary]],SUM(INDEX(Tasks[_LeafEV],Tasks[[#This Row],[_Row]]+1):INDEX(Tasks[_LeafEV],Tasks[[#This Row],[_Row]]+Tasks[[#This Row],[_Descendants]])),Tasks[[#This Row],[_LeafEV]]))</f>
        <v/>
      </c>
      <c r="BI92" s="99" t="str">
        <f aca="false">IF(Tasks[[#This Row],[Task Name]]="","",IF(Tasks[[#This Row],[_IsSummary]],SUM(INDEX(Tasks[_LeafAC],Tasks[[#This Row],[_Row]]+1):INDEX(Tasks[_LeafAC],Tasks[[#This Row],[_Row]]+Tasks[[#This Row],[_Descendants]])),Tasks[[#This Row],[_LeafAC]]))</f>
        <v/>
      </c>
      <c r="BJ92" s="41" t="str">
        <f aca="false">IF(Tasks[[#This Row],[Task Name]]="","",MAX(1,N(Tasks[[#This Row],[Level]])))</f>
        <v/>
      </c>
      <c r="BK92" s="41" t="n">
        <f aca="false">ROW()-ROW(Tasks[[#Headers],[ID]])</f>
        <v>87</v>
      </c>
      <c r="BL92" s="41" t="n">
        <f aca="false">IF(OR(Tasks[[#This Row],[Task Name]]="",Tasks[[#This Row],[_Level]]&lt;=1),0,IFERROR(LOOKUP(2,1/(Tasks[[#Headers],[_Level]]:Tasks[[#This Row],[_Level]]=Tasks[[#This Row],[_Level]]-1),ROW(Tasks[[#Headers],[_Level]]:Tasks[[#This Row],[_Level]])),0))</f>
        <v>0</v>
      </c>
      <c r="BM92" s="41" t="n">
        <f aca="false">IFERROR(N(INDEX(Tasks[_Level],Tasks[[#This Row],[_Row]]+1)),0)</f>
        <v>0</v>
      </c>
      <c r="BN92" s="102" t="b">
        <f aca="false">AND(Tasks[[#This Row],[Task Name]]&lt;&gt;"",Tasks[[#This Row],[_NextLevel]]&gt;Tasks[[#This Row],[_Level]])</f>
        <v>0</v>
      </c>
      <c r="BO92" s="41" t="n">
        <f aca="false">IF(Tasks[[#This Row],[_IsSummary]],COUNTIF(Tasks[WBS],Tasks[[#This Row],[WBS]]&amp;".*"),0)</f>
        <v>0</v>
      </c>
      <c r="BP92" s="41" t="n">
        <f aca="false">IF(AND(Tasks[[#This Row],[Task Name]]&lt;&gt;"",NOT(Tasks[[#This Row],[_IsSummary]])),1,0)</f>
        <v>0</v>
      </c>
      <c r="BQ92" s="41" t="n">
        <f aca="false">IF(N(Tasks[[#This Row],[Pred1 UID]])=0,0,IFERROR(MATCH(Tasks[[#This Row],[Pred1 UID]],Tasks[UID],0),-1))</f>
        <v>0</v>
      </c>
      <c r="BR92" s="41" t="n">
        <f aca="false">IF(N(Tasks[[#This Row],[Pred2 UID]])=0,0,IFERROR(MATCH(Tasks[[#This Row],[Pred2 UID]],Tasks[UID],0),-1))</f>
        <v>0</v>
      </c>
      <c r="BS9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2" s="103" t="str">
        <f aca="false">IF(NOT(Tasks[[#This Row],[_IsLeaf]]=1),"",IF(N(Tasks[[#This Row],[Duration]])&lt;=0,Tasks[[#This Row],[_LeafCalcStart]],WORKDAY.INTL(Tasks[[#This Row],[_LeafCalcStart]],Tasks[[#This Row],[Duration]]-1,WorkWeek,Holidays)))</f>
        <v/>
      </c>
      <c r="BU9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2" s="41" t="n">
        <f aca="false">IF(NOT(Tasks[[#This Row],[_IsLeaf]]=1),0,IF(N(Tasks[[#This Row],[Actual Finish]])&gt;0,1,MIN(1,N(Tasks[[#This Row],[% Complete]]))))</f>
        <v>0</v>
      </c>
      <c r="BX92" s="41" t="n">
        <f aca="false">IF(OR(NOT(Tasks[[#This Row],[_IsLeaf]]=1),Tasks[[#This Row],[Resource]]=""),0,N(Tasks[[#This Row],[Duration]])*HoursPerDay*IF(Tasks[[#This Row],[Units]]="",DefaultUnits,Tasks[[#This Row],[Units]]))</f>
        <v>0</v>
      </c>
      <c r="BY92" s="41" t="n">
        <f aca="false">IF(Tasks[[#This Row],[_LeafWork]]=0,0,Tasks[[#This Row],[_LeafWork]]*IFERROR(INDEX(res_Rate,MATCH(Tasks[[#This Row],[Resource]],res_Name,0)),0))</f>
        <v>0</v>
      </c>
      <c r="BZ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2" s="41" t="n">
        <f aca="false">IF(NOT(Tasks[[#This Row],[_IsLeaf]]=1),0,MAX(_xlfn.MAXIFS(Tasks[_Row],Tasks[Pred1 UID],Tasks[[#This Row],[UID]]),_xlfn.MAXIFS(Tasks[_Row],Tasks[Pred2 UID],Tasks[[#This Row],[UID]])))</f>
        <v>0</v>
      </c>
      <c r="CE9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2" s="103" t="str">
        <f aca="false">IF(NOT(Tasks[[#This Row],[_IsLeaf]]=1),"",MIN(ProjectFinish,IF(N(Tasks[[#This Row],[Deadline]])&gt;0,Tasks[[#This Row],[Deadline]],2958465),Tasks[[#This Row],[_SuccessorFinishLimit]]))</f>
        <v/>
      </c>
      <c r="CG92" s="103" t="str">
        <f aca="false">IF(NOT(Tasks[[#This Row],[_IsLeaf]]=1),"",IF(N(Tasks[[#This Row],[Duration]])&lt;=0,Tasks[[#This Row],[_LeafLateFinish]],WORKDAY.INTL(Tasks[[#This Row],[_LeafLateFinish]],-(Tasks[[#This Row],[Duration]]-1),WorkWeek,Holidays)))</f>
        <v/>
      </c>
      <c r="CH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2" s="102" t="b">
        <f aca="false">AND(Tasks[[#This Row],[_IsLeaf]]=1,Tasks[[#This Row],[_LeafProgress]]&lt;1,N(Tasks[[#This Row],[_LeafTotalSlack]])&lt;=CriticalSlackDays)</f>
        <v>0</v>
      </c>
      <c r="CJ92" s="103" t="str">
        <f aca="false">IF(Tasks[[#This Row],[Task Name]]="","",IF(Tasks[[#This Row],[_IsSummary]],MIN(INDEX(Tasks[_LeafCalcStart],Tasks[[#This Row],[_Row]]+1):INDEX(Tasks[_LeafCalcStart],Tasks[[#This Row],[_Row]]+Tasks[[#This Row],[_Descendants]])),Tasks[[#This Row],[_LeafCalcStart]]))</f>
        <v/>
      </c>
      <c r="CK92" s="103" t="str">
        <f aca="false">IF(Tasks[[#This Row],[Task Name]]="","",IF(Tasks[[#This Row],[_IsSummary]],MAX(INDEX(Tasks[_LeafCalcFinish],Tasks[[#This Row],[_Row]]+1):INDEX(Tasks[_LeafCalcFinish],Tasks[[#This Row],[_Row]]+Tasks[[#This Row],[_Descendants]])),Tasks[[#This Row],[_LeafCalcFinish]]))</f>
        <v/>
      </c>
      <c r="CL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2" s="41" t="n">
        <f aca="false">IF(AND(Tasks[[#This Row],[_IsLeaf]]=1,Tasks[[#This Row],[_LeafWork]]&gt;0),NETWORKDAYS.INTL(ProjectStart,Tasks[[#This Row],[_LeafFcstStart]],WorkWeek,Holidays),0)</f>
        <v>0</v>
      </c>
      <c r="CS92" s="41" t="n">
        <f aca="false">IF(AND(Tasks[[#This Row],[_IsLeaf]]=1,Tasks[[#This Row],[_LeafWork]]&gt;0),MAX(Tasks[[#This Row],[_StartWorkday]],NETWORKDAYS.INTL(ProjectStart,Tasks[[#This Row],[_LeafFcstFinish]],WorkWeek,Holidays)),0)</f>
        <v>0</v>
      </c>
      <c r="CT92" s="41" t="n">
        <f aca="false">IF(AND(Tasks[[#This Row],[_IsLeaf]]=1,Tasks[[#This Row],[_LeafWork]]&gt;0),Tasks[[#This Row],[_LeafWork]]/(Tasks[[#This Row],[_FinishWorkday]]-Tasks[[#This Row],[_StartWorkday]]+1),0)</f>
        <v>0</v>
      </c>
      <c r="CU92" s="41" t="n">
        <f aca="false">Tasks[[#This Row],[_WorkPerWorkday]]*(Tasks[[#This Row],[_StartWorkday]]-1)</f>
        <v>-0</v>
      </c>
      <c r="CV92" s="41" t="n">
        <f aca="false">IF(Tasks[[#This Row],[_IsLeaf]]=1,MAX(N(Tasks[[#This Row],[Duration]]),0.1),0)</f>
        <v>0</v>
      </c>
      <c r="CW92" s="41" t="n">
        <f aca="false">Tasks[[#This Row],[_WeightDur]]*Tasks[[#This Row],[_LeafProgress]]</f>
        <v>0</v>
      </c>
      <c r="CX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2" s="41" t="str">
        <f aca="false">IF(Tasks[[#This Row],[Task Name]]="","",Tasks[[#This Row],[_Pred1UIDText]]&amp;IF(AND(Tasks[[#This Row],[_Pred1UIDText]]&lt;&gt;"",Tasks[[#This Row],[_Pred2UIDText]]&lt;&gt;""),",","")&amp;Tasks[[#This Row],[_Pred2UIDText]])</f>
        <v/>
      </c>
      <c r="DC92" s="41" t="str">
        <f aca="false">IF(AND(Tasks[[#This Row],[_IsLeaf]]=1,N(Tasks[[#This Row],[Duration]])=0,Tasks[[#This Row],[_LeafProgress]]&lt;1),Tasks[[#This Row],[_LeafFcstFinish]]+Tasks[[#This Row],[_Row]]/100000,"")</f>
        <v/>
      </c>
      <c r="DD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2" s="41" t="n">
        <f aca="false">IF(NOT(Tasks[[#This Row],[_IsLeaf]]=1),0,IF(Tasks[[#This Row],[Baseline Cost]]="",Tasks[[#This Row],[_LeafCost]],N(Tasks[[#This Row],[Baseline Cost]])))</f>
        <v>0</v>
      </c>
      <c r="DF92" s="41" t="n">
        <f aca="false">Tasks[[#This Row],[_LeafBudget]]*Tasks[[#This Row],[_PlannedPct]]</f>
        <v>0</v>
      </c>
      <c r="DG92" s="41" t="n">
        <f aca="false">Tasks[[#This Row],[_LeafBudget]]*Tasks[[#This Row],[_LeafProgress]]</f>
        <v>0</v>
      </c>
      <c r="DH92" s="41" t="n">
        <f aca="false">IF(NOT(Tasks[[#This Row],[_IsLeaf]]=1),0,IF(Tasks[[#This Row],[Actual Cost]]="",Tasks[[#This Row],[_LeafCost]]*Tasks[[#This Row],[_LeafProgress]],N(Tasks[[#This Row],[Actual Cost]])))</f>
        <v>0</v>
      </c>
      <c r="DI92" s="41" t="str">
        <f aca="false">IF(Tasks[[#This Row],[Task Name]]="","",LEFT(Tasks[[#This Row],[WBS]],FIND(".",Tasks[[#This Row],[WBS]]&amp;".")-1))</f>
        <v/>
      </c>
      <c r="DJ92" s="41" t="str">
        <f aca="false">IF(AND(Tasks[[#This Row],[Task Name]]&lt;&gt;"",Tasks[[#This Row],[_Level]]=1),Tasks[[#This Row],[_Row]],"")</f>
        <v/>
      </c>
      <c r="DK92" s="41" t="str">
        <f aca="false">IF(AND(Tasks[[#This Row],[_IsLeaf]]=1,N(Tasks[[#This Row],[Duration]])=0),Tasks[[#This Row],[Planned Finish]]+Tasks[[#This Row],[_Row]]/100000,"")</f>
        <v/>
      </c>
      <c r="DL92" s="41" t="str">
        <f aca="false">IF(AND(Tasks[[#This Row],[_IsLeaf]]=1,Tasks[[#This Row],[_LeafProgress]]&lt;1,OR(N(Tasks[[#This Row],[Finish Var]])&gt;0,Tasks[[#This Row],[Status]]="Late Start")),MAX(0,Tasks[[#This Row],[Finish Var]])+1-Tasks[[#This Row],[_Row]]/1000000,"")</f>
        <v/>
      </c>
      <c r="DM92" s="41" t="str">
        <f aca="false">IF(AND(Tasks[[#This Row],[_IsLeaf]]=1,N(Tasks[[#This Row],[Actual Start]])=0,Tasks[[#This Row],[_LeafFcstStart]]&gt;=StatusDate,Tasks[[#This Row],[_LeafFcstStart]]&lt;=LookaheadEnd),Tasks[[#This Row],[_LeafFcstStart]]+Tasks[[#This Row],[_Row]]/100000,"")</f>
        <v/>
      </c>
      <c r="DN92" s="41" t="str">
        <f aca="false">IF(AND(Tasks[[#This Row],[_IsLeaf]]=1,Tasks[[#This Row],[_LeafProgress]]&lt;1,Tasks[[#This Row],[_LeafFcstFinish]]&gt;=StatusDate,Tasks[[#This Row],[_LeafFcstFinish]]&lt;=LookaheadEnd),Tasks[[#This Row],[_LeafFcstFinish]]+Tasks[[#This Row],[_Row]]/100000,"")</f>
        <v/>
      </c>
      <c r="DO92" s="41" t="str">
        <f aca="false">IF(Tasks[[#This Row],[_LeafCritical]],Tasks[[#This Row],[_LeafFcstStart]]+Tasks[[#This Row],[_Row]]/100000,"")</f>
        <v/>
      </c>
      <c r="DP92" s="41" t="n">
        <f aca="false">Tasks[[#This Row],[_LeafWork]]*Tasks[[#This Row],[_LeafProgress]]</f>
        <v>0</v>
      </c>
      <c r="DQ92" s="103" t="str">
        <f aca="false">IF(AND(Tasks[[#This Row],[_IsLeaf]]=1,Tasks[[#This Row],[_LeafProgress]]&gt;=1),IF(N(Tasks[[#This Row],[Actual Finish]])&gt;0,Tasks[[#This Row],[Actual Finish]],Tasks[[#This Row],[_LeafFcstFinish]]),"")</f>
        <v/>
      </c>
      <c r="DR92" s="41" t="n">
        <f aca="false">IF(Tasks[[#This Row],[_IsLeaf]]=1,N(Tasks[[#This Row],[Story Points]]),0)</f>
        <v>0</v>
      </c>
      <c r="DS92" s="41" t="str">
        <f aca="false">IF(AND(Tasks[[#This Row],[_IsLeaf]]=1,CurrentSprint&lt;&gt;"",Tasks[[#This Row],[Sprint]]=CurrentSprint),Tasks[[#This Row],[_Row]],"")</f>
        <v/>
      </c>
    </row>
    <row r="93" customFormat="false" ht="15" hidden="false" customHeight="false" outlineLevel="0" collapsed="false">
      <c r="A93" s="28" t="str">
        <f aca="false">IF(Tasks[[#This Row],[Task Name]]="","",COUNTA(Tasks[[#Headers],[Task Name]]:Tasks[[#This Row],[Task Name]])-1)</f>
        <v/>
      </c>
      <c r="B93" s="29" t="n">
        <v>88</v>
      </c>
      <c r="C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29"/>
      <c r="E93" s="30"/>
      <c r="F93" s="29"/>
      <c r="G93" s="29"/>
      <c r="H93" s="29"/>
      <c r="I93" s="29"/>
      <c r="J93" s="29"/>
      <c r="K93" s="29"/>
      <c r="L93" s="29"/>
      <c r="M93" s="29"/>
      <c r="N93" s="77"/>
      <c r="O93" s="77"/>
      <c r="P93" s="25" t="str">
        <f aca="false">IF(Tasks[[#This Row],[Task Name]]="","",IF(N(Tasks[[#This Row],[Baseline Start]])&gt;0,Tasks[[#This Row],[Baseline Start]],Tasks[[#This Row],[_CalcStart]]))</f>
        <v/>
      </c>
      <c r="Q93" s="25" t="str">
        <f aca="false">IF(Tasks[[#This Row],[Task Name]]="","",IF(N(Tasks[[#This Row],[Baseline Finish]])&gt;0,Tasks[[#This Row],[Baseline Finish]],Tasks[[#This Row],[_CalcFinish]]))</f>
        <v/>
      </c>
      <c r="R93" s="77"/>
      <c r="S93" s="77"/>
      <c r="T93" s="25" t="str">
        <f aca="false">IF(Tasks[[#This Row],[Task Name]]="","",IF(Tasks[[#This Row],[_IsSummary]],MIN(INDEX(Tasks[_LeafFcstStart],Tasks[[#This Row],[_Row]]+1):INDEX(Tasks[_LeafFcstStart],Tasks[[#This Row],[_Row]]+Tasks[[#This Row],[_Descendants]])),Tasks[[#This Row],[_LeafFcstStart]]))</f>
        <v/>
      </c>
      <c r="U93" s="25" t="str">
        <f aca="false">IF(Tasks[[#This Row],[Task Name]]="","",IF(Tasks[[#This Row],[_IsSummary]],MAX(INDEX(Tasks[_LeafFcstFinish],Tasks[[#This Row],[_Row]]+1):INDEX(Tasks[_LeafFcstFinish],Tasks[[#This Row],[_Row]]+Tasks[[#This Row],[_Descendants]])),Tasks[[#This Row],[_LeafFcstFinish]]))</f>
        <v/>
      </c>
      <c r="V9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3" s="25" t="str">
        <f aca="false">IF(Tasks[[#This Row],[Task Name]]="","",IF(Tasks[[#This Row],[_IsSummary]],MIN(INDEX(Tasks[_LeafLateStart],Tasks[[#This Row],[_Row]]+1):INDEX(Tasks[_LeafLateStart],Tasks[[#This Row],[_Row]]+Tasks[[#This Row],[_Descendants]])),Tasks[[#This Row],[_LeafLateStart]]))</f>
        <v/>
      </c>
      <c r="Y93" s="25" t="str">
        <f aca="false">IF(Tasks[[#This Row],[Task Name]]="","",IF(Tasks[[#This Row],[_IsSummary]],MAX(INDEX(Tasks[_LeafLateFinish],Tasks[[#This Row],[_Row]]+1):INDEX(Tasks[_LeafLateFinish],Tasks[[#This Row],[_Row]]+Tasks[[#This Row],[_Descendants]])),Tasks[[#This Row],[_LeafLateFinish]]))</f>
        <v/>
      </c>
      <c r="Z93" s="43" t="str">
        <f aca="false">IF(Tasks[[#This Row],[Task Name]]="","",IF(Tasks[[#This Row],[_IsSummary]],MIN(INDEX(Tasks[_LeafTotalSlack],Tasks[[#This Row],[_Row]]+1):INDEX(Tasks[_LeafTotalSlack],Tasks[[#This Row],[_Row]]+Tasks[[#This Row],[_Descendants]])),Tasks[[#This Row],[_LeafTotalSlack]]))</f>
        <v/>
      </c>
      <c r="AA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3" s="28" t="str">
        <f aca="false">IF(Tasks[[#This Row],[Task Name]]="","",IF(IF(Tasks[[#This Row],[_IsSummary]],COUNTIF(INDEX(Tasks[_LeafCritical],Tasks[[#This Row],[_Row]]+1):INDEX(Tasks[_LeafCritical],Tasks[[#This Row],[_Row]]+Tasks[[#This Row],[_Descendants]]),TRUE())&gt;0,Tasks[[#This Row],[_LeafCritical]]),"Yes",""))</f>
        <v/>
      </c>
      <c r="AC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3" s="24" t="str">
        <f aca="false">IF(Tasks[[#This Row],[Task Name]]="","",TRIM(IF(Tasks[[#This Row],[_Pred1Problem]]&lt;&gt;"","Pred 1: "&amp;Tasks[[#This Row],[_Pred1Problem]]&amp;". ","")&amp;IF(Tasks[[#This Row],[_Pred2Problem]]&lt;&gt;"","Pred 2: "&amp;Tasks[[#This Row],[_Pred2Problem]]&amp;".","")))</f>
        <v/>
      </c>
      <c r="AE93" s="91"/>
      <c r="AF9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3" s="28" t="str">
        <f aca="false">IF(Tasks[[#This Row],[Task Name]]="","",IF(Tasks[[#This Row],[Progress]]&gt;=1,"Complete",IF(OR(N(Tasks[[#This Row],[Actual Start]])&gt;0,Tasks[[#This Row],[Progress]]&gt;0),IF(Tasks[[#This Row],[Finish Var]]&gt;0,"Behind","In Progress"),IF(Tasks[[#This Row],[Planned Start]]&lt;StatusDate,"Late Start","Not Started"))))</f>
        <v/>
      </c>
      <c r="AH93" s="30"/>
      <c r="AI93" s="91"/>
      <c r="AJ9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3" s="98" t="str">
        <f aca="false">IF(Tasks[[#This Row],[Task Name]]="","",IF(Tasks[[#This Row],[_IsSummary]],SUM(INDEX(Tasks[_LeafWork],Tasks[[#This Row],[_Row]]+1):INDEX(Tasks[_LeafWork],Tasks[[#This Row],[_Row]]+Tasks[[#This Row],[_Descendants]])),Tasks[[#This Row],[_LeafWork]]))</f>
        <v/>
      </c>
      <c r="AL93" s="99" t="str">
        <f aca="false">IF(Tasks[[#This Row],[Task Name]]="","",IF(Tasks[[#This Row],[_IsSummary]],SUM(INDEX(Tasks[_LeafCost],Tasks[[#This Row],[_Row]]+1):INDEX(Tasks[_LeafCost],Tasks[[#This Row],[_Row]]+Tasks[[#This Row],[_Descendants]])),Tasks[[#This Row],[_LeafCost]]))</f>
        <v/>
      </c>
      <c r="AM93" s="100"/>
      <c r="AN93" s="29"/>
      <c r="AO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3" s="85"/>
      <c r="AQ93" s="24" t="str">
        <f aca="false">IF(Tasks[[#This Row],[Task Name]]="","",Tasks[[#This Row],[_Pred1IDText]]&amp;IF(AND(Tasks[[#This Row],[_Pred1IDText]]&lt;&gt;"",Tasks[[#This Row],[_Pred2IDText]]&lt;&gt;""),",","")&amp;Tasks[[#This Row],[_Pred2IDText]])</f>
        <v/>
      </c>
      <c r="AR93" s="30"/>
      <c r="AS93" s="25" t="str">
        <f aca="false">IF(Tasks[[#This Row],[Task Name]]="","",Tasks[[#This Row],[Forecast Start]])</f>
        <v/>
      </c>
      <c r="AT93" s="25" t="str">
        <f aca="false">IF(Tasks[[#This Row],[Task Name]]="","",Tasks[[#This Row],[Forecast Finish]])</f>
        <v/>
      </c>
      <c r="AU93" s="28" t="str">
        <f aca="false">IF(Tasks[[#This Row],[Task Name]]="","",IF(Tasks[[#This Row],[_IsSummary]],NETWORKDAYS.INTL(Tasks[[#This Row],[Forecast Start]],Tasks[[#This Row],[Forecast Finish]],WorkWeek,Holidays),N(Tasks[[#This Row],[Duration]])))</f>
        <v/>
      </c>
      <c r="AV93" s="98" t="str">
        <f aca="false">IF(Tasks[[#This Row],[Task Name]]="","",Tasks[[#This Row],[Work]])</f>
        <v/>
      </c>
      <c r="AW93" s="99" t="str">
        <f aca="false">IF(Tasks[[#This Row],[Task Name]]="","",Tasks[[#This Row],[Cost]])</f>
        <v/>
      </c>
      <c r="AX93" s="77"/>
      <c r="AY93" s="77"/>
      <c r="AZ93" s="29"/>
      <c r="BA93" s="101"/>
      <c r="BB93" s="100"/>
      <c r="BC93" s="28" t="str">
        <f aca="false">IF(OR(Tasks[[#This Row],[Task Name]]="",Tasks[[#This Row],[Baseline Duration]]=""),"",Tasks[[#This Row],[BL Source Duration]]-N(Tasks[[#This Row],[Baseline Duration]]))</f>
        <v/>
      </c>
      <c r="BD93" s="98" t="str">
        <f aca="false">IF(OR(Tasks[[#This Row],[Task Name]]="",Tasks[[#This Row],[Baseline Work]]=""),"",Tasks[[#This Row],[Work]]-N(Tasks[[#This Row],[Baseline Work]]))</f>
        <v/>
      </c>
      <c r="BE93" s="99" t="str">
        <f aca="false">IF(OR(Tasks[[#This Row],[Task Name]]="",Tasks[[#This Row],[Baseline Cost]]=""),"",Tasks[[#This Row],[Cost]]-N(Tasks[[#This Row],[Baseline Cost]]))</f>
        <v/>
      </c>
      <c r="BF93" s="99" t="str">
        <f aca="false">IF(Tasks[[#This Row],[Task Name]]="","",IF(Tasks[[#This Row],[_IsSummary]],SUM(INDEX(Tasks[_LeafBudget],Tasks[[#This Row],[_Row]]+1):INDEX(Tasks[_LeafBudget],Tasks[[#This Row],[_Row]]+Tasks[[#This Row],[_Descendants]])),Tasks[[#This Row],[_LeafBudget]]))</f>
        <v/>
      </c>
      <c r="BG93" s="99" t="str">
        <f aca="false">IF(Tasks[[#This Row],[Task Name]]="","",IF(Tasks[[#This Row],[_IsSummary]],SUM(INDEX(Tasks[_LeafPV],Tasks[[#This Row],[_Row]]+1):INDEX(Tasks[_LeafPV],Tasks[[#This Row],[_Row]]+Tasks[[#This Row],[_Descendants]])),Tasks[[#This Row],[_LeafPV]]))</f>
        <v/>
      </c>
      <c r="BH93" s="99" t="str">
        <f aca="false">IF(Tasks[[#This Row],[Task Name]]="","",IF(Tasks[[#This Row],[_IsSummary]],SUM(INDEX(Tasks[_LeafEV],Tasks[[#This Row],[_Row]]+1):INDEX(Tasks[_LeafEV],Tasks[[#This Row],[_Row]]+Tasks[[#This Row],[_Descendants]])),Tasks[[#This Row],[_LeafEV]]))</f>
        <v/>
      </c>
      <c r="BI93" s="99" t="str">
        <f aca="false">IF(Tasks[[#This Row],[Task Name]]="","",IF(Tasks[[#This Row],[_IsSummary]],SUM(INDEX(Tasks[_LeafAC],Tasks[[#This Row],[_Row]]+1):INDEX(Tasks[_LeafAC],Tasks[[#This Row],[_Row]]+Tasks[[#This Row],[_Descendants]])),Tasks[[#This Row],[_LeafAC]]))</f>
        <v/>
      </c>
      <c r="BJ93" s="41" t="str">
        <f aca="false">IF(Tasks[[#This Row],[Task Name]]="","",MAX(1,N(Tasks[[#This Row],[Level]])))</f>
        <v/>
      </c>
      <c r="BK93" s="41" t="n">
        <f aca="false">ROW()-ROW(Tasks[[#Headers],[ID]])</f>
        <v>88</v>
      </c>
      <c r="BL93" s="41" t="n">
        <f aca="false">IF(OR(Tasks[[#This Row],[Task Name]]="",Tasks[[#This Row],[_Level]]&lt;=1),0,IFERROR(LOOKUP(2,1/(Tasks[[#Headers],[_Level]]:Tasks[[#This Row],[_Level]]=Tasks[[#This Row],[_Level]]-1),ROW(Tasks[[#Headers],[_Level]]:Tasks[[#This Row],[_Level]])),0))</f>
        <v>0</v>
      </c>
      <c r="BM93" s="41" t="n">
        <f aca="false">IFERROR(N(INDEX(Tasks[_Level],Tasks[[#This Row],[_Row]]+1)),0)</f>
        <v>0</v>
      </c>
      <c r="BN93" s="102" t="b">
        <f aca="false">AND(Tasks[[#This Row],[Task Name]]&lt;&gt;"",Tasks[[#This Row],[_NextLevel]]&gt;Tasks[[#This Row],[_Level]])</f>
        <v>0</v>
      </c>
      <c r="BO93" s="41" t="n">
        <f aca="false">IF(Tasks[[#This Row],[_IsSummary]],COUNTIF(Tasks[WBS],Tasks[[#This Row],[WBS]]&amp;".*"),0)</f>
        <v>0</v>
      </c>
      <c r="BP93" s="41" t="n">
        <f aca="false">IF(AND(Tasks[[#This Row],[Task Name]]&lt;&gt;"",NOT(Tasks[[#This Row],[_IsSummary]])),1,0)</f>
        <v>0</v>
      </c>
      <c r="BQ93" s="41" t="n">
        <f aca="false">IF(N(Tasks[[#This Row],[Pred1 UID]])=0,0,IFERROR(MATCH(Tasks[[#This Row],[Pred1 UID]],Tasks[UID],0),-1))</f>
        <v>0</v>
      </c>
      <c r="BR93" s="41" t="n">
        <f aca="false">IF(N(Tasks[[#This Row],[Pred2 UID]])=0,0,IFERROR(MATCH(Tasks[[#This Row],[Pred2 UID]],Tasks[UID],0),-1))</f>
        <v>0</v>
      </c>
      <c r="BS9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3" s="103" t="str">
        <f aca="false">IF(NOT(Tasks[[#This Row],[_IsLeaf]]=1),"",IF(N(Tasks[[#This Row],[Duration]])&lt;=0,Tasks[[#This Row],[_LeafCalcStart]],WORKDAY.INTL(Tasks[[#This Row],[_LeafCalcStart]],Tasks[[#This Row],[Duration]]-1,WorkWeek,Holidays)))</f>
        <v/>
      </c>
      <c r="BU9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3" s="41" t="n">
        <f aca="false">IF(NOT(Tasks[[#This Row],[_IsLeaf]]=1),0,IF(N(Tasks[[#This Row],[Actual Finish]])&gt;0,1,MIN(1,N(Tasks[[#This Row],[% Complete]]))))</f>
        <v>0</v>
      </c>
      <c r="BX93" s="41" t="n">
        <f aca="false">IF(OR(NOT(Tasks[[#This Row],[_IsLeaf]]=1),Tasks[[#This Row],[Resource]]=""),0,N(Tasks[[#This Row],[Duration]])*HoursPerDay*IF(Tasks[[#This Row],[Units]]="",DefaultUnits,Tasks[[#This Row],[Units]]))</f>
        <v>0</v>
      </c>
      <c r="BY93" s="41" t="n">
        <f aca="false">IF(Tasks[[#This Row],[_LeafWork]]=0,0,Tasks[[#This Row],[_LeafWork]]*IFERROR(INDEX(res_Rate,MATCH(Tasks[[#This Row],[Resource]],res_Name,0)),0))</f>
        <v>0</v>
      </c>
      <c r="BZ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3" s="41" t="n">
        <f aca="false">IF(NOT(Tasks[[#This Row],[_IsLeaf]]=1),0,MAX(_xlfn.MAXIFS(Tasks[_Row],Tasks[Pred1 UID],Tasks[[#This Row],[UID]]),_xlfn.MAXIFS(Tasks[_Row],Tasks[Pred2 UID],Tasks[[#This Row],[UID]])))</f>
        <v>0</v>
      </c>
      <c r="CE9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3" s="103" t="str">
        <f aca="false">IF(NOT(Tasks[[#This Row],[_IsLeaf]]=1),"",MIN(ProjectFinish,IF(N(Tasks[[#This Row],[Deadline]])&gt;0,Tasks[[#This Row],[Deadline]],2958465),Tasks[[#This Row],[_SuccessorFinishLimit]]))</f>
        <v/>
      </c>
      <c r="CG93" s="103" t="str">
        <f aca="false">IF(NOT(Tasks[[#This Row],[_IsLeaf]]=1),"",IF(N(Tasks[[#This Row],[Duration]])&lt;=0,Tasks[[#This Row],[_LeafLateFinish]],WORKDAY.INTL(Tasks[[#This Row],[_LeafLateFinish]],-(Tasks[[#This Row],[Duration]]-1),WorkWeek,Holidays)))</f>
        <v/>
      </c>
      <c r="CH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3" s="102" t="b">
        <f aca="false">AND(Tasks[[#This Row],[_IsLeaf]]=1,Tasks[[#This Row],[_LeafProgress]]&lt;1,N(Tasks[[#This Row],[_LeafTotalSlack]])&lt;=CriticalSlackDays)</f>
        <v>0</v>
      </c>
      <c r="CJ93" s="103" t="str">
        <f aca="false">IF(Tasks[[#This Row],[Task Name]]="","",IF(Tasks[[#This Row],[_IsSummary]],MIN(INDEX(Tasks[_LeafCalcStart],Tasks[[#This Row],[_Row]]+1):INDEX(Tasks[_LeafCalcStart],Tasks[[#This Row],[_Row]]+Tasks[[#This Row],[_Descendants]])),Tasks[[#This Row],[_LeafCalcStart]]))</f>
        <v/>
      </c>
      <c r="CK93" s="103" t="str">
        <f aca="false">IF(Tasks[[#This Row],[Task Name]]="","",IF(Tasks[[#This Row],[_IsSummary]],MAX(INDEX(Tasks[_LeafCalcFinish],Tasks[[#This Row],[_Row]]+1):INDEX(Tasks[_LeafCalcFinish],Tasks[[#This Row],[_Row]]+Tasks[[#This Row],[_Descendants]])),Tasks[[#This Row],[_LeafCalcFinish]]))</f>
        <v/>
      </c>
      <c r="CL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3" s="41" t="n">
        <f aca="false">IF(AND(Tasks[[#This Row],[_IsLeaf]]=1,Tasks[[#This Row],[_LeafWork]]&gt;0),NETWORKDAYS.INTL(ProjectStart,Tasks[[#This Row],[_LeafFcstStart]],WorkWeek,Holidays),0)</f>
        <v>0</v>
      </c>
      <c r="CS93" s="41" t="n">
        <f aca="false">IF(AND(Tasks[[#This Row],[_IsLeaf]]=1,Tasks[[#This Row],[_LeafWork]]&gt;0),MAX(Tasks[[#This Row],[_StartWorkday]],NETWORKDAYS.INTL(ProjectStart,Tasks[[#This Row],[_LeafFcstFinish]],WorkWeek,Holidays)),0)</f>
        <v>0</v>
      </c>
      <c r="CT93" s="41" t="n">
        <f aca="false">IF(AND(Tasks[[#This Row],[_IsLeaf]]=1,Tasks[[#This Row],[_LeafWork]]&gt;0),Tasks[[#This Row],[_LeafWork]]/(Tasks[[#This Row],[_FinishWorkday]]-Tasks[[#This Row],[_StartWorkday]]+1),0)</f>
        <v>0</v>
      </c>
      <c r="CU93" s="41" t="n">
        <f aca="false">Tasks[[#This Row],[_WorkPerWorkday]]*(Tasks[[#This Row],[_StartWorkday]]-1)</f>
        <v>-0</v>
      </c>
      <c r="CV93" s="41" t="n">
        <f aca="false">IF(Tasks[[#This Row],[_IsLeaf]]=1,MAX(N(Tasks[[#This Row],[Duration]]),0.1),0)</f>
        <v>0</v>
      </c>
      <c r="CW93" s="41" t="n">
        <f aca="false">Tasks[[#This Row],[_WeightDur]]*Tasks[[#This Row],[_LeafProgress]]</f>
        <v>0</v>
      </c>
      <c r="CX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3" s="41" t="str">
        <f aca="false">IF(Tasks[[#This Row],[Task Name]]="","",Tasks[[#This Row],[_Pred1UIDText]]&amp;IF(AND(Tasks[[#This Row],[_Pred1UIDText]]&lt;&gt;"",Tasks[[#This Row],[_Pred2UIDText]]&lt;&gt;""),",","")&amp;Tasks[[#This Row],[_Pred2UIDText]])</f>
        <v/>
      </c>
      <c r="DC93" s="41" t="str">
        <f aca="false">IF(AND(Tasks[[#This Row],[_IsLeaf]]=1,N(Tasks[[#This Row],[Duration]])=0,Tasks[[#This Row],[_LeafProgress]]&lt;1),Tasks[[#This Row],[_LeafFcstFinish]]+Tasks[[#This Row],[_Row]]/100000,"")</f>
        <v/>
      </c>
      <c r="DD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3" s="41" t="n">
        <f aca="false">IF(NOT(Tasks[[#This Row],[_IsLeaf]]=1),0,IF(Tasks[[#This Row],[Baseline Cost]]="",Tasks[[#This Row],[_LeafCost]],N(Tasks[[#This Row],[Baseline Cost]])))</f>
        <v>0</v>
      </c>
      <c r="DF93" s="41" t="n">
        <f aca="false">Tasks[[#This Row],[_LeafBudget]]*Tasks[[#This Row],[_PlannedPct]]</f>
        <v>0</v>
      </c>
      <c r="DG93" s="41" t="n">
        <f aca="false">Tasks[[#This Row],[_LeafBudget]]*Tasks[[#This Row],[_LeafProgress]]</f>
        <v>0</v>
      </c>
      <c r="DH93" s="41" t="n">
        <f aca="false">IF(NOT(Tasks[[#This Row],[_IsLeaf]]=1),0,IF(Tasks[[#This Row],[Actual Cost]]="",Tasks[[#This Row],[_LeafCost]]*Tasks[[#This Row],[_LeafProgress]],N(Tasks[[#This Row],[Actual Cost]])))</f>
        <v>0</v>
      </c>
      <c r="DI93" s="41" t="str">
        <f aca="false">IF(Tasks[[#This Row],[Task Name]]="","",LEFT(Tasks[[#This Row],[WBS]],FIND(".",Tasks[[#This Row],[WBS]]&amp;".")-1))</f>
        <v/>
      </c>
      <c r="DJ93" s="41" t="str">
        <f aca="false">IF(AND(Tasks[[#This Row],[Task Name]]&lt;&gt;"",Tasks[[#This Row],[_Level]]=1),Tasks[[#This Row],[_Row]],"")</f>
        <v/>
      </c>
      <c r="DK93" s="41" t="str">
        <f aca="false">IF(AND(Tasks[[#This Row],[_IsLeaf]]=1,N(Tasks[[#This Row],[Duration]])=0),Tasks[[#This Row],[Planned Finish]]+Tasks[[#This Row],[_Row]]/100000,"")</f>
        <v/>
      </c>
      <c r="DL93" s="41" t="str">
        <f aca="false">IF(AND(Tasks[[#This Row],[_IsLeaf]]=1,Tasks[[#This Row],[_LeafProgress]]&lt;1,OR(N(Tasks[[#This Row],[Finish Var]])&gt;0,Tasks[[#This Row],[Status]]="Late Start")),MAX(0,Tasks[[#This Row],[Finish Var]])+1-Tasks[[#This Row],[_Row]]/1000000,"")</f>
        <v/>
      </c>
      <c r="DM93" s="41" t="str">
        <f aca="false">IF(AND(Tasks[[#This Row],[_IsLeaf]]=1,N(Tasks[[#This Row],[Actual Start]])=0,Tasks[[#This Row],[_LeafFcstStart]]&gt;=StatusDate,Tasks[[#This Row],[_LeafFcstStart]]&lt;=LookaheadEnd),Tasks[[#This Row],[_LeafFcstStart]]+Tasks[[#This Row],[_Row]]/100000,"")</f>
        <v/>
      </c>
      <c r="DN93" s="41" t="str">
        <f aca="false">IF(AND(Tasks[[#This Row],[_IsLeaf]]=1,Tasks[[#This Row],[_LeafProgress]]&lt;1,Tasks[[#This Row],[_LeafFcstFinish]]&gt;=StatusDate,Tasks[[#This Row],[_LeafFcstFinish]]&lt;=LookaheadEnd),Tasks[[#This Row],[_LeafFcstFinish]]+Tasks[[#This Row],[_Row]]/100000,"")</f>
        <v/>
      </c>
      <c r="DO93" s="41" t="str">
        <f aca="false">IF(Tasks[[#This Row],[_LeafCritical]],Tasks[[#This Row],[_LeafFcstStart]]+Tasks[[#This Row],[_Row]]/100000,"")</f>
        <v/>
      </c>
      <c r="DP93" s="41" t="n">
        <f aca="false">Tasks[[#This Row],[_LeafWork]]*Tasks[[#This Row],[_LeafProgress]]</f>
        <v>0</v>
      </c>
      <c r="DQ93" s="103" t="str">
        <f aca="false">IF(AND(Tasks[[#This Row],[_IsLeaf]]=1,Tasks[[#This Row],[_LeafProgress]]&gt;=1),IF(N(Tasks[[#This Row],[Actual Finish]])&gt;0,Tasks[[#This Row],[Actual Finish]],Tasks[[#This Row],[_LeafFcstFinish]]),"")</f>
        <v/>
      </c>
      <c r="DR93" s="41" t="n">
        <f aca="false">IF(Tasks[[#This Row],[_IsLeaf]]=1,N(Tasks[[#This Row],[Story Points]]),0)</f>
        <v>0</v>
      </c>
      <c r="DS93" s="41" t="str">
        <f aca="false">IF(AND(Tasks[[#This Row],[_IsLeaf]]=1,CurrentSprint&lt;&gt;"",Tasks[[#This Row],[Sprint]]=CurrentSprint),Tasks[[#This Row],[_Row]],"")</f>
        <v/>
      </c>
    </row>
    <row r="94" customFormat="false" ht="15" hidden="false" customHeight="false" outlineLevel="0" collapsed="false">
      <c r="A94" s="28" t="str">
        <f aca="false">IF(Tasks[[#This Row],[Task Name]]="","",COUNTA(Tasks[[#Headers],[Task Name]]:Tasks[[#This Row],[Task Name]])-1)</f>
        <v/>
      </c>
      <c r="B94" s="29" t="n">
        <v>89</v>
      </c>
      <c r="C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29"/>
      <c r="E94" s="30"/>
      <c r="F94" s="29"/>
      <c r="G94" s="29"/>
      <c r="H94" s="29"/>
      <c r="I94" s="29"/>
      <c r="J94" s="29"/>
      <c r="K94" s="29"/>
      <c r="L94" s="29"/>
      <c r="M94" s="29"/>
      <c r="N94" s="77"/>
      <c r="O94" s="77"/>
      <c r="P94" s="25" t="str">
        <f aca="false">IF(Tasks[[#This Row],[Task Name]]="","",IF(N(Tasks[[#This Row],[Baseline Start]])&gt;0,Tasks[[#This Row],[Baseline Start]],Tasks[[#This Row],[_CalcStart]]))</f>
        <v/>
      </c>
      <c r="Q94" s="25" t="str">
        <f aca="false">IF(Tasks[[#This Row],[Task Name]]="","",IF(N(Tasks[[#This Row],[Baseline Finish]])&gt;0,Tasks[[#This Row],[Baseline Finish]],Tasks[[#This Row],[_CalcFinish]]))</f>
        <v/>
      </c>
      <c r="R94" s="77"/>
      <c r="S94" s="77"/>
      <c r="T94" s="25" t="str">
        <f aca="false">IF(Tasks[[#This Row],[Task Name]]="","",IF(Tasks[[#This Row],[_IsSummary]],MIN(INDEX(Tasks[_LeafFcstStart],Tasks[[#This Row],[_Row]]+1):INDEX(Tasks[_LeafFcstStart],Tasks[[#This Row],[_Row]]+Tasks[[#This Row],[_Descendants]])),Tasks[[#This Row],[_LeafFcstStart]]))</f>
        <v/>
      </c>
      <c r="U94" s="25" t="str">
        <f aca="false">IF(Tasks[[#This Row],[Task Name]]="","",IF(Tasks[[#This Row],[_IsSummary]],MAX(INDEX(Tasks[_LeafFcstFinish],Tasks[[#This Row],[_Row]]+1):INDEX(Tasks[_LeafFcstFinish],Tasks[[#This Row],[_Row]]+Tasks[[#This Row],[_Descendants]])),Tasks[[#This Row],[_LeafFcstFinish]]))</f>
        <v/>
      </c>
      <c r="V9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4" s="25" t="str">
        <f aca="false">IF(Tasks[[#This Row],[Task Name]]="","",IF(Tasks[[#This Row],[_IsSummary]],MIN(INDEX(Tasks[_LeafLateStart],Tasks[[#This Row],[_Row]]+1):INDEX(Tasks[_LeafLateStart],Tasks[[#This Row],[_Row]]+Tasks[[#This Row],[_Descendants]])),Tasks[[#This Row],[_LeafLateStart]]))</f>
        <v/>
      </c>
      <c r="Y94" s="25" t="str">
        <f aca="false">IF(Tasks[[#This Row],[Task Name]]="","",IF(Tasks[[#This Row],[_IsSummary]],MAX(INDEX(Tasks[_LeafLateFinish],Tasks[[#This Row],[_Row]]+1):INDEX(Tasks[_LeafLateFinish],Tasks[[#This Row],[_Row]]+Tasks[[#This Row],[_Descendants]])),Tasks[[#This Row],[_LeafLateFinish]]))</f>
        <v/>
      </c>
      <c r="Z94" s="43" t="str">
        <f aca="false">IF(Tasks[[#This Row],[Task Name]]="","",IF(Tasks[[#This Row],[_IsSummary]],MIN(INDEX(Tasks[_LeafTotalSlack],Tasks[[#This Row],[_Row]]+1):INDEX(Tasks[_LeafTotalSlack],Tasks[[#This Row],[_Row]]+Tasks[[#This Row],[_Descendants]])),Tasks[[#This Row],[_LeafTotalSlack]]))</f>
        <v/>
      </c>
      <c r="AA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4" s="28" t="str">
        <f aca="false">IF(Tasks[[#This Row],[Task Name]]="","",IF(IF(Tasks[[#This Row],[_IsSummary]],COUNTIF(INDEX(Tasks[_LeafCritical],Tasks[[#This Row],[_Row]]+1):INDEX(Tasks[_LeafCritical],Tasks[[#This Row],[_Row]]+Tasks[[#This Row],[_Descendants]]),TRUE())&gt;0,Tasks[[#This Row],[_LeafCritical]]),"Yes",""))</f>
        <v/>
      </c>
      <c r="AC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4" s="24" t="str">
        <f aca="false">IF(Tasks[[#This Row],[Task Name]]="","",TRIM(IF(Tasks[[#This Row],[_Pred1Problem]]&lt;&gt;"","Pred 1: "&amp;Tasks[[#This Row],[_Pred1Problem]]&amp;". ","")&amp;IF(Tasks[[#This Row],[_Pred2Problem]]&lt;&gt;"","Pred 2: "&amp;Tasks[[#This Row],[_Pred2Problem]]&amp;".","")))</f>
        <v/>
      </c>
      <c r="AE94" s="91"/>
      <c r="AF9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4" s="28" t="str">
        <f aca="false">IF(Tasks[[#This Row],[Task Name]]="","",IF(Tasks[[#This Row],[Progress]]&gt;=1,"Complete",IF(OR(N(Tasks[[#This Row],[Actual Start]])&gt;0,Tasks[[#This Row],[Progress]]&gt;0),IF(Tasks[[#This Row],[Finish Var]]&gt;0,"Behind","In Progress"),IF(Tasks[[#This Row],[Planned Start]]&lt;StatusDate,"Late Start","Not Started"))))</f>
        <v/>
      </c>
      <c r="AH94" s="30"/>
      <c r="AI94" s="91"/>
      <c r="AJ9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4" s="98" t="str">
        <f aca="false">IF(Tasks[[#This Row],[Task Name]]="","",IF(Tasks[[#This Row],[_IsSummary]],SUM(INDEX(Tasks[_LeafWork],Tasks[[#This Row],[_Row]]+1):INDEX(Tasks[_LeafWork],Tasks[[#This Row],[_Row]]+Tasks[[#This Row],[_Descendants]])),Tasks[[#This Row],[_LeafWork]]))</f>
        <v/>
      </c>
      <c r="AL94" s="99" t="str">
        <f aca="false">IF(Tasks[[#This Row],[Task Name]]="","",IF(Tasks[[#This Row],[_IsSummary]],SUM(INDEX(Tasks[_LeafCost],Tasks[[#This Row],[_Row]]+1):INDEX(Tasks[_LeafCost],Tasks[[#This Row],[_Row]]+Tasks[[#This Row],[_Descendants]])),Tasks[[#This Row],[_LeafCost]]))</f>
        <v/>
      </c>
      <c r="AM94" s="100"/>
      <c r="AN94" s="29"/>
      <c r="AO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4" s="85"/>
      <c r="AQ94" s="24" t="str">
        <f aca="false">IF(Tasks[[#This Row],[Task Name]]="","",Tasks[[#This Row],[_Pred1IDText]]&amp;IF(AND(Tasks[[#This Row],[_Pred1IDText]]&lt;&gt;"",Tasks[[#This Row],[_Pred2IDText]]&lt;&gt;""),",","")&amp;Tasks[[#This Row],[_Pred2IDText]])</f>
        <v/>
      </c>
      <c r="AR94" s="30"/>
      <c r="AS94" s="25" t="str">
        <f aca="false">IF(Tasks[[#This Row],[Task Name]]="","",Tasks[[#This Row],[Forecast Start]])</f>
        <v/>
      </c>
      <c r="AT94" s="25" t="str">
        <f aca="false">IF(Tasks[[#This Row],[Task Name]]="","",Tasks[[#This Row],[Forecast Finish]])</f>
        <v/>
      </c>
      <c r="AU94" s="28" t="str">
        <f aca="false">IF(Tasks[[#This Row],[Task Name]]="","",IF(Tasks[[#This Row],[_IsSummary]],NETWORKDAYS.INTL(Tasks[[#This Row],[Forecast Start]],Tasks[[#This Row],[Forecast Finish]],WorkWeek,Holidays),N(Tasks[[#This Row],[Duration]])))</f>
        <v/>
      </c>
      <c r="AV94" s="98" t="str">
        <f aca="false">IF(Tasks[[#This Row],[Task Name]]="","",Tasks[[#This Row],[Work]])</f>
        <v/>
      </c>
      <c r="AW94" s="99" t="str">
        <f aca="false">IF(Tasks[[#This Row],[Task Name]]="","",Tasks[[#This Row],[Cost]])</f>
        <v/>
      </c>
      <c r="AX94" s="77"/>
      <c r="AY94" s="77"/>
      <c r="AZ94" s="29"/>
      <c r="BA94" s="101"/>
      <c r="BB94" s="100"/>
      <c r="BC94" s="28" t="str">
        <f aca="false">IF(OR(Tasks[[#This Row],[Task Name]]="",Tasks[[#This Row],[Baseline Duration]]=""),"",Tasks[[#This Row],[BL Source Duration]]-N(Tasks[[#This Row],[Baseline Duration]]))</f>
        <v/>
      </c>
      <c r="BD94" s="98" t="str">
        <f aca="false">IF(OR(Tasks[[#This Row],[Task Name]]="",Tasks[[#This Row],[Baseline Work]]=""),"",Tasks[[#This Row],[Work]]-N(Tasks[[#This Row],[Baseline Work]]))</f>
        <v/>
      </c>
      <c r="BE94" s="99" t="str">
        <f aca="false">IF(OR(Tasks[[#This Row],[Task Name]]="",Tasks[[#This Row],[Baseline Cost]]=""),"",Tasks[[#This Row],[Cost]]-N(Tasks[[#This Row],[Baseline Cost]]))</f>
        <v/>
      </c>
      <c r="BF94" s="99" t="str">
        <f aca="false">IF(Tasks[[#This Row],[Task Name]]="","",IF(Tasks[[#This Row],[_IsSummary]],SUM(INDEX(Tasks[_LeafBudget],Tasks[[#This Row],[_Row]]+1):INDEX(Tasks[_LeafBudget],Tasks[[#This Row],[_Row]]+Tasks[[#This Row],[_Descendants]])),Tasks[[#This Row],[_LeafBudget]]))</f>
        <v/>
      </c>
      <c r="BG94" s="99" t="str">
        <f aca="false">IF(Tasks[[#This Row],[Task Name]]="","",IF(Tasks[[#This Row],[_IsSummary]],SUM(INDEX(Tasks[_LeafPV],Tasks[[#This Row],[_Row]]+1):INDEX(Tasks[_LeafPV],Tasks[[#This Row],[_Row]]+Tasks[[#This Row],[_Descendants]])),Tasks[[#This Row],[_LeafPV]]))</f>
        <v/>
      </c>
      <c r="BH94" s="99" t="str">
        <f aca="false">IF(Tasks[[#This Row],[Task Name]]="","",IF(Tasks[[#This Row],[_IsSummary]],SUM(INDEX(Tasks[_LeafEV],Tasks[[#This Row],[_Row]]+1):INDEX(Tasks[_LeafEV],Tasks[[#This Row],[_Row]]+Tasks[[#This Row],[_Descendants]])),Tasks[[#This Row],[_LeafEV]]))</f>
        <v/>
      </c>
      <c r="BI94" s="99" t="str">
        <f aca="false">IF(Tasks[[#This Row],[Task Name]]="","",IF(Tasks[[#This Row],[_IsSummary]],SUM(INDEX(Tasks[_LeafAC],Tasks[[#This Row],[_Row]]+1):INDEX(Tasks[_LeafAC],Tasks[[#This Row],[_Row]]+Tasks[[#This Row],[_Descendants]])),Tasks[[#This Row],[_LeafAC]]))</f>
        <v/>
      </c>
      <c r="BJ94" s="41" t="str">
        <f aca="false">IF(Tasks[[#This Row],[Task Name]]="","",MAX(1,N(Tasks[[#This Row],[Level]])))</f>
        <v/>
      </c>
      <c r="BK94" s="41" t="n">
        <f aca="false">ROW()-ROW(Tasks[[#Headers],[ID]])</f>
        <v>89</v>
      </c>
      <c r="BL94" s="41" t="n">
        <f aca="false">IF(OR(Tasks[[#This Row],[Task Name]]="",Tasks[[#This Row],[_Level]]&lt;=1),0,IFERROR(LOOKUP(2,1/(Tasks[[#Headers],[_Level]]:Tasks[[#This Row],[_Level]]=Tasks[[#This Row],[_Level]]-1),ROW(Tasks[[#Headers],[_Level]]:Tasks[[#This Row],[_Level]])),0))</f>
        <v>0</v>
      </c>
      <c r="BM94" s="41" t="n">
        <f aca="false">IFERROR(N(INDEX(Tasks[_Level],Tasks[[#This Row],[_Row]]+1)),0)</f>
        <v>0</v>
      </c>
      <c r="BN94" s="102" t="b">
        <f aca="false">AND(Tasks[[#This Row],[Task Name]]&lt;&gt;"",Tasks[[#This Row],[_NextLevel]]&gt;Tasks[[#This Row],[_Level]])</f>
        <v>0</v>
      </c>
      <c r="BO94" s="41" t="n">
        <f aca="false">IF(Tasks[[#This Row],[_IsSummary]],COUNTIF(Tasks[WBS],Tasks[[#This Row],[WBS]]&amp;".*"),0)</f>
        <v>0</v>
      </c>
      <c r="BP94" s="41" t="n">
        <f aca="false">IF(AND(Tasks[[#This Row],[Task Name]]&lt;&gt;"",NOT(Tasks[[#This Row],[_IsSummary]])),1,0)</f>
        <v>0</v>
      </c>
      <c r="BQ94" s="41" t="n">
        <f aca="false">IF(N(Tasks[[#This Row],[Pred1 UID]])=0,0,IFERROR(MATCH(Tasks[[#This Row],[Pred1 UID]],Tasks[UID],0),-1))</f>
        <v>0</v>
      </c>
      <c r="BR94" s="41" t="n">
        <f aca="false">IF(N(Tasks[[#This Row],[Pred2 UID]])=0,0,IFERROR(MATCH(Tasks[[#This Row],[Pred2 UID]],Tasks[UID],0),-1))</f>
        <v>0</v>
      </c>
      <c r="BS9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4" s="103" t="str">
        <f aca="false">IF(NOT(Tasks[[#This Row],[_IsLeaf]]=1),"",IF(N(Tasks[[#This Row],[Duration]])&lt;=0,Tasks[[#This Row],[_LeafCalcStart]],WORKDAY.INTL(Tasks[[#This Row],[_LeafCalcStart]],Tasks[[#This Row],[Duration]]-1,WorkWeek,Holidays)))</f>
        <v/>
      </c>
      <c r="BU9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4" s="41" t="n">
        <f aca="false">IF(NOT(Tasks[[#This Row],[_IsLeaf]]=1),0,IF(N(Tasks[[#This Row],[Actual Finish]])&gt;0,1,MIN(1,N(Tasks[[#This Row],[% Complete]]))))</f>
        <v>0</v>
      </c>
      <c r="BX94" s="41" t="n">
        <f aca="false">IF(OR(NOT(Tasks[[#This Row],[_IsLeaf]]=1),Tasks[[#This Row],[Resource]]=""),0,N(Tasks[[#This Row],[Duration]])*HoursPerDay*IF(Tasks[[#This Row],[Units]]="",DefaultUnits,Tasks[[#This Row],[Units]]))</f>
        <v>0</v>
      </c>
      <c r="BY94" s="41" t="n">
        <f aca="false">IF(Tasks[[#This Row],[_LeafWork]]=0,0,Tasks[[#This Row],[_LeafWork]]*IFERROR(INDEX(res_Rate,MATCH(Tasks[[#This Row],[Resource]],res_Name,0)),0))</f>
        <v>0</v>
      </c>
      <c r="BZ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4" s="41" t="n">
        <f aca="false">IF(NOT(Tasks[[#This Row],[_IsLeaf]]=1),0,MAX(_xlfn.MAXIFS(Tasks[_Row],Tasks[Pred1 UID],Tasks[[#This Row],[UID]]),_xlfn.MAXIFS(Tasks[_Row],Tasks[Pred2 UID],Tasks[[#This Row],[UID]])))</f>
        <v>0</v>
      </c>
      <c r="CE9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4" s="103" t="str">
        <f aca="false">IF(NOT(Tasks[[#This Row],[_IsLeaf]]=1),"",MIN(ProjectFinish,IF(N(Tasks[[#This Row],[Deadline]])&gt;0,Tasks[[#This Row],[Deadline]],2958465),Tasks[[#This Row],[_SuccessorFinishLimit]]))</f>
        <v/>
      </c>
      <c r="CG94" s="103" t="str">
        <f aca="false">IF(NOT(Tasks[[#This Row],[_IsLeaf]]=1),"",IF(N(Tasks[[#This Row],[Duration]])&lt;=0,Tasks[[#This Row],[_LeafLateFinish]],WORKDAY.INTL(Tasks[[#This Row],[_LeafLateFinish]],-(Tasks[[#This Row],[Duration]]-1),WorkWeek,Holidays)))</f>
        <v/>
      </c>
      <c r="CH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4" s="102" t="b">
        <f aca="false">AND(Tasks[[#This Row],[_IsLeaf]]=1,Tasks[[#This Row],[_LeafProgress]]&lt;1,N(Tasks[[#This Row],[_LeafTotalSlack]])&lt;=CriticalSlackDays)</f>
        <v>0</v>
      </c>
      <c r="CJ94" s="103" t="str">
        <f aca="false">IF(Tasks[[#This Row],[Task Name]]="","",IF(Tasks[[#This Row],[_IsSummary]],MIN(INDEX(Tasks[_LeafCalcStart],Tasks[[#This Row],[_Row]]+1):INDEX(Tasks[_LeafCalcStart],Tasks[[#This Row],[_Row]]+Tasks[[#This Row],[_Descendants]])),Tasks[[#This Row],[_LeafCalcStart]]))</f>
        <v/>
      </c>
      <c r="CK94" s="103" t="str">
        <f aca="false">IF(Tasks[[#This Row],[Task Name]]="","",IF(Tasks[[#This Row],[_IsSummary]],MAX(INDEX(Tasks[_LeafCalcFinish],Tasks[[#This Row],[_Row]]+1):INDEX(Tasks[_LeafCalcFinish],Tasks[[#This Row],[_Row]]+Tasks[[#This Row],[_Descendants]])),Tasks[[#This Row],[_LeafCalcFinish]]))</f>
        <v/>
      </c>
      <c r="CL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4" s="41" t="n">
        <f aca="false">IF(AND(Tasks[[#This Row],[_IsLeaf]]=1,Tasks[[#This Row],[_LeafWork]]&gt;0),NETWORKDAYS.INTL(ProjectStart,Tasks[[#This Row],[_LeafFcstStart]],WorkWeek,Holidays),0)</f>
        <v>0</v>
      </c>
      <c r="CS94" s="41" t="n">
        <f aca="false">IF(AND(Tasks[[#This Row],[_IsLeaf]]=1,Tasks[[#This Row],[_LeafWork]]&gt;0),MAX(Tasks[[#This Row],[_StartWorkday]],NETWORKDAYS.INTL(ProjectStart,Tasks[[#This Row],[_LeafFcstFinish]],WorkWeek,Holidays)),0)</f>
        <v>0</v>
      </c>
      <c r="CT94" s="41" t="n">
        <f aca="false">IF(AND(Tasks[[#This Row],[_IsLeaf]]=1,Tasks[[#This Row],[_LeafWork]]&gt;0),Tasks[[#This Row],[_LeafWork]]/(Tasks[[#This Row],[_FinishWorkday]]-Tasks[[#This Row],[_StartWorkday]]+1),0)</f>
        <v>0</v>
      </c>
      <c r="CU94" s="41" t="n">
        <f aca="false">Tasks[[#This Row],[_WorkPerWorkday]]*(Tasks[[#This Row],[_StartWorkday]]-1)</f>
        <v>-0</v>
      </c>
      <c r="CV94" s="41" t="n">
        <f aca="false">IF(Tasks[[#This Row],[_IsLeaf]]=1,MAX(N(Tasks[[#This Row],[Duration]]),0.1),0)</f>
        <v>0</v>
      </c>
      <c r="CW94" s="41" t="n">
        <f aca="false">Tasks[[#This Row],[_WeightDur]]*Tasks[[#This Row],[_LeafProgress]]</f>
        <v>0</v>
      </c>
      <c r="CX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4" s="41" t="str">
        <f aca="false">IF(Tasks[[#This Row],[Task Name]]="","",Tasks[[#This Row],[_Pred1UIDText]]&amp;IF(AND(Tasks[[#This Row],[_Pred1UIDText]]&lt;&gt;"",Tasks[[#This Row],[_Pred2UIDText]]&lt;&gt;""),",","")&amp;Tasks[[#This Row],[_Pred2UIDText]])</f>
        <v/>
      </c>
      <c r="DC94" s="41" t="str">
        <f aca="false">IF(AND(Tasks[[#This Row],[_IsLeaf]]=1,N(Tasks[[#This Row],[Duration]])=0,Tasks[[#This Row],[_LeafProgress]]&lt;1),Tasks[[#This Row],[_LeafFcstFinish]]+Tasks[[#This Row],[_Row]]/100000,"")</f>
        <v/>
      </c>
      <c r="DD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4" s="41" t="n">
        <f aca="false">IF(NOT(Tasks[[#This Row],[_IsLeaf]]=1),0,IF(Tasks[[#This Row],[Baseline Cost]]="",Tasks[[#This Row],[_LeafCost]],N(Tasks[[#This Row],[Baseline Cost]])))</f>
        <v>0</v>
      </c>
      <c r="DF94" s="41" t="n">
        <f aca="false">Tasks[[#This Row],[_LeafBudget]]*Tasks[[#This Row],[_PlannedPct]]</f>
        <v>0</v>
      </c>
      <c r="DG94" s="41" t="n">
        <f aca="false">Tasks[[#This Row],[_LeafBudget]]*Tasks[[#This Row],[_LeafProgress]]</f>
        <v>0</v>
      </c>
      <c r="DH94" s="41" t="n">
        <f aca="false">IF(NOT(Tasks[[#This Row],[_IsLeaf]]=1),0,IF(Tasks[[#This Row],[Actual Cost]]="",Tasks[[#This Row],[_LeafCost]]*Tasks[[#This Row],[_LeafProgress]],N(Tasks[[#This Row],[Actual Cost]])))</f>
        <v>0</v>
      </c>
      <c r="DI94" s="41" t="str">
        <f aca="false">IF(Tasks[[#This Row],[Task Name]]="","",LEFT(Tasks[[#This Row],[WBS]],FIND(".",Tasks[[#This Row],[WBS]]&amp;".")-1))</f>
        <v/>
      </c>
      <c r="DJ94" s="41" t="str">
        <f aca="false">IF(AND(Tasks[[#This Row],[Task Name]]&lt;&gt;"",Tasks[[#This Row],[_Level]]=1),Tasks[[#This Row],[_Row]],"")</f>
        <v/>
      </c>
      <c r="DK94" s="41" t="str">
        <f aca="false">IF(AND(Tasks[[#This Row],[_IsLeaf]]=1,N(Tasks[[#This Row],[Duration]])=0),Tasks[[#This Row],[Planned Finish]]+Tasks[[#This Row],[_Row]]/100000,"")</f>
        <v/>
      </c>
      <c r="DL94" s="41" t="str">
        <f aca="false">IF(AND(Tasks[[#This Row],[_IsLeaf]]=1,Tasks[[#This Row],[_LeafProgress]]&lt;1,OR(N(Tasks[[#This Row],[Finish Var]])&gt;0,Tasks[[#This Row],[Status]]="Late Start")),MAX(0,Tasks[[#This Row],[Finish Var]])+1-Tasks[[#This Row],[_Row]]/1000000,"")</f>
        <v/>
      </c>
      <c r="DM94" s="41" t="str">
        <f aca="false">IF(AND(Tasks[[#This Row],[_IsLeaf]]=1,N(Tasks[[#This Row],[Actual Start]])=0,Tasks[[#This Row],[_LeafFcstStart]]&gt;=StatusDate,Tasks[[#This Row],[_LeafFcstStart]]&lt;=LookaheadEnd),Tasks[[#This Row],[_LeafFcstStart]]+Tasks[[#This Row],[_Row]]/100000,"")</f>
        <v/>
      </c>
      <c r="DN94" s="41" t="str">
        <f aca="false">IF(AND(Tasks[[#This Row],[_IsLeaf]]=1,Tasks[[#This Row],[_LeafProgress]]&lt;1,Tasks[[#This Row],[_LeafFcstFinish]]&gt;=StatusDate,Tasks[[#This Row],[_LeafFcstFinish]]&lt;=LookaheadEnd),Tasks[[#This Row],[_LeafFcstFinish]]+Tasks[[#This Row],[_Row]]/100000,"")</f>
        <v/>
      </c>
      <c r="DO94" s="41" t="str">
        <f aca="false">IF(Tasks[[#This Row],[_LeafCritical]],Tasks[[#This Row],[_LeafFcstStart]]+Tasks[[#This Row],[_Row]]/100000,"")</f>
        <v/>
      </c>
      <c r="DP94" s="41" t="n">
        <f aca="false">Tasks[[#This Row],[_LeafWork]]*Tasks[[#This Row],[_LeafProgress]]</f>
        <v>0</v>
      </c>
      <c r="DQ94" s="103" t="str">
        <f aca="false">IF(AND(Tasks[[#This Row],[_IsLeaf]]=1,Tasks[[#This Row],[_LeafProgress]]&gt;=1),IF(N(Tasks[[#This Row],[Actual Finish]])&gt;0,Tasks[[#This Row],[Actual Finish]],Tasks[[#This Row],[_LeafFcstFinish]]),"")</f>
        <v/>
      </c>
      <c r="DR94" s="41" t="n">
        <f aca="false">IF(Tasks[[#This Row],[_IsLeaf]]=1,N(Tasks[[#This Row],[Story Points]]),0)</f>
        <v>0</v>
      </c>
      <c r="DS94" s="41" t="str">
        <f aca="false">IF(AND(Tasks[[#This Row],[_IsLeaf]]=1,CurrentSprint&lt;&gt;"",Tasks[[#This Row],[Sprint]]=CurrentSprint),Tasks[[#This Row],[_Row]],"")</f>
        <v/>
      </c>
    </row>
    <row r="95" customFormat="false" ht="15" hidden="false" customHeight="false" outlineLevel="0" collapsed="false">
      <c r="A95" s="28" t="str">
        <f aca="false">IF(Tasks[[#This Row],[Task Name]]="","",COUNTA(Tasks[[#Headers],[Task Name]]:Tasks[[#This Row],[Task Name]])-1)</f>
        <v/>
      </c>
      <c r="B95" s="29" t="n">
        <v>90</v>
      </c>
      <c r="C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29"/>
      <c r="E95" s="30"/>
      <c r="F95" s="29"/>
      <c r="G95" s="29"/>
      <c r="H95" s="29"/>
      <c r="I95" s="29"/>
      <c r="J95" s="29"/>
      <c r="K95" s="29"/>
      <c r="L95" s="29"/>
      <c r="M95" s="29"/>
      <c r="N95" s="77"/>
      <c r="O95" s="77"/>
      <c r="P95" s="25" t="str">
        <f aca="false">IF(Tasks[[#This Row],[Task Name]]="","",IF(N(Tasks[[#This Row],[Baseline Start]])&gt;0,Tasks[[#This Row],[Baseline Start]],Tasks[[#This Row],[_CalcStart]]))</f>
        <v/>
      </c>
      <c r="Q95" s="25" t="str">
        <f aca="false">IF(Tasks[[#This Row],[Task Name]]="","",IF(N(Tasks[[#This Row],[Baseline Finish]])&gt;0,Tasks[[#This Row],[Baseline Finish]],Tasks[[#This Row],[_CalcFinish]]))</f>
        <v/>
      </c>
      <c r="R95" s="77"/>
      <c r="S95" s="77"/>
      <c r="T95" s="25" t="str">
        <f aca="false">IF(Tasks[[#This Row],[Task Name]]="","",IF(Tasks[[#This Row],[_IsSummary]],MIN(INDEX(Tasks[_LeafFcstStart],Tasks[[#This Row],[_Row]]+1):INDEX(Tasks[_LeafFcstStart],Tasks[[#This Row],[_Row]]+Tasks[[#This Row],[_Descendants]])),Tasks[[#This Row],[_LeafFcstStart]]))</f>
        <v/>
      </c>
      <c r="U95" s="25" t="str">
        <f aca="false">IF(Tasks[[#This Row],[Task Name]]="","",IF(Tasks[[#This Row],[_IsSummary]],MAX(INDEX(Tasks[_LeafFcstFinish],Tasks[[#This Row],[_Row]]+1):INDEX(Tasks[_LeafFcstFinish],Tasks[[#This Row],[_Row]]+Tasks[[#This Row],[_Descendants]])),Tasks[[#This Row],[_LeafFcstFinish]]))</f>
        <v/>
      </c>
      <c r="V9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5" s="25" t="str">
        <f aca="false">IF(Tasks[[#This Row],[Task Name]]="","",IF(Tasks[[#This Row],[_IsSummary]],MIN(INDEX(Tasks[_LeafLateStart],Tasks[[#This Row],[_Row]]+1):INDEX(Tasks[_LeafLateStart],Tasks[[#This Row],[_Row]]+Tasks[[#This Row],[_Descendants]])),Tasks[[#This Row],[_LeafLateStart]]))</f>
        <v/>
      </c>
      <c r="Y95" s="25" t="str">
        <f aca="false">IF(Tasks[[#This Row],[Task Name]]="","",IF(Tasks[[#This Row],[_IsSummary]],MAX(INDEX(Tasks[_LeafLateFinish],Tasks[[#This Row],[_Row]]+1):INDEX(Tasks[_LeafLateFinish],Tasks[[#This Row],[_Row]]+Tasks[[#This Row],[_Descendants]])),Tasks[[#This Row],[_LeafLateFinish]]))</f>
        <v/>
      </c>
      <c r="Z95" s="43" t="str">
        <f aca="false">IF(Tasks[[#This Row],[Task Name]]="","",IF(Tasks[[#This Row],[_IsSummary]],MIN(INDEX(Tasks[_LeafTotalSlack],Tasks[[#This Row],[_Row]]+1):INDEX(Tasks[_LeafTotalSlack],Tasks[[#This Row],[_Row]]+Tasks[[#This Row],[_Descendants]])),Tasks[[#This Row],[_LeafTotalSlack]]))</f>
        <v/>
      </c>
      <c r="AA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5" s="28" t="str">
        <f aca="false">IF(Tasks[[#This Row],[Task Name]]="","",IF(IF(Tasks[[#This Row],[_IsSummary]],COUNTIF(INDEX(Tasks[_LeafCritical],Tasks[[#This Row],[_Row]]+1):INDEX(Tasks[_LeafCritical],Tasks[[#This Row],[_Row]]+Tasks[[#This Row],[_Descendants]]),TRUE())&gt;0,Tasks[[#This Row],[_LeafCritical]]),"Yes",""))</f>
        <v/>
      </c>
      <c r="AC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5" s="24" t="str">
        <f aca="false">IF(Tasks[[#This Row],[Task Name]]="","",TRIM(IF(Tasks[[#This Row],[_Pred1Problem]]&lt;&gt;"","Pred 1: "&amp;Tasks[[#This Row],[_Pred1Problem]]&amp;". ","")&amp;IF(Tasks[[#This Row],[_Pred2Problem]]&lt;&gt;"","Pred 2: "&amp;Tasks[[#This Row],[_Pred2Problem]]&amp;".","")))</f>
        <v/>
      </c>
      <c r="AE95" s="91"/>
      <c r="AF9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5" s="28" t="str">
        <f aca="false">IF(Tasks[[#This Row],[Task Name]]="","",IF(Tasks[[#This Row],[Progress]]&gt;=1,"Complete",IF(OR(N(Tasks[[#This Row],[Actual Start]])&gt;0,Tasks[[#This Row],[Progress]]&gt;0),IF(Tasks[[#This Row],[Finish Var]]&gt;0,"Behind","In Progress"),IF(Tasks[[#This Row],[Planned Start]]&lt;StatusDate,"Late Start","Not Started"))))</f>
        <v/>
      </c>
      <c r="AH95" s="30"/>
      <c r="AI95" s="91"/>
      <c r="AJ9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5" s="98" t="str">
        <f aca="false">IF(Tasks[[#This Row],[Task Name]]="","",IF(Tasks[[#This Row],[_IsSummary]],SUM(INDEX(Tasks[_LeafWork],Tasks[[#This Row],[_Row]]+1):INDEX(Tasks[_LeafWork],Tasks[[#This Row],[_Row]]+Tasks[[#This Row],[_Descendants]])),Tasks[[#This Row],[_LeafWork]]))</f>
        <v/>
      </c>
      <c r="AL95" s="99" t="str">
        <f aca="false">IF(Tasks[[#This Row],[Task Name]]="","",IF(Tasks[[#This Row],[_IsSummary]],SUM(INDEX(Tasks[_LeafCost],Tasks[[#This Row],[_Row]]+1):INDEX(Tasks[_LeafCost],Tasks[[#This Row],[_Row]]+Tasks[[#This Row],[_Descendants]])),Tasks[[#This Row],[_LeafCost]]))</f>
        <v/>
      </c>
      <c r="AM95" s="100"/>
      <c r="AN95" s="29"/>
      <c r="AO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5" s="85"/>
      <c r="AQ95" s="24" t="str">
        <f aca="false">IF(Tasks[[#This Row],[Task Name]]="","",Tasks[[#This Row],[_Pred1IDText]]&amp;IF(AND(Tasks[[#This Row],[_Pred1IDText]]&lt;&gt;"",Tasks[[#This Row],[_Pred2IDText]]&lt;&gt;""),",","")&amp;Tasks[[#This Row],[_Pred2IDText]])</f>
        <v/>
      </c>
      <c r="AR95" s="30"/>
      <c r="AS95" s="25" t="str">
        <f aca="false">IF(Tasks[[#This Row],[Task Name]]="","",Tasks[[#This Row],[Forecast Start]])</f>
        <v/>
      </c>
      <c r="AT95" s="25" t="str">
        <f aca="false">IF(Tasks[[#This Row],[Task Name]]="","",Tasks[[#This Row],[Forecast Finish]])</f>
        <v/>
      </c>
      <c r="AU95" s="28" t="str">
        <f aca="false">IF(Tasks[[#This Row],[Task Name]]="","",IF(Tasks[[#This Row],[_IsSummary]],NETWORKDAYS.INTL(Tasks[[#This Row],[Forecast Start]],Tasks[[#This Row],[Forecast Finish]],WorkWeek,Holidays),N(Tasks[[#This Row],[Duration]])))</f>
        <v/>
      </c>
      <c r="AV95" s="98" t="str">
        <f aca="false">IF(Tasks[[#This Row],[Task Name]]="","",Tasks[[#This Row],[Work]])</f>
        <v/>
      </c>
      <c r="AW95" s="99" t="str">
        <f aca="false">IF(Tasks[[#This Row],[Task Name]]="","",Tasks[[#This Row],[Cost]])</f>
        <v/>
      </c>
      <c r="AX95" s="77"/>
      <c r="AY95" s="77"/>
      <c r="AZ95" s="29"/>
      <c r="BA95" s="101"/>
      <c r="BB95" s="100"/>
      <c r="BC95" s="28" t="str">
        <f aca="false">IF(OR(Tasks[[#This Row],[Task Name]]="",Tasks[[#This Row],[Baseline Duration]]=""),"",Tasks[[#This Row],[BL Source Duration]]-N(Tasks[[#This Row],[Baseline Duration]]))</f>
        <v/>
      </c>
      <c r="BD95" s="98" t="str">
        <f aca="false">IF(OR(Tasks[[#This Row],[Task Name]]="",Tasks[[#This Row],[Baseline Work]]=""),"",Tasks[[#This Row],[Work]]-N(Tasks[[#This Row],[Baseline Work]]))</f>
        <v/>
      </c>
      <c r="BE95" s="99" t="str">
        <f aca="false">IF(OR(Tasks[[#This Row],[Task Name]]="",Tasks[[#This Row],[Baseline Cost]]=""),"",Tasks[[#This Row],[Cost]]-N(Tasks[[#This Row],[Baseline Cost]]))</f>
        <v/>
      </c>
      <c r="BF95" s="99" t="str">
        <f aca="false">IF(Tasks[[#This Row],[Task Name]]="","",IF(Tasks[[#This Row],[_IsSummary]],SUM(INDEX(Tasks[_LeafBudget],Tasks[[#This Row],[_Row]]+1):INDEX(Tasks[_LeafBudget],Tasks[[#This Row],[_Row]]+Tasks[[#This Row],[_Descendants]])),Tasks[[#This Row],[_LeafBudget]]))</f>
        <v/>
      </c>
      <c r="BG95" s="99" t="str">
        <f aca="false">IF(Tasks[[#This Row],[Task Name]]="","",IF(Tasks[[#This Row],[_IsSummary]],SUM(INDEX(Tasks[_LeafPV],Tasks[[#This Row],[_Row]]+1):INDEX(Tasks[_LeafPV],Tasks[[#This Row],[_Row]]+Tasks[[#This Row],[_Descendants]])),Tasks[[#This Row],[_LeafPV]]))</f>
        <v/>
      </c>
      <c r="BH95" s="99" t="str">
        <f aca="false">IF(Tasks[[#This Row],[Task Name]]="","",IF(Tasks[[#This Row],[_IsSummary]],SUM(INDEX(Tasks[_LeafEV],Tasks[[#This Row],[_Row]]+1):INDEX(Tasks[_LeafEV],Tasks[[#This Row],[_Row]]+Tasks[[#This Row],[_Descendants]])),Tasks[[#This Row],[_LeafEV]]))</f>
        <v/>
      </c>
      <c r="BI95" s="99" t="str">
        <f aca="false">IF(Tasks[[#This Row],[Task Name]]="","",IF(Tasks[[#This Row],[_IsSummary]],SUM(INDEX(Tasks[_LeafAC],Tasks[[#This Row],[_Row]]+1):INDEX(Tasks[_LeafAC],Tasks[[#This Row],[_Row]]+Tasks[[#This Row],[_Descendants]])),Tasks[[#This Row],[_LeafAC]]))</f>
        <v/>
      </c>
      <c r="BJ95" s="41" t="str">
        <f aca="false">IF(Tasks[[#This Row],[Task Name]]="","",MAX(1,N(Tasks[[#This Row],[Level]])))</f>
        <v/>
      </c>
      <c r="BK95" s="41" t="n">
        <f aca="false">ROW()-ROW(Tasks[[#Headers],[ID]])</f>
        <v>90</v>
      </c>
      <c r="BL95" s="41" t="n">
        <f aca="false">IF(OR(Tasks[[#This Row],[Task Name]]="",Tasks[[#This Row],[_Level]]&lt;=1),0,IFERROR(LOOKUP(2,1/(Tasks[[#Headers],[_Level]]:Tasks[[#This Row],[_Level]]=Tasks[[#This Row],[_Level]]-1),ROW(Tasks[[#Headers],[_Level]]:Tasks[[#This Row],[_Level]])),0))</f>
        <v>0</v>
      </c>
      <c r="BM95" s="41" t="n">
        <f aca="false">IFERROR(N(INDEX(Tasks[_Level],Tasks[[#This Row],[_Row]]+1)),0)</f>
        <v>0</v>
      </c>
      <c r="BN95" s="102" t="b">
        <f aca="false">AND(Tasks[[#This Row],[Task Name]]&lt;&gt;"",Tasks[[#This Row],[_NextLevel]]&gt;Tasks[[#This Row],[_Level]])</f>
        <v>0</v>
      </c>
      <c r="BO95" s="41" t="n">
        <f aca="false">IF(Tasks[[#This Row],[_IsSummary]],COUNTIF(Tasks[WBS],Tasks[[#This Row],[WBS]]&amp;".*"),0)</f>
        <v>0</v>
      </c>
      <c r="BP95" s="41" t="n">
        <f aca="false">IF(AND(Tasks[[#This Row],[Task Name]]&lt;&gt;"",NOT(Tasks[[#This Row],[_IsSummary]])),1,0)</f>
        <v>0</v>
      </c>
      <c r="BQ95" s="41" t="n">
        <f aca="false">IF(N(Tasks[[#This Row],[Pred1 UID]])=0,0,IFERROR(MATCH(Tasks[[#This Row],[Pred1 UID]],Tasks[UID],0),-1))</f>
        <v>0</v>
      </c>
      <c r="BR95" s="41" t="n">
        <f aca="false">IF(N(Tasks[[#This Row],[Pred2 UID]])=0,0,IFERROR(MATCH(Tasks[[#This Row],[Pred2 UID]],Tasks[UID],0),-1))</f>
        <v>0</v>
      </c>
      <c r="BS9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5" s="103" t="str">
        <f aca="false">IF(NOT(Tasks[[#This Row],[_IsLeaf]]=1),"",IF(N(Tasks[[#This Row],[Duration]])&lt;=0,Tasks[[#This Row],[_LeafCalcStart]],WORKDAY.INTL(Tasks[[#This Row],[_LeafCalcStart]],Tasks[[#This Row],[Duration]]-1,WorkWeek,Holidays)))</f>
        <v/>
      </c>
      <c r="BU9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5" s="41" t="n">
        <f aca="false">IF(NOT(Tasks[[#This Row],[_IsLeaf]]=1),0,IF(N(Tasks[[#This Row],[Actual Finish]])&gt;0,1,MIN(1,N(Tasks[[#This Row],[% Complete]]))))</f>
        <v>0</v>
      </c>
      <c r="BX95" s="41" t="n">
        <f aca="false">IF(OR(NOT(Tasks[[#This Row],[_IsLeaf]]=1),Tasks[[#This Row],[Resource]]=""),0,N(Tasks[[#This Row],[Duration]])*HoursPerDay*IF(Tasks[[#This Row],[Units]]="",DefaultUnits,Tasks[[#This Row],[Units]]))</f>
        <v>0</v>
      </c>
      <c r="BY95" s="41" t="n">
        <f aca="false">IF(Tasks[[#This Row],[_LeafWork]]=0,0,Tasks[[#This Row],[_LeafWork]]*IFERROR(INDEX(res_Rate,MATCH(Tasks[[#This Row],[Resource]],res_Name,0)),0))</f>
        <v>0</v>
      </c>
      <c r="BZ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5" s="41" t="n">
        <f aca="false">IF(NOT(Tasks[[#This Row],[_IsLeaf]]=1),0,MAX(_xlfn.MAXIFS(Tasks[_Row],Tasks[Pred1 UID],Tasks[[#This Row],[UID]]),_xlfn.MAXIFS(Tasks[_Row],Tasks[Pred2 UID],Tasks[[#This Row],[UID]])))</f>
        <v>0</v>
      </c>
      <c r="CE9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5" s="103" t="str">
        <f aca="false">IF(NOT(Tasks[[#This Row],[_IsLeaf]]=1),"",MIN(ProjectFinish,IF(N(Tasks[[#This Row],[Deadline]])&gt;0,Tasks[[#This Row],[Deadline]],2958465),Tasks[[#This Row],[_SuccessorFinishLimit]]))</f>
        <v/>
      </c>
      <c r="CG95" s="103" t="str">
        <f aca="false">IF(NOT(Tasks[[#This Row],[_IsLeaf]]=1),"",IF(N(Tasks[[#This Row],[Duration]])&lt;=0,Tasks[[#This Row],[_LeafLateFinish]],WORKDAY.INTL(Tasks[[#This Row],[_LeafLateFinish]],-(Tasks[[#This Row],[Duration]]-1),WorkWeek,Holidays)))</f>
        <v/>
      </c>
      <c r="CH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5" s="102" t="b">
        <f aca="false">AND(Tasks[[#This Row],[_IsLeaf]]=1,Tasks[[#This Row],[_LeafProgress]]&lt;1,N(Tasks[[#This Row],[_LeafTotalSlack]])&lt;=CriticalSlackDays)</f>
        <v>0</v>
      </c>
      <c r="CJ95" s="103" t="str">
        <f aca="false">IF(Tasks[[#This Row],[Task Name]]="","",IF(Tasks[[#This Row],[_IsSummary]],MIN(INDEX(Tasks[_LeafCalcStart],Tasks[[#This Row],[_Row]]+1):INDEX(Tasks[_LeafCalcStart],Tasks[[#This Row],[_Row]]+Tasks[[#This Row],[_Descendants]])),Tasks[[#This Row],[_LeafCalcStart]]))</f>
        <v/>
      </c>
      <c r="CK95" s="103" t="str">
        <f aca="false">IF(Tasks[[#This Row],[Task Name]]="","",IF(Tasks[[#This Row],[_IsSummary]],MAX(INDEX(Tasks[_LeafCalcFinish],Tasks[[#This Row],[_Row]]+1):INDEX(Tasks[_LeafCalcFinish],Tasks[[#This Row],[_Row]]+Tasks[[#This Row],[_Descendants]])),Tasks[[#This Row],[_LeafCalcFinish]]))</f>
        <v/>
      </c>
      <c r="CL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5" s="41" t="n">
        <f aca="false">IF(AND(Tasks[[#This Row],[_IsLeaf]]=1,Tasks[[#This Row],[_LeafWork]]&gt;0),NETWORKDAYS.INTL(ProjectStart,Tasks[[#This Row],[_LeafFcstStart]],WorkWeek,Holidays),0)</f>
        <v>0</v>
      </c>
      <c r="CS95" s="41" t="n">
        <f aca="false">IF(AND(Tasks[[#This Row],[_IsLeaf]]=1,Tasks[[#This Row],[_LeafWork]]&gt;0),MAX(Tasks[[#This Row],[_StartWorkday]],NETWORKDAYS.INTL(ProjectStart,Tasks[[#This Row],[_LeafFcstFinish]],WorkWeek,Holidays)),0)</f>
        <v>0</v>
      </c>
      <c r="CT95" s="41" t="n">
        <f aca="false">IF(AND(Tasks[[#This Row],[_IsLeaf]]=1,Tasks[[#This Row],[_LeafWork]]&gt;0),Tasks[[#This Row],[_LeafWork]]/(Tasks[[#This Row],[_FinishWorkday]]-Tasks[[#This Row],[_StartWorkday]]+1),0)</f>
        <v>0</v>
      </c>
      <c r="CU95" s="41" t="n">
        <f aca="false">Tasks[[#This Row],[_WorkPerWorkday]]*(Tasks[[#This Row],[_StartWorkday]]-1)</f>
        <v>-0</v>
      </c>
      <c r="CV95" s="41" t="n">
        <f aca="false">IF(Tasks[[#This Row],[_IsLeaf]]=1,MAX(N(Tasks[[#This Row],[Duration]]),0.1),0)</f>
        <v>0</v>
      </c>
      <c r="CW95" s="41" t="n">
        <f aca="false">Tasks[[#This Row],[_WeightDur]]*Tasks[[#This Row],[_LeafProgress]]</f>
        <v>0</v>
      </c>
      <c r="CX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5" s="41" t="str">
        <f aca="false">IF(Tasks[[#This Row],[Task Name]]="","",Tasks[[#This Row],[_Pred1UIDText]]&amp;IF(AND(Tasks[[#This Row],[_Pred1UIDText]]&lt;&gt;"",Tasks[[#This Row],[_Pred2UIDText]]&lt;&gt;""),",","")&amp;Tasks[[#This Row],[_Pred2UIDText]])</f>
        <v/>
      </c>
      <c r="DC95" s="41" t="str">
        <f aca="false">IF(AND(Tasks[[#This Row],[_IsLeaf]]=1,N(Tasks[[#This Row],[Duration]])=0,Tasks[[#This Row],[_LeafProgress]]&lt;1),Tasks[[#This Row],[_LeafFcstFinish]]+Tasks[[#This Row],[_Row]]/100000,"")</f>
        <v/>
      </c>
      <c r="DD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5" s="41" t="n">
        <f aca="false">IF(NOT(Tasks[[#This Row],[_IsLeaf]]=1),0,IF(Tasks[[#This Row],[Baseline Cost]]="",Tasks[[#This Row],[_LeafCost]],N(Tasks[[#This Row],[Baseline Cost]])))</f>
        <v>0</v>
      </c>
      <c r="DF95" s="41" t="n">
        <f aca="false">Tasks[[#This Row],[_LeafBudget]]*Tasks[[#This Row],[_PlannedPct]]</f>
        <v>0</v>
      </c>
      <c r="DG95" s="41" t="n">
        <f aca="false">Tasks[[#This Row],[_LeafBudget]]*Tasks[[#This Row],[_LeafProgress]]</f>
        <v>0</v>
      </c>
      <c r="DH95" s="41" t="n">
        <f aca="false">IF(NOT(Tasks[[#This Row],[_IsLeaf]]=1),0,IF(Tasks[[#This Row],[Actual Cost]]="",Tasks[[#This Row],[_LeafCost]]*Tasks[[#This Row],[_LeafProgress]],N(Tasks[[#This Row],[Actual Cost]])))</f>
        <v>0</v>
      </c>
      <c r="DI95" s="41" t="str">
        <f aca="false">IF(Tasks[[#This Row],[Task Name]]="","",LEFT(Tasks[[#This Row],[WBS]],FIND(".",Tasks[[#This Row],[WBS]]&amp;".")-1))</f>
        <v/>
      </c>
      <c r="DJ95" s="41" t="str">
        <f aca="false">IF(AND(Tasks[[#This Row],[Task Name]]&lt;&gt;"",Tasks[[#This Row],[_Level]]=1),Tasks[[#This Row],[_Row]],"")</f>
        <v/>
      </c>
      <c r="DK95" s="41" t="str">
        <f aca="false">IF(AND(Tasks[[#This Row],[_IsLeaf]]=1,N(Tasks[[#This Row],[Duration]])=0),Tasks[[#This Row],[Planned Finish]]+Tasks[[#This Row],[_Row]]/100000,"")</f>
        <v/>
      </c>
      <c r="DL95" s="41" t="str">
        <f aca="false">IF(AND(Tasks[[#This Row],[_IsLeaf]]=1,Tasks[[#This Row],[_LeafProgress]]&lt;1,OR(N(Tasks[[#This Row],[Finish Var]])&gt;0,Tasks[[#This Row],[Status]]="Late Start")),MAX(0,Tasks[[#This Row],[Finish Var]])+1-Tasks[[#This Row],[_Row]]/1000000,"")</f>
        <v/>
      </c>
      <c r="DM95" s="41" t="str">
        <f aca="false">IF(AND(Tasks[[#This Row],[_IsLeaf]]=1,N(Tasks[[#This Row],[Actual Start]])=0,Tasks[[#This Row],[_LeafFcstStart]]&gt;=StatusDate,Tasks[[#This Row],[_LeafFcstStart]]&lt;=LookaheadEnd),Tasks[[#This Row],[_LeafFcstStart]]+Tasks[[#This Row],[_Row]]/100000,"")</f>
        <v/>
      </c>
      <c r="DN95" s="41" t="str">
        <f aca="false">IF(AND(Tasks[[#This Row],[_IsLeaf]]=1,Tasks[[#This Row],[_LeafProgress]]&lt;1,Tasks[[#This Row],[_LeafFcstFinish]]&gt;=StatusDate,Tasks[[#This Row],[_LeafFcstFinish]]&lt;=LookaheadEnd),Tasks[[#This Row],[_LeafFcstFinish]]+Tasks[[#This Row],[_Row]]/100000,"")</f>
        <v/>
      </c>
      <c r="DO95" s="41" t="str">
        <f aca="false">IF(Tasks[[#This Row],[_LeafCritical]],Tasks[[#This Row],[_LeafFcstStart]]+Tasks[[#This Row],[_Row]]/100000,"")</f>
        <v/>
      </c>
      <c r="DP95" s="41" t="n">
        <f aca="false">Tasks[[#This Row],[_LeafWork]]*Tasks[[#This Row],[_LeafProgress]]</f>
        <v>0</v>
      </c>
      <c r="DQ95" s="103" t="str">
        <f aca="false">IF(AND(Tasks[[#This Row],[_IsLeaf]]=1,Tasks[[#This Row],[_LeafProgress]]&gt;=1),IF(N(Tasks[[#This Row],[Actual Finish]])&gt;0,Tasks[[#This Row],[Actual Finish]],Tasks[[#This Row],[_LeafFcstFinish]]),"")</f>
        <v/>
      </c>
      <c r="DR95" s="41" t="n">
        <f aca="false">IF(Tasks[[#This Row],[_IsLeaf]]=1,N(Tasks[[#This Row],[Story Points]]),0)</f>
        <v>0</v>
      </c>
      <c r="DS95" s="41" t="str">
        <f aca="false">IF(AND(Tasks[[#This Row],[_IsLeaf]]=1,CurrentSprint&lt;&gt;"",Tasks[[#This Row],[Sprint]]=CurrentSprint),Tasks[[#This Row],[_Row]],"")</f>
        <v/>
      </c>
    </row>
    <row r="96" customFormat="false" ht="15" hidden="false" customHeight="false" outlineLevel="0" collapsed="false">
      <c r="A96" s="28" t="str">
        <f aca="false">IF(Tasks[[#This Row],[Task Name]]="","",COUNTA(Tasks[[#Headers],[Task Name]]:Tasks[[#This Row],[Task Name]])-1)</f>
        <v/>
      </c>
      <c r="B96" s="29" t="n">
        <v>91</v>
      </c>
      <c r="C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29"/>
      <c r="E96" s="30"/>
      <c r="F96" s="29"/>
      <c r="G96" s="29"/>
      <c r="H96" s="29"/>
      <c r="I96" s="29"/>
      <c r="J96" s="29"/>
      <c r="K96" s="29"/>
      <c r="L96" s="29"/>
      <c r="M96" s="29"/>
      <c r="N96" s="77"/>
      <c r="O96" s="77"/>
      <c r="P96" s="25" t="str">
        <f aca="false">IF(Tasks[[#This Row],[Task Name]]="","",IF(N(Tasks[[#This Row],[Baseline Start]])&gt;0,Tasks[[#This Row],[Baseline Start]],Tasks[[#This Row],[_CalcStart]]))</f>
        <v/>
      </c>
      <c r="Q96" s="25" t="str">
        <f aca="false">IF(Tasks[[#This Row],[Task Name]]="","",IF(N(Tasks[[#This Row],[Baseline Finish]])&gt;0,Tasks[[#This Row],[Baseline Finish]],Tasks[[#This Row],[_CalcFinish]]))</f>
        <v/>
      </c>
      <c r="R96" s="77"/>
      <c r="S96" s="77"/>
      <c r="T96" s="25" t="str">
        <f aca="false">IF(Tasks[[#This Row],[Task Name]]="","",IF(Tasks[[#This Row],[_IsSummary]],MIN(INDEX(Tasks[_LeafFcstStart],Tasks[[#This Row],[_Row]]+1):INDEX(Tasks[_LeafFcstStart],Tasks[[#This Row],[_Row]]+Tasks[[#This Row],[_Descendants]])),Tasks[[#This Row],[_LeafFcstStart]]))</f>
        <v/>
      </c>
      <c r="U96" s="25" t="str">
        <f aca="false">IF(Tasks[[#This Row],[Task Name]]="","",IF(Tasks[[#This Row],[_IsSummary]],MAX(INDEX(Tasks[_LeafFcstFinish],Tasks[[#This Row],[_Row]]+1):INDEX(Tasks[_LeafFcstFinish],Tasks[[#This Row],[_Row]]+Tasks[[#This Row],[_Descendants]])),Tasks[[#This Row],[_LeafFcstFinish]]))</f>
        <v/>
      </c>
      <c r="V9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6" s="25" t="str">
        <f aca="false">IF(Tasks[[#This Row],[Task Name]]="","",IF(Tasks[[#This Row],[_IsSummary]],MIN(INDEX(Tasks[_LeafLateStart],Tasks[[#This Row],[_Row]]+1):INDEX(Tasks[_LeafLateStart],Tasks[[#This Row],[_Row]]+Tasks[[#This Row],[_Descendants]])),Tasks[[#This Row],[_LeafLateStart]]))</f>
        <v/>
      </c>
      <c r="Y96" s="25" t="str">
        <f aca="false">IF(Tasks[[#This Row],[Task Name]]="","",IF(Tasks[[#This Row],[_IsSummary]],MAX(INDEX(Tasks[_LeafLateFinish],Tasks[[#This Row],[_Row]]+1):INDEX(Tasks[_LeafLateFinish],Tasks[[#This Row],[_Row]]+Tasks[[#This Row],[_Descendants]])),Tasks[[#This Row],[_LeafLateFinish]]))</f>
        <v/>
      </c>
      <c r="Z96" s="43" t="str">
        <f aca="false">IF(Tasks[[#This Row],[Task Name]]="","",IF(Tasks[[#This Row],[_IsSummary]],MIN(INDEX(Tasks[_LeafTotalSlack],Tasks[[#This Row],[_Row]]+1):INDEX(Tasks[_LeafTotalSlack],Tasks[[#This Row],[_Row]]+Tasks[[#This Row],[_Descendants]])),Tasks[[#This Row],[_LeafTotalSlack]]))</f>
        <v/>
      </c>
      <c r="AA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6" s="28" t="str">
        <f aca="false">IF(Tasks[[#This Row],[Task Name]]="","",IF(IF(Tasks[[#This Row],[_IsSummary]],COUNTIF(INDEX(Tasks[_LeafCritical],Tasks[[#This Row],[_Row]]+1):INDEX(Tasks[_LeafCritical],Tasks[[#This Row],[_Row]]+Tasks[[#This Row],[_Descendants]]),TRUE())&gt;0,Tasks[[#This Row],[_LeafCritical]]),"Yes",""))</f>
        <v/>
      </c>
      <c r="AC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6" s="24" t="str">
        <f aca="false">IF(Tasks[[#This Row],[Task Name]]="","",TRIM(IF(Tasks[[#This Row],[_Pred1Problem]]&lt;&gt;"","Pred 1: "&amp;Tasks[[#This Row],[_Pred1Problem]]&amp;". ","")&amp;IF(Tasks[[#This Row],[_Pred2Problem]]&lt;&gt;"","Pred 2: "&amp;Tasks[[#This Row],[_Pred2Problem]]&amp;".","")))</f>
        <v/>
      </c>
      <c r="AE96" s="91"/>
      <c r="AF9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6" s="28" t="str">
        <f aca="false">IF(Tasks[[#This Row],[Task Name]]="","",IF(Tasks[[#This Row],[Progress]]&gt;=1,"Complete",IF(OR(N(Tasks[[#This Row],[Actual Start]])&gt;0,Tasks[[#This Row],[Progress]]&gt;0),IF(Tasks[[#This Row],[Finish Var]]&gt;0,"Behind","In Progress"),IF(Tasks[[#This Row],[Planned Start]]&lt;StatusDate,"Late Start","Not Started"))))</f>
        <v/>
      </c>
      <c r="AH96" s="30"/>
      <c r="AI96" s="91"/>
      <c r="AJ9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6" s="98" t="str">
        <f aca="false">IF(Tasks[[#This Row],[Task Name]]="","",IF(Tasks[[#This Row],[_IsSummary]],SUM(INDEX(Tasks[_LeafWork],Tasks[[#This Row],[_Row]]+1):INDEX(Tasks[_LeafWork],Tasks[[#This Row],[_Row]]+Tasks[[#This Row],[_Descendants]])),Tasks[[#This Row],[_LeafWork]]))</f>
        <v/>
      </c>
      <c r="AL96" s="99" t="str">
        <f aca="false">IF(Tasks[[#This Row],[Task Name]]="","",IF(Tasks[[#This Row],[_IsSummary]],SUM(INDEX(Tasks[_LeafCost],Tasks[[#This Row],[_Row]]+1):INDEX(Tasks[_LeafCost],Tasks[[#This Row],[_Row]]+Tasks[[#This Row],[_Descendants]])),Tasks[[#This Row],[_LeafCost]]))</f>
        <v/>
      </c>
      <c r="AM96" s="100"/>
      <c r="AN96" s="29"/>
      <c r="AO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6" s="85"/>
      <c r="AQ96" s="24" t="str">
        <f aca="false">IF(Tasks[[#This Row],[Task Name]]="","",Tasks[[#This Row],[_Pred1IDText]]&amp;IF(AND(Tasks[[#This Row],[_Pred1IDText]]&lt;&gt;"",Tasks[[#This Row],[_Pred2IDText]]&lt;&gt;""),",","")&amp;Tasks[[#This Row],[_Pred2IDText]])</f>
        <v/>
      </c>
      <c r="AR96" s="30"/>
      <c r="AS96" s="25" t="str">
        <f aca="false">IF(Tasks[[#This Row],[Task Name]]="","",Tasks[[#This Row],[Forecast Start]])</f>
        <v/>
      </c>
      <c r="AT96" s="25" t="str">
        <f aca="false">IF(Tasks[[#This Row],[Task Name]]="","",Tasks[[#This Row],[Forecast Finish]])</f>
        <v/>
      </c>
      <c r="AU96" s="28" t="str">
        <f aca="false">IF(Tasks[[#This Row],[Task Name]]="","",IF(Tasks[[#This Row],[_IsSummary]],NETWORKDAYS.INTL(Tasks[[#This Row],[Forecast Start]],Tasks[[#This Row],[Forecast Finish]],WorkWeek,Holidays),N(Tasks[[#This Row],[Duration]])))</f>
        <v/>
      </c>
      <c r="AV96" s="98" t="str">
        <f aca="false">IF(Tasks[[#This Row],[Task Name]]="","",Tasks[[#This Row],[Work]])</f>
        <v/>
      </c>
      <c r="AW96" s="99" t="str">
        <f aca="false">IF(Tasks[[#This Row],[Task Name]]="","",Tasks[[#This Row],[Cost]])</f>
        <v/>
      </c>
      <c r="AX96" s="77"/>
      <c r="AY96" s="77"/>
      <c r="AZ96" s="29"/>
      <c r="BA96" s="101"/>
      <c r="BB96" s="100"/>
      <c r="BC96" s="28" t="str">
        <f aca="false">IF(OR(Tasks[[#This Row],[Task Name]]="",Tasks[[#This Row],[Baseline Duration]]=""),"",Tasks[[#This Row],[BL Source Duration]]-N(Tasks[[#This Row],[Baseline Duration]]))</f>
        <v/>
      </c>
      <c r="BD96" s="98" t="str">
        <f aca="false">IF(OR(Tasks[[#This Row],[Task Name]]="",Tasks[[#This Row],[Baseline Work]]=""),"",Tasks[[#This Row],[Work]]-N(Tasks[[#This Row],[Baseline Work]]))</f>
        <v/>
      </c>
      <c r="BE96" s="99" t="str">
        <f aca="false">IF(OR(Tasks[[#This Row],[Task Name]]="",Tasks[[#This Row],[Baseline Cost]]=""),"",Tasks[[#This Row],[Cost]]-N(Tasks[[#This Row],[Baseline Cost]]))</f>
        <v/>
      </c>
      <c r="BF96" s="99" t="str">
        <f aca="false">IF(Tasks[[#This Row],[Task Name]]="","",IF(Tasks[[#This Row],[_IsSummary]],SUM(INDEX(Tasks[_LeafBudget],Tasks[[#This Row],[_Row]]+1):INDEX(Tasks[_LeafBudget],Tasks[[#This Row],[_Row]]+Tasks[[#This Row],[_Descendants]])),Tasks[[#This Row],[_LeafBudget]]))</f>
        <v/>
      </c>
      <c r="BG96" s="99" t="str">
        <f aca="false">IF(Tasks[[#This Row],[Task Name]]="","",IF(Tasks[[#This Row],[_IsSummary]],SUM(INDEX(Tasks[_LeafPV],Tasks[[#This Row],[_Row]]+1):INDEX(Tasks[_LeafPV],Tasks[[#This Row],[_Row]]+Tasks[[#This Row],[_Descendants]])),Tasks[[#This Row],[_LeafPV]]))</f>
        <v/>
      </c>
      <c r="BH96" s="99" t="str">
        <f aca="false">IF(Tasks[[#This Row],[Task Name]]="","",IF(Tasks[[#This Row],[_IsSummary]],SUM(INDEX(Tasks[_LeafEV],Tasks[[#This Row],[_Row]]+1):INDEX(Tasks[_LeafEV],Tasks[[#This Row],[_Row]]+Tasks[[#This Row],[_Descendants]])),Tasks[[#This Row],[_LeafEV]]))</f>
        <v/>
      </c>
      <c r="BI96" s="99" t="str">
        <f aca="false">IF(Tasks[[#This Row],[Task Name]]="","",IF(Tasks[[#This Row],[_IsSummary]],SUM(INDEX(Tasks[_LeafAC],Tasks[[#This Row],[_Row]]+1):INDEX(Tasks[_LeafAC],Tasks[[#This Row],[_Row]]+Tasks[[#This Row],[_Descendants]])),Tasks[[#This Row],[_LeafAC]]))</f>
        <v/>
      </c>
      <c r="BJ96" s="41" t="str">
        <f aca="false">IF(Tasks[[#This Row],[Task Name]]="","",MAX(1,N(Tasks[[#This Row],[Level]])))</f>
        <v/>
      </c>
      <c r="BK96" s="41" t="n">
        <f aca="false">ROW()-ROW(Tasks[[#Headers],[ID]])</f>
        <v>91</v>
      </c>
      <c r="BL96" s="41" t="n">
        <f aca="false">IF(OR(Tasks[[#This Row],[Task Name]]="",Tasks[[#This Row],[_Level]]&lt;=1),0,IFERROR(LOOKUP(2,1/(Tasks[[#Headers],[_Level]]:Tasks[[#This Row],[_Level]]=Tasks[[#This Row],[_Level]]-1),ROW(Tasks[[#Headers],[_Level]]:Tasks[[#This Row],[_Level]])),0))</f>
        <v>0</v>
      </c>
      <c r="BM96" s="41" t="n">
        <f aca="false">IFERROR(N(INDEX(Tasks[_Level],Tasks[[#This Row],[_Row]]+1)),0)</f>
        <v>0</v>
      </c>
      <c r="BN96" s="102" t="b">
        <f aca="false">AND(Tasks[[#This Row],[Task Name]]&lt;&gt;"",Tasks[[#This Row],[_NextLevel]]&gt;Tasks[[#This Row],[_Level]])</f>
        <v>0</v>
      </c>
      <c r="BO96" s="41" t="n">
        <f aca="false">IF(Tasks[[#This Row],[_IsSummary]],COUNTIF(Tasks[WBS],Tasks[[#This Row],[WBS]]&amp;".*"),0)</f>
        <v>0</v>
      </c>
      <c r="BP96" s="41" t="n">
        <f aca="false">IF(AND(Tasks[[#This Row],[Task Name]]&lt;&gt;"",NOT(Tasks[[#This Row],[_IsSummary]])),1,0)</f>
        <v>0</v>
      </c>
      <c r="BQ96" s="41" t="n">
        <f aca="false">IF(N(Tasks[[#This Row],[Pred1 UID]])=0,0,IFERROR(MATCH(Tasks[[#This Row],[Pred1 UID]],Tasks[UID],0),-1))</f>
        <v>0</v>
      </c>
      <c r="BR96" s="41" t="n">
        <f aca="false">IF(N(Tasks[[#This Row],[Pred2 UID]])=0,0,IFERROR(MATCH(Tasks[[#This Row],[Pred2 UID]],Tasks[UID],0),-1))</f>
        <v>0</v>
      </c>
      <c r="BS9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6" s="103" t="str">
        <f aca="false">IF(NOT(Tasks[[#This Row],[_IsLeaf]]=1),"",IF(N(Tasks[[#This Row],[Duration]])&lt;=0,Tasks[[#This Row],[_LeafCalcStart]],WORKDAY.INTL(Tasks[[#This Row],[_LeafCalcStart]],Tasks[[#This Row],[Duration]]-1,WorkWeek,Holidays)))</f>
        <v/>
      </c>
      <c r="BU9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6" s="41" t="n">
        <f aca="false">IF(NOT(Tasks[[#This Row],[_IsLeaf]]=1),0,IF(N(Tasks[[#This Row],[Actual Finish]])&gt;0,1,MIN(1,N(Tasks[[#This Row],[% Complete]]))))</f>
        <v>0</v>
      </c>
      <c r="BX96" s="41" t="n">
        <f aca="false">IF(OR(NOT(Tasks[[#This Row],[_IsLeaf]]=1),Tasks[[#This Row],[Resource]]=""),0,N(Tasks[[#This Row],[Duration]])*HoursPerDay*IF(Tasks[[#This Row],[Units]]="",DefaultUnits,Tasks[[#This Row],[Units]]))</f>
        <v>0</v>
      </c>
      <c r="BY96" s="41" t="n">
        <f aca="false">IF(Tasks[[#This Row],[_LeafWork]]=0,0,Tasks[[#This Row],[_LeafWork]]*IFERROR(INDEX(res_Rate,MATCH(Tasks[[#This Row],[Resource]],res_Name,0)),0))</f>
        <v>0</v>
      </c>
      <c r="BZ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6" s="41" t="n">
        <f aca="false">IF(NOT(Tasks[[#This Row],[_IsLeaf]]=1),0,MAX(_xlfn.MAXIFS(Tasks[_Row],Tasks[Pred1 UID],Tasks[[#This Row],[UID]]),_xlfn.MAXIFS(Tasks[_Row],Tasks[Pred2 UID],Tasks[[#This Row],[UID]])))</f>
        <v>0</v>
      </c>
      <c r="CE9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6" s="103" t="str">
        <f aca="false">IF(NOT(Tasks[[#This Row],[_IsLeaf]]=1),"",MIN(ProjectFinish,IF(N(Tasks[[#This Row],[Deadline]])&gt;0,Tasks[[#This Row],[Deadline]],2958465),Tasks[[#This Row],[_SuccessorFinishLimit]]))</f>
        <v/>
      </c>
      <c r="CG96" s="103" t="str">
        <f aca="false">IF(NOT(Tasks[[#This Row],[_IsLeaf]]=1),"",IF(N(Tasks[[#This Row],[Duration]])&lt;=0,Tasks[[#This Row],[_LeafLateFinish]],WORKDAY.INTL(Tasks[[#This Row],[_LeafLateFinish]],-(Tasks[[#This Row],[Duration]]-1),WorkWeek,Holidays)))</f>
        <v/>
      </c>
      <c r="CH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6" s="102" t="b">
        <f aca="false">AND(Tasks[[#This Row],[_IsLeaf]]=1,Tasks[[#This Row],[_LeafProgress]]&lt;1,N(Tasks[[#This Row],[_LeafTotalSlack]])&lt;=CriticalSlackDays)</f>
        <v>0</v>
      </c>
      <c r="CJ96" s="103" t="str">
        <f aca="false">IF(Tasks[[#This Row],[Task Name]]="","",IF(Tasks[[#This Row],[_IsSummary]],MIN(INDEX(Tasks[_LeafCalcStart],Tasks[[#This Row],[_Row]]+1):INDEX(Tasks[_LeafCalcStart],Tasks[[#This Row],[_Row]]+Tasks[[#This Row],[_Descendants]])),Tasks[[#This Row],[_LeafCalcStart]]))</f>
        <v/>
      </c>
      <c r="CK96" s="103" t="str">
        <f aca="false">IF(Tasks[[#This Row],[Task Name]]="","",IF(Tasks[[#This Row],[_IsSummary]],MAX(INDEX(Tasks[_LeafCalcFinish],Tasks[[#This Row],[_Row]]+1):INDEX(Tasks[_LeafCalcFinish],Tasks[[#This Row],[_Row]]+Tasks[[#This Row],[_Descendants]])),Tasks[[#This Row],[_LeafCalcFinish]]))</f>
        <v/>
      </c>
      <c r="CL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6" s="41" t="n">
        <f aca="false">IF(AND(Tasks[[#This Row],[_IsLeaf]]=1,Tasks[[#This Row],[_LeafWork]]&gt;0),NETWORKDAYS.INTL(ProjectStart,Tasks[[#This Row],[_LeafFcstStart]],WorkWeek,Holidays),0)</f>
        <v>0</v>
      </c>
      <c r="CS96" s="41" t="n">
        <f aca="false">IF(AND(Tasks[[#This Row],[_IsLeaf]]=1,Tasks[[#This Row],[_LeafWork]]&gt;0),MAX(Tasks[[#This Row],[_StartWorkday]],NETWORKDAYS.INTL(ProjectStart,Tasks[[#This Row],[_LeafFcstFinish]],WorkWeek,Holidays)),0)</f>
        <v>0</v>
      </c>
      <c r="CT96" s="41" t="n">
        <f aca="false">IF(AND(Tasks[[#This Row],[_IsLeaf]]=1,Tasks[[#This Row],[_LeafWork]]&gt;0),Tasks[[#This Row],[_LeafWork]]/(Tasks[[#This Row],[_FinishWorkday]]-Tasks[[#This Row],[_StartWorkday]]+1),0)</f>
        <v>0</v>
      </c>
      <c r="CU96" s="41" t="n">
        <f aca="false">Tasks[[#This Row],[_WorkPerWorkday]]*(Tasks[[#This Row],[_StartWorkday]]-1)</f>
        <v>-0</v>
      </c>
      <c r="CV96" s="41" t="n">
        <f aca="false">IF(Tasks[[#This Row],[_IsLeaf]]=1,MAX(N(Tasks[[#This Row],[Duration]]),0.1),0)</f>
        <v>0</v>
      </c>
      <c r="CW96" s="41" t="n">
        <f aca="false">Tasks[[#This Row],[_WeightDur]]*Tasks[[#This Row],[_LeafProgress]]</f>
        <v>0</v>
      </c>
      <c r="CX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6" s="41" t="str">
        <f aca="false">IF(Tasks[[#This Row],[Task Name]]="","",Tasks[[#This Row],[_Pred1UIDText]]&amp;IF(AND(Tasks[[#This Row],[_Pred1UIDText]]&lt;&gt;"",Tasks[[#This Row],[_Pred2UIDText]]&lt;&gt;""),",","")&amp;Tasks[[#This Row],[_Pred2UIDText]])</f>
        <v/>
      </c>
      <c r="DC96" s="41" t="str">
        <f aca="false">IF(AND(Tasks[[#This Row],[_IsLeaf]]=1,N(Tasks[[#This Row],[Duration]])=0,Tasks[[#This Row],[_LeafProgress]]&lt;1),Tasks[[#This Row],[_LeafFcstFinish]]+Tasks[[#This Row],[_Row]]/100000,"")</f>
        <v/>
      </c>
      <c r="DD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6" s="41" t="n">
        <f aca="false">IF(NOT(Tasks[[#This Row],[_IsLeaf]]=1),0,IF(Tasks[[#This Row],[Baseline Cost]]="",Tasks[[#This Row],[_LeafCost]],N(Tasks[[#This Row],[Baseline Cost]])))</f>
        <v>0</v>
      </c>
      <c r="DF96" s="41" t="n">
        <f aca="false">Tasks[[#This Row],[_LeafBudget]]*Tasks[[#This Row],[_PlannedPct]]</f>
        <v>0</v>
      </c>
      <c r="DG96" s="41" t="n">
        <f aca="false">Tasks[[#This Row],[_LeafBudget]]*Tasks[[#This Row],[_LeafProgress]]</f>
        <v>0</v>
      </c>
      <c r="DH96" s="41" t="n">
        <f aca="false">IF(NOT(Tasks[[#This Row],[_IsLeaf]]=1),0,IF(Tasks[[#This Row],[Actual Cost]]="",Tasks[[#This Row],[_LeafCost]]*Tasks[[#This Row],[_LeafProgress]],N(Tasks[[#This Row],[Actual Cost]])))</f>
        <v>0</v>
      </c>
      <c r="DI96" s="41" t="str">
        <f aca="false">IF(Tasks[[#This Row],[Task Name]]="","",LEFT(Tasks[[#This Row],[WBS]],FIND(".",Tasks[[#This Row],[WBS]]&amp;".")-1))</f>
        <v/>
      </c>
      <c r="DJ96" s="41" t="str">
        <f aca="false">IF(AND(Tasks[[#This Row],[Task Name]]&lt;&gt;"",Tasks[[#This Row],[_Level]]=1),Tasks[[#This Row],[_Row]],"")</f>
        <v/>
      </c>
      <c r="DK96" s="41" t="str">
        <f aca="false">IF(AND(Tasks[[#This Row],[_IsLeaf]]=1,N(Tasks[[#This Row],[Duration]])=0),Tasks[[#This Row],[Planned Finish]]+Tasks[[#This Row],[_Row]]/100000,"")</f>
        <v/>
      </c>
      <c r="DL96" s="41" t="str">
        <f aca="false">IF(AND(Tasks[[#This Row],[_IsLeaf]]=1,Tasks[[#This Row],[_LeafProgress]]&lt;1,OR(N(Tasks[[#This Row],[Finish Var]])&gt;0,Tasks[[#This Row],[Status]]="Late Start")),MAX(0,Tasks[[#This Row],[Finish Var]])+1-Tasks[[#This Row],[_Row]]/1000000,"")</f>
        <v/>
      </c>
      <c r="DM96" s="41" t="str">
        <f aca="false">IF(AND(Tasks[[#This Row],[_IsLeaf]]=1,N(Tasks[[#This Row],[Actual Start]])=0,Tasks[[#This Row],[_LeafFcstStart]]&gt;=StatusDate,Tasks[[#This Row],[_LeafFcstStart]]&lt;=LookaheadEnd),Tasks[[#This Row],[_LeafFcstStart]]+Tasks[[#This Row],[_Row]]/100000,"")</f>
        <v/>
      </c>
      <c r="DN96" s="41" t="str">
        <f aca="false">IF(AND(Tasks[[#This Row],[_IsLeaf]]=1,Tasks[[#This Row],[_LeafProgress]]&lt;1,Tasks[[#This Row],[_LeafFcstFinish]]&gt;=StatusDate,Tasks[[#This Row],[_LeafFcstFinish]]&lt;=LookaheadEnd),Tasks[[#This Row],[_LeafFcstFinish]]+Tasks[[#This Row],[_Row]]/100000,"")</f>
        <v/>
      </c>
      <c r="DO96" s="41" t="str">
        <f aca="false">IF(Tasks[[#This Row],[_LeafCritical]],Tasks[[#This Row],[_LeafFcstStart]]+Tasks[[#This Row],[_Row]]/100000,"")</f>
        <v/>
      </c>
      <c r="DP96" s="41" t="n">
        <f aca="false">Tasks[[#This Row],[_LeafWork]]*Tasks[[#This Row],[_LeafProgress]]</f>
        <v>0</v>
      </c>
      <c r="DQ96" s="103" t="str">
        <f aca="false">IF(AND(Tasks[[#This Row],[_IsLeaf]]=1,Tasks[[#This Row],[_LeafProgress]]&gt;=1),IF(N(Tasks[[#This Row],[Actual Finish]])&gt;0,Tasks[[#This Row],[Actual Finish]],Tasks[[#This Row],[_LeafFcstFinish]]),"")</f>
        <v/>
      </c>
      <c r="DR96" s="41" t="n">
        <f aca="false">IF(Tasks[[#This Row],[_IsLeaf]]=1,N(Tasks[[#This Row],[Story Points]]),0)</f>
        <v>0</v>
      </c>
      <c r="DS96" s="41" t="str">
        <f aca="false">IF(AND(Tasks[[#This Row],[_IsLeaf]]=1,CurrentSprint&lt;&gt;"",Tasks[[#This Row],[Sprint]]=CurrentSprint),Tasks[[#This Row],[_Row]],"")</f>
        <v/>
      </c>
    </row>
    <row r="97" customFormat="false" ht="15" hidden="false" customHeight="false" outlineLevel="0" collapsed="false">
      <c r="A97" s="28" t="str">
        <f aca="false">IF(Tasks[[#This Row],[Task Name]]="","",COUNTA(Tasks[[#Headers],[Task Name]]:Tasks[[#This Row],[Task Name]])-1)</f>
        <v/>
      </c>
      <c r="B97" s="29" t="n">
        <v>92</v>
      </c>
      <c r="C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29"/>
      <c r="E97" s="30"/>
      <c r="F97" s="29"/>
      <c r="G97" s="29"/>
      <c r="H97" s="29"/>
      <c r="I97" s="29"/>
      <c r="J97" s="29"/>
      <c r="K97" s="29"/>
      <c r="L97" s="29"/>
      <c r="M97" s="29"/>
      <c r="N97" s="77"/>
      <c r="O97" s="77"/>
      <c r="P97" s="25" t="str">
        <f aca="false">IF(Tasks[[#This Row],[Task Name]]="","",IF(N(Tasks[[#This Row],[Baseline Start]])&gt;0,Tasks[[#This Row],[Baseline Start]],Tasks[[#This Row],[_CalcStart]]))</f>
        <v/>
      </c>
      <c r="Q97" s="25" t="str">
        <f aca="false">IF(Tasks[[#This Row],[Task Name]]="","",IF(N(Tasks[[#This Row],[Baseline Finish]])&gt;0,Tasks[[#This Row],[Baseline Finish]],Tasks[[#This Row],[_CalcFinish]]))</f>
        <v/>
      </c>
      <c r="R97" s="77"/>
      <c r="S97" s="77"/>
      <c r="T97" s="25" t="str">
        <f aca="false">IF(Tasks[[#This Row],[Task Name]]="","",IF(Tasks[[#This Row],[_IsSummary]],MIN(INDEX(Tasks[_LeafFcstStart],Tasks[[#This Row],[_Row]]+1):INDEX(Tasks[_LeafFcstStart],Tasks[[#This Row],[_Row]]+Tasks[[#This Row],[_Descendants]])),Tasks[[#This Row],[_LeafFcstStart]]))</f>
        <v/>
      </c>
      <c r="U97" s="25" t="str">
        <f aca="false">IF(Tasks[[#This Row],[Task Name]]="","",IF(Tasks[[#This Row],[_IsSummary]],MAX(INDEX(Tasks[_LeafFcstFinish],Tasks[[#This Row],[_Row]]+1):INDEX(Tasks[_LeafFcstFinish],Tasks[[#This Row],[_Row]]+Tasks[[#This Row],[_Descendants]])),Tasks[[#This Row],[_LeafFcstFinish]]))</f>
        <v/>
      </c>
      <c r="V9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7" s="25" t="str">
        <f aca="false">IF(Tasks[[#This Row],[Task Name]]="","",IF(Tasks[[#This Row],[_IsSummary]],MIN(INDEX(Tasks[_LeafLateStart],Tasks[[#This Row],[_Row]]+1):INDEX(Tasks[_LeafLateStart],Tasks[[#This Row],[_Row]]+Tasks[[#This Row],[_Descendants]])),Tasks[[#This Row],[_LeafLateStart]]))</f>
        <v/>
      </c>
      <c r="Y97" s="25" t="str">
        <f aca="false">IF(Tasks[[#This Row],[Task Name]]="","",IF(Tasks[[#This Row],[_IsSummary]],MAX(INDEX(Tasks[_LeafLateFinish],Tasks[[#This Row],[_Row]]+1):INDEX(Tasks[_LeafLateFinish],Tasks[[#This Row],[_Row]]+Tasks[[#This Row],[_Descendants]])),Tasks[[#This Row],[_LeafLateFinish]]))</f>
        <v/>
      </c>
      <c r="Z97" s="43" t="str">
        <f aca="false">IF(Tasks[[#This Row],[Task Name]]="","",IF(Tasks[[#This Row],[_IsSummary]],MIN(INDEX(Tasks[_LeafTotalSlack],Tasks[[#This Row],[_Row]]+1):INDEX(Tasks[_LeafTotalSlack],Tasks[[#This Row],[_Row]]+Tasks[[#This Row],[_Descendants]])),Tasks[[#This Row],[_LeafTotalSlack]]))</f>
        <v/>
      </c>
      <c r="AA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7" s="28" t="str">
        <f aca="false">IF(Tasks[[#This Row],[Task Name]]="","",IF(IF(Tasks[[#This Row],[_IsSummary]],COUNTIF(INDEX(Tasks[_LeafCritical],Tasks[[#This Row],[_Row]]+1):INDEX(Tasks[_LeafCritical],Tasks[[#This Row],[_Row]]+Tasks[[#This Row],[_Descendants]]),TRUE())&gt;0,Tasks[[#This Row],[_LeafCritical]]),"Yes",""))</f>
        <v/>
      </c>
      <c r="AC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7" s="24" t="str">
        <f aca="false">IF(Tasks[[#This Row],[Task Name]]="","",TRIM(IF(Tasks[[#This Row],[_Pred1Problem]]&lt;&gt;"","Pred 1: "&amp;Tasks[[#This Row],[_Pred1Problem]]&amp;". ","")&amp;IF(Tasks[[#This Row],[_Pred2Problem]]&lt;&gt;"","Pred 2: "&amp;Tasks[[#This Row],[_Pred2Problem]]&amp;".","")))</f>
        <v/>
      </c>
      <c r="AE97" s="91"/>
      <c r="AF9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7" s="28" t="str">
        <f aca="false">IF(Tasks[[#This Row],[Task Name]]="","",IF(Tasks[[#This Row],[Progress]]&gt;=1,"Complete",IF(OR(N(Tasks[[#This Row],[Actual Start]])&gt;0,Tasks[[#This Row],[Progress]]&gt;0),IF(Tasks[[#This Row],[Finish Var]]&gt;0,"Behind","In Progress"),IF(Tasks[[#This Row],[Planned Start]]&lt;StatusDate,"Late Start","Not Started"))))</f>
        <v/>
      </c>
      <c r="AH97" s="30"/>
      <c r="AI97" s="91"/>
      <c r="AJ9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7" s="98" t="str">
        <f aca="false">IF(Tasks[[#This Row],[Task Name]]="","",IF(Tasks[[#This Row],[_IsSummary]],SUM(INDEX(Tasks[_LeafWork],Tasks[[#This Row],[_Row]]+1):INDEX(Tasks[_LeafWork],Tasks[[#This Row],[_Row]]+Tasks[[#This Row],[_Descendants]])),Tasks[[#This Row],[_LeafWork]]))</f>
        <v/>
      </c>
      <c r="AL97" s="99" t="str">
        <f aca="false">IF(Tasks[[#This Row],[Task Name]]="","",IF(Tasks[[#This Row],[_IsSummary]],SUM(INDEX(Tasks[_LeafCost],Tasks[[#This Row],[_Row]]+1):INDEX(Tasks[_LeafCost],Tasks[[#This Row],[_Row]]+Tasks[[#This Row],[_Descendants]])),Tasks[[#This Row],[_LeafCost]]))</f>
        <v/>
      </c>
      <c r="AM97" s="100"/>
      <c r="AN97" s="29"/>
      <c r="AO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7" s="85"/>
      <c r="AQ97" s="24" t="str">
        <f aca="false">IF(Tasks[[#This Row],[Task Name]]="","",Tasks[[#This Row],[_Pred1IDText]]&amp;IF(AND(Tasks[[#This Row],[_Pred1IDText]]&lt;&gt;"",Tasks[[#This Row],[_Pred2IDText]]&lt;&gt;""),",","")&amp;Tasks[[#This Row],[_Pred2IDText]])</f>
        <v/>
      </c>
      <c r="AR97" s="30"/>
      <c r="AS97" s="25" t="str">
        <f aca="false">IF(Tasks[[#This Row],[Task Name]]="","",Tasks[[#This Row],[Forecast Start]])</f>
        <v/>
      </c>
      <c r="AT97" s="25" t="str">
        <f aca="false">IF(Tasks[[#This Row],[Task Name]]="","",Tasks[[#This Row],[Forecast Finish]])</f>
        <v/>
      </c>
      <c r="AU97" s="28" t="str">
        <f aca="false">IF(Tasks[[#This Row],[Task Name]]="","",IF(Tasks[[#This Row],[_IsSummary]],NETWORKDAYS.INTL(Tasks[[#This Row],[Forecast Start]],Tasks[[#This Row],[Forecast Finish]],WorkWeek,Holidays),N(Tasks[[#This Row],[Duration]])))</f>
        <v/>
      </c>
      <c r="AV97" s="98" t="str">
        <f aca="false">IF(Tasks[[#This Row],[Task Name]]="","",Tasks[[#This Row],[Work]])</f>
        <v/>
      </c>
      <c r="AW97" s="99" t="str">
        <f aca="false">IF(Tasks[[#This Row],[Task Name]]="","",Tasks[[#This Row],[Cost]])</f>
        <v/>
      </c>
      <c r="AX97" s="77"/>
      <c r="AY97" s="77"/>
      <c r="AZ97" s="29"/>
      <c r="BA97" s="101"/>
      <c r="BB97" s="100"/>
      <c r="BC97" s="28" t="str">
        <f aca="false">IF(OR(Tasks[[#This Row],[Task Name]]="",Tasks[[#This Row],[Baseline Duration]]=""),"",Tasks[[#This Row],[BL Source Duration]]-N(Tasks[[#This Row],[Baseline Duration]]))</f>
        <v/>
      </c>
      <c r="BD97" s="98" t="str">
        <f aca="false">IF(OR(Tasks[[#This Row],[Task Name]]="",Tasks[[#This Row],[Baseline Work]]=""),"",Tasks[[#This Row],[Work]]-N(Tasks[[#This Row],[Baseline Work]]))</f>
        <v/>
      </c>
      <c r="BE97" s="99" t="str">
        <f aca="false">IF(OR(Tasks[[#This Row],[Task Name]]="",Tasks[[#This Row],[Baseline Cost]]=""),"",Tasks[[#This Row],[Cost]]-N(Tasks[[#This Row],[Baseline Cost]]))</f>
        <v/>
      </c>
      <c r="BF97" s="99" t="str">
        <f aca="false">IF(Tasks[[#This Row],[Task Name]]="","",IF(Tasks[[#This Row],[_IsSummary]],SUM(INDEX(Tasks[_LeafBudget],Tasks[[#This Row],[_Row]]+1):INDEX(Tasks[_LeafBudget],Tasks[[#This Row],[_Row]]+Tasks[[#This Row],[_Descendants]])),Tasks[[#This Row],[_LeafBudget]]))</f>
        <v/>
      </c>
      <c r="BG97" s="99" t="str">
        <f aca="false">IF(Tasks[[#This Row],[Task Name]]="","",IF(Tasks[[#This Row],[_IsSummary]],SUM(INDEX(Tasks[_LeafPV],Tasks[[#This Row],[_Row]]+1):INDEX(Tasks[_LeafPV],Tasks[[#This Row],[_Row]]+Tasks[[#This Row],[_Descendants]])),Tasks[[#This Row],[_LeafPV]]))</f>
        <v/>
      </c>
      <c r="BH97" s="99" t="str">
        <f aca="false">IF(Tasks[[#This Row],[Task Name]]="","",IF(Tasks[[#This Row],[_IsSummary]],SUM(INDEX(Tasks[_LeafEV],Tasks[[#This Row],[_Row]]+1):INDEX(Tasks[_LeafEV],Tasks[[#This Row],[_Row]]+Tasks[[#This Row],[_Descendants]])),Tasks[[#This Row],[_LeafEV]]))</f>
        <v/>
      </c>
      <c r="BI97" s="99" t="str">
        <f aca="false">IF(Tasks[[#This Row],[Task Name]]="","",IF(Tasks[[#This Row],[_IsSummary]],SUM(INDEX(Tasks[_LeafAC],Tasks[[#This Row],[_Row]]+1):INDEX(Tasks[_LeafAC],Tasks[[#This Row],[_Row]]+Tasks[[#This Row],[_Descendants]])),Tasks[[#This Row],[_LeafAC]]))</f>
        <v/>
      </c>
      <c r="BJ97" s="41" t="str">
        <f aca="false">IF(Tasks[[#This Row],[Task Name]]="","",MAX(1,N(Tasks[[#This Row],[Level]])))</f>
        <v/>
      </c>
      <c r="BK97" s="41" t="n">
        <f aca="false">ROW()-ROW(Tasks[[#Headers],[ID]])</f>
        <v>92</v>
      </c>
      <c r="BL97" s="41" t="n">
        <f aca="false">IF(OR(Tasks[[#This Row],[Task Name]]="",Tasks[[#This Row],[_Level]]&lt;=1),0,IFERROR(LOOKUP(2,1/(Tasks[[#Headers],[_Level]]:Tasks[[#This Row],[_Level]]=Tasks[[#This Row],[_Level]]-1),ROW(Tasks[[#Headers],[_Level]]:Tasks[[#This Row],[_Level]])),0))</f>
        <v>0</v>
      </c>
      <c r="BM97" s="41" t="n">
        <f aca="false">IFERROR(N(INDEX(Tasks[_Level],Tasks[[#This Row],[_Row]]+1)),0)</f>
        <v>0</v>
      </c>
      <c r="BN97" s="102" t="b">
        <f aca="false">AND(Tasks[[#This Row],[Task Name]]&lt;&gt;"",Tasks[[#This Row],[_NextLevel]]&gt;Tasks[[#This Row],[_Level]])</f>
        <v>0</v>
      </c>
      <c r="BO97" s="41" t="n">
        <f aca="false">IF(Tasks[[#This Row],[_IsSummary]],COUNTIF(Tasks[WBS],Tasks[[#This Row],[WBS]]&amp;".*"),0)</f>
        <v>0</v>
      </c>
      <c r="BP97" s="41" t="n">
        <f aca="false">IF(AND(Tasks[[#This Row],[Task Name]]&lt;&gt;"",NOT(Tasks[[#This Row],[_IsSummary]])),1,0)</f>
        <v>0</v>
      </c>
      <c r="BQ97" s="41" t="n">
        <f aca="false">IF(N(Tasks[[#This Row],[Pred1 UID]])=0,0,IFERROR(MATCH(Tasks[[#This Row],[Pred1 UID]],Tasks[UID],0),-1))</f>
        <v>0</v>
      </c>
      <c r="BR97" s="41" t="n">
        <f aca="false">IF(N(Tasks[[#This Row],[Pred2 UID]])=0,0,IFERROR(MATCH(Tasks[[#This Row],[Pred2 UID]],Tasks[UID],0),-1))</f>
        <v>0</v>
      </c>
      <c r="BS9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7" s="103" t="str">
        <f aca="false">IF(NOT(Tasks[[#This Row],[_IsLeaf]]=1),"",IF(N(Tasks[[#This Row],[Duration]])&lt;=0,Tasks[[#This Row],[_LeafCalcStart]],WORKDAY.INTL(Tasks[[#This Row],[_LeafCalcStart]],Tasks[[#This Row],[Duration]]-1,WorkWeek,Holidays)))</f>
        <v/>
      </c>
      <c r="BU9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7" s="41" t="n">
        <f aca="false">IF(NOT(Tasks[[#This Row],[_IsLeaf]]=1),0,IF(N(Tasks[[#This Row],[Actual Finish]])&gt;0,1,MIN(1,N(Tasks[[#This Row],[% Complete]]))))</f>
        <v>0</v>
      </c>
      <c r="BX97" s="41" t="n">
        <f aca="false">IF(OR(NOT(Tasks[[#This Row],[_IsLeaf]]=1),Tasks[[#This Row],[Resource]]=""),0,N(Tasks[[#This Row],[Duration]])*HoursPerDay*IF(Tasks[[#This Row],[Units]]="",DefaultUnits,Tasks[[#This Row],[Units]]))</f>
        <v>0</v>
      </c>
      <c r="BY97" s="41" t="n">
        <f aca="false">IF(Tasks[[#This Row],[_LeafWork]]=0,0,Tasks[[#This Row],[_LeafWork]]*IFERROR(INDEX(res_Rate,MATCH(Tasks[[#This Row],[Resource]],res_Name,0)),0))</f>
        <v>0</v>
      </c>
      <c r="BZ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7" s="41" t="n">
        <f aca="false">IF(NOT(Tasks[[#This Row],[_IsLeaf]]=1),0,MAX(_xlfn.MAXIFS(Tasks[_Row],Tasks[Pred1 UID],Tasks[[#This Row],[UID]]),_xlfn.MAXIFS(Tasks[_Row],Tasks[Pred2 UID],Tasks[[#This Row],[UID]])))</f>
        <v>0</v>
      </c>
      <c r="CE9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7" s="103" t="str">
        <f aca="false">IF(NOT(Tasks[[#This Row],[_IsLeaf]]=1),"",MIN(ProjectFinish,IF(N(Tasks[[#This Row],[Deadline]])&gt;0,Tasks[[#This Row],[Deadline]],2958465),Tasks[[#This Row],[_SuccessorFinishLimit]]))</f>
        <v/>
      </c>
      <c r="CG97" s="103" t="str">
        <f aca="false">IF(NOT(Tasks[[#This Row],[_IsLeaf]]=1),"",IF(N(Tasks[[#This Row],[Duration]])&lt;=0,Tasks[[#This Row],[_LeafLateFinish]],WORKDAY.INTL(Tasks[[#This Row],[_LeafLateFinish]],-(Tasks[[#This Row],[Duration]]-1),WorkWeek,Holidays)))</f>
        <v/>
      </c>
      <c r="CH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7" s="102" t="b">
        <f aca="false">AND(Tasks[[#This Row],[_IsLeaf]]=1,Tasks[[#This Row],[_LeafProgress]]&lt;1,N(Tasks[[#This Row],[_LeafTotalSlack]])&lt;=CriticalSlackDays)</f>
        <v>0</v>
      </c>
      <c r="CJ97" s="103" t="str">
        <f aca="false">IF(Tasks[[#This Row],[Task Name]]="","",IF(Tasks[[#This Row],[_IsSummary]],MIN(INDEX(Tasks[_LeafCalcStart],Tasks[[#This Row],[_Row]]+1):INDEX(Tasks[_LeafCalcStart],Tasks[[#This Row],[_Row]]+Tasks[[#This Row],[_Descendants]])),Tasks[[#This Row],[_LeafCalcStart]]))</f>
        <v/>
      </c>
      <c r="CK97" s="103" t="str">
        <f aca="false">IF(Tasks[[#This Row],[Task Name]]="","",IF(Tasks[[#This Row],[_IsSummary]],MAX(INDEX(Tasks[_LeafCalcFinish],Tasks[[#This Row],[_Row]]+1):INDEX(Tasks[_LeafCalcFinish],Tasks[[#This Row],[_Row]]+Tasks[[#This Row],[_Descendants]])),Tasks[[#This Row],[_LeafCalcFinish]]))</f>
        <v/>
      </c>
      <c r="CL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7" s="41" t="n">
        <f aca="false">IF(AND(Tasks[[#This Row],[_IsLeaf]]=1,Tasks[[#This Row],[_LeafWork]]&gt;0),NETWORKDAYS.INTL(ProjectStart,Tasks[[#This Row],[_LeafFcstStart]],WorkWeek,Holidays),0)</f>
        <v>0</v>
      </c>
      <c r="CS97" s="41" t="n">
        <f aca="false">IF(AND(Tasks[[#This Row],[_IsLeaf]]=1,Tasks[[#This Row],[_LeafWork]]&gt;0),MAX(Tasks[[#This Row],[_StartWorkday]],NETWORKDAYS.INTL(ProjectStart,Tasks[[#This Row],[_LeafFcstFinish]],WorkWeek,Holidays)),0)</f>
        <v>0</v>
      </c>
      <c r="CT97" s="41" t="n">
        <f aca="false">IF(AND(Tasks[[#This Row],[_IsLeaf]]=1,Tasks[[#This Row],[_LeafWork]]&gt;0),Tasks[[#This Row],[_LeafWork]]/(Tasks[[#This Row],[_FinishWorkday]]-Tasks[[#This Row],[_StartWorkday]]+1),0)</f>
        <v>0</v>
      </c>
      <c r="CU97" s="41" t="n">
        <f aca="false">Tasks[[#This Row],[_WorkPerWorkday]]*(Tasks[[#This Row],[_StartWorkday]]-1)</f>
        <v>-0</v>
      </c>
      <c r="CV97" s="41" t="n">
        <f aca="false">IF(Tasks[[#This Row],[_IsLeaf]]=1,MAX(N(Tasks[[#This Row],[Duration]]),0.1),0)</f>
        <v>0</v>
      </c>
      <c r="CW97" s="41" t="n">
        <f aca="false">Tasks[[#This Row],[_WeightDur]]*Tasks[[#This Row],[_LeafProgress]]</f>
        <v>0</v>
      </c>
      <c r="CX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7" s="41" t="str">
        <f aca="false">IF(Tasks[[#This Row],[Task Name]]="","",Tasks[[#This Row],[_Pred1UIDText]]&amp;IF(AND(Tasks[[#This Row],[_Pred1UIDText]]&lt;&gt;"",Tasks[[#This Row],[_Pred2UIDText]]&lt;&gt;""),",","")&amp;Tasks[[#This Row],[_Pred2UIDText]])</f>
        <v/>
      </c>
      <c r="DC97" s="41" t="str">
        <f aca="false">IF(AND(Tasks[[#This Row],[_IsLeaf]]=1,N(Tasks[[#This Row],[Duration]])=0,Tasks[[#This Row],[_LeafProgress]]&lt;1),Tasks[[#This Row],[_LeafFcstFinish]]+Tasks[[#This Row],[_Row]]/100000,"")</f>
        <v/>
      </c>
      <c r="DD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7" s="41" t="n">
        <f aca="false">IF(NOT(Tasks[[#This Row],[_IsLeaf]]=1),0,IF(Tasks[[#This Row],[Baseline Cost]]="",Tasks[[#This Row],[_LeafCost]],N(Tasks[[#This Row],[Baseline Cost]])))</f>
        <v>0</v>
      </c>
      <c r="DF97" s="41" t="n">
        <f aca="false">Tasks[[#This Row],[_LeafBudget]]*Tasks[[#This Row],[_PlannedPct]]</f>
        <v>0</v>
      </c>
      <c r="DG97" s="41" t="n">
        <f aca="false">Tasks[[#This Row],[_LeafBudget]]*Tasks[[#This Row],[_LeafProgress]]</f>
        <v>0</v>
      </c>
      <c r="DH97" s="41" t="n">
        <f aca="false">IF(NOT(Tasks[[#This Row],[_IsLeaf]]=1),0,IF(Tasks[[#This Row],[Actual Cost]]="",Tasks[[#This Row],[_LeafCost]]*Tasks[[#This Row],[_LeafProgress]],N(Tasks[[#This Row],[Actual Cost]])))</f>
        <v>0</v>
      </c>
      <c r="DI97" s="41" t="str">
        <f aca="false">IF(Tasks[[#This Row],[Task Name]]="","",LEFT(Tasks[[#This Row],[WBS]],FIND(".",Tasks[[#This Row],[WBS]]&amp;".")-1))</f>
        <v/>
      </c>
      <c r="DJ97" s="41" t="str">
        <f aca="false">IF(AND(Tasks[[#This Row],[Task Name]]&lt;&gt;"",Tasks[[#This Row],[_Level]]=1),Tasks[[#This Row],[_Row]],"")</f>
        <v/>
      </c>
      <c r="DK97" s="41" t="str">
        <f aca="false">IF(AND(Tasks[[#This Row],[_IsLeaf]]=1,N(Tasks[[#This Row],[Duration]])=0),Tasks[[#This Row],[Planned Finish]]+Tasks[[#This Row],[_Row]]/100000,"")</f>
        <v/>
      </c>
      <c r="DL97" s="41" t="str">
        <f aca="false">IF(AND(Tasks[[#This Row],[_IsLeaf]]=1,Tasks[[#This Row],[_LeafProgress]]&lt;1,OR(N(Tasks[[#This Row],[Finish Var]])&gt;0,Tasks[[#This Row],[Status]]="Late Start")),MAX(0,Tasks[[#This Row],[Finish Var]])+1-Tasks[[#This Row],[_Row]]/1000000,"")</f>
        <v/>
      </c>
      <c r="DM97" s="41" t="str">
        <f aca="false">IF(AND(Tasks[[#This Row],[_IsLeaf]]=1,N(Tasks[[#This Row],[Actual Start]])=0,Tasks[[#This Row],[_LeafFcstStart]]&gt;=StatusDate,Tasks[[#This Row],[_LeafFcstStart]]&lt;=LookaheadEnd),Tasks[[#This Row],[_LeafFcstStart]]+Tasks[[#This Row],[_Row]]/100000,"")</f>
        <v/>
      </c>
      <c r="DN97" s="41" t="str">
        <f aca="false">IF(AND(Tasks[[#This Row],[_IsLeaf]]=1,Tasks[[#This Row],[_LeafProgress]]&lt;1,Tasks[[#This Row],[_LeafFcstFinish]]&gt;=StatusDate,Tasks[[#This Row],[_LeafFcstFinish]]&lt;=LookaheadEnd),Tasks[[#This Row],[_LeafFcstFinish]]+Tasks[[#This Row],[_Row]]/100000,"")</f>
        <v/>
      </c>
      <c r="DO97" s="41" t="str">
        <f aca="false">IF(Tasks[[#This Row],[_LeafCritical]],Tasks[[#This Row],[_LeafFcstStart]]+Tasks[[#This Row],[_Row]]/100000,"")</f>
        <v/>
      </c>
      <c r="DP97" s="41" t="n">
        <f aca="false">Tasks[[#This Row],[_LeafWork]]*Tasks[[#This Row],[_LeafProgress]]</f>
        <v>0</v>
      </c>
      <c r="DQ97" s="103" t="str">
        <f aca="false">IF(AND(Tasks[[#This Row],[_IsLeaf]]=1,Tasks[[#This Row],[_LeafProgress]]&gt;=1),IF(N(Tasks[[#This Row],[Actual Finish]])&gt;0,Tasks[[#This Row],[Actual Finish]],Tasks[[#This Row],[_LeafFcstFinish]]),"")</f>
        <v/>
      </c>
      <c r="DR97" s="41" t="n">
        <f aca="false">IF(Tasks[[#This Row],[_IsLeaf]]=1,N(Tasks[[#This Row],[Story Points]]),0)</f>
        <v>0</v>
      </c>
      <c r="DS97" s="41" t="str">
        <f aca="false">IF(AND(Tasks[[#This Row],[_IsLeaf]]=1,CurrentSprint&lt;&gt;"",Tasks[[#This Row],[Sprint]]=CurrentSprint),Tasks[[#This Row],[_Row]],"")</f>
        <v/>
      </c>
    </row>
    <row r="98" customFormat="false" ht="15" hidden="false" customHeight="false" outlineLevel="0" collapsed="false">
      <c r="A98" s="28" t="str">
        <f aca="false">IF(Tasks[[#This Row],[Task Name]]="","",COUNTA(Tasks[[#Headers],[Task Name]]:Tasks[[#This Row],[Task Name]])-1)</f>
        <v/>
      </c>
      <c r="B98" s="29" t="n">
        <v>93</v>
      </c>
      <c r="C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29"/>
      <c r="E98" s="30"/>
      <c r="F98" s="29"/>
      <c r="G98" s="29"/>
      <c r="H98" s="29"/>
      <c r="I98" s="29"/>
      <c r="J98" s="29"/>
      <c r="K98" s="29"/>
      <c r="L98" s="29"/>
      <c r="M98" s="29"/>
      <c r="N98" s="77"/>
      <c r="O98" s="77"/>
      <c r="P98" s="25" t="str">
        <f aca="false">IF(Tasks[[#This Row],[Task Name]]="","",IF(N(Tasks[[#This Row],[Baseline Start]])&gt;0,Tasks[[#This Row],[Baseline Start]],Tasks[[#This Row],[_CalcStart]]))</f>
        <v/>
      </c>
      <c r="Q98" s="25" t="str">
        <f aca="false">IF(Tasks[[#This Row],[Task Name]]="","",IF(N(Tasks[[#This Row],[Baseline Finish]])&gt;0,Tasks[[#This Row],[Baseline Finish]],Tasks[[#This Row],[_CalcFinish]]))</f>
        <v/>
      </c>
      <c r="R98" s="77"/>
      <c r="S98" s="77"/>
      <c r="T98" s="25" t="str">
        <f aca="false">IF(Tasks[[#This Row],[Task Name]]="","",IF(Tasks[[#This Row],[_IsSummary]],MIN(INDEX(Tasks[_LeafFcstStart],Tasks[[#This Row],[_Row]]+1):INDEX(Tasks[_LeafFcstStart],Tasks[[#This Row],[_Row]]+Tasks[[#This Row],[_Descendants]])),Tasks[[#This Row],[_LeafFcstStart]]))</f>
        <v/>
      </c>
      <c r="U98" s="25" t="str">
        <f aca="false">IF(Tasks[[#This Row],[Task Name]]="","",IF(Tasks[[#This Row],[_IsSummary]],MAX(INDEX(Tasks[_LeafFcstFinish],Tasks[[#This Row],[_Row]]+1):INDEX(Tasks[_LeafFcstFinish],Tasks[[#This Row],[_Row]]+Tasks[[#This Row],[_Descendants]])),Tasks[[#This Row],[_LeafFcstFinish]]))</f>
        <v/>
      </c>
      <c r="V9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8" s="25" t="str">
        <f aca="false">IF(Tasks[[#This Row],[Task Name]]="","",IF(Tasks[[#This Row],[_IsSummary]],MIN(INDEX(Tasks[_LeafLateStart],Tasks[[#This Row],[_Row]]+1):INDEX(Tasks[_LeafLateStart],Tasks[[#This Row],[_Row]]+Tasks[[#This Row],[_Descendants]])),Tasks[[#This Row],[_LeafLateStart]]))</f>
        <v/>
      </c>
      <c r="Y98" s="25" t="str">
        <f aca="false">IF(Tasks[[#This Row],[Task Name]]="","",IF(Tasks[[#This Row],[_IsSummary]],MAX(INDEX(Tasks[_LeafLateFinish],Tasks[[#This Row],[_Row]]+1):INDEX(Tasks[_LeafLateFinish],Tasks[[#This Row],[_Row]]+Tasks[[#This Row],[_Descendants]])),Tasks[[#This Row],[_LeafLateFinish]]))</f>
        <v/>
      </c>
      <c r="Z98" s="43" t="str">
        <f aca="false">IF(Tasks[[#This Row],[Task Name]]="","",IF(Tasks[[#This Row],[_IsSummary]],MIN(INDEX(Tasks[_LeafTotalSlack],Tasks[[#This Row],[_Row]]+1):INDEX(Tasks[_LeafTotalSlack],Tasks[[#This Row],[_Row]]+Tasks[[#This Row],[_Descendants]])),Tasks[[#This Row],[_LeafTotalSlack]]))</f>
        <v/>
      </c>
      <c r="AA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8" s="28" t="str">
        <f aca="false">IF(Tasks[[#This Row],[Task Name]]="","",IF(IF(Tasks[[#This Row],[_IsSummary]],COUNTIF(INDEX(Tasks[_LeafCritical],Tasks[[#This Row],[_Row]]+1):INDEX(Tasks[_LeafCritical],Tasks[[#This Row],[_Row]]+Tasks[[#This Row],[_Descendants]]),TRUE())&gt;0,Tasks[[#This Row],[_LeafCritical]]),"Yes",""))</f>
        <v/>
      </c>
      <c r="AC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8" s="24" t="str">
        <f aca="false">IF(Tasks[[#This Row],[Task Name]]="","",TRIM(IF(Tasks[[#This Row],[_Pred1Problem]]&lt;&gt;"","Pred 1: "&amp;Tasks[[#This Row],[_Pred1Problem]]&amp;". ","")&amp;IF(Tasks[[#This Row],[_Pred2Problem]]&lt;&gt;"","Pred 2: "&amp;Tasks[[#This Row],[_Pred2Problem]]&amp;".","")))</f>
        <v/>
      </c>
      <c r="AE98" s="91"/>
      <c r="AF9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8" s="28" t="str">
        <f aca="false">IF(Tasks[[#This Row],[Task Name]]="","",IF(Tasks[[#This Row],[Progress]]&gt;=1,"Complete",IF(OR(N(Tasks[[#This Row],[Actual Start]])&gt;0,Tasks[[#This Row],[Progress]]&gt;0),IF(Tasks[[#This Row],[Finish Var]]&gt;0,"Behind","In Progress"),IF(Tasks[[#This Row],[Planned Start]]&lt;StatusDate,"Late Start","Not Started"))))</f>
        <v/>
      </c>
      <c r="AH98" s="30"/>
      <c r="AI98" s="91"/>
      <c r="AJ9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8" s="98" t="str">
        <f aca="false">IF(Tasks[[#This Row],[Task Name]]="","",IF(Tasks[[#This Row],[_IsSummary]],SUM(INDEX(Tasks[_LeafWork],Tasks[[#This Row],[_Row]]+1):INDEX(Tasks[_LeafWork],Tasks[[#This Row],[_Row]]+Tasks[[#This Row],[_Descendants]])),Tasks[[#This Row],[_LeafWork]]))</f>
        <v/>
      </c>
      <c r="AL98" s="99" t="str">
        <f aca="false">IF(Tasks[[#This Row],[Task Name]]="","",IF(Tasks[[#This Row],[_IsSummary]],SUM(INDEX(Tasks[_LeafCost],Tasks[[#This Row],[_Row]]+1):INDEX(Tasks[_LeafCost],Tasks[[#This Row],[_Row]]+Tasks[[#This Row],[_Descendants]])),Tasks[[#This Row],[_LeafCost]]))</f>
        <v/>
      </c>
      <c r="AM98" s="100"/>
      <c r="AN98" s="29"/>
      <c r="AO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8" s="85"/>
      <c r="AQ98" s="24" t="str">
        <f aca="false">IF(Tasks[[#This Row],[Task Name]]="","",Tasks[[#This Row],[_Pred1IDText]]&amp;IF(AND(Tasks[[#This Row],[_Pred1IDText]]&lt;&gt;"",Tasks[[#This Row],[_Pred2IDText]]&lt;&gt;""),",","")&amp;Tasks[[#This Row],[_Pred2IDText]])</f>
        <v/>
      </c>
      <c r="AR98" s="30"/>
      <c r="AS98" s="25" t="str">
        <f aca="false">IF(Tasks[[#This Row],[Task Name]]="","",Tasks[[#This Row],[Forecast Start]])</f>
        <v/>
      </c>
      <c r="AT98" s="25" t="str">
        <f aca="false">IF(Tasks[[#This Row],[Task Name]]="","",Tasks[[#This Row],[Forecast Finish]])</f>
        <v/>
      </c>
      <c r="AU98" s="28" t="str">
        <f aca="false">IF(Tasks[[#This Row],[Task Name]]="","",IF(Tasks[[#This Row],[_IsSummary]],NETWORKDAYS.INTL(Tasks[[#This Row],[Forecast Start]],Tasks[[#This Row],[Forecast Finish]],WorkWeek,Holidays),N(Tasks[[#This Row],[Duration]])))</f>
        <v/>
      </c>
      <c r="AV98" s="98" t="str">
        <f aca="false">IF(Tasks[[#This Row],[Task Name]]="","",Tasks[[#This Row],[Work]])</f>
        <v/>
      </c>
      <c r="AW98" s="99" t="str">
        <f aca="false">IF(Tasks[[#This Row],[Task Name]]="","",Tasks[[#This Row],[Cost]])</f>
        <v/>
      </c>
      <c r="AX98" s="77"/>
      <c r="AY98" s="77"/>
      <c r="AZ98" s="29"/>
      <c r="BA98" s="101"/>
      <c r="BB98" s="100"/>
      <c r="BC98" s="28" t="str">
        <f aca="false">IF(OR(Tasks[[#This Row],[Task Name]]="",Tasks[[#This Row],[Baseline Duration]]=""),"",Tasks[[#This Row],[BL Source Duration]]-N(Tasks[[#This Row],[Baseline Duration]]))</f>
        <v/>
      </c>
      <c r="BD98" s="98" t="str">
        <f aca="false">IF(OR(Tasks[[#This Row],[Task Name]]="",Tasks[[#This Row],[Baseline Work]]=""),"",Tasks[[#This Row],[Work]]-N(Tasks[[#This Row],[Baseline Work]]))</f>
        <v/>
      </c>
      <c r="BE98" s="99" t="str">
        <f aca="false">IF(OR(Tasks[[#This Row],[Task Name]]="",Tasks[[#This Row],[Baseline Cost]]=""),"",Tasks[[#This Row],[Cost]]-N(Tasks[[#This Row],[Baseline Cost]]))</f>
        <v/>
      </c>
      <c r="BF98" s="99" t="str">
        <f aca="false">IF(Tasks[[#This Row],[Task Name]]="","",IF(Tasks[[#This Row],[_IsSummary]],SUM(INDEX(Tasks[_LeafBudget],Tasks[[#This Row],[_Row]]+1):INDEX(Tasks[_LeafBudget],Tasks[[#This Row],[_Row]]+Tasks[[#This Row],[_Descendants]])),Tasks[[#This Row],[_LeafBudget]]))</f>
        <v/>
      </c>
      <c r="BG98" s="99" t="str">
        <f aca="false">IF(Tasks[[#This Row],[Task Name]]="","",IF(Tasks[[#This Row],[_IsSummary]],SUM(INDEX(Tasks[_LeafPV],Tasks[[#This Row],[_Row]]+1):INDEX(Tasks[_LeafPV],Tasks[[#This Row],[_Row]]+Tasks[[#This Row],[_Descendants]])),Tasks[[#This Row],[_LeafPV]]))</f>
        <v/>
      </c>
      <c r="BH98" s="99" t="str">
        <f aca="false">IF(Tasks[[#This Row],[Task Name]]="","",IF(Tasks[[#This Row],[_IsSummary]],SUM(INDEX(Tasks[_LeafEV],Tasks[[#This Row],[_Row]]+1):INDEX(Tasks[_LeafEV],Tasks[[#This Row],[_Row]]+Tasks[[#This Row],[_Descendants]])),Tasks[[#This Row],[_LeafEV]]))</f>
        <v/>
      </c>
      <c r="BI98" s="99" t="str">
        <f aca="false">IF(Tasks[[#This Row],[Task Name]]="","",IF(Tasks[[#This Row],[_IsSummary]],SUM(INDEX(Tasks[_LeafAC],Tasks[[#This Row],[_Row]]+1):INDEX(Tasks[_LeafAC],Tasks[[#This Row],[_Row]]+Tasks[[#This Row],[_Descendants]])),Tasks[[#This Row],[_LeafAC]]))</f>
        <v/>
      </c>
      <c r="BJ98" s="41" t="str">
        <f aca="false">IF(Tasks[[#This Row],[Task Name]]="","",MAX(1,N(Tasks[[#This Row],[Level]])))</f>
        <v/>
      </c>
      <c r="BK98" s="41" t="n">
        <f aca="false">ROW()-ROW(Tasks[[#Headers],[ID]])</f>
        <v>93</v>
      </c>
      <c r="BL98" s="41" t="n">
        <f aca="false">IF(OR(Tasks[[#This Row],[Task Name]]="",Tasks[[#This Row],[_Level]]&lt;=1),0,IFERROR(LOOKUP(2,1/(Tasks[[#Headers],[_Level]]:Tasks[[#This Row],[_Level]]=Tasks[[#This Row],[_Level]]-1),ROW(Tasks[[#Headers],[_Level]]:Tasks[[#This Row],[_Level]])),0))</f>
        <v>0</v>
      </c>
      <c r="BM98" s="41" t="n">
        <f aca="false">IFERROR(N(INDEX(Tasks[_Level],Tasks[[#This Row],[_Row]]+1)),0)</f>
        <v>0</v>
      </c>
      <c r="BN98" s="102" t="b">
        <f aca="false">AND(Tasks[[#This Row],[Task Name]]&lt;&gt;"",Tasks[[#This Row],[_NextLevel]]&gt;Tasks[[#This Row],[_Level]])</f>
        <v>0</v>
      </c>
      <c r="BO98" s="41" t="n">
        <f aca="false">IF(Tasks[[#This Row],[_IsSummary]],COUNTIF(Tasks[WBS],Tasks[[#This Row],[WBS]]&amp;".*"),0)</f>
        <v>0</v>
      </c>
      <c r="BP98" s="41" t="n">
        <f aca="false">IF(AND(Tasks[[#This Row],[Task Name]]&lt;&gt;"",NOT(Tasks[[#This Row],[_IsSummary]])),1,0)</f>
        <v>0</v>
      </c>
      <c r="BQ98" s="41" t="n">
        <f aca="false">IF(N(Tasks[[#This Row],[Pred1 UID]])=0,0,IFERROR(MATCH(Tasks[[#This Row],[Pred1 UID]],Tasks[UID],0),-1))</f>
        <v>0</v>
      </c>
      <c r="BR98" s="41" t="n">
        <f aca="false">IF(N(Tasks[[#This Row],[Pred2 UID]])=0,0,IFERROR(MATCH(Tasks[[#This Row],[Pred2 UID]],Tasks[UID],0),-1))</f>
        <v>0</v>
      </c>
      <c r="BS9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8" s="103" t="str">
        <f aca="false">IF(NOT(Tasks[[#This Row],[_IsLeaf]]=1),"",IF(N(Tasks[[#This Row],[Duration]])&lt;=0,Tasks[[#This Row],[_LeafCalcStart]],WORKDAY.INTL(Tasks[[#This Row],[_LeafCalcStart]],Tasks[[#This Row],[Duration]]-1,WorkWeek,Holidays)))</f>
        <v/>
      </c>
      <c r="BU9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8" s="41" t="n">
        <f aca="false">IF(NOT(Tasks[[#This Row],[_IsLeaf]]=1),0,IF(N(Tasks[[#This Row],[Actual Finish]])&gt;0,1,MIN(1,N(Tasks[[#This Row],[% Complete]]))))</f>
        <v>0</v>
      </c>
      <c r="BX98" s="41" t="n">
        <f aca="false">IF(OR(NOT(Tasks[[#This Row],[_IsLeaf]]=1),Tasks[[#This Row],[Resource]]=""),0,N(Tasks[[#This Row],[Duration]])*HoursPerDay*IF(Tasks[[#This Row],[Units]]="",DefaultUnits,Tasks[[#This Row],[Units]]))</f>
        <v>0</v>
      </c>
      <c r="BY98" s="41" t="n">
        <f aca="false">IF(Tasks[[#This Row],[_LeafWork]]=0,0,Tasks[[#This Row],[_LeafWork]]*IFERROR(INDEX(res_Rate,MATCH(Tasks[[#This Row],[Resource]],res_Name,0)),0))</f>
        <v>0</v>
      </c>
      <c r="BZ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8" s="41" t="n">
        <f aca="false">IF(NOT(Tasks[[#This Row],[_IsLeaf]]=1),0,MAX(_xlfn.MAXIFS(Tasks[_Row],Tasks[Pred1 UID],Tasks[[#This Row],[UID]]),_xlfn.MAXIFS(Tasks[_Row],Tasks[Pred2 UID],Tasks[[#This Row],[UID]])))</f>
        <v>0</v>
      </c>
      <c r="CE9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8" s="103" t="str">
        <f aca="false">IF(NOT(Tasks[[#This Row],[_IsLeaf]]=1),"",MIN(ProjectFinish,IF(N(Tasks[[#This Row],[Deadline]])&gt;0,Tasks[[#This Row],[Deadline]],2958465),Tasks[[#This Row],[_SuccessorFinishLimit]]))</f>
        <v/>
      </c>
      <c r="CG98" s="103" t="str">
        <f aca="false">IF(NOT(Tasks[[#This Row],[_IsLeaf]]=1),"",IF(N(Tasks[[#This Row],[Duration]])&lt;=0,Tasks[[#This Row],[_LeafLateFinish]],WORKDAY.INTL(Tasks[[#This Row],[_LeafLateFinish]],-(Tasks[[#This Row],[Duration]]-1),WorkWeek,Holidays)))</f>
        <v/>
      </c>
      <c r="CH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8" s="102" t="b">
        <f aca="false">AND(Tasks[[#This Row],[_IsLeaf]]=1,Tasks[[#This Row],[_LeafProgress]]&lt;1,N(Tasks[[#This Row],[_LeafTotalSlack]])&lt;=CriticalSlackDays)</f>
        <v>0</v>
      </c>
      <c r="CJ98" s="103" t="str">
        <f aca="false">IF(Tasks[[#This Row],[Task Name]]="","",IF(Tasks[[#This Row],[_IsSummary]],MIN(INDEX(Tasks[_LeafCalcStart],Tasks[[#This Row],[_Row]]+1):INDEX(Tasks[_LeafCalcStart],Tasks[[#This Row],[_Row]]+Tasks[[#This Row],[_Descendants]])),Tasks[[#This Row],[_LeafCalcStart]]))</f>
        <v/>
      </c>
      <c r="CK98" s="103" t="str">
        <f aca="false">IF(Tasks[[#This Row],[Task Name]]="","",IF(Tasks[[#This Row],[_IsSummary]],MAX(INDEX(Tasks[_LeafCalcFinish],Tasks[[#This Row],[_Row]]+1):INDEX(Tasks[_LeafCalcFinish],Tasks[[#This Row],[_Row]]+Tasks[[#This Row],[_Descendants]])),Tasks[[#This Row],[_LeafCalcFinish]]))</f>
        <v/>
      </c>
      <c r="CL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8" s="41" t="n">
        <f aca="false">IF(AND(Tasks[[#This Row],[_IsLeaf]]=1,Tasks[[#This Row],[_LeafWork]]&gt;0),NETWORKDAYS.INTL(ProjectStart,Tasks[[#This Row],[_LeafFcstStart]],WorkWeek,Holidays),0)</f>
        <v>0</v>
      </c>
      <c r="CS98" s="41" t="n">
        <f aca="false">IF(AND(Tasks[[#This Row],[_IsLeaf]]=1,Tasks[[#This Row],[_LeafWork]]&gt;0),MAX(Tasks[[#This Row],[_StartWorkday]],NETWORKDAYS.INTL(ProjectStart,Tasks[[#This Row],[_LeafFcstFinish]],WorkWeek,Holidays)),0)</f>
        <v>0</v>
      </c>
      <c r="CT98" s="41" t="n">
        <f aca="false">IF(AND(Tasks[[#This Row],[_IsLeaf]]=1,Tasks[[#This Row],[_LeafWork]]&gt;0),Tasks[[#This Row],[_LeafWork]]/(Tasks[[#This Row],[_FinishWorkday]]-Tasks[[#This Row],[_StartWorkday]]+1),0)</f>
        <v>0</v>
      </c>
      <c r="CU98" s="41" t="n">
        <f aca="false">Tasks[[#This Row],[_WorkPerWorkday]]*(Tasks[[#This Row],[_StartWorkday]]-1)</f>
        <v>-0</v>
      </c>
      <c r="CV98" s="41" t="n">
        <f aca="false">IF(Tasks[[#This Row],[_IsLeaf]]=1,MAX(N(Tasks[[#This Row],[Duration]]),0.1),0)</f>
        <v>0</v>
      </c>
      <c r="CW98" s="41" t="n">
        <f aca="false">Tasks[[#This Row],[_WeightDur]]*Tasks[[#This Row],[_LeafProgress]]</f>
        <v>0</v>
      </c>
      <c r="CX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8" s="41" t="str">
        <f aca="false">IF(Tasks[[#This Row],[Task Name]]="","",Tasks[[#This Row],[_Pred1UIDText]]&amp;IF(AND(Tasks[[#This Row],[_Pred1UIDText]]&lt;&gt;"",Tasks[[#This Row],[_Pred2UIDText]]&lt;&gt;""),",","")&amp;Tasks[[#This Row],[_Pred2UIDText]])</f>
        <v/>
      </c>
      <c r="DC98" s="41" t="str">
        <f aca="false">IF(AND(Tasks[[#This Row],[_IsLeaf]]=1,N(Tasks[[#This Row],[Duration]])=0,Tasks[[#This Row],[_LeafProgress]]&lt;1),Tasks[[#This Row],[_LeafFcstFinish]]+Tasks[[#This Row],[_Row]]/100000,"")</f>
        <v/>
      </c>
      <c r="DD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8" s="41" t="n">
        <f aca="false">IF(NOT(Tasks[[#This Row],[_IsLeaf]]=1),0,IF(Tasks[[#This Row],[Baseline Cost]]="",Tasks[[#This Row],[_LeafCost]],N(Tasks[[#This Row],[Baseline Cost]])))</f>
        <v>0</v>
      </c>
      <c r="DF98" s="41" t="n">
        <f aca="false">Tasks[[#This Row],[_LeafBudget]]*Tasks[[#This Row],[_PlannedPct]]</f>
        <v>0</v>
      </c>
      <c r="DG98" s="41" t="n">
        <f aca="false">Tasks[[#This Row],[_LeafBudget]]*Tasks[[#This Row],[_LeafProgress]]</f>
        <v>0</v>
      </c>
      <c r="DH98" s="41" t="n">
        <f aca="false">IF(NOT(Tasks[[#This Row],[_IsLeaf]]=1),0,IF(Tasks[[#This Row],[Actual Cost]]="",Tasks[[#This Row],[_LeafCost]]*Tasks[[#This Row],[_LeafProgress]],N(Tasks[[#This Row],[Actual Cost]])))</f>
        <v>0</v>
      </c>
      <c r="DI98" s="41" t="str">
        <f aca="false">IF(Tasks[[#This Row],[Task Name]]="","",LEFT(Tasks[[#This Row],[WBS]],FIND(".",Tasks[[#This Row],[WBS]]&amp;".")-1))</f>
        <v/>
      </c>
      <c r="DJ98" s="41" t="str">
        <f aca="false">IF(AND(Tasks[[#This Row],[Task Name]]&lt;&gt;"",Tasks[[#This Row],[_Level]]=1),Tasks[[#This Row],[_Row]],"")</f>
        <v/>
      </c>
      <c r="DK98" s="41" t="str">
        <f aca="false">IF(AND(Tasks[[#This Row],[_IsLeaf]]=1,N(Tasks[[#This Row],[Duration]])=0),Tasks[[#This Row],[Planned Finish]]+Tasks[[#This Row],[_Row]]/100000,"")</f>
        <v/>
      </c>
      <c r="DL98" s="41" t="str">
        <f aca="false">IF(AND(Tasks[[#This Row],[_IsLeaf]]=1,Tasks[[#This Row],[_LeafProgress]]&lt;1,OR(N(Tasks[[#This Row],[Finish Var]])&gt;0,Tasks[[#This Row],[Status]]="Late Start")),MAX(0,Tasks[[#This Row],[Finish Var]])+1-Tasks[[#This Row],[_Row]]/1000000,"")</f>
        <v/>
      </c>
      <c r="DM98" s="41" t="str">
        <f aca="false">IF(AND(Tasks[[#This Row],[_IsLeaf]]=1,N(Tasks[[#This Row],[Actual Start]])=0,Tasks[[#This Row],[_LeafFcstStart]]&gt;=StatusDate,Tasks[[#This Row],[_LeafFcstStart]]&lt;=LookaheadEnd),Tasks[[#This Row],[_LeafFcstStart]]+Tasks[[#This Row],[_Row]]/100000,"")</f>
        <v/>
      </c>
      <c r="DN98" s="41" t="str">
        <f aca="false">IF(AND(Tasks[[#This Row],[_IsLeaf]]=1,Tasks[[#This Row],[_LeafProgress]]&lt;1,Tasks[[#This Row],[_LeafFcstFinish]]&gt;=StatusDate,Tasks[[#This Row],[_LeafFcstFinish]]&lt;=LookaheadEnd),Tasks[[#This Row],[_LeafFcstFinish]]+Tasks[[#This Row],[_Row]]/100000,"")</f>
        <v/>
      </c>
      <c r="DO98" s="41" t="str">
        <f aca="false">IF(Tasks[[#This Row],[_LeafCritical]],Tasks[[#This Row],[_LeafFcstStart]]+Tasks[[#This Row],[_Row]]/100000,"")</f>
        <v/>
      </c>
      <c r="DP98" s="41" t="n">
        <f aca="false">Tasks[[#This Row],[_LeafWork]]*Tasks[[#This Row],[_LeafProgress]]</f>
        <v>0</v>
      </c>
      <c r="DQ98" s="103" t="str">
        <f aca="false">IF(AND(Tasks[[#This Row],[_IsLeaf]]=1,Tasks[[#This Row],[_LeafProgress]]&gt;=1),IF(N(Tasks[[#This Row],[Actual Finish]])&gt;0,Tasks[[#This Row],[Actual Finish]],Tasks[[#This Row],[_LeafFcstFinish]]),"")</f>
        <v/>
      </c>
      <c r="DR98" s="41" t="n">
        <f aca="false">IF(Tasks[[#This Row],[_IsLeaf]]=1,N(Tasks[[#This Row],[Story Points]]),0)</f>
        <v>0</v>
      </c>
      <c r="DS98" s="41" t="str">
        <f aca="false">IF(AND(Tasks[[#This Row],[_IsLeaf]]=1,CurrentSprint&lt;&gt;"",Tasks[[#This Row],[Sprint]]=CurrentSprint),Tasks[[#This Row],[_Row]],"")</f>
        <v/>
      </c>
    </row>
    <row r="99" customFormat="false" ht="15" hidden="false" customHeight="false" outlineLevel="0" collapsed="false">
      <c r="A99" s="28" t="str">
        <f aca="false">IF(Tasks[[#This Row],[Task Name]]="","",COUNTA(Tasks[[#Headers],[Task Name]]:Tasks[[#This Row],[Task Name]])-1)</f>
        <v/>
      </c>
      <c r="B99" s="29" t="n">
        <v>94</v>
      </c>
      <c r="C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29"/>
      <c r="E99" s="30"/>
      <c r="F99" s="29"/>
      <c r="G99" s="29"/>
      <c r="H99" s="29"/>
      <c r="I99" s="29"/>
      <c r="J99" s="29"/>
      <c r="K99" s="29"/>
      <c r="L99" s="29"/>
      <c r="M99" s="29"/>
      <c r="N99" s="77"/>
      <c r="O99" s="77"/>
      <c r="P99" s="25" t="str">
        <f aca="false">IF(Tasks[[#This Row],[Task Name]]="","",IF(N(Tasks[[#This Row],[Baseline Start]])&gt;0,Tasks[[#This Row],[Baseline Start]],Tasks[[#This Row],[_CalcStart]]))</f>
        <v/>
      </c>
      <c r="Q99" s="25" t="str">
        <f aca="false">IF(Tasks[[#This Row],[Task Name]]="","",IF(N(Tasks[[#This Row],[Baseline Finish]])&gt;0,Tasks[[#This Row],[Baseline Finish]],Tasks[[#This Row],[_CalcFinish]]))</f>
        <v/>
      </c>
      <c r="R99" s="77"/>
      <c r="S99" s="77"/>
      <c r="T99" s="25" t="str">
        <f aca="false">IF(Tasks[[#This Row],[Task Name]]="","",IF(Tasks[[#This Row],[_IsSummary]],MIN(INDEX(Tasks[_LeafFcstStart],Tasks[[#This Row],[_Row]]+1):INDEX(Tasks[_LeafFcstStart],Tasks[[#This Row],[_Row]]+Tasks[[#This Row],[_Descendants]])),Tasks[[#This Row],[_LeafFcstStart]]))</f>
        <v/>
      </c>
      <c r="U99" s="25" t="str">
        <f aca="false">IF(Tasks[[#This Row],[Task Name]]="","",IF(Tasks[[#This Row],[_IsSummary]],MAX(INDEX(Tasks[_LeafFcstFinish],Tasks[[#This Row],[_Row]]+1):INDEX(Tasks[_LeafFcstFinish],Tasks[[#This Row],[_Row]]+Tasks[[#This Row],[_Descendants]])),Tasks[[#This Row],[_LeafFcstFinish]]))</f>
        <v/>
      </c>
      <c r="V9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9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9" s="25" t="str">
        <f aca="false">IF(Tasks[[#This Row],[Task Name]]="","",IF(Tasks[[#This Row],[_IsSummary]],MIN(INDEX(Tasks[_LeafLateStart],Tasks[[#This Row],[_Row]]+1):INDEX(Tasks[_LeafLateStart],Tasks[[#This Row],[_Row]]+Tasks[[#This Row],[_Descendants]])),Tasks[[#This Row],[_LeafLateStart]]))</f>
        <v/>
      </c>
      <c r="Y99" s="25" t="str">
        <f aca="false">IF(Tasks[[#This Row],[Task Name]]="","",IF(Tasks[[#This Row],[_IsSummary]],MAX(INDEX(Tasks[_LeafLateFinish],Tasks[[#This Row],[_Row]]+1):INDEX(Tasks[_LeafLateFinish],Tasks[[#This Row],[_Row]]+Tasks[[#This Row],[_Descendants]])),Tasks[[#This Row],[_LeafLateFinish]]))</f>
        <v/>
      </c>
      <c r="Z99" s="43" t="str">
        <f aca="false">IF(Tasks[[#This Row],[Task Name]]="","",IF(Tasks[[#This Row],[_IsSummary]],MIN(INDEX(Tasks[_LeafTotalSlack],Tasks[[#This Row],[_Row]]+1):INDEX(Tasks[_LeafTotalSlack],Tasks[[#This Row],[_Row]]+Tasks[[#This Row],[_Descendants]])),Tasks[[#This Row],[_LeafTotalSlack]]))</f>
        <v/>
      </c>
      <c r="AA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9" s="28" t="str">
        <f aca="false">IF(Tasks[[#This Row],[Task Name]]="","",IF(IF(Tasks[[#This Row],[_IsSummary]],COUNTIF(INDEX(Tasks[_LeafCritical],Tasks[[#This Row],[_Row]]+1):INDEX(Tasks[_LeafCritical],Tasks[[#This Row],[_Row]]+Tasks[[#This Row],[_Descendants]]),TRUE())&gt;0,Tasks[[#This Row],[_LeafCritical]]),"Yes",""))</f>
        <v/>
      </c>
      <c r="AC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9" s="24" t="str">
        <f aca="false">IF(Tasks[[#This Row],[Task Name]]="","",TRIM(IF(Tasks[[#This Row],[_Pred1Problem]]&lt;&gt;"","Pred 1: "&amp;Tasks[[#This Row],[_Pred1Problem]]&amp;". ","")&amp;IF(Tasks[[#This Row],[_Pred2Problem]]&lt;&gt;"","Pred 2: "&amp;Tasks[[#This Row],[_Pred2Problem]]&amp;".","")))</f>
        <v/>
      </c>
      <c r="AE99" s="91"/>
      <c r="AF9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9" s="28" t="str">
        <f aca="false">IF(Tasks[[#This Row],[Task Name]]="","",IF(Tasks[[#This Row],[Progress]]&gt;=1,"Complete",IF(OR(N(Tasks[[#This Row],[Actual Start]])&gt;0,Tasks[[#This Row],[Progress]]&gt;0),IF(Tasks[[#This Row],[Finish Var]]&gt;0,"Behind","In Progress"),IF(Tasks[[#This Row],[Planned Start]]&lt;StatusDate,"Late Start","Not Started"))))</f>
        <v/>
      </c>
      <c r="AH99" s="30"/>
      <c r="AI99" s="91"/>
      <c r="AJ9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9" s="98" t="str">
        <f aca="false">IF(Tasks[[#This Row],[Task Name]]="","",IF(Tasks[[#This Row],[_IsSummary]],SUM(INDEX(Tasks[_LeafWork],Tasks[[#This Row],[_Row]]+1):INDEX(Tasks[_LeafWork],Tasks[[#This Row],[_Row]]+Tasks[[#This Row],[_Descendants]])),Tasks[[#This Row],[_LeafWork]]))</f>
        <v/>
      </c>
      <c r="AL99" s="99" t="str">
        <f aca="false">IF(Tasks[[#This Row],[Task Name]]="","",IF(Tasks[[#This Row],[_IsSummary]],SUM(INDEX(Tasks[_LeafCost],Tasks[[#This Row],[_Row]]+1):INDEX(Tasks[_LeafCost],Tasks[[#This Row],[_Row]]+Tasks[[#This Row],[_Descendants]])),Tasks[[#This Row],[_LeafCost]]))</f>
        <v/>
      </c>
      <c r="AM99" s="100"/>
      <c r="AN99" s="29"/>
      <c r="AO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9" s="85"/>
      <c r="AQ99" s="24" t="str">
        <f aca="false">IF(Tasks[[#This Row],[Task Name]]="","",Tasks[[#This Row],[_Pred1IDText]]&amp;IF(AND(Tasks[[#This Row],[_Pred1IDText]]&lt;&gt;"",Tasks[[#This Row],[_Pred2IDText]]&lt;&gt;""),",","")&amp;Tasks[[#This Row],[_Pred2IDText]])</f>
        <v/>
      </c>
      <c r="AR99" s="30"/>
      <c r="AS99" s="25" t="str">
        <f aca="false">IF(Tasks[[#This Row],[Task Name]]="","",Tasks[[#This Row],[Forecast Start]])</f>
        <v/>
      </c>
      <c r="AT99" s="25" t="str">
        <f aca="false">IF(Tasks[[#This Row],[Task Name]]="","",Tasks[[#This Row],[Forecast Finish]])</f>
        <v/>
      </c>
      <c r="AU99" s="28" t="str">
        <f aca="false">IF(Tasks[[#This Row],[Task Name]]="","",IF(Tasks[[#This Row],[_IsSummary]],NETWORKDAYS.INTL(Tasks[[#This Row],[Forecast Start]],Tasks[[#This Row],[Forecast Finish]],WorkWeek,Holidays),N(Tasks[[#This Row],[Duration]])))</f>
        <v/>
      </c>
      <c r="AV99" s="98" t="str">
        <f aca="false">IF(Tasks[[#This Row],[Task Name]]="","",Tasks[[#This Row],[Work]])</f>
        <v/>
      </c>
      <c r="AW99" s="99" t="str">
        <f aca="false">IF(Tasks[[#This Row],[Task Name]]="","",Tasks[[#This Row],[Cost]])</f>
        <v/>
      </c>
      <c r="AX99" s="77"/>
      <c r="AY99" s="77"/>
      <c r="AZ99" s="29"/>
      <c r="BA99" s="101"/>
      <c r="BB99" s="100"/>
      <c r="BC99" s="28" t="str">
        <f aca="false">IF(OR(Tasks[[#This Row],[Task Name]]="",Tasks[[#This Row],[Baseline Duration]]=""),"",Tasks[[#This Row],[BL Source Duration]]-N(Tasks[[#This Row],[Baseline Duration]]))</f>
        <v/>
      </c>
      <c r="BD99" s="98" t="str">
        <f aca="false">IF(OR(Tasks[[#This Row],[Task Name]]="",Tasks[[#This Row],[Baseline Work]]=""),"",Tasks[[#This Row],[Work]]-N(Tasks[[#This Row],[Baseline Work]]))</f>
        <v/>
      </c>
      <c r="BE99" s="99" t="str">
        <f aca="false">IF(OR(Tasks[[#This Row],[Task Name]]="",Tasks[[#This Row],[Baseline Cost]]=""),"",Tasks[[#This Row],[Cost]]-N(Tasks[[#This Row],[Baseline Cost]]))</f>
        <v/>
      </c>
      <c r="BF99" s="99" t="str">
        <f aca="false">IF(Tasks[[#This Row],[Task Name]]="","",IF(Tasks[[#This Row],[_IsSummary]],SUM(INDEX(Tasks[_LeafBudget],Tasks[[#This Row],[_Row]]+1):INDEX(Tasks[_LeafBudget],Tasks[[#This Row],[_Row]]+Tasks[[#This Row],[_Descendants]])),Tasks[[#This Row],[_LeafBudget]]))</f>
        <v/>
      </c>
      <c r="BG99" s="99" t="str">
        <f aca="false">IF(Tasks[[#This Row],[Task Name]]="","",IF(Tasks[[#This Row],[_IsSummary]],SUM(INDEX(Tasks[_LeafPV],Tasks[[#This Row],[_Row]]+1):INDEX(Tasks[_LeafPV],Tasks[[#This Row],[_Row]]+Tasks[[#This Row],[_Descendants]])),Tasks[[#This Row],[_LeafPV]]))</f>
        <v/>
      </c>
      <c r="BH99" s="99" t="str">
        <f aca="false">IF(Tasks[[#This Row],[Task Name]]="","",IF(Tasks[[#This Row],[_IsSummary]],SUM(INDEX(Tasks[_LeafEV],Tasks[[#This Row],[_Row]]+1):INDEX(Tasks[_LeafEV],Tasks[[#This Row],[_Row]]+Tasks[[#This Row],[_Descendants]])),Tasks[[#This Row],[_LeafEV]]))</f>
        <v/>
      </c>
      <c r="BI99" s="99" t="str">
        <f aca="false">IF(Tasks[[#This Row],[Task Name]]="","",IF(Tasks[[#This Row],[_IsSummary]],SUM(INDEX(Tasks[_LeafAC],Tasks[[#This Row],[_Row]]+1):INDEX(Tasks[_LeafAC],Tasks[[#This Row],[_Row]]+Tasks[[#This Row],[_Descendants]])),Tasks[[#This Row],[_LeafAC]]))</f>
        <v/>
      </c>
      <c r="BJ99" s="41" t="str">
        <f aca="false">IF(Tasks[[#This Row],[Task Name]]="","",MAX(1,N(Tasks[[#This Row],[Level]])))</f>
        <v/>
      </c>
      <c r="BK99" s="41" t="n">
        <f aca="false">ROW()-ROW(Tasks[[#Headers],[ID]])</f>
        <v>94</v>
      </c>
      <c r="BL99" s="41" t="n">
        <f aca="false">IF(OR(Tasks[[#This Row],[Task Name]]="",Tasks[[#This Row],[_Level]]&lt;=1),0,IFERROR(LOOKUP(2,1/(Tasks[[#Headers],[_Level]]:Tasks[[#This Row],[_Level]]=Tasks[[#This Row],[_Level]]-1),ROW(Tasks[[#Headers],[_Level]]:Tasks[[#This Row],[_Level]])),0))</f>
        <v>0</v>
      </c>
      <c r="BM99" s="41" t="n">
        <f aca="false">IFERROR(N(INDEX(Tasks[_Level],Tasks[[#This Row],[_Row]]+1)),0)</f>
        <v>0</v>
      </c>
      <c r="BN99" s="102" t="b">
        <f aca="false">AND(Tasks[[#This Row],[Task Name]]&lt;&gt;"",Tasks[[#This Row],[_NextLevel]]&gt;Tasks[[#This Row],[_Level]])</f>
        <v>0</v>
      </c>
      <c r="BO99" s="41" t="n">
        <f aca="false">IF(Tasks[[#This Row],[_IsSummary]],COUNTIF(Tasks[WBS],Tasks[[#This Row],[WBS]]&amp;".*"),0)</f>
        <v>0</v>
      </c>
      <c r="BP99" s="41" t="n">
        <f aca="false">IF(AND(Tasks[[#This Row],[Task Name]]&lt;&gt;"",NOT(Tasks[[#This Row],[_IsSummary]])),1,0)</f>
        <v>0</v>
      </c>
      <c r="BQ99" s="41" t="n">
        <f aca="false">IF(N(Tasks[[#This Row],[Pred1 UID]])=0,0,IFERROR(MATCH(Tasks[[#This Row],[Pred1 UID]],Tasks[UID],0),-1))</f>
        <v>0</v>
      </c>
      <c r="BR99" s="41" t="n">
        <f aca="false">IF(N(Tasks[[#This Row],[Pred2 UID]])=0,0,IFERROR(MATCH(Tasks[[#This Row],[Pred2 UID]],Tasks[UID],0),-1))</f>
        <v>0</v>
      </c>
      <c r="BS9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9" s="103" t="str">
        <f aca="false">IF(NOT(Tasks[[#This Row],[_IsLeaf]]=1),"",IF(N(Tasks[[#This Row],[Duration]])&lt;=0,Tasks[[#This Row],[_LeafCalcStart]],WORKDAY.INTL(Tasks[[#This Row],[_LeafCalcStart]],Tasks[[#This Row],[Duration]]-1,WorkWeek,Holidays)))</f>
        <v/>
      </c>
      <c r="BU9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9" s="41" t="n">
        <f aca="false">IF(NOT(Tasks[[#This Row],[_IsLeaf]]=1),0,IF(N(Tasks[[#This Row],[Actual Finish]])&gt;0,1,MIN(1,N(Tasks[[#This Row],[% Complete]]))))</f>
        <v>0</v>
      </c>
      <c r="BX99" s="41" t="n">
        <f aca="false">IF(OR(NOT(Tasks[[#This Row],[_IsLeaf]]=1),Tasks[[#This Row],[Resource]]=""),0,N(Tasks[[#This Row],[Duration]])*HoursPerDay*IF(Tasks[[#This Row],[Units]]="",DefaultUnits,Tasks[[#This Row],[Units]]))</f>
        <v>0</v>
      </c>
      <c r="BY99" s="41" t="n">
        <f aca="false">IF(Tasks[[#This Row],[_LeafWork]]=0,0,Tasks[[#This Row],[_LeafWork]]*IFERROR(INDEX(res_Rate,MATCH(Tasks[[#This Row],[Resource]],res_Name,0)),0))</f>
        <v>0</v>
      </c>
      <c r="BZ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9" s="41" t="n">
        <f aca="false">IF(NOT(Tasks[[#This Row],[_IsLeaf]]=1),0,MAX(_xlfn.MAXIFS(Tasks[_Row],Tasks[Pred1 UID],Tasks[[#This Row],[UID]]),_xlfn.MAXIFS(Tasks[_Row],Tasks[Pred2 UID],Tasks[[#This Row],[UID]])))</f>
        <v>0</v>
      </c>
      <c r="CE9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9" s="103" t="str">
        <f aca="false">IF(NOT(Tasks[[#This Row],[_IsLeaf]]=1),"",MIN(ProjectFinish,IF(N(Tasks[[#This Row],[Deadline]])&gt;0,Tasks[[#This Row],[Deadline]],2958465),Tasks[[#This Row],[_SuccessorFinishLimit]]))</f>
        <v/>
      </c>
      <c r="CG99" s="103" t="str">
        <f aca="false">IF(NOT(Tasks[[#This Row],[_IsLeaf]]=1),"",IF(N(Tasks[[#This Row],[Duration]])&lt;=0,Tasks[[#This Row],[_LeafLateFinish]],WORKDAY.INTL(Tasks[[#This Row],[_LeafLateFinish]],-(Tasks[[#This Row],[Duration]]-1),WorkWeek,Holidays)))</f>
        <v/>
      </c>
      <c r="CH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9" s="102" t="b">
        <f aca="false">AND(Tasks[[#This Row],[_IsLeaf]]=1,Tasks[[#This Row],[_LeafProgress]]&lt;1,N(Tasks[[#This Row],[_LeafTotalSlack]])&lt;=CriticalSlackDays)</f>
        <v>0</v>
      </c>
      <c r="CJ99" s="103" t="str">
        <f aca="false">IF(Tasks[[#This Row],[Task Name]]="","",IF(Tasks[[#This Row],[_IsSummary]],MIN(INDEX(Tasks[_LeafCalcStart],Tasks[[#This Row],[_Row]]+1):INDEX(Tasks[_LeafCalcStart],Tasks[[#This Row],[_Row]]+Tasks[[#This Row],[_Descendants]])),Tasks[[#This Row],[_LeafCalcStart]]))</f>
        <v/>
      </c>
      <c r="CK99" s="103" t="str">
        <f aca="false">IF(Tasks[[#This Row],[Task Name]]="","",IF(Tasks[[#This Row],[_IsSummary]],MAX(INDEX(Tasks[_LeafCalcFinish],Tasks[[#This Row],[_Row]]+1):INDEX(Tasks[_LeafCalcFinish],Tasks[[#This Row],[_Row]]+Tasks[[#This Row],[_Descendants]])),Tasks[[#This Row],[_LeafCalcFinish]]))</f>
        <v/>
      </c>
      <c r="CL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9" s="41" t="n">
        <f aca="false">IF(AND(Tasks[[#This Row],[_IsLeaf]]=1,Tasks[[#This Row],[_LeafWork]]&gt;0),NETWORKDAYS.INTL(ProjectStart,Tasks[[#This Row],[_LeafFcstStart]],WorkWeek,Holidays),0)</f>
        <v>0</v>
      </c>
      <c r="CS99" s="41" t="n">
        <f aca="false">IF(AND(Tasks[[#This Row],[_IsLeaf]]=1,Tasks[[#This Row],[_LeafWork]]&gt;0),MAX(Tasks[[#This Row],[_StartWorkday]],NETWORKDAYS.INTL(ProjectStart,Tasks[[#This Row],[_LeafFcstFinish]],WorkWeek,Holidays)),0)</f>
        <v>0</v>
      </c>
      <c r="CT99" s="41" t="n">
        <f aca="false">IF(AND(Tasks[[#This Row],[_IsLeaf]]=1,Tasks[[#This Row],[_LeafWork]]&gt;0),Tasks[[#This Row],[_LeafWork]]/(Tasks[[#This Row],[_FinishWorkday]]-Tasks[[#This Row],[_StartWorkday]]+1),0)</f>
        <v>0</v>
      </c>
      <c r="CU99" s="41" t="n">
        <f aca="false">Tasks[[#This Row],[_WorkPerWorkday]]*(Tasks[[#This Row],[_StartWorkday]]-1)</f>
        <v>-0</v>
      </c>
      <c r="CV99" s="41" t="n">
        <f aca="false">IF(Tasks[[#This Row],[_IsLeaf]]=1,MAX(N(Tasks[[#This Row],[Duration]]),0.1),0)</f>
        <v>0</v>
      </c>
      <c r="CW99" s="41" t="n">
        <f aca="false">Tasks[[#This Row],[_WeightDur]]*Tasks[[#This Row],[_LeafProgress]]</f>
        <v>0</v>
      </c>
      <c r="CX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9" s="41" t="str">
        <f aca="false">IF(Tasks[[#This Row],[Task Name]]="","",Tasks[[#This Row],[_Pred1UIDText]]&amp;IF(AND(Tasks[[#This Row],[_Pred1UIDText]]&lt;&gt;"",Tasks[[#This Row],[_Pred2UIDText]]&lt;&gt;""),",","")&amp;Tasks[[#This Row],[_Pred2UIDText]])</f>
        <v/>
      </c>
      <c r="DC99" s="41" t="str">
        <f aca="false">IF(AND(Tasks[[#This Row],[_IsLeaf]]=1,N(Tasks[[#This Row],[Duration]])=0,Tasks[[#This Row],[_LeafProgress]]&lt;1),Tasks[[#This Row],[_LeafFcstFinish]]+Tasks[[#This Row],[_Row]]/100000,"")</f>
        <v/>
      </c>
      <c r="DD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9" s="41" t="n">
        <f aca="false">IF(NOT(Tasks[[#This Row],[_IsLeaf]]=1),0,IF(Tasks[[#This Row],[Baseline Cost]]="",Tasks[[#This Row],[_LeafCost]],N(Tasks[[#This Row],[Baseline Cost]])))</f>
        <v>0</v>
      </c>
      <c r="DF99" s="41" t="n">
        <f aca="false">Tasks[[#This Row],[_LeafBudget]]*Tasks[[#This Row],[_PlannedPct]]</f>
        <v>0</v>
      </c>
      <c r="DG99" s="41" t="n">
        <f aca="false">Tasks[[#This Row],[_LeafBudget]]*Tasks[[#This Row],[_LeafProgress]]</f>
        <v>0</v>
      </c>
      <c r="DH99" s="41" t="n">
        <f aca="false">IF(NOT(Tasks[[#This Row],[_IsLeaf]]=1),0,IF(Tasks[[#This Row],[Actual Cost]]="",Tasks[[#This Row],[_LeafCost]]*Tasks[[#This Row],[_LeafProgress]],N(Tasks[[#This Row],[Actual Cost]])))</f>
        <v>0</v>
      </c>
      <c r="DI99" s="41" t="str">
        <f aca="false">IF(Tasks[[#This Row],[Task Name]]="","",LEFT(Tasks[[#This Row],[WBS]],FIND(".",Tasks[[#This Row],[WBS]]&amp;".")-1))</f>
        <v/>
      </c>
      <c r="DJ99" s="41" t="str">
        <f aca="false">IF(AND(Tasks[[#This Row],[Task Name]]&lt;&gt;"",Tasks[[#This Row],[_Level]]=1),Tasks[[#This Row],[_Row]],"")</f>
        <v/>
      </c>
      <c r="DK99" s="41" t="str">
        <f aca="false">IF(AND(Tasks[[#This Row],[_IsLeaf]]=1,N(Tasks[[#This Row],[Duration]])=0),Tasks[[#This Row],[Planned Finish]]+Tasks[[#This Row],[_Row]]/100000,"")</f>
        <v/>
      </c>
      <c r="DL99" s="41" t="str">
        <f aca="false">IF(AND(Tasks[[#This Row],[_IsLeaf]]=1,Tasks[[#This Row],[_LeafProgress]]&lt;1,OR(N(Tasks[[#This Row],[Finish Var]])&gt;0,Tasks[[#This Row],[Status]]="Late Start")),MAX(0,Tasks[[#This Row],[Finish Var]])+1-Tasks[[#This Row],[_Row]]/1000000,"")</f>
        <v/>
      </c>
      <c r="DM99" s="41" t="str">
        <f aca="false">IF(AND(Tasks[[#This Row],[_IsLeaf]]=1,N(Tasks[[#This Row],[Actual Start]])=0,Tasks[[#This Row],[_LeafFcstStart]]&gt;=StatusDate,Tasks[[#This Row],[_LeafFcstStart]]&lt;=LookaheadEnd),Tasks[[#This Row],[_LeafFcstStart]]+Tasks[[#This Row],[_Row]]/100000,"")</f>
        <v/>
      </c>
      <c r="DN99" s="41" t="str">
        <f aca="false">IF(AND(Tasks[[#This Row],[_IsLeaf]]=1,Tasks[[#This Row],[_LeafProgress]]&lt;1,Tasks[[#This Row],[_LeafFcstFinish]]&gt;=StatusDate,Tasks[[#This Row],[_LeafFcstFinish]]&lt;=LookaheadEnd),Tasks[[#This Row],[_LeafFcstFinish]]+Tasks[[#This Row],[_Row]]/100000,"")</f>
        <v/>
      </c>
      <c r="DO99" s="41" t="str">
        <f aca="false">IF(Tasks[[#This Row],[_LeafCritical]],Tasks[[#This Row],[_LeafFcstStart]]+Tasks[[#This Row],[_Row]]/100000,"")</f>
        <v/>
      </c>
      <c r="DP99" s="41" t="n">
        <f aca="false">Tasks[[#This Row],[_LeafWork]]*Tasks[[#This Row],[_LeafProgress]]</f>
        <v>0</v>
      </c>
      <c r="DQ99" s="103" t="str">
        <f aca="false">IF(AND(Tasks[[#This Row],[_IsLeaf]]=1,Tasks[[#This Row],[_LeafProgress]]&gt;=1),IF(N(Tasks[[#This Row],[Actual Finish]])&gt;0,Tasks[[#This Row],[Actual Finish]],Tasks[[#This Row],[_LeafFcstFinish]]),"")</f>
        <v/>
      </c>
      <c r="DR99" s="41" t="n">
        <f aca="false">IF(Tasks[[#This Row],[_IsLeaf]]=1,N(Tasks[[#This Row],[Story Points]]),0)</f>
        <v>0</v>
      </c>
      <c r="DS99" s="41" t="str">
        <f aca="false">IF(AND(Tasks[[#This Row],[_IsLeaf]]=1,CurrentSprint&lt;&gt;"",Tasks[[#This Row],[Sprint]]=CurrentSprint),Tasks[[#This Row],[_Row]],"")</f>
        <v/>
      </c>
    </row>
    <row r="100" customFormat="false" ht="15" hidden="false" customHeight="false" outlineLevel="0" collapsed="false">
      <c r="A100" s="28" t="str">
        <f aca="false">IF(Tasks[[#This Row],[Task Name]]="","",COUNTA(Tasks[[#Headers],[Task Name]]:Tasks[[#This Row],[Task Name]])-1)</f>
        <v/>
      </c>
      <c r="B100" s="29" t="n">
        <v>95</v>
      </c>
      <c r="C1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29"/>
      <c r="E100" s="30"/>
      <c r="F100" s="29"/>
      <c r="G100" s="29"/>
      <c r="H100" s="29"/>
      <c r="I100" s="29"/>
      <c r="J100" s="29"/>
      <c r="K100" s="29"/>
      <c r="L100" s="29"/>
      <c r="M100" s="29"/>
      <c r="N100" s="77"/>
      <c r="O100" s="77"/>
      <c r="P100" s="25" t="str">
        <f aca="false">IF(Tasks[[#This Row],[Task Name]]="","",IF(N(Tasks[[#This Row],[Baseline Start]])&gt;0,Tasks[[#This Row],[Baseline Start]],Tasks[[#This Row],[_CalcStart]]))</f>
        <v/>
      </c>
      <c r="Q100" s="25" t="str">
        <f aca="false">IF(Tasks[[#This Row],[Task Name]]="","",IF(N(Tasks[[#This Row],[Baseline Finish]])&gt;0,Tasks[[#This Row],[Baseline Finish]],Tasks[[#This Row],[_CalcFinish]]))</f>
        <v/>
      </c>
      <c r="R100" s="77"/>
      <c r="S100" s="77"/>
      <c r="T100" s="25" t="str">
        <f aca="false">IF(Tasks[[#This Row],[Task Name]]="","",IF(Tasks[[#This Row],[_IsSummary]],MIN(INDEX(Tasks[_LeafFcstStart],Tasks[[#This Row],[_Row]]+1):INDEX(Tasks[_LeafFcstStart],Tasks[[#This Row],[_Row]]+Tasks[[#This Row],[_Descendants]])),Tasks[[#This Row],[_LeafFcstStart]]))</f>
        <v/>
      </c>
      <c r="U100" s="25" t="str">
        <f aca="false">IF(Tasks[[#This Row],[Task Name]]="","",IF(Tasks[[#This Row],[_IsSummary]],MAX(INDEX(Tasks[_LeafFcstFinish],Tasks[[#This Row],[_Row]]+1):INDEX(Tasks[_LeafFcstFinish],Tasks[[#This Row],[_Row]]+Tasks[[#This Row],[_Descendants]])),Tasks[[#This Row],[_LeafFcstFinish]]))</f>
        <v/>
      </c>
      <c r="V10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0" s="25" t="str">
        <f aca="false">IF(Tasks[[#This Row],[Task Name]]="","",IF(Tasks[[#This Row],[_IsSummary]],MIN(INDEX(Tasks[_LeafLateStart],Tasks[[#This Row],[_Row]]+1):INDEX(Tasks[_LeafLateStart],Tasks[[#This Row],[_Row]]+Tasks[[#This Row],[_Descendants]])),Tasks[[#This Row],[_LeafLateStart]]))</f>
        <v/>
      </c>
      <c r="Y100" s="25" t="str">
        <f aca="false">IF(Tasks[[#This Row],[Task Name]]="","",IF(Tasks[[#This Row],[_IsSummary]],MAX(INDEX(Tasks[_LeafLateFinish],Tasks[[#This Row],[_Row]]+1):INDEX(Tasks[_LeafLateFinish],Tasks[[#This Row],[_Row]]+Tasks[[#This Row],[_Descendants]])),Tasks[[#This Row],[_LeafLateFinish]]))</f>
        <v/>
      </c>
      <c r="Z100" s="43" t="str">
        <f aca="false">IF(Tasks[[#This Row],[Task Name]]="","",IF(Tasks[[#This Row],[_IsSummary]],MIN(INDEX(Tasks[_LeafTotalSlack],Tasks[[#This Row],[_Row]]+1):INDEX(Tasks[_LeafTotalSlack],Tasks[[#This Row],[_Row]]+Tasks[[#This Row],[_Descendants]])),Tasks[[#This Row],[_LeafTotalSlack]]))</f>
        <v/>
      </c>
      <c r="AA1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0" s="28" t="str">
        <f aca="false">IF(Tasks[[#This Row],[Task Name]]="","",IF(IF(Tasks[[#This Row],[_IsSummary]],COUNTIF(INDEX(Tasks[_LeafCritical],Tasks[[#This Row],[_Row]]+1):INDEX(Tasks[_LeafCritical],Tasks[[#This Row],[_Row]]+Tasks[[#This Row],[_Descendants]]),TRUE())&gt;0,Tasks[[#This Row],[_LeafCritical]]),"Yes",""))</f>
        <v/>
      </c>
      <c r="AC1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0" s="24" t="str">
        <f aca="false">IF(Tasks[[#This Row],[Task Name]]="","",TRIM(IF(Tasks[[#This Row],[_Pred1Problem]]&lt;&gt;"","Pred 1: "&amp;Tasks[[#This Row],[_Pred1Problem]]&amp;". ","")&amp;IF(Tasks[[#This Row],[_Pred2Problem]]&lt;&gt;"","Pred 2: "&amp;Tasks[[#This Row],[_Pred2Problem]]&amp;".","")))</f>
        <v/>
      </c>
      <c r="AE100" s="91"/>
      <c r="AF10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0" s="28" t="str">
        <f aca="false">IF(Tasks[[#This Row],[Task Name]]="","",IF(Tasks[[#This Row],[Progress]]&gt;=1,"Complete",IF(OR(N(Tasks[[#This Row],[Actual Start]])&gt;0,Tasks[[#This Row],[Progress]]&gt;0),IF(Tasks[[#This Row],[Finish Var]]&gt;0,"Behind","In Progress"),IF(Tasks[[#This Row],[Planned Start]]&lt;StatusDate,"Late Start","Not Started"))))</f>
        <v/>
      </c>
      <c r="AH100" s="30"/>
      <c r="AI100" s="91"/>
      <c r="AJ10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0" s="98" t="str">
        <f aca="false">IF(Tasks[[#This Row],[Task Name]]="","",IF(Tasks[[#This Row],[_IsSummary]],SUM(INDEX(Tasks[_LeafWork],Tasks[[#This Row],[_Row]]+1):INDEX(Tasks[_LeafWork],Tasks[[#This Row],[_Row]]+Tasks[[#This Row],[_Descendants]])),Tasks[[#This Row],[_LeafWork]]))</f>
        <v/>
      </c>
      <c r="AL100" s="99" t="str">
        <f aca="false">IF(Tasks[[#This Row],[Task Name]]="","",IF(Tasks[[#This Row],[_IsSummary]],SUM(INDEX(Tasks[_LeafCost],Tasks[[#This Row],[_Row]]+1):INDEX(Tasks[_LeafCost],Tasks[[#This Row],[_Row]]+Tasks[[#This Row],[_Descendants]])),Tasks[[#This Row],[_LeafCost]]))</f>
        <v/>
      </c>
      <c r="AM100" s="100"/>
      <c r="AN100" s="29"/>
      <c r="AO1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0" s="85"/>
      <c r="AQ100" s="24" t="str">
        <f aca="false">IF(Tasks[[#This Row],[Task Name]]="","",Tasks[[#This Row],[_Pred1IDText]]&amp;IF(AND(Tasks[[#This Row],[_Pred1IDText]]&lt;&gt;"",Tasks[[#This Row],[_Pred2IDText]]&lt;&gt;""),",","")&amp;Tasks[[#This Row],[_Pred2IDText]])</f>
        <v/>
      </c>
      <c r="AR100" s="30"/>
      <c r="AS100" s="25" t="str">
        <f aca="false">IF(Tasks[[#This Row],[Task Name]]="","",Tasks[[#This Row],[Forecast Start]])</f>
        <v/>
      </c>
      <c r="AT100" s="25" t="str">
        <f aca="false">IF(Tasks[[#This Row],[Task Name]]="","",Tasks[[#This Row],[Forecast Finish]])</f>
        <v/>
      </c>
      <c r="AU100" s="28" t="str">
        <f aca="false">IF(Tasks[[#This Row],[Task Name]]="","",IF(Tasks[[#This Row],[_IsSummary]],NETWORKDAYS.INTL(Tasks[[#This Row],[Forecast Start]],Tasks[[#This Row],[Forecast Finish]],WorkWeek,Holidays),N(Tasks[[#This Row],[Duration]])))</f>
        <v/>
      </c>
      <c r="AV100" s="98" t="str">
        <f aca="false">IF(Tasks[[#This Row],[Task Name]]="","",Tasks[[#This Row],[Work]])</f>
        <v/>
      </c>
      <c r="AW100" s="99" t="str">
        <f aca="false">IF(Tasks[[#This Row],[Task Name]]="","",Tasks[[#This Row],[Cost]])</f>
        <v/>
      </c>
      <c r="AX100" s="77"/>
      <c r="AY100" s="77"/>
      <c r="AZ100" s="29"/>
      <c r="BA100" s="101"/>
      <c r="BB100" s="100"/>
      <c r="BC100" s="28" t="str">
        <f aca="false">IF(OR(Tasks[[#This Row],[Task Name]]="",Tasks[[#This Row],[Baseline Duration]]=""),"",Tasks[[#This Row],[BL Source Duration]]-N(Tasks[[#This Row],[Baseline Duration]]))</f>
        <v/>
      </c>
      <c r="BD100" s="98" t="str">
        <f aca="false">IF(OR(Tasks[[#This Row],[Task Name]]="",Tasks[[#This Row],[Baseline Work]]=""),"",Tasks[[#This Row],[Work]]-N(Tasks[[#This Row],[Baseline Work]]))</f>
        <v/>
      </c>
      <c r="BE100" s="99" t="str">
        <f aca="false">IF(OR(Tasks[[#This Row],[Task Name]]="",Tasks[[#This Row],[Baseline Cost]]=""),"",Tasks[[#This Row],[Cost]]-N(Tasks[[#This Row],[Baseline Cost]]))</f>
        <v/>
      </c>
      <c r="BF100" s="99" t="str">
        <f aca="false">IF(Tasks[[#This Row],[Task Name]]="","",IF(Tasks[[#This Row],[_IsSummary]],SUM(INDEX(Tasks[_LeafBudget],Tasks[[#This Row],[_Row]]+1):INDEX(Tasks[_LeafBudget],Tasks[[#This Row],[_Row]]+Tasks[[#This Row],[_Descendants]])),Tasks[[#This Row],[_LeafBudget]]))</f>
        <v/>
      </c>
      <c r="BG100" s="99" t="str">
        <f aca="false">IF(Tasks[[#This Row],[Task Name]]="","",IF(Tasks[[#This Row],[_IsSummary]],SUM(INDEX(Tasks[_LeafPV],Tasks[[#This Row],[_Row]]+1):INDEX(Tasks[_LeafPV],Tasks[[#This Row],[_Row]]+Tasks[[#This Row],[_Descendants]])),Tasks[[#This Row],[_LeafPV]]))</f>
        <v/>
      </c>
      <c r="BH100" s="99" t="str">
        <f aca="false">IF(Tasks[[#This Row],[Task Name]]="","",IF(Tasks[[#This Row],[_IsSummary]],SUM(INDEX(Tasks[_LeafEV],Tasks[[#This Row],[_Row]]+1):INDEX(Tasks[_LeafEV],Tasks[[#This Row],[_Row]]+Tasks[[#This Row],[_Descendants]])),Tasks[[#This Row],[_LeafEV]]))</f>
        <v/>
      </c>
      <c r="BI100" s="99" t="str">
        <f aca="false">IF(Tasks[[#This Row],[Task Name]]="","",IF(Tasks[[#This Row],[_IsSummary]],SUM(INDEX(Tasks[_LeafAC],Tasks[[#This Row],[_Row]]+1):INDEX(Tasks[_LeafAC],Tasks[[#This Row],[_Row]]+Tasks[[#This Row],[_Descendants]])),Tasks[[#This Row],[_LeafAC]]))</f>
        <v/>
      </c>
      <c r="BJ100" s="41" t="str">
        <f aca="false">IF(Tasks[[#This Row],[Task Name]]="","",MAX(1,N(Tasks[[#This Row],[Level]])))</f>
        <v/>
      </c>
      <c r="BK100" s="41" t="n">
        <f aca="false">ROW()-ROW(Tasks[[#Headers],[ID]])</f>
        <v>95</v>
      </c>
      <c r="BL100" s="41" t="n">
        <f aca="false">IF(OR(Tasks[[#This Row],[Task Name]]="",Tasks[[#This Row],[_Level]]&lt;=1),0,IFERROR(LOOKUP(2,1/(Tasks[[#Headers],[_Level]]:Tasks[[#This Row],[_Level]]=Tasks[[#This Row],[_Level]]-1),ROW(Tasks[[#Headers],[_Level]]:Tasks[[#This Row],[_Level]])),0))</f>
        <v>0</v>
      </c>
      <c r="BM100" s="41" t="n">
        <f aca="false">IFERROR(N(INDEX(Tasks[_Level],Tasks[[#This Row],[_Row]]+1)),0)</f>
        <v>0</v>
      </c>
      <c r="BN100" s="102" t="b">
        <f aca="false">AND(Tasks[[#This Row],[Task Name]]&lt;&gt;"",Tasks[[#This Row],[_NextLevel]]&gt;Tasks[[#This Row],[_Level]])</f>
        <v>0</v>
      </c>
      <c r="BO100" s="41" t="n">
        <f aca="false">IF(Tasks[[#This Row],[_IsSummary]],COUNTIF(Tasks[WBS],Tasks[[#This Row],[WBS]]&amp;".*"),0)</f>
        <v>0</v>
      </c>
      <c r="BP100" s="41" t="n">
        <f aca="false">IF(AND(Tasks[[#This Row],[Task Name]]&lt;&gt;"",NOT(Tasks[[#This Row],[_IsSummary]])),1,0)</f>
        <v>0</v>
      </c>
      <c r="BQ100" s="41" t="n">
        <f aca="false">IF(N(Tasks[[#This Row],[Pred1 UID]])=0,0,IFERROR(MATCH(Tasks[[#This Row],[Pred1 UID]],Tasks[UID],0),-1))</f>
        <v>0</v>
      </c>
      <c r="BR100" s="41" t="n">
        <f aca="false">IF(N(Tasks[[#This Row],[Pred2 UID]])=0,0,IFERROR(MATCH(Tasks[[#This Row],[Pred2 UID]],Tasks[UID],0),-1))</f>
        <v>0</v>
      </c>
      <c r="BS10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0" s="103" t="str">
        <f aca="false">IF(NOT(Tasks[[#This Row],[_IsLeaf]]=1),"",IF(N(Tasks[[#This Row],[Duration]])&lt;=0,Tasks[[#This Row],[_LeafCalcStart]],WORKDAY.INTL(Tasks[[#This Row],[_LeafCalcStart]],Tasks[[#This Row],[Duration]]-1,WorkWeek,Holidays)))</f>
        <v/>
      </c>
      <c r="BU10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0" s="41" t="n">
        <f aca="false">IF(NOT(Tasks[[#This Row],[_IsLeaf]]=1),0,IF(N(Tasks[[#This Row],[Actual Finish]])&gt;0,1,MIN(1,N(Tasks[[#This Row],[% Complete]]))))</f>
        <v>0</v>
      </c>
      <c r="BX100" s="41" t="n">
        <f aca="false">IF(OR(NOT(Tasks[[#This Row],[_IsLeaf]]=1),Tasks[[#This Row],[Resource]]=""),0,N(Tasks[[#This Row],[Duration]])*HoursPerDay*IF(Tasks[[#This Row],[Units]]="",DefaultUnits,Tasks[[#This Row],[Units]]))</f>
        <v>0</v>
      </c>
      <c r="BY100" s="41" t="n">
        <f aca="false">IF(Tasks[[#This Row],[_LeafWork]]=0,0,Tasks[[#This Row],[_LeafWork]]*IFERROR(INDEX(res_Rate,MATCH(Tasks[[#This Row],[Resource]],res_Name,0)),0))</f>
        <v>0</v>
      </c>
      <c r="BZ1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0" s="41" t="n">
        <f aca="false">IF(NOT(Tasks[[#This Row],[_IsLeaf]]=1),0,MAX(_xlfn.MAXIFS(Tasks[_Row],Tasks[Pred1 UID],Tasks[[#This Row],[UID]]),_xlfn.MAXIFS(Tasks[_Row],Tasks[Pred2 UID],Tasks[[#This Row],[UID]])))</f>
        <v>0</v>
      </c>
      <c r="CE10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0" s="103" t="str">
        <f aca="false">IF(NOT(Tasks[[#This Row],[_IsLeaf]]=1),"",MIN(ProjectFinish,IF(N(Tasks[[#This Row],[Deadline]])&gt;0,Tasks[[#This Row],[Deadline]],2958465),Tasks[[#This Row],[_SuccessorFinishLimit]]))</f>
        <v/>
      </c>
      <c r="CG100" s="103" t="str">
        <f aca="false">IF(NOT(Tasks[[#This Row],[_IsLeaf]]=1),"",IF(N(Tasks[[#This Row],[Duration]])&lt;=0,Tasks[[#This Row],[_LeafLateFinish]],WORKDAY.INTL(Tasks[[#This Row],[_LeafLateFinish]],-(Tasks[[#This Row],[Duration]]-1),WorkWeek,Holidays)))</f>
        <v/>
      </c>
      <c r="CH1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0" s="102" t="b">
        <f aca="false">AND(Tasks[[#This Row],[_IsLeaf]]=1,Tasks[[#This Row],[_LeafProgress]]&lt;1,N(Tasks[[#This Row],[_LeafTotalSlack]])&lt;=CriticalSlackDays)</f>
        <v>0</v>
      </c>
      <c r="CJ100" s="103" t="str">
        <f aca="false">IF(Tasks[[#This Row],[Task Name]]="","",IF(Tasks[[#This Row],[_IsSummary]],MIN(INDEX(Tasks[_LeafCalcStart],Tasks[[#This Row],[_Row]]+1):INDEX(Tasks[_LeafCalcStart],Tasks[[#This Row],[_Row]]+Tasks[[#This Row],[_Descendants]])),Tasks[[#This Row],[_LeafCalcStart]]))</f>
        <v/>
      </c>
      <c r="CK100" s="103" t="str">
        <f aca="false">IF(Tasks[[#This Row],[Task Name]]="","",IF(Tasks[[#This Row],[_IsSummary]],MAX(INDEX(Tasks[_LeafCalcFinish],Tasks[[#This Row],[_Row]]+1):INDEX(Tasks[_LeafCalcFinish],Tasks[[#This Row],[_Row]]+Tasks[[#This Row],[_Descendants]])),Tasks[[#This Row],[_LeafCalcFinish]]))</f>
        <v/>
      </c>
      <c r="CL1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0" s="41" t="n">
        <f aca="false">IF(AND(Tasks[[#This Row],[_IsLeaf]]=1,Tasks[[#This Row],[_LeafWork]]&gt;0),NETWORKDAYS.INTL(ProjectStart,Tasks[[#This Row],[_LeafFcstStart]],WorkWeek,Holidays),0)</f>
        <v>0</v>
      </c>
      <c r="CS100" s="41" t="n">
        <f aca="false">IF(AND(Tasks[[#This Row],[_IsLeaf]]=1,Tasks[[#This Row],[_LeafWork]]&gt;0),MAX(Tasks[[#This Row],[_StartWorkday]],NETWORKDAYS.INTL(ProjectStart,Tasks[[#This Row],[_LeafFcstFinish]],WorkWeek,Holidays)),0)</f>
        <v>0</v>
      </c>
      <c r="CT100" s="41" t="n">
        <f aca="false">IF(AND(Tasks[[#This Row],[_IsLeaf]]=1,Tasks[[#This Row],[_LeafWork]]&gt;0),Tasks[[#This Row],[_LeafWork]]/(Tasks[[#This Row],[_FinishWorkday]]-Tasks[[#This Row],[_StartWorkday]]+1),0)</f>
        <v>0</v>
      </c>
      <c r="CU100" s="41" t="n">
        <f aca="false">Tasks[[#This Row],[_WorkPerWorkday]]*(Tasks[[#This Row],[_StartWorkday]]-1)</f>
        <v>-0</v>
      </c>
      <c r="CV100" s="41" t="n">
        <f aca="false">IF(Tasks[[#This Row],[_IsLeaf]]=1,MAX(N(Tasks[[#This Row],[Duration]]),0.1),0)</f>
        <v>0</v>
      </c>
      <c r="CW100" s="41" t="n">
        <f aca="false">Tasks[[#This Row],[_WeightDur]]*Tasks[[#This Row],[_LeafProgress]]</f>
        <v>0</v>
      </c>
      <c r="CX1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0" s="41" t="str">
        <f aca="false">IF(Tasks[[#This Row],[Task Name]]="","",Tasks[[#This Row],[_Pred1UIDText]]&amp;IF(AND(Tasks[[#This Row],[_Pred1UIDText]]&lt;&gt;"",Tasks[[#This Row],[_Pred2UIDText]]&lt;&gt;""),",","")&amp;Tasks[[#This Row],[_Pred2UIDText]])</f>
        <v/>
      </c>
      <c r="DC100" s="41" t="str">
        <f aca="false">IF(AND(Tasks[[#This Row],[_IsLeaf]]=1,N(Tasks[[#This Row],[Duration]])=0,Tasks[[#This Row],[_LeafProgress]]&lt;1),Tasks[[#This Row],[_LeafFcstFinish]]+Tasks[[#This Row],[_Row]]/100000,"")</f>
        <v/>
      </c>
      <c r="DD1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0" s="41" t="n">
        <f aca="false">IF(NOT(Tasks[[#This Row],[_IsLeaf]]=1),0,IF(Tasks[[#This Row],[Baseline Cost]]="",Tasks[[#This Row],[_LeafCost]],N(Tasks[[#This Row],[Baseline Cost]])))</f>
        <v>0</v>
      </c>
      <c r="DF100" s="41" t="n">
        <f aca="false">Tasks[[#This Row],[_LeafBudget]]*Tasks[[#This Row],[_PlannedPct]]</f>
        <v>0</v>
      </c>
      <c r="DG100" s="41" t="n">
        <f aca="false">Tasks[[#This Row],[_LeafBudget]]*Tasks[[#This Row],[_LeafProgress]]</f>
        <v>0</v>
      </c>
      <c r="DH100" s="41" t="n">
        <f aca="false">IF(NOT(Tasks[[#This Row],[_IsLeaf]]=1),0,IF(Tasks[[#This Row],[Actual Cost]]="",Tasks[[#This Row],[_LeafCost]]*Tasks[[#This Row],[_LeafProgress]],N(Tasks[[#This Row],[Actual Cost]])))</f>
        <v>0</v>
      </c>
      <c r="DI100" s="41" t="str">
        <f aca="false">IF(Tasks[[#This Row],[Task Name]]="","",LEFT(Tasks[[#This Row],[WBS]],FIND(".",Tasks[[#This Row],[WBS]]&amp;".")-1))</f>
        <v/>
      </c>
      <c r="DJ100" s="41" t="str">
        <f aca="false">IF(AND(Tasks[[#This Row],[Task Name]]&lt;&gt;"",Tasks[[#This Row],[_Level]]=1),Tasks[[#This Row],[_Row]],"")</f>
        <v/>
      </c>
      <c r="DK100" s="41" t="str">
        <f aca="false">IF(AND(Tasks[[#This Row],[_IsLeaf]]=1,N(Tasks[[#This Row],[Duration]])=0),Tasks[[#This Row],[Planned Finish]]+Tasks[[#This Row],[_Row]]/100000,"")</f>
        <v/>
      </c>
      <c r="DL100" s="41" t="str">
        <f aca="false">IF(AND(Tasks[[#This Row],[_IsLeaf]]=1,Tasks[[#This Row],[_LeafProgress]]&lt;1,OR(N(Tasks[[#This Row],[Finish Var]])&gt;0,Tasks[[#This Row],[Status]]="Late Start")),MAX(0,Tasks[[#This Row],[Finish Var]])+1-Tasks[[#This Row],[_Row]]/1000000,"")</f>
        <v/>
      </c>
      <c r="DM100" s="41" t="str">
        <f aca="false">IF(AND(Tasks[[#This Row],[_IsLeaf]]=1,N(Tasks[[#This Row],[Actual Start]])=0,Tasks[[#This Row],[_LeafFcstStart]]&gt;=StatusDate,Tasks[[#This Row],[_LeafFcstStart]]&lt;=LookaheadEnd),Tasks[[#This Row],[_LeafFcstStart]]+Tasks[[#This Row],[_Row]]/100000,"")</f>
        <v/>
      </c>
      <c r="DN100" s="41" t="str">
        <f aca="false">IF(AND(Tasks[[#This Row],[_IsLeaf]]=1,Tasks[[#This Row],[_LeafProgress]]&lt;1,Tasks[[#This Row],[_LeafFcstFinish]]&gt;=StatusDate,Tasks[[#This Row],[_LeafFcstFinish]]&lt;=LookaheadEnd),Tasks[[#This Row],[_LeafFcstFinish]]+Tasks[[#This Row],[_Row]]/100000,"")</f>
        <v/>
      </c>
      <c r="DO100" s="41" t="str">
        <f aca="false">IF(Tasks[[#This Row],[_LeafCritical]],Tasks[[#This Row],[_LeafFcstStart]]+Tasks[[#This Row],[_Row]]/100000,"")</f>
        <v/>
      </c>
      <c r="DP100" s="41" t="n">
        <f aca="false">Tasks[[#This Row],[_LeafWork]]*Tasks[[#This Row],[_LeafProgress]]</f>
        <v>0</v>
      </c>
      <c r="DQ100" s="103" t="str">
        <f aca="false">IF(AND(Tasks[[#This Row],[_IsLeaf]]=1,Tasks[[#This Row],[_LeafProgress]]&gt;=1),IF(N(Tasks[[#This Row],[Actual Finish]])&gt;0,Tasks[[#This Row],[Actual Finish]],Tasks[[#This Row],[_LeafFcstFinish]]),"")</f>
        <v/>
      </c>
      <c r="DR100" s="41" t="n">
        <f aca="false">IF(Tasks[[#This Row],[_IsLeaf]]=1,N(Tasks[[#This Row],[Story Points]]),0)</f>
        <v>0</v>
      </c>
      <c r="DS100" s="41" t="str">
        <f aca="false">IF(AND(Tasks[[#This Row],[_IsLeaf]]=1,CurrentSprint&lt;&gt;"",Tasks[[#This Row],[Sprint]]=CurrentSprint),Tasks[[#This Row],[_Row]],"")</f>
        <v/>
      </c>
    </row>
    <row r="101" customFormat="false" ht="15" hidden="false" customHeight="false" outlineLevel="0" collapsed="false">
      <c r="A101" s="28" t="str">
        <f aca="false">IF(Tasks[[#This Row],[Task Name]]="","",COUNTA(Tasks[[#Headers],[Task Name]]:Tasks[[#This Row],[Task Name]])-1)</f>
        <v/>
      </c>
      <c r="B101" s="29" t="n">
        <v>96</v>
      </c>
      <c r="C1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29"/>
      <c r="E101" s="30"/>
      <c r="F101" s="29"/>
      <c r="G101" s="29"/>
      <c r="H101" s="29"/>
      <c r="I101" s="29"/>
      <c r="J101" s="29"/>
      <c r="K101" s="29"/>
      <c r="L101" s="29"/>
      <c r="M101" s="29"/>
      <c r="N101" s="77"/>
      <c r="O101" s="77"/>
      <c r="P101" s="25" t="str">
        <f aca="false">IF(Tasks[[#This Row],[Task Name]]="","",IF(N(Tasks[[#This Row],[Baseline Start]])&gt;0,Tasks[[#This Row],[Baseline Start]],Tasks[[#This Row],[_CalcStart]]))</f>
        <v/>
      </c>
      <c r="Q101" s="25" t="str">
        <f aca="false">IF(Tasks[[#This Row],[Task Name]]="","",IF(N(Tasks[[#This Row],[Baseline Finish]])&gt;0,Tasks[[#This Row],[Baseline Finish]],Tasks[[#This Row],[_CalcFinish]]))</f>
        <v/>
      </c>
      <c r="R101" s="77"/>
      <c r="S101" s="77"/>
      <c r="T101" s="25" t="str">
        <f aca="false">IF(Tasks[[#This Row],[Task Name]]="","",IF(Tasks[[#This Row],[_IsSummary]],MIN(INDEX(Tasks[_LeafFcstStart],Tasks[[#This Row],[_Row]]+1):INDEX(Tasks[_LeafFcstStart],Tasks[[#This Row],[_Row]]+Tasks[[#This Row],[_Descendants]])),Tasks[[#This Row],[_LeafFcstStart]]))</f>
        <v/>
      </c>
      <c r="U101" s="25" t="str">
        <f aca="false">IF(Tasks[[#This Row],[Task Name]]="","",IF(Tasks[[#This Row],[_IsSummary]],MAX(INDEX(Tasks[_LeafFcstFinish],Tasks[[#This Row],[_Row]]+1):INDEX(Tasks[_LeafFcstFinish],Tasks[[#This Row],[_Row]]+Tasks[[#This Row],[_Descendants]])),Tasks[[#This Row],[_LeafFcstFinish]]))</f>
        <v/>
      </c>
      <c r="V10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1" s="25" t="str">
        <f aca="false">IF(Tasks[[#This Row],[Task Name]]="","",IF(Tasks[[#This Row],[_IsSummary]],MIN(INDEX(Tasks[_LeafLateStart],Tasks[[#This Row],[_Row]]+1):INDEX(Tasks[_LeafLateStart],Tasks[[#This Row],[_Row]]+Tasks[[#This Row],[_Descendants]])),Tasks[[#This Row],[_LeafLateStart]]))</f>
        <v/>
      </c>
      <c r="Y101" s="25" t="str">
        <f aca="false">IF(Tasks[[#This Row],[Task Name]]="","",IF(Tasks[[#This Row],[_IsSummary]],MAX(INDEX(Tasks[_LeafLateFinish],Tasks[[#This Row],[_Row]]+1):INDEX(Tasks[_LeafLateFinish],Tasks[[#This Row],[_Row]]+Tasks[[#This Row],[_Descendants]])),Tasks[[#This Row],[_LeafLateFinish]]))</f>
        <v/>
      </c>
      <c r="Z101" s="43" t="str">
        <f aca="false">IF(Tasks[[#This Row],[Task Name]]="","",IF(Tasks[[#This Row],[_IsSummary]],MIN(INDEX(Tasks[_LeafTotalSlack],Tasks[[#This Row],[_Row]]+1):INDEX(Tasks[_LeafTotalSlack],Tasks[[#This Row],[_Row]]+Tasks[[#This Row],[_Descendants]])),Tasks[[#This Row],[_LeafTotalSlack]]))</f>
        <v/>
      </c>
      <c r="AA1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1" s="28" t="str">
        <f aca="false">IF(Tasks[[#This Row],[Task Name]]="","",IF(IF(Tasks[[#This Row],[_IsSummary]],COUNTIF(INDEX(Tasks[_LeafCritical],Tasks[[#This Row],[_Row]]+1):INDEX(Tasks[_LeafCritical],Tasks[[#This Row],[_Row]]+Tasks[[#This Row],[_Descendants]]),TRUE())&gt;0,Tasks[[#This Row],[_LeafCritical]]),"Yes",""))</f>
        <v/>
      </c>
      <c r="AC1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1" s="24" t="str">
        <f aca="false">IF(Tasks[[#This Row],[Task Name]]="","",TRIM(IF(Tasks[[#This Row],[_Pred1Problem]]&lt;&gt;"","Pred 1: "&amp;Tasks[[#This Row],[_Pred1Problem]]&amp;". ","")&amp;IF(Tasks[[#This Row],[_Pred2Problem]]&lt;&gt;"","Pred 2: "&amp;Tasks[[#This Row],[_Pred2Problem]]&amp;".","")))</f>
        <v/>
      </c>
      <c r="AE101" s="91"/>
      <c r="AF10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1" s="28" t="str">
        <f aca="false">IF(Tasks[[#This Row],[Task Name]]="","",IF(Tasks[[#This Row],[Progress]]&gt;=1,"Complete",IF(OR(N(Tasks[[#This Row],[Actual Start]])&gt;0,Tasks[[#This Row],[Progress]]&gt;0),IF(Tasks[[#This Row],[Finish Var]]&gt;0,"Behind","In Progress"),IF(Tasks[[#This Row],[Planned Start]]&lt;StatusDate,"Late Start","Not Started"))))</f>
        <v/>
      </c>
      <c r="AH101" s="30"/>
      <c r="AI101" s="91"/>
      <c r="AJ10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1" s="98" t="str">
        <f aca="false">IF(Tasks[[#This Row],[Task Name]]="","",IF(Tasks[[#This Row],[_IsSummary]],SUM(INDEX(Tasks[_LeafWork],Tasks[[#This Row],[_Row]]+1):INDEX(Tasks[_LeafWork],Tasks[[#This Row],[_Row]]+Tasks[[#This Row],[_Descendants]])),Tasks[[#This Row],[_LeafWork]]))</f>
        <v/>
      </c>
      <c r="AL101" s="99" t="str">
        <f aca="false">IF(Tasks[[#This Row],[Task Name]]="","",IF(Tasks[[#This Row],[_IsSummary]],SUM(INDEX(Tasks[_LeafCost],Tasks[[#This Row],[_Row]]+1):INDEX(Tasks[_LeafCost],Tasks[[#This Row],[_Row]]+Tasks[[#This Row],[_Descendants]])),Tasks[[#This Row],[_LeafCost]]))</f>
        <v/>
      </c>
      <c r="AM101" s="100"/>
      <c r="AN101" s="29"/>
      <c r="AO1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1" s="85"/>
      <c r="AQ101" s="24" t="str">
        <f aca="false">IF(Tasks[[#This Row],[Task Name]]="","",Tasks[[#This Row],[_Pred1IDText]]&amp;IF(AND(Tasks[[#This Row],[_Pred1IDText]]&lt;&gt;"",Tasks[[#This Row],[_Pred2IDText]]&lt;&gt;""),",","")&amp;Tasks[[#This Row],[_Pred2IDText]])</f>
        <v/>
      </c>
      <c r="AR101" s="30"/>
      <c r="AS101" s="25" t="str">
        <f aca="false">IF(Tasks[[#This Row],[Task Name]]="","",Tasks[[#This Row],[Forecast Start]])</f>
        <v/>
      </c>
      <c r="AT101" s="25" t="str">
        <f aca="false">IF(Tasks[[#This Row],[Task Name]]="","",Tasks[[#This Row],[Forecast Finish]])</f>
        <v/>
      </c>
      <c r="AU101" s="28" t="str">
        <f aca="false">IF(Tasks[[#This Row],[Task Name]]="","",IF(Tasks[[#This Row],[_IsSummary]],NETWORKDAYS.INTL(Tasks[[#This Row],[Forecast Start]],Tasks[[#This Row],[Forecast Finish]],WorkWeek,Holidays),N(Tasks[[#This Row],[Duration]])))</f>
        <v/>
      </c>
      <c r="AV101" s="98" t="str">
        <f aca="false">IF(Tasks[[#This Row],[Task Name]]="","",Tasks[[#This Row],[Work]])</f>
        <v/>
      </c>
      <c r="AW101" s="99" t="str">
        <f aca="false">IF(Tasks[[#This Row],[Task Name]]="","",Tasks[[#This Row],[Cost]])</f>
        <v/>
      </c>
      <c r="AX101" s="77"/>
      <c r="AY101" s="77"/>
      <c r="AZ101" s="29"/>
      <c r="BA101" s="101"/>
      <c r="BB101" s="100"/>
      <c r="BC101" s="28" t="str">
        <f aca="false">IF(OR(Tasks[[#This Row],[Task Name]]="",Tasks[[#This Row],[Baseline Duration]]=""),"",Tasks[[#This Row],[BL Source Duration]]-N(Tasks[[#This Row],[Baseline Duration]]))</f>
        <v/>
      </c>
      <c r="BD101" s="98" t="str">
        <f aca="false">IF(OR(Tasks[[#This Row],[Task Name]]="",Tasks[[#This Row],[Baseline Work]]=""),"",Tasks[[#This Row],[Work]]-N(Tasks[[#This Row],[Baseline Work]]))</f>
        <v/>
      </c>
      <c r="BE101" s="99" t="str">
        <f aca="false">IF(OR(Tasks[[#This Row],[Task Name]]="",Tasks[[#This Row],[Baseline Cost]]=""),"",Tasks[[#This Row],[Cost]]-N(Tasks[[#This Row],[Baseline Cost]]))</f>
        <v/>
      </c>
      <c r="BF101" s="99" t="str">
        <f aca="false">IF(Tasks[[#This Row],[Task Name]]="","",IF(Tasks[[#This Row],[_IsSummary]],SUM(INDEX(Tasks[_LeafBudget],Tasks[[#This Row],[_Row]]+1):INDEX(Tasks[_LeafBudget],Tasks[[#This Row],[_Row]]+Tasks[[#This Row],[_Descendants]])),Tasks[[#This Row],[_LeafBudget]]))</f>
        <v/>
      </c>
      <c r="BG101" s="99" t="str">
        <f aca="false">IF(Tasks[[#This Row],[Task Name]]="","",IF(Tasks[[#This Row],[_IsSummary]],SUM(INDEX(Tasks[_LeafPV],Tasks[[#This Row],[_Row]]+1):INDEX(Tasks[_LeafPV],Tasks[[#This Row],[_Row]]+Tasks[[#This Row],[_Descendants]])),Tasks[[#This Row],[_LeafPV]]))</f>
        <v/>
      </c>
      <c r="BH101" s="99" t="str">
        <f aca="false">IF(Tasks[[#This Row],[Task Name]]="","",IF(Tasks[[#This Row],[_IsSummary]],SUM(INDEX(Tasks[_LeafEV],Tasks[[#This Row],[_Row]]+1):INDEX(Tasks[_LeafEV],Tasks[[#This Row],[_Row]]+Tasks[[#This Row],[_Descendants]])),Tasks[[#This Row],[_LeafEV]]))</f>
        <v/>
      </c>
      <c r="BI101" s="99" t="str">
        <f aca="false">IF(Tasks[[#This Row],[Task Name]]="","",IF(Tasks[[#This Row],[_IsSummary]],SUM(INDEX(Tasks[_LeafAC],Tasks[[#This Row],[_Row]]+1):INDEX(Tasks[_LeafAC],Tasks[[#This Row],[_Row]]+Tasks[[#This Row],[_Descendants]])),Tasks[[#This Row],[_LeafAC]]))</f>
        <v/>
      </c>
      <c r="BJ101" s="41" t="str">
        <f aca="false">IF(Tasks[[#This Row],[Task Name]]="","",MAX(1,N(Tasks[[#This Row],[Level]])))</f>
        <v/>
      </c>
      <c r="BK101" s="41" t="n">
        <f aca="false">ROW()-ROW(Tasks[[#Headers],[ID]])</f>
        <v>96</v>
      </c>
      <c r="BL101" s="41" t="n">
        <f aca="false">IF(OR(Tasks[[#This Row],[Task Name]]="",Tasks[[#This Row],[_Level]]&lt;=1),0,IFERROR(LOOKUP(2,1/(Tasks[[#Headers],[_Level]]:Tasks[[#This Row],[_Level]]=Tasks[[#This Row],[_Level]]-1),ROW(Tasks[[#Headers],[_Level]]:Tasks[[#This Row],[_Level]])),0))</f>
        <v>0</v>
      </c>
      <c r="BM101" s="41" t="n">
        <f aca="false">IFERROR(N(INDEX(Tasks[_Level],Tasks[[#This Row],[_Row]]+1)),0)</f>
        <v>0</v>
      </c>
      <c r="BN101" s="102" t="b">
        <f aca="false">AND(Tasks[[#This Row],[Task Name]]&lt;&gt;"",Tasks[[#This Row],[_NextLevel]]&gt;Tasks[[#This Row],[_Level]])</f>
        <v>0</v>
      </c>
      <c r="BO101" s="41" t="n">
        <f aca="false">IF(Tasks[[#This Row],[_IsSummary]],COUNTIF(Tasks[WBS],Tasks[[#This Row],[WBS]]&amp;".*"),0)</f>
        <v>0</v>
      </c>
      <c r="BP101" s="41" t="n">
        <f aca="false">IF(AND(Tasks[[#This Row],[Task Name]]&lt;&gt;"",NOT(Tasks[[#This Row],[_IsSummary]])),1,0)</f>
        <v>0</v>
      </c>
      <c r="BQ101" s="41" t="n">
        <f aca="false">IF(N(Tasks[[#This Row],[Pred1 UID]])=0,0,IFERROR(MATCH(Tasks[[#This Row],[Pred1 UID]],Tasks[UID],0),-1))</f>
        <v>0</v>
      </c>
      <c r="BR101" s="41" t="n">
        <f aca="false">IF(N(Tasks[[#This Row],[Pred2 UID]])=0,0,IFERROR(MATCH(Tasks[[#This Row],[Pred2 UID]],Tasks[UID],0),-1))</f>
        <v>0</v>
      </c>
      <c r="BS10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1" s="103" t="str">
        <f aca="false">IF(NOT(Tasks[[#This Row],[_IsLeaf]]=1),"",IF(N(Tasks[[#This Row],[Duration]])&lt;=0,Tasks[[#This Row],[_LeafCalcStart]],WORKDAY.INTL(Tasks[[#This Row],[_LeafCalcStart]],Tasks[[#This Row],[Duration]]-1,WorkWeek,Holidays)))</f>
        <v/>
      </c>
      <c r="BU10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1" s="41" t="n">
        <f aca="false">IF(NOT(Tasks[[#This Row],[_IsLeaf]]=1),0,IF(N(Tasks[[#This Row],[Actual Finish]])&gt;0,1,MIN(1,N(Tasks[[#This Row],[% Complete]]))))</f>
        <v>0</v>
      </c>
      <c r="BX101" s="41" t="n">
        <f aca="false">IF(OR(NOT(Tasks[[#This Row],[_IsLeaf]]=1),Tasks[[#This Row],[Resource]]=""),0,N(Tasks[[#This Row],[Duration]])*HoursPerDay*IF(Tasks[[#This Row],[Units]]="",DefaultUnits,Tasks[[#This Row],[Units]]))</f>
        <v>0</v>
      </c>
      <c r="BY101" s="41" t="n">
        <f aca="false">IF(Tasks[[#This Row],[_LeafWork]]=0,0,Tasks[[#This Row],[_LeafWork]]*IFERROR(INDEX(res_Rate,MATCH(Tasks[[#This Row],[Resource]],res_Name,0)),0))</f>
        <v>0</v>
      </c>
      <c r="BZ1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1" s="41" t="n">
        <f aca="false">IF(NOT(Tasks[[#This Row],[_IsLeaf]]=1),0,MAX(_xlfn.MAXIFS(Tasks[_Row],Tasks[Pred1 UID],Tasks[[#This Row],[UID]]),_xlfn.MAXIFS(Tasks[_Row],Tasks[Pred2 UID],Tasks[[#This Row],[UID]])))</f>
        <v>0</v>
      </c>
      <c r="CE10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1" s="103" t="str">
        <f aca="false">IF(NOT(Tasks[[#This Row],[_IsLeaf]]=1),"",MIN(ProjectFinish,IF(N(Tasks[[#This Row],[Deadline]])&gt;0,Tasks[[#This Row],[Deadline]],2958465),Tasks[[#This Row],[_SuccessorFinishLimit]]))</f>
        <v/>
      </c>
      <c r="CG101" s="103" t="str">
        <f aca="false">IF(NOT(Tasks[[#This Row],[_IsLeaf]]=1),"",IF(N(Tasks[[#This Row],[Duration]])&lt;=0,Tasks[[#This Row],[_LeafLateFinish]],WORKDAY.INTL(Tasks[[#This Row],[_LeafLateFinish]],-(Tasks[[#This Row],[Duration]]-1),WorkWeek,Holidays)))</f>
        <v/>
      </c>
      <c r="CH1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1" s="102" t="b">
        <f aca="false">AND(Tasks[[#This Row],[_IsLeaf]]=1,Tasks[[#This Row],[_LeafProgress]]&lt;1,N(Tasks[[#This Row],[_LeafTotalSlack]])&lt;=CriticalSlackDays)</f>
        <v>0</v>
      </c>
      <c r="CJ101" s="103" t="str">
        <f aca="false">IF(Tasks[[#This Row],[Task Name]]="","",IF(Tasks[[#This Row],[_IsSummary]],MIN(INDEX(Tasks[_LeafCalcStart],Tasks[[#This Row],[_Row]]+1):INDEX(Tasks[_LeafCalcStart],Tasks[[#This Row],[_Row]]+Tasks[[#This Row],[_Descendants]])),Tasks[[#This Row],[_LeafCalcStart]]))</f>
        <v/>
      </c>
      <c r="CK101" s="103" t="str">
        <f aca="false">IF(Tasks[[#This Row],[Task Name]]="","",IF(Tasks[[#This Row],[_IsSummary]],MAX(INDEX(Tasks[_LeafCalcFinish],Tasks[[#This Row],[_Row]]+1):INDEX(Tasks[_LeafCalcFinish],Tasks[[#This Row],[_Row]]+Tasks[[#This Row],[_Descendants]])),Tasks[[#This Row],[_LeafCalcFinish]]))</f>
        <v/>
      </c>
      <c r="CL1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1" s="41" t="n">
        <f aca="false">IF(AND(Tasks[[#This Row],[_IsLeaf]]=1,Tasks[[#This Row],[_LeafWork]]&gt;0),NETWORKDAYS.INTL(ProjectStart,Tasks[[#This Row],[_LeafFcstStart]],WorkWeek,Holidays),0)</f>
        <v>0</v>
      </c>
      <c r="CS101" s="41" t="n">
        <f aca="false">IF(AND(Tasks[[#This Row],[_IsLeaf]]=1,Tasks[[#This Row],[_LeafWork]]&gt;0),MAX(Tasks[[#This Row],[_StartWorkday]],NETWORKDAYS.INTL(ProjectStart,Tasks[[#This Row],[_LeafFcstFinish]],WorkWeek,Holidays)),0)</f>
        <v>0</v>
      </c>
      <c r="CT101" s="41" t="n">
        <f aca="false">IF(AND(Tasks[[#This Row],[_IsLeaf]]=1,Tasks[[#This Row],[_LeafWork]]&gt;0),Tasks[[#This Row],[_LeafWork]]/(Tasks[[#This Row],[_FinishWorkday]]-Tasks[[#This Row],[_StartWorkday]]+1),0)</f>
        <v>0</v>
      </c>
      <c r="CU101" s="41" t="n">
        <f aca="false">Tasks[[#This Row],[_WorkPerWorkday]]*(Tasks[[#This Row],[_StartWorkday]]-1)</f>
        <v>-0</v>
      </c>
      <c r="CV101" s="41" t="n">
        <f aca="false">IF(Tasks[[#This Row],[_IsLeaf]]=1,MAX(N(Tasks[[#This Row],[Duration]]),0.1),0)</f>
        <v>0</v>
      </c>
      <c r="CW101" s="41" t="n">
        <f aca="false">Tasks[[#This Row],[_WeightDur]]*Tasks[[#This Row],[_LeafProgress]]</f>
        <v>0</v>
      </c>
      <c r="CX1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1" s="41" t="str">
        <f aca="false">IF(Tasks[[#This Row],[Task Name]]="","",Tasks[[#This Row],[_Pred1UIDText]]&amp;IF(AND(Tasks[[#This Row],[_Pred1UIDText]]&lt;&gt;"",Tasks[[#This Row],[_Pred2UIDText]]&lt;&gt;""),",","")&amp;Tasks[[#This Row],[_Pred2UIDText]])</f>
        <v/>
      </c>
      <c r="DC101" s="41" t="str">
        <f aca="false">IF(AND(Tasks[[#This Row],[_IsLeaf]]=1,N(Tasks[[#This Row],[Duration]])=0,Tasks[[#This Row],[_LeafProgress]]&lt;1),Tasks[[#This Row],[_LeafFcstFinish]]+Tasks[[#This Row],[_Row]]/100000,"")</f>
        <v/>
      </c>
      <c r="DD1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1" s="41" t="n">
        <f aca="false">IF(NOT(Tasks[[#This Row],[_IsLeaf]]=1),0,IF(Tasks[[#This Row],[Baseline Cost]]="",Tasks[[#This Row],[_LeafCost]],N(Tasks[[#This Row],[Baseline Cost]])))</f>
        <v>0</v>
      </c>
      <c r="DF101" s="41" t="n">
        <f aca="false">Tasks[[#This Row],[_LeafBudget]]*Tasks[[#This Row],[_PlannedPct]]</f>
        <v>0</v>
      </c>
      <c r="DG101" s="41" t="n">
        <f aca="false">Tasks[[#This Row],[_LeafBudget]]*Tasks[[#This Row],[_LeafProgress]]</f>
        <v>0</v>
      </c>
      <c r="DH101" s="41" t="n">
        <f aca="false">IF(NOT(Tasks[[#This Row],[_IsLeaf]]=1),0,IF(Tasks[[#This Row],[Actual Cost]]="",Tasks[[#This Row],[_LeafCost]]*Tasks[[#This Row],[_LeafProgress]],N(Tasks[[#This Row],[Actual Cost]])))</f>
        <v>0</v>
      </c>
      <c r="DI101" s="41" t="str">
        <f aca="false">IF(Tasks[[#This Row],[Task Name]]="","",LEFT(Tasks[[#This Row],[WBS]],FIND(".",Tasks[[#This Row],[WBS]]&amp;".")-1))</f>
        <v/>
      </c>
      <c r="DJ101" s="41" t="str">
        <f aca="false">IF(AND(Tasks[[#This Row],[Task Name]]&lt;&gt;"",Tasks[[#This Row],[_Level]]=1),Tasks[[#This Row],[_Row]],"")</f>
        <v/>
      </c>
      <c r="DK101" s="41" t="str">
        <f aca="false">IF(AND(Tasks[[#This Row],[_IsLeaf]]=1,N(Tasks[[#This Row],[Duration]])=0),Tasks[[#This Row],[Planned Finish]]+Tasks[[#This Row],[_Row]]/100000,"")</f>
        <v/>
      </c>
      <c r="DL101" s="41" t="str">
        <f aca="false">IF(AND(Tasks[[#This Row],[_IsLeaf]]=1,Tasks[[#This Row],[_LeafProgress]]&lt;1,OR(N(Tasks[[#This Row],[Finish Var]])&gt;0,Tasks[[#This Row],[Status]]="Late Start")),MAX(0,Tasks[[#This Row],[Finish Var]])+1-Tasks[[#This Row],[_Row]]/1000000,"")</f>
        <v/>
      </c>
      <c r="DM101" s="41" t="str">
        <f aca="false">IF(AND(Tasks[[#This Row],[_IsLeaf]]=1,N(Tasks[[#This Row],[Actual Start]])=0,Tasks[[#This Row],[_LeafFcstStart]]&gt;=StatusDate,Tasks[[#This Row],[_LeafFcstStart]]&lt;=LookaheadEnd),Tasks[[#This Row],[_LeafFcstStart]]+Tasks[[#This Row],[_Row]]/100000,"")</f>
        <v/>
      </c>
      <c r="DN101" s="41" t="str">
        <f aca="false">IF(AND(Tasks[[#This Row],[_IsLeaf]]=1,Tasks[[#This Row],[_LeafProgress]]&lt;1,Tasks[[#This Row],[_LeafFcstFinish]]&gt;=StatusDate,Tasks[[#This Row],[_LeafFcstFinish]]&lt;=LookaheadEnd),Tasks[[#This Row],[_LeafFcstFinish]]+Tasks[[#This Row],[_Row]]/100000,"")</f>
        <v/>
      </c>
      <c r="DO101" s="41" t="str">
        <f aca="false">IF(Tasks[[#This Row],[_LeafCritical]],Tasks[[#This Row],[_LeafFcstStart]]+Tasks[[#This Row],[_Row]]/100000,"")</f>
        <v/>
      </c>
      <c r="DP101" s="41" t="n">
        <f aca="false">Tasks[[#This Row],[_LeafWork]]*Tasks[[#This Row],[_LeafProgress]]</f>
        <v>0</v>
      </c>
      <c r="DQ101" s="103" t="str">
        <f aca="false">IF(AND(Tasks[[#This Row],[_IsLeaf]]=1,Tasks[[#This Row],[_LeafProgress]]&gt;=1),IF(N(Tasks[[#This Row],[Actual Finish]])&gt;0,Tasks[[#This Row],[Actual Finish]],Tasks[[#This Row],[_LeafFcstFinish]]),"")</f>
        <v/>
      </c>
      <c r="DR101" s="41" t="n">
        <f aca="false">IF(Tasks[[#This Row],[_IsLeaf]]=1,N(Tasks[[#This Row],[Story Points]]),0)</f>
        <v>0</v>
      </c>
      <c r="DS101" s="41" t="str">
        <f aca="false">IF(AND(Tasks[[#This Row],[_IsLeaf]]=1,CurrentSprint&lt;&gt;"",Tasks[[#This Row],[Sprint]]=CurrentSprint),Tasks[[#This Row],[_Row]],"")</f>
        <v/>
      </c>
    </row>
    <row r="102" customFormat="false" ht="15" hidden="false" customHeight="false" outlineLevel="0" collapsed="false">
      <c r="A102" s="28" t="str">
        <f aca="false">IF(Tasks[[#This Row],[Task Name]]="","",COUNTA(Tasks[[#Headers],[Task Name]]:Tasks[[#This Row],[Task Name]])-1)</f>
        <v/>
      </c>
      <c r="B102" s="29" t="n">
        <v>97</v>
      </c>
      <c r="C1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29"/>
      <c r="E102" s="30"/>
      <c r="F102" s="29"/>
      <c r="G102" s="29"/>
      <c r="H102" s="29"/>
      <c r="I102" s="29"/>
      <c r="J102" s="29"/>
      <c r="K102" s="29"/>
      <c r="L102" s="29"/>
      <c r="M102" s="29"/>
      <c r="N102" s="77"/>
      <c r="O102" s="77"/>
      <c r="P102" s="25" t="str">
        <f aca="false">IF(Tasks[[#This Row],[Task Name]]="","",IF(N(Tasks[[#This Row],[Baseline Start]])&gt;0,Tasks[[#This Row],[Baseline Start]],Tasks[[#This Row],[_CalcStart]]))</f>
        <v/>
      </c>
      <c r="Q102" s="25" t="str">
        <f aca="false">IF(Tasks[[#This Row],[Task Name]]="","",IF(N(Tasks[[#This Row],[Baseline Finish]])&gt;0,Tasks[[#This Row],[Baseline Finish]],Tasks[[#This Row],[_CalcFinish]]))</f>
        <v/>
      </c>
      <c r="R102" s="77"/>
      <c r="S102" s="77"/>
      <c r="T102" s="25" t="str">
        <f aca="false">IF(Tasks[[#This Row],[Task Name]]="","",IF(Tasks[[#This Row],[_IsSummary]],MIN(INDEX(Tasks[_LeafFcstStart],Tasks[[#This Row],[_Row]]+1):INDEX(Tasks[_LeafFcstStart],Tasks[[#This Row],[_Row]]+Tasks[[#This Row],[_Descendants]])),Tasks[[#This Row],[_LeafFcstStart]]))</f>
        <v/>
      </c>
      <c r="U102" s="25" t="str">
        <f aca="false">IF(Tasks[[#This Row],[Task Name]]="","",IF(Tasks[[#This Row],[_IsSummary]],MAX(INDEX(Tasks[_LeafFcstFinish],Tasks[[#This Row],[_Row]]+1):INDEX(Tasks[_LeafFcstFinish],Tasks[[#This Row],[_Row]]+Tasks[[#This Row],[_Descendants]])),Tasks[[#This Row],[_LeafFcstFinish]]))</f>
        <v/>
      </c>
      <c r="V10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2" s="25" t="str">
        <f aca="false">IF(Tasks[[#This Row],[Task Name]]="","",IF(Tasks[[#This Row],[_IsSummary]],MIN(INDEX(Tasks[_LeafLateStart],Tasks[[#This Row],[_Row]]+1):INDEX(Tasks[_LeafLateStart],Tasks[[#This Row],[_Row]]+Tasks[[#This Row],[_Descendants]])),Tasks[[#This Row],[_LeafLateStart]]))</f>
        <v/>
      </c>
      <c r="Y102" s="25" t="str">
        <f aca="false">IF(Tasks[[#This Row],[Task Name]]="","",IF(Tasks[[#This Row],[_IsSummary]],MAX(INDEX(Tasks[_LeafLateFinish],Tasks[[#This Row],[_Row]]+1):INDEX(Tasks[_LeafLateFinish],Tasks[[#This Row],[_Row]]+Tasks[[#This Row],[_Descendants]])),Tasks[[#This Row],[_LeafLateFinish]]))</f>
        <v/>
      </c>
      <c r="Z102" s="43" t="str">
        <f aca="false">IF(Tasks[[#This Row],[Task Name]]="","",IF(Tasks[[#This Row],[_IsSummary]],MIN(INDEX(Tasks[_LeafTotalSlack],Tasks[[#This Row],[_Row]]+1):INDEX(Tasks[_LeafTotalSlack],Tasks[[#This Row],[_Row]]+Tasks[[#This Row],[_Descendants]])),Tasks[[#This Row],[_LeafTotalSlack]]))</f>
        <v/>
      </c>
      <c r="AA1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2" s="28" t="str">
        <f aca="false">IF(Tasks[[#This Row],[Task Name]]="","",IF(IF(Tasks[[#This Row],[_IsSummary]],COUNTIF(INDEX(Tasks[_LeafCritical],Tasks[[#This Row],[_Row]]+1):INDEX(Tasks[_LeafCritical],Tasks[[#This Row],[_Row]]+Tasks[[#This Row],[_Descendants]]),TRUE())&gt;0,Tasks[[#This Row],[_LeafCritical]]),"Yes",""))</f>
        <v/>
      </c>
      <c r="AC1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2" s="24" t="str">
        <f aca="false">IF(Tasks[[#This Row],[Task Name]]="","",TRIM(IF(Tasks[[#This Row],[_Pred1Problem]]&lt;&gt;"","Pred 1: "&amp;Tasks[[#This Row],[_Pred1Problem]]&amp;". ","")&amp;IF(Tasks[[#This Row],[_Pred2Problem]]&lt;&gt;"","Pred 2: "&amp;Tasks[[#This Row],[_Pred2Problem]]&amp;".","")))</f>
        <v/>
      </c>
      <c r="AE102" s="91"/>
      <c r="AF10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2" s="28" t="str">
        <f aca="false">IF(Tasks[[#This Row],[Task Name]]="","",IF(Tasks[[#This Row],[Progress]]&gt;=1,"Complete",IF(OR(N(Tasks[[#This Row],[Actual Start]])&gt;0,Tasks[[#This Row],[Progress]]&gt;0),IF(Tasks[[#This Row],[Finish Var]]&gt;0,"Behind","In Progress"),IF(Tasks[[#This Row],[Planned Start]]&lt;StatusDate,"Late Start","Not Started"))))</f>
        <v/>
      </c>
      <c r="AH102" s="30"/>
      <c r="AI102" s="91"/>
      <c r="AJ10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2" s="98" t="str">
        <f aca="false">IF(Tasks[[#This Row],[Task Name]]="","",IF(Tasks[[#This Row],[_IsSummary]],SUM(INDEX(Tasks[_LeafWork],Tasks[[#This Row],[_Row]]+1):INDEX(Tasks[_LeafWork],Tasks[[#This Row],[_Row]]+Tasks[[#This Row],[_Descendants]])),Tasks[[#This Row],[_LeafWork]]))</f>
        <v/>
      </c>
      <c r="AL102" s="99" t="str">
        <f aca="false">IF(Tasks[[#This Row],[Task Name]]="","",IF(Tasks[[#This Row],[_IsSummary]],SUM(INDEX(Tasks[_LeafCost],Tasks[[#This Row],[_Row]]+1):INDEX(Tasks[_LeafCost],Tasks[[#This Row],[_Row]]+Tasks[[#This Row],[_Descendants]])),Tasks[[#This Row],[_LeafCost]]))</f>
        <v/>
      </c>
      <c r="AM102" s="100"/>
      <c r="AN102" s="29"/>
      <c r="AO1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2" s="85"/>
      <c r="AQ102" s="24" t="str">
        <f aca="false">IF(Tasks[[#This Row],[Task Name]]="","",Tasks[[#This Row],[_Pred1IDText]]&amp;IF(AND(Tasks[[#This Row],[_Pred1IDText]]&lt;&gt;"",Tasks[[#This Row],[_Pred2IDText]]&lt;&gt;""),",","")&amp;Tasks[[#This Row],[_Pred2IDText]])</f>
        <v/>
      </c>
      <c r="AR102" s="30"/>
      <c r="AS102" s="25" t="str">
        <f aca="false">IF(Tasks[[#This Row],[Task Name]]="","",Tasks[[#This Row],[Forecast Start]])</f>
        <v/>
      </c>
      <c r="AT102" s="25" t="str">
        <f aca="false">IF(Tasks[[#This Row],[Task Name]]="","",Tasks[[#This Row],[Forecast Finish]])</f>
        <v/>
      </c>
      <c r="AU102" s="28" t="str">
        <f aca="false">IF(Tasks[[#This Row],[Task Name]]="","",IF(Tasks[[#This Row],[_IsSummary]],NETWORKDAYS.INTL(Tasks[[#This Row],[Forecast Start]],Tasks[[#This Row],[Forecast Finish]],WorkWeek,Holidays),N(Tasks[[#This Row],[Duration]])))</f>
        <v/>
      </c>
      <c r="AV102" s="98" t="str">
        <f aca="false">IF(Tasks[[#This Row],[Task Name]]="","",Tasks[[#This Row],[Work]])</f>
        <v/>
      </c>
      <c r="AW102" s="99" t="str">
        <f aca="false">IF(Tasks[[#This Row],[Task Name]]="","",Tasks[[#This Row],[Cost]])</f>
        <v/>
      </c>
      <c r="AX102" s="77"/>
      <c r="AY102" s="77"/>
      <c r="AZ102" s="29"/>
      <c r="BA102" s="101"/>
      <c r="BB102" s="100"/>
      <c r="BC102" s="28" t="str">
        <f aca="false">IF(OR(Tasks[[#This Row],[Task Name]]="",Tasks[[#This Row],[Baseline Duration]]=""),"",Tasks[[#This Row],[BL Source Duration]]-N(Tasks[[#This Row],[Baseline Duration]]))</f>
        <v/>
      </c>
      <c r="BD102" s="98" t="str">
        <f aca="false">IF(OR(Tasks[[#This Row],[Task Name]]="",Tasks[[#This Row],[Baseline Work]]=""),"",Tasks[[#This Row],[Work]]-N(Tasks[[#This Row],[Baseline Work]]))</f>
        <v/>
      </c>
      <c r="BE102" s="99" t="str">
        <f aca="false">IF(OR(Tasks[[#This Row],[Task Name]]="",Tasks[[#This Row],[Baseline Cost]]=""),"",Tasks[[#This Row],[Cost]]-N(Tasks[[#This Row],[Baseline Cost]]))</f>
        <v/>
      </c>
      <c r="BF102" s="99" t="str">
        <f aca="false">IF(Tasks[[#This Row],[Task Name]]="","",IF(Tasks[[#This Row],[_IsSummary]],SUM(INDEX(Tasks[_LeafBudget],Tasks[[#This Row],[_Row]]+1):INDEX(Tasks[_LeafBudget],Tasks[[#This Row],[_Row]]+Tasks[[#This Row],[_Descendants]])),Tasks[[#This Row],[_LeafBudget]]))</f>
        <v/>
      </c>
      <c r="BG102" s="99" t="str">
        <f aca="false">IF(Tasks[[#This Row],[Task Name]]="","",IF(Tasks[[#This Row],[_IsSummary]],SUM(INDEX(Tasks[_LeafPV],Tasks[[#This Row],[_Row]]+1):INDEX(Tasks[_LeafPV],Tasks[[#This Row],[_Row]]+Tasks[[#This Row],[_Descendants]])),Tasks[[#This Row],[_LeafPV]]))</f>
        <v/>
      </c>
      <c r="BH102" s="99" t="str">
        <f aca="false">IF(Tasks[[#This Row],[Task Name]]="","",IF(Tasks[[#This Row],[_IsSummary]],SUM(INDEX(Tasks[_LeafEV],Tasks[[#This Row],[_Row]]+1):INDEX(Tasks[_LeafEV],Tasks[[#This Row],[_Row]]+Tasks[[#This Row],[_Descendants]])),Tasks[[#This Row],[_LeafEV]]))</f>
        <v/>
      </c>
      <c r="BI102" s="99" t="str">
        <f aca="false">IF(Tasks[[#This Row],[Task Name]]="","",IF(Tasks[[#This Row],[_IsSummary]],SUM(INDEX(Tasks[_LeafAC],Tasks[[#This Row],[_Row]]+1):INDEX(Tasks[_LeafAC],Tasks[[#This Row],[_Row]]+Tasks[[#This Row],[_Descendants]])),Tasks[[#This Row],[_LeafAC]]))</f>
        <v/>
      </c>
      <c r="BJ102" s="41" t="str">
        <f aca="false">IF(Tasks[[#This Row],[Task Name]]="","",MAX(1,N(Tasks[[#This Row],[Level]])))</f>
        <v/>
      </c>
      <c r="BK102" s="41" t="n">
        <f aca="false">ROW()-ROW(Tasks[[#Headers],[ID]])</f>
        <v>97</v>
      </c>
      <c r="BL102" s="41" t="n">
        <f aca="false">IF(OR(Tasks[[#This Row],[Task Name]]="",Tasks[[#This Row],[_Level]]&lt;=1),0,IFERROR(LOOKUP(2,1/(Tasks[[#Headers],[_Level]]:Tasks[[#This Row],[_Level]]=Tasks[[#This Row],[_Level]]-1),ROW(Tasks[[#Headers],[_Level]]:Tasks[[#This Row],[_Level]])),0))</f>
        <v>0</v>
      </c>
      <c r="BM102" s="41" t="n">
        <f aca="false">IFERROR(N(INDEX(Tasks[_Level],Tasks[[#This Row],[_Row]]+1)),0)</f>
        <v>0</v>
      </c>
      <c r="BN102" s="102" t="b">
        <f aca="false">AND(Tasks[[#This Row],[Task Name]]&lt;&gt;"",Tasks[[#This Row],[_NextLevel]]&gt;Tasks[[#This Row],[_Level]])</f>
        <v>0</v>
      </c>
      <c r="BO102" s="41" t="n">
        <f aca="false">IF(Tasks[[#This Row],[_IsSummary]],COUNTIF(Tasks[WBS],Tasks[[#This Row],[WBS]]&amp;".*"),0)</f>
        <v>0</v>
      </c>
      <c r="BP102" s="41" t="n">
        <f aca="false">IF(AND(Tasks[[#This Row],[Task Name]]&lt;&gt;"",NOT(Tasks[[#This Row],[_IsSummary]])),1,0)</f>
        <v>0</v>
      </c>
      <c r="BQ102" s="41" t="n">
        <f aca="false">IF(N(Tasks[[#This Row],[Pred1 UID]])=0,0,IFERROR(MATCH(Tasks[[#This Row],[Pred1 UID]],Tasks[UID],0),-1))</f>
        <v>0</v>
      </c>
      <c r="BR102" s="41" t="n">
        <f aca="false">IF(N(Tasks[[#This Row],[Pred2 UID]])=0,0,IFERROR(MATCH(Tasks[[#This Row],[Pred2 UID]],Tasks[UID],0),-1))</f>
        <v>0</v>
      </c>
      <c r="BS10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2" s="103" t="str">
        <f aca="false">IF(NOT(Tasks[[#This Row],[_IsLeaf]]=1),"",IF(N(Tasks[[#This Row],[Duration]])&lt;=0,Tasks[[#This Row],[_LeafCalcStart]],WORKDAY.INTL(Tasks[[#This Row],[_LeafCalcStart]],Tasks[[#This Row],[Duration]]-1,WorkWeek,Holidays)))</f>
        <v/>
      </c>
      <c r="BU10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2" s="41" t="n">
        <f aca="false">IF(NOT(Tasks[[#This Row],[_IsLeaf]]=1),0,IF(N(Tasks[[#This Row],[Actual Finish]])&gt;0,1,MIN(1,N(Tasks[[#This Row],[% Complete]]))))</f>
        <v>0</v>
      </c>
      <c r="BX102" s="41" t="n">
        <f aca="false">IF(OR(NOT(Tasks[[#This Row],[_IsLeaf]]=1),Tasks[[#This Row],[Resource]]=""),0,N(Tasks[[#This Row],[Duration]])*HoursPerDay*IF(Tasks[[#This Row],[Units]]="",DefaultUnits,Tasks[[#This Row],[Units]]))</f>
        <v>0</v>
      </c>
      <c r="BY102" s="41" t="n">
        <f aca="false">IF(Tasks[[#This Row],[_LeafWork]]=0,0,Tasks[[#This Row],[_LeafWork]]*IFERROR(INDEX(res_Rate,MATCH(Tasks[[#This Row],[Resource]],res_Name,0)),0))</f>
        <v>0</v>
      </c>
      <c r="BZ1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2" s="41" t="n">
        <f aca="false">IF(NOT(Tasks[[#This Row],[_IsLeaf]]=1),0,MAX(_xlfn.MAXIFS(Tasks[_Row],Tasks[Pred1 UID],Tasks[[#This Row],[UID]]),_xlfn.MAXIFS(Tasks[_Row],Tasks[Pred2 UID],Tasks[[#This Row],[UID]])))</f>
        <v>0</v>
      </c>
      <c r="CE10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2" s="103" t="str">
        <f aca="false">IF(NOT(Tasks[[#This Row],[_IsLeaf]]=1),"",MIN(ProjectFinish,IF(N(Tasks[[#This Row],[Deadline]])&gt;0,Tasks[[#This Row],[Deadline]],2958465),Tasks[[#This Row],[_SuccessorFinishLimit]]))</f>
        <v/>
      </c>
      <c r="CG102" s="103" t="str">
        <f aca="false">IF(NOT(Tasks[[#This Row],[_IsLeaf]]=1),"",IF(N(Tasks[[#This Row],[Duration]])&lt;=0,Tasks[[#This Row],[_LeafLateFinish]],WORKDAY.INTL(Tasks[[#This Row],[_LeafLateFinish]],-(Tasks[[#This Row],[Duration]]-1),WorkWeek,Holidays)))</f>
        <v/>
      </c>
      <c r="CH1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2" s="102" t="b">
        <f aca="false">AND(Tasks[[#This Row],[_IsLeaf]]=1,Tasks[[#This Row],[_LeafProgress]]&lt;1,N(Tasks[[#This Row],[_LeafTotalSlack]])&lt;=CriticalSlackDays)</f>
        <v>0</v>
      </c>
      <c r="CJ102" s="103" t="str">
        <f aca="false">IF(Tasks[[#This Row],[Task Name]]="","",IF(Tasks[[#This Row],[_IsSummary]],MIN(INDEX(Tasks[_LeafCalcStart],Tasks[[#This Row],[_Row]]+1):INDEX(Tasks[_LeafCalcStart],Tasks[[#This Row],[_Row]]+Tasks[[#This Row],[_Descendants]])),Tasks[[#This Row],[_LeafCalcStart]]))</f>
        <v/>
      </c>
      <c r="CK102" s="103" t="str">
        <f aca="false">IF(Tasks[[#This Row],[Task Name]]="","",IF(Tasks[[#This Row],[_IsSummary]],MAX(INDEX(Tasks[_LeafCalcFinish],Tasks[[#This Row],[_Row]]+1):INDEX(Tasks[_LeafCalcFinish],Tasks[[#This Row],[_Row]]+Tasks[[#This Row],[_Descendants]])),Tasks[[#This Row],[_LeafCalcFinish]]))</f>
        <v/>
      </c>
      <c r="CL1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2" s="41" t="n">
        <f aca="false">IF(AND(Tasks[[#This Row],[_IsLeaf]]=1,Tasks[[#This Row],[_LeafWork]]&gt;0),NETWORKDAYS.INTL(ProjectStart,Tasks[[#This Row],[_LeafFcstStart]],WorkWeek,Holidays),0)</f>
        <v>0</v>
      </c>
      <c r="CS102" s="41" t="n">
        <f aca="false">IF(AND(Tasks[[#This Row],[_IsLeaf]]=1,Tasks[[#This Row],[_LeafWork]]&gt;0),MAX(Tasks[[#This Row],[_StartWorkday]],NETWORKDAYS.INTL(ProjectStart,Tasks[[#This Row],[_LeafFcstFinish]],WorkWeek,Holidays)),0)</f>
        <v>0</v>
      </c>
      <c r="CT102" s="41" t="n">
        <f aca="false">IF(AND(Tasks[[#This Row],[_IsLeaf]]=1,Tasks[[#This Row],[_LeafWork]]&gt;0),Tasks[[#This Row],[_LeafWork]]/(Tasks[[#This Row],[_FinishWorkday]]-Tasks[[#This Row],[_StartWorkday]]+1),0)</f>
        <v>0</v>
      </c>
      <c r="CU102" s="41" t="n">
        <f aca="false">Tasks[[#This Row],[_WorkPerWorkday]]*(Tasks[[#This Row],[_StartWorkday]]-1)</f>
        <v>-0</v>
      </c>
      <c r="CV102" s="41" t="n">
        <f aca="false">IF(Tasks[[#This Row],[_IsLeaf]]=1,MAX(N(Tasks[[#This Row],[Duration]]),0.1),0)</f>
        <v>0</v>
      </c>
      <c r="CW102" s="41" t="n">
        <f aca="false">Tasks[[#This Row],[_WeightDur]]*Tasks[[#This Row],[_LeafProgress]]</f>
        <v>0</v>
      </c>
      <c r="CX1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2" s="41" t="str">
        <f aca="false">IF(Tasks[[#This Row],[Task Name]]="","",Tasks[[#This Row],[_Pred1UIDText]]&amp;IF(AND(Tasks[[#This Row],[_Pred1UIDText]]&lt;&gt;"",Tasks[[#This Row],[_Pred2UIDText]]&lt;&gt;""),",","")&amp;Tasks[[#This Row],[_Pred2UIDText]])</f>
        <v/>
      </c>
      <c r="DC102" s="41" t="str">
        <f aca="false">IF(AND(Tasks[[#This Row],[_IsLeaf]]=1,N(Tasks[[#This Row],[Duration]])=0,Tasks[[#This Row],[_LeafProgress]]&lt;1),Tasks[[#This Row],[_LeafFcstFinish]]+Tasks[[#This Row],[_Row]]/100000,"")</f>
        <v/>
      </c>
      <c r="DD1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2" s="41" t="n">
        <f aca="false">IF(NOT(Tasks[[#This Row],[_IsLeaf]]=1),0,IF(Tasks[[#This Row],[Baseline Cost]]="",Tasks[[#This Row],[_LeafCost]],N(Tasks[[#This Row],[Baseline Cost]])))</f>
        <v>0</v>
      </c>
      <c r="DF102" s="41" t="n">
        <f aca="false">Tasks[[#This Row],[_LeafBudget]]*Tasks[[#This Row],[_PlannedPct]]</f>
        <v>0</v>
      </c>
      <c r="DG102" s="41" t="n">
        <f aca="false">Tasks[[#This Row],[_LeafBudget]]*Tasks[[#This Row],[_LeafProgress]]</f>
        <v>0</v>
      </c>
      <c r="DH102" s="41" t="n">
        <f aca="false">IF(NOT(Tasks[[#This Row],[_IsLeaf]]=1),0,IF(Tasks[[#This Row],[Actual Cost]]="",Tasks[[#This Row],[_LeafCost]]*Tasks[[#This Row],[_LeafProgress]],N(Tasks[[#This Row],[Actual Cost]])))</f>
        <v>0</v>
      </c>
      <c r="DI102" s="41" t="str">
        <f aca="false">IF(Tasks[[#This Row],[Task Name]]="","",LEFT(Tasks[[#This Row],[WBS]],FIND(".",Tasks[[#This Row],[WBS]]&amp;".")-1))</f>
        <v/>
      </c>
      <c r="DJ102" s="41" t="str">
        <f aca="false">IF(AND(Tasks[[#This Row],[Task Name]]&lt;&gt;"",Tasks[[#This Row],[_Level]]=1),Tasks[[#This Row],[_Row]],"")</f>
        <v/>
      </c>
      <c r="DK102" s="41" t="str">
        <f aca="false">IF(AND(Tasks[[#This Row],[_IsLeaf]]=1,N(Tasks[[#This Row],[Duration]])=0),Tasks[[#This Row],[Planned Finish]]+Tasks[[#This Row],[_Row]]/100000,"")</f>
        <v/>
      </c>
      <c r="DL102" s="41" t="str">
        <f aca="false">IF(AND(Tasks[[#This Row],[_IsLeaf]]=1,Tasks[[#This Row],[_LeafProgress]]&lt;1,OR(N(Tasks[[#This Row],[Finish Var]])&gt;0,Tasks[[#This Row],[Status]]="Late Start")),MAX(0,Tasks[[#This Row],[Finish Var]])+1-Tasks[[#This Row],[_Row]]/1000000,"")</f>
        <v/>
      </c>
      <c r="DM102" s="41" t="str">
        <f aca="false">IF(AND(Tasks[[#This Row],[_IsLeaf]]=1,N(Tasks[[#This Row],[Actual Start]])=0,Tasks[[#This Row],[_LeafFcstStart]]&gt;=StatusDate,Tasks[[#This Row],[_LeafFcstStart]]&lt;=LookaheadEnd),Tasks[[#This Row],[_LeafFcstStart]]+Tasks[[#This Row],[_Row]]/100000,"")</f>
        <v/>
      </c>
      <c r="DN102" s="41" t="str">
        <f aca="false">IF(AND(Tasks[[#This Row],[_IsLeaf]]=1,Tasks[[#This Row],[_LeafProgress]]&lt;1,Tasks[[#This Row],[_LeafFcstFinish]]&gt;=StatusDate,Tasks[[#This Row],[_LeafFcstFinish]]&lt;=LookaheadEnd),Tasks[[#This Row],[_LeafFcstFinish]]+Tasks[[#This Row],[_Row]]/100000,"")</f>
        <v/>
      </c>
      <c r="DO102" s="41" t="str">
        <f aca="false">IF(Tasks[[#This Row],[_LeafCritical]],Tasks[[#This Row],[_LeafFcstStart]]+Tasks[[#This Row],[_Row]]/100000,"")</f>
        <v/>
      </c>
      <c r="DP102" s="41" t="n">
        <f aca="false">Tasks[[#This Row],[_LeafWork]]*Tasks[[#This Row],[_LeafProgress]]</f>
        <v>0</v>
      </c>
      <c r="DQ102" s="103" t="str">
        <f aca="false">IF(AND(Tasks[[#This Row],[_IsLeaf]]=1,Tasks[[#This Row],[_LeafProgress]]&gt;=1),IF(N(Tasks[[#This Row],[Actual Finish]])&gt;0,Tasks[[#This Row],[Actual Finish]],Tasks[[#This Row],[_LeafFcstFinish]]),"")</f>
        <v/>
      </c>
      <c r="DR102" s="41" t="n">
        <f aca="false">IF(Tasks[[#This Row],[_IsLeaf]]=1,N(Tasks[[#This Row],[Story Points]]),0)</f>
        <v>0</v>
      </c>
      <c r="DS102" s="41" t="str">
        <f aca="false">IF(AND(Tasks[[#This Row],[_IsLeaf]]=1,CurrentSprint&lt;&gt;"",Tasks[[#This Row],[Sprint]]=CurrentSprint),Tasks[[#This Row],[_Row]],"")</f>
        <v/>
      </c>
    </row>
    <row r="103" customFormat="false" ht="15" hidden="false" customHeight="false" outlineLevel="0" collapsed="false">
      <c r="A103" s="28" t="str">
        <f aca="false">IF(Tasks[[#This Row],[Task Name]]="","",COUNTA(Tasks[[#Headers],[Task Name]]:Tasks[[#This Row],[Task Name]])-1)</f>
        <v/>
      </c>
      <c r="B103" s="29" t="n">
        <v>98</v>
      </c>
      <c r="C1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29"/>
      <c r="E103" s="30"/>
      <c r="F103" s="29"/>
      <c r="G103" s="29"/>
      <c r="H103" s="29"/>
      <c r="I103" s="29"/>
      <c r="J103" s="29"/>
      <c r="K103" s="29"/>
      <c r="L103" s="29"/>
      <c r="M103" s="29"/>
      <c r="N103" s="77"/>
      <c r="O103" s="77"/>
      <c r="P103" s="25" t="str">
        <f aca="false">IF(Tasks[[#This Row],[Task Name]]="","",IF(N(Tasks[[#This Row],[Baseline Start]])&gt;0,Tasks[[#This Row],[Baseline Start]],Tasks[[#This Row],[_CalcStart]]))</f>
        <v/>
      </c>
      <c r="Q103" s="25" t="str">
        <f aca="false">IF(Tasks[[#This Row],[Task Name]]="","",IF(N(Tasks[[#This Row],[Baseline Finish]])&gt;0,Tasks[[#This Row],[Baseline Finish]],Tasks[[#This Row],[_CalcFinish]]))</f>
        <v/>
      </c>
      <c r="R103" s="77"/>
      <c r="S103" s="77"/>
      <c r="T103" s="25" t="str">
        <f aca="false">IF(Tasks[[#This Row],[Task Name]]="","",IF(Tasks[[#This Row],[_IsSummary]],MIN(INDEX(Tasks[_LeafFcstStart],Tasks[[#This Row],[_Row]]+1):INDEX(Tasks[_LeafFcstStart],Tasks[[#This Row],[_Row]]+Tasks[[#This Row],[_Descendants]])),Tasks[[#This Row],[_LeafFcstStart]]))</f>
        <v/>
      </c>
      <c r="U103" s="25" t="str">
        <f aca="false">IF(Tasks[[#This Row],[Task Name]]="","",IF(Tasks[[#This Row],[_IsSummary]],MAX(INDEX(Tasks[_LeafFcstFinish],Tasks[[#This Row],[_Row]]+1):INDEX(Tasks[_LeafFcstFinish],Tasks[[#This Row],[_Row]]+Tasks[[#This Row],[_Descendants]])),Tasks[[#This Row],[_LeafFcstFinish]]))</f>
        <v/>
      </c>
      <c r="V10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3" s="25" t="str">
        <f aca="false">IF(Tasks[[#This Row],[Task Name]]="","",IF(Tasks[[#This Row],[_IsSummary]],MIN(INDEX(Tasks[_LeafLateStart],Tasks[[#This Row],[_Row]]+1):INDEX(Tasks[_LeafLateStart],Tasks[[#This Row],[_Row]]+Tasks[[#This Row],[_Descendants]])),Tasks[[#This Row],[_LeafLateStart]]))</f>
        <v/>
      </c>
      <c r="Y103" s="25" t="str">
        <f aca="false">IF(Tasks[[#This Row],[Task Name]]="","",IF(Tasks[[#This Row],[_IsSummary]],MAX(INDEX(Tasks[_LeafLateFinish],Tasks[[#This Row],[_Row]]+1):INDEX(Tasks[_LeafLateFinish],Tasks[[#This Row],[_Row]]+Tasks[[#This Row],[_Descendants]])),Tasks[[#This Row],[_LeafLateFinish]]))</f>
        <v/>
      </c>
      <c r="Z103" s="43" t="str">
        <f aca="false">IF(Tasks[[#This Row],[Task Name]]="","",IF(Tasks[[#This Row],[_IsSummary]],MIN(INDEX(Tasks[_LeafTotalSlack],Tasks[[#This Row],[_Row]]+1):INDEX(Tasks[_LeafTotalSlack],Tasks[[#This Row],[_Row]]+Tasks[[#This Row],[_Descendants]])),Tasks[[#This Row],[_LeafTotalSlack]]))</f>
        <v/>
      </c>
      <c r="AA1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3" s="28" t="str">
        <f aca="false">IF(Tasks[[#This Row],[Task Name]]="","",IF(IF(Tasks[[#This Row],[_IsSummary]],COUNTIF(INDEX(Tasks[_LeafCritical],Tasks[[#This Row],[_Row]]+1):INDEX(Tasks[_LeafCritical],Tasks[[#This Row],[_Row]]+Tasks[[#This Row],[_Descendants]]),TRUE())&gt;0,Tasks[[#This Row],[_LeafCritical]]),"Yes",""))</f>
        <v/>
      </c>
      <c r="AC1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3" s="24" t="str">
        <f aca="false">IF(Tasks[[#This Row],[Task Name]]="","",TRIM(IF(Tasks[[#This Row],[_Pred1Problem]]&lt;&gt;"","Pred 1: "&amp;Tasks[[#This Row],[_Pred1Problem]]&amp;". ","")&amp;IF(Tasks[[#This Row],[_Pred2Problem]]&lt;&gt;"","Pred 2: "&amp;Tasks[[#This Row],[_Pred2Problem]]&amp;".","")))</f>
        <v/>
      </c>
      <c r="AE103" s="91"/>
      <c r="AF10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3" s="28" t="str">
        <f aca="false">IF(Tasks[[#This Row],[Task Name]]="","",IF(Tasks[[#This Row],[Progress]]&gt;=1,"Complete",IF(OR(N(Tasks[[#This Row],[Actual Start]])&gt;0,Tasks[[#This Row],[Progress]]&gt;0),IF(Tasks[[#This Row],[Finish Var]]&gt;0,"Behind","In Progress"),IF(Tasks[[#This Row],[Planned Start]]&lt;StatusDate,"Late Start","Not Started"))))</f>
        <v/>
      </c>
      <c r="AH103" s="30"/>
      <c r="AI103" s="91"/>
      <c r="AJ10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3" s="98" t="str">
        <f aca="false">IF(Tasks[[#This Row],[Task Name]]="","",IF(Tasks[[#This Row],[_IsSummary]],SUM(INDEX(Tasks[_LeafWork],Tasks[[#This Row],[_Row]]+1):INDEX(Tasks[_LeafWork],Tasks[[#This Row],[_Row]]+Tasks[[#This Row],[_Descendants]])),Tasks[[#This Row],[_LeafWork]]))</f>
        <v/>
      </c>
      <c r="AL103" s="99" t="str">
        <f aca="false">IF(Tasks[[#This Row],[Task Name]]="","",IF(Tasks[[#This Row],[_IsSummary]],SUM(INDEX(Tasks[_LeafCost],Tasks[[#This Row],[_Row]]+1):INDEX(Tasks[_LeafCost],Tasks[[#This Row],[_Row]]+Tasks[[#This Row],[_Descendants]])),Tasks[[#This Row],[_LeafCost]]))</f>
        <v/>
      </c>
      <c r="AM103" s="100"/>
      <c r="AN103" s="29"/>
      <c r="AO1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3" s="85"/>
      <c r="AQ103" s="24" t="str">
        <f aca="false">IF(Tasks[[#This Row],[Task Name]]="","",Tasks[[#This Row],[_Pred1IDText]]&amp;IF(AND(Tasks[[#This Row],[_Pred1IDText]]&lt;&gt;"",Tasks[[#This Row],[_Pred2IDText]]&lt;&gt;""),",","")&amp;Tasks[[#This Row],[_Pred2IDText]])</f>
        <v/>
      </c>
      <c r="AR103" s="30"/>
      <c r="AS103" s="25" t="str">
        <f aca="false">IF(Tasks[[#This Row],[Task Name]]="","",Tasks[[#This Row],[Forecast Start]])</f>
        <v/>
      </c>
      <c r="AT103" s="25" t="str">
        <f aca="false">IF(Tasks[[#This Row],[Task Name]]="","",Tasks[[#This Row],[Forecast Finish]])</f>
        <v/>
      </c>
      <c r="AU103" s="28" t="str">
        <f aca="false">IF(Tasks[[#This Row],[Task Name]]="","",IF(Tasks[[#This Row],[_IsSummary]],NETWORKDAYS.INTL(Tasks[[#This Row],[Forecast Start]],Tasks[[#This Row],[Forecast Finish]],WorkWeek,Holidays),N(Tasks[[#This Row],[Duration]])))</f>
        <v/>
      </c>
      <c r="AV103" s="98" t="str">
        <f aca="false">IF(Tasks[[#This Row],[Task Name]]="","",Tasks[[#This Row],[Work]])</f>
        <v/>
      </c>
      <c r="AW103" s="99" t="str">
        <f aca="false">IF(Tasks[[#This Row],[Task Name]]="","",Tasks[[#This Row],[Cost]])</f>
        <v/>
      </c>
      <c r="AX103" s="77"/>
      <c r="AY103" s="77"/>
      <c r="AZ103" s="29"/>
      <c r="BA103" s="101"/>
      <c r="BB103" s="100"/>
      <c r="BC103" s="28" t="str">
        <f aca="false">IF(OR(Tasks[[#This Row],[Task Name]]="",Tasks[[#This Row],[Baseline Duration]]=""),"",Tasks[[#This Row],[BL Source Duration]]-N(Tasks[[#This Row],[Baseline Duration]]))</f>
        <v/>
      </c>
      <c r="BD103" s="98" t="str">
        <f aca="false">IF(OR(Tasks[[#This Row],[Task Name]]="",Tasks[[#This Row],[Baseline Work]]=""),"",Tasks[[#This Row],[Work]]-N(Tasks[[#This Row],[Baseline Work]]))</f>
        <v/>
      </c>
      <c r="BE103" s="99" t="str">
        <f aca="false">IF(OR(Tasks[[#This Row],[Task Name]]="",Tasks[[#This Row],[Baseline Cost]]=""),"",Tasks[[#This Row],[Cost]]-N(Tasks[[#This Row],[Baseline Cost]]))</f>
        <v/>
      </c>
      <c r="BF103" s="99" t="str">
        <f aca="false">IF(Tasks[[#This Row],[Task Name]]="","",IF(Tasks[[#This Row],[_IsSummary]],SUM(INDEX(Tasks[_LeafBudget],Tasks[[#This Row],[_Row]]+1):INDEX(Tasks[_LeafBudget],Tasks[[#This Row],[_Row]]+Tasks[[#This Row],[_Descendants]])),Tasks[[#This Row],[_LeafBudget]]))</f>
        <v/>
      </c>
      <c r="BG103" s="99" t="str">
        <f aca="false">IF(Tasks[[#This Row],[Task Name]]="","",IF(Tasks[[#This Row],[_IsSummary]],SUM(INDEX(Tasks[_LeafPV],Tasks[[#This Row],[_Row]]+1):INDEX(Tasks[_LeafPV],Tasks[[#This Row],[_Row]]+Tasks[[#This Row],[_Descendants]])),Tasks[[#This Row],[_LeafPV]]))</f>
        <v/>
      </c>
      <c r="BH103" s="99" t="str">
        <f aca="false">IF(Tasks[[#This Row],[Task Name]]="","",IF(Tasks[[#This Row],[_IsSummary]],SUM(INDEX(Tasks[_LeafEV],Tasks[[#This Row],[_Row]]+1):INDEX(Tasks[_LeafEV],Tasks[[#This Row],[_Row]]+Tasks[[#This Row],[_Descendants]])),Tasks[[#This Row],[_LeafEV]]))</f>
        <v/>
      </c>
      <c r="BI103" s="99" t="str">
        <f aca="false">IF(Tasks[[#This Row],[Task Name]]="","",IF(Tasks[[#This Row],[_IsSummary]],SUM(INDEX(Tasks[_LeafAC],Tasks[[#This Row],[_Row]]+1):INDEX(Tasks[_LeafAC],Tasks[[#This Row],[_Row]]+Tasks[[#This Row],[_Descendants]])),Tasks[[#This Row],[_LeafAC]]))</f>
        <v/>
      </c>
      <c r="BJ103" s="41" t="str">
        <f aca="false">IF(Tasks[[#This Row],[Task Name]]="","",MAX(1,N(Tasks[[#This Row],[Level]])))</f>
        <v/>
      </c>
      <c r="BK103" s="41" t="n">
        <f aca="false">ROW()-ROW(Tasks[[#Headers],[ID]])</f>
        <v>98</v>
      </c>
      <c r="BL103" s="41" t="n">
        <f aca="false">IF(OR(Tasks[[#This Row],[Task Name]]="",Tasks[[#This Row],[_Level]]&lt;=1),0,IFERROR(LOOKUP(2,1/(Tasks[[#Headers],[_Level]]:Tasks[[#This Row],[_Level]]=Tasks[[#This Row],[_Level]]-1),ROW(Tasks[[#Headers],[_Level]]:Tasks[[#This Row],[_Level]])),0))</f>
        <v>0</v>
      </c>
      <c r="BM103" s="41" t="n">
        <f aca="false">IFERROR(N(INDEX(Tasks[_Level],Tasks[[#This Row],[_Row]]+1)),0)</f>
        <v>0</v>
      </c>
      <c r="BN103" s="102" t="b">
        <f aca="false">AND(Tasks[[#This Row],[Task Name]]&lt;&gt;"",Tasks[[#This Row],[_NextLevel]]&gt;Tasks[[#This Row],[_Level]])</f>
        <v>0</v>
      </c>
      <c r="BO103" s="41" t="n">
        <f aca="false">IF(Tasks[[#This Row],[_IsSummary]],COUNTIF(Tasks[WBS],Tasks[[#This Row],[WBS]]&amp;".*"),0)</f>
        <v>0</v>
      </c>
      <c r="BP103" s="41" t="n">
        <f aca="false">IF(AND(Tasks[[#This Row],[Task Name]]&lt;&gt;"",NOT(Tasks[[#This Row],[_IsSummary]])),1,0)</f>
        <v>0</v>
      </c>
      <c r="BQ103" s="41" t="n">
        <f aca="false">IF(N(Tasks[[#This Row],[Pred1 UID]])=0,0,IFERROR(MATCH(Tasks[[#This Row],[Pred1 UID]],Tasks[UID],0),-1))</f>
        <v>0</v>
      </c>
      <c r="BR103" s="41" t="n">
        <f aca="false">IF(N(Tasks[[#This Row],[Pred2 UID]])=0,0,IFERROR(MATCH(Tasks[[#This Row],[Pred2 UID]],Tasks[UID],0),-1))</f>
        <v>0</v>
      </c>
      <c r="BS10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3" s="103" t="str">
        <f aca="false">IF(NOT(Tasks[[#This Row],[_IsLeaf]]=1),"",IF(N(Tasks[[#This Row],[Duration]])&lt;=0,Tasks[[#This Row],[_LeafCalcStart]],WORKDAY.INTL(Tasks[[#This Row],[_LeafCalcStart]],Tasks[[#This Row],[Duration]]-1,WorkWeek,Holidays)))</f>
        <v/>
      </c>
      <c r="BU10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3" s="41" t="n">
        <f aca="false">IF(NOT(Tasks[[#This Row],[_IsLeaf]]=1),0,IF(N(Tasks[[#This Row],[Actual Finish]])&gt;0,1,MIN(1,N(Tasks[[#This Row],[% Complete]]))))</f>
        <v>0</v>
      </c>
      <c r="BX103" s="41" t="n">
        <f aca="false">IF(OR(NOT(Tasks[[#This Row],[_IsLeaf]]=1),Tasks[[#This Row],[Resource]]=""),0,N(Tasks[[#This Row],[Duration]])*HoursPerDay*IF(Tasks[[#This Row],[Units]]="",DefaultUnits,Tasks[[#This Row],[Units]]))</f>
        <v>0</v>
      </c>
      <c r="BY103" s="41" t="n">
        <f aca="false">IF(Tasks[[#This Row],[_LeafWork]]=0,0,Tasks[[#This Row],[_LeafWork]]*IFERROR(INDEX(res_Rate,MATCH(Tasks[[#This Row],[Resource]],res_Name,0)),0))</f>
        <v>0</v>
      </c>
      <c r="BZ1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3" s="41" t="n">
        <f aca="false">IF(NOT(Tasks[[#This Row],[_IsLeaf]]=1),0,MAX(_xlfn.MAXIFS(Tasks[_Row],Tasks[Pred1 UID],Tasks[[#This Row],[UID]]),_xlfn.MAXIFS(Tasks[_Row],Tasks[Pred2 UID],Tasks[[#This Row],[UID]])))</f>
        <v>0</v>
      </c>
      <c r="CE10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3" s="103" t="str">
        <f aca="false">IF(NOT(Tasks[[#This Row],[_IsLeaf]]=1),"",MIN(ProjectFinish,IF(N(Tasks[[#This Row],[Deadline]])&gt;0,Tasks[[#This Row],[Deadline]],2958465),Tasks[[#This Row],[_SuccessorFinishLimit]]))</f>
        <v/>
      </c>
      <c r="CG103" s="103" t="str">
        <f aca="false">IF(NOT(Tasks[[#This Row],[_IsLeaf]]=1),"",IF(N(Tasks[[#This Row],[Duration]])&lt;=0,Tasks[[#This Row],[_LeafLateFinish]],WORKDAY.INTL(Tasks[[#This Row],[_LeafLateFinish]],-(Tasks[[#This Row],[Duration]]-1),WorkWeek,Holidays)))</f>
        <v/>
      </c>
      <c r="CH1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3" s="102" t="b">
        <f aca="false">AND(Tasks[[#This Row],[_IsLeaf]]=1,Tasks[[#This Row],[_LeafProgress]]&lt;1,N(Tasks[[#This Row],[_LeafTotalSlack]])&lt;=CriticalSlackDays)</f>
        <v>0</v>
      </c>
      <c r="CJ103" s="103" t="str">
        <f aca="false">IF(Tasks[[#This Row],[Task Name]]="","",IF(Tasks[[#This Row],[_IsSummary]],MIN(INDEX(Tasks[_LeafCalcStart],Tasks[[#This Row],[_Row]]+1):INDEX(Tasks[_LeafCalcStart],Tasks[[#This Row],[_Row]]+Tasks[[#This Row],[_Descendants]])),Tasks[[#This Row],[_LeafCalcStart]]))</f>
        <v/>
      </c>
      <c r="CK103" s="103" t="str">
        <f aca="false">IF(Tasks[[#This Row],[Task Name]]="","",IF(Tasks[[#This Row],[_IsSummary]],MAX(INDEX(Tasks[_LeafCalcFinish],Tasks[[#This Row],[_Row]]+1):INDEX(Tasks[_LeafCalcFinish],Tasks[[#This Row],[_Row]]+Tasks[[#This Row],[_Descendants]])),Tasks[[#This Row],[_LeafCalcFinish]]))</f>
        <v/>
      </c>
      <c r="CL1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3" s="41" t="n">
        <f aca="false">IF(AND(Tasks[[#This Row],[_IsLeaf]]=1,Tasks[[#This Row],[_LeafWork]]&gt;0),NETWORKDAYS.INTL(ProjectStart,Tasks[[#This Row],[_LeafFcstStart]],WorkWeek,Holidays),0)</f>
        <v>0</v>
      </c>
      <c r="CS103" s="41" t="n">
        <f aca="false">IF(AND(Tasks[[#This Row],[_IsLeaf]]=1,Tasks[[#This Row],[_LeafWork]]&gt;0),MAX(Tasks[[#This Row],[_StartWorkday]],NETWORKDAYS.INTL(ProjectStart,Tasks[[#This Row],[_LeafFcstFinish]],WorkWeek,Holidays)),0)</f>
        <v>0</v>
      </c>
      <c r="CT103" s="41" t="n">
        <f aca="false">IF(AND(Tasks[[#This Row],[_IsLeaf]]=1,Tasks[[#This Row],[_LeafWork]]&gt;0),Tasks[[#This Row],[_LeafWork]]/(Tasks[[#This Row],[_FinishWorkday]]-Tasks[[#This Row],[_StartWorkday]]+1),0)</f>
        <v>0</v>
      </c>
      <c r="CU103" s="41" t="n">
        <f aca="false">Tasks[[#This Row],[_WorkPerWorkday]]*(Tasks[[#This Row],[_StartWorkday]]-1)</f>
        <v>-0</v>
      </c>
      <c r="CV103" s="41" t="n">
        <f aca="false">IF(Tasks[[#This Row],[_IsLeaf]]=1,MAX(N(Tasks[[#This Row],[Duration]]),0.1),0)</f>
        <v>0</v>
      </c>
      <c r="CW103" s="41" t="n">
        <f aca="false">Tasks[[#This Row],[_WeightDur]]*Tasks[[#This Row],[_LeafProgress]]</f>
        <v>0</v>
      </c>
      <c r="CX1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3" s="41" t="str">
        <f aca="false">IF(Tasks[[#This Row],[Task Name]]="","",Tasks[[#This Row],[_Pred1UIDText]]&amp;IF(AND(Tasks[[#This Row],[_Pred1UIDText]]&lt;&gt;"",Tasks[[#This Row],[_Pred2UIDText]]&lt;&gt;""),",","")&amp;Tasks[[#This Row],[_Pred2UIDText]])</f>
        <v/>
      </c>
      <c r="DC103" s="41" t="str">
        <f aca="false">IF(AND(Tasks[[#This Row],[_IsLeaf]]=1,N(Tasks[[#This Row],[Duration]])=0,Tasks[[#This Row],[_LeafProgress]]&lt;1),Tasks[[#This Row],[_LeafFcstFinish]]+Tasks[[#This Row],[_Row]]/100000,"")</f>
        <v/>
      </c>
      <c r="DD1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3" s="41" t="n">
        <f aca="false">IF(NOT(Tasks[[#This Row],[_IsLeaf]]=1),0,IF(Tasks[[#This Row],[Baseline Cost]]="",Tasks[[#This Row],[_LeafCost]],N(Tasks[[#This Row],[Baseline Cost]])))</f>
        <v>0</v>
      </c>
      <c r="DF103" s="41" t="n">
        <f aca="false">Tasks[[#This Row],[_LeafBudget]]*Tasks[[#This Row],[_PlannedPct]]</f>
        <v>0</v>
      </c>
      <c r="DG103" s="41" t="n">
        <f aca="false">Tasks[[#This Row],[_LeafBudget]]*Tasks[[#This Row],[_LeafProgress]]</f>
        <v>0</v>
      </c>
      <c r="DH103" s="41" t="n">
        <f aca="false">IF(NOT(Tasks[[#This Row],[_IsLeaf]]=1),0,IF(Tasks[[#This Row],[Actual Cost]]="",Tasks[[#This Row],[_LeafCost]]*Tasks[[#This Row],[_LeafProgress]],N(Tasks[[#This Row],[Actual Cost]])))</f>
        <v>0</v>
      </c>
      <c r="DI103" s="41" t="str">
        <f aca="false">IF(Tasks[[#This Row],[Task Name]]="","",LEFT(Tasks[[#This Row],[WBS]],FIND(".",Tasks[[#This Row],[WBS]]&amp;".")-1))</f>
        <v/>
      </c>
      <c r="DJ103" s="41" t="str">
        <f aca="false">IF(AND(Tasks[[#This Row],[Task Name]]&lt;&gt;"",Tasks[[#This Row],[_Level]]=1),Tasks[[#This Row],[_Row]],"")</f>
        <v/>
      </c>
      <c r="DK103" s="41" t="str">
        <f aca="false">IF(AND(Tasks[[#This Row],[_IsLeaf]]=1,N(Tasks[[#This Row],[Duration]])=0),Tasks[[#This Row],[Planned Finish]]+Tasks[[#This Row],[_Row]]/100000,"")</f>
        <v/>
      </c>
      <c r="DL103" s="41" t="str">
        <f aca="false">IF(AND(Tasks[[#This Row],[_IsLeaf]]=1,Tasks[[#This Row],[_LeafProgress]]&lt;1,OR(N(Tasks[[#This Row],[Finish Var]])&gt;0,Tasks[[#This Row],[Status]]="Late Start")),MAX(0,Tasks[[#This Row],[Finish Var]])+1-Tasks[[#This Row],[_Row]]/1000000,"")</f>
        <v/>
      </c>
      <c r="DM103" s="41" t="str">
        <f aca="false">IF(AND(Tasks[[#This Row],[_IsLeaf]]=1,N(Tasks[[#This Row],[Actual Start]])=0,Tasks[[#This Row],[_LeafFcstStart]]&gt;=StatusDate,Tasks[[#This Row],[_LeafFcstStart]]&lt;=LookaheadEnd),Tasks[[#This Row],[_LeafFcstStart]]+Tasks[[#This Row],[_Row]]/100000,"")</f>
        <v/>
      </c>
      <c r="DN103" s="41" t="str">
        <f aca="false">IF(AND(Tasks[[#This Row],[_IsLeaf]]=1,Tasks[[#This Row],[_LeafProgress]]&lt;1,Tasks[[#This Row],[_LeafFcstFinish]]&gt;=StatusDate,Tasks[[#This Row],[_LeafFcstFinish]]&lt;=LookaheadEnd),Tasks[[#This Row],[_LeafFcstFinish]]+Tasks[[#This Row],[_Row]]/100000,"")</f>
        <v/>
      </c>
      <c r="DO103" s="41" t="str">
        <f aca="false">IF(Tasks[[#This Row],[_LeafCritical]],Tasks[[#This Row],[_LeafFcstStart]]+Tasks[[#This Row],[_Row]]/100000,"")</f>
        <v/>
      </c>
      <c r="DP103" s="41" t="n">
        <f aca="false">Tasks[[#This Row],[_LeafWork]]*Tasks[[#This Row],[_LeafProgress]]</f>
        <v>0</v>
      </c>
      <c r="DQ103" s="103" t="str">
        <f aca="false">IF(AND(Tasks[[#This Row],[_IsLeaf]]=1,Tasks[[#This Row],[_LeafProgress]]&gt;=1),IF(N(Tasks[[#This Row],[Actual Finish]])&gt;0,Tasks[[#This Row],[Actual Finish]],Tasks[[#This Row],[_LeafFcstFinish]]),"")</f>
        <v/>
      </c>
      <c r="DR103" s="41" t="n">
        <f aca="false">IF(Tasks[[#This Row],[_IsLeaf]]=1,N(Tasks[[#This Row],[Story Points]]),0)</f>
        <v>0</v>
      </c>
      <c r="DS103" s="41" t="str">
        <f aca="false">IF(AND(Tasks[[#This Row],[_IsLeaf]]=1,CurrentSprint&lt;&gt;"",Tasks[[#This Row],[Sprint]]=CurrentSprint),Tasks[[#This Row],[_Row]],"")</f>
        <v/>
      </c>
    </row>
    <row r="104" customFormat="false" ht="15" hidden="false" customHeight="false" outlineLevel="0" collapsed="false">
      <c r="A104" s="28" t="str">
        <f aca="false">IF(Tasks[[#This Row],[Task Name]]="","",COUNTA(Tasks[[#Headers],[Task Name]]:Tasks[[#This Row],[Task Name]])-1)</f>
        <v/>
      </c>
      <c r="B104" s="29" t="n">
        <v>99</v>
      </c>
      <c r="C1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29"/>
      <c r="E104" s="30"/>
      <c r="F104" s="29"/>
      <c r="G104" s="29"/>
      <c r="H104" s="29"/>
      <c r="I104" s="29"/>
      <c r="J104" s="29"/>
      <c r="K104" s="29"/>
      <c r="L104" s="29"/>
      <c r="M104" s="29"/>
      <c r="N104" s="77"/>
      <c r="O104" s="77"/>
      <c r="P104" s="25" t="str">
        <f aca="false">IF(Tasks[[#This Row],[Task Name]]="","",IF(N(Tasks[[#This Row],[Baseline Start]])&gt;0,Tasks[[#This Row],[Baseline Start]],Tasks[[#This Row],[_CalcStart]]))</f>
        <v/>
      </c>
      <c r="Q104" s="25" t="str">
        <f aca="false">IF(Tasks[[#This Row],[Task Name]]="","",IF(N(Tasks[[#This Row],[Baseline Finish]])&gt;0,Tasks[[#This Row],[Baseline Finish]],Tasks[[#This Row],[_CalcFinish]]))</f>
        <v/>
      </c>
      <c r="R104" s="77"/>
      <c r="S104" s="77"/>
      <c r="T104" s="25" t="str">
        <f aca="false">IF(Tasks[[#This Row],[Task Name]]="","",IF(Tasks[[#This Row],[_IsSummary]],MIN(INDEX(Tasks[_LeafFcstStart],Tasks[[#This Row],[_Row]]+1):INDEX(Tasks[_LeafFcstStart],Tasks[[#This Row],[_Row]]+Tasks[[#This Row],[_Descendants]])),Tasks[[#This Row],[_LeafFcstStart]]))</f>
        <v/>
      </c>
      <c r="U104" s="25" t="str">
        <f aca="false">IF(Tasks[[#This Row],[Task Name]]="","",IF(Tasks[[#This Row],[_IsSummary]],MAX(INDEX(Tasks[_LeafFcstFinish],Tasks[[#This Row],[_Row]]+1):INDEX(Tasks[_LeafFcstFinish],Tasks[[#This Row],[_Row]]+Tasks[[#This Row],[_Descendants]])),Tasks[[#This Row],[_LeafFcstFinish]]))</f>
        <v/>
      </c>
      <c r="V10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4" s="25" t="str">
        <f aca="false">IF(Tasks[[#This Row],[Task Name]]="","",IF(Tasks[[#This Row],[_IsSummary]],MIN(INDEX(Tasks[_LeafLateStart],Tasks[[#This Row],[_Row]]+1):INDEX(Tasks[_LeafLateStart],Tasks[[#This Row],[_Row]]+Tasks[[#This Row],[_Descendants]])),Tasks[[#This Row],[_LeafLateStart]]))</f>
        <v/>
      </c>
      <c r="Y104" s="25" t="str">
        <f aca="false">IF(Tasks[[#This Row],[Task Name]]="","",IF(Tasks[[#This Row],[_IsSummary]],MAX(INDEX(Tasks[_LeafLateFinish],Tasks[[#This Row],[_Row]]+1):INDEX(Tasks[_LeafLateFinish],Tasks[[#This Row],[_Row]]+Tasks[[#This Row],[_Descendants]])),Tasks[[#This Row],[_LeafLateFinish]]))</f>
        <v/>
      </c>
      <c r="Z104" s="43" t="str">
        <f aca="false">IF(Tasks[[#This Row],[Task Name]]="","",IF(Tasks[[#This Row],[_IsSummary]],MIN(INDEX(Tasks[_LeafTotalSlack],Tasks[[#This Row],[_Row]]+1):INDEX(Tasks[_LeafTotalSlack],Tasks[[#This Row],[_Row]]+Tasks[[#This Row],[_Descendants]])),Tasks[[#This Row],[_LeafTotalSlack]]))</f>
        <v/>
      </c>
      <c r="AA1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4" s="28" t="str">
        <f aca="false">IF(Tasks[[#This Row],[Task Name]]="","",IF(IF(Tasks[[#This Row],[_IsSummary]],COUNTIF(INDEX(Tasks[_LeafCritical],Tasks[[#This Row],[_Row]]+1):INDEX(Tasks[_LeafCritical],Tasks[[#This Row],[_Row]]+Tasks[[#This Row],[_Descendants]]),TRUE())&gt;0,Tasks[[#This Row],[_LeafCritical]]),"Yes",""))</f>
        <v/>
      </c>
      <c r="AC1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4" s="24" t="str">
        <f aca="false">IF(Tasks[[#This Row],[Task Name]]="","",TRIM(IF(Tasks[[#This Row],[_Pred1Problem]]&lt;&gt;"","Pred 1: "&amp;Tasks[[#This Row],[_Pred1Problem]]&amp;". ","")&amp;IF(Tasks[[#This Row],[_Pred2Problem]]&lt;&gt;"","Pred 2: "&amp;Tasks[[#This Row],[_Pred2Problem]]&amp;".","")))</f>
        <v/>
      </c>
      <c r="AE104" s="91"/>
      <c r="AF10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4" s="28" t="str">
        <f aca="false">IF(Tasks[[#This Row],[Task Name]]="","",IF(Tasks[[#This Row],[Progress]]&gt;=1,"Complete",IF(OR(N(Tasks[[#This Row],[Actual Start]])&gt;0,Tasks[[#This Row],[Progress]]&gt;0),IF(Tasks[[#This Row],[Finish Var]]&gt;0,"Behind","In Progress"),IF(Tasks[[#This Row],[Planned Start]]&lt;StatusDate,"Late Start","Not Started"))))</f>
        <v/>
      </c>
      <c r="AH104" s="30"/>
      <c r="AI104" s="91"/>
      <c r="AJ10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4" s="98" t="str">
        <f aca="false">IF(Tasks[[#This Row],[Task Name]]="","",IF(Tasks[[#This Row],[_IsSummary]],SUM(INDEX(Tasks[_LeafWork],Tasks[[#This Row],[_Row]]+1):INDEX(Tasks[_LeafWork],Tasks[[#This Row],[_Row]]+Tasks[[#This Row],[_Descendants]])),Tasks[[#This Row],[_LeafWork]]))</f>
        <v/>
      </c>
      <c r="AL104" s="99" t="str">
        <f aca="false">IF(Tasks[[#This Row],[Task Name]]="","",IF(Tasks[[#This Row],[_IsSummary]],SUM(INDEX(Tasks[_LeafCost],Tasks[[#This Row],[_Row]]+1):INDEX(Tasks[_LeafCost],Tasks[[#This Row],[_Row]]+Tasks[[#This Row],[_Descendants]])),Tasks[[#This Row],[_LeafCost]]))</f>
        <v/>
      </c>
      <c r="AM104" s="100"/>
      <c r="AN104" s="29"/>
      <c r="AO1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4" s="85"/>
      <c r="AQ104" s="24" t="str">
        <f aca="false">IF(Tasks[[#This Row],[Task Name]]="","",Tasks[[#This Row],[_Pred1IDText]]&amp;IF(AND(Tasks[[#This Row],[_Pred1IDText]]&lt;&gt;"",Tasks[[#This Row],[_Pred2IDText]]&lt;&gt;""),",","")&amp;Tasks[[#This Row],[_Pred2IDText]])</f>
        <v/>
      </c>
      <c r="AR104" s="30"/>
      <c r="AS104" s="25" t="str">
        <f aca="false">IF(Tasks[[#This Row],[Task Name]]="","",Tasks[[#This Row],[Forecast Start]])</f>
        <v/>
      </c>
      <c r="AT104" s="25" t="str">
        <f aca="false">IF(Tasks[[#This Row],[Task Name]]="","",Tasks[[#This Row],[Forecast Finish]])</f>
        <v/>
      </c>
      <c r="AU104" s="28" t="str">
        <f aca="false">IF(Tasks[[#This Row],[Task Name]]="","",IF(Tasks[[#This Row],[_IsSummary]],NETWORKDAYS.INTL(Tasks[[#This Row],[Forecast Start]],Tasks[[#This Row],[Forecast Finish]],WorkWeek,Holidays),N(Tasks[[#This Row],[Duration]])))</f>
        <v/>
      </c>
      <c r="AV104" s="98" t="str">
        <f aca="false">IF(Tasks[[#This Row],[Task Name]]="","",Tasks[[#This Row],[Work]])</f>
        <v/>
      </c>
      <c r="AW104" s="99" t="str">
        <f aca="false">IF(Tasks[[#This Row],[Task Name]]="","",Tasks[[#This Row],[Cost]])</f>
        <v/>
      </c>
      <c r="AX104" s="77"/>
      <c r="AY104" s="77"/>
      <c r="AZ104" s="29"/>
      <c r="BA104" s="101"/>
      <c r="BB104" s="100"/>
      <c r="BC104" s="28" t="str">
        <f aca="false">IF(OR(Tasks[[#This Row],[Task Name]]="",Tasks[[#This Row],[Baseline Duration]]=""),"",Tasks[[#This Row],[BL Source Duration]]-N(Tasks[[#This Row],[Baseline Duration]]))</f>
        <v/>
      </c>
      <c r="BD104" s="98" t="str">
        <f aca="false">IF(OR(Tasks[[#This Row],[Task Name]]="",Tasks[[#This Row],[Baseline Work]]=""),"",Tasks[[#This Row],[Work]]-N(Tasks[[#This Row],[Baseline Work]]))</f>
        <v/>
      </c>
      <c r="BE104" s="99" t="str">
        <f aca="false">IF(OR(Tasks[[#This Row],[Task Name]]="",Tasks[[#This Row],[Baseline Cost]]=""),"",Tasks[[#This Row],[Cost]]-N(Tasks[[#This Row],[Baseline Cost]]))</f>
        <v/>
      </c>
      <c r="BF104" s="99" t="str">
        <f aca="false">IF(Tasks[[#This Row],[Task Name]]="","",IF(Tasks[[#This Row],[_IsSummary]],SUM(INDEX(Tasks[_LeafBudget],Tasks[[#This Row],[_Row]]+1):INDEX(Tasks[_LeafBudget],Tasks[[#This Row],[_Row]]+Tasks[[#This Row],[_Descendants]])),Tasks[[#This Row],[_LeafBudget]]))</f>
        <v/>
      </c>
      <c r="BG104" s="99" t="str">
        <f aca="false">IF(Tasks[[#This Row],[Task Name]]="","",IF(Tasks[[#This Row],[_IsSummary]],SUM(INDEX(Tasks[_LeafPV],Tasks[[#This Row],[_Row]]+1):INDEX(Tasks[_LeafPV],Tasks[[#This Row],[_Row]]+Tasks[[#This Row],[_Descendants]])),Tasks[[#This Row],[_LeafPV]]))</f>
        <v/>
      </c>
      <c r="BH104" s="99" t="str">
        <f aca="false">IF(Tasks[[#This Row],[Task Name]]="","",IF(Tasks[[#This Row],[_IsSummary]],SUM(INDEX(Tasks[_LeafEV],Tasks[[#This Row],[_Row]]+1):INDEX(Tasks[_LeafEV],Tasks[[#This Row],[_Row]]+Tasks[[#This Row],[_Descendants]])),Tasks[[#This Row],[_LeafEV]]))</f>
        <v/>
      </c>
      <c r="BI104" s="99" t="str">
        <f aca="false">IF(Tasks[[#This Row],[Task Name]]="","",IF(Tasks[[#This Row],[_IsSummary]],SUM(INDEX(Tasks[_LeafAC],Tasks[[#This Row],[_Row]]+1):INDEX(Tasks[_LeafAC],Tasks[[#This Row],[_Row]]+Tasks[[#This Row],[_Descendants]])),Tasks[[#This Row],[_LeafAC]]))</f>
        <v/>
      </c>
      <c r="BJ104" s="41" t="str">
        <f aca="false">IF(Tasks[[#This Row],[Task Name]]="","",MAX(1,N(Tasks[[#This Row],[Level]])))</f>
        <v/>
      </c>
      <c r="BK104" s="41" t="n">
        <f aca="false">ROW()-ROW(Tasks[[#Headers],[ID]])</f>
        <v>99</v>
      </c>
      <c r="BL104" s="41" t="n">
        <f aca="false">IF(OR(Tasks[[#This Row],[Task Name]]="",Tasks[[#This Row],[_Level]]&lt;=1),0,IFERROR(LOOKUP(2,1/(Tasks[[#Headers],[_Level]]:Tasks[[#This Row],[_Level]]=Tasks[[#This Row],[_Level]]-1),ROW(Tasks[[#Headers],[_Level]]:Tasks[[#This Row],[_Level]])),0))</f>
        <v>0</v>
      </c>
      <c r="BM104" s="41" t="n">
        <f aca="false">IFERROR(N(INDEX(Tasks[_Level],Tasks[[#This Row],[_Row]]+1)),0)</f>
        <v>0</v>
      </c>
      <c r="BN104" s="102" t="b">
        <f aca="false">AND(Tasks[[#This Row],[Task Name]]&lt;&gt;"",Tasks[[#This Row],[_NextLevel]]&gt;Tasks[[#This Row],[_Level]])</f>
        <v>0</v>
      </c>
      <c r="BO104" s="41" t="n">
        <f aca="false">IF(Tasks[[#This Row],[_IsSummary]],COUNTIF(Tasks[WBS],Tasks[[#This Row],[WBS]]&amp;".*"),0)</f>
        <v>0</v>
      </c>
      <c r="BP104" s="41" t="n">
        <f aca="false">IF(AND(Tasks[[#This Row],[Task Name]]&lt;&gt;"",NOT(Tasks[[#This Row],[_IsSummary]])),1,0)</f>
        <v>0</v>
      </c>
      <c r="BQ104" s="41" t="n">
        <f aca="false">IF(N(Tasks[[#This Row],[Pred1 UID]])=0,0,IFERROR(MATCH(Tasks[[#This Row],[Pred1 UID]],Tasks[UID],0),-1))</f>
        <v>0</v>
      </c>
      <c r="BR104" s="41" t="n">
        <f aca="false">IF(N(Tasks[[#This Row],[Pred2 UID]])=0,0,IFERROR(MATCH(Tasks[[#This Row],[Pred2 UID]],Tasks[UID],0),-1))</f>
        <v>0</v>
      </c>
      <c r="BS10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4" s="103" t="str">
        <f aca="false">IF(NOT(Tasks[[#This Row],[_IsLeaf]]=1),"",IF(N(Tasks[[#This Row],[Duration]])&lt;=0,Tasks[[#This Row],[_LeafCalcStart]],WORKDAY.INTL(Tasks[[#This Row],[_LeafCalcStart]],Tasks[[#This Row],[Duration]]-1,WorkWeek,Holidays)))</f>
        <v/>
      </c>
      <c r="BU10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4" s="41" t="n">
        <f aca="false">IF(NOT(Tasks[[#This Row],[_IsLeaf]]=1),0,IF(N(Tasks[[#This Row],[Actual Finish]])&gt;0,1,MIN(1,N(Tasks[[#This Row],[% Complete]]))))</f>
        <v>0</v>
      </c>
      <c r="BX104" s="41" t="n">
        <f aca="false">IF(OR(NOT(Tasks[[#This Row],[_IsLeaf]]=1),Tasks[[#This Row],[Resource]]=""),0,N(Tasks[[#This Row],[Duration]])*HoursPerDay*IF(Tasks[[#This Row],[Units]]="",DefaultUnits,Tasks[[#This Row],[Units]]))</f>
        <v>0</v>
      </c>
      <c r="BY104" s="41" t="n">
        <f aca="false">IF(Tasks[[#This Row],[_LeafWork]]=0,0,Tasks[[#This Row],[_LeafWork]]*IFERROR(INDEX(res_Rate,MATCH(Tasks[[#This Row],[Resource]],res_Name,0)),0))</f>
        <v>0</v>
      </c>
      <c r="BZ1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4" s="41" t="n">
        <f aca="false">IF(NOT(Tasks[[#This Row],[_IsLeaf]]=1),0,MAX(_xlfn.MAXIFS(Tasks[_Row],Tasks[Pred1 UID],Tasks[[#This Row],[UID]]),_xlfn.MAXIFS(Tasks[_Row],Tasks[Pred2 UID],Tasks[[#This Row],[UID]])))</f>
        <v>0</v>
      </c>
      <c r="CE10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4" s="103" t="str">
        <f aca="false">IF(NOT(Tasks[[#This Row],[_IsLeaf]]=1),"",MIN(ProjectFinish,IF(N(Tasks[[#This Row],[Deadline]])&gt;0,Tasks[[#This Row],[Deadline]],2958465),Tasks[[#This Row],[_SuccessorFinishLimit]]))</f>
        <v/>
      </c>
      <c r="CG104" s="103" t="str">
        <f aca="false">IF(NOT(Tasks[[#This Row],[_IsLeaf]]=1),"",IF(N(Tasks[[#This Row],[Duration]])&lt;=0,Tasks[[#This Row],[_LeafLateFinish]],WORKDAY.INTL(Tasks[[#This Row],[_LeafLateFinish]],-(Tasks[[#This Row],[Duration]]-1),WorkWeek,Holidays)))</f>
        <v/>
      </c>
      <c r="CH1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4" s="102" t="b">
        <f aca="false">AND(Tasks[[#This Row],[_IsLeaf]]=1,Tasks[[#This Row],[_LeafProgress]]&lt;1,N(Tasks[[#This Row],[_LeafTotalSlack]])&lt;=CriticalSlackDays)</f>
        <v>0</v>
      </c>
      <c r="CJ104" s="103" t="str">
        <f aca="false">IF(Tasks[[#This Row],[Task Name]]="","",IF(Tasks[[#This Row],[_IsSummary]],MIN(INDEX(Tasks[_LeafCalcStart],Tasks[[#This Row],[_Row]]+1):INDEX(Tasks[_LeafCalcStart],Tasks[[#This Row],[_Row]]+Tasks[[#This Row],[_Descendants]])),Tasks[[#This Row],[_LeafCalcStart]]))</f>
        <v/>
      </c>
      <c r="CK104" s="103" t="str">
        <f aca="false">IF(Tasks[[#This Row],[Task Name]]="","",IF(Tasks[[#This Row],[_IsSummary]],MAX(INDEX(Tasks[_LeafCalcFinish],Tasks[[#This Row],[_Row]]+1):INDEX(Tasks[_LeafCalcFinish],Tasks[[#This Row],[_Row]]+Tasks[[#This Row],[_Descendants]])),Tasks[[#This Row],[_LeafCalcFinish]]))</f>
        <v/>
      </c>
      <c r="CL1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4" s="41" t="n">
        <f aca="false">IF(AND(Tasks[[#This Row],[_IsLeaf]]=1,Tasks[[#This Row],[_LeafWork]]&gt;0),NETWORKDAYS.INTL(ProjectStart,Tasks[[#This Row],[_LeafFcstStart]],WorkWeek,Holidays),0)</f>
        <v>0</v>
      </c>
      <c r="CS104" s="41" t="n">
        <f aca="false">IF(AND(Tasks[[#This Row],[_IsLeaf]]=1,Tasks[[#This Row],[_LeafWork]]&gt;0),MAX(Tasks[[#This Row],[_StartWorkday]],NETWORKDAYS.INTL(ProjectStart,Tasks[[#This Row],[_LeafFcstFinish]],WorkWeek,Holidays)),0)</f>
        <v>0</v>
      </c>
      <c r="CT104" s="41" t="n">
        <f aca="false">IF(AND(Tasks[[#This Row],[_IsLeaf]]=1,Tasks[[#This Row],[_LeafWork]]&gt;0),Tasks[[#This Row],[_LeafWork]]/(Tasks[[#This Row],[_FinishWorkday]]-Tasks[[#This Row],[_StartWorkday]]+1),0)</f>
        <v>0</v>
      </c>
      <c r="CU104" s="41" t="n">
        <f aca="false">Tasks[[#This Row],[_WorkPerWorkday]]*(Tasks[[#This Row],[_StartWorkday]]-1)</f>
        <v>-0</v>
      </c>
      <c r="CV104" s="41" t="n">
        <f aca="false">IF(Tasks[[#This Row],[_IsLeaf]]=1,MAX(N(Tasks[[#This Row],[Duration]]),0.1),0)</f>
        <v>0</v>
      </c>
      <c r="CW104" s="41" t="n">
        <f aca="false">Tasks[[#This Row],[_WeightDur]]*Tasks[[#This Row],[_LeafProgress]]</f>
        <v>0</v>
      </c>
      <c r="CX1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4" s="41" t="str">
        <f aca="false">IF(Tasks[[#This Row],[Task Name]]="","",Tasks[[#This Row],[_Pred1UIDText]]&amp;IF(AND(Tasks[[#This Row],[_Pred1UIDText]]&lt;&gt;"",Tasks[[#This Row],[_Pred2UIDText]]&lt;&gt;""),",","")&amp;Tasks[[#This Row],[_Pred2UIDText]])</f>
        <v/>
      </c>
      <c r="DC104" s="41" t="str">
        <f aca="false">IF(AND(Tasks[[#This Row],[_IsLeaf]]=1,N(Tasks[[#This Row],[Duration]])=0,Tasks[[#This Row],[_LeafProgress]]&lt;1),Tasks[[#This Row],[_LeafFcstFinish]]+Tasks[[#This Row],[_Row]]/100000,"")</f>
        <v/>
      </c>
      <c r="DD1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4" s="41" t="n">
        <f aca="false">IF(NOT(Tasks[[#This Row],[_IsLeaf]]=1),0,IF(Tasks[[#This Row],[Baseline Cost]]="",Tasks[[#This Row],[_LeafCost]],N(Tasks[[#This Row],[Baseline Cost]])))</f>
        <v>0</v>
      </c>
      <c r="DF104" s="41" t="n">
        <f aca="false">Tasks[[#This Row],[_LeafBudget]]*Tasks[[#This Row],[_PlannedPct]]</f>
        <v>0</v>
      </c>
      <c r="DG104" s="41" t="n">
        <f aca="false">Tasks[[#This Row],[_LeafBudget]]*Tasks[[#This Row],[_LeafProgress]]</f>
        <v>0</v>
      </c>
      <c r="DH104" s="41" t="n">
        <f aca="false">IF(NOT(Tasks[[#This Row],[_IsLeaf]]=1),0,IF(Tasks[[#This Row],[Actual Cost]]="",Tasks[[#This Row],[_LeafCost]]*Tasks[[#This Row],[_LeafProgress]],N(Tasks[[#This Row],[Actual Cost]])))</f>
        <v>0</v>
      </c>
      <c r="DI104" s="41" t="str">
        <f aca="false">IF(Tasks[[#This Row],[Task Name]]="","",LEFT(Tasks[[#This Row],[WBS]],FIND(".",Tasks[[#This Row],[WBS]]&amp;".")-1))</f>
        <v/>
      </c>
      <c r="DJ104" s="41" t="str">
        <f aca="false">IF(AND(Tasks[[#This Row],[Task Name]]&lt;&gt;"",Tasks[[#This Row],[_Level]]=1),Tasks[[#This Row],[_Row]],"")</f>
        <v/>
      </c>
      <c r="DK104" s="41" t="str">
        <f aca="false">IF(AND(Tasks[[#This Row],[_IsLeaf]]=1,N(Tasks[[#This Row],[Duration]])=0),Tasks[[#This Row],[Planned Finish]]+Tasks[[#This Row],[_Row]]/100000,"")</f>
        <v/>
      </c>
      <c r="DL104" s="41" t="str">
        <f aca="false">IF(AND(Tasks[[#This Row],[_IsLeaf]]=1,Tasks[[#This Row],[_LeafProgress]]&lt;1,OR(N(Tasks[[#This Row],[Finish Var]])&gt;0,Tasks[[#This Row],[Status]]="Late Start")),MAX(0,Tasks[[#This Row],[Finish Var]])+1-Tasks[[#This Row],[_Row]]/1000000,"")</f>
        <v/>
      </c>
      <c r="DM104" s="41" t="str">
        <f aca="false">IF(AND(Tasks[[#This Row],[_IsLeaf]]=1,N(Tasks[[#This Row],[Actual Start]])=0,Tasks[[#This Row],[_LeafFcstStart]]&gt;=StatusDate,Tasks[[#This Row],[_LeafFcstStart]]&lt;=LookaheadEnd),Tasks[[#This Row],[_LeafFcstStart]]+Tasks[[#This Row],[_Row]]/100000,"")</f>
        <v/>
      </c>
      <c r="DN104" s="41" t="str">
        <f aca="false">IF(AND(Tasks[[#This Row],[_IsLeaf]]=1,Tasks[[#This Row],[_LeafProgress]]&lt;1,Tasks[[#This Row],[_LeafFcstFinish]]&gt;=StatusDate,Tasks[[#This Row],[_LeafFcstFinish]]&lt;=LookaheadEnd),Tasks[[#This Row],[_LeafFcstFinish]]+Tasks[[#This Row],[_Row]]/100000,"")</f>
        <v/>
      </c>
      <c r="DO104" s="41" t="str">
        <f aca="false">IF(Tasks[[#This Row],[_LeafCritical]],Tasks[[#This Row],[_LeafFcstStart]]+Tasks[[#This Row],[_Row]]/100000,"")</f>
        <v/>
      </c>
      <c r="DP104" s="41" t="n">
        <f aca="false">Tasks[[#This Row],[_LeafWork]]*Tasks[[#This Row],[_LeafProgress]]</f>
        <v>0</v>
      </c>
      <c r="DQ104" s="103" t="str">
        <f aca="false">IF(AND(Tasks[[#This Row],[_IsLeaf]]=1,Tasks[[#This Row],[_LeafProgress]]&gt;=1),IF(N(Tasks[[#This Row],[Actual Finish]])&gt;0,Tasks[[#This Row],[Actual Finish]],Tasks[[#This Row],[_LeafFcstFinish]]),"")</f>
        <v/>
      </c>
      <c r="DR104" s="41" t="n">
        <f aca="false">IF(Tasks[[#This Row],[_IsLeaf]]=1,N(Tasks[[#This Row],[Story Points]]),0)</f>
        <v>0</v>
      </c>
      <c r="DS104" s="41" t="str">
        <f aca="false">IF(AND(Tasks[[#This Row],[_IsLeaf]]=1,CurrentSprint&lt;&gt;"",Tasks[[#This Row],[Sprint]]=CurrentSprint),Tasks[[#This Row],[_Row]],"")</f>
        <v/>
      </c>
    </row>
    <row r="105" customFormat="false" ht="15" hidden="false" customHeight="false" outlineLevel="0" collapsed="false">
      <c r="A105" s="28" t="str">
        <f aca="false">IF(Tasks[[#This Row],[Task Name]]="","",COUNTA(Tasks[[#Headers],[Task Name]]:Tasks[[#This Row],[Task Name]])-1)</f>
        <v/>
      </c>
      <c r="B105" s="29" t="n">
        <v>100</v>
      </c>
      <c r="C1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29"/>
      <c r="E105" s="30"/>
      <c r="F105" s="29"/>
      <c r="G105" s="29"/>
      <c r="H105" s="29"/>
      <c r="I105" s="29"/>
      <c r="J105" s="29"/>
      <c r="K105" s="29"/>
      <c r="L105" s="29"/>
      <c r="M105" s="29"/>
      <c r="N105" s="77"/>
      <c r="O105" s="77"/>
      <c r="P105" s="25" t="str">
        <f aca="false">IF(Tasks[[#This Row],[Task Name]]="","",IF(N(Tasks[[#This Row],[Baseline Start]])&gt;0,Tasks[[#This Row],[Baseline Start]],Tasks[[#This Row],[_CalcStart]]))</f>
        <v/>
      </c>
      <c r="Q105" s="25" t="str">
        <f aca="false">IF(Tasks[[#This Row],[Task Name]]="","",IF(N(Tasks[[#This Row],[Baseline Finish]])&gt;0,Tasks[[#This Row],[Baseline Finish]],Tasks[[#This Row],[_CalcFinish]]))</f>
        <v/>
      </c>
      <c r="R105" s="77"/>
      <c r="S105" s="77"/>
      <c r="T105" s="25" t="str">
        <f aca="false">IF(Tasks[[#This Row],[Task Name]]="","",IF(Tasks[[#This Row],[_IsSummary]],MIN(INDEX(Tasks[_LeafFcstStart],Tasks[[#This Row],[_Row]]+1):INDEX(Tasks[_LeafFcstStart],Tasks[[#This Row],[_Row]]+Tasks[[#This Row],[_Descendants]])),Tasks[[#This Row],[_LeafFcstStart]]))</f>
        <v/>
      </c>
      <c r="U105" s="25" t="str">
        <f aca="false">IF(Tasks[[#This Row],[Task Name]]="","",IF(Tasks[[#This Row],[_IsSummary]],MAX(INDEX(Tasks[_LeafFcstFinish],Tasks[[#This Row],[_Row]]+1):INDEX(Tasks[_LeafFcstFinish],Tasks[[#This Row],[_Row]]+Tasks[[#This Row],[_Descendants]])),Tasks[[#This Row],[_LeafFcstFinish]]))</f>
        <v/>
      </c>
      <c r="V10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5" s="25" t="str">
        <f aca="false">IF(Tasks[[#This Row],[Task Name]]="","",IF(Tasks[[#This Row],[_IsSummary]],MIN(INDEX(Tasks[_LeafLateStart],Tasks[[#This Row],[_Row]]+1):INDEX(Tasks[_LeafLateStart],Tasks[[#This Row],[_Row]]+Tasks[[#This Row],[_Descendants]])),Tasks[[#This Row],[_LeafLateStart]]))</f>
        <v/>
      </c>
      <c r="Y105" s="25" t="str">
        <f aca="false">IF(Tasks[[#This Row],[Task Name]]="","",IF(Tasks[[#This Row],[_IsSummary]],MAX(INDEX(Tasks[_LeafLateFinish],Tasks[[#This Row],[_Row]]+1):INDEX(Tasks[_LeafLateFinish],Tasks[[#This Row],[_Row]]+Tasks[[#This Row],[_Descendants]])),Tasks[[#This Row],[_LeafLateFinish]]))</f>
        <v/>
      </c>
      <c r="Z105" s="43" t="str">
        <f aca="false">IF(Tasks[[#This Row],[Task Name]]="","",IF(Tasks[[#This Row],[_IsSummary]],MIN(INDEX(Tasks[_LeafTotalSlack],Tasks[[#This Row],[_Row]]+1):INDEX(Tasks[_LeafTotalSlack],Tasks[[#This Row],[_Row]]+Tasks[[#This Row],[_Descendants]])),Tasks[[#This Row],[_LeafTotalSlack]]))</f>
        <v/>
      </c>
      <c r="AA1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5" s="28" t="str">
        <f aca="false">IF(Tasks[[#This Row],[Task Name]]="","",IF(IF(Tasks[[#This Row],[_IsSummary]],COUNTIF(INDEX(Tasks[_LeafCritical],Tasks[[#This Row],[_Row]]+1):INDEX(Tasks[_LeafCritical],Tasks[[#This Row],[_Row]]+Tasks[[#This Row],[_Descendants]]),TRUE())&gt;0,Tasks[[#This Row],[_LeafCritical]]),"Yes",""))</f>
        <v/>
      </c>
      <c r="AC1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5" s="24" t="str">
        <f aca="false">IF(Tasks[[#This Row],[Task Name]]="","",TRIM(IF(Tasks[[#This Row],[_Pred1Problem]]&lt;&gt;"","Pred 1: "&amp;Tasks[[#This Row],[_Pred1Problem]]&amp;". ","")&amp;IF(Tasks[[#This Row],[_Pred2Problem]]&lt;&gt;"","Pred 2: "&amp;Tasks[[#This Row],[_Pred2Problem]]&amp;".","")))</f>
        <v/>
      </c>
      <c r="AE105" s="91"/>
      <c r="AF10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5" s="28" t="str">
        <f aca="false">IF(Tasks[[#This Row],[Task Name]]="","",IF(Tasks[[#This Row],[Progress]]&gt;=1,"Complete",IF(OR(N(Tasks[[#This Row],[Actual Start]])&gt;0,Tasks[[#This Row],[Progress]]&gt;0),IF(Tasks[[#This Row],[Finish Var]]&gt;0,"Behind","In Progress"),IF(Tasks[[#This Row],[Planned Start]]&lt;StatusDate,"Late Start","Not Started"))))</f>
        <v/>
      </c>
      <c r="AH105" s="30"/>
      <c r="AI105" s="91"/>
      <c r="AJ10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5" s="98" t="str">
        <f aca="false">IF(Tasks[[#This Row],[Task Name]]="","",IF(Tasks[[#This Row],[_IsSummary]],SUM(INDEX(Tasks[_LeafWork],Tasks[[#This Row],[_Row]]+1):INDEX(Tasks[_LeafWork],Tasks[[#This Row],[_Row]]+Tasks[[#This Row],[_Descendants]])),Tasks[[#This Row],[_LeafWork]]))</f>
        <v/>
      </c>
      <c r="AL105" s="99" t="str">
        <f aca="false">IF(Tasks[[#This Row],[Task Name]]="","",IF(Tasks[[#This Row],[_IsSummary]],SUM(INDEX(Tasks[_LeafCost],Tasks[[#This Row],[_Row]]+1):INDEX(Tasks[_LeafCost],Tasks[[#This Row],[_Row]]+Tasks[[#This Row],[_Descendants]])),Tasks[[#This Row],[_LeafCost]]))</f>
        <v/>
      </c>
      <c r="AM105" s="100"/>
      <c r="AN105" s="29"/>
      <c r="AO1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5" s="85"/>
      <c r="AQ105" s="24" t="str">
        <f aca="false">IF(Tasks[[#This Row],[Task Name]]="","",Tasks[[#This Row],[_Pred1IDText]]&amp;IF(AND(Tasks[[#This Row],[_Pred1IDText]]&lt;&gt;"",Tasks[[#This Row],[_Pred2IDText]]&lt;&gt;""),",","")&amp;Tasks[[#This Row],[_Pred2IDText]])</f>
        <v/>
      </c>
      <c r="AR105" s="30"/>
      <c r="AS105" s="25" t="str">
        <f aca="false">IF(Tasks[[#This Row],[Task Name]]="","",Tasks[[#This Row],[Forecast Start]])</f>
        <v/>
      </c>
      <c r="AT105" s="25" t="str">
        <f aca="false">IF(Tasks[[#This Row],[Task Name]]="","",Tasks[[#This Row],[Forecast Finish]])</f>
        <v/>
      </c>
      <c r="AU105" s="28" t="str">
        <f aca="false">IF(Tasks[[#This Row],[Task Name]]="","",IF(Tasks[[#This Row],[_IsSummary]],NETWORKDAYS.INTL(Tasks[[#This Row],[Forecast Start]],Tasks[[#This Row],[Forecast Finish]],WorkWeek,Holidays),N(Tasks[[#This Row],[Duration]])))</f>
        <v/>
      </c>
      <c r="AV105" s="98" t="str">
        <f aca="false">IF(Tasks[[#This Row],[Task Name]]="","",Tasks[[#This Row],[Work]])</f>
        <v/>
      </c>
      <c r="AW105" s="99" t="str">
        <f aca="false">IF(Tasks[[#This Row],[Task Name]]="","",Tasks[[#This Row],[Cost]])</f>
        <v/>
      </c>
      <c r="AX105" s="77"/>
      <c r="AY105" s="77"/>
      <c r="AZ105" s="29"/>
      <c r="BA105" s="101"/>
      <c r="BB105" s="100"/>
      <c r="BC105" s="28" t="str">
        <f aca="false">IF(OR(Tasks[[#This Row],[Task Name]]="",Tasks[[#This Row],[Baseline Duration]]=""),"",Tasks[[#This Row],[BL Source Duration]]-N(Tasks[[#This Row],[Baseline Duration]]))</f>
        <v/>
      </c>
      <c r="BD105" s="98" t="str">
        <f aca="false">IF(OR(Tasks[[#This Row],[Task Name]]="",Tasks[[#This Row],[Baseline Work]]=""),"",Tasks[[#This Row],[Work]]-N(Tasks[[#This Row],[Baseline Work]]))</f>
        <v/>
      </c>
      <c r="BE105" s="99" t="str">
        <f aca="false">IF(OR(Tasks[[#This Row],[Task Name]]="",Tasks[[#This Row],[Baseline Cost]]=""),"",Tasks[[#This Row],[Cost]]-N(Tasks[[#This Row],[Baseline Cost]]))</f>
        <v/>
      </c>
      <c r="BF105" s="99" t="str">
        <f aca="false">IF(Tasks[[#This Row],[Task Name]]="","",IF(Tasks[[#This Row],[_IsSummary]],SUM(INDEX(Tasks[_LeafBudget],Tasks[[#This Row],[_Row]]+1):INDEX(Tasks[_LeafBudget],Tasks[[#This Row],[_Row]]+Tasks[[#This Row],[_Descendants]])),Tasks[[#This Row],[_LeafBudget]]))</f>
        <v/>
      </c>
      <c r="BG105" s="99" t="str">
        <f aca="false">IF(Tasks[[#This Row],[Task Name]]="","",IF(Tasks[[#This Row],[_IsSummary]],SUM(INDEX(Tasks[_LeafPV],Tasks[[#This Row],[_Row]]+1):INDEX(Tasks[_LeafPV],Tasks[[#This Row],[_Row]]+Tasks[[#This Row],[_Descendants]])),Tasks[[#This Row],[_LeafPV]]))</f>
        <v/>
      </c>
      <c r="BH105" s="99" t="str">
        <f aca="false">IF(Tasks[[#This Row],[Task Name]]="","",IF(Tasks[[#This Row],[_IsSummary]],SUM(INDEX(Tasks[_LeafEV],Tasks[[#This Row],[_Row]]+1):INDEX(Tasks[_LeafEV],Tasks[[#This Row],[_Row]]+Tasks[[#This Row],[_Descendants]])),Tasks[[#This Row],[_LeafEV]]))</f>
        <v/>
      </c>
      <c r="BI105" s="99" t="str">
        <f aca="false">IF(Tasks[[#This Row],[Task Name]]="","",IF(Tasks[[#This Row],[_IsSummary]],SUM(INDEX(Tasks[_LeafAC],Tasks[[#This Row],[_Row]]+1):INDEX(Tasks[_LeafAC],Tasks[[#This Row],[_Row]]+Tasks[[#This Row],[_Descendants]])),Tasks[[#This Row],[_LeafAC]]))</f>
        <v/>
      </c>
      <c r="BJ105" s="41" t="str">
        <f aca="false">IF(Tasks[[#This Row],[Task Name]]="","",MAX(1,N(Tasks[[#This Row],[Level]])))</f>
        <v/>
      </c>
      <c r="BK105" s="41" t="n">
        <f aca="false">ROW()-ROW(Tasks[[#Headers],[ID]])</f>
        <v>100</v>
      </c>
      <c r="BL105" s="41" t="n">
        <f aca="false">IF(OR(Tasks[[#This Row],[Task Name]]="",Tasks[[#This Row],[_Level]]&lt;=1),0,IFERROR(LOOKUP(2,1/(Tasks[[#Headers],[_Level]]:Tasks[[#This Row],[_Level]]=Tasks[[#This Row],[_Level]]-1),ROW(Tasks[[#Headers],[_Level]]:Tasks[[#This Row],[_Level]])),0))</f>
        <v>0</v>
      </c>
      <c r="BM105" s="41" t="n">
        <f aca="false">IFERROR(N(INDEX(Tasks[_Level],Tasks[[#This Row],[_Row]]+1)),0)</f>
        <v>0</v>
      </c>
      <c r="BN105" s="102" t="b">
        <f aca="false">AND(Tasks[[#This Row],[Task Name]]&lt;&gt;"",Tasks[[#This Row],[_NextLevel]]&gt;Tasks[[#This Row],[_Level]])</f>
        <v>0</v>
      </c>
      <c r="BO105" s="41" t="n">
        <f aca="false">IF(Tasks[[#This Row],[_IsSummary]],COUNTIF(Tasks[WBS],Tasks[[#This Row],[WBS]]&amp;".*"),0)</f>
        <v>0</v>
      </c>
      <c r="BP105" s="41" t="n">
        <f aca="false">IF(AND(Tasks[[#This Row],[Task Name]]&lt;&gt;"",NOT(Tasks[[#This Row],[_IsSummary]])),1,0)</f>
        <v>0</v>
      </c>
      <c r="BQ105" s="41" t="n">
        <f aca="false">IF(N(Tasks[[#This Row],[Pred1 UID]])=0,0,IFERROR(MATCH(Tasks[[#This Row],[Pred1 UID]],Tasks[UID],0),-1))</f>
        <v>0</v>
      </c>
      <c r="BR105" s="41" t="n">
        <f aca="false">IF(N(Tasks[[#This Row],[Pred2 UID]])=0,0,IFERROR(MATCH(Tasks[[#This Row],[Pred2 UID]],Tasks[UID],0),-1))</f>
        <v>0</v>
      </c>
      <c r="BS10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5" s="103" t="str">
        <f aca="false">IF(NOT(Tasks[[#This Row],[_IsLeaf]]=1),"",IF(N(Tasks[[#This Row],[Duration]])&lt;=0,Tasks[[#This Row],[_LeafCalcStart]],WORKDAY.INTL(Tasks[[#This Row],[_LeafCalcStart]],Tasks[[#This Row],[Duration]]-1,WorkWeek,Holidays)))</f>
        <v/>
      </c>
      <c r="BU10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5" s="41" t="n">
        <f aca="false">IF(NOT(Tasks[[#This Row],[_IsLeaf]]=1),0,IF(N(Tasks[[#This Row],[Actual Finish]])&gt;0,1,MIN(1,N(Tasks[[#This Row],[% Complete]]))))</f>
        <v>0</v>
      </c>
      <c r="BX105" s="41" t="n">
        <f aca="false">IF(OR(NOT(Tasks[[#This Row],[_IsLeaf]]=1),Tasks[[#This Row],[Resource]]=""),0,N(Tasks[[#This Row],[Duration]])*HoursPerDay*IF(Tasks[[#This Row],[Units]]="",DefaultUnits,Tasks[[#This Row],[Units]]))</f>
        <v>0</v>
      </c>
      <c r="BY105" s="41" t="n">
        <f aca="false">IF(Tasks[[#This Row],[_LeafWork]]=0,0,Tasks[[#This Row],[_LeafWork]]*IFERROR(INDEX(res_Rate,MATCH(Tasks[[#This Row],[Resource]],res_Name,0)),0))</f>
        <v>0</v>
      </c>
      <c r="BZ1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5" s="41" t="n">
        <f aca="false">IF(NOT(Tasks[[#This Row],[_IsLeaf]]=1),0,MAX(_xlfn.MAXIFS(Tasks[_Row],Tasks[Pred1 UID],Tasks[[#This Row],[UID]]),_xlfn.MAXIFS(Tasks[_Row],Tasks[Pred2 UID],Tasks[[#This Row],[UID]])))</f>
        <v>0</v>
      </c>
      <c r="CE10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5" s="103" t="str">
        <f aca="false">IF(NOT(Tasks[[#This Row],[_IsLeaf]]=1),"",MIN(ProjectFinish,IF(N(Tasks[[#This Row],[Deadline]])&gt;0,Tasks[[#This Row],[Deadline]],2958465),Tasks[[#This Row],[_SuccessorFinishLimit]]))</f>
        <v/>
      </c>
      <c r="CG105" s="103" t="str">
        <f aca="false">IF(NOT(Tasks[[#This Row],[_IsLeaf]]=1),"",IF(N(Tasks[[#This Row],[Duration]])&lt;=0,Tasks[[#This Row],[_LeafLateFinish]],WORKDAY.INTL(Tasks[[#This Row],[_LeafLateFinish]],-(Tasks[[#This Row],[Duration]]-1),WorkWeek,Holidays)))</f>
        <v/>
      </c>
      <c r="CH1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5" s="102" t="b">
        <f aca="false">AND(Tasks[[#This Row],[_IsLeaf]]=1,Tasks[[#This Row],[_LeafProgress]]&lt;1,N(Tasks[[#This Row],[_LeafTotalSlack]])&lt;=CriticalSlackDays)</f>
        <v>0</v>
      </c>
      <c r="CJ105" s="103" t="str">
        <f aca="false">IF(Tasks[[#This Row],[Task Name]]="","",IF(Tasks[[#This Row],[_IsSummary]],MIN(INDEX(Tasks[_LeafCalcStart],Tasks[[#This Row],[_Row]]+1):INDEX(Tasks[_LeafCalcStart],Tasks[[#This Row],[_Row]]+Tasks[[#This Row],[_Descendants]])),Tasks[[#This Row],[_LeafCalcStart]]))</f>
        <v/>
      </c>
      <c r="CK105" s="103" t="str">
        <f aca="false">IF(Tasks[[#This Row],[Task Name]]="","",IF(Tasks[[#This Row],[_IsSummary]],MAX(INDEX(Tasks[_LeafCalcFinish],Tasks[[#This Row],[_Row]]+1):INDEX(Tasks[_LeafCalcFinish],Tasks[[#This Row],[_Row]]+Tasks[[#This Row],[_Descendants]])),Tasks[[#This Row],[_LeafCalcFinish]]))</f>
        <v/>
      </c>
      <c r="CL1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5" s="41" t="n">
        <f aca="false">IF(AND(Tasks[[#This Row],[_IsLeaf]]=1,Tasks[[#This Row],[_LeafWork]]&gt;0),NETWORKDAYS.INTL(ProjectStart,Tasks[[#This Row],[_LeafFcstStart]],WorkWeek,Holidays),0)</f>
        <v>0</v>
      </c>
      <c r="CS105" s="41" t="n">
        <f aca="false">IF(AND(Tasks[[#This Row],[_IsLeaf]]=1,Tasks[[#This Row],[_LeafWork]]&gt;0),MAX(Tasks[[#This Row],[_StartWorkday]],NETWORKDAYS.INTL(ProjectStart,Tasks[[#This Row],[_LeafFcstFinish]],WorkWeek,Holidays)),0)</f>
        <v>0</v>
      </c>
      <c r="CT105" s="41" t="n">
        <f aca="false">IF(AND(Tasks[[#This Row],[_IsLeaf]]=1,Tasks[[#This Row],[_LeafWork]]&gt;0),Tasks[[#This Row],[_LeafWork]]/(Tasks[[#This Row],[_FinishWorkday]]-Tasks[[#This Row],[_StartWorkday]]+1),0)</f>
        <v>0</v>
      </c>
      <c r="CU105" s="41" t="n">
        <f aca="false">Tasks[[#This Row],[_WorkPerWorkday]]*(Tasks[[#This Row],[_StartWorkday]]-1)</f>
        <v>-0</v>
      </c>
      <c r="CV105" s="41" t="n">
        <f aca="false">IF(Tasks[[#This Row],[_IsLeaf]]=1,MAX(N(Tasks[[#This Row],[Duration]]),0.1),0)</f>
        <v>0</v>
      </c>
      <c r="CW105" s="41" t="n">
        <f aca="false">Tasks[[#This Row],[_WeightDur]]*Tasks[[#This Row],[_LeafProgress]]</f>
        <v>0</v>
      </c>
      <c r="CX1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5" s="41" t="str">
        <f aca="false">IF(Tasks[[#This Row],[Task Name]]="","",Tasks[[#This Row],[_Pred1UIDText]]&amp;IF(AND(Tasks[[#This Row],[_Pred1UIDText]]&lt;&gt;"",Tasks[[#This Row],[_Pred2UIDText]]&lt;&gt;""),",","")&amp;Tasks[[#This Row],[_Pred2UIDText]])</f>
        <v/>
      </c>
      <c r="DC105" s="41" t="str">
        <f aca="false">IF(AND(Tasks[[#This Row],[_IsLeaf]]=1,N(Tasks[[#This Row],[Duration]])=0,Tasks[[#This Row],[_LeafProgress]]&lt;1),Tasks[[#This Row],[_LeafFcstFinish]]+Tasks[[#This Row],[_Row]]/100000,"")</f>
        <v/>
      </c>
      <c r="DD1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5" s="41" t="n">
        <f aca="false">IF(NOT(Tasks[[#This Row],[_IsLeaf]]=1),0,IF(Tasks[[#This Row],[Baseline Cost]]="",Tasks[[#This Row],[_LeafCost]],N(Tasks[[#This Row],[Baseline Cost]])))</f>
        <v>0</v>
      </c>
      <c r="DF105" s="41" t="n">
        <f aca="false">Tasks[[#This Row],[_LeafBudget]]*Tasks[[#This Row],[_PlannedPct]]</f>
        <v>0</v>
      </c>
      <c r="DG105" s="41" t="n">
        <f aca="false">Tasks[[#This Row],[_LeafBudget]]*Tasks[[#This Row],[_LeafProgress]]</f>
        <v>0</v>
      </c>
      <c r="DH105" s="41" t="n">
        <f aca="false">IF(NOT(Tasks[[#This Row],[_IsLeaf]]=1),0,IF(Tasks[[#This Row],[Actual Cost]]="",Tasks[[#This Row],[_LeafCost]]*Tasks[[#This Row],[_LeafProgress]],N(Tasks[[#This Row],[Actual Cost]])))</f>
        <v>0</v>
      </c>
      <c r="DI105" s="41" t="str">
        <f aca="false">IF(Tasks[[#This Row],[Task Name]]="","",LEFT(Tasks[[#This Row],[WBS]],FIND(".",Tasks[[#This Row],[WBS]]&amp;".")-1))</f>
        <v/>
      </c>
      <c r="DJ105" s="41" t="str">
        <f aca="false">IF(AND(Tasks[[#This Row],[Task Name]]&lt;&gt;"",Tasks[[#This Row],[_Level]]=1),Tasks[[#This Row],[_Row]],"")</f>
        <v/>
      </c>
      <c r="DK105" s="41" t="str">
        <f aca="false">IF(AND(Tasks[[#This Row],[_IsLeaf]]=1,N(Tasks[[#This Row],[Duration]])=0),Tasks[[#This Row],[Planned Finish]]+Tasks[[#This Row],[_Row]]/100000,"")</f>
        <v/>
      </c>
      <c r="DL105" s="41" t="str">
        <f aca="false">IF(AND(Tasks[[#This Row],[_IsLeaf]]=1,Tasks[[#This Row],[_LeafProgress]]&lt;1,OR(N(Tasks[[#This Row],[Finish Var]])&gt;0,Tasks[[#This Row],[Status]]="Late Start")),MAX(0,Tasks[[#This Row],[Finish Var]])+1-Tasks[[#This Row],[_Row]]/1000000,"")</f>
        <v/>
      </c>
      <c r="DM105" s="41" t="str">
        <f aca="false">IF(AND(Tasks[[#This Row],[_IsLeaf]]=1,N(Tasks[[#This Row],[Actual Start]])=0,Tasks[[#This Row],[_LeafFcstStart]]&gt;=StatusDate,Tasks[[#This Row],[_LeafFcstStart]]&lt;=LookaheadEnd),Tasks[[#This Row],[_LeafFcstStart]]+Tasks[[#This Row],[_Row]]/100000,"")</f>
        <v/>
      </c>
      <c r="DN105" s="41" t="str">
        <f aca="false">IF(AND(Tasks[[#This Row],[_IsLeaf]]=1,Tasks[[#This Row],[_LeafProgress]]&lt;1,Tasks[[#This Row],[_LeafFcstFinish]]&gt;=StatusDate,Tasks[[#This Row],[_LeafFcstFinish]]&lt;=LookaheadEnd),Tasks[[#This Row],[_LeafFcstFinish]]+Tasks[[#This Row],[_Row]]/100000,"")</f>
        <v/>
      </c>
      <c r="DO105" s="41" t="str">
        <f aca="false">IF(Tasks[[#This Row],[_LeafCritical]],Tasks[[#This Row],[_LeafFcstStart]]+Tasks[[#This Row],[_Row]]/100000,"")</f>
        <v/>
      </c>
      <c r="DP105" s="41" t="n">
        <f aca="false">Tasks[[#This Row],[_LeafWork]]*Tasks[[#This Row],[_LeafProgress]]</f>
        <v>0</v>
      </c>
      <c r="DQ105" s="103" t="str">
        <f aca="false">IF(AND(Tasks[[#This Row],[_IsLeaf]]=1,Tasks[[#This Row],[_LeafProgress]]&gt;=1),IF(N(Tasks[[#This Row],[Actual Finish]])&gt;0,Tasks[[#This Row],[Actual Finish]],Tasks[[#This Row],[_LeafFcstFinish]]),"")</f>
        <v/>
      </c>
      <c r="DR105" s="41" t="n">
        <f aca="false">IF(Tasks[[#This Row],[_IsLeaf]]=1,N(Tasks[[#This Row],[Story Points]]),0)</f>
        <v>0</v>
      </c>
      <c r="DS105" s="41" t="str">
        <f aca="false">IF(AND(Tasks[[#This Row],[_IsLeaf]]=1,CurrentSprint&lt;&gt;"",Tasks[[#This Row],[Sprint]]=CurrentSprint),Tasks[[#This Row],[_Row]],"")</f>
        <v/>
      </c>
    </row>
    <row r="106" customFormat="false" ht="15" hidden="false" customHeight="false" outlineLevel="0" collapsed="false">
      <c r="A106" s="28" t="str">
        <f aca="false">IF(Tasks[[#This Row],[Task Name]]="","",COUNTA(Tasks[[#Headers],[Task Name]]:Tasks[[#This Row],[Task Name]])-1)</f>
        <v/>
      </c>
      <c r="B106" s="29" t="n">
        <v>101</v>
      </c>
      <c r="C10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29"/>
      <c r="E106" s="30"/>
      <c r="F106" s="29"/>
      <c r="G106" s="29"/>
      <c r="H106" s="29"/>
      <c r="I106" s="29"/>
      <c r="J106" s="29"/>
      <c r="K106" s="29"/>
      <c r="L106" s="29"/>
      <c r="M106" s="29"/>
      <c r="N106" s="77"/>
      <c r="O106" s="77"/>
      <c r="P106" s="25" t="str">
        <f aca="false">IF(Tasks[[#This Row],[Task Name]]="","",IF(N(Tasks[[#This Row],[Baseline Start]])&gt;0,Tasks[[#This Row],[Baseline Start]],Tasks[[#This Row],[_CalcStart]]))</f>
        <v/>
      </c>
      <c r="Q106" s="25" t="str">
        <f aca="false">IF(Tasks[[#This Row],[Task Name]]="","",IF(N(Tasks[[#This Row],[Baseline Finish]])&gt;0,Tasks[[#This Row],[Baseline Finish]],Tasks[[#This Row],[_CalcFinish]]))</f>
        <v/>
      </c>
      <c r="R106" s="77"/>
      <c r="S106" s="77"/>
      <c r="T106" s="25" t="str">
        <f aca="false">IF(Tasks[[#This Row],[Task Name]]="","",IF(Tasks[[#This Row],[_IsSummary]],MIN(INDEX(Tasks[_LeafFcstStart],Tasks[[#This Row],[_Row]]+1):INDEX(Tasks[_LeafFcstStart],Tasks[[#This Row],[_Row]]+Tasks[[#This Row],[_Descendants]])),Tasks[[#This Row],[_LeafFcstStart]]))</f>
        <v/>
      </c>
      <c r="U106" s="25" t="str">
        <f aca="false">IF(Tasks[[#This Row],[Task Name]]="","",IF(Tasks[[#This Row],[_IsSummary]],MAX(INDEX(Tasks[_LeafFcstFinish],Tasks[[#This Row],[_Row]]+1):INDEX(Tasks[_LeafFcstFinish],Tasks[[#This Row],[_Row]]+Tasks[[#This Row],[_Descendants]])),Tasks[[#This Row],[_LeafFcstFinish]]))</f>
        <v/>
      </c>
      <c r="V10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6" s="25" t="str">
        <f aca="false">IF(Tasks[[#This Row],[Task Name]]="","",IF(Tasks[[#This Row],[_IsSummary]],MIN(INDEX(Tasks[_LeafLateStart],Tasks[[#This Row],[_Row]]+1):INDEX(Tasks[_LeafLateStart],Tasks[[#This Row],[_Row]]+Tasks[[#This Row],[_Descendants]])),Tasks[[#This Row],[_LeafLateStart]]))</f>
        <v/>
      </c>
      <c r="Y106" s="25" t="str">
        <f aca="false">IF(Tasks[[#This Row],[Task Name]]="","",IF(Tasks[[#This Row],[_IsSummary]],MAX(INDEX(Tasks[_LeafLateFinish],Tasks[[#This Row],[_Row]]+1):INDEX(Tasks[_LeafLateFinish],Tasks[[#This Row],[_Row]]+Tasks[[#This Row],[_Descendants]])),Tasks[[#This Row],[_LeafLateFinish]]))</f>
        <v/>
      </c>
      <c r="Z106" s="43" t="str">
        <f aca="false">IF(Tasks[[#This Row],[Task Name]]="","",IF(Tasks[[#This Row],[_IsSummary]],MIN(INDEX(Tasks[_LeafTotalSlack],Tasks[[#This Row],[_Row]]+1):INDEX(Tasks[_LeafTotalSlack],Tasks[[#This Row],[_Row]]+Tasks[[#This Row],[_Descendants]])),Tasks[[#This Row],[_LeafTotalSlack]]))</f>
        <v/>
      </c>
      <c r="AA10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6" s="28" t="str">
        <f aca="false">IF(Tasks[[#This Row],[Task Name]]="","",IF(IF(Tasks[[#This Row],[_IsSummary]],COUNTIF(INDEX(Tasks[_LeafCritical],Tasks[[#This Row],[_Row]]+1):INDEX(Tasks[_LeafCritical],Tasks[[#This Row],[_Row]]+Tasks[[#This Row],[_Descendants]]),TRUE())&gt;0,Tasks[[#This Row],[_LeafCritical]]),"Yes",""))</f>
        <v/>
      </c>
      <c r="AC10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6" s="24" t="str">
        <f aca="false">IF(Tasks[[#This Row],[Task Name]]="","",TRIM(IF(Tasks[[#This Row],[_Pred1Problem]]&lt;&gt;"","Pred 1: "&amp;Tasks[[#This Row],[_Pred1Problem]]&amp;". ","")&amp;IF(Tasks[[#This Row],[_Pred2Problem]]&lt;&gt;"","Pred 2: "&amp;Tasks[[#This Row],[_Pred2Problem]]&amp;".","")))</f>
        <v/>
      </c>
      <c r="AE106" s="91"/>
      <c r="AF10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6" s="28" t="str">
        <f aca="false">IF(Tasks[[#This Row],[Task Name]]="","",IF(Tasks[[#This Row],[Progress]]&gt;=1,"Complete",IF(OR(N(Tasks[[#This Row],[Actual Start]])&gt;0,Tasks[[#This Row],[Progress]]&gt;0),IF(Tasks[[#This Row],[Finish Var]]&gt;0,"Behind","In Progress"),IF(Tasks[[#This Row],[Planned Start]]&lt;StatusDate,"Late Start","Not Started"))))</f>
        <v/>
      </c>
      <c r="AH106" s="30"/>
      <c r="AI106" s="91"/>
      <c r="AJ10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6" s="98" t="str">
        <f aca="false">IF(Tasks[[#This Row],[Task Name]]="","",IF(Tasks[[#This Row],[_IsSummary]],SUM(INDEX(Tasks[_LeafWork],Tasks[[#This Row],[_Row]]+1):INDEX(Tasks[_LeafWork],Tasks[[#This Row],[_Row]]+Tasks[[#This Row],[_Descendants]])),Tasks[[#This Row],[_LeafWork]]))</f>
        <v/>
      </c>
      <c r="AL106" s="99" t="str">
        <f aca="false">IF(Tasks[[#This Row],[Task Name]]="","",IF(Tasks[[#This Row],[_IsSummary]],SUM(INDEX(Tasks[_LeafCost],Tasks[[#This Row],[_Row]]+1):INDEX(Tasks[_LeafCost],Tasks[[#This Row],[_Row]]+Tasks[[#This Row],[_Descendants]])),Tasks[[#This Row],[_LeafCost]]))</f>
        <v/>
      </c>
      <c r="AM106" s="100"/>
      <c r="AN106" s="29"/>
      <c r="AO10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6" s="85"/>
      <c r="AQ106" s="24" t="str">
        <f aca="false">IF(Tasks[[#This Row],[Task Name]]="","",Tasks[[#This Row],[_Pred1IDText]]&amp;IF(AND(Tasks[[#This Row],[_Pred1IDText]]&lt;&gt;"",Tasks[[#This Row],[_Pred2IDText]]&lt;&gt;""),",","")&amp;Tasks[[#This Row],[_Pred2IDText]])</f>
        <v/>
      </c>
      <c r="AR106" s="30"/>
      <c r="AS106" s="25" t="str">
        <f aca="false">IF(Tasks[[#This Row],[Task Name]]="","",Tasks[[#This Row],[Forecast Start]])</f>
        <v/>
      </c>
      <c r="AT106" s="25" t="str">
        <f aca="false">IF(Tasks[[#This Row],[Task Name]]="","",Tasks[[#This Row],[Forecast Finish]])</f>
        <v/>
      </c>
      <c r="AU106" s="28" t="str">
        <f aca="false">IF(Tasks[[#This Row],[Task Name]]="","",IF(Tasks[[#This Row],[_IsSummary]],NETWORKDAYS.INTL(Tasks[[#This Row],[Forecast Start]],Tasks[[#This Row],[Forecast Finish]],WorkWeek,Holidays),N(Tasks[[#This Row],[Duration]])))</f>
        <v/>
      </c>
      <c r="AV106" s="98" t="str">
        <f aca="false">IF(Tasks[[#This Row],[Task Name]]="","",Tasks[[#This Row],[Work]])</f>
        <v/>
      </c>
      <c r="AW106" s="99" t="str">
        <f aca="false">IF(Tasks[[#This Row],[Task Name]]="","",Tasks[[#This Row],[Cost]])</f>
        <v/>
      </c>
      <c r="AX106" s="77"/>
      <c r="AY106" s="77"/>
      <c r="AZ106" s="29"/>
      <c r="BA106" s="101"/>
      <c r="BB106" s="100"/>
      <c r="BC106" s="28" t="str">
        <f aca="false">IF(OR(Tasks[[#This Row],[Task Name]]="",Tasks[[#This Row],[Baseline Duration]]=""),"",Tasks[[#This Row],[BL Source Duration]]-N(Tasks[[#This Row],[Baseline Duration]]))</f>
        <v/>
      </c>
      <c r="BD106" s="98" t="str">
        <f aca="false">IF(OR(Tasks[[#This Row],[Task Name]]="",Tasks[[#This Row],[Baseline Work]]=""),"",Tasks[[#This Row],[Work]]-N(Tasks[[#This Row],[Baseline Work]]))</f>
        <v/>
      </c>
      <c r="BE106" s="99" t="str">
        <f aca="false">IF(OR(Tasks[[#This Row],[Task Name]]="",Tasks[[#This Row],[Baseline Cost]]=""),"",Tasks[[#This Row],[Cost]]-N(Tasks[[#This Row],[Baseline Cost]]))</f>
        <v/>
      </c>
      <c r="BF106" s="99" t="str">
        <f aca="false">IF(Tasks[[#This Row],[Task Name]]="","",IF(Tasks[[#This Row],[_IsSummary]],SUM(INDEX(Tasks[_LeafBudget],Tasks[[#This Row],[_Row]]+1):INDEX(Tasks[_LeafBudget],Tasks[[#This Row],[_Row]]+Tasks[[#This Row],[_Descendants]])),Tasks[[#This Row],[_LeafBudget]]))</f>
        <v/>
      </c>
      <c r="BG106" s="99" t="str">
        <f aca="false">IF(Tasks[[#This Row],[Task Name]]="","",IF(Tasks[[#This Row],[_IsSummary]],SUM(INDEX(Tasks[_LeafPV],Tasks[[#This Row],[_Row]]+1):INDEX(Tasks[_LeafPV],Tasks[[#This Row],[_Row]]+Tasks[[#This Row],[_Descendants]])),Tasks[[#This Row],[_LeafPV]]))</f>
        <v/>
      </c>
      <c r="BH106" s="99" t="str">
        <f aca="false">IF(Tasks[[#This Row],[Task Name]]="","",IF(Tasks[[#This Row],[_IsSummary]],SUM(INDEX(Tasks[_LeafEV],Tasks[[#This Row],[_Row]]+1):INDEX(Tasks[_LeafEV],Tasks[[#This Row],[_Row]]+Tasks[[#This Row],[_Descendants]])),Tasks[[#This Row],[_LeafEV]]))</f>
        <v/>
      </c>
      <c r="BI106" s="99" t="str">
        <f aca="false">IF(Tasks[[#This Row],[Task Name]]="","",IF(Tasks[[#This Row],[_IsSummary]],SUM(INDEX(Tasks[_LeafAC],Tasks[[#This Row],[_Row]]+1):INDEX(Tasks[_LeafAC],Tasks[[#This Row],[_Row]]+Tasks[[#This Row],[_Descendants]])),Tasks[[#This Row],[_LeafAC]]))</f>
        <v/>
      </c>
      <c r="BJ106" s="41" t="str">
        <f aca="false">IF(Tasks[[#This Row],[Task Name]]="","",MAX(1,N(Tasks[[#This Row],[Level]])))</f>
        <v/>
      </c>
      <c r="BK106" s="41" t="n">
        <f aca="false">ROW()-ROW(Tasks[[#Headers],[ID]])</f>
        <v>101</v>
      </c>
      <c r="BL106" s="41" t="n">
        <f aca="false">IF(OR(Tasks[[#This Row],[Task Name]]="",Tasks[[#This Row],[_Level]]&lt;=1),0,IFERROR(LOOKUP(2,1/(Tasks[[#Headers],[_Level]]:Tasks[[#This Row],[_Level]]=Tasks[[#This Row],[_Level]]-1),ROW(Tasks[[#Headers],[_Level]]:Tasks[[#This Row],[_Level]])),0))</f>
        <v>0</v>
      </c>
      <c r="BM106" s="41" t="n">
        <f aca="false">IFERROR(N(INDEX(Tasks[_Level],Tasks[[#This Row],[_Row]]+1)),0)</f>
        <v>0</v>
      </c>
      <c r="BN106" s="102" t="b">
        <f aca="false">AND(Tasks[[#This Row],[Task Name]]&lt;&gt;"",Tasks[[#This Row],[_NextLevel]]&gt;Tasks[[#This Row],[_Level]])</f>
        <v>0</v>
      </c>
      <c r="BO106" s="41" t="n">
        <f aca="false">IF(Tasks[[#This Row],[_IsSummary]],COUNTIF(Tasks[WBS],Tasks[[#This Row],[WBS]]&amp;".*"),0)</f>
        <v>0</v>
      </c>
      <c r="BP106" s="41" t="n">
        <f aca="false">IF(AND(Tasks[[#This Row],[Task Name]]&lt;&gt;"",NOT(Tasks[[#This Row],[_IsSummary]])),1,0)</f>
        <v>0</v>
      </c>
      <c r="BQ106" s="41" t="n">
        <f aca="false">IF(N(Tasks[[#This Row],[Pred1 UID]])=0,0,IFERROR(MATCH(Tasks[[#This Row],[Pred1 UID]],Tasks[UID],0),-1))</f>
        <v>0</v>
      </c>
      <c r="BR106" s="41" t="n">
        <f aca="false">IF(N(Tasks[[#This Row],[Pred2 UID]])=0,0,IFERROR(MATCH(Tasks[[#This Row],[Pred2 UID]],Tasks[UID],0),-1))</f>
        <v>0</v>
      </c>
      <c r="BS10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6" s="103" t="str">
        <f aca="false">IF(NOT(Tasks[[#This Row],[_IsLeaf]]=1),"",IF(N(Tasks[[#This Row],[Duration]])&lt;=0,Tasks[[#This Row],[_LeafCalcStart]],WORKDAY.INTL(Tasks[[#This Row],[_LeafCalcStart]],Tasks[[#This Row],[Duration]]-1,WorkWeek,Holidays)))</f>
        <v/>
      </c>
      <c r="BU10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6" s="41" t="n">
        <f aca="false">IF(NOT(Tasks[[#This Row],[_IsLeaf]]=1),0,IF(N(Tasks[[#This Row],[Actual Finish]])&gt;0,1,MIN(1,N(Tasks[[#This Row],[% Complete]]))))</f>
        <v>0</v>
      </c>
      <c r="BX106" s="41" t="n">
        <f aca="false">IF(OR(NOT(Tasks[[#This Row],[_IsLeaf]]=1),Tasks[[#This Row],[Resource]]=""),0,N(Tasks[[#This Row],[Duration]])*HoursPerDay*IF(Tasks[[#This Row],[Units]]="",DefaultUnits,Tasks[[#This Row],[Units]]))</f>
        <v>0</v>
      </c>
      <c r="BY106" s="41" t="n">
        <f aca="false">IF(Tasks[[#This Row],[_LeafWork]]=0,0,Tasks[[#This Row],[_LeafWork]]*IFERROR(INDEX(res_Rate,MATCH(Tasks[[#This Row],[Resource]],res_Name,0)),0))</f>
        <v>0</v>
      </c>
      <c r="BZ10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6" s="41" t="n">
        <f aca="false">IF(NOT(Tasks[[#This Row],[_IsLeaf]]=1),0,MAX(_xlfn.MAXIFS(Tasks[_Row],Tasks[Pred1 UID],Tasks[[#This Row],[UID]]),_xlfn.MAXIFS(Tasks[_Row],Tasks[Pred2 UID],Tasks[[#This Row],[UID]])))</f>
        <v>0</v>
      </c>
      <c r="CE10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6" s="103" t="str">
        <f aca="false">IF(NOT(Tasks[[#This Row],[_IsLeaf]]=1),"",MIN(ProjectFinish,IF(N(Tasks[[#This Row],[Deadline]])&gt;0,Tasks[[#This Row],[Deadline]],2958465),Tasks[[#This Row],[_SuccessorFinishLimit]]))</f>
        <v/>
      </c>
      <c r="CG106" s="103" t="str">
        <f aca="false">IF(NOT(Tasks[[#This Row],[_IsLeaf]]=1),"",IF(N(Tasks[[#This Row],[Duration]])&lt;=0,Tasks[[#This Row],[_LeafLateFinish]],WORKDAY.INTL(Tasks[[#This Row],[_LeafLateFinish]],-(Tasks[[#This Row],[Duration]]-1),WorkWeek,Holidays)))</f>
        <v/>
      </c>
      <c r="CH10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6" s="102" t="b">
        <f aca="false">AND(Tasks[[#This Row],[_IsLeaf]]=1,Tasks[[#This Row],[_LeafProgress]]&lt;1,N(Tasks[[#This Row],[_LeafTotalSlack]])&lt;=CriticalSlackDays)</f>
        <v>0</v>
      </c>
      <c r="CJ106" s="103" t="str">
        <f aca="false">IF(Tasks[[#This Row],[Task Name]]="","",IF(Tasks[[#This Row],[_IsSummary]],MIN(INDEX(Tasks[_LeafCalcStart],Tasks[[#This Row],[_Row]]+1):INDEX(Tasks[_LeafCalcStart],Tasks[[#This Row],[_Row]]+Tasks[[#This Row],[_Descendants]])),Tasks[[#This Row],[_LeafCalcStart]]))</f>
        <v/>
      </c>
      <c r="CK106" s="103" t="str">
        <f aca="false">IF(Tasks[[#This Row],[Task Name]]="","",IF(Tasks[[#This Row],[_IsSummary]],MAX(INDEX(Tasks[_LeafCalcFinish],Tasks[[#This Row],[_Row]]+1):INDEX(Tasks[_LeafCalcFinish],Tasks[[#This Row],[_Row]]+Tasks[[#This Row],[_Descendants]])),Tasks[[#This Row],[_LeafCalcFinish]]))</f>
        <v/>
      </c>
      <c r="CL10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6" s="41" t="n">
        <f aca="false">IF(AND(Tasks[[#This Row],[_IsLeaf]]=1,Tasks[[#This Row],[_LeafWork]]&gt;0),NETWORKDAYS.INTL(ProjectStart,Tasks[[#This Row],[_LeafFcstStart]],WorkWeek,Holidays),0)</f>
        <v>0</v>
      </c>
      <c r="CS106" s="41" t="n">
        <f aca="false">IF(AND(Tasks[[#This Row],[_IsLeaf]]=1,Tasks[[#This Row],[_LeafWork]]&gt;0),MAX(Tasks[[#This Row],[_StartWorkday]],NETWORKDAYS.INTL(ProjectStart,Tasks[[#This Row],[_LeafFcstFinish]],WorkWeek,Holidays)),0)</f>
        <v>0</v>
      </c>
      <c r="CT106" s="41" t="n">
        <f aca="false">IF(AND(Tasks[[#This Row],[_IsLeaf]]=1,Tasks[[#This Row],[_LeafWork]]&gt;0),Tasks[[#This Row],[_LeafWork]]/(Tasks[[#This Row],[_FinishWorkday]]-Tasks[[#This Row],[_StartWorkday]]+1),0)</f>
        <v>0</v>
      </c>
      <c r="CU106" s="41" t="n">
        <f aca="false">Tasks[[#This Row],[_WorkPerWorkday]]*(Tasks[[#This Row],[_StartWorkday]]-1)</f>
        <v>-0</v>
      </c>
      <c r="CV106" s="41" t="n">
        <f aca="false">IF(Tasks[[#This Row],[_IsLeaf]]=1,MAX(N(Tasks[[#This Row],[Duration]]),0.1),0)</f>
        <v>0</v>
      </c>
      <c r="CW106" s="41" t="n">
        <f aca="false">Tasks[[#This Row],[_WeightDur]]*Tasks[[#This Row],[_LeafProgress]]</f>
        <v>0</v>
      </c>
      <c r="CX10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6" s="41" t="str">
        <f aca="false">IF(Tasks[[#This Row],[Task Name]]="","",Tasks[[#This Row],[_Pred1UIDText]]&amp;IF(AND(Tasks[[#This Row],[_Pred1UIDText]]&lt;&gt;"",Tasks[[#This Row],[_Pred2UIDText]]&lt;&gt;""),",","")&amp;Tasks[[#This Row],[_Pred2UIDText]])</f>
        <v/>
      </c>
      <c r="DC106" s="41" t="str">
        <f aca="false">IF(AND(Tasks[[#This Row],[_IsLeaf]]=1,N(Tasks[[#This Row],[Duration]])=0,Tasks[[#This Row],[_LeafProgress]]&lt;1),Tasks[[#This Row],[_LeafFcstFinish]]+Tasks[[#This Row],[_Row]]/100000,"")</f>
        <v/>
      </c>
      <c r="DD10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6" s="41" t="n">
        <f aca="false">IF(NOT(Tasks[[#This Row],[_IsLeaf]]=1),0,IF(Tasks[[#This Row],[Baseline Cost]]="",Tasks[[#This Row],[_LeafCost]],N(Tasks[[#This Row],[Baseline Cost]])))</f>
        <v>0</v>
      </c>
      <c r="DF106" s="41" t="n">
        <f aca="false">Tasks[[#This Row],[_LeafBudget]]*Tasks[[#This Row],[_PlannedPct]]</f>
        <v>0</v>
      </c>
      <c r="DG106" s="41" t="n">
        <f aca="false">Tasks[[#This Row],[_LeafBudget]]*Tasks[[#This Row],[_LeafProgress]]</f>
        <v>0</v>
      </c>
      <c r="DH106" s="41" t="n">
        <f aca="false">IF(NOT(Tasks[[#This Row],[_IsLeaf]]=1),0,IF(Tasks[[#This Row],[Actual Cost]]="",Tasks[[#This Row],[_LeafCost]]*Tasks[[#This Row],[_LeafProgress]],N(Tasks[[#This Row],[Actual Cost]])))</f>
        <v>0</v>
      </c>
      <c r="DI106" s="41" t="str">
        <f aca="false">IF(Tasks[[#This Row],[Task Name]]="","",LEFT(Tasks[[#This Row],[WBS]],FIND(".",Tasks[[#This Row],[WBS]]&amp;".")-1))</f>
        <v/>
      </c>
      <c r="DJ106" s="41" t="str">
        <f aca="false">IF(AND(Tasks[[#This Row],[Task Name]]&lt;&gt;"",Tasks[[#This Row],[_Level]]=1),Tasks[[#This Row],[_Row]],"")</f>
        <v/>
      </c>
      <c r="DK106" s="41" t="str">
        <f aca="false">IF(AND(Tasks[[#This Row],[_IsLeaf]]=1,N(Tasks[[#This Row],[Duration]])=0),Tasks[[#This Row],[Planned Finish]]+Tasks[[#This Row],[_Row]]/100000,"")</f>
        <v/>
      </c>
      <c r="DL106" s="41" t="str">
        <f aca="false">IF(AND(Tasks[[#This Row],[_IsLeaf]]=1,Tasks[[#This Row],[_LeafProgress]]&lt;1,OR(N(Tasks[[#This Row],[Finish Var]])&gt;0,Tasks[[#This Row],[Status]]="Late Start")),MAX(0,Tasks[[#This Row],[Finish Var]])+1-Tasks[[#This Row],[_Row]]/1000000,"")</f>
        <v/>
      </c>
      <c r="DM106" s="41" t="str">
        <f aca="false">IF(AND(Tasks[[#This Row],[_IsLeaf]]=1,N(Tasks[[#This Row],[Actual Start]])=0,Tasks[[#This Row],[_LeafFcstStart]]&gt;=StatusDate,Tasks[[#This Row],[_LeafFcstStart]]&lt;=LookaheadEnd),Tasks[[#This Row],[_LeafFcstStart]]+Tasks[[#This Row],[_Row]]/100000,"")</f>
        <v/>
      </c>
      <c r="DN106" s="41" t="str">
        <f aca="false">IF(AND(Tasks[[#This Row],[_IsLeaf]]=1,Tasks[[#This Row],[_LeafProgress]]&lt;1,Tasks[[#This Row],[_LeafFcstFinish]]&gt;=StatusDate,Tasks[[#This Row],[_LeafFcstFinish]]&lt;=LookaheadEnd),Tasks[[#This Row],[_LeafFcstFinish]]+Tasks[[#This Row],[_Row]]/100000,"")</f>
        <v/>
      </c>
      <c r="DO106" s="41" t="str">
        <f aca="false">IF(Tasks[[#This Row],[_LeafCritical]],Tasks[[#This Row],[_LeafFcstStart]]+Tasks[[#This Row],[_Row]]/100000,"")</f>
        <v/>
      </c>
      <c r="DP106" s="41" t="n">
        <f aca="false">Tasks[[#This Row],[_LeafWork]]*Tasks[[#This Row],[_LeafProgress]]</f>
        <v>0</v>
      </c>
      <c r="DQ106" s="103" t="str">
        <f aca="false">IF(AND(Tasks[[#This Row],[_IsLeaf]]=1,Tasks[[#This Row],[_LeafProgress]]&gt;=1),IF(N(Tasks[[#This Row],[Actual Finish]])&gt;0,Tasks[[#This Row],[Actual Finish]],Tasks[[#This Row],[_LeafFcstFinish]]),"")</f>
        <v/>
      </c>
      <c r="DR106" s="41" t="n">
        <f aca="false">IF(Tasks[[#This Row],[_IsLeaf]]=1,N(Tasks[[#This Row],[Story Points]]),0)</f>
        <v>0</v>
      </c>
      <c r="DS106" s="41" t="str">
        <f aca="false">IF(AND(Tasks[[#This Row],[_IsLeaf]]=1,CurrentSprint&lt;&gt;"",Tasks[[#This Row],[Sprint]]=CurrentSprint),Tasks[[#This Row],[_Row]],"")</f>
        <v/>
      </c>
    </row>
    <row r="107" customFormat="false" ht="15" hidden="false" customHeight="false" outlineLevel="0" collapsed="false">
      <c r="A107" s="28" t="str">
        <f aca="false">IF(Tasks[[#This Row],[Task Name]]="","",COUNTA(Tasks[[#Headers],[Task Name]]:Tasks[[#This Row],[Task Name]])-1)</f>
        <v/>
      </c>
      <c r="B107" s="29" t="n">
        <v>102</v>
      </c>
      <c r="C10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29"/>
      <c r="E107" s="30"/>
      <c r="F107" s="29"/>
      <c r="G107" s="29"/>
      <c r="H107" s="29"/>
      <c r="I107" s="29"/>
      <c r="J107" s="29"/>
      <c r="K107" s="29"/>
      <c r="L107" s="29"/>
      <c r="M107" s="29"/>
      <c r="N107" s="77"/>
      <c r="O107" s="77"/>
      <c r="P107" s="25" t="str">
        <f aca="false">IF(Tasks[[#This Row],[Task Name]]="","",IF(N(Tasks[[#This Row],[Baseline Start]])&gt;0,Tasks[[#This Row],[Baseline Start]],Tasks[[#This Row],[_CalcStart]]))</f>
        <v/>
      </c>
      <c r="Q107" s="25" t="str">
        <f aca="false">IF(Tasks[[#This Row],[Task Name]]="","",IF(N(Tasks[[#This Row],[Baseline Finish]])&gt;0,Tasks[[#This Row],[Baseline Finish]],Tasks[[#This Row],[_CalcFinish]]))</f>
        <v/>
      </c>
      <c r="R107" s="77"/>
      <c r="S107" s="77"/>
      <c r="T107" s="25" t="str">
        <f aca="false">IF(Tasks[[#This Row],[Task Name]]="","",IF(Tasks[[#This Row],[_IsSummary]],MIN(INDEX(Tasks[_LeafFcstStart],Tasks[[#This Row],[_Row]]+1):INDEX(Tasks[_LeafFcstStart],Tasks[[#This Row],[_Row]]+Tasks[[#This Row],[_Descendants]])),Tasks[[#This Row],[_LeafFcstStart]]))</f>
        <v/>
      </c>
      <c r="U107" s="25" t="str">
        <f aca="false">IF(Tasks[[#This Row],[Task Name]]="","",IF(Tasks[[#This Row],[_IsSummary]],MAX(INDEX(Tasks[_LeafFcstFinish],Tasks[[#This Row],[_Row]]+1):INDEX(Tasks[_LeafFcstFinish],Tasks[[#This Row],[_Row]]+Tasks[[#This Row],[_Descendants]])),Tasks[[#This Row],[_LeafFcstFinish]]))</f>
        <v/>
      </c>
      <c r="V10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7" s="25" t="str">
        <f aca="false">IF(Tasks[[#This Row],[Task Name]]="","",IF(Tasks[[#This Row],[_IsSummary]],MIN(INDEX(Tasks[_LeafLateStart],Tasks[[#This Row],[_Row]]+1):INDEX(Tasks[_LeafLateStart],Tasks[[#This Row],[_Row]]+Tasks[[#This Row],[_Descendants]])),Tasks[[#This Row],[_LeafLateStart]]))</f>
        <v/>
      </c>
      <c r="Y107" s="25" t="str">
        <f aca="false">IF(Tasks[[#This Row],[Task Name]]="","",IF(Tasks[[#This Row],[_IsSummary]],MAX(INDEX(Tasks[_LeafLateFinish],Tasks[[#This Row],[_Row]]+1):INDEX(Tasks[_LeafLateFinish],Tasks[[#This Row],[_Row]]+Tasks[[#This Row],[_Descendants]])),Tasks[[#This Row],[_LeafLateFinish]]))</f>
        <v/>
      </c>
      <c r="Z107" s="43" t="str">
        <f aca="false">IF(Tasks[[#This Row],[Task Name]]="","",IF(Tasks[[#This Row],[_IsSummary]],MIN(INDEX(Tasks[_LeafTotalSlack],Tasks[[#This Row],[_Row]]+1):INDEX(Tasks[_LeafTotalSlack],Tasks[[#This Row],[_Row]]+Tasks[[#This Row],[_Descendants]])),Tasks[[#This Row],[_LeafTotalSlack]]))</f>
        <v/>
      </c>
      <c r="AA10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7" s="28" t="str">
        <f aca="false">IF(Tasks[[#This Row],[Task Name]]="","",IF(IF(Tasks[[#This Row],[_IsSummary]],COUNTIF(INDEX(Tasks[_LeafCritical],Tasks[[#This Row],[_Row]]+1):INDEX(Tasks[_LeafCritical],Tasks[[#This Row],[_Row]]+Tasks[[#This Row],[_Descendants]]),TRUE())&gt;0,Tasks[[#This Row],[_LeafCritical]]),"Yes",""))</f>
        <v/>
      </c>
      <c r="AC10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7" s="24" t="str">
        <f aca="false">IF(Tasks[[#This Row],[Task Name]]="","",TRIM(IF(Tasks[[#This Row],[_Pred1Problem]]&lt;&gt;"","Pred 1: "&amp;Tasks[[#This Row],[_Pred1Problem]]&amp;". ","")&amp;IF(Tasks[[#This Row],[_Pred2Problem]]&lt;&gt;"","Pred 2: "&amp;Tasks[[#This Row],[_Pred2Problem]]&amp;".","")))</f>
        <v/>
      </c>
      <c r="AE107" s="91"/>
      <c r="AF10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7" s="28" t="str">
        <f aca="false">IF(Tasks[[#This Row],[Task Name]]="","",IF(Tasks[[#This Row],[Progress]]&gt;=1,"Complete",IF(OR(N(Tasks[[#This Row],[Actual Start]])&gt;0,Tasks[[#This Row],[Progress]]&gt;0),IF(Tasks[[#This Row],[Finish Var]]&gt;0,"Behind","In Progress"),IF(Tasks[[#This Row],[Planned Start]]&lt;StatusDate,"Late Start","Not Started"))))</f>
        <v/>
      </c>
      <c r="AH107" s="30"/>
      <c r="AI107" s="91"/>
      <c r="AJ10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7" s="98" t="str">
        <f aca="false">IF(Tasks[[#This Row],[Task Name]]="","",IF(Tasks[[#This Row],[_IsSummary]],SUM(INDEX(Tasks[_LeafWork],Tasks[[#This Row],[_Row]]+1):INDEX(Tasks[_LeafWork],Tasks[[#This Row],[_Row]]+Tasks[[#This Row],[_Descendants]])),Tasks[[#This Row],[_LeafWork]]))</f>
        <v/>
      </c>
      <c r="AL107" s="99" t="str">
        <f aca="false">IF(Tasks[[#This Row],[Task Name]]="","",IF(Tasks[[#This Row],[_IsSummary]],SUM(INDEX(Tasks[_LeafCost],Tasks[[#This Row],[_Row]]+1):INDEX(Tasks[_LeafCost],Tasks[[#This Row],[_Row]]+Tasks[[#This Row],[_Descendants]])),Tasks[[#This Row],[_LeafCost]]))</f>
        <v/>
      </c>
      <c r="AM107" s="100"/>
      <c r="AN107" s="29"/>
      <c r="AO10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7" s="85"/>
      <c r="AQ107" s="24" t="str">
        <f aca="false">IF(Tasks[[#This Row],[Task Name]]="","",Tasks[[#This Row],[_Pred1IDText]]&amp;IF(AND(Tasks[[#This Row],[_Pred1IDText]]&lt;&gt;"",Tasks[[#This Row],[_Pred2IDText]]&lt;&gt;""),",","")&amp;Tasks[[#This Row],[_Pred2IDText]])</f>
        <v/>
      </c>
      <c r="AR107" s="30"/>
      <c r="AS107" s="25" t="str">
        <f aca="false">IF(Tasks[[#This Row],[Task Name]]="","",Tasks[[#This Row],[Forecast Start]])</f>
        <v/>
      </c>
      <c r="AT107" s="25" t="str">
        <f aca="false">IF(Tasks[[#This Row],[Task Name]]="","",Tasks[[#This Row],[Forecast Finish]])</f>
        <v/>
      </c>
      <c r="AU107" s="28" t="str">
        <f aca="false">IF(Tasks[[#This Row],[Task Name]]="","",IF(Tasks[[#This Row],[_IsSummary]],NETWORKDAYS.INTL(Tasks[[#This Row],[Forecast Start]],Tasks[[#This Row],[Forecast Finish]],WorkWeek,Holidays),N(Tasks[[#This Row],[Duration]])))</f>
        <v/>
      </c>
      <c r="AV107" s="98" t="str">
        <f aca="false">IF(Tasks[[#This Row],[Task Name]]="","",Tasks[[#This Row],[Work]])</f>
        <v/>
      </c>
      <c r="AW107" s="99" t="str">
        <f aca="false">IF(Tasks[[#This Row],[Task Name]]="","",Tasks[[#This Row],[Cost]])</f>
        <v/>
      </c>
      <c r="AX107" s="77"/>
      <c r="AY107" s="77"/>
      <c r="AZ107" s="29"/>
      <c r="BA107" s="101"/>
      <c r="BB107" s="100"/>
      <c r="BC107" s="28" t="str">
        <f aca="false">IF(OR(Tasks[[#This Row],[Task Name]]="",Tasks[[#This Row],[Baseline Duration]]=""),"",Tasks[[#This Row],[BL Source Duration]]-N(Tasks[[#This Row],[Baseline Duration]]))</f>
        <v/>
      </c>
      <c r="BD107" s="98" t="str">
        <f aca="false">IF(OR(Tasks[[#This Row],[Task Name]]="",Tasks[[#This Row],[Baseline Work]]=""),"",Tasks[[#This Row],[Work]]-N(Tasks[[#This Row],[Baseline Work]]))</f>
        <v/>
      </c>
      <c r="BE107" s="99" t="str">
        <f aca="false">IF(OR(Tasks[[#This Row],[Task Name]]="",Tasks[[#This Row],[Baseline Cost]]=""),"",Tasks[[#This Row],[Cost]]-N(Tasks[[#This Row],[Baseline Cost]]))</f>
        <v/>
      </c>
      <c r="BF107" s="99" t="str">
        <f aca="false">IF(Tasks[[#This Row],[Task Name]]="","",IF(Tasks[[#This Row],[_IsSummary]],SUM(INDEX(Tasks[_LeafBudget],Tasks[[#This Row],[_Row]]+1):INDEX(Tasks[_LeafBudget],Tasks[[#This Row],[_Row]]+Tasks[[#This Row],[_Descendants]])),Tasks[[#This Row],[_LeafBudget]]))</f>
        <v/>
      </c>
      <c r="BG107" s="99" t="str">
        <f aca="false">IF(Tasks[[#This Row],[Task Name]]="","",IF(Tasks[[#This Row],[_IsSummary]],SUM(INDEX(Tasks[_LeafPV],Tasks[[#This Row],[_Row]]+1):INDEX(Tasks[_LeafPV],Tasks[[#This Row],[_Row]]+Tasks[[#This Row],[_Descendants]])),Tasks[[#This Row],[_LeafPV]]))</f>
        <v/>
      </c>
      <c r="BH107" s="99" t="str">
        <f aca="false">IF(Tasks[[#This Row],[Task Name]]="","",IF(Tasks[[#This Row],[_IsSummary]],SUM(INDEX(Tasks[_LeafEV],Tasks[[#This Row],[_Row]]+1):INDEX(Tasks[_LeafEV],Tasks[[#This Row],[_Row]]+Tasks[[#This Row],[_Descendants]])),Tasks[[#This Row],[_LeafEV]]))</f>
        <v/>
      </c>
      <c r="BI107" s="99" t="str">
        <f aca="false">IF(Tasks[[#This Row],[Task Name]]="","",IF(Tasks[[#This Row],[_IsSummary]],SUM(INDEX(Tasks[_LeafAC],Tasks[[#This Row],[_Row]]+1):INDEX(Tasks[_LeafAC],Tasks[[#This Row],[_Row]]+Tasks[[#This Row],[_Descendants]])),Tasks[[#This Row],[_LeafAC]]))</f>
        <v/>
      </c>
      <c r="BJ107" s="41" t="str">
        <f aca="false">IF(Tasks[[#This Row],[Task Name]]="","",MAX(1,N(Tasks[[#This Row],[Level]])))</f>
        <v/>
      </c>
      <c r="BK107" s="41" t="n">
        <f aca="false">ROW()-ROW(Tasks[[#Headers],[ID]])</f>
        <v>102</v>
      </c>
      <c r="BL107" s="41" t="n">
        <f aca="false">IF(OR(Tasks[[#This Row],[Task Name]]="",Tasks[[#This Row],[_Level]]&lt;=1),0,IFERROR(LOOKUP(2,1/(Tasks[[#Headers],[_Level]]:Tasks[[#This Row],[_Level]]=Tasks[[#This Row],[_Level]]-1),ROW(Tasks[[#Headers],[_Level]]:Tasks[[#This Row],[_Level]])),0))</f>
        <v>0</v>
      </c>
      <c r="BM107" s="41" t="n">
        <f aca="false">IFERROR(N(INDEX(Tasks[_Level],Tasks[[#This Row],[_Row]]+1)),0)</f>
        <v>0</v>
      </c>
      <c r="BN107" s="102" t="b">
        <f aca="false">AND(Tasks[[#This Row],[Task Name]]&lt;&gt;"",Tasks[[#This Row],[_NextLevel]]&gt;Tasks[[#This Row],[_Level]])</f>
        <v>0</v>
      </c>
      <c r="BO107" s="41" t="n">
        <f aca="false">IF(Tasks[[#This Row],[_IsSummary]],COUNTIF(Tasks[WBS],Tasks[[#This Row],[WBS]]&amp;".*"),0)</f>
        <v>0</v>
      </c>
      <c r="BP107" s="41" t="n">
        <f aca="false">IF(AND(Tasks[[#This Row],[Task Name]]&lt;&gt;"",NOT(Tasks[[#This Row],[_IsSummary]])),1,0)</f>
        <v>0</v>
      </c>
      <c r="BQ107" s="41" t="n">
        <f aca="false">IF(N(Tasks[[#This Row],[Pred1 UID]])=0,0,IFERROR(MATCH(Tasks[[#This Row],[Pred1 UID]],Tasks[UID],0),-1))</f>
        <v>0</v>
      </c>
      <c r="BR107" s="41" t="n">
        <f aca="false">IF(N(Tasks[[#This Row],[Pred2 UID]])=0,0,IFERROR(MATCH(Tasks[[#This Row],[Pred2 UID]],Tasks[UID],0),-1))</f>
        <v>0</v>
      </c>
      <c r="BS10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7" s="103" t="str">
        <f aca="false">IF(NOT(Tasks[[#This Row],[_IsLeaf]]=1),"",IF(N(Tasks[[#This Row],[Duration]])&lt;=0,Tasks[[#This Row],[_LeafCalcStart]],WORKDAY.INTL(Tasks[[#This Row],[_LeafCalcStart]],Tasks[[#This Row],[Duration]]-1,WorkWeek,Holidays)))</f>
        <v/>
      </c>
      <c r="BU10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7" s="41" t="n">
        <f aca="false">IF(NOT(Tasks[[#This Row],[_IsLeaf]]=1),0,IF(N(Tasks[[#This Row],[Actual Finish]])&gt;0,1,MIN(1,N(Tasks[[#This Row],[% Complete]]))))</f>
        <v>0</v>
      </c>
      <c r="BX107" s="41" t="n">
        <f aca="false">IF(OR(NOT(Tasks[[#This Row],[_IsLeaf]]=1),Tasks[[#This Row],[Resource]]=""),0,N(Tasks[[#This Row],[Duration]])*HoursPerDay*IF(Tasks[[#This Row],[Units]]="",DefaultUnits,Tasks[[#This Row],[Units]]))</f>
        <v>0</v>
      </c>
      <c r="BY107" s="41" t="n">
        <f aca="false">IF(Tasks[[#This Row],[_LeafWork]]=0,0,Tasks[[#This Row],[_LeafWork]]*IFERROR(INDEX(res_Rate,MATCH(Tasks[[#This Row],[Resource]],res_Name,0)),0))</f>
        <v>0</v>
      </c>
      <c r="BZ10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7" s="41" t="n">
        <f aca="false">IF(NOT(Tasks[[#This Row],[_IsLeaf]]=1),0,MAX(_xlfn.MAXIFS(Tasks[_Row],Tasks[Pred1 UID],Tasks[[#This Row],[UID]]),_xlfn.MAXIFS(Tasks[_Row],Tasks[Pred2 UID],Tasks[[#This Row],[UID]])))</f>
        <v>0</v>
      </c>
      <c r="CE10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7" s="103" t="str">
        <f aca="false">IF(NOT(Tasks[[#This Row],[_IsLeaf]]=1),"",MIN(ProjectFinish,IF(N(Tasks[[#This Row],[Deadline]])&gt;0,Tasks[[#This Row],[Deadline]],2958465),Tasks[[#This Row],[_SuccessorFinishLimit]]))</f>
        <v/>
      </c>
      <c r="CG107" s="103" t="str">
        <f aca="false">IF(NOT(Tasks[[#This Row],[_IsLeaf]]=1),"",IF(N(Tasks[[#This Row],[Duration]])&lt;=0,Tasks[[#This Row],[_LeafLateFinish]],WORKDAY.INTL(Tasks[[#This Row],[_LeafLateFinish]],-(Tasks[[#This Row],[Duration]]-1),WorkWeek,Holidays)))</f>
        <v/>
      </c>
      <c r="CH10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7" s="102" t="b">
        <f aca="false">AND(Tasks[[#This Row],[_IsLeaf]]=1,Tasks[[#This Row],[_LeafProgress]]&lt;1,N(Tasks[[#This Row],[_LeafTotalSlack]])&lt;=CriticalSlackDays)</f>
        <v>0</v>
      </c>
      <c r="CJ107" s="103" t="str">
        <f aca="false">IF(Tasks[[#This Row],[Task Name]]="","",IF(Tasks[[#This Row],[_IsSummary]],MIN(INDEX(Tasks[_LeafCalcStart],Tasks[[#This Row],[_Row]]+1):INDEX(Tasks[_LeafCalcStart],Tasks[[#This Row],[_Row]]+Tasks[[#This Row],[_Descendants]])),Tasks[[#This Row],[_LeafCalcStart]]))</f>
        <v/>
      </c>
      <c r="CK107" s="103" t="str">
        <f aca="false">IF(Tasks[[#This Row],[Task Name]]="","",IF(Tasks[[#This Row],[_IsSummary]],MAX(INDEX(Tasks[_LeafCalcFinish],Tasks[[#This Row],[_Row]]+1):INDEX(Tasks[_LeafCalcFinish],Tasks[[#This Row],[_Row]]+Tasks[[#This Row],[_Descendants]])),Tasks[[#This Row],[_LeafCalcFinish]]))</f>
        <v/>
      </c>
      <c r="CL10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7" s="41" t="n">
        <f aca="false">IF(AND(Tasks[[#This Row],[_IsLeaf]]=1,Tasks[[#This Row],[_LeafWork]]&gt;0),NETWORKDAYS.INTL(ProjectStart,Tasks[[#This Row],[_LeafFcstStart]],WorkWeek,Holidays),0)</f>
        <v>0</v>
      </c>
      <c r="CS107" s="41" t="n">
        <f aca="false">IF(AND(Tasks[[#This Row],[_IsLeaf]]=1,Tasks[[#This Row],[_LeafWork]]&gt;0),MAX(Tasks[[#This Row],[_StartWorkday]],NETWORKDAYS.INTL(ProjectStart,Tasks[[#This Row],[_LeafFcstFinish]],WorkWeek,Holidays)),0)</f>
        <v>0</v>
      </c>
      <c r="CT107" s="41" t="n">
        <f aca="false">IF(AND(Tasks[[#This Row],[_IsLeaf]]=1,Tasks[[#This Row],[_LeafWork]]&gt;0),Tasks[[#This Row],[_LeafWork]]/(Tasks[[#This Row],[_FinishWorkday]]-Tasks[[#This Row],[_StartWorkday]]+1),0)</f>
        <v>0</v>
      </c>
      <c r="CU107" s="41" t="n">
        <f aca="false">Tasks[[#This Row],[_WorkPerWorkday]]*(Tasks[[#This Row],[_StartWorkday]]-1)</f>
        <v>-0</v>
      </c>
      <c r="CV107" s="41" t="n">
        <f aca="false">IF(Tasks[[#This Row],[_IsLeaf]]=1,MAX(N(Tasks[[#This Row],[Duration]]),0.1),0)</f>
        <v>0</v>
      </c>
      <c r="CW107" s="41" t="n">
        <f aca="false">Tasks[[#This Row],[_WeightDur]]*Tasks[[#This Row],[_LeafProgress]]</f>
        <v>0</v>
      </c>
      <c r="CX10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7" s="41" t="str">
        <f aca="false">IF(Tasks[[#This Row],[Task Name]]="","",Tasks[[#This Row],[_Pred1UIDText]]&amp;IF(AND(Tasks[[#This Row],[_Pred1UIDText]]&lt;&gt;"",Tasks[[#This Row],[_Pred2UIDText]]&lt;&gt;""),",","")&amp;Tasks[[#This Row],[_Pred2UIDText]])</f>
        <v/>
      </c>
      <c r="DC107" s="41" t="str">
        <f aca="false">IF(AND(Tasks[[#This Row],[_IsLeaf]]=1,N(Tasks[[#This Row],[Duration]])=0,Tasks[[#This Row],[_LeafProgress]]&lt;1),Tasks[[#This Row],[_LeafFcstFinish]]+Tasks[[#This Row],[_Row]]/100000,"")</f>
        <v/>
      </c>
      <c r="DD10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7" s="41" t="n">
        <f aca="false">IF(NOT(Tasks[[#This Row],[_IsLeaf]]=1),0,IF(Tasks[[#This Row],[Baseline Cost]]="",Tasks[[#This Row],[_LeafCost]],N(Tasks[[#This Row],[Baseline Cost]])))</f>
        <v>0</v>
      </c>
      <c r="DF107" s="41" t="n">
        <f aca="false">Tasks[[#This Row],[_LeafBudget]]*Tasks[[#This Row],[_PlannedPct]]</f>
        <v>0</v>
      </c>
      <c r="DG107" s="41" t="n">
        <f aca="false">Tasks[[#This Row],[_LeafBudget]]*Tasks[[#This Row],[_LeafProgress]]</f>
        <v>0</v>
      </c>
      <c r="DH107" s="41" t="n">
        <f aca="false">IF(NOT(Tasks[[#This Row],[_IsLeaf]]=1),0,IF(Tasks[[#This Row],[Actual Cost]]="",Tasks[[#This Row],[_LeafCost]]*Tasks[[#This Row],[_LeafProgress]],N(Tasks[[#This Row],[Actual Cost]])))</f>
        <v>0</v>
      </c>
      <c r="DI107" s="41" t="str">
        <f aca="false">IF(Tasks[[#This Row],[Task Name]]="","",LEFT(Tasks[[#This Row],[WBS]],FIND(".",Tasks[[#This Row],[WBS]]&amp;".")-1))</f>
        <v/>
      </c>
      <c r="DJ107" s="41" t="str">
        <f aca="false">IF(AND(Tasks[[#This Row],[Task Name]]&lt;&gt;"",Tasks[[#This Row],[_Level]]=1),Tasks[[#This Row],[_Row]],"")</f>
        <v/>
      </c>
      <c r="DK107" s="41" t="str">
        <f aca="false">IF(AND(Tasks[[#This Row],[_IsLeaf]]=1,N(Tasks[[#This Row],[Duration]])=0),Tasks[[#This Row],[Planned Finish]]+Tasks[[#This Row],[_Row]]/100000,"")</f>
        <v/>
      </c>
      <c r="DL107" s="41" t="str">
        <f aca="false">IF(AND(Tasks[[#This Row],[_IsLeaf]]=1,Tasks[[#This Row],[_LeafProgress]]&lt;1,OR(N(Tasks[[#This Row],[Finish Var]])&gt;0,Tasks[[#This Row],[Status]]="Late Start")),MAX(0,Tasks[[#This Row],[Finish Var]])+1-Tasks[[#This Row],[_Row]]/1000000,"")</f>
        <v/>
      </c>
      <c r="DM107" s="41" t="str">
        <f aca="false">IF(AND(Tasks[[#This Row],[_IsLeaf]]=1,N(Tasks[[#This Row],[Actual Start]])=0,Tasks[[#This Row],[_LeafFcstStart]]&gt;=StatusDate,Tasks[[#This Row],[_LeafFcstStart]]&lt;=LookaheadEnd),Tasks[[#This Row],[_LeafFcstStart]]+Tasks[[#This Row],[_Row]]/100000,"")</f>
        <v/>
      </c>
      <c r="DN107" s="41" t="str">
        <f aca="false">IF(AND(Tasks[[#This Row],[_IsLeaf]]=1,Tasks[[#This Row],[_LeafProgress]]&lt;1,Tasks[[#This Row],[_LeafFcstFinish]]&gt;=StatusDate,Tasks[[#This Row],[_LeafFcstFinish]]&lt;=LookaheadEnd),Tasks[[#This Row],[_LeafFcstFinish]]+Tasks[[#This Row],[_Row]]/100000,"")</f>
        <v/>
      </c>
      <c r="DO107" s="41" t="str">
        <f aca="false">IF(Tasks[[#This Row],[_LeafCritical]],Tasks[[#This Row],[_LeafFcstStart]]+Tasks[[#This Row],[_Row]]/100000,"")</f>
        <v/>
      </c>
      <c r="DP107" s="41" t="n">
        <f aca="false">Tasks[[#This Row],[_LeafWork]]*Tasks[[#This Row],[_LeafProgress]]</f>
        <v>0</v>
      </c>
      <c r="DQ107" s="103" t="str">
        <f aca="false">IF(AND(Tasks[[#This Row],[_IsLeaf]]=1,Tasks[[#This Row],[_LeafProgress]]&gt;=1),IF(N(Tasks[[#This Row],[Actual Finish]])&gt;0,Tasks[[#This Row],[Actual Finish]],Tasks[[#This Row],[_LeafFcstFinish]]),"")</f>
        <v/>
      </c>
      <c r="DR107" s="41" t="n">
        <f aca="false">IF(Tasks[[#This Row],[_IsLeaf]]=1,N(Tasks[[#This Row],[Story Points]]),0)</f>
        <v>0</v>
      </c>
      <c r="DS107" s="41" t="str">
        <f aca="false">IF(AND(Tasks[[#This Row],[_IsLeaf]]=1,CurrentSprint&lt;&gt;"",Tasks[[#This Row],[Sprint]]=CurrentSprint),Tasks[[#This Row],[_Row]],"")</f>
        <v/>
      </c>
    </row>
    <row r="108" customFormat="false" ht="15" hidden="false" customHeight="false" outlineLevel="0" collapsed="false">
      <c r="A108" s="28" t="str">
        <f aca="false">IF(Tasks[[#This Row],[Task Name]]="","",COUNTA(Tasks[[#Headers],[Task Name]]:Tasks[[#This Row],[Task Name]])-1)</f>
        <v/>
      </c>
      <c r="B108" s="29" t="n">
        <v>103</v>
      </c>
      <c r="C10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29"/>
      <c r="E108" s="30"/>
      <c r="F108" s="29"/>
      <c r="G108" s="29"/>
      <c r="H108" s="29"/>
      <c r="I108" s="29"/>
      <c r="J108" s="29"/>
      <c r="K108" s="29"/>
      <c r="L108" s="29"/>
      <c r="M108" s="29"/>
      <c r="N108" s="77"/>
      <c r="O108" s="77"/>
      <c r="P108" s="25" t="str">
        <f aca="false">IF(Tasks[[#This Row],[Task Name]]="","",IF(N(Tasks[[#This Row],[Baseline Start]])&gt;0,Tasks[[#This Row],[Baseline Start]],Tasks[[#This Row],[_CalcStart]]))</f>
        <v/>
      </c>
      <c r="Q108" s="25" t="str">
        <f aca="false">IF(Tasks[[#This Row],[Task Name]]="","",IF(N(Tasks[[#This Row],[Baseline Finish]])&gt;0,Tasks[[#This Row],[Baseline Finish]],Tasks[[#This Row],[_CalcFinish]]))</f>
        <v/>
      </c>
      <c r="R108" s="77"/>
      <c r="S108" s="77"/>
      <c r="T108" s="25" t="str">
        <f aca="false">IF(Tasks[[#This Row],[Task Name]]="","",IF(Tasks[[#This Row],[_IsSummary]],MIN(INDEX(Tasks[_LeafFcstStart],Tasks[[#This Row],[_Row]]+1):INDEX(Tasks[_LeafFcstStart],Tasks[[#This Row],[_Row]]+Tasks[[#This Row],[_Descendants]])),Tasks[[#This Row],[_LeafFcstStart]]))</f>
        <v/>
      </c>
      <c r="U108" s="25" t="str">
        <f aca="false">IF(Tasks[[#This Row],[Task Name]]="","",IF(Tasks[[#This Row],[_IsSummary]],MAX(INDEX(Tasks[_LeafFcstFinish],Tasks[[#This Row],[_Row]]+1):INDEX(Tasks[_LeafFcstFinish],Tasks[[#This Row],[_Row]]+Tasks[[#This Row],[_Descendants]])),Tasks[[#This Row],[_LeafFcstFinish]]))</f>
        <v/>
      </c>
      <c r="V10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8" s="25" t="str">
        <f aca="false">IF(Tasks[[#This Row],[Task Name]]="","",IF(Tasks[[#This Row],[_IsSummary]],MIN(INDEX(Tasks[_LeafLateStart],Tasks[[#This Row],[_Row]]+1):INDEX(Tasks[_LeafLateStart],Tasks[[#This Row],[_Row]]+Tasks[[#This Row],[_Descendants]])),Tasks[[#This Row],[_LeafLateStart]]))</f>
        <v/>
      </c>
      <c r="Y108" s="25" t="str">
        <f aca="false">IF(Tasks[[#This Row],[Task Name]]="","",IF(Tasks[[#This Row],[_IsSummary]],MAX(INDEX(Tasks[_LeafLateFinish],Tasks[[#This Row],[_Row]]+1):INDEX(Tasks[_LeafLateFinish],Tasks[[#This Row],[_Row]]+Tasks[[#This Row],[_Descendants]])),Tasks[[#This Row],[_LeafLateFinish]]))</f>
        <v/>
      </c>
      <c r="Z108" s="43" t="str">
        <f aca="false">IF(Tasks[[#This Row],[Task Name]]="","",IF(Tasks[[#This Row],[_IsSummary]],MIN(INDEX(Tasks[_LeafTotalSlack],Tasks[[#This Row],[_Row]]+1):INDEX(Tasks[_LeafTotalSlack],Tasks[[#This Row],[_Row]]+Tasks[[#This Row],[_Descendants]])),Tasks[[#This Row],[_LeafTotalSlack]]))</f>
        <v/>
      </c>
      <c r="AA10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8" s="28" t="str">
        <f aca="false">IF(Tasks[[#This Row],[Task Name]]="","",IF(IF(Tasks[[#This Row],[_IsSummary]],COUNTIF(INDEX(Tasks[_LeafCritical],Tasks[[#This Row],[_Row]]+1):INDEX(Tasks[_LeafCritical],Tasks[[#This Row],[_Row]]+Tasks[[#This Row],[_Descendants]]),TRUE())&gt;0,Tasks[[#This Row],[_LeafCritical]]),"Yes",""))</f>
        <v/>
      </c>
      <c r="AC10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8" s="24" t="str">
        <f aca="false">IF(Tasks[[#This Row],[Task Name]]="","",TRIM(IF(Tasks[[#This Row],[_Pred1Problem]]&lt;&gt;"","Pred 1: "&amp;Tasks[[#This Row],[_Pred1Problem]]&amp;". ","")&amp;IF(Tasks[[#This Row],[_Pred2Problem]]&lt;&gt;"","Pred 2: "&amp;Tasks[[#This Row],[_Pred2Problem]]&amp;".","")))</f>
        <v/>
      </c>
      <c r="AE108" s="91"/>
      <c r="AF10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8" s="28" t="str">
        <f aca="false">IF(Tasks[[#This Row],[Task Name]]="","",IF(Tasks[[#This Row],[Progress]]&gt;=1,"Complete",IF(OR(N(Tasks[[#This Row],[Actual Start]])&gt;0,Tasks[[#This Row],[Progress]]&gt;0),IF(Tasks[[#This Row],[Finish Var]]&gt;0,"Behind","In Progress"),IF(Tasks[[#This Row],[Planned Start]]&lt;StatusDate,"Late Start","Not Started"))))</f>
        <v/>
      </c>
      <c r="AH108" s="30"/>
      <c r="AI108" s="91"/>
      <c r="AJ10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8" s="98" t="str">
        <f aca="false">IF(Tasks[[#This Row],[Task Name]]="","",IF(Tasks[[#This Row],[_IsSummary]],SUM(INDEX(Tasks[_LeafWork],Tasks[[#This Row],[_Row]]+1):INDEX(Tasks[_LeafWork],Tasks[[#This Row],[_Row]]+Tasks[[#This Row],[_Descendants]])),Tasks[[#This Row],[_LeafWork]]))</f>
        <v/>
      </c>
      <c r="AL108" s="99" t="str">
        <f aca="false">IF(Tasks[[#This Row],[Task Name]]="","",IF(Tasks[[#This Row],[_IsSummary]],SUM(INDEX(Tasks[_LeafCost],Tasks[[#This Row],[_Row]]+1):INDEX(Tasks[_LeafCost],Tasks[[#This Row],[_Row]]+Tasks[[#This Row],[_Descendants]])),Tasks[[#This Row],[_LeafCost]]))</f>
        <v/>
      </c>
      <c r="AM108" s="100"/>
      <c r="AN108" s="29"/>
      <c r="AO10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8" s="85"/>
      <c r="AQ108" s="24" t="str">
        <f aca="false">IF(Tasks[[#This Row],[Task Name]]="","",Tasks[[#This Row],[_Pred1IDText]]&amp;IF(AND(Tasks[[#This Row],[_Pred1IDText]]&lt;&gt;"",Tasks[[#This Row],[_Pred2IDText]]&lt;&gt;""),",","")&amp;Tasks[[#This Row],[_Pred2IDText]])</f>
        <v/>
      </c>
      <c r="AR108" s="30"/>
      <c r="AS108" s="25" t="str">
        <f aca="false">IF(Tasks[[#This Row],[Task Name]]="","",Tasks[[#This Row],[Forecast Start]])</f>
        <v/>
      </c>
      <c r="AT108" s="25" t="str">
        <f aca="false">IF(Tasks[[#This Row],[Task Name]]="","",Tasks[[#This Row],[Forecast Finish]])</f>
        <v/>
      </c>
      <c r="AU108" s="28" t="str">
        <f aca="false">IF(Tasks[[#This Row],[Task Name]]="","",IF(Tasks[[#This Row],[_IsSummary]],NETWORKDAYS.INTL(Tasks[[#This Row],[Forecast Start]],Tasks[[#This Row],[Forecast Finish]],WorkWeek,Holidays),N(Tasks[[#This Row],[Duration]])))</f>
        <v/>
      </c>
      <c r="AV108" s="98" t="str">
        <f aca="false">IF(Tasks[[#This Row],[Task Name]]="","",Tasks[[#This Row],[Work]])</f>
        <v/>
      </c>
      <c r="AW108" s="99" t="str">
        <f aca="false">IF(Tasks[[#This Row],[Task Name]]="","",Tasks[[#This Row],[Cost]])</f>
        <v/>
      </c>
      <c r="AX108" s="77"/>
      <c r="AY108" s="77"/>
      <c r="AZ108" s="29"/>
      <c r="BA108" s="101"/>
      <c r="BB108" s="100"/>
      <c r="BC108" s="28" t="str">
        <f aca="false">IF(OR(Tasks[[#This Row],[Task Name]]="",Tasks[[#This Row],[Baseline Duration]]=""),"",Tasks[[#This Row],[BL Source Duration]]-N(Tasks[[#This Row],[Baseline Duration]]))</f>
        <v/>
      </c>
      <c r="BD108" s="98" t="str">
        <f aca="false">IF(OR(Tasks[[#This Row],[Task Name]]="",Tasks[[#This Row],[Baseline Work]]=""),"",Tasks[[#This Row],[Work]]-N(Tasks[[#This Row],[Baseline Work]]))</f>
        <v/>
      </c>
      <c r="BE108" s="99" t="str">
        <f aca="false">IF(OR(Tasks[[#This Row],[Task Name]]="",Tasks[[#This Row],[Baseline Cost]]=""),"",Tasks[[#This Row],[Cost]]-N(Tasks[[#This Row],[Baseline Cost]]))</f>
        <v/>
      </c>
      <c r="BF108" s="99" t="str">
        <f aca="false">IF(Tasks[[#This Row],[Task Name]]="","",IF(Tasks[[#This Row],[_IsSummary]],SUM(INDEX(Tasks[_LeafBudget],Tasks[[#This Row],[_Row]]+1):INDEX(Tasks[_LeafBudget],Tasks[[#This Row],[_Row]]+Tasks[[#This Row],[_Descendants]])),Tasks[[#This Row],[_LeafBudget]]))</f>
        <v/>
      </c>
      <c r="BG108" s="99" t="str">
        <f aca="false">IF(Tasks[[#This Row],[Task Name]]="","",IF(Tasks[[#This Row],[_IsSummary]],SUM(INDEX(Tasks[_LeafPV],Tasks[[#This Row],[_Row]]+1):INDEX(Tasks[_LeafPV],Tasks[[#This Row],[_Row]]+Tasks[[#This Row],[_Descendants]])),Tasks[[#This Row],[_LeafPV]]))</f>
        <v/>
      </c>
      <c r="BH108" s="99" t="str">
        <f aca="false">IF(Tasks[[#This Row],[Task Name]]="","",IF(Tasks[[#This Row],[_IsSummary]],SUM(INDEX(Tasks[_LeafEV],Tasks[[#This Row],[_Row]]+1):INDEX(Tasks[_LeafEV],Tasks[[#This Row],[_Row]]+Tasks[[#This Row],[_Descendants]])),Tasks[[#This Row],[_LeafEV]]))</f>
        <v/>
      </c>
      <c r="BI108" s="99" t="str">
        <f aca="false">IF(Tasks[[#This Row],[Task Name]]="","",IF(Tasks[[#This Row],[_IsSummary]],SUM(INDEX(Tasks[_LeafAC],Tasks[[#This Row],[_Row]]+1):INDEX(Tasks[_LeafAC],Tasks[[#This Row],[_Row]]+Tasks[[#This Row],[_Descendants]])),Tasks[[#This Row],[_LeafAC]]))</f>
        <v/>
      </c>
      <c r="BJ108" s="41" t="str">
        <f aca="false">IF(Tasks[[#This Row],[Task Name]]="","",MAX(1,N(Tasks[[#This Row],[Level]])))</f>
        <v/>
      </c>
      <c r="BK108" s="41" t="n">
        <f aca="false">ROW()-ROW(Tasks[[#Headers],[ID]])</f>
        <v>103</v>
      </c>
      <c r="BL108" s="41" t="n">
        <f aca="false">IF(OR(Tasks[[#This Row],[Task Name]]="",Tasks[[#This Row],[_Level]]&lt;=1),0,IFERROR(LOOKUP(2,1/(Tasks[[#Headers],[_Level]]:Tasks[[#This Row],[_Level]]=Tasks[[#This Row],[_Level]]-1),ROW(Tasks[[#Headers],[_Level]]:Tasks[[#This Row],[_Level]])),0))</f>
        <v>0</v>
      </c>
      <c r="BM108" s="41" t="n">
        <f aca="false">IFERROR(N(INDEX(Tasks[_Level],Tasks[[#This Row],[_Row]]+1)),0)</f>
        <v>0</v>
      </c>
      <c r="BN108" s="102" t="b">
        <f aca="false">AND(Tasks[[#This Row],[Task Name]]&lt;&gt;"",Tasks[[#This Row],[_NextLevel]]&gt;Tasks[[#This Row],[_Level]])</f>
        <v>0</v>
      </c>
      <c r="BO108" s="41" t="n">
        <f aca="false">IF(Tasks[[#This Row],[_IsSummary]],COUNTIF(Tasks[WBS],Tasks[[#This Row],[WBS]]&amp;".*"),0)</f>
        <v>0</v>
      </c>
      <c r="BP108" s="41" t="n">
        <f aca="false">IF(AND(Tasks[[#This Row],[Task Name]]&lt;&gt;"",NOT(Tasks[[#This Row],[_IsSummary]])),1,0)</f>
        <v>0</v>
      </c>
      <c r="BQ108" s="41" t="n">
        <f aca="false">IF(N(Tasks[[#This Row],[Pred1 UID]])=0,0,IFERROR(MATCH(Tasks[[#This Row],[Pred1 UID]],Tasks[UID],0),-1))</f>
        <v>0</v>
      </c>
      <c r="BR108" s="41" t="n">
        <f aca="false">IF(N(Tasks[[#This Row],[Pred2 UID]])=0,0,IFERROR(MATCH(Tasks[[#This Row],[Pred2 UID]],Tasks[UID],0),-1))</f>
        <v>0</v>
      </c>
      <c r="BS10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8" s="103" t="str">
        <f aca="false">IF(NOT(Tasks[[#This Row],[_IsLeaf]]=1),"",IF(N(Tasks[[#This Row],[Duration]])&lt;=0,Tasks[[#This Row],[_LeafCalcStart]],WORKDAY.INTL(Tasks[[#This Row],[_LeafCalcStart]],Tasks[[#This Row],[Duration]]-1,WorkWeek,Holidays)))</f>
        <v/>
      </c>
      <c r="BU10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8" s="41" t="n">
        <f aca="false">IF(NOT(Tasks[[#This Row],[_IsLeaf]]=1),0,IF(N(Tasks[[#This Row],[Actual Finish]])&gt;0,1,MIN(1,N(Tasks[[#This Row],[% Complete]]))))</f>
        <v>0</v>
      </c>
      <c r="BX108" s="41" t="n">
        <f aca="false">IF(OR(NOT(Tasks[[#This Row],[_IsLeaf]]=1),Tasks[[#This Row],[Resource]]=""),0,N(Tasks[[#This Row],[Duration]])*HoursPerDay*IF(Tasks[[#This Row],[Units]]="",DefaultUnits,Tasks[[#This Row],[Units]]))</f>
        <v>0</v>
      </c>
      <c r="BY108" s="41" t="n">
        <f aca="false">IF(Tasks[[#This Row],[_LeafWork]]=0,0,Tasks[[#This Row],[_LeafWork]]*IFERROR(INDEX(res_Rate,MATCH(Tasks[[#This Row],[Resource]],res_Name,0)),0))</f>
        <v>0</v>
      </c>
      <c r="BZ10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8" s="41" t="n">
        <f aca="false">IF(NOT(Tasks[[#This Row],[_IsLeaf]]=1),0,MAX(_xlfn.MAXIFS(Tasks[_Row],Tasks[Pred1 UID],Tasks[[#This Row],[UID]]),_xlfn.MAXIFS(Tasks[_Row],Tasks[Pred2 UID],Tasks[[#This Row],[UID]])))</f>
        <v>0</v>
      </c>
      <c r="CE10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8" s="103" t="str">
        <f aca="false">IF(NOT(Tasks[[#This Row],[_IsLeaf]]=1),"",MIN(ProjectFinish,IF(N(Tasks[[#This Row],[Deadline]])&gt;0,Tasks[[#This Row],[Deadline]],2958465),Tasks[[#This Row],[_SuccessorFinishLimit]]))</f>
        <v/>
      </c>
      <c r="CG108" s="103" t="str">
        <f aca="false">IF(NOT(Tasks[[#This Row],[_IsLeaf]]=1),"",IF(N(Tasks[[#This Row],[Duration]])&lt;=0,Tasks[[#This Row],[_LeafLateFinish]],WORKDAY.INTL(Tasks[[#This Row],[_LeafLateFinish]],-(Tasks[[#This Row],[Duration]]-1),WorkWeek,Holidays)))</f>
        <v/>
      </c>
      <c r="CH10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8" s="102" t="b">
        <f aca="false">AND(Tasks[[#This Row],[_IsLeaf]]=1,Tasks[[#This Row],[_LeafProgress]]&lt;1,N(Tasks[[#This Row],[_LeafTotalSlack]])&lt;=CriticalSlackDays)</f>
        <v>0</v>
      </c>
      <c r="CJ108" s="103" t="str">
        <f aca="false">IF(Tasks[[#This Row],[Task Name]]="","",IF(Tasks[[#This Row],[_IsSummary]],MIN(INDEX(Tasks[_LeafCalcStart],Tasks[[#This Row],[_Row]]+1):INDEX(Tasks[_LeafCalcStart],Tasks[[#This Row],[_Row]]+Tasks[[#This Row],[_Descendants]])),Tasks[[#This Row],[_LeafCalcStart]]))</f>
        <v/>
      </c>
      <c r="CK108" s="103" t="str">
        <f aca="false">IF(Tasks[[#This Row],[Task Name]]="","",IF(Tasks[[#This Row],[_IsSummary]],MAX(INDEX(Tasks[_LeafCalcFinish],Tasks[[#This Row],[_Row]]+1):INDEX(Tasks[_LeafCalcFinish],Tasks[[#This Row],[_Row]]+Tasks[[#This Row],[_Descendants]])),Tasks[[#This Row],[_LeafCalcFinish]]))</f>
        <v/>
      </c>
      <c r="CL10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8" s="41" t="n">
        <f aca="false">IF(AND(Tasks[[#This Row],[_IsLeaf]]=1,Tasks[[#This Row],[_LeafWork]]&gt;0),NETWORKDAYS.INTL(ProjectStart,Tasks[[#This Row],[_LeafFcstStart]],WorkWeek,Holidays),0)</f>
        <v>0</v>
      </c>
      <c r="CS108" s="41" t="n">
        <f aca="false">IF(AND(Tasks[[#This Row],[_IsLeaf]]=1,Tasks[[#This Row],[_LeafWork]]&gt;0),MAX(Tasks[[#This Row],[_StartWorkday]],NETWORKDAYS.INTL(ProjectStart,Tasks[[#This Row],[_LeafFcstFinish]],WorkWeek,Holidays)),0)</f>
        <v>0</v>
      </c>
      <c r="CT108" s="41" t="n">
        <f aca="false">IF(AND(Tasks[[#This Row],[_IsLeaf]]=1,Tasks[[#This Row],[_LeafWork]]&gt;0),Tasks[[#This Row],[_LeafWork]]/(Tasks[[#This Row],[_FinishWorkday]]-Tasks[[#This Row],[_StartWorkday]]+1),0)</f>
        <v>0</v>
      </c>
      <c r="CU108" s="41" t="n">
        <f aca="false">Tasks[[#This Row],[_WorkPerWorkday]]*(Tasks[[#This Row],[_StartWorkday]]-1)</f>
        <v>-0</v>
      </c>
      <c r="CV108" s="41" t="n">
        <f aca="false">IF(Tasks[[#This Row],[_IsLeaf]]=1,MAX(N(Tasks[[#This Row],[Duration]]),0.1),0)</f>
        <v>0</v>
      </c>
      <c r="CW108" s="41" t="n">
        <f aca="false">Tasks[[#This Row],[_WeightDur]]*Tasks[[#This Row],[_LeafProgress]]</f>
        <v>0</v>
      </c>
      <c r="CX10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8" s="41" t="str">
        <f aca="false">IF(Tasks[[#This Row],[Task Name]]="","",Tasks[[#This Row],[_Pred1UIDText]]&amp;IF(AND(Tasks[[#This Row],[_Pred1UIDText]]&lt;&gt;"",Tasks[[#This Row],[_Pred2UIDText]]&lt;&gt;""),",","")&amp;Tasks[[#This Row],[_Pred2UIDText]])</f>
        <v/>
      </c>
      <c r="DC108" s="41" t="str">
        <f aca="false">IF(AND(Tasks[[#This Row],[_IsLeaf]]=1,N(Tasks[[#This Row],[Duration]])=0,Tasks[[#This Row],[_LeafProgress]]&lt;1),Tasks[[#This Row],[_LeafFcstFinish]]+Tasks[[#This Row],[_Row]]/100000,"")</f>
        <v/>
      </c>
      <c r="DD10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8" s="41" t="n">
        <f aca="false">IF(NOT(Tasks[[#This Row],[_IsLeaf]]=1),0,IF(Tasks[[#This Row],[Baseline Cost]]="",Tasks[[#This Row],[_LeafCost]],N(Tasks[[#This Row],[Baseline Cost]])))</f>
        <v>0</v>
      </c>
      <c r="DF108" s="41" t="n">
        <f aca="false">Tasks[[#This Row],[_LeafBudget]]*Tasks[[#This Row],[_PlannedPct]]</f>
        <v>0</v>
      </c>
      <c r="DG108" s="41" t="n">
        <f aca="false">Tasks[[#This Row],[_LeafBudget]]*Tasks[[#This Row],[_LeafProgress]]</f>
        <v>0</v>
      </c>
      <c r="DH108" s="41" t="n">
        <f aca="false">IF(NOT(Tasks[[#This Row],[_IsLeaf]]=1),0,IF(Tasks[[#This Row],[Actual Cost]]="",Tasks[[#This Row],[_LeafCost]]*Tasks[[#This Row],[_LeafProgress]],N(Tasks[[#This Row],[Actual Cost]])))</f>
        <v>0</v>
      </c>
      <c r="DI108" s="41" t="str">
        <f aca="false">IF(Tasks[[#This Row],[Task Name]]="","",LEFT(Tasks[[#This Row],[WBS]],FIND(".",Tasks[[#This Row],[WBS]]&amp;".")-1))</f>
        <v/>
      </c>
      <c r="DJ108" s="41" t="str">
        <f aca="false">IF(AND(Tasks[[#This Row],[Task Name]]&lt;&gt;"",Tasks[[#This Row],[_Level]]=1),Tasks[[#This Row],[_Row]],"")</f>
        <v/>
      </c>
      <c r="DK108" s="41" t="str">
        <f aca="false">IF(AND(Tasks[[#This Row],[_IsLeaf]]=1,N(Tasks[[#This Row],[Duration]])=0),Tasks[[#This Row],[Planned Finish]]+Tasks[[#This Row],[_Row]]/100000,"")</f>
        <v/>
      </c>
      <c r="DL108" s="41" t="str">
        <f aca="false">IF(AND(Tasks[[#This Row],[_IsLeaf]]=1,Tasks[[#This Row],[_LeafProgress]]&lt;1,OR(N(Tasks[[#This Row],[Finish Var]])&gt;0,Tasks[[#This Row],[Status]]="Late Start")),MAX(0,Tasks[[#This Row],[Finish Var]])+1-Tasks[[#This Row],[_Row]]/1000000,"")</f>
        <v/>
      </c>
      <c r="DM108" s="41" t="str">
        <f aca="false">IF(AND(Tasks[[#This Row],[_IsLeaf]]=1,N(Tasks[[#This Row],[Actual Start]])=0,Tasks[[#This Row],[_LeafFcstStart]]&gt;=StatusDate,Tasks[[#This Row],[_LeafFcstStart]]&lt;=LookaheadEnd),Tasks[[#This Row],[_LeafFcstStart]]+Tasks[[#This Row],[_Row]]/100000,"")</f>
        <v/>
      </c>
      <c r="DN108" s="41" t="str">
        <f aca="false">IF(AND(Tasks[[#This Row],[_IsLeaf]]=1,Tasks[[#This Row],[_LeafProgress]]&lt;1,Tasks[[#This Row],[_LeafFcstFinish]]&gt;=StatusDate,Tasks[[#This Row],[_LeafFcstFinish]]&lt;=LookaheadEnd),Tasks[[#This Row],[_LeafFcstFinish]]+Tasks[[#This Row],[_Row]]/100000,"")</f>
        <v/>
      </c>
      <c r="DO108" s="41" t="str">
        <f aca="false">IF(Tasks[[#This Row],[_LeafCritical]],Tasks[[#This Row],[_LeafFcstStart]]+Tasks[[#This Row],[_Row]]/100000,"")</f>
        <v/>
      </c>
      <c r="DP108" s="41" t="n">
        <f aca="false">Tasks[[#This Row],[_LeafWork]]*Tasks[[#This Row],[_LeafProgress]]</f>
        <v>0</v>
      </c>
      <c r="DQ108" s="103" t="str">
        <f aca="false">IF(AND(Tasks[[#This Row],[_IsLeaf]]=1,Tasks[[#This Row],[_LeafProgress]]&gt;=1),IF(N(Tasks[[#This Row],[Actual Finish]])&gt;0,Tasks[[#This Row],[Actual Finish]],Tasks[[#This Row],[_LeafFcstFinish]]),"")</f>
        <v/>
      </c>
      <c r="DR108" s="41" t="n">
        <f aca="false">IF(Tasks[[#This Row],[_IsLeaf]]=1,N(Tasks[[#This Row],[Story Points]]),0)</f>
        <v>0</v>
      </c>
      <c r="DS108" s="41" t="str">
        <f aca="false">IF(AND(Tasks[[#This Row],[_IsLeaf]]=1,CurrentSprint&lt;&gt;"",Tasks[[#This Row],[Sprint]]=CurrentSprint),Tasks[[#This Row],[_Row]],"")</f>
        <v/>
      </c>
    </row>
    <row r="109" customFormat="false" ht="15" hidden="false" customHeight="false" outlineLevel="0" collapsed="false">
      <c r="A109" s="28" t="str">
        <f aca="false">IF(Tasks[[#This Row],[Task Name]]="","",COUNTA(Tasks[[#Headers],[Task Name]]:Tasks[[#This Row],[Task Name]])-1)</f>
        <v/>
      </c>
      <c r="B109" s="29" t="n">
        <v>104</v>
      </c>
      <c r="C10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29"/>
      <c r="E109" s="30"/>
      <c r="F109" s="29"/>
      <c r="G109" s="29"/>
      <c r="H109" s="29"/>
      <c r="I109" s="29"/>
      <c r="J109" s="29"/>
      <c r="K109" s="29"/>
      <c r="L109" s="29"/>
      <c r="M109" s="29"/>
      <c r="N109" s="77"/>
      <c r="O109" s="77"/>
      <c r="P109" s="25" t="str">
        <f aca="false">IF(Tasks[[#This Row],[Task Name]]="","",IF(N(Tasks[[#This Row],[Baseline Start]])&gt;0,Tasks[[#This Row],[Baseline Start]],Tasks[[#This Row],[_CalcStart]]))</f>
        <v/>
      </c>
      <c r="Q109" s="25" t="str">
        <f aca="false">IF(Tasks[[#This Row],[Task Name]]="","",IF(N(Tasks[[#This Row],[Baseline Finish]])&gt;0,Tasks[[#This Row],[Baseline Finish]],Tasks[[#This Row],[_CalcFinish]]))</f>
        <v/>
      </c>
      <c r="R109" s="77"/>
      <c r="S109" s="77"/>
      <c r="T109" s="25" t="str">
        <f aca="false">IF(Tasks[[#This Row],[Task Name]]="","",IF(Tasks[[#This Row],[_IsSummary]],MIN(INDEX(Tasks[_LeafFcstStart],Tasks[[#This Row],[_Row]]+1):INDEX(Tasks[_LeafFcstStart],Tasks[[#This Row],[_Row]]+Tasks[[#This Row],[_Descendants]])),Tasks[[#This Row],[_LeafFcstStart]]))</f>
        <v/>
      </c>
      <c r="U109" s="25" t="str">
        <f aca="false">IF(Tasks[[#This Row],[Task Name]]="","",IF(Tasks[[#This Row],[_IsSummary]],MAX(INDEX(Tasks[_LeafFcstFinish],Tasks[[#This Row],[_Row]]+1):INDEX(Tasks[_LeafFcstFinish],Tasks[[#This Row],[_Row]]+Tasks[[#This Row],[_Descendants]])),Tasks[[#This Row],[_LeafFcstFinish]]))</f>
        <v/>
      </c>
      <c r="V10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0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9" s="25" t="str">
        <f aca="false">IF(Tasks[[#This Row],[Task Name]]="","",IF(Tasks[[#This Row],[_IsSummary]],MIN(INDEX(Tasks[_LeafLateStart],Tasks[[#This Row],[_Row]]+1):INDEX(Tasks[_LeafLateStart],Tasks[[#This Row],[_Row]]+Tasks[[#This Row],[_Descendants]])),Tasks[[#This Row],[_LeafLateStart]]))</f>
        <v/>
      </c>
      <c r="Y109" s="25" t="str">
        <f aca="false">IF(Tasks[[#This Row],[Task Name]]="","",IF(Tasks[[#This Row],[_IsSummary]],MAX(INDEX(Tasks[_LeafLateFinish],Tasks[[#This Row],[_Row]]+1):INDEX(Tasks[_LeafLateFinish],Tasks[[#This Row],[_Row]]+Tasks[[#This Row],[_Descendants]])),Tasks[[#This Row],[_LeafLateFinish]]))</f>
        <v/>
      </c>
      <c r="Z109" s="43" t="str">
        <f aca="false">IF(Tasks[[#This Row],[Task Name]]="","",IF(Tasks[[#This Row],[_IsSummary]],MIN(INDEX(Tasks[_LeafTotalSlack],Tasks[[#This Row],[_Row]]+1):INDEX(Tasks[_LeafTotalSlack],Tasks[[#This Row],[_Row]]+Tasks[[#This Row],[_Descendants]])),Tasks[[#This Row],[_LeafTotalSlack]]))</f>
        <v/>
      </c>
      <c r="AA10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9" s="28" t="str">
        <f aca="false">IF(Tasks[[#This Row],[Task Name]]="","",IF(IF(Tasks[[#This Row],[_IsSummary]],COUNTIF(INDEX(Tasks[_LeafCritical],Tasks[[#This Row],[_Row]]+1):INDEX(Tasks[_LeafCritical],Tasks[[#This Row],[_Row]]+Tasks[[#This Row],[_Descendants]]),TRUE())&gt;0,Tasks[[#This Row],[_LeafCritical]]),"Yes",""))</f>
        <v/>
      </c>
      <c r="AC10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9" s="24" t="str">
        <f aca="false">IF(Tasks[[#This Row],[Task Name]]="","",TRIM(IF(Tasks[[#This Row],[_Pred1Problem]]&lt;&gt;"","Pred 1: "&amp;Tasks[[#This Row],[_Pred1Problem]]&amp;". ","")&amp;IF(Tasks[[#This Row],[_Pred2Problem]]&lt;&gt;"","Pred 2: "&amp;Tasks[[#This Row],[_Pred2Problem]]&amp;".","")))</f>
        <v/>
      </c>
      <c r="AE109" s="91"/>
      <c r="AF10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9" s="28" t="str">
        <f aca="false">IF(Tasks[[#This Row],[Task Name]]="","",IF(Tasks[[#This Row],[Progress]]&gt;=1,"Complete",IF(OR(N(Tasks[[#This Row],[Actual Start]])&gt;0,Tasks[[#This Row],[Progress]]&gt;0),IF(Tasks[[#This Row],[Finish Var]]&gt;0,"Behind","In Progress"),IF(Tasks[[#This Row],[Planned Start]]&lt;StatusDate,"Late Start","Not Started"))))</f>
        <v/>
      </c>
      <c r="AH109" s="30"/>
      <c r="AI109" s="91"/>
      <c r="AJ10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9" s="98" t="str">
        <f aca="false">IF(Tasks[[#This Row],[Task Name]]="","",IF(Tasks[[#This Row],[_IsSummary]],SUM(INDEX(Tasks[_LeafWork],Tasks[[#This Row],[_Row]]+1):INDEX(Tasks[_LeafWork],Tasks[[#This Row],[_Row]]+Tasks[[#This Row],[_Descendants]])),Tasks[[#This Row],[_LeafWork]]))</f>
        <v/>
      </c>
      <c r="AL109" s="99" t="str">
        <f aca="false">IF(Tasks[[#This Row],[Task Name]]="","",IF(Tasks[[#This Row],[_IsSummary]],SUM(INDEX(Tasks[_LeafCost],Tasks[[#This Row],[_Row]]+1):INDEX(Tasks[_LeafCost],Tasks[[#This Row],[_Row]]+Tasks[[#This Row],[_Descendants]])),Tasks[[#This Row],[_LeafCost]]))</f>
        <v/>
      </c>
      <c r="AM109" s="100"/>
      <c r="AN109" s="29"/>
      <c r="AO10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9" s="85"/>
      <c r="AQ109" s="24" t="str">
        <f aca="false">IF(Tasks[[#This Row],[Task Name]]="","",Tasks[[#This Row],[_Pred1IDText]]&amp;IF(AND(Tasks[[#This Row],[_Pred1IDText]]&lt;&gt;"",Tasks[[#This Row],[_Pred2IDText]]&lt;&gt;""),",","")&amp;Tasks[[#This Row],[_Pred2IDText]])</f>
        <v/>
      </c>
      <c r="AR109" s="30"/>
      <c r="AS109" s="25" t="str">
        <f aca="false">IF(Tasks[[#This Row],[Task Name]]="","",Tasks[[#This Row],[Forecast Start]])</f>
        <v/>
      </c>
      <c r="AT109" s="25" t="str">
        <f aca="false">IF(Tasks[[#This Row],[Task Name]]="","",Tasks[[#This Row],[Forecast Finish]])</f>
        <v/>
      </c>
      <c r="AU109" s="28" t="str">
        <f aca="false">IF(Tasks[[#This Row],[Task Name]]="","",IF(Tasks[[#This Row],[_IsSummary]],NETWORKDAYS.INTL(Tasks[[#This Row],[Forecast Start]],Tasks[[#This Row],[Forecast Finish]],WorkWeek,Holidays),N(Tasks[[#This Row],[Duration]])))</f>
        <v/>
      </c>
      <c r="AV109" s="98" t="str">
        <f aca="false">IF(Tasks[[#This Row],[Task Name]]="","",Tasks[[#This Row],[Work]])</f>
        <v/>
      </c>
      <c r="AW109" s="99" t="str">
        <f aca="false">IF(Tasks[[#This Row],[Task Name]]="","",Tasks[[#This Row],[Cost]])</f>
        <v/>
      </c>
      <c r="AX109" s="77"/>
      <c r="AY109" s="77"/>
      <c r="AZ109" s="29"/>
      <c r="BA109" s="101"/>
      <c r="BB109" s="100"/>
      <c r="BC109" s="28" t="str">
        <f aca="false">IF(OR(Tasks[[#This Row],[Task Name]]="",Tasks[[#This Row],[Baseline Duration]]=""),"",Tasks[[#This Row],[BL Source Duration]]-N(Tasks[[#This Row],[Baseline Duration]]))</f>
        <v/>
      </c>
      <c r="BD109" s="98" t="str">
        <f aca="false">IF(OR(Tasks[[#This Row],[Task Name]]="",Tasks[[#This Row],[Baseline Work]]=""),"",Tasks[[#This Row],[Work]]-N(Tasks[[#This Row],[Baseline Work]]))</f>
        <v/>
      </c>
      <c r="BE109" s="99" t="str">
        <f aca="false">IF(OR(Tasks[[#This Row],[Task Name]]="",Tasks[[#This Row],[Baseline Cost]]=""),"",Tasks[[#This Row],[Cost]]-N(Tasks[[#This Row],[Baseline Cost]]))</f>
        <v/>
      </c>
      <c r="BF109" s="99" t="str">
        <f aca="false">IF(Tasks[[#This Row],[Task Name]]="","",IF(Tasks[[#This Row],[_IsSummary]],SUM(INDEX(Tasks[_LeafBudget],Tasks[[#This Row],[_Row]]+1):INDEX(Tasks[_LeafBudget],Tasks[[#This Row],[_Row]]+Tasks[[#This Row],[_Descendants]])),Tasks[[#This Row],[_LeafBudget]]))</f>
        <v/>
      </c>
      <c r="BG109" s="99" t="str">
        <f aca="false">IF(Tasks[[#This Row],[Task Name]]="","",IF(Tasks[[#This Row],[_IsSummary]],SUM(INDEX(Tasks[_LeafPV],Tasks[[#This Row],[_Row]]+1):INDEX(Tasks[_LeafPV],Tasks[[#This Row],[_Row]]+Tasks[[#This Row],[_Descendants]])),Tasks[[#This Row],[_LeafPV]]))</f>
        <v/>
      </c>
      <c r="BH109" s="99" t="str">
        <f aca="false">IF(Tasks[[#This Row],[Task Name]]="","",IF(Tasks[[#This Row],[_IsSummary]],SUM(INDEX(Tasks[_LeafEV],Tasks[[#This Row],[_Row]]+1):INDEX(Tasks[_LeafEV],Tasks[[#This Row],[_Row]]+Tasks[[#This Row],[_Descendants]])),Tasks[[#This Row],[_LeafEV]]))</f>
        <v/>
      </c>
      <c r="BI109" s="99" t="str">
        <f aca="false">IF(Tasks[[#This Row],[Task Name]]="","",IF(Tasks[[#This Row],[_IsSummary]],SUM(INDEX(Tasks[_LeafAC],Tasks[[#This Row],[_Row]]+1):INDEX(Tasks[_LeafAC],Tasks[[#This Row],[_Row]]+Tasks[[#This Row],[_Descendants]])),Tasks[[#This Row],[_LeafAC]]))</f>
        <v/>
      </c>
      <c r="BJ109" s="41" t="str">
        <f aca="false">IF(Tasks[[#This Row],[Task Name]]="","",MAX(1,N(Tasks[[#This Row],[Level]])))</f>
        <v/>
      </c>
      <c r="BK109" s="41" t="n">
        <f aca="false">ROW()-ROW(Tasks[[#Headers],[ID]])</f>
        <v>104</v>
      </c>
      <c r="BL109" s="41" t="n">
        <f aca="false">IF(OR(Tasks[[#This Row],[Task Name]]="",Tasks[[#This Row],[_Level]]&lt;=1),0,IFERROR(LOOKUP(2,1/(Tasks[[#Headers],[_Level]]:Tasks[[#This Row],[_Level]]=Tasks[[#This Row],[_Level]]-1),ROW(Tasks[[#Headers],[_Level]]:Tasks[[#This Row],[_Level]])),0))</f>
        <v>0</v>
      </c>
      <c r="BM109" s="41" t="n">
        <f aca="false">IFERROR(N(INDEX(Tasks[_Level],Tasks[[#This Row],[_Row]]+1)),0)</f>
        <v>0</v>
      </c>
      <c r="BN109" s="102" t="b">
        <f aca="false">AND(Tasks[[#This Row],[Task Name]]&lt;&gt;"",Tasks[[#This Row],[_NextLevel]]&gt;Tasks[[#This Row],[_Level]])</f>
        <v>0</v>
      </c>
      <c r="BO109" s="41" t="n">
        <f aca="false">IF(Tasks[[#This Row],[_IsSummary]],COUNTIF(Tasks[WBS],Tasks[[#This Row],[WBS]]&amp;".*"),0)</f>
        <v>0</v>
      </c>
      <c r="BP109" s="41" t="n">
        <f aca="false">IF(AND(Tasks[[#This Row],[Task Name]]&lt;&gt;"",NOT(Tasks[[#This Row],[_IsSummary]])),1,0)</f>
        <v>0</v>
      </c>
      <c r="BQ109" s="41" t="n">
        <f aca="false">IF(N(Tasks[[#This Row],[Pred1 UID]])=0,0,IFERROR(MATCH(Tasks[[#This Row],[Pred1 UID]],Tasks[UID],0),-1))</f>
        <v>0</v>
      </c>
      <c r="BR109" s="41" t="n">
        <f aca="false">IF(N(Tasks[[#This Row],[Pred2 UID]])=0,0,IFERROR(MATCH(Tasks[[#This Row],[Pred2 UID]],Tasks[UID],0),-1))</f>
        <v>0</v>
      </c>
      <c r="BS10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9" s="103" t="str">
        <f aca="false">IF(NOT(Tasks[[#This Row],[_IsLeaf]]=1),"",IF(N(Tasks[[#This Row],[Duration]])&lt;=0,Tasks[[#This Row],[_LeafCalcStart]],WORKDAY.INTL(Tasks[[#This Row],[_LeafCalcStart]],Tasks[[#This Row],[Duration]]-1,WorkWeek,Holidays)))</f>
        <v/>
      </c>
      <c r="BU10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9" s="41" t="n">
        <f aca="false">IF(NOT(Tasks[[#This Row],[_IsLeaf]]=1),0,IF(N(Tasks[[#This Row],[Actual Finish]])&gt;0,1,MIN(1,N(Tasks[[#This Row],[% Complete]]))))</f>
        <v>0</v>
      </c>
      <c r="BX109" s="41" t="n">
        <f aca="false">IF(OR(NOT(Tasks[[#This Row],[_IsLeaf]]=1),Tasks[[#This Row],[Resource]]=""),0,N(Tasks[[#This Row],[Duration]])*HoursPerDay*IF(Tasks[[#This Row],[Units]]="",DefaultUnits,Tasks[[#This Row],[Units]]))</f>
        <v>0</v>
      </c>
      <c r="BY109" s="41" t="n">
        <f aca="false">IF(Tasks[[#This Row],[_LeafWork]]=0,0,Tasks[[#This Row],[_LeafWork]]*IFERROR(INDEX(res_Rate,MATCH(Tasks[[#This Row],[Resource]],res_Name,0)),0))</f>
        <v>0</v>
      </c>
      <c r="BZ10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9" s="41" t="n">
        <f aca="false">IF(NOT(Tasks[[#This Row],[_IsLeaf]]=1),0,MAX(_xlfn.MAXIFS(Tasks[_Row],Tasks[Pred1 UID],Tasks[[#This Row],[UID]]),_xlfn.MAXIFS(Tasks[_Row],Tasks[Pred2 UID],Tasks[[#This Row],[UID]])))</f>
        <v>0</v>
      </c>
      <c r="CE10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9" s="103" t="str">
        <f aca="false">IF(NOT(Tasks[[#This Row],[_IsLeaf]]=1),"",MIN(ProjectFinish,IF(N(Tasks[[#This Row],[Deadline]])&gt;0,Tasks[[#This Row],[Deadline]],2958465),Tasks[[#This Row],[_SuccessorFinishLimit]]))</f>
        <v/>
      </c>
      <c r="CG109" s="103" t="str">
        <f aca="false">IF(NOT(Tasks[[#This Row],[_IsLeaf]]=1),"",IF(N(Tasks[[#This Row],[Duration]])&lt;=0,Tasks[[#This Row],[_LeafLateFinish]],WORKDAY.INTL(Tasks[[#This Row],[_LeafLateFinish]],-(Tasks[[#This Row],[Duration]]-1),WorkWeek,Holidays)))</f>
        <v/>
      </c>
      <c r="CH10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9" s="102" t="b">
        <f aca="false">AND(Tasks[[#This Row],[_IsLeaf]]=1,Tasks[[#This Row],[_LeafProgress]]&lt;1,N(Tasks[[#This Row],[_LeafTotalSlack]])&lt;=CriticalSlackDays)</f>
        <v>0</v>
      </c>
      <c r="CJ109" s="103" t="str">
        <f aca="false">IF(Tasks[[#This Row],[Task Name]]="","",IF(Tasks[[#This Row],[_IsSummary]],MIN(INDEX(Tasks[_LeafCalcStart],Tasks[[#This Row],[_Row]]+1):INDEX(Tasks[_LeafCalcStart],Tasks[[#This Row],[_Row]]+Tasks[[#This Row],[_Descendants]])),Tasks[[#This Row],[_LeafCalcStart]]))</f>
        <v/>
      </c>
      <c r="CK109" s="103" t="str">
        <f aca="false">IF(Tasks[[#This Row],[Task Name]]="","",IF(Tasks[[#This Row],[_IsSummary]],MAX(INDEX(Tasks[_LeafCalcFinish],Tasks[[#This Row],[_Row]]+1):INDEX(Tasks[_LeafCalcFinish],Tasks[[#This Row],[_Row]]+Tasks[[#This Row],[_Descendants]])),Tasks[[#This Row],[_LeafCalcFinish]]))</f>
        <v/>
      </c>
      <c r="CL10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9" s="41" t="n">
        <f aca="false">IF(AND(Tasks[[#This Row],[_IsLeaf]]=1,Tasks[[#This Row],[_LeafWork]]&gt;0),NETWORKDAYS.INTL(ProjectStart,Tasks[[#This Row],[_LeafFcstStart]],WorkWeek,Holidays),0)</f>
        <v>0</v>
      </c>
      <c r="CS109" s="41" t="n">
        <f aca="false">IF(AND(Tasks[[#This Row],[_IsLeaf]]=1,Tasks[[#This Row],[_LeafWork]]&gt;0),MAX(Tasks[[#This Row],[_StartWorkday]],NETWORKDAYS.INTL(ProjectStart,Tasks[[#This Row],[_LeafFcstFinish]],WorkWeek,Holidays)),0)</f>
        <v>0</v>
      </c>
      <c r="CT109" s="41" t="n">
        <f aca="false">IF(AND(Tasks[[#This Row],[_IsLeaf]]=1,Tasks[[#This Row],[_LeafWork]]&gt;0),Tasks[[#This Row],[_LeafWork]]/(Tasks[[#This Row],[_FinishWorkday]]-Tasks[[#This Row],[_StartWorkday]]+1),0)</f>
        <v>0</v>
      </c>
      <c r="CU109" s="41" t="n">
        <f aca="false">Tasks[[#This Row],[_WorkPerWorkday]]*(Tasks[[#This Row],[_StartWorkday]]-1)</f>
        <v>-0</v>
      </c>
      <c r="CV109" s="41" t="n">
        <f aca="false">IF(Tasks[[#This Row],[_IsLeaf]]=1,MAX(N(Tasks[[#This Row],[Duration]]),0.1),0)</f>
        <v>0</v>
      </c>
      <c r="CW109" s="41" t="n">
        <f aca="false">Tasks[[#This Row],[_WeightDur]]*Tasks[[#This Row],[_LeafProgress]]</f>
        <v>0</v>
      </c>
      <c r="CX10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9" s="41" t="str">
        <f aca="false">IF(Tasks[[#This Row],[Task Name]]="","",Tasks[[#This Row],[_Pred1UIDText]]&amp;IF(AND(Tasks[[#This Row],[_Pred1UIDText]]&lt;&gt;"",Tasks[[#This Row],[_Pred2UIDText]]&lt;&gt;""),",","")&amp;Tasks[[#This Row],[_Pred2UIDText]])</f>
        <v/>
      </c>
      <c r="DC109" s="41" t="str">
        <f aca="false">IF(AND(Tasks[[#This Row],[_IsLeaf]]=1,N(Tasks[[#This Row],[Duration]])=0,Tasks[[#This Row],[_LeafProgress]]&lt;1),Tasks[[#This Row],[_LeafFcstFinish]]+Tasks[[#This Row],[_Row]]/100000,"")</f>
        <v/>
      </c>
      <c r="DD10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9" s="41" t="n">
        <f aca="false">IF(NOT(Tasks[[#This Row],[_IsLeaf]]=1),0,IF(Tasks[[#This Row],[Baseline Cost]]="",Tasks[[#This Row],[_LeafCost]],N(Tasks[[#This Row],[Baseline Cost]])))</f>
        <v>0</v>
      </c>
      <c r="DF109" s="41" t="n">
        <f aca="false">Tasks[[#This Row],[_LeafBudget]]*Tasks[[#This Row],[_PlannedPct]]</f>
        <v>0</v>
      </c>
      <c r="DG109" s="41" t="n">
        <f aca="false">Tasks[[#This Row],[_LeafBudget]]*Tasks[[#This Row],[_LeafProgress]]</f>
        <v>0</v>
      </c>
      <c r="DH109" s="41" t="n">
        <f aca="false">IF(NOT(Tasks[[#This Row],[_IsLeaf]]=1),0,IF(Tasks[[#This Row],[Actual Cost]]="",Tasks[[#This Row],[_LeafCost]]*Tasks[[#This Row],[_LeafProgress]],N(Tasks[[#This Row],[Actual Cost]])))</f>
        <v>0</v>
      </c>
      <c r="DI109" s="41" t="str">
        <f aca="false">IF(Tasks[[#This Row],[Task Name]]="","",LEFT(Tasks[[#This Row],[WBS]],FIND(".",Tasks[[#This Row],[WBS]]&amp;".")-1))</f>
        <v/>
      </c>
      <c r="DJ109" s="41" t="str">
        <f aca="false">IF(AND(Tasks[[#This Row],[Task Name]]&lt;&gt;"",Tasks[[#This Row],[_Level]]=1),Tasks[[#This Row],[_Row]],"")</f>
        <v/>
      </c>
      <c r="DK109" s="41" t="str">
        <f aca="false">IF(AND(Tasks[[#This Row],[_IsLeaf]]=1,N(Tasks[[#This Row],[Duration]])=0),Tasks[[#This Row],[Planned Finish]]+Tasks[[#This Row],[_Row]]/100000,"")</f>
        <v/>
      </c>
      <c r="DL109" s="41" t="str">
        <f aca="false">IF(AND(Tasks[[#This Row],[_IsLeaf]]=1,Tasks[[#This Row],[_LeafProgress]]&lt;1,OR(N(Tasks[[#This Row],[Finish Var]])&gt;0,Tasks[[#This Row],[Status]]="Late Start")),MAX(0,Tasks[[#This Row],[Finish Var]])+1-Tasks[[#This Row],[_Row]]/1000000,"")</f>
        <v/>
      </c>
      <c r="DM109" s="41" t="str">
        <f aca="false">IF(AND(Tasks[[#This Row],[_IsLeaf]]=1,N(Tasks[[#This Row],[Actual Start]])=0,Tasks[[#This Row],[_LeafFcstStart]]&gt;=StatusDate,Tasks[[#This Row],[_LeafFcstStart]]&lt;=LookaheadEnd),Tasks[[#This Row],[_LeafFcstStart]]+Tasks[[#This Row],[_Row]]/100000,"")</f>
        <v/>
      </c>
      <c r="DN109" s="41" t="str">
        <f aca="false">IF(AND(Tasks[[#This Row],[_IsLeaf]]=1,Tasks[[#This Row],[_LeafProgress]]&lt;1,Tasks[[#This Row],[_LeafFcstFinish]]&gt;=StatusDate,Tasks[[#This Row],[_LeafFcstFinish]]&lt;=LookaheadEnd),Tasks[[#This Row],[_LeafFcstFinish]]+Tasks[[#This Row],[_Row]]/100000,"")</f>
        <v/>
      </c>
      <c r="DO109" s="41" t="str">
        <f aca="false">IF(Tasks[[#This Row],[_LeafCritical]],Tasks[[#This Row],[_LeafFcstStart]]+Tasks[[#This Row],[_Row]]/100000,"")</f>
        <v/>
      </c>
      <c r="DP109" s="41" t="n">
        <f aca="false">Tasks[[#This Row],[_LeafWork]]*Tasks[[#This Row],[_LeafProgress]]</f>
        <v>0</v>
      </c>
      <c r="DQ109" s="103" t="str">
        <f aca="false">IF(AND(Tasks[[#This Row],[_IsLeaf]]=1,Tasks[[#This Row],[_LeafProgress]]&gt;=1),IF(N(Tasks[[#This Row],[Actual Finish]])&gt;0,Tasks[[#This Row],[Actual Finish]],Tasks[[#This Row],[_LeafFcstFinish]]),"")</f>
        <v/>
      </c>
      <c r="DR109" s="41" t="n">
        <f aca="false">IF(Tasks[[#This Row],[_IsLeaf]]=1,N(Tasks[[#This Row],[Story Points]]),0)</f>
        <v>0</v>
      </c>
      <c r="DS109" s="41" t="str">
        <f aca="false">IF(AND(Tasks[[#This Row],[_IsLeaf]]=1,CurrentSprint&lt;&gt;"",Tasks[[#This Row],[Sprint]]=CurrentSprint),Tasks[[#This Row],[_Row]],"")</f>
        <v/>
      </c>
    </row>
    <row r="110" customFormat="false" ht="15" hidden="false" customHeight="false" outlineLevel="0" collapsed="false">
      <c r="A110" s="28" t="str">
        <f aca="false">IF(Tasks[[#This Row],[Task Name]]="","",COUNTA(Tasks[[#Headers],[Task Name]]:Tasks[[#This Row],[Task Name]])-1)</f>
        <v/>
      </c>
      <c r="B110" s="29" t="n">
        <v>105</v>
      </c>
      <c r="C1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29"/>
      <c r="E110" s="30"/>
      <c r="F110" s="29"/>
      <c r="G110" s="29"/>
      <c r="H110" s="29"/>
      <c r="I110" s="29"/>
      <c r="J110" s="29"/>
      <c r="K110" s="29"/>
      <c r="L110" s="29"/>
      <c r="M110" s="29"/>
      <c r="N110" s="77"/>
      <c r="O110" s="77"/>
      <c r="P110" s="25" t="str">
        <f aca="false">IF(Tasks[[#This Row],[Task Name]]="","",IF(N(Tasks[[#This Row],[Baseline Start]])&gt;0,Tasks[[#This Row],[Baseline Start]],Tasks[[#This Row],[_CalcStart]]))</f>
        <v/>
      </c>
      <c r="Q110" s="25" t="str">
        <f aca="false">IF(Tasks[[#This Row],[Task Name]]="","",IF(N(Tasks[[#This Row],[Baseline Finish]])&gt;0,Tasks[[#This Row],[Baseline Finish]],Tasks[[#This Row],[_CalcFinish]]))</f>
        <v/>
      </c>
      <c r="R110" s="77"/>
      <c r="S110" s="77"/>
      <c r="T110" s="25" t="str">
        <f aca="false">IF(Tasks[[#This Row],[Task Name]]="","",IF(Tasks[[#This Row],[_IsSummary]],MIN(INDEX(Tasks[_LeafFcstStart],Tasks[[#This Row],[_Row]]+1):INDEX(Tasks[_LeafFcstStart],Tasks[[#This Row],[_Row]]+Tasks[[#This Row],[_Descendants]])),Tasks[[#This Row],[_LeafFcstStart]]))</f>
        <v/>
      </c>
      <c r="U110" s="25" t="str">
        <f aca="false">IF(Tasks[[#This Row],[Task Name]]="","",IF(Tasks[[#This Row],[_IsSummary]],MAX(INDEX(Tasks[_LeafFcstFinish],Tasks[[#This Row],[_Row]]+1):INDEX(Tasks[_LeafFcstFinish],Tasks[[#This Row],[_Row]]+Tasks[[#This Row],[_Descendants]])),Tasks[[#This Row],[_LeafFcstFinish]]))</f>
        <v/>
      </c>
      <c r="V11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0" s="25" t="str">
        <f aca="false">IF(Tasks[[#This Row],[Task Name]]="","",IF(Tasks[[#This Row],[_IsSummary]],MIN(INDEX(Tasks[_LeafLateStart],Tasks[[#This Row],[_Row]]+1):INDEX(Tasks[_LeafLateStart],Tasks[[#This Row],[_Row]]+Tasks[[#This Row],[_Descendants]])),Tasks[[#This Row],[_LeafLateStart]]))</f>
        <v/>
      </c>
      <c r="Y110" s="25" t="str">
        <f aca="false">IF(Tasks[[#This Row],[Task Name]]="","",IF(Tasks[[#This Row],[_IsSummary]],MAX(INDEX(Tasks[_LeafLateFinish],Tasks[[#This Row],[_Row]]+1):INDEX(Tasks[_LeafLateFinish],Tasks[[#This Row],[_Row]]+Tasks[[#This Row],[_Descendants]])),Tasks[[#This Row],[_LeafLateFinish]]))</f>
        <v/>
      </c>
      <c r="Z110" s="43" t="str">
        <f aca="false">IF(Tasks[[#This Row],[Task Name]]="","",IF(Tasks[[#This Row],[_IsSummary]],MIN(INDEX(Tasks[_LeafTotalSlack],Tasks[[#This Row],[_Row]]+1):INDEX(Tasks[_LeafTotalSlack],Tasks[[#This Row],[_Row]]+Tasks[[#This Row],[_Descendants]])),Tasks[[#This Row],[_LeafTotalSlack]]))</f>
        <v/>
      </c>
      <c r="AA1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0" s="28" t="str">
        <f aca="false">IF(Tasks[[#This Row],[Task Name]]="","",IF(IF(Tasks[[#This Row],[_IsSummary]],COUNTIF(INDEX(Tasks[_LeafCritical],Tasks[[#This Row],[_Row]]+1):INDEX(Tasks[_LeafCritical],Tasks[[#This Row],[_Row]]+Tasks[[#This Row],[_Descendants]]),TRUE())&gt;0,Tasks[[#This Row],[_LeafCritical]]),"Yes",""))</f>
        <v/>
      </c>
      <c r="AC1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0" s="24" t="str">
        <f aca="false">IF(Tasks[[#This Row],[Task Name]]="","",TRIM(IF(Tasks[[#This Row],[_Pred1Problem]]&lt;&gt;"","Pred 1: "&amp;Tasks[[#This Row],[_Pred1Problem]]&amp;". ","")&amp;IF(Tasks[[#This Row],[_Pred2Problem]]&lt;&gt;"","Pred 2: "&amp;Tasks[[#This Row],[_Pred2Problem]]&amp;".","")))</f>
        <v/>
      </c>
      <c r="AE110" s="91"/>
      <c r="AF11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0" s="28" t="str">
        <f aca="false">IF(Tasks[[#This Row],[Task Name]]="","",IF(Tasks[[#This Row],[Progress]]&gt;=1,"Complete",IF(OR(N(Tasks[[#This Row],[Actual Start]])&gt;0,Tasks[[#This Row],[Progress]]&gt;0),IF(Tasks[[#This Row],[Finish Var]]&gt;0,"Behind","In Progress"),IF(Tasks[[#This Row],[Planned Start]]&lt;StatusDate,"Late Start","Not Started"))))</f>
        <v/>
      </c>
      <c r="AH110" s="30"/>
      <c r="AI110" s="91"/>
      <c r="AJ11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0" s="98" t="str">
        <f aca="false">IF(Tasks[[#This Row],[Task Name]]="","",IF(Tasks[[#This Row],[_IsSummary]],SUM(INDEX(Tasks[_LeafWork],Tasks[[#This Row],[_Row]]+1):INDEX(Tasks[_LeafWork],Tasks[[#This Row],[_Row]]+Tasks[[#This Row],[_Descendants]])),Tasks[[#This Row],[_LeafWork]]))</f>
        <v/>
      </c>
      <c r="AL110" s="99" t="str">
        <f aca="false">IF(Tasks[[#This Row],[Task Name]]="","",IF(Tasks[[#This Row],[_IsSummary]],SUM(INDEX(Tasks[_LeafCost],Tasks[[#This Row],[_Row]]+1):INDEX(Tasks[_LeafCost],Tasks[[#This Row],[_Row]]+Tasks[[#This Row],[_Descendants]])),Tasks[[#This Row],[_LeafCost]]))</f>
        <v/>
      </c>
      <c r="AM110" s="100"/>
      <c r="AN110" s="29"/>
      <c r="AO1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0" s="85"/>
      <c r="AQ110" s="24" t="str">
        <f aca="false">IF(Tasks[[#This Row],[Task Name]]="","",Tasks[[#This Row],[_Pred1IDText]]&amp;IF(AND(Tasks[[#This Row],[_Pred1IDText]]&lt;&gt;"",Tasks[[#This Row],[_Pred2IDText]]&lt;&gt;""),",","")&amp;Tasks[[#This Row],[_Pred2IDText]])</f>
        <v/>
      </c>
      <c r="AR110" s="30"/>
      <c r="AS110" s="25" t="str">
        <f aca="false">IF(Tasks[[#This Row],[Task Name]]="","",Tasks[[#This Row],[Forecast Start]])</f>
        <v/>
      </c>
      <c r="AT110" s="25" t="str">
        <f aca="false">IF(Tasks[[#This Row],[Task Name]]="","",Tasks[[#This Row],[Forecast Finish]])</f>
        <v/>
      </c>
      <c r="AU110" s="28" t="str">
        <f aca="false">IF(Tasks[[#This Row],[Task Name]]="","",IF(Tasks[[#This Row],[_IsSummary]],NETWORKDAYS.INTL(Tasks[[#This Row],[Forecast Start]],Tasks[[#This Row],[Forecast Finish]],WorkWeek,Holidays),N(Tasks[[#This Row],[Duration]])))</f>
        <v/>
      </c>
      <c r="AV110" s="98" t="str">
        <f aca="false">IF(Tasks[[#This Row],[Task Name]]="","",Tasks[[#This Row],[Work]])</f>
        <v/>
      </c>
      <c r="AW110" s="99" t="str">
        <f aca="false">IF(Tasks[[#This Row],[Task Name]]="","",Tasks[[#This Row],[Cost]])</f>
        <v/>
      </c>
      <c r="AX110" s="77"/>
      <c r="AY110" s="77"/>
      <c r="AZ110" s="29"/>
      <c r="BA110" s="101"/>
      <c r="BB110" s="100"/>
      <c r="BC110" s="28" t="str">
        <f aca="false">IF(OR(Tasks[[#This Row],[Task Name]]="",Tasks[[#This Row],[Baseline Duration]]=""),"",Tasks[[#This Row],[BL Source Duration]]-N(Tasks[[#This Row],[Baseline Duration]]))</f>
        <v/>
      </c>
      <c r="BD110" s="98" t="str">
        <f aca="false">IF(OR(Tasks[[#This Row],[Task Name]]="",Tasks[[#This Row],[Baseline Work]]=""),"",Tasks[[#This Row],[Work]]-N(Tasks[[#This Row],[Baseline Work]]))</f>
        <v/>
      </c>
      <c r="BE110" s="99" t="str">
        <f aca="false">IF(OR(Tasks[[#This Row],[Task Name]]="",Tasks[[#This Row],[Baseline Cost]]=""),"",Tasks[[#This Row],[Cost]]-N(Tasks[[#This Row],[Baseline Cost]]))</f>
        <v/>
      </c>
      <c r="BF110" s="99" t="str">
        <f aca="false">IF(Tasks[[#This Row],[Task Name]]="","",IF(Tasks[[#This Row],[_IsSummary]],SUM(INDEX(Tasks[_LeafBudget],Tasks[[#This Row],[_Row]]+1):INDEX(Tasks[_LeafBudget],Tasks[[#This Row],[_Row]]+Tasks[[#This Row],[_Descendants]])),Tasks[[#This Row],[_LeafBudget]]))</f>
        <v/>
      </c>
      <c r="BG110" s="99" t="str">
        <f aca="false">IF(Tasks[[#This Row],[Task Name]]="","",IF(Tasks[[#This Row],[_IsSummary]],SUM(INDEX(Tasks[_LeafPV],Tasks[[#This Row],[_Row]]+1):INDEX(Tasks[_LeafPV],Tasks[[#This Row],[_Row]]+Tasks[[#This Row],[_Descendants]])),Tasks[[#This Row],[_LeafPV]]))</f>
        <v/>
      </c>
      <c r="BH110" s="99" t="str">
        <f aca="false">IF(Tasks[[#This Row],[Task Name]]="","",IF(Tasks[[#This Row],[_IsSummary]],SUM(INDEX(Tasks[_LeafEV],Tasks[[#This Row],[_Row]]+1):INDEX(Tasks[_LeafEV],Tasks[[#This Row],[_Row]]+Tasks[[#This Row],[_Descendants]])),Tasks[[#This Row],[_LeafEV]]))</f>
        <v/>
      </c>
      <c r="BI110" s="99" t="str">
        <f aca="false">IF(Tasks[[#This Row],[Task Name]]="","",IF(Tasks[[#This Row],[_IsSummary]],SUM(INDEX(Tasks[_LeafAC],Tasks[[#This Row],[_Row]]+1):INDEX(Tasks[_LeafAC],Tasks[[#This Row],[_Row]]+Tasks[[#This Row],[_Descendants]])),Tasks[[#This Row],[_LeafAC]]))</f>
        <v/>
      </c>
      <c r="BJ110" s="41" t="str">
        <f aca="false">IF(Tasks[[#This Row],[Task Name]]="","",MAX(1,N(Tasks[[#This Row],[Level]])))</f>
        <v/>
      </c>
      <c r="BK110" s="41" t="n">
        <f aca="false">ROW()-ROW(Tasks[[#Headers],[ID]])</f>
        <v>105</v>
      </c>
      <c r="BL110" s="41" t="n">
        <f aca="false">IF(OR(Tasks[[#This Row],[Task Name]]="",Tasks[[#This Row],[_Level]]&lt;=1),0,IFERROR(LOOKUP(2,1/(Tasks[[#Headers],[_Level]]:Tasks[[#This Row],[_Level]]=Tasks[[#This Row],[_Level]]-1),ROW(Tasks[[#Headers],[_Level]]:Tasks[[#This Row],[_Level]])),0))</f>
        <v>0</v>
      </c>
      <c r="BM110" s="41" t="n">
        <f aca="false">IFERROR(N(INDEX(Tasks[_Level],Tasks[[#This Row],[_Row]]+1)),0)</f>
        <v>0</v>
      </c>
      <c r="BN110" s="102" t="b">
        <f aca="false">AND(Tasks[[#This Row],[Task Name]]&lt;&gt;"",Tasks[[#This Row],[_NextLevel]]&gt;Tasks[[#This Row],[_Level]])</f>
        <v>0</v>
      </c>
      <c r="BO110" s="41" t="n">
        <f aca="false">IF(Tasks[[#This Row],[_IsSummary]],COUNTIF(Tasks[WBS],Tasks[[#This Row],[WBS]]&amp;".*"),0)</f>
        <v>0</v>
      </c>
      <c r="BP110" s="41" t="n">
        <f aca="false">IF(AND(Tasks[[#This Row],[Task Name]]&lt;&gt;"",NOT(Tasks[[#This Row],[_IsSummary]])),1,0)</f>
        <v>0</v>
      </c>
      <c r="BQ110" s="41" t="n">
        <f aca="false">IF(N(Tasks[[#This Row],[Pred1 UID]])=0,0,IFERROR(MATCH(Tasks[[#This Row],[Pred1 UID]],Tasks[UID],0),-1))</f>
        <v>0</v>
      </c>
      <c r="BR110" s="41" t="n">
        <f aca="false">IF(N(Tasks[[#This Row],[Pred2 UID]])=0,0,IFERROR(MATCH(Tasks[[#This Row],[Pred2 UID]],Tasks[UID],0),-1))</f>
        <v>0</v>
      </c>
      <c r="BS11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0" s="103" t="str">
        <f aca="false">IF(NOT(Tasks[[#This Row],[_IsLeaf]]=1),"",IF(N(Tasks[[#This Row],[Duration]])&lt;=0,Tasks[[#This Row],[_LeafCalcStart]],WORKDAY.INTL(Tasks[[#This Row],[_LeafCalcStart]],Tasks[[#This Row],[Duration]]-1,WorkWeek,Holidays)))</f>
        <v/>
      </c>
      <c r="BU11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0" s="41" t="n">
        <f aca="false">IF(NOT(Tasks[[#This Row],[_IsLeaf]]=1),0,IF(N(Tasks[[#This Row],[Actual Finish]])&gt;0,1,MIN(1,N(Tasks[[#This Row],[% Complete]]))))</f>
        <v>0</v>
      </c>
      <c r="BX110" s="41" t="n">
        <f aca="false">IF(OR(NOT(Tasks[[#This Row],[_IsLeaf]]=1),Tasks[[#This Row],[Resource]]=""),0,N(Tasks[[#This Row],[Duration]])*HoursPerDay*IF(Tasks[[#This Row],[Units]]="",DefaultUnits,Tasks[[#This Row],[Units]]))</f>
        <v>0</v>
      </c>
      <c r="BY110" s="41" t="n">
        <f aca="false">IF(Tasks[[#This Row],[_LeafWork]]=0,0,Tasks[[#This Row],[_LeafWork]]*IFERROR(INDEX(res_Rate,MATCH(Tasks[[#This Row],[Resource]],res_Name,0)),0))</f>
        <v>0</v>
      </c>
      <c r="BZ1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0" s="41" t="n">
        <f aca="false">IF(NOT(Tasks[[#This Row],[_IsLeaf]]=1),0,MAX(_xlfn.MAXIFS(Tasks[_Row],Tasks[Pred1 UID],Tasks[[#This Row],[UID]]),_xlfn.MAXIFS(Tasks[_Row],Tasks[Pred2 UID],Tasks[[#This Row],[UID]])))</f>
        <v>0</v>
      </c>
      <c r="CE11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0" s="103" t="str">
        <f aca="false">IF(NOT(Tasks[[#This Row],[_IsLeaf]]=1),"",MIN(ProjectFinish,IF(N(Tasks[[#This Row],[Deadline]])&gt;0,Tasks[[#This Row],[Deadline]],2958465),Tasks[[#This Row],[_SuccessorFinishLimit]]))</f>
        <v/>
      </c>
      <c r="CG110" s="103" t="str">
        <f aca="false">IF(NOT(Tasks[[#This Row],[_IsLeaf]]=1),"",IF(N(Tasks[[#This Row],[Duration]])&lt;=0,Tasks[[#This Row],[_LeafLateFinish]],WORKDAY.INTL(Tasks[[#This Row],[_LeafLateFinish]],-(Tasks[[#This Row],[Duration]]-1),WorkWeek,Holidays)))</f>
        <v/>
      </c>
      <c r="CH1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0" s="102" t="b">
        <f aca="false">AND(Tasks[[#This Row],[_IsLeaf]]=1,Tasks[[#This Row],[_LeafProgress]]&lt;1,N(Tasks[[#This Row],[_LeafTotalSlack]])&lt;=CriticalSlackDays)</f>
        <v>0</v>
      </c>
      <c r="CJ110" s="103" t="str">
        <f aca="false">IF(Tasks[[#This Row],[Task Name]]="","",IF(Tasks[[#This Row],[_IsSummary]],MIN(INDEX(Tasks[_LeafCalcStart],Tasks[[#This Row],[_Row]]+1):INDEX(Tasks[_LeafCalcStart],Tasks[[#This Row],[_Row]]+Tasks[[#This Row],[_Descendants]])),Tasks[[#This Row],[_LeafCalcStart]]))</f>
        <v/>
      </c>
      <c r="CK110" s="103" t="str">
        <f aca="false">IF(Tasks[[#This Row],[Task Name]]="","",IF(Tasks[[#This Row],[_IsSummary]],MAX(INDEX(Tasks[_LeafCalcFinish],Tasks[[#This Row],[_Row]]+1):INDEX(Tasks[_LeafCalcFinish],Tasks[[#This Row],[_Row]]+Tasks[[#This Row],[_Descendants]])),Tasks[[#This Row],[_LeafCalcFinish]]))</f>
        <v/>
      </c>
      <c r="CL1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0" s="41" t="n">
        <f aca="false">IF(AND(Tasks[[#This Row],[_IsLeaf]]=1,Tasks[[#This Row],[_LeafWork]]&gt;0),NETWORKDAYS.INTL(ProjectStart,Tasks[[#This Row],[_LeafFcstStart]],WorkWeek,Holidays),0)</f>
        <v>0</v>
      </c>
      <c r="CS110" s="41" t="n">
        <f aca="false">IF(AND(Tasks[[#This Row],[_IsLeaf]]=1,Tasks[[#This Row],[_LeafWork]]&gt;0),MAX(Tasks[[#This Row],[_StartWorkday]],NETWORKDAYS.INTL(ProjectStart,Tasks[[#This Row],[_LeafFcstFinish]],WorkWeek,Holidays)),0)</f>
        <v>0</v>
      </c>
      <c r="CT110" s="41" t="n">
        <f aca="false">IF(AND(Tasks[[#This Row],[_IsLeaf]]=1,Tasks[[#This Row],[_LeafWork]]&gt;0),Tasks[[#This Row],[_LeafWork]]/(Tasks[[#This Row],[_FinishWorkday]]-Tasks[[#This Row],[_StartWorkday]]+1),0)</f>
        <v>0</v>
      </c>
      <c r="CU110" s="41" t="n">
        <f aca="false">Tasks[[#This Row],[_WorkPerWorkday]]*(Tasks[[#This Row],[_StartWorkday]]-1)</f>
        <v>-0</v>
      </c>
      <c r="CV110" s="41" t="n">
        <f aca="false">IF(Tasks[[#This Row],[_IsLeaf]]=1,MAX(N(Tasks[[#This Row],[Duration]]),0.1),0)</f>
        <v>0</v>
      </c>
      <c r="CW110" s="41" t="n">
        <f aca="false">Tasks[[#This Row],[_WeightDur]]*Tasks[[#This Row],[_LeafProgress]]</f>
        <v>0</v>
      </c>
      <c r="CX1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0" s="41" t="str">
        <f aca="false">IF(Tasks[[#This Row],[Task Name]]="","",Tasks[[#This Row],[_Pred1UIDText]]&amp;IF(AND(Tasks[[#This Row],[_Pred1UIDText]]&lt;&gt;"",Tasks[[#This Row],[_Pred2UIDText]]&lt;&gt;""),",","")&amp;Tasks[[#This Row],[_Pred2UIDText]])</f>
        <v/>
      </c>
      <c r="DC110" s="41" t="str">
        <f aca="false">IF(AND(Tasks[[#This Row],[_IsLeaf]]=1,N(Tasks[[#This Row],[Duration]])=0,Tasks[[#This Row],[_LeafProgress]]&lt;1),Tasks[[#This Row],[_LeafFcstFinish]]+Tasks[[#This Row],[_Row]]/100000,"")</f>
        <v/>
      </c>
      <c r="DD1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0" s="41" t="n">
        <f aca="false">IF(NOT(Tasks[[#This Row],[_IsLeaf]]=1),0,IF(Tasks[[#This Row],[Baseline Cost]]="",Tasks[[#This Row],[_LeafCost]],N(Tasks[[#This Row],[Baseline Cost]])))</f>
        <v>0</v>
      </c>
      <c r="DF110" s="41" t="n">
        <f aca="false">Tasks[[#This Row],[_LeafBudget]]*Tasks[[#This Row],[_PlannedPct]]</f>
        <v>0</v>
      </c>
      <c r="DG110" s="41" t="n">
        <f aca="false">Tasks[[#This Row],[_LeafBudget]]*Tasks[[#This Row],[_LeafProgress]]</f>
        <v>0</v>
      </c>
      <c r="DH110" s="41" t="n">
        <f aca="false">IF(NOT(Tasks[[#This Row],[_IsLeaf]]=1),0,IF(Tasks[[#This Row],[Actual Cost]]="",Tasks[[#This Row],[_LeafCost]]*Tasks[[#This Row],[_LeafProgress]],N(Tasks[[#This Row],[Actual Cost]])))</f>
        <v>0</v>
      </c>
      <c r="DI110" s="41" t="str">
        <f aca="false">IF(Tasks[[#This Row],[Task Name]]="","",LEFT(Tasks[[#This Row],[WBS]],FIND(".",Tasks[[#This Row],[WBS]]&amp;".")-1))</f>
        <v/>
      </c>
      <c r="DJ110" s="41" t="str">
        <f aca="false">IF(AND(Tasks[[#This Row],[Task Name]]&lt;&gt;"",Tasks[[#This Row],[_Level]]=1),Tasks[[#This Row],[_Row]],"")</f>
        <v/>
      </c>
      <c r="DK110" s="41" t="str">
        <f aca="false">IF(AND(Tasks[[#This Row],[_IsLeaf]]=1,N(Tasks[[#This Row],[Duration]])=0),Tasks[[#This Row],[Planned Finish]]+Tasks[[#This Row],[_Row]]/100000,"")</f>
        <v/>
      </c>
      <c r="DL110" s="41" t="str">
        <f aca="false">IF(AND(Tasks[[#This Row],[_IsLeaf]]=1,Tasks[[#This Row],[_LeafProgress]]&lt;1,OR(N(Tasks[[#This Row],[Finish Var]])&gt;0,Tasks[[#This Row],[Status]]="Late Start")),MAX(0,Tasks[[#This Row],[Finish Var]])+1-Tasks[[#This Row],[_Row]]/1000000,"")</f>
        <v/>
      </c>
      <c r="DM110" s="41" t="str">
        <f aca="false">IF(AND(Tasks[[#This Row],[_IsLeaf]]=1,N(Tasks[[#This Row],[Actual Start]])=0,Tasks[[#This Row],[_LeafFcstStart]]&gt;=StatusDate,Tasks[[#This Row],[_LeafFcstStart]]&lt;=LookaheadEnd),Tasks[[#This Row],[_LeafFcstStart]]+Tasks[[#This Row],[_Row]]/100000,"")</f>
        <v/>
      </c>
      <c r="DN110" s="41" t="str">
        <f aca="false">IF(AND(Tasks[[#This Row],[_IsLeaf]]=1,Tasks[[#This Row],[_LeafProgress]]&lt;1,Tasks[[#This Row],[_LeafFcstFinish]]&gt;=StatusDate,Tasks[[#This Row],[_LeafFcstFinish]]&lt;=LookaheadEnd),Tasks[[#This Row],[_LeafFcstFinish]]+Tasks[[#This Row],[_Row]]/100000,"")</f>
        <v/>
      </c>
      <c r="DO110" s="41" t="str">
        <f aca="false">IF(Tasks[[#This Row],[_LeafCritical]],Tasks[[#This Row],[_LeafFcstStart]]+Tasks[[#This Row],[_Row]]/100000,"")</f>
        <v/>
      </c>
      <c r="DP110" s="41" t="n">
        <f aca="false">Tasks[[#This Row],[_LeafWork]]*Tasks[[#This Row],[_LeafProgress]]</f>
        <v>0</v>
      </c>
      <c r="DQ110" s="103" t="str">
        <f aca="false">IF(AND(Tasks[[#This Row],[_IsLeaf]]=1,Tasks[[#This Row],[_LeafProgress]]&gt;=1),IF(N(Tasks[[#This Row],[Actual Finish]])&gt;0,Tasks[[#This Row],[Actual Finish]],Tasks[[#This Row],[_LeafFcstFinish]]),"")</f>
        <v/>
      </c>
      <c r="DR110" s="41" t="n">
        <f aca="false">IF(Tasks[[#This Row],[_IsLeaf]]=1,N(Tasks[[#This Row],[Story Points]]),0)</f>
        <v>0</v>
      </c>
      <c r="DS110" s="41" t="str">
        <f aca="false">IF(AND(Tasks[[#This Row],[_IsLeaf]]=1,CurrentSprint&lt;&gt;"",Tasks[[#This Row],[Sprint]]=CurrentSprint),Tasks[[#This Row],[_Row]],"")</f>
        <v/>
      </c>
    </row>
    <row r="111" customFormat="false" ht="15" hidden="false" customHeight="false" outlineLevel="0" collapsed="false">
      <c r="A111" s="28" t="str">
        <f aca="false">IF(Tasks[[#This Row],[Task Name]]="","",COUNTA(Tasks[[#Headers],[Task Name]]:Tasks[[#This Row],[Task Name]])-1)</f>
        <v/>
      </c>
      <c r="B111" s="29" t="n">
        <v>106</v>
      </c>
      <c r="C1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29"/>
      <c r="E111" s="30"/>
      <c r="F111" s="29"/>
      <c r="G111" s="29"/>
      <c r="H111" s="29"/>
      <c r="I111" s="29"/>
      <c r="J111" s="29"/>
      <c r="K111" s="29"/>
      <c r="L111" s="29"/>
      <c r="M111" s="29"/>
      <c r="N111" s="77"/>
      <c r="O111" s="77"/>
      <c r="P111" s="25" t="str">
        <f aca="false">IF(Tasks[[#This Row],[Task Name]]="","",IF(N(Tasks[[#This Row],[Baseline Start]])&gt;0,Tasks[[#This Row],[Baseline Start]],Tasks[[#This Row],[_CalcStart]]))</f>
        <v/>
      </c>
      <c r="Q111" s="25" t="str">
        <f aca="false">IF(Tasks[[#This Row],[Task Name]]="","",IF(N(Tasks[[#This Row],[Baseline Finish]])&gt;0,Tasks[[#This Row],[Baseline Finish]],Tasks[[#This Row],[_CalcFinish]]))</f>
        <v/>
      </c>
      <c r="R111" s="77"/>
      <c r="S111" s="77"/>
      <c r="T111" s="25" t="str">
        <f aca="false">IF(Tasks[[#This Row],[Task Name]]="","",IF(Tasks[[#This Row],[_IsSummary]],MIN(INDEX(Tasks[_LeafFcstStart],Tasks[[#This Row],[_Row]]+1):INDEX(Tasks[_LeafFcstStart],Tasks[[#This Row],[_Row]]+Tasks[[#This Row],[_Descendants]])),Tasks[[#This Row],[_LeafFcstStart]]))</f>
        <v/>
      </c>
      <c r="U111" s="25" t="str">
        <f aca="false">IF(Tasks[[#This Row],[Task Name]]="","",IF(Tasks[[#This Row],[_IsSummary]],MAX(INDEX(Tasks[_LeafFcstFinish],Tasks[[#This Row],[_Row]]+1):INDEX(Tasks[_LeafFcstFinish],Tasks[[#This Row],[_Row]]+Tasks[[#This Row],[_Descendants]])),Tasks[[#This Row],[_LeafFcstFinish]]))</f>
        <v/>
      </c>
      <c r="V11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1" s="25" t="str">
        <f aca="false">IF(Tasks[[#This Row],[Task Name]]="","",IF(Tasks[[#This Row],[_IsSummary]],MIN(INDEX(Tasks[_LeafLateStart],Tasks[[#This Row],[_Row]]+1):INDEX(Tasks[_LeafLateStart],Tasks[[#This Row],[_Row]]+Tasks[[#This Row],[_Descendants]])),Tasks[[#This Row],[_LeafLateStart]]))</f>
        <v/>
      </c>
      <c r="Y111" s="25" t="str">
        <f aca="false">IF(Tasks[[#This Row],[Task Name]]="","",IF(Tasks[[#This Row],[_IsSummary]],MAX(INDEX(Tasks[_LeafLateFinish],Tasks[[#This Row],[_Row]]+1):INDEX(Tasks[_LeafLateFinish],Tasks[[#This Row],[_Row]]+Tasks[[#This Row],[_Descendants]])),Tasks[[#This Row],[_LeafLateFinish]]))</f>
        <v/>
      </c>
      <c r="Z111" s="43" t="str">
        <f aca="false">IF(Tasks[[#This Row],[Task Name]]="","",IF(Tasks[[#This Row],[_IsSummary]],MIN(INDEX(Tasks[_LeafTotalSlack],Tasks[[#This Row],[_Row]]+1):INDEX(Tasks[_LeafTotalSlack],Tasks[[#This Row],[_Row]]+Tasks[[#This Row],[_Descendants]])),Tasks[[#This Row],[_LeafTotalSlack]]))</f>
        <v/>
      </c>
      <c r="AA1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1" s="28" t="str">
        <f aca="false">IF(Tasks[[#This Row],[Task Name]]="","",IF(IF(Tasks[[#This Row],[_IsSummary]],COUNTIF(INDEX(Tasks[_LeafCritical],Tasks[[#This Row],[_Row]]+1):INDEX(Tasks[_LeafCritical],Tasks[[#This Row],[_Row]]+Tasks[[#This Row],[_Descendants]]),TRUE())&gt;0,Tasks[[#This Row],[_LeafCritical]]),"Yes",""))</f>
        <v/>
      </c>
      <c r="AC1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1" s="24" t="str">
        <f aca="false">IF(Tasks[[#This Row],[Task Name]]="","",TRIM(IF(Tasks[[#This Row],[_Pred1Problem]]&lt;&gt;"","Pred 1: "&amp;Tasks[[#This Row],[_Pred1Problem]]&amp;". ","")&amp;IF(Tasks[[#This Row],[_Pred2Problem]]&lt;&gt;"","Pred 2: "&amp;Tasks[[#This Row],[_Pred2Problem]]&amp;".","")))</f>
        <v/>
      </c>
      <c r="AE111" s="91"/>
      <c r="AF11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1" s="28" t="str">
        <f aca="false">IF(Tasks[[#This Row],[Task Name]]="","",IF(Tasks[[#This Row],[Progress]]&gt;=1,"Complete",IF(OR(N(Tasks[[#This Row],[Actual Start]])&gt;0,Tasks[[#This Row],[Progress]]&gt;0),IF(Tasks[[#This Row],[Finish Var]]&gt;0,"Behind","In Progress"),IF(Tasks[[#This Row],[Planned Start]]&lt;StatusDate,"Late Start","Not Started"))))</f>
        <v/>
      </c>
      <c r="AH111" s="30"/>
      <c r="AI111" s="91"/>
      <c r="AJ11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1" s="98" t="str">
        <f aca="false">IF(Tasks[[#This Row],[Task Name]]="","",IF(Tasks[[#This Row],[_IsSummary]],SUM(INDEX(Tasks[_LeafWork],Tasks[[#This Row],[_Row]]+1):INDEX(Tasks[_LeafWork],Tasks[[#This Row],[_Row]]+Tasks[[#This Row],[_Descendants]])),Tasks[[#This Row],[_LeafWork]]))</f>
        <v/>
      </c>
      <c r="AL111" s="99" t="str">
        <f aca="false">IF(Tasks[[#This Row],[Task Name]]="","",IF(Tasks[[#This Row],[_IsSummary]],SUM(INDEX(Tasks[_LeafCost],Tasks[[#This Row],[_Row]]+1):INDEX(Tasks[_LeafCost],Tasks[[#This Row],[_Row]]+Tasks[[#This Row],[_Descendants]])),Tasks[[#This Row],[_LeafCost]]))</f>
        <v/>
      </c>
      <c r="AM111" s="100"/>
      <c r="AN111" s="29"/>
      <c r="AO1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1" s="85"/>
      <c r="AQ111" s="24" t="str">
        <f aca="false">IF(Tasks[[#This Row],[Task Name]]="","",Tasks[[#This Row],[_Pred1IDText]]&amp;IF(AND(Tasks[[#This Row],[_Pred1IDText]]&lt;&gt;"",Tasks[[#This Row],[_Pred2IDText]]&lt;&gt;""),",","")&amp;Tasks[[#This Row],[_Pred2IDText]])</f>
        <v/>
      </c>
      <c r="AR111" s="30"/>
      <c r="AS111" s="25" t="str">
        <f aca="false">IF(Tasks[[#This Row],[Task Name]]="","",Tasks[[#This Row],[Forecast Start]])</f>
        <v/>
      </c>
      <c r="AT111" s="25" t="str">
        <f aca="false">IF(Tasks[[#This Row],[Task Name]]="","",Tasks[[#This Row],[Forecast Finish]])</f>
        <v/>
      </c>
      <c r="AU111" s="28" t="str">
        <f aca="false">IF(Tasks[[#This Row],[Task Name]]="","",IF(Tasks[[#This Row],[_IsSummary]],NETWORKDAYS.INTL(Tasks[[#This Row],[Forecast Start]],Tasks[[#This Row],[Forecast Finish]],WorkWeek,Holidays),N(Tasks[[#This Row],[Duration]])))</f>
        <v/>
      </c>
      <c r="AV111" s="98" t="str">
        <f aca="false">IF(Tasks[[#This Row],[Task Name]]="","",Tasks[[#This Row],[Work]])</f>
        <v/>
      </c>
      <c r="AW111" s="99" t="str">
        <f aca="false">IF(Tasks[[#This Row],[Task Name]]="","",Tasks[[#This Row],[Cost]])</f>
        <v/>
      </c>
      <c r="AX111" s="77"/>
      <c r="AY111" s="77"/>
      <c r="AZ111" s="29"/>
      <c r="BA111" s="101"/>
      <c r="BB111" s="100"/>
      <c r="BC111" s="28" t="str">
        <f aca="false">IF(OR(Tasks[[#This Row],[Task Name]]="",Tasks[[#This Row],[Baseline Duration]]=""),"",Tasks[[#This Row],[BL Source Duration]]-N(Tasks[[#This Row],[Baseline Duration]]))</f>
        <v/>
      </c>
      <c r="BD111" s="98" t="str">
        <f aca="false">IF(OR(Tasks[[#This Row],[Task Name]]="",Tasks[[#This Row],[Baseline Work]]=""),"",Tasks[[#This Row],[Work]]-N(Tasks[[#This Row],[Baseline Work]]))</f>
        <v/>
      </c>
      <c r="BE111" s="99" t="str">
        <f aca="false">IF(OR(Tasks[[#This Row],[Task Name]]="",Tasks[[#This Row],[Baseline Cost]]=""),"",Tasks[[#This Row],[Cost]]-N(Tasks[[#This Row],[Baseline Cost]]))</f>
        <v/>
      </c>
      <c r="BF111" s="99" t="str">
        <f aca="false">IF(Tasks[[#This Row],[Task Name]]="","",IF(Tasks[[#This Row],[_IsSummary]],SUM(INDEX(Tasks[_LeafBudget],Tasks[[#This Row],[_Row]]+1):INDEX(Tasks[_LeafBudget],Tasks[[#This Row],[_Row]]+Tasks[[#This Row],[_Descendants]])),Tasks[[#This Row],[_LeafBudget]]))</f>
        <v/>
      </c>
      <c r="BG111" s="99" t="str">
        <f aca="false">IF(Tasks[[#This Row],[Task Name]]="","",IF(Tasks[[#This Row],[_IsSummary]],SUM(INDEX(Tasks[_LeafPV],Tasks[[#This Row],[_Row]]+1):INDEX(Tasks[_LeafPV],Tasks[[#This Row],[_Row]]+Tasks[[#This Row],[_Descendants]])),Tasks[[#This Row],[_LeafPV]]))</f>
        <v/>
      </c>
      <c r="BH111" s="99" t="str">
        <f aca="false">IF(Tasks[[#This Row],[Task Name]]="","",IF(Tasks[[#This Row],[_IsSummary]],SUM(INDEX(Tasks[_LeafEV],Tasks[[#This Row],[_Row]]+1):INDEX(Tasks[_LeafEV],Tasks[[#This Row],[_Row]]+Tasks[[#This Row],[_Descendants]])),Tasks[[#This Row],[_LeafEV]]))</f>
        <v/>
      </c>
      <c r="BI111" s="99" t="str">
        <f aca="false">IF(Tasks[[#This Row],[Task Name]]="","",IF(Tasks[[#This Row],[_IsSummary]],SUM(INDEX(Tasks[_LeafAC],Tasks[[#This Row],[_Row]]+1):INDEX(Tasks[_LeafAC],Tasks[[#This Row],[_Row]]+Tasks[[#This Row],[_Descendants]])),Tasks[[#This Row],[_LeafAC]]))</f>
        <v/>
      </c>
      <c r="BJ111" s="41" t="str">
        <f aca="false">IF(Tasks[[#This Row],[Task Name]]="","",MAX(1,N(Tasks[[#This Row],[Level]])))</f>
        <v/>
      </c>
      <c r="BK111" s="41" t="n">
        <f aca="false">ROW()-ROW(Tasks[[#Headers],[ID]])</f>
        <v>106</v>
      </c>
      <c r="BL111" s="41" t="n">
        <f aca="false">IF(OR(Tasks[[#This Row],[Task Name]]="",Tasks[[#This Row],[_Level]]&lt;=1),0,IFERROR(LOOKUP(2,1/(Tasks[[#Headers],[_Level]]:Tasks[[#This Row],[_Level]]=Tasks[[#This Row],[_Level]]-1),ROW(Tasks[[#Headers],[_Level]]:Tasks[[#This Row],[_Level]])),0))</f>
        <v>0</v>
      </c>
      <c r="BM111" s="41" t="n">
        <f aca="false">IFERROR(N(INDEX(Tasks[_Level],Tasks[[#This Row],[_Row]]+1)),0)</f>
        <v>0</v>
      </c>
      <c r="BN111" s="102" t="b">
        <f aca="false">AND(Tasks[[#This Row],[Task Name]]&lt;&gt;"",Tasks[[#This Row],[_NextLevel]]&gt;Tasks[[#This Row],[_Level]])</f>
        <v>0</v>
      </c>
      <c r="BO111" s="41" t="n">
        <f aca="false">IF(Tasks[[#This Row],[_IsSummary]],COUNTIF(Tasks[WBS],Tasks[[#This Row],[WBS]]&amp;".*"),0)</f>
        <v>0</v>
      </c>
      <c r="BP111" s="41" t="n">
        <f aca="false">IF(AND(Tasks[[#This Row],[Task Name]]&lt;&gt;"",NOT(Tasks[[#This Row],[_IsSummary]])),1,0)</f>
        <v>0</v>
      </c>
      <c r="BQ111" s="41" t="n">
        <f aca="false">IF(N(Tasks[[#This Row],[Pred1 UID]])=0,0,IFERROR(MATCH(Tasks[[#This Row],[Pred1 UID]],Tasks[UID],0),-1))</f>
        <v>0</v>
      </c>
      <c r="BR111" s="41" t="n">
        <f aca="false">IF(N(Tasks[[#This Row],[Pred2 UID]])=0,0,IFERROR(MATCH(Tasks[[#This Row],[Pred2 UID]],Tasks[UID],0),-1))</f>
        <v>0</v>
      </c>
      <c r="BS11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1" s="103" t="str">
        <f aca="false">IF(NOT(Tasks[[#This Row],[_IsLeaf]]=1),"",IF(N(Tasks[[#This Row],[Duration]])&lt;=0,Tasks[[#This Row],[_LeafCalcStart]],WORKDAY.INTL(Tasks[[#This Row],[_LeafCalcStart]],Tasks[[#This Row],[Duration]]-1,WorkWeek,Holidays)))</f>
        <v/>
      </c>
      <c r="BU11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1" s="41" t="n">
        <f aca="false">IF(NOT(Tasks[[#This Row],[_IsLeaf]]=1),0,IF(N(Tasks[[#This Row],[Actual Finish]])&gt;0,1,MIN(1,N(Tasks[[#This Row],[% Complete]]))))</f>
        <v>0</v>
      </c>
      <c r="BX111" s="41" t="n">
        <f aca="false">IF(OR(NOT(Tasks[[#This Row],[_IsLeaf]]=1),Tasks[[#This Row],[Resource]]=""),0,N(Tasks[[#This Row],[Duration]])*HoursPerDay*IF(Tasks[[#This Row],[Units]]="",DefaultUnits,Tasks[[#This Row],[Units]]))</f>
        <v>0</v>
      </c>
      <c r="BY111" s="41" t="n">
        <f aca="false">IF(Tasks[[#This Row],[_LeafWork]]=0,0,Tasks[[#This Row],[_LeafWork]]*IFERROR(INDEX(res_Rate,MATCH(Tasks[[#This Row],[Resource]],res_Name,0)),0))</f>
        <v>0</v>
      </c>
      <c r="BZ1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1" s="41" t="n">
        <f aca="false">IF(NOT(Tasks[[#This Row],[_IsLeaf]]=1),0,MAX(_xlfn.MAXIFS(Tasks[_Row],Tasks[Pred1 UID],Tasks[[#This Row],[UID]]),_xlfn.MAXIFS(Tasks[_Row],Tasks[Pred2 UID],Tasks[[#This Row],[UID]])))</f>
        <v>0</v>
      </c>
      <c r="CE11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1" s="103" t="str">
        <f aca="false">IF(NOT(Tasks[[#This Row],[_IsLeaf]]=1),"",MIN(ProjectFinish,IF(N(Tasks[[#This Row],[Deadline]])&gt;0,Tasks[[#This Row],[Deadline]],2958465),Tasks[[#This Row],[_SuccessorFinishLimit]]))</f>
        <v/>
      </c>
      <c r="CG111" s="103" t="str">
        <f aca="false">IF(NOT(Tasks[[#This Row],[_IsLeaf]]=1),"",IF(N(Tasks[[#This Row],[Duration]])&lt;=0,Tasks[[#This Row],[_LeafLateFinish]],WORKDAY.INTL(Tasks[[#This Row],[_LeafLateFinish]],-(Tasks[[#This Row],[Duration]]-1),WorkWeek,Holidays)))</f>
        <v/>
      </c>
      <c r="CH1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1" s="102" t="b">
        <f aca="false">AND(Tasks[[#This Row],[_IsLeaf]]=1,Tasks[[#This Row],[_LeafProgress]]&lt;1,N(Tasks[[#This Row],[_LeafTotalSlack]])&lt;=CriticalSlackDays)</f>
        <v>0</v>
      </c>
      <c r="CJ111" s="103" t="str">
        <f aca="false">IF(Tasks[[#This Row],[Task Name]]="","",IF(Tasks[[#This Row],[_IsSummary]],MIN(INDEX(Tasks[_LeafCalcStart],Tasks[[#This Row],[_Row]]+1):INDEX(Tasks[_LeafCalcStart],Tasks[[#This Row],[_Row]]+Tasks[[#This Row],[_Descendants]])),Tasks[[#This Row],[_LeafCalcStart]]))</f>
        <v/>
      </c>
      <c r="CK111" s="103" t="str">
        <f aca="false">IF(Tasks[[#This Row],[Task Name]]="","",IF(Tasks[[#This Row],[_IsSummary]],MAX(INDEX(Tasks[_LeafCalcFinish],Tasks[[#This Row],[_Row]]+1):INDEX(Tasks[_LeafCalcFinish],Tasks[[#This Row],[_Row]]+Tasks[[#This Row],[_Descendants]])),Tasks[[#This Row],[_LeafCalcFinish]]))</f>
        <v/>
      </c>
      <c r="CL1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1" s="41" t="n">
        <f aca="false">IF(AND(Tasks[[#This Row],[_IsLeaf]]=1,Tasks[[#This Row],[_LeafWork]]&gt;0),NETWORKDAYS.INTL(ProjectStart,Tasks[[#This Row],[_LeafFcstStart]],WorkWeek,Holidays),0)</f>
        <v>0</v>
      </c>
      <c r="CS111" s="41" t="n">
        <f aca="false">IF(AND(Tasks[[#This Row],[_IsLeaf]]=1,Tasks[[#This Row],[_LeafWork]]&gt;0),MAX(Tasks[[#This Row],[_StartWorkday]],NETWORKDAYS.INTL(ProjectStart,Tasks[[#This Row],[_LeafFcstFinish]],WorkWeek,Holidays)),0)</f>
        <v>0</v>
      </c>
      <c r="CT111" s="41" t="n">
        <f aca="false">IF(AND(Tasks[[#This Row],[_IsLeaf]]=1,Tasks[[#This Row],[_LeafWork]]&gt;0),Tasks[[#This Row],[_LeafWork]]/(Tasks[[#This Row],[_FinishWorkday]]-Tasks[[#This Row],[_StartWorkday]]+1),0)</f>
        <v>0</v>
      </c>
      <c r="CU111" s="41" t="n">
        <f aca="false">Tasks[[#This Row],[_WorkPerWorkday]]*(Tasks[[#This Row],[_StartWorkday]]-1)</f>
        <v>-0</v>
      </c>
      <c r="CV111" s="41" t="n">
        <f aca="false">IF(Tasks[[#This Row],[_IsLeaf]]=1,MAX(N(Tasks[[#This Row],[Duration]]),0.1),0)</f>
        <v>0</v>
      </c>
      <c r="CW111" s="41" t="n">
        <f aca="false">Tasks[[#This Row],[_WeightDur]]*Tasks[[#This Row],[_LeafProgress]]</f>
        <v>0</v>
      </c>
      <c r="CX1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1" s="41" t="str">
        <f aca="false">IF(Tasks[[#This Row],[Task Name]]="","",Tasks[[#This Row],[_Pred1UIDText]]&amp;IF(AND(Tasks[[#This Row],[_Pred1UIDText]]&lt;&gt;"",Tasks[[#This Row],[_Pred2UIDText]]&lt;&gt;""),",","")&amp;Tasks[[#This Row],[_Pred2UIDText]])</f>
        <v/>
      </c>
      <c r="DC111" s="41" t="str">
        <f aca="false">IF(AND(Tasks[[#This Row],[_IsLeaf]]=1,N(Tasks[[#This Row],[Duration]])=0,Tasks[[#This Row],[_LeafProgress]]&lt;1),Tasks[[#This Row],[_LeafFcstFinish]]+Tasks[[#This Row],[_Row]]/100000,"")</f>
        <v/>
      </c>
      <c r="DD1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1" s="41" t="n">
        <f aca="false">IF(NOT(Tasks[[#This Row],[_IsLeaf]]=1),0,IF(Tasks[[#This Row],[Baseline Cost]]="",Tasks[[#This Row],[_LeafCost]],N(Tasks[[#This Row],[Baseline Cost]])))</f>
        <v>0</v>
      </c>
      <c r="DF111" s="41" t="n">
        <f aca="false">Tasks[[#This Row],[_LeafBudget]]*Tasks[[#This Row],[_PlannedPct]]</f>
        <v>0</v>
      </c>
      <c r="DG111" s="41" t="n">
        <f aca="false">Tasks[[#This Row],[_LeafBudget]]*Tasks[[#This Row],[_LeafProgress]]</f>
        <v>0</v>
      </c>
      <c r="DH111" s="41" t="n">
        <f aca="false">IF(NOT(Tasks[[#This Row],[_IsLeaf]]=1),0,IF(Tasks[[#This Row],[Actual Cost]]="",Tasks[[#This Row],[_LeafCost]]*Tasks[[#This Row],[_LeafProgress]],N(Tasks[[#This Row],[Actual Cost]])))</f>
        <v>0</v>
      </c>
      <c r="DI111" s="41" t="str">
        <f aca="false">IF(Tasks[[#This Row],[Task Name]]="","",LEFT(Tasks[[#This Row],[WBS]],FIND(".",Tasks[[#This Row],[WBS]]&amp;".")-1))</f>
        <v/>
      </c>
      <c r="DJ111" s="41" t="str">
        <f aca="false">IF(AND(Tasks[[#This Row],[Task Name]]&lt;&gt;"",Tasks[[#This Row],[_Level]]=1),Tasks[[#This Row],[_Row]],"")</f>
        <v/>
      </c>
      <c r="DK111" s="41" t="str">
        <f aca="false">IF(AND(Tasks[[#This Row],[_IsLeaf]]=1,N(Tasks[[#This Row],[Duration]])=0),Tasks[[#This Row],[Planned Finish]]+Tasks[[#This Row],[_Row]]/100000,"")</f>
        <v/>
      </c>
      <c r="DL111" s="41" t="str">
        <f aca="false">IF(AND(Tasks[[#This Row],[_IsLeaf]]=1,Tasks[[#This Row],[_LeafProgress]]&lt;1,OR(N(Tasks[[#This Row],[Finish Var]])&gt;0,Tasks[[#This Row],[Status]]="Late Start")),MAX(0,Tasks[[#This Row],[Finish Var]])+1-Tasks[[#This Row],[_Row]]/1000000,"")</f>
        <v/>
      </c>
      <c r="DM111" s="41" t="str">
        <f aca="false">IF(AND(Tasks[[#This Row],[_IsLeaf]]=1,N(Tasks[[#This Row],[Actual Start]])=0,Tasks[[#This Row],[_LeafFcstStart]]&gt;=StatusDate,Tasks[[#This Row],[_LeafFcstStart]]&lt;=LookaheadEnd),Tasks[[#This Row],[_LeafFcstStart]]+Tasks[[#This Row],[_Row]]/100000,"")</f>
        <v/>
      </c>
      <c r="DN111" s="41" t="str">
        <f aca="false">IF(AND(Tasks[[#This Row],[_IsLeaf]]=1,Tasks[[#This Row],[_LeafProgress]]&lt;1,Tasks[[#This Row],[_LeafFcstFinish]]&gt;=StatusDate,Tasks[[#This Row],[_LeafFcstFinish]]&lt;=LookaheadEnd),Tasks[[#This Row],[_LeafFcstFinish]]+Tasks[[#This Row],[_Row]]/100000,"")</f>
        <v/>
      </c>
      <c r="DO111" s="41" t="str">
        <f aca="false">IF(Tasks[[#This Row],[_LeafCritical]],Tasks[[#This Row],[_LeafFcstStart]]+Tasks[[#This Row],[_Row]]/100000,"")</f>
        <v/>
      </c>
      <c r="DP111" s="41" t="n">
        <f aca="false">Tasks[[#This Row],[_LeafWork]]*Tasks[[#This Row],[_LeafProgress]]</f>
        <v>0</v>
      </c>
      <c r="DQ111" s="103" t="str">
        <f aca="false">IF(AND(Tasks[[#This Row],[_IsLeaf]]=1,Tasks[[#This Row],[_LeafProgress]]&gt;=1),IF(N(Tasks[[#This Row],[Actual Finish]])&gt;0,Tasks[[#This Row],[Actual Finish]],Tasks[[#This Row],[_LeafFcstFinish]]),"")</f>
        <v/>
      </c>
      <c r="DR111" s="41" t="n">
        <f aca="false">IF(Tasks[[#This Row],[_IsLeaf]]=1,N(Tasks[[#This Row],[Story Points]]),0)</f>
        <v>0</v>
      </c>
      <c r="DS111" s="41" t="str">
        <f aca="false">IF(AND(Tasks[[#This Row],[_IsLeaf]]=1,CurrentSprint&lt;&gt;"",Tasks[[#This Row],[Sprint]]=CurrentSprint),Tasks[[#This Row],[_Row]],"")</f>
        <v/>
      </c>
    </row>
    <row r="112" customFormat="false" ht="15" hidden="false" customHeight="false" outlineLevel="0" collapsed="false">
      <c r="A112" s="28" t="str">
        <f aca="false">IF(Tasks[[#This Row],[Task Name]]="","",COUNTA(Tasks[[#Headers],[Task Name]]:Tasks[[#This Row],[Task Name]])-1)</f>
        <v/>
      </c>
      <c r="B112" s="29" t="n">
        <v>107</v>
      </c>
      <c r="C1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29"/>
      <c r="E112" s="30"/>
      <c r="F112" s="29"/>
      <c r="G112" s="29"/>
      <c r="H112" s="29"/>
      <c r="I112" s="29"/>
      <c r="J112" s="29"/>
      <c r="K112" s="29"/>
      <c r="L112" s="29"/>
      <c r="M112" s="29"/>
      <c r="N112" s="77"/>
      <c r="O112" s="77"/>
      <c r="P112" s="25" t="str">
        <f aca="false">IF(Tasks[[#This Row],[Task Name]]="","",IF(N(Tasks[[#This Row],[Baseline Start]])&gt;0,Tasks[[#This Row],[Baseline Start]],Tasks[[#This Row],[_CalcStart]]))</f>
        <v/>
      </c>
      <c r="Q112" s="25" t="str">
        <f aca="false">IF(Tasks[[#This Row],[Task Name]]="","",IF(N(Tasks[[#This Row],[Baseline Finish]])&gt;0,Tasks[[#This Row],[Baseline Finish]],Tasks[[#This Row],[_CalcFinish]]))</f>
        <v/>
      </c>
      <c r="R112" s="77"/>
      <c r="S112" s="77"/>
      <c r="T112" s="25" t="str">
        <f aca="false">IF(Tasks[[#This Row],[Task Name]]="","",IF(Tasks[[#This Row],[_IsSummary]],MIN(INDEX(Tasks[_LeafFcstStart],Tasks[[#This Row],[_Row]]+1):INDEX(Tasks[_LeafFcstStart],Tasks[[#This Row],[_Row]]+Tasks[[#This Row],[_Descendants]])),Tasks[[#This Row],[_LeafFcstStart]]))</f>
        <v/>
      </c>
      <c r="U112" s="25" t="str">
        <f aca="false">IF(Tasks[[#This Row],[Task Name]]="","",IF(Tasks[[#This Row],[_IsSummary]],MAX(INDEX(Tasks[_LeafFcstFinish],Tasks[[#This Row],[_Row]]+1):INDEX(Tasks[_LeafFcstFinish],Tasks[[#This Row],[_Row]]+Tasks[[#This Row],[_Descendants]])),Tasks[[#This Row],[_LeafFcstFinish]]))</f>
        <v/>
      </c>
      <c r="V11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2" s="25" t="str">
        <f aca="false">IF(Tasks[[#This Row],[Task Name]]="","",IF(Tasks[[#This Row],[_IsSummary]],MIN(INDEX(Tasks[_LeafLateStart],Tasks[[#This Row],[_Row]]+1):INDEX(Tasks[_LeafLateStart],Tasks[[#This Row],[_Row]]+Tasks[[#This Row],[_Descendants]])),Tasks[[#This Row],[_LeafLateStart]]))</f>
        <v/>
      </c>
      <c r="Y112" s="25" t="str">
        <f aca="false">IF(Tasks[[#This Row],[Task Name]]="","",IF(Tasks[[#This Row],[_IsSummary]],MAX(INDEX(Tasks[_LeafLateFinish],Tasks[[#This Row],[_Row]]+1):INDEX(Tasks[_LeafLateFinish],Tasks[[#This Row],[_Row]]+Tasks[[#This Row],[_Descendants]])),Tasks[[#This Row],[_LeafLateFinish]]))</f>
        <v/>
      </c>
      <c r="Z112" s="43" t="str">
        <f aca="false">IF(Tasks[[#This Row],[Task Name]]="","",IF(Tasks[[#This Row],[_IsSummary]],MIN(INDEX(Tasks[_LeafTotalSlack],Tasks[[#This Row],[_Row]]+1):INDEX(Tasks[_LeafTotalSlack],Tasks[[#This Row],[_Row]]+Tasks[[#This Row],[_Descendants]])),Tasks[[#This Row],[_LeafTotalSlack]]))</f>
        <v/>
      </c>
      <c r="AA1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2" s="28" t="str">
        <f aca="false">IF(Tasks[[#This Row],[Task Name]]="","",IF(IF(Tasks[[#This Row],[_IsSummary]],COUNTIF(INDEX(Tasks[_LeafCritical],Tasks[[#This Row],[_Row]]+1):INDEX(Tasks[_LeafCritical],Tasks[[#This Row],[_Row]]+Tasks[[#This Row],[_Descendants]]),TRUE())&gt;0,Tasks[[#This Row],[_LeafCritical]]),"Yes",""))</f>
        <v/>
      </c>
      <c r="AC1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2" s="24" t="str">
        <f aca="false">IF(Tasks[[#This Row],[Task Name]]="","",TRIM(IF(Tasks[[#This Row],[_Pred1Problem]]&lt;&gt;"","Pred 1: "&amp;Tasks[[#This Row],[_Pred1Problem]]&amp;". ","")&amp;IF(Tasks[[#This Row],[_Pred2Problem]]&lt;&gt;"","Pred 2: "&amp;Tasks[[#This Row],[_Pred2Problem]]&amp;".","")))</f>
        <v/>
      </c>
      <c r="AE112" s="91"/>
      <c r="AF11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2" s="28" t="str">
        <f aca="false">IF(Tasks[[#This Row],[Task Name]]="","",IF(Tasks[[#This Row],[Progress]]&gt;=1,"Complete",IF(OR(N(Tasks[[#This Row],[Actual Start]])&gt;0,Tasks[[#This Row],[Progress]]&gt;0),IF(Tasks[[#This Row],[Finish Var]]&gt;0,"Behind","In Progress"),IF(Tasks[[#This Row],[Planned Start]]&lt;StatusDate,"Late Start","Not Started"))))</f>
        <v/>
      </c>
      <c r="AH112" s="30"/>
      <c r="AI112" s="91"/>
      <c r="AJ11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2" s="98" t="str">
        <f aca="false">IF(Tasks[[#This Row],[Task Name]]="","",IF(Tasks[[#This Row],[_IsSummary]],SUM(INDEX(Tasks[_LeafWork],Tasks[[#This Row],[_Row]]+1):INDEX(Tasks[_LeafWork],Tasks[[#This Row],[_Row]]+Tasks[[#This Row],[_Descendants]])),Tasks[[#This Row],[_LeafWork]]))</f>
        <v/>
      </c>
      <c r="AL112" s="99" t="str">
        <f aca="false">IF(Tasks[[#This Row],[Task Name]]="","",IF(Tasks[[#This Row],[_IsSummary]],SUM(INDEX(Tasks[_LeafCost],Tasks[[#This Row],[_Row]]+1):INDEX(Tasks[_LeafCost],Tasks[[#This Row],[_Row]]+Tasks[[#This Row],[_Descendants]])),Tasks[[#This Row],[_LeafCost]]))</f>
        <v/>
      </c>
      <c r="AM112" s="100"/>
      <c r="AN112" s="29"/>
      <c r="AO1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2" s="85"/>
      <c r="AQ112" s="24" t="str">
        <f aca="false">IF(Tasks[[#This Row],[Task Name]]="","",Tasks[[#This Row],[_Pred1IDText]]&amp;IF(AND(Tasks[[#This Row],[_Pred1IDText]]&lt;&gt;"",Tasks[[#This Row],[_Pred2IDText]]&lt;&gt;""),",","")&amp;Tasks[[#This Row],[_Pred2IDText]])</f>
        <v/>
      </c>
      <c r="AR112" s="30"/>
      <c r="AS112" s="25" t="str">
        <f aca="false">IF(Tasks[[#This Row],[Task Name]]="","",Tasks[[#This Row],[Forecast Start]])</f>
        <v/>
      </c>
      <c r="AT112" s="25" t="str">
        <f aca="false">IF(Tasks[[#This Row],[Task Name]]="","",Tasks[[#This Row],[Forecast Finish]])</f>
        <v/>
      </c>
      <c r="AU112" s="28" t="str">
        <f aca="false">IF(Tasks[[#This Row],[Task Name]]="","",IF(Tasks[[#This Row],[_IsSummary]],NETWORKDAYS.INTL(Tasks[[#This Row],[Forecast Start]],Tasks[[#This Row],[Forecast Finish]],WorkWeek,Holidays),N(Tasks[[#This Row],[Duration]])))</f>
        <v/>
      </c>
      <c r="AV112" s="98" t="str">
        <f aca="false">IF(Tasks[[#This Row],[Task Name]]="","",Tasks[[#This Row],[Work]])</f>
        <v/>
      </c>
      <c r="AW112" s="99" t="str">
        <f aca="false">IF(Tasks[[#This Row],[Task Name]]="","",Tasks[[#This Row],[Cost]])</f>
        <v/>
      </c>
      <c r="AX112" s="77"/>
      <c r="AY112" s="77"/>
      <c r="AZ112" s="29"/>
      <c r="BA112" s="101"/>
      <c r="BB112" s="100"/>
      <c r="BC112" s="28" t="str">
        <f aca="false">IF(OR(Tasks[[#This Row],[Task Name]]="",Tasks[[#This Row],[Baseline Duration]]=""),"",Tasks[[#This Row],[BL Source Duration]]-N(Tasks[[#This Row],[Baseline Duration]]))</f>
        <v/>
      </c>
      <c r="BD112" s="98" t="str">
        <f aca="false">IF(OR(Tasks[[#This Row],[Task Name]]="",Tasks[[#This Row],[Baseline Work]]=""),"",Tasks[[#This Row],[Work]]-N(Tasks[[#This Row],[Baseline Work]]))</f>
        <v/>
      </c>
      <c r="BE112" s="99" t="str">
        <f aca="false">IF(OR(Tasks[[#This Row],[Task Name]]="",Tasks[[#This Row],[Baseline Cost]]=""),"",Tasks[[#This Row],[Cost]]-N(Tasks[[#This Row],[Baseline Cost]]))</f>
        <v/>
      </c>
      <c r="BF112" s="99" t="str">
        <f aca="false">IF(Tasks[[#This Row],[Task Name]]="","",IF(Tasks[[#This Row],[_IsSummary]],SUM(INDEX(Tasks[_LeafBudget],Tasks[[#This Row],[_Row]]+1):INDEX(Tasks[_LeafBudget],Tasks[[#This Row],[_Row]]+Tasks[[#This Row],[_Descendants]])),Tasks[[#This Row],[_LeafBudget]]))</f>
        <v/>
      </c>
      <c r="BG112" s="99" t="str">
        <f aca="false">IF(Tasks[[#This Row],[Task Name]]="","",IF(Tasks[[#This Row],[_IsSummary]],SUM(INDEX(Tasks[_LeafPV],Tasks[[#This Row],[_Row]]+1):INDEX(Tasks[_LeafPV],Tasks[[#This Row],[_Row]]+Tasks[[#This Row],[_Descendants]])),Tasks[[#This Row],[_LeafPV]]))</f>
        <v/>
      </c>
      <c r="BH112" s="99" t="str">
        <f aca="false">IF(Tasks[[#This Row],[Task Name]]="","",IF(Tasks[[#This Row],[_IsSummary]],SUM(INDEX(Tasks[_LeafEV],Tasks[[#This Row],[_Row]]+1):INDEX(Tasks[_LeafEV],Tasks[[#This Row],[_Row]]+Tasks[[#This Row],[_Descendants]])),Tasks[[#This Row],[_LeafEV]]))</f>
        <v/>
      </c>
      <c r="BI112" s="99" t="str">
        <f aca="false">IF(Tasks[[#This Row],[Task Name]]="","",IF(Tasks[[#This Row],[_IsSummary]],SUM(INDEX(Tasks[_LeafAC],Tasks[[#This Row],[_Row]]+1):INDEX(Tasks[_LeafAC],Tasks[[#This Row],[_Row]]+Tasks[[#This Row],[_Descendants]])),Tasks[[#This Row],[_LeafAC]]))</f>
        <v/>
      </c>
      <c r="BJ112" s="41" t="str">
        <f aca="false">IF(Tasks[[#This Row],[Task Name]]="","",MAX(1,N(Tasks[[#This Row],[Level]])))</f>
        <v/>
      </c>
      <c r="BK112" s="41" t="n">
        <f aca="false">ROW()-ROW(Tasks[[#Headers],[ID]])</f>
        <v>107</v>
      </c>
      <c r="BL112" s="41" t="n">
        <f aca="false">IF(OR(Tasks[[#This Row],[Task Name]]="",Tasks[[#This Row],[_Level]]&lt;=1),0,IFERROR(LOOKUP(2,1/(Tasks[[#Headers],[_Level]]:Tasks[[#This Row],[_Level]]=Tasks[[#This Row],[_Level]]-1),ROW(Tasks[[#Headers],[_Level]]:Tasks[[#This Row],[_Level]])),0))</f>
        <v>0</v>
      </c>
      <c r="BM112" s="41" t="n">
        <f aca="false">IFERROR(N(INDEX(Tasks[_Level],Tasks[[#This Row],[_Row]]+1)),0)</f>
        <v>0</v>
      </c>
      <c r="BN112" s="102" t="b">
        <f aca="false">AND(Tasks[[#This Row],[Task Name]]&lt;&gt;"",Tasks[[#This Row],[_NextLevel]]&gt;Tasks[[#This Row],[_Level]])</f>
        <v>0</v>
      </c>
      <c r="BO112" s="41" t="n">
        <f aca="false">IF(Tasks[[#This Row],[_IsSummary]],COUNTIF(Tasks[WBS],Tasks[[#This Row],[WBS]]&amp;".*"),0)</f>
        <v>0</v>
      </c>
      <c r="BP112" s="41" t="n">
        <f aca="false">IF(AND(Tasks[[#This Row],[Task Name]]&lt;&gt;"",NOT(Tasks[[#This Row],[_IsSummary]])),1,0)</f>
        <v>0</v>
      </c>
      <c r="BQ112" s="41" t="n">
        <f aca="false">IF(N(Tasks[[#This Row],[Pred1 UID]])=0,0,IFERROR(MATCH(Tasks[[#This Row],[Pred1 UID]],Tasks[UID],0),-1))</f>
        <v>0</v>
      </c>
      <c r="BR112" s="41" t="n">
        <f aca="false">IF(N(Tasks[[#This Row],[Pred2 UID]])=0,0,IFERROR(MATCH(Tasks[[#This Row],[Pred2 UID]],Tasks[UID],0),-1))</f>
        <v>0</v>
      </c>
      <c r="BS11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2" s="103" t="str">
        <f aca="false">IF(NOT(Tasks[[#This Row],[_IsLeaf]]=1),"",IF(N(Tasks[[#This Row],[Duration]])&lt;=0,Tasks[[#This Row],[_LeafCalcStart]],WORKDAY.INTL(Tasks[[#This Row],[_LeafCalcStart]],Tasks[[#This Row],[Duration]]-1,WorkWeek,Holidays)))</f>
        <v/>
      </c>
      <c r="BU11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2" s="41" t="n">
        <f aca="false">IF(NOT(Tasks[[#This Row],[_IsLeaf]]=1),0,IF(N(Tasks[[#This Row],[Actual Finish]])&gt;0,1,MIN(1,N(Tasks[[#This Row],[% Complete]]))))</f>
        <v>0</v>
      </c>
      <c r="BX112" s="41" t="n">
        <f aca="false">IF(OR(NOT(Tasks[[#This Row],[_IsLeaf]]=1),Tasks[[#This Row],[Resource]]=""),0,N(Tasks[[#This Row],[Duration]])*HoursPerDay*IF(Tasks[[#This Row],[Units]]="",DefaultUnits,Tasks[[#This Row],[Units]]))</f>
        <v>0</v>
      </c>
      <c r="BY112" s="41" t="n">
        <f aca="false">IF(Tasks[[#This Row],[_LeafWork]]=0,0,Tasks[[#This Row],[_LeafWork]]*IFERROR(INDEX(res_Rate,MATCH(Tasks[[#This Row],[Resource]],res_Name,0)),0))</f>
        <v>0</v>
      </c>
      <c r="BZ1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2" s="41" t="n">
        <f aca="false">IF(NOT(Tasks[[#This Row],[_IsLeaf]]=1),0,MAX(_xlfn.MAXIFS(Tasks[_Row],Tasks[Pred1 UID],Tasks[[#This Row],[UID]]),_xlfn.MAXIFS(Tasks[_Row],Tasks[Pred2 UID],Tasks[[#This Row],[UID]])))</f>
        <v>0</v>
      </c>
      <c r="CE11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2" s="103" t="str">
        <f aca="false">IF(NOT(Tasks[[#This Row],[_IsLeaf]]=1),"",MIN(ProjectFinish,IF(N(Tasks[[#This Row],[Deadline]])&gt;0,Tasks[[#This Row],[Deadline]],2958465),Tasks[[#This Row],[_SuccessorFinishLimit]]))</f>
        <v/>
      </c>
      <c r="CG112" s="103" t="str">
        <f aca="false">IF(NOT(Tasks[[#This Row],[_IsLeaf]]=1),"",IF(N(Tasks[[#This Row],[Duration]])&lt;=0,Tasks[[#This Row],[_LeafLateFinish]],WORKDAY.INTL(Tasks[[#This Row],[_LeafLateFinish]],-(Tasks[[#This Row],[Duration]]-1),WorkWeek,Holidays)))</f>
        <v/>
      </c>
      <c r="CH1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2" s="102" t="b">
        <f aca="false">AND(Tasks[[#This Row],[_IsLeaf]]=1,Tasks[[#This Row],[_LeafProgress]]&lt;1,N(Tasks[[#This Row],[_LeafTotalSlack]])&lt;=CriticalSlackDays)</f>
        <v>0</v>
      </c>
      <c r="CJ112" s="103" t="str">
        <f aca="false">IF(Tasks[[#This Row],[Task Name]]="","",IF(Tasks[[#This Row],[_IsSummary]],MIN(INDEX(Tasks[_LeafCalcStart],Tasks[[#This Row],[_Row]]+1):INDEX(Tasks[_LeafCalcStart],Tasks[[#This Row],[_Row]]+Tasks[[#This Row],[_Descendants]])),Tasks[[#This Row],[_LeafCalcStart]]))</f>
        <v/>
      </c>
      <c r="CK112" s="103" t="str">
        <f aca="false">IF(Tasks[[#This Row],[Task Name]]="","",IF(Tasks[[#This Row],[_IsSummary]],MAX(INDEX(Tasks[_LeafCalcFinish],Tasks[[#This Row],[_Row]]+1):INDEX(Tasks[_LeafCalcFinish],Tasks[[#This Row],[_Row]]+Tasks[[#This Row],[_Descendants]])),Tasks[[#This Row],[_LeafCalcFinish]]))</f>
        <v/>
      </c>
      <c r="CL1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2" s="41" t="n">
        <f aca="false">IF(AND(Tasks[[#This Row],[_IsLeaf]]=1,Tasks[[#This Row],[_LeafWork]]&gt;0),NETWORKDAYS.INTL(ProjectStart,Tasks[[#This Row],[_LeafFcstStart]],WorkWeek,Holidays),0)</f>
        <v>0</v>
      </c>
      <c r="CS112" s="41" t="n">
        <f aca="false">IF(AND(Tasks[[#This Row],[_IsLeaf]]=1,Tasks[[#This Row],[_LeafWork]]&gt;0),MAX(Tasks[[#This Row],[_StartWorkday]],NETWORKDAYS.INTL(ProjectStart,Tasks[[#This Row],[_LeafFcstFinish]],WorkWeek,Holidays)),0)</f>
        <v>0</v>
      </c>
      <c r="CT112" s="41" t="n">
        <f aca="false">IF(AND(Tasks[[#This Row],[_IsLeaf]]=1,Tasks[[#This Row],[_LeafWork]]&gt;0),Tasks[[#This Row],[_LeafWork]]/(Tasks[[#This Row],[_FinishWorkday]]-Tasks[[#This Row],[_StartWorkday]]+1),0)</f>
        <v>0</v>
      </c>
      <c r="CU112" s="41" t="n">
        <f aca="false">Tasks[[#This Row],[_WorkPerWorkday]]*(Tasks[[#This Row],[_StartWorkday]]-1)</f>
        <v>-0</v>
      </c>
      <c r="CV112" s="41" t="n">
        <f aca="false">IF(Tasks[[#This Row],[_IsLeaf]]=1,MAX(N(Tasks[[#This Row],[Duration]]),0.1),0)</f>
        <v>0</v>
      </c>
      <c r="CW112" s="41" t="n">
        <f aca="false">Tasks[[#This Row],[_WeightDur]]*Tasks[[#This Row],[_LeafProgress]]</f>
        <v>0</v>
      </c>
      <c r="CX1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2" s="41" t="str">
        <f aca="false">IF(Tasks[[#This Row],[Task Name]]="","",Tasks[[#This Row],[_Pred1UIDText]]&amp;IF(AND(Tasks[[#This Row],[_Pred1UIDText]]&lt;&gt;"",Tasks[[#This Row],[_Pred2UIDText]]&lt;&gt;""),",","")&amp;Tasks[[#This Row],[_Pred2UIDText]])</f>
        <v/>
      </c>
      <c r="DC112" s="41" t="str">
        <f aca="false">IF(AND(Tasks[[#This Row],[_IsLeaf]]=1,N(Tasks[[#This Row],[Duration]])=0,Tasks[[#This Row],[_LeafProgress]]&lt;1),Tasks[[#This Row],[_LeafFcstFinish]]+Tasks[[#This Row],[_Row]]/100000,"")</f>
        <v/>
      </c>
      <c r="DD1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2" s="41" t="n">
        <f aca="false">IF(NOT(Tasks[[#This Row],[_IsLeaf]]=1),0,IF(Tasks[[#This Row],[Baseline Cost]]="",Tasks[[#This Row],[_LeafCost]],N(Tasks[[#This Row],[Baseline Cost]])))</f>
        <v>0</v>
      </c>
      <c r="DF112" s="41" t="n">
        <f aca="false">Tasks[[#This Row],[_LeafBudget]]*Tasks[[#This Row],[_PlannedPct]]</f>
        <v>0</v>
      </c>
      <c r="DG112" s="41" t="n">
        <f aca="false">Tasks[[#This Row],[_LeafBudget]]*Tasks[[#This Row],[_LeafProgress]]</f>
        <v>0</v>
      </c>
      <c r="DH112" s="41" t="n">
        <f aca="false">IF(NOT(Tasks[[#This Row],[_IsLeaf]]=1),0,IF(Tasks[[#This Row],[Actual Cost]]="",Tasks[[#This Row],[_LeafCost]]*Tasks[[#This Row],[_LeafProgress]],N(Tasks[[#This Row],[Actual Cost]])))</f>
        <v>0</v>
      </c>
      <c r="DI112" s="41" t="str">
        <f aca="false">IF(Tasks[[#This Row],[Task Name]]="","",LEFT(Tasks[[#This Row],[WBS]],FIND(".",Tasks[[#This Row],[WBS]]&amp;".")-1))</f>
        <v/>
      </c>
      <c r="DJ112" s="41" t="str">
        <f aca="false">IF(AND(Tasks[[#This Row],[Task Name]]&lt;&gt;"",Tasks[[#This Row],[_Level]]=1),Tasks[[#This Row],[_Row]],"")</f>
        <v/>
      </c>
      <c r="DK112" s="41" t="str">
        <f aca="false">IF(AND(Tasks[[#This Row],[_IsLeaf]]=1,N(Tasks[[#This Row],[Duration]])=0),Tasks[[#This Row],[Planned Finish]]+Tasks[[#This Row],[_Row]]/100000,"")</f>
        <v/>
      </c>
      <c r="DL112" s="41" t="str">
        <f aca="false">IF(AND(Tasks[[#This Row],[_IsLeaf]]=1,Tasks[[#This Row],[_LeafProgress]]&lt;1,OR(N(Tasks[[#This Row],[Finish Var]])&gt;0,Tasks[[#This Row],[Status]]="Late Start")),MAX(0,Tasks[[#This Row],[Finish Var]])+1-Tasks[[#This Row],[_Row]]/1000000,"")</f>
        <v/>
      </c>
      <c r="DM112" s="41" t="str">
        <f aca="false">IF(AND(Tasks[[#This Row],[_IsLeaf]]=1,N(Tasks[[#This Row],[Actual Start]])=0,Tasks[[#This Row],[_LeafFcstStart]]&gt;=StatusDate,Tasks[[#This Row],[_LeafFcstStart]]&lt;=LookaheadEnd),Tasks[[#This Row],[_LeafFcstStart]]+Tasks[[#This Row],[_Row]]/100000,"")</f>
        <v/>
      </c>
      <c r="DN112" s="41" t="str">
        <f aca="false">IF(AND(Tasks[[#This Row],[_IsLeaf]]=1,Tasks[[#This Row],[_LeafProgress]]&lt;1,Tasks[[#This Row],[_LeafFcstFinish]]&gt;=StatusDate,Tasks[[#This Row],[_LeafFcstFinish]]&lt;=LookaheadEnd),Tasks[[#This Row],[_LeafFcstFinish]]+Tasks[[#This Row],[_Row]]/100000,"")</f>
        <v/>
      </c>
      <c r="DO112" s="41" t="str">
        <f aca="false">IF(Tasks[[#This Row],[_LeafCritical]],Tasks[[#This Row],[_LeafFcstStart]]+Tasks[[#This Row],[_Row]]/100000,"")</f>
        <v/>
      </c>
      <c r="DP112" s="41" t="n">
        <f aca="false">Tasks[[#This Row],[_LeafWork]]*Tasks[[#This Row],[_LeafProgress]]</f>
        <v>0</v>
      </c>
      <c r="DQ112" s="103" t="str">
        <f aca="false">IF(AND(Tasks[[#This Row],[_IsLeaf]]=1,Tasks[[#This Row],[_LeafProgress]]&gt;=1),IF(N(Tasks[[#This Row],[Actual Finish]])&gt;0,Tasks[[#This Row],[Actual Finish]],Tasks[[#This Row],[_LeafFcstFinish]]),"")</f>
        <v/>
      </c>
      <c r="DR112" s="41" t="n">
        <f aca="false">IF(Tasks[[#This Row],[_IsLeaf]]=1,N(Tasks[[#This Row],[Story Points]]),0)</f>
        <v>0</v>
      </c>
      <c r="DS112" s="41" t="str">
        <f aca="false">IF(AND(Tasks[[#This Row],[_IsLeaf]]=1,CurrentSprint&lt;&gt;"",Tasks[[#This Row],[Sprint]]=CurrentSprint),Tasks[[#This Row],[_Row]],"")</f>
        <v/>
      </c>
    </row>
    <row r="113" customFormat="false" ht="15" hidden="false" customHeight="false" outlineLevel="0" collapsed="false">
      <c r="A113" s="28" t="str">
        <f aca="false">IF(Tasks[[#This Row],[Task Name]]="","",COUNTA(Tasks[[#Headers],[Task Name]]:Tasks[[#This Row],[Task Name]])-1)</f>
        <v/>
      </c>
      <c r="B113" s="29" t="n">
        <v>108</v>
      </c>
      <c r="C1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29"/>
      <c r="E113" s="30"/>
      <c r="F113" s="29"/>
      <c r="G113" s="29"/>
      <c r="H113" s="29"/>
      <c r="I113" s="29"/>
      <c r="J113" s="29"/>
      <c r="K113" s="29"/>
      <c r="L113" s="29"/>
      <c r="M113" s="29"/>
      <c r="N113" s="77"/>
      <c r="O113" s="77"/>
      <c r="P113" s="25" t="str">
        <f aca="false">IF(Tasks[[#This Row],[Task Name]]="","",IF(N(Tasks[[#This Row],[Baseline Start]])&gt;0,Tasks[[#This Row],[Baseline Start]],Tasks[[#This Row],[_CalcStart]]))</f>
        <v/>
      </c>
      <c r="Q113" s="25" t="str">
        <f aca="false">IF(Tasks[[#This Row],[Task Name]]="","",IF(N(Tasks[[#This Row],[Baseline Finish]])&gt;0,Tasks[[#This Row],[Baseline Finish]],Tasks[[#This Row],[_CalcFinish]]))</f>
        <v/>
      </c>
      <c r="R113" s="77"/>
      <c r="S113" s="77"/>
      <c r="T113" s="25" t="str">
        <f aca="false">IF(Tasks[[#This Row],[Task Name]]="","",IF(Tasks[[#This Row],[_IsSummary]],MIN(INDEX(Tasks[_LeafFcstStart],Tasks[[#This Row],[_Row]]+1):INDEX(Tasks[_LeafFcstStart],Tasks[[#This Row],[_Row]]+Tasks[[#This Row],[_Descendants]])),Tasks[[#This Row],[_LeafFcstStart]]))</f>
        <v/>
      </c>
      <c r="U113" s="25" t="str">
        <f aca="false">IF(Tasks[[#This Row],[Task Name]]="","",IF(Tasks[[#This Row],[_IsSummary]],MAX(INDEX(Tasks[_LeafFcstFinish],Tasks[[#This Row],[_Row]]+1):INDEX(Tasks[_LeafFcstFinish],Tasks[[#This Row],[_Row]]+Tasks[[#This Row],[_Descendants]])),Tasks[[#This Row],[_LeafFcstFinish]]))</f>
        <v/>
      </c>
      <c r="V11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3" s="25" t="str">
        <f aca="false">IF(Tasks[[#This Row],[Task Name]]="","",IF(Tasks[[#This Row],[_IsSummary]],MIN(INDEX(Tasks[_LeafLateStart],Tasks[[#This Row],[_Row]]+1):INDEX(Tasks[_LeafLateStart],Tasks[[#This Row],[_Row]]+Tasks[[#This Row],[_Descendants]])),Tasks[[#This Row],[_LeafLateStart]]))</f>
        <v/>
      </c>
      <c r="Y113" s="25" t="str">
        <f aca="false">IF(Tasks[[#This Row],[Task Name]]="","",IF(Tasks[[#This Row],[_IsSummary]],MAX(INDEX(Tasks[_LeafLateFinish],Tasks[[#This Row],[_Row]]+1):INDEX(Tasks[_LeafLateFinish],Tasks[[#This Row],[_Row]]+Tasks[[#This Row],[_Descendants]])),Tasks[[#This Row],[_LeafLateFinish]]))</f>
        <v/>
      </c>
      <c r="Z113" s="43" t="str">
        <f aca="false">IF(Tasks[[#This Row],[Task Name]]="","",IF(Tasks[[#This Row],[_IsSummary]],MIN(INDEX(Tasks[_LeafTotalSlack],Tasks[[#This Row],[_Row]]+1):INDEX(Tasks[_LeafTotalSlack],Tasks[[#This Row],[_Row]]+Tasks[[#This Row],[_Descendants]])),Tasks[[#This Row],[_LeafTotalSlack]]))</f>
        <v/>
      </c>
      <c r="AA1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3" s="28" t="str">
        <f aca="false">IF(Tasks[[#This Row],[Task Name]]="","",IF(IF(Tasks[[#This Row],[_IsSummary]],COUNTIF(INDEX(Tasks[_LeafCritical],Tasks[[#This Row],[_Row]]+1):INDEX(Tasks[_LeafCritical],Tasks[[#This Row],[_Row]]+Tasks[[#This Row],[_Descendants]]),TRUE())&gt;0,Tasks[[#This Row],[_LeafCritical]]),"Yes",""))</f>
        <v/>
      </c>
      <c r="AC1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3" s="24" t="str">
        <f aca="false">IF(Tasks[[#This Row],[Task Name]]="","",TRIM(IF(Tasks[[#This Row],[_Pred1Problem]]&lt;&gt;"","Pred 1: "&amp;Tasks[[#This Row],[_Pred1Problem]]&amp;". ","")&amp;IF(Tasks[[#This Row],[_Pred2Problem]]&lt;&gt;"","Pred 2: "&amp;Tasks[[#This Row],[_Pred2Problem]]&amp;".","")))</f>
        <v/>
      </c>
      <c r="AE113" s="91"/>
      <c r="AF11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3" s="28" t="str">
        <f aca="false">IF(Tasks[[#This Row],[Task Name]]="","",IF(Tasks[[#This Row],[Progress]]&gt;=1,"Complete",IF(OR(N(Tasks[[#This Row],[Actual Start]])&gt;0,Tasks[[#This Row],[Progress]]&gt;0),IF(Tasks[[#This Row],[Finish Var]]&gt;0,"Behind","In Progress"),IF(Tasks[[#This Row],[Planned Start]]&lt;StatusDate,"Late Start","Not Started"))))</f>
        <v/>
      </c>
      <c r="AH113" s="30"/>
      <c r="AI113" s="91"/>
      <c r="AJ11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3" s="98" t="str">
        <f aca="false">IF(Tasks[[#This Row],[Task Name]]="","",IF(Tasks[[#This Row],[_IsSummary]],SUM(INDEX(Tasks[_LeafWork],Tasks[[#This Row],[_Row]]+1):INDEX(Tasks[_LeafWork],Tasks[[#This Row],[_Row]]+Tasks[[#This Row],[_Descendants]])),Tasks[[#This Row],[_LeafWork]]))</f>
        <v/>
      </c>
      <c r="AL113" s="99" t="str">
        <f aca="false">IF(Tasks[[#This Row],[Task Name]]="","",IF(Tasks[[#This Row],[_IsSummary]],SUM(INDEX(Tasks[_LeafCost],Tasks[[#This Row],[_Row]]+1):INDEX(Tasks[_LeafCost],Tasks[[#This Row],[_Row]]+Tasks[[#This Row],[_Descendants]])),Tasks[[#This Row],[_LeafCost]]))</f>
        <v/>
      </c>
      <c r="AM113" s="100"/>
      <c r="AN113" s="29"/>
      <c r="AO1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3" s="85"/>
      <c r="AQ113" s="24" t="str">
        <f aca="false">IF(Tasks[[#This Row],[Task Name]]="","",Tasks[[#This Row],[_Pred1IDText]]&amp;IF(AND(Tasks[[#This Row],[_Pred1IDText]]&lt;&gt;"",Tasks[[#This Row],[_Pred2IDText]]&lt;&gt;""),",","")&amp;Tasks[[#This Row],[_Pred2IDText]])</f>
        <v/>
      </c>
      <c r="AR113" s="30"/>
      <c r="AS113" s="25" t="str">
        <f aca="false">IF(Tasks[[#This Row],[Task Name]]="","",Tasks[[#This Row],[Forecast Start]])</f>
        <v/>
      </c>
      <c r="AT113" s="25" t="str">
        <f aca="false">IF(Tasks[[#This Row],[Task Name]]="","",Tasks[[#This Row],[Forecast Finish]])</f>
        <v/>
      </c>
      <c r="AU113" s="28" t="str">
        <f aca="false">IF(Tasks[[#This Row],[Task Name]]="","",IF(Tasks[[#This Row],[_IsSummary]],NETWORKDAYS.INTL(Tasks[[#This Row],[Forecast Start]],Tasks[[#This Row],[Forecast Finish]],WorkWeek,Holidays),N(Tasks[[#This Row],[Duration]])))</f>
        <v/>
      </c>
      <c r="AV113" s="98" t="str">
        <f aca="false">IF(Tasks[[#This Row],[Task Name]]="","",Tasks[[#This Row],[Work]])</f>
        <v/>
      </c>
      <c r="AW113" s="99" t="str">
        <f aca="false">IF(Tasks[[#This Row],[Task Name]]="","",Tasks[[#This Row],[Cost]])</f>
        <v/>
      </c>
      <c r="AX113" s="77"/>
      <c r="AY113" s="77"/>
      <c r="AZ113" s="29"/>
      <c r="BA113" s="101"/>
      <c r="BB113" s="100"/>
      <c r="BC113" s="28" t="str">
        <f aca="false">IF(OR(Tasks[[#This Row],[Task Name]]="",Tasks[[#This Row],[Baseline Duration]]=""),"",Tasks[[#This Row],[BL Source Duration]]-N(Tasks[[#This Row],[Baseline Duration]]))</f>
        <v/>
      </c>
      <c r="BD113" s="98" t="str">
        <f aca="false">IF(OR(Tasks[[#This Row],[Task Name]]="",Tasks[[#This Row],[Baseline Work]]=""),"",Tasks[[#This Row],[Work]]-N(Tasks[[#This Row],[Baseline Work]]))</f>
        <v/>
      </c>
      <c r="BE113" s="99" t="str">
        <f aca="false">IF(OR(Tasks[[#This Row],[Task Name]]="",Tasks[[#This Row],[Baseline Cost]]=""),"",Tasks[[#This Row],[Cost]]-N(Tasks[[#This Row],[Baseline Cost]]))</f>
        <v/>
      </c>
      <c r="BF113" s="99" t="str">
        <f aca="false">IF(Tasks[[#This Row],[Task Name]]="","",IF(Tasks[[#This Row],[_IsSummary]],SUM(INDEX(Tasks[_LeafBudget],Tasks[[#This Row],[_Row]]+1):INDEX(Tasks[_LeafBudget],Tasks[[#This Row],[_Row]]+Tasks[[#This Row],[_Descendants]])),Tasks[[#This Row],[_LeafBudget]]))</f>
        <v/>
      </c>
      <c r="BG113" s="99" t="str">
        <f aca="false">IF(Tasks[[#This Row],[Task Name]]="","",IF(Tasks[[#This Row],[_IsSummary]],SUM(INDEX(Tasks[_LeafPV],Tasks[[#This Row],[_Row]]+1):INDEX(Tasks[_LeafPV],Tasks[[#This Row],[_Row]]+Tasks[[#This Row],[_Descendants]])),Tasks[[#This Row],[_LeafPV]]))</f>
        <v/>
      </c>
      <c r="BH113" s="99" t="str">
        <f aca="false">IF(Tasks[[#This Row],[Task Name]]="","",IF(Tasks[[#This Row],[_IsSummary]],SUM(INDEX(Tasks[_LeafEV],Tasks[[#This Row],[_Row]]+1):INDEX(Tasks[_LeafEV],Tasks[[#This Row],[_Row]]+Tasks[[#This Row],[_Descendants]])),Tasks[[#This Row],[_LeafEV]]))</f>
        <v/>
      </c>
      <c r="BI113" s="99" t="str">
        <f aca="false">IF(Tasks[[#This Row],[Task Name]]="","",IF(Tasks[[#This Row],[_IsSummary]],SUM(INDEX(Tasks[_LeafAC],Tasks[[#This Row],[_Row]]+1):INDEX(Tasks[_LeafAC],Tasks[[#This Row],[_Row]]+Tasks[[#This Row],[_Descendants]])),Tasks[[#This Row],[_LeafAC]]))</f>
        <v/>
      </c>
      <c r="BJ113" s="41" t="str">
        <f aca="false">IF(Tasks[[#This Row],[Task Name]]="","",MAX(1,N(Tasks[[#This Row],[Level]])))</f>
        <v/>
      </c>
      <c r="BK113" s="41" t="n">
        <f aca="false">ROW()-ROW(Tasks[[#Headers],[ID]])</f>
        <v>108</v>
      </c>
      <c r="BL113" s="41" t="n">
        <f aca="false">IF(OR(Tasks[[#This Row],[Task Name]]="",Tasks[[#This Row],[_Level]]&lt;=1),0,IFERROR(LOOKUP(2,1/(Tasks[[#Headers],[_Level]]:Tasks[[#This Row],[_Level]]=Tasks[[#This Row],[_Level]]-1),ROW(Tasks[[#Headers],[_Level]]:Tasks[[#This Row],[_Level]])),0))</f>
        <v>0</v>
      </c>
      <c r="BM113" s="41" t="n">
        <f aca="false">IFERROR(N(INDEX(Tasks[_Level],Tasks[[#This Row],[_Row]]+1)),0)</f>
        <v>0</v>
      </c>
      <c r="BN113" s="102" t="b">
        <f aca="false">AND(Tasks[[#This Row],[Task Name]]&lt;&gt;"",Tasks[[#This Row],[_NextLevel]]&gt;Tasks[[#This Row],[_Level]])</f>
        <v>0</v>
      </c>
      <c r="BO113" s="41" t="n">
        <f aca="false">IF(Tasks[[#This Row],[_IsSummary]],COUNTIF(Tasks[WBS],Tasks[[#This Row],[WBS]]&amp;".*"),0)</f>
        <v>0</v>
      </c>
      <c r="BP113" s="41" t="n">
        <f aca="false">IF(AND(Tasks[[#This Row],[Task Name]]&lt;&gt;"",NOT(Tasks[[#This Row],[_IsSummary]])),1,0)</f>
        <v>0</v>
      </c>
      <c r="BQ113" s="41" t="n">
        <f aca="false">IF(N(Tasks[[#This Row],[Pred1 UID]])=0,0,IFERROR(MATCH(Tasks[[#This Row],[Pred1 UID]],Tasks[UID],0),-1))</f>
        <v>0</v>
      </c>
      <c r="BR113" s="41" t="n">
        <f aca="false">IF(N(Tasks[[#This Row],[Pred2 UID]])=0,0,IFERROR(MATCH(Tasks[[#This Row],[Pred2 UID]],Tasks[UID],0),-1))</f>
        <v>0</v>
      </c>
      <c r="BS11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3" s="103" t="str">
        <f aca="false">IF(NOT(Tasks[[#This Row],[_IsLeaf]]=1),"",IF(N(Tasks[[#This Row],[Duration]])&lt;=0,Tasks[[#This Row],[_LeafCalcStart]],WORKDAY.INTL(Tasks[[#This Row],[_LeafCalcStart]],Tasks[[#This Row],[Duration]]-1,WorkWeek,Holidays)))</f>
        <v/>
      </c>
      <c r="BU11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3" s="41" t="n">
        <f aca="false">IF(NOT(Tasks[[#This Row],[_IsLeaf]]=1),0,IF(N(Tasks[[#This Row],[Actual Finish]])&gt;0,1,MIN(1,N(Tasks[[#This Row],[% Complete]]))))</f>
        <v>0</v>
      </c>
      <c r="BX113" s="41" t="n">
        <f aca="false">IF(OR(NOT(Tasks[[#This Row],[_IsLeaf]]=1),Tasks[[#This Row],[Resource]]=""),0,N(Tasks[[#This Row],[Duration]])*HoursPerDay*IF(Tasks[[#This Row],[Units]]="",DefaultUnits,Tasks[[#This Row],[Units]]))</f>
        <v>0</v>
      </c>
      <c r="BY113" s="41" t="n">
        <f aca="false">IF(Tasks[[#This Row],[_LeafWork]]=0,0,Tasks[[#This Row],[_LeafWork]]*IFERROR(INDEX(res_Rate,MATCH(Tasks[[#This Row],[Resource]],res_Name,0)),0))</f>
        <v>0</v>
      </c>
      <c r="BZ1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3" s="41" t="n">
        <f aca="false">IF(NOT(Tasks[[#This Row],[_IsLeaf]]=1),0,MAX(_xlfn.MAXIFS(Tasks[_Row],Tasks[Pred1 UID],Tasks[[#This Row],[UID]]),_xlfn.MAXIFS(Tasks[_Row],Tasks[Pred2 UID],Tasks[[#This Row],[UID]])))</f>
        <v>0</v>
      </c>
      <c r="CE11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3" s="103" t="str">
        <f aca="false">IF(NOT(Tasks[[#This Row],[_IsLeaf]]=1),"",MIN(ProjectFinish,IF(N(Tasks[[#This Row],[Deadline]])&gt;0,Tasks[[#This Row],[Deadline]],2958465),Tasks[[#This Row],[_SuccessorFinishLimit]]))</f>
        <v/>
      </c>
      <c r="CG113" s="103" t="str">
        <f aca="false">IF(NOT(Tasks[[#This Row],[_IsLeaf]]=1),"",IF(N(Tasks[[#This Row],[Duration]])&lt;=0,Tasks[[#This Row],[_LeafLateFinish]],WORKDAY.INTL(Tasks[[#This Row],[_LeafLateFinish]],-(Tasks[[#This Row],[Duration]]-1),WorkWeek,Holidays)))</f>
        <v/>
      </c>
      <c r="CH1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3" s="102" t="b">
        <f aca="false">AND(Tasks[[#This Row],[_IsLeaf]]=1,Tasks[[#This Row],[_LeafProgress]]&lt;1,N(Tasks[[#This Row],[_LeafTotalSlack]])&lt;=CriticalSlackDays)</f>
        <v>0</v>
      </c>
      <c r="CJ113" s="103" t="str">
        <f aca="false">IF(Tasks[[#This Row],[Task Name]]="","",IF(Tasks[[#This Row],[_IsSummary]],MIN(INDEX(Tasks[_LeafCalcStart],Tasks[[#This Row],[_Row]]+1):INDEX(Tasks[_LeafCalcStart],Tasks[[#This Row],[_Row]]+Tasks[[#This Row],[_Descendants]])),Tasks[[#This Row],[_LeafCalcStart]]))</f>
        <v/>
      </c>
      <c r="CK113" s="103" t="str">
        <f aca="false">IF(Tasks[[#This Row],[Task Name]]="","",IF(Tasks[[#This Row],[_IsSummary]],MAX(INDEX(Tasks[_LeafCalcFinish],Tasks[[#This Row],[_Row]]+1):INDEX(Tasks[_LeafCalcFinish],Tasks[[#This Row],[_Row]]+Tasks[[#This Row],[_Descendants]])),Tasks[[#This Row],[_LeafCalcFinish]]))</f>
        <v/>
      </c>
      <c r="CL1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3" s="41" t="n">
        <f aca="false">IF(AND(Tasks[[#This Row],[_IsLeaf]]=1,Tasks[[#This Row],[_LeafWork]]&gt;0),NETWORKDAYS.INTL(ProjectStart,Tasks[[#This Row],[_LeafFcstStart]],WorkWeek,Holidays),0)</f>
        <v>0</v>
      </c>
      <c r="CS113" s="41" t="n">
        <f aca="false">IF(AND(Tasks[[#This Row],[_IsLeaf]]=1,Tasks[[#This Row],[_LeafWork]]&gt;0),MAX(Tasks[[#This Row],[_StartWorkday]],NETWORKDAYS.INTL(ProjectStart,Tasks[[#This Row],[_LeafFcstFinish]],WorkWeek,Holidays)),0)</f>
        <v>0</v>
      </c>
      <c r="CT113" s="41" t="n">
        <f aca="false">IF(AND(Tasks[[#This Row],[_IsLeaf]]=1,Tasks[[#This Row],[_LeafWork]]&gt;0),Tasks[[#This Row],[_LeafWork]]/(Tasks[[#This Row],[_FinishWorkday]]-Tasks[[#This Row],[_StartWorkday]]+1),0)</f>
        <v>0</v>
      </c>
      <c r="CU113" s="41" t="n">
        <f aca="false">Tasks[[#This Row],[_WorkPerWorkday]]*(Tasks[[#This Row],[_StartWorkday]]-1)</f>
        <v>-0</v>
      </c>
      <c r="CV113" s="41" t="n">
        <f aca="false">IF(Tasks[[#This Row],[_IsLeaf]]=1,MAX(N(Tasks[[#This Row],[Duration]]),0.1),0)</f>
        <v>0</v>
      </c>
      <c r="CW113" s="41" t="n">
        <f aca="false">Tasks[[#This Row],[_WeightDur]]*Tasks[[#This Row],[_LeafProgress]]</f>
        <v>0</v>
      </c>
      <c r="CX1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3" s="41" t="str">
        <f aca="false">IF(Tasks[[#This Row],[Task Name]]="","",Tasks[[#This Row],[_Pred1UIDText]]&amp;IF(AND(Tasks[[#This Row],[_Pred1UIDText]]&lt;&gt;"",Tasks[[#This Row],[_Pred2UIDText]]&lt;&gt;""),",","")&amp;Tasks[[#This Row],[_Pred2UIDText]])</f>
        <v/>
      </c>
      <c r="DC113" s="41" t="str">
        <f aca="false">IF(AND(Tasks[[#This Row],[_IsLeaf]]=1,N(Tasks[[#This Row],[Duration]])=0,Tasks[[#This Row],[_LeafProgress]]&lt;1),Tasks[[#This Row],[_LeafFcstFinish]]+Tasks[[#This Row],[_Row]]/100000,"")</f>
        <v/>
      </c>
      <c r="DD1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3" s="41" t="n">
        <f aca="false">IF(NOT(Tasks[[#This Row],[_IsLeaf]]=1),0,IF(Tasks[[#This Row],[Baseline Cost]]="",Tasks[[#This Row],[_LeafCost]],N(Tasks[[#This Row],[Baseline Cost]])))</f>
        <v>0</v>
      </c>
      <c r="DF113" s="41" t="n">
        <f aca="false">Tasks[[#This Row],[_LeafBudget]]*Tasks[[#This Row],[_PlannedPct]]</f>
        <v>0</v>
      </c>
      <c r="DG113" s="41" t="n">
        <f aca="false">Tasks[[#This Row],[_LeafBudget]]*Tasks[[#This Row],[_LeafProgress]]</f>
        <v>0</v>
      </c>
      <c r="DH113" s="41" t="n">
        <f aca="false">IF(NOT(Tasks[[#This Row],[_IsLeaf]]=1),0,IF(Tasks[[#This Row],[Actual Cost]]="",Tasks[[#This Row],[_LeafCost]]*Tasks[[#This Row],[_LeafProgress]],N(Tasks[[#This Row],[Actual Cost]])))</f>
        <v>0</v>
      </c>
      <c r="DI113" s="41" t="str">
        <f aca="false">IF(Tasks[[#This Row],[Task Name]]="","",LEFT(Tasks[[#This Row],[WBS]],FIND(".",Tasks[[#This Row],[WBS]]&amp;".")-1))</f>
        <v/>
      </c>
      <c r="DJ113" s="41" t="str">
        <f aca="false">IF(AND(Tasks[[#This Row],[Task Name]]&lt;&gt;"",Tasks[[#This Row],[_Level]]=1),Tasks[[#This Row],[_Row]],"")</f>
        <v/>
      </c>
      <c r="DK113" s="41" t="str">
        <f aca="false">IF(AND(Tasks[[#This Row],[_IsLeaf]]=1,N(Tasks[[#This Row],[Duration]])=0),Tasks[[#This Row],[Planned Finish]]+Tasks[[#This Row],[_Row]]/100000,"")</f>
        <v/>
      </c>
      <c r="DL113" s="41" t="str">
        <f aca="false">IF(AND(Tasks[[#This Row],[_IsLeaf]]=1,Tasks[[#This Row],[_LeafProgress]]&lt;1,OR(N(Tasks[[#This Row],[Finish Var]])&gt;0,Tasks[[#This Row],[Status]]="Late Start")),MAX(0,Tasks[[#This Row],[Finish Var]])+1-Tasks[[#This Row],[_Row]]/1000000,"")</f>
        <v/>
      </c>
      <c r="DM113" s="41" t="str">
        <f aca="false">IF(AND(Tasks[[#This Row],[_IsLeaf]]=1,N(Tasks[[#This Row],[Actual Start]])=0,Tasks[[#This Row],[_LeafFcstStart]]&gt;=StatusDate,Tasks[[#This Row],[_LeafFcstStart]]&lt;=LookaheadEnd),Tasks[[#This Row],[_LeafFcstStart]]+Tasks[[#This Row],[_Row]]/100000,"")</f>
        <v/>
      </c>
      <c r="DN113" s="41" t="str">
        <f aca="false">IF(AND(Tasks[[#This Row],[_IsLeaf]]=1,Tasks[[#This Row],[_LeafProgress]]&lt;1,Tasks[[#This Row],[_LeafFcstFinish]]&gt;=StatusDate,Tasks[[#This Row],[_LeafFcstFinish]]&lt;=LookaheadEnd),Tasks[[#This Row],[_LeafFcstFinish]]+Tasks[[#This Row],[_Row]]/100000,"")</f>
        <v/>
      </c>
      <c r="DO113" s="41" t="str">
        <f aca="false">IF(Tasks[[#This Row],[_LeafCritical]],Tasks[[#This Row],[_LeafFcstStart]]+Tasks[[#This Row],[_Row]]/100000,"")</f>
        <v/>
      </c>
      <c r="DP113" s="41" t="n">
        <f aca="false">Tasks[[#This Row],[_LeafWork]]*Tasks[[#This Row],[_LeafProgress]]</f>
        <v>0</v>
      </c>
      <c r="DQ113" s="103" t="str">
        <f aca="false">IF(AND(Tasks[[#This Row],[_IsLeaf]]=1,Tasks[[#This Row],[_LeafProgress]]&gt;=1),IF(N(Tasks[[#This Row],[Actual Finish]])&gt;0,Tasks[[#This Row],[Actual Finish]],Tasks[[#This Row],[_LeafFcstFinish]]),"")</f>
        <v/>
      </c>
      <c r="DR113" s="41" t="n">
        <f aca="false">IF(Tasks[[#This Row],[_IsLeaf]]=1,N(Tasks[[#This Row],[Story Points]]),0)</f>
        <v>0</v>
      </c>
      <c r="DS113" s="41" t="str">
        <f aca="false">IF(AND(Tasks[[#This Row],[_IsLeaf]]=1,CurrentSprint&lt;&gt;"",Tasks[[#This Row],[Sprint]]=CurrentSprint),Tasks[[#This Row],[_Row]],"")</f>
        <v/>
      </c>
    </row>
    <row r="114" customFormat="false" ht="15" hidden="false" customHeight="false" outlineLevel="0" collapsed="false">
      <c r="A114" s="28" t="str">
        <f aca="false">IF(Tasks[[#This Row],[Task Name]]="","",COUNTA(Tasks[[#Headers],[Task Name]]:Tasks[[#This Row],[Task Name]])-1)</f>
        <v/>
      </c>
      <c r="B114" s="29" t="n">
        <v>109</v>
      </c>
      <c r="C1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29"/>
      <c r="E114" s="30"/>
      <c r="F114" s="29"/>
      <c r="G114" s="29"/>
      <c r="H114" s="29"/>
      <c r="I114" s="29"/>
      <c r="J114" s="29"/>
      <c r="K114" s="29"/>
      <c r="L114" s="29"/>
      <c r="M114" s="29"/>
      <c r="N114" s="77"/>
      <c r="O114" s="77"/>
      <c r="P114" s="25" t="str">
        <f aca="false">IF(Tasks[[#This Row],[Task Name]]="","",IF(N(Tasks[[#This Row],[Baseline Start]])&gt;0,Tasks[[#This Row],[Baseline Start]],Tasks[[#This Row],[_CalcStart]]))</f>
        <v/>
      </c>
      <c r="Q114" s="25" t="str">
        <f aca="false">IF(Tasks[[#This Row],[Task Name]]="","",IF(N(Tasks[[#This Row],[Baseline Finish]])&gt;0,Tasks[[#This Row],[Baseline Finish]],Tasks[[#This Row],[_CalcFinish]]))</f>
        <v/>
      </c>
      <c r="R114" s="77"/>
      <c r="S114" s="77"/>
      <c r="T114" s="25" t="str">
        <f aca="false">IF(Tasks[[#This Row],[Task Name]]="","",IF(Tasks[[#This Row],[_IsSummary]],MIN(INDEX(Tasks[_LeafFcstStart],Tasks[[#This Row],[_Row]]+1):INDEX(Tasks[_LeafFcstStart],Tasks[[#This Row],[_Row]]+Tasks[[#This Row],[_Descendants]])),Tasks[[#This Row],[_LeafFcstStart]]))</f>
        <v/>
      </c>
      <c r="U114" s="25" t="str">
        <f aca="false">IF(Tasks[[#This Row],[Task Name]]="","",IF(Tasks[[#This Row],[_IsSummary]],MAX(INDEX(Tasks[_LeafFcstFinish],Tasks[[#This Row],[_Row]]+1):INDEX(Tasks[_LeafFcstFinish],Tasks[[#This Row],[_Row]]+Tasks[[#This Row],[_Descendants]])),Tasks[[#This Row],[_LeafFcstFinish]]))</f>
        <v/>
      </c>
      <c r="V11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4" s="25" t="str">
        <f aca="false">IF(Tasks[[#This Row],[Task Name]]="","",IF(Tasks[[#This Row],[_IsSummary]],MIN(INDEX(Tasks[_LeafLateStart],Tasks[[#This Row],[_Row]]+1):INDEX(Tasks[_LeafLateStart],Tasks[[#This Row],[_Row]]+Tasks[[#This Row],[_Descendants]])),Tasks[[#This Row],[_LeafLateStart]]))</f>
        <v/>
      </c>
      <c r="Y114" s="25" t="str">
        <f aca="false">IF(Tasks[[#This Row],[Task Name]]="","",IF(Tasks[[#This Row],[_IsSummary]],MAX(INDEX(Tasks[_LeafLateFinish],Tasks[[#This Row],[_Row]]+1):INDEX(Tasks[_LeafLateFinish],Tasks[[#This Row],[_Row]]+Tasks[[#This Row],[_Descendants]])),Tasks[[#This Row],[_LeafLateFinish]]))</f>
        <v/>
      </c>
      <c r="Z114" s="43" t="str">
        <f aca="false">IF(Tasks[[#This Row],[Task Name]]="","",IF(Tasks[[#This Row],[_IsSummary]],MIN(INDEX(Tasks[_LeafTotalSlack],Tasks[[#This Row],[_Row]]+1):INDEX(Tasks[_LeafTotalSlack],Tasks[[#This Row],[_Row]]+Tasks[[#This Row],[_Descendants]])),Tasks[[#This Row],[_LeafTotalSlack]]))</f>
        <v/>
      </c>
      <c r="AA1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4" s="28" t="str">
        <f aca="false">IF(Tasks[[#This Row],[Task Name]]="","",IF(IF(Tasks[[#This Row],[_IsSummary]],COUNTIF(INDEX(Tasks[_LeafCritical],Tasks[[#This Row],[_Row]]+1):INDEX(Tasks[_LeafCritical],Tasks[[#This Row],[_Row]]+Tasks[[#This Row],[_Descendants]]),TRUE())&gt;0,Tasks[[#This Row],[_LeafCritical]]),"Yes",""))</f>
        <v/>
      </c>
      <c r="AC1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4" s="24" t="str">
        <f aca="false">IF(Tasks[[#This Row],[Task Name]]="","",TRIM(IF(Tasks[[#This Row],[_Pred1Problem]]&lt;&gt;"","Pred 1: "&amp;Tasks[[#This Row],[_Pred1Problem]]&amp;". ","")&amp;IF(Tasks[[#This Row],[_Pred2Problem]]&lt;&gt;"","Pred 2: "&amp;Tasks[[#This Row],[_Pred2Problem]]&amp;".","")))</f>
        <v/>
      </c>
      <c r="AE114" s="91"/>
      <c r="AF11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4" s="28" t="str">
        <f aca="false">IF(Tasks[[#This Row],[Task Name]]="","",IF(Tasks[[#This Row],[Progress]]&gt;=1,"Complete",IF(OR(N(Tasks[[#This Row],[Actual Start]])&gt;0,Tasks[[#This Row],[Progress]]&gt;0),IF(Tasks[[#This Row],[Finish Var]]&gt;0,"Behind","In Progress"),IF(Tasks[[#This Row],[Planned Start]]&lt;StatusDate,"Late Start","Not Started"))))</f>
        <v/>
      </c>
      <c r="AH114" s="30"/>
      <c r="AI114" s="91"/>
      <c r="AJ11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4" s="98" t="str">
        <f aca="false">IF(Tasks[[#This Row],[Task Name]]="","",IF(Tasks[[#This Row],[_IsSummary]],SUM(INDEX(Tasks[_LeafWork],Tasks[[#This Row],[_Row]]+1):INDEX(Tasks[_LeafWork],Tasks[[#This Row],[_Row]]+Tasks[[#This Row],[_Descendants]])),Tasks[[#This Row],[_LeafWork]]))</f>
        <v/>
      </c>
      <c r="AL114" s="99" t="str">
        <f aca="false">IF(Tasks[[#This Row],[Task Name]]="","",IF(Tasks[[#This Row],[_IsSummary]],SUM(INDEX(Tasks[_LeafCost],Tasks[[#This Row],[_Row]]+1):INDEX(Tasks[_LeafCost],Tasks[[#This Row],[_Row]]+Tasks[[#This Row],[_Descendants]])),Tasks[[#This Row],[_LeafCost]]))</f>
        <v/>
      </c>
      <c r="AM114" s="100"/>
      <c r="AN114" s="29"/>
      <c r="AO1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4" s="85"/>
      <c r="AQ114" s="24" t="str">
        <f aca="false">IF(Tasks[[#This Row],[Task Name]]="","",Tasks[[#This Row],[_Pred1IDText]]&amp;IF(AND(Tasks[[#This Row],[_Pred1IDText]]&lt;&gt;"",Tasks[[#This Row],[_Pred2IDText]]&lt;&gt;""),",","")&amp;Tasks[[#This Row],[_Pred2IDText]])</f>
        <v/>
      </c>
      <c r="AR114" s="30"/>
      <c r="AS114" s="25" t="str">
        <f aca="false">IF(Tasks[[#This Row],[Task Name]]="","",Tasks[[#This Row],[Forecast Start]])</f>
        <v/>
      </c>
      <c r="AT114" s="25" t="str">
        <f aca="false">IF(Tasks[[#This Row],[Task Name]]="","",Tasks[[#This Row],[Forecast Finish]])</f>
        <v/>
      </c>
      <c r="AU114" s="28" t="str">
        <f aca="false">IF(Tasks[[#This Row],[Task Name]]="","",IF(Tasks[[#This Row],[_IsSummary]],NETWORKDAYS.INTL(Tasks[[#This Row],[Forecast Start]],Tasks[[#This Row],[Forecast Finish]],WorkWeek,Holidays),N(Tasks[[#This Row],[Duration]])))</f>
        <v/>
      </c>
      <c r="AV114" s="98" t="str">
        <f aca="false">IF(Tasks[[#This Row],[Task Name]]="","",Tasks[[#This Row],[Work]])</f>
        <v/>
      </c>
      <c r="AW114" s="99" t="str">
        <f aca="false">IF(Tasks[[#This Row],[Task Name]]="","",Tasks[[#This Row],[Cost]])</f>
        <v/>
      </c>
      <c r="AX114" s="77"/>
      <c r="AY114" s="77"/>
      <c r="AZ114" s="29"/>
      <c r="BA114" s="101"/>
      <c r="BB114" s="100"/>
      <c r="BC114" s="28" t="str">
        <f aca="false">IF(OR(Tasks[[#This Row],[Task Name]]="",Tasks[[#This Row],[Baseline Duration]]=""),"",Tasks[[#This Row],[BL Source Duration]]-N(Tasks[[#This Row],[Baseline Duration]]))</f>
        <v/>
      </c>
      <c r="BD114" s="98" t="str">
        <f aca="false">IF(OR(Tasks[[#This Row],[Task Name]]="",Tasks[[#This Row],[Baseline Work]]=""),"",Tasks[[#This Row],[Work]]-N(Tasks[[#This Row],[Baseline Work]]))</f>
        <v/>
      </c>
      <c r="BE114" s="99" t="str">
        <f aca="false">IF(OR(Tasks[[#This Row],[Task Name]]="",Tasks[[#This Row],[Baseline Cost]]=""),"",Tasks[[#This Row],[Cost]]-N(Tasks[[#This Row],[Baseline Cost]]))</f>
        <v/>
      </c>
      <c r="BF114" s="99" t="str">
        <f aca="false">IF(Tasks[[#This Row],[Task Name]]="","",IF(Tasks[[#This Row],[_IsSummary]],SUM(INDEX(Tasks[_LeafBudget],Tasks[[#This Row],[_Row]]+1):INDEX(Tasks[_LeafBudget],Tasks[[#This Row],[_Row]]+Tasks[[#This Row],[_Descendants]])),Tasks[[#This Row],[_LeafBudget]]))</f>
        <v/>
      </c>
      <c r="BG114" s="99" t="str">
        <f aca="false">IF(Tasks[[#This Row],[Task Name]]="","",IF(Tasks[[#This Row],[_IsSummary]],SUM(INDEX(Tasks[_LeafPV],Tasks[[#This Row],[_Row]]+1):INDEX(Tasks[_LeafPV],Tasks[[#This Row],[_Row]]+Tasks[[#This Row],[_Descendants]])),Tasks[[#This Row],[_LeafPV]]))</f>
        <v/>
      </c>
      <c r="BH114" s="99" t="str">
        <f aca="false">IF(Tasks[[#This Row],[Task Name]]="","",IF(Tasks[[#This Row],[_IsSummary]],SUM(INDEX(Tasks[_LeafEV],Tasks[[#This Row],[_Row]]+1):INDEX(Tasks[_LeafEV],Tasks[[#This Row],[_Row]]+Tasks[[#This Row],[_Descendants]])),Tasks[[#This Row],[_LeafEV]]))</f>
        <v/>
      </c>
      <c r="BI114" s="99" t="str">
        <f aca="false">IF(Tasks[[#This Row],[Task Name]]="","",IF(Tasks[[#This Row],[_IsSummary]],SUM(INDEX(Tasks[_LeafAC],Tasks[[#This Row],[_Row]]+1):INDEX(Tasks[_LeafAC],Tasks[[#This Row],[_Row]]+Tasks[[#This Row],[_Descendants]])),Tasks[[#This Row],[_LeafAC]]))</f>
        <v/>
      </c>
      <c r="BJ114" s="41" t="str">
        <f aca="false">IF(Tasks[[#This Row],[Task Name]]="","",MAX(1,N(Tasks[[#This Row],[Level]])))</f>
        <v/>
      </c>
      <c r="BK114" s="41" t="n">
        <f aca="false">ROW()-ROW(Tasks[[#Headers],[ID]])</f>
        <v>109</v>
      </c>
      <c r="BL114" s="41" t="n">
        <f aca="false">IF(OR(Tasks[[#This Row],[Task Name]]="",Tasks[[#This Row],[_Level]]&lt;=1),0,IFERROR(LOOKUP(2,1/(Tasks[[#Headers],[_Level]]:Tasks[[#This Row],[_Level]]=Tasks[[#This Row],[_Level]]-1),ROW(Tasks[[#Headers],[_Level]]:Tasks[[#This Row],[_Level]])),0))</f>
        <v>0</v>
      </c>
      <c r="BM114" s="41" t="n">
        <f aca="false">IFERROR(N(INDEX(Tasks[_Level],Tasks[[#This Row],[_Row]]+1)),0)</f>
        <v>0</v>
      </c>
      <c r="BN114" s="102" t="b">
        <f aca="false">AND(Tasks[[#This Row],[Task Name]]&lt;&gt;"",Tasks[[#This Row],[_NextLevel]]&gt;Tasks[[#This Row],[_Level]])</f>
        <v>0</v>
      </c>
      <c r="BO114" s="41" t="n">
        <f aca="false">IF(Tasks[[#This Row],[_IsSummary]],COUNTIF(Tasks[WBS],Tasks[[#This Row],[WBS]]&amp;".*"),0)</f>
        <v>0</v>
      </c>
      <c r="BP114" s="41" t="n">
        <f aca="false">IF(AND(Tasks[[#This Row],[Task Name]]&lt;&gt;"",NOT(Tasks[[#This Row],[_IsSummary]])),1,0)</f>
        <v>0</v>
      </c>
      <c r="BQ114" s="41" t="n">
        <f aca="false">IF(N(Tasks[[#This Row],[Pred1 UID]])=0,0,IFERROR(MATCH(Tasks[[#This Row],[Pred1 UID]],Tasks[UID],0),-1))</f>
        <v>0</v>
      </c>
      <c r="BR114" s="41" t="n">
        <f aca="false">IF(N(Tasks[[#This Row],[Pred2 UID]])=0,0,IFERROR(MATCH(Tasks[[#This Row],[Pred2 UID]],Tasks[UID],0),-1))</f>
        <v>0</v>
      </c>
      <c r="BS11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4" s="103" t="str">
        <f aca="false">IF(NOT(Tasks[[#This Row],[_IsLeaf]]=1),"",IF(N(Tasks[[#This Row],[Duration]])&lt;=0,Tasks[[#This Row],[_LeafCalcStart]],WORKDAY.INTL(Tasks[[#This Row],[_LeafCalcStart]],Tasks[[#This Row],[Duration]]-1,WorkWeek,Holidays)))</f>
        <v/>
      </c>
      <c r="BU11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4" s="41" t="n">
        <f aca="false">IF(NOT(Tasks[[#This Row],[_IsLeaf]]=1),0,IF(N(Tasks[[#This Row],[Actual Finish]])&gt;0,1,MIN(1,N(Tasks[[#This Row],[% Complete]]))))</f>
        <v>0</v>
      </c>
      <c r="BX114" s="41" t="n">
        <f aca="false">IF(OR(NOT(Tasks[[#This Row],[_IsLeaf]]=1),Tasks[[#This Row],[Resource]]=""),0,N(Tasks[[#This Row],[Duration]])*HoursPerDay*IF(Tasks[[#This Row],[Units]]="",DefaultUnits,Tasks[[#This Row],[Units]]))</f>
        <v>0</v>
      </c>
      <c r="BY114" s="41" t="n">
        <f aca="false">IF(Tasks[[#This Row],[_LeafWork]]=0,0,Tasks[[#This Row],[_LeafWork]]*IFERROR(INDEX(res_Rate,MATCH(Tasks[[#This Row],[Resource]],res_Name,0)),0))</f>
        <v>0</v>
      </c>
      <c r="BZ1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4" s="41" t="n">
        <f aca="false">IF(NOT(Tasks[[#This Row],[_IsLeaf]]=1),0,MAX(_xlfn.MAXIFS(Tasks[_Row],Tasks[Pred1 UID],Tasks[[#This Row],[UID]]),_xlfn.MAXIFS(Tasks[_Row],Tasks[Pred2 UID],Tasks[[#This Row],[UID]])))</f>
        <v>0</v>
      </c>
      <c r="CE11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4" s="103" t="str">
        <f aca="false">IF(NOT(Tasks[[#This Row],[_IsLeaf]]=1),"",MIN(ProjectFinish,IF(N(Tasks[[#This Row],[Deadline]])&gt;0,Tasks[[#This Row],[Deadline]],2958465),Tasks[[#This Row],[_SuccessorFinishLimit]]))</f>
        <v/>
      </c>
      <c r="CG114" s="103" t="str">
        <f aca="false">IF(NOT(Tasks[[#This Row],[_IsLeaf]]=1),"",IF(N(Tasks[[#This Row],[Duration]])&lt;=0,Tasks[[#This Row],[_LeafLateFinish]],WORKDAY.INTL(Tasks[[#This Row],[_LeafLateFinish]],-(Tasks[[#This Row],[Duration]]-1),WorkWeek,Holidays)))</f>
        <v/>
      </c>
      <c r="CH1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4" s="102" t="b">
        <f aca="false">AND(Tasks[[#This Row],[_IsLeaf]]=1,Tasks[[#This Row],[_LeafProgress]]&lt;1,N(Tasks[[#This Row],[_LeafTotalSlack]])&lt;=CriticalSlackDays)</f>
        <v>0</v>
      </c>
      <c r="CJ114" s="103" t="str">
        <f aca="false">IF(Tasks[[#This Row],[Task Name]]="","",IF(Tasks[[#This Row],[_IsSummary]],MIN(INDEX(Tasks[_LeafCalcStart],Tasks[[#This Row],[_Row]]+1):INDEX(Tasks[_LeafCalcStart],Tasks[[#This Row],[_Row]]+Tasks[[#This Row],[_Descendants]])),Tasks[[#This Row],[_LeafCalcStart]]))</f>
        <v/>
      </c>
      <c r="CK114" s="103" t="str">
        <f aca="false">IF(Tasks[[#This Row],[Task Name]]="","",IF(Tasks[[#This Row],[_IsSummary]],MAX(INDEX(Tasks[_LeafCalcFinish],Tasks[[#This Row],[_Row]]+1):INDEX(Tasks[_LeafCalcFinish],Tasks[[#This Row],[_Row]]+Tasks[[#This Row],[_Descendants]])),Tasks[[#This Row],[_LeafCalcFinish]]))</f>
        <v/>
      </c>
      <c r="CL1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4" s="41" t="n">
        <f aca="false">IF(AND(Tasks[[#This Row],[_IsLeaf]]=1,Tasks[[#This Row],[_LeafWork]]&gt;0),NETWORKDAYS.INTL(ProjectStart,Tasks[[#This Row],[_LeafFcstStart]],WorkWeek,Holidays),0)</f>
        <v>0</v>
      </c>
      <c r="CS114" s="41" t="n">
        <f aca="false">IF(AND(Tasks[[#This Row],[_IsLeaf]]=1,Tasks[[#This Row],[_LeafWork]]&gt;0),MAX(Tasks[[#This Row],[_StartWorkday]],NETWORKDAYS.INTL(ProjectStart,Tasks[[#This Row],[_LeafFcstFinish]],WorkWeek,Holidays)),0)</f>
        <v>0</v>
      </c>
      <c r="CT114" s="41" t="n">
        <f aca="false">IF(AND(Tasks[[#This Row],[_IsLeaf]]=1,Tasks[[#This Row],[_LeafWork]]&gt;0),Tasks[[#This Row],[_LeafWork]]/(Tasks[[#This Row],[_FinishWorkday]]-Tasks[[#This Row],[_StartWorkday]]+1),0)</f>
        <v>0</v>
      </c>
      <c r="CU114" s="41" t="n">
        <f aca="false">Tasks[[#This Row],[_WorkPerWorkday]]*(Tasks[[#This Row],[_StartWorkday]]-1)</f>
        <v>-0</v>
      </c>
      <c r="CV114" s="41" t="n">
        <f aca="false">IF(Tasks[[#This Row],[_IsLeaf]]=1,MAX(N(Tasks[[#This Row],[Duration]]),0.1),0)</f>
        <v>0</v>
      </c>
      <c r="CW114" s="41" t="n">
        <f aca="false">Tasks[[#This Row],[_WeightDur]]*Tasks[[#This Row],[_LeafProgress]]</f>
        <v>0</v>
      </c>
      <c r="CX1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4" s="41" t="str">
        <f aca="false">IF(Tasks[[#This Row],[Task Name]]="","",Tasks[[#This Row],[_Pred1UIDText]]&amp;IF(AND(Tasks[[#This Row],[_Pred1UIDText]]&lt;&gt;"",Tasks[[#This Row],[_Pred2UIDText]]&lt;&gt;""),",","")&amp;Tasks[[#This Row],[_Pred2UIDText]])</f>
        <v/>
      </c>
      <c r="DC114" s="41" t="str">
        <f aca="false">IF(AND(Tasks[[#This Row],[_IsLeaf]]=1,N(Tasks[[#This Row],[Duration]])=0,Tasks[[#This Row],[_LeafProgress]]&lt;1),Tasks[[#This Row],[_LeafFcstFinish]]+Tasks[[#This Row],[_Row]]/100000,"")</f>
        <v/>
      </c>
      <c r="DD1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4" s="41" t="n">
        <f aca="false">IF(NOT(Tasks[[#This Row],[_IsLeaf]]=1),0,IF(Tasks[[#This Row],[Baseline Cost]]="",Tasks[[#This Row],[_LeafCost]],N(Tasks[[#This Row],[Baseline Cost]])))</f>
        <v>0</v>
      </c>
      <c r="DF114" s="41" t="n">
        <f aca="false">Tasks[[#This Row],[_LeafBudget]]*Tasks[[#This Row],[_PlannedPct]]</f>
        <v>0</v>
      </c>
      <c r="DG114" s="41" t="n">
        <f aca="false">Tasks[[#This Row],[_LeafBudget]]*Tasks[[#This Row],[_LeafProgress]]</f>
        <v>0</v>
      </c>
      <c r="DH114" s="41" t="n">
        <f aca="false">IF(NOT(Tasks[[#This Row],[_IsLeaf]]=1),0,IF(Tasks[[#This Row],[Actual Cost]]="",Tasks[[#This Row],[_LeafCost]]*Tasks[[#This Row],[_LeafProgress]],N(Tasks[[#This Row],[Actual Cost]])))</f>
        <v>0</v>
      </c>
      <c r="DI114" s="41" t="str">
        <f aca="false">IF(Tasks[[#This Row],[Task Name]]="","",LEFT(Tasks[[#This Row],[WBS]],FIND(".",Tasks[[#This Row],[WBS]]&amp;".")-1))</f>
        <v/>
      </c>
      <c r="DJ114" s="41" t="str">
        <f aca="false">IF(AND(Tasks[[#This Row],[Task Name]]&lt;&gt;"",Tasks[[#This Row],[_Level]]=1),Tasks[[#This Row],[_Row]],"")</f>
        <v/>
      </c>
      <c r="DK114" s="41" t="str">
        <f aca="false">IF(AND(Tasks[[#This Row],[_IsLeaf]]=1,N(Tasks[[#This Row],[Duration]])=0),Tasks[[#This Row],[Planned Finish]]+Tasks[[#This Row],[_Row]]/100000,"")</f>
        <v/>
      </c>
      <c r="DL114" s="41" t="str">
        <f aca="false">IF(AND(Tasks[[#This Row],[_IsLeaf]]=1,Tasks[[#This Row],[_LeafProgress]]&lt;1,OR(N(Tasks[[#This Row],[Finish Var]])&gt;0,Tasks[[#This Row],[Status]]="Late Start")),MAX(0,Tasks[[#This Row],[Finish Var]])+1-Tasks[[#This Row],[_Row]]/1000000,"")</f>
        <v/>
      </c>
      <c r="DM114" s="41" t="str">
        <f aca="false">IF(AND(Tasks[[#This Row],[_IsLeaf]]=1,N(Tasks[[#This Row],[Actual Start]])=0,Tasks[[#This Row],[_LeafFcstStart]]&gt;=StatusDate,Tasks[[#This Row],[_LeafFcstStart]]&lt;=LookaheadEnd),Tasks[[#This Row],[_LeafFcstStart]]+Tasks[[#This Row],[_Row]]/100000,"")</f>
        <v/>
      </c>
      <c r="DN114" s="41" t="str">
        <f aca="false">IF(AND(Tasks[[#This Row],[_IsLeaf]]=1,Tasks[[#This Row],[_LeafProgress]]&lt;1,Tasks[[#This Row],[_LeafFcstFinish]]&gt;=StatusDate,Tasks[[#This Row],[_LeafFcstFinish]]&lt;=LookaheadEnd),Tasks[[#This Row],[_LeafFcstFinish]]+Tasks[[#This Row],[_Row]]/100000,"")</f>
        <v/>
      </c>
      <c r="DO114" s="41" t="str">
        <f aca="false">IF(Tasks[[#This Row],[_LeafCritical]],Tasks[[#This Row],[_LeafFcstStart]]+Tasks[[#This Row],[_Row]]/100000,"")</f>
        <v/>
      </c>
      <c r="DP114" s="41" t="n">
        <f aca="false">Tasks[[#This Row],[_LeafWork]]*Tasks[[#This Row],[_LeafProgress]]</f>
        <v>0</v>
      </c>
      <c r="DQ114" s="103" t="str">
        <f aca="false">IF(AND(Tasks[[#This Row],[_IsLeaf]]=1,Tasks[[#This Row],[_LeafProgress]]&gt;=1),IF(N(Tasks[[#This Row],[Actual Finish]])&gt;0,Tasks[[#This Row],[Actual Finish]],Tasks[[#This Row],[_LeafFcstFinish]]),"")</f>
        <v/>
      </c>
      <c r="DR114" s="41" t="n">
        <f aca="false">IF(Tasks[[#This Row],[_IsLeaf]]=1,N(Tasks[[#This Row],[Story Points]]),0)</f>
        <v>0</v>
      </c>
      <c r="DS114" s="41" t="str">
        <f aca="false">IF(AND(Tasks[[#This Row],[_IsLeaf]]=1,CurrentSprint&lt;&gt;"",Tasks[[#This Row],[Sprint]]=CurrentSprint),Tasks[[#This Row],[_Row]],"")</f>
        <v/>
      </c>
    </row>
    <row r="115" customFormat="false" ht="15" hidden="false" customHeight="false" outlineLevel="0" collapsed="false">
      <c r="A115" s="28" t="str">
        <f aca="false">IF(Tasks[[#This Row],[Task Name]]="","",COUNTA(Tasks[[#Headers],[Task Name]]:Tasks[[#This Row],[Task Name]])-1)</f>
        <v/>
      </c>
      <c r="B115" s="29" t="n">
        <v>110</v>
      </c>
      <c r="C1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29"/>
      <c r="E115" s="30"/>
      <c r="F115" s="29"/>
      <c r="G115" s="29"/>
      <c r="H115" s="29"/>
      <c r="I115" s="29"/>
      <c r="J115" s="29"/>
      <c r="K115" s="29"/>
      <c r="L115" s="29"/>
      <c r="M115" s="29"/>
      <c r="N115" s="77"/>
      <c r="O115" s="77"/>
      <c r="P115" s="25" t="str">
        <f aca="false">IF(Tasks[[#This Row],[Task Name]]="","",IF(N(Tasks[[#This Row],[Baseline Start]])&gt;0,Tasks[[#This Row],[Baseline Start]],Tasks[[#This Row],[_CalcStart]]))</f>
        <v/>
      </c>
      <c r="Q115" s="25" t="str">
        <f aca="false">IF(Tasks[[#This Row],[Task Name]]="","",IF(N(Tasks[[#This Row],[Baseline Finish]])&gt;0,Tasks[[#This Row],[Baseline Finish]],Tasks[[#This Row],[_CalcFinish]]))</f>
        <v/>
      </c>
      <c r="R115" s="77"/>
      <c r="S115" s="77"/>
      <c r="T115" s="25" t="str">
        <f aca="false">IF(Tasks[[#This Row],[Task Name]]="","",IF(Tasks[[#This Row],[_IsSummary]],MIN(INDEX(Tasks[_LeafFcstStart],Tasks[[#This Row],[_Row]]+1):INDEX(Tasks[_LeafFcstStart],Tasks[[#This Row],[_Row]]+Tasks[[#This Row],[_Descendants]])),Tasks[[#This Row],[_LeafFcstStart]]))</f>
        <v/>
      </c>
      <c r="U115" s="25" t="str">
        <f aca="false">IF(Tasks[[#This Row],[Task Name]]="","",IF(Tasks[[#This Row],[_IsSummary]],MAX(INDEX(Tasks[_LeafFcstFinish],Tasks[[#This Row],[_Row]]+1):INDEX(Tasks[_LeafFcstFinish],Tasks[[#This Row],[_Row]]+Tasks[[#This Row],[_Descendants]])),Tasks[[#This Row],[_LeafFcstFinish]]))</f>
        <v/>
      </c>
      <c r="V11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5" s="25" t="str">
        <f aca="false">IF(Tasks[[#This Row],[Task Name]]="","",IF(Tasks[[#This Row],[_IsSummary]],MIN(INDEX(Tasks[_LeafLateStart],Tasks[[#This Row],[_Row]]+1):INDEX(Tasks[_LeafLateStart],Tasks[[#This Row],[_Row]]+Tasks[[#This Row],[_Descendants]])),Tasks[[#This Row],[_LeafLateStart]]))</f>
        <v/>
      </c>
      <c r="Y115" s="25" t="str">
        <f aca="false">IF(Tasks[[#This Row],[Task Name]]="","",IF(Tasks[[#This Row],[_IsSummary]],MAX(INDEX(Tasks[_LeafLateFinish],Tasks[[#This Row],[_Row]]+1):INDEX(Tasks[_LeafLateFinish],Tasks[[#This Row],[_Row]]+Tasks[[#This Row],[_Descendants]])),Tasks[[#This Row],[_LeafLateFinish]]))</f>
        <v/>
      </c>
      <c r="Z115" s="43" t="str">
        <f aca="false">IF(Tasks[[#This Row],[Task Name]]="","",IF(Tasks[[#This Row],[_IsSummary]],MIN(INDEX(Tasks[_LeafTotalSlack],Tasks[[#This Row],[_Row]]+1):INDEX(Tasks[_LeafTotalSlack],Tasks[[#This Row],[_Row]]+Tasks[[#This Row],[_Descendants]])),Tasks[[#This Row],[_LeafTotalSlack]]))</f>
        <v/>
      </c>
      <c r="AA1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5" s="28" t="str">
        <f aca="false">IF(Tasks[[#This Row],[Task Name]]="","",IF(IF(Tasks[[#This Row],[_IsSummary]],COUNTIF(INDEX(Tasks[_LeafCritical],Tasks[[#This Row],[_Row]]+1):INDEX(Tasks[_LeafCritical],Tasks[[#This Row],[_Row]]+Tasks[[#This Row],[_Descendants]]),TRUE())&gt;0,Tasks[[#This Row],[_LeafCritical]]),"Yes",""))</f>
        <v/>
      </c>
      <c r="AC1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5" s="24" t="str">
        <f aca="false">IF(Tasks[[#This Row],[Task Name]]="","",TRIM(IF(Tasks[[#This Row],[_Pred1Problem]]&lt;&gt;"","Pred 1: "&amp;Tasks[[#This Row],[_Pred1Problem]]&amp;". ","")&amp;IF(Tasks[[#This Row],[_Pred2Problem]]&lt;&gt;"","Pred 2: "&amp;Tasks[[#This Row],[_Pred2Problem]]&amp;".","")))</f>
        <v/>
      </c>
      <c r="AE115" s="91"/>
      <c r="AF11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5" s="28" t="str">
        <f aca="false">IF(Tasks[[#This Row],[Task Name]]="","",IF(Tasks[[#This Row],[Progress]]&gt;=1,"Complete",IF(OR(N(Tasks[[#This Row],[Actual Start]])&gt;0,Tasks[[#This Row],[Progress]]&gt;0),IF(Tasks[[#This Row],[Finish Var]]&gt;0,"Behind","In Progress"),IF(Tasks[[#This Row],[Planned Start]]&lt;StatusDate,"Late Start","Not Started"))))</f>
        <v/>
      </c>
      <c r="AH115" s="30"/>
      <c r="AI115" s="91"/>
      <c r="AJ11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5" s="98" t="str">
        <f aca="false">IF(Tasks[[#This Row],[Task Name]]="","",IF(Tasks[[#This Row],[_IsSummary]],SUM(INDEX(Tasks[_LeafWork],Tasks[[#This Row],[_Row]]+1):INDEX(Tasks[_LeafWork],Tasks[[#This Row],[_Row]]+Tasks[[#This Row],[_Descendants]])),Tasks[[#This Row],[_LeafWork]]))</f>
        <v/>
      </c>
      <c r="AL115" s="99" t="str">
        <f aca="false">IF(Tasks[[#This Row],[Task Name]]="","",IF(Tasks[[#This Row],[_IsSummary]],SUM(INDEX(Tasks[_LeafCost],Tasks[[#This Row],[_Row]]+1):INDEX(Tasks[_LeafCost],Tasks[[#This Row],[_Row]]+Tasks[[#This Row],[_Descendants]])),Tasks[[#This Row],[_LeafCost]]))</f>
        <v/>
      </c>
      <c r="AM115" s="100"/>
      <c r="AN115" s="29"/>
      <c r="AO1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5" s="85"/>
      <c r="AQ115" s="24" t="str">
        <f aca="false">IF(Tasks[[#This Row],[Task Name]]="","",Tasks[[#This Row],[_Pred1IDText]]&amp;IF(AND(Tasks[[#This Row],[_Pred1IDText]]&lt;&gt;"",Tasks[[#This Row],[_Pred2IDText]]&lt;&gt;""),",","")&amp;Tasks[[#This Row],[_Pred2IDText]])</f>
        <v/>
      </c>
      <c r="AR115" s="30"/>
      <c r="AS115" s="25" t="str">
        <f aca="false">IF(Tasks[[#This Row],[Task Name]]="","",Tasks[[#This Row],[Forecast Start]])</f>
        <v/>
      </c>
      <c r="AT115" s="25" t="str">
        <f aca="false">IF(Tasks[[#This Row],[Task Name]]="","",Tasks[[#This Row],[Forecast Finish]])</f>
        <v/>
      </c>
      <c r="AU115" s="28" t="str">
        <f aca="false">IF(Tasks[[#This Row],[Task Name]]="","",IF(Tasks[[#This Row],[_IsSummary]],NETWORKDAYS.INTL(Tasks[[#This Row],[Forecast Start]],Tasks[[#This Row],[Forecast Finish]],WorkWeek,Holidays),N(Tasks[[#This Row],[Duration]])))</f>
        <v/>
      </c>
      <c r="AV115" s="98" t="str">
        <f aca="false">IF(Tasks[[#This Row],[Task Name]]="","",Tasks[[#This Row],[Work]])</f>
        <v/>
      </c>
      <c r="AW115" s="99" t="str">
        <f aca="false">IF(Tasks[[#This Row],[Task Name]]="","",Tasks[[#This Row],[Cost]])</f>
        <v/>
      </c>
      <c r="AX115" s="77"/>
      <c r="AY115" s="77"/>
      <c r="AZ115" s="29"/>
      <c r="BA115" s="101"/>
      <c r="BB115" s="100"/>
      <c r="BC115" s="28" t="str">
        <f aca="false">IF(OR(Tasks[[#This Row],[Task Name]]="",Tasks[[#This Row],[Baseline Duration]]=""),"",Tasks[[#This Row],[BL Source Duration]]-N(Tasks[[#This Row],[Baseline Duration]]))</f>
        <v/>
      </c>
      <c r="BD115" s="98" t="str">
        <f aca="false">IF(OR(Tasks[[#This Row],[Task Name]]="",Tasks[[#This Row],[Baseline Work]]=""),"",Tasks[[#This Row],[Work]]-N(Tasks[[#This Row],[Baseline Work]]))</f>
        <v/>
      </c>
      <c r="BE115" s="99" t="str">
        <f aca="false">IF(OR(Tasks[[#This Row],[Task Name]]="",Tasks[[#This Row],[Baseline Cost]]=""),"",Tasks[[#This Row],[Cost]]-N(Tasks[[#This Row],[Baseline Cost]]))</f>
        <v/>
      </c>
      <c r="BF115" s="99" t="str">
        <f aca="false">IF(Tasks[[#This Row],[Task Name]]="","",IF(Tasks[[#This Row],[_IsSummary]],SUM(INDEX(Tasks[_LeafBudget],Tasks[[#This Row],[_Row]]+1):INDEX(Tasks[_LeafBudget],Tasks[[#This Row],[_Row]]+Tasks[[#This Row],[_Descendants]])),Tasks[[#This Row],[_LeafBudget]]))</f>
        <v/>
      </c>
      <c r="BG115" s="99" t="str">
        <f aca="false">IF(Tasks[[#This Row],[Task Name]]="","",IF(Tasks[[#This Row],[_IsSummary]],SUM(INDEX(Tasks[_LeafPV],Tasks[[#This Row],[_Row]]+1):INDEX(Tasks[_LeafPV],Tasks[[#This Row],[_Row]]+Tasks[[#This Row],[_Descendants]])),Tasks[[#This Row],[_LeafPV]]))</f>
        <v/>
      </c>
      <c r="BH115" s="99" t="str">
        <f aca="false">IF(Tasks[[#This Row],[Task Name]]="","",IF(Tasks[[#This Row],[_IsSummary]],SUM(INDEX(Tasks[_LeafEV],Tasks[[#This Row],[_Row]]+1):INDEX(Tasks[_LeafEV],Tasks[[#This Row],[_Row]]+Tasks[[#This Row],[_Descendants]])),Tasks[[#This Row],[_LeafEV]]))</f>
        <v/>
      </c>
      <c r="BI115" s="99" t="str">
        <f aca="false">IF(Tasks[[#This Row],[Task Name]]="","",IF(Tasks[[#This Row],[_IsSummary]],SUM(INDEX(Tasks[_LeafAC],Tasks[[#This Row],[_Row]]+1):INDEX(Tasks[_LeafAC],Tasks[[#This Row],[_Row]]+Tasks[[#This Row],[_Descendants]])),Tasks[[#This Row],[_LeafAC]]))</f>
        <v/>
      </c>
      <c r="BJ115" s="41" t="str">
        <f aca="false">IF(Tasks[[#This Row],[Task Name]]="","",MAX(1,N(Tasks[[#This Row],[Level]])))</f>
        <v/>
      </c>
      <c r="BK115" s="41" t="n">
        <f aca="false">ROW()-ROW(Tasks[[#Headers],[ID]])</f>
        <v>110</v>
      </c>
      <c r="BL115" s="41" t="n">
        <f aca="false">IF(OR(Tasks[[#This Row],[Task Name]]="",Tasks[[#This Row],[_Level]]&lt;=1),0,IFERROR(LOOKUP(2,1/(Tasks[[#Headers],[_Level]]:Tasks[[#This Row],[_Level]]=Tasks[[#This Row],[_Level]]-1),ROW(Tasks[[#Headers],[_Level]]:Tasks[[#This Row],[_Level]])),0))</f>
        <v>0</v>
      </c>
      <c r="BM115" s="41" t="n">
        <f aca="false">IFERROR(N(INDEX(Tasks[_Level],Tasks[[#This Row],[_Row]]+1)),0)</f>
        <v>0</v>
      </c>
      <c r="BN115" s="102" t="b">
        <f aca="false">AND(Tasks[[#This Row],[Task Name]]&lt;&gt;"",Tasks[[#This Row],[_NextLevel]]&gt;Tasks[[#This Row],[_Level]])</f>
        <v>0</v>
      </c>
      <c r="BO115" s="41" t="n">
        <f aca="false">IF(Tasks[[#This Row],[_IsSummary]],COUNTIF(Tasks[WBS],Tasks[[#This Row],[WBS]]&amp;".*"),0)</f>
        <v>0</v>
      </c>
      <c r="BP115" s="41" t="n">
        <f aca="false">IF(AND(Tasks[[#This Row],[Task Name]]&lt;&gt;"",NOT(Tasks[[#This Row],[_IsSummary]])),1,0)</f>
        <v>0</v>
      </c>
      <c r="BQ115" s="41" t="n">
        <f aca="false">IF(N(Tasks[[#This Row],[Pred1 UID]])=0,0,IFERROR(MATCH(Tasks[[#This Row],[Pred1 UID]],Tasks[UID],0),-1))</f>
        <v>0</v>
      </c>
      <c r="BR115" s="41" t="n">
        <f aca="false">IF(N(Tasks[[#This Row],[Pred2 UID]])=0,0,IFERROR(MATCH(Tasks[[#This Row],[Pred2 UID]],Tasks[UID],0),-1))</f>
        <v>0</v>
      </c>
      <c r="BS11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5" s="103" t="str">
        <f aca="false">IF(NOT(Tasks[[#This Row],[_IsLeaf]]=1),"",IF(N(Tasks[[#This Row],[Duration]])&lt;=0,Tasks[[#This Row],[_LeafCalcStart]],WORKDAY.INTL(Tasks[[#This Row],[_LeafCalcStart]],Tasks[[#This Row],[Duration]]-1,WorkWeek,Holidays)))</f>
        <v/>
      </c>
      <c r="BU11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5" s="41" t="n">
        <f aca="false">IF(NOT(Tasks[[#This Row],[_IsLeaf]]=1),0,IF(N(Tasks[[#This Row],[Actual Finish]])&gt;0,1,MIN(1,N(Tasks[[#This Row],[% Complete]]))))</f>
        <v>0</v>
      </c>
      <c r="BX115" s="41" t="n">
        <f aca="false">IF(OR(NOT(Tasks[[#This Row],[_IsLeaf]]=1),Tasks[[#This Row],[Resource]]=""),0,N(Tasks[[#This Row],[Duration]])*HoursPerDay*IF(Tasks[[#This Row],[Units]]="",DefaultUnits,Tasks[[#This Row],[Units]]))</f>
        <v>0</v>
      </c>
      <c r="BY115" s="41" t="n">
        <f aca="false">IF(Tasks[[#This Row],[_LeafWork]]=0,0,Tasks[[#This Row],[_LeafWork]]*IFERROR(INDEX(res_Rate,MATCH(Tasks[[#This Row],[Resource]],res_Name,0)),0))</f>
        <v>0</v>
      </c>
      <c r="BZ1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5" s="41" t="n">
        <f aca="false">IF(NOT(Tasks[[#This Row],[_IsLeaf]]=1),0,MAX(_xlfn.MAXIFS(Tasks[_Row],Tasks[Pred1 UID],Tasks[[#This Row],[UID]]),_xlfn.MAXIFS(Tasks[_Row],Tasks[Pred2 UID],Tasks[[#This Row],[UID]])))</f>
        <v>0</v>
      </c>
      <c r="CE11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5" s="103" t="str">
        <f aca="false">IF(NOT(Tasks[[#This Row],[_IsLeaf]]=1),"",MIN(ProjectFinish,IF(N(Tasks[[#This Row],[Deadline]])&gt;0,Tasks[[#This Row],[Deadline]],2958465),Tasks[[#This Row],[_SuccessorFinishLimit]]))</f>
        <v/>
      </c>
      <c r="CG115" s="103" t="str">
        <f aca="false">IF(NOT(Tasks[[#This Row],[_IsLeaf]]=1),"",IF(N(Tasks[[#This Row],[Duration]])&lt;=0,Tasks[[#This Row],[_LeafLateFinish]],WORKDAY.INTL(Tasks[[#This Row],[_LeafLateFinish]],-(Tasks[[#This Row],[Duration]]-1),WorkWeek,Holidays)))</f>
        <v/>
      </c>
      <c r="CH1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5" s="102" t="b">
        <f aca="false">AND(Tasks[[#This Row],[_IsLeaf]]=1,Tasks[[#This Row],[_LeafProgress]]&lt;1,N(Tasks[[#This Row],[_LeafTotalSlack]])&lt;=CriticalSlackDays)</f>
        <v>0</v>
      </c>
      <c r="CJ115" s="103" t="str">
        <f aca="false">IF(Tasks[[#This Row],[Task Name]]="","",IF(Tasks[[#This Row],[_IsSummary]],MIN(INDEX(Tasks[_LeafCalcStart],Tasks[[#This Row],[_Row]]+1):INDEX(Tasks[_LeafCalcStart],Tasks[[#This Row],[_Row]]+Tasks[[#This Row],[_Descendants]])),Tasks[[#This Row],[_LeafCalcStart]]))</f>
        <v/>
      </c>
      <c r="CK115" s="103" t="str">
        <f aca="false">IF(Tasks[[#This Row],[Task Name]]="","",IF(Tasks[[#This Row],[_IsSummary]],MAX(INDEX(Tasks[_LeafCalcFinish],Tasks[[#This Row],[_Row]]+1):INDEX(Tasks[_LeafCalcFinish],Tasks[[#This Row],[_Row]]+Tasks[[#This Row],[_Descendants]])),Tasks[[#This Row],[_LeafCalcFinish]]))</f>
        <v/>
      </c>
      <c r="CL1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5" s="41" t="n">
        <f aca="false">IF(AND(Tasks[[#This Row],[_IsLeaf]]=1,Tasks[[#This Row],[_LeafWork]]&gt;0),NETWORKDAYS.INTL(ProjectStart,Tasks[[#This Row],[_LeafFcstStart]],WorkWeek,Holidays),0)</f>
        <v>0</v>
      </c>
      <c r="CS115" s="41" t="n">
        <f aca="false">IF(AND(Tasks[[#This Row],[_IsLeaf]]=1,Tasks[[#This Row],[_LeafWork]]&gt;0),MAX(Tasks[[#This Row],[_StartWorkday]],NETWORKDAYS.INTL(ProjectStart,Tasks[[#This Row],[_LeafFcstFinish]],WorkWeek,Holidays)),0)</f>
        <v>0</v>
      </c>
      <c r="CT115" s="41" t="n">
        <f aca="false">IF(AND(Tasks[[#This Row],[_IsLeaf]]=1,Tasks[[#This Row],[_LeafWork]]&gt;0),Tasks[[#This Row],[_LeafWork]]/(Tasks[[#This Row],[_FinishWorkday]]-Tasks[[#This Row],[_StartWorkday]]+1),0)</f>
        <v>0</v>
      </c>
      <c r="CU115" s="41" t="n">
        <f aca="false">Tasks[[#This Row],[_WorkPerWorkday]]*(Tasks[[#This Row],[_StartWorkday]]-1)</f>
        <v>-0</v>
      </c>
      <c r="CV115" s="41" t="n">
        <f aca="false">IF(Tasks[[#This Row],[_IsLeaf]]=1,MAX(N(Tasks[[#This Row],[Duration]]),0.1),0)</f>
        <v>0</v>
      </c>
      <c r="CW115" s="41" t="n">
        <f aca="false">Tasks[[#This Row],[_WeightDur]]*Tasks[[#This Row],[_LeafProgress]]</f>
        <v>0</v>
      </c>
      <c r="CX1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5" s="41" t="str">
        <f aca="false">IF(Tasks[[#This Row],[Task Name]]="","",Tasks[[#This Row],[_Pred1UIDText]]&amp;IF(AND(Tasks[[#This Row],[_Pred1UIDText]]&lt;&gt;"",Tasks[[#This Row],[_Pred2UIDText]]&lt;&gt;""),",","")&amp;Tasks[[#This Row],[_Pred2UIDText]])</f>
        <v/>
      </c>
      <c r="DC115" s="41" t="str">
        <f aca="false">IF(AND(Tasks[[#This Row],[_IsLeaf]]=1,N(Tasks[[#This Row],[Duration]])=0,Tasks[[#This Row],[_LeafProgress]]&lt;1),Tasks[[#This Row],[_LeafFcstFinish]]+Tasks[[#This Row],[_Row]]/100000,"")</f>
        <v/>
      </c>
      <c r="DD1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5" s="41" t="n">
        <f aca="false">IF(NOT(Tasks[[#This Row],[_IsLeaf]]=1),0,IF(Tasks[[#This Row],[Baseline Cost]]="",Tasks[[#This Row],[_LeafCost]],N(Tasks[[#This Row],[Baseline Cost]])))</f>
        <v>0</v>
      </c>
      <c r="DF115" s="41" t="n">
        <f aca="false">Tasks[[#This Row],[_LeafBudget]]*Tasks[[#This Row],[_PlannedPct]]</f>
        <v>0</v>
      </c>
      <c r="DG115" s="41" t="n">
        <f aca="false">Tasks[[#This Row],[_LeafBudget]]*Tasks[[#This Row],[_LeafProgress]]</f>
        <v>0</v>
      </c>
      <c r="DH115" s="41" t="n">
        <f aca="false">IF(NOT(Tasks[[#This Row],[_IsLeaf]]=1),0,IF(Tasks[[#This Row],[Actual Cost]]="",Tasks[[#This Row],[_LeafCost]]*Tasks[[#This Row],[_LeafProgress]],N(Tasks[[#This Row],[Actual Cost]])))</f>
        <v>0</v>
      </c>
      <c r="DI115" s="41" t="str">
        <f aca="false">IF(Tasks[[#This Row],[Task Name]]="","",LEFT(Tasks[[#This Row],[WBS]],FIND(".",Tasks[[#This Row],[WBS]]&amp;".")-1))</f>
        <v/>
      </c>
      <c r="DJ115" s="41" t="str">
        <f aca="false">IF(AND(Tasks[[#This Row],[Task Name]]&lt;&gt;"",Tasks[[#This Row],[_Level]]=1),Tasks[[#This Row],[_Row]],"")</f>
        <v/>
      </c>
      <c r="DK115" s="41" t="str">
        <f aca="false">IF(AND(Tasks[[#This Row],[_IsLeaf]]=1,N(Tasks[[#This Row],[Duration]])=0),Tasks[[#This Row],[Planned Finish]]+Tasks[[#This Row],[_Row]]/100000,"")</f>
        <v/>
      </c>
      <c r="DL115" s="41" t="str">
        <f aca="false">IF(AND(Tasks[[#This Row],[_IsLeaf]]=1,Tasks[[#This Row],[_LeafProgress]]&lt;1,OR(N(Tasks[[#This Row],[Finish Var]])&gt;0,Tasks[[#This Row],[Status]]="Late Start")),MAX(0,Tasks[[#This Row],[Finish Var]])+1-Tasks[[#This Row],[_Row]]/1000000,"")</f>
        <v/>
      </c>
      <c r="DM115" s="41" t="str">
        <f aca="false">IF(AND(Tasks[[#This Row],[_IsLeaf]]=1,N(Tasks[[#This Row],[Actual Start]])=0,Tasks[[#This Row],[_LeafFcstStart]]&gt;=StatusDate,Tasks[[#This Row],[_LeafFcstStart]]&lt;=LookaheadEnd),Tasks[[#This Row],[_LeafFcstStart]]+Tasks[[#This Row],[_Row]]/100000,"")</f>
        <v/>
      </c>
      <c r="DN115" s="41" t="str">
        <f aca="false">IF(AND(Tasks[[#This Row],[_IsLeaf]]=1,Tasks[[#This Row],[_LeafProgress]]&lt;1,Tasks[[#This Row],[_LeafFcstFinish]]&gt;=StatusDate,Tasks[[#This Row],[_LeafFcstFinish]]&lt;=LookaheadEnd),Tasks[[#This Row],[_LeafFcstFinish]]+Tasks[[#This Row],[_Row]]/100000,"")</f>
        <v/>
      </c>
      <c r="DO115" s="41" t="str">
        <f aca="false">IF(Tasks[[#This Row],[_LeafCritical]],Tasks[[#This Row],[_LeafFcstStart]]+Tasks[[#This Row],[_Row]]/100000,"")</f>
        <v/>
      </c>
      <c r="DP115" s="41" t="n">
        <f aca="false">Tasks[[#This Row],[_LeafWork]]*Tasks[[#This Row],[_LeafProgress]]</f>
        <v>0</v>
      </c>
      <c r="DQ115" s="103" t="str">
        <f aca="false">IF(AND(Tasks[[#This Row],[_IsLeaf]]=1,Tasks[[#This Row],[_LeafProgress]]&gt;=1),IF(N(Tasks[[#This Row],[Actual Finish]])&gt;0,Tasks[[#This Row],[Actual Finish]],Tasks[[#This Row],[_LeafFcstFinish]]),"")</f>
        <v/>
      </c>
      <c r="DR115" s="41" t="n">
        <f aca="false">IF(Tasks[[#This Row],[_IsLeaf]]=1,N(Tasks[[#This Row],[Story Points]]),0)</f>
        <v>0</v>
      </c>
      <c r="DS115" s="41" t="str">
        <f aca="false">IF(AND(Tasks[[#This Row],[_IsLeaf]]=1,CurrentSprint&lt;&gt;"",Tasks[[#This Row],[Sprint]]=CurrentSprint),Tasks[[#This Row],[_Row]],"")</f>
        <v/>
      </c>
    </row>
    <row r="116" customFormat="false" ht="15" hidden="false" customHeight="false" outlineLevel="0" collapsed="false">
      <c r="A116" s="28" t="str">
        <f aca="false">IF(Tasks[[#This Row],[Task Name]]="","",COUNTA(Tasks[[#Headers],[Task Name]]:Tasks[[#This Row],[Task Name]])-1)</f>
        <v/>
      </c>
      <c r="B116" s="29" t="n">
        <v>111</v>
      </c>
      <c r="C1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29"/>
      <c r="E116" s="30"/>
      <c r="F116" s="29"/>
      <c r="G116" s="29"/>
      <c r="H116" s="29"/>
      <c r="I116" s="29"/>
      <c r="J116" s="29"/>
      <c r="K116" s="29"/>
      <c r="L116" s="29"/>
      <c r="M116" s="29"/>
      <c r="N116" s="77"/>
      <c r="O116" s="77"/>
      <c r="P116" s="25" t="str">
        <f aca="false">IF(Tasks[[#This Row],[Task Name]]="","",IF(N(Tasks[[#This Row],[Baseline Start]])&gt;0,Tasks[[#This Row],[Baseline Start]],Tasks[[#This Row],[_CalcStart]]))</f>
        <v/>
      </c>
      <c r="Q116" s="25" t="str">
        <f aca="false">IF(Tasks[[#This Row],[Task Name]]="","",IF(N(Tasks[[#This Row],[Baseline Finish]])&gt;0,Tasks[[#This Row],[Baseline Finish]],Tasks[[#This Row],[_CalcFinish]]))</f>
        <v/>
      </c>
      <c r="R116" s="77"/>
      <c r="S116" s="77"/>
      <c r="T116" s="25" t="str">
        <f aca="false">IF(Tasks[[#This Row],[Task Name]]="","",IF(Tasks[[#This Row],[_IsSummary]],MIN(INDEX(Tasks[_LeafFcstStart],Tasks[[#This Row],[_Row]]+1):INDEX(Tasks[_LeafFcstStart],Tasks[[#This Row],[_Row]]+Tasks[[#This Row],[_Descendants]])),Tasks[[#This Row],[_LeafFcstStart]]))</f>
        <v/>
      </c>
      <c r="U116" s="25" t="str">
        <f aca="false">IF(Tasks[[#This Row],[Task Name]]="","",IF(Tasks[[#This Row],[_IsSummary]],MAX(INDEX(Tasks[_LeafFcstFinish],Tasks[[#This Row],[_Row]]+1):INDEX(Tasks[_LeafFcstFinish],Tasks[[#This Row],[_Row]]+Tasks[[#This Row],[_Descendants]])),Tasks[[#This Row],[_LeafFcstFinish]]))</f>
        <v/>
      </c>
      <c r="V11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6" s="25" t="str">
        <f aca="false">IF(Tasks[[#This Row],[Task Name]]="","",IF(Tasks[[#This Row],[_IsSummary]],MIN(INDEX(Tasks[_LeafLateStart],Tasks[[#This Row],[_Row]]+1):INDEX(Tasks[_LeafLateStart],Tasks[[#This Row],[_Row]]+Tasks[[#This Row],[_Descendants]])),Tasks[[#This Row],[_LeafLateStart]]))</f>
        <v/>
      </c>
      <c r="Y116" s="25" t="str">
        <f aca="false">IF(Tasks[[#This Row],[Task Name]]="","",IF(Tasks[[#This Row],[_IsSummary]],MAX(INDEX(Tasks[_LeafLateFinish],Tasks[[#This Row],[_Row]]+1):INDEX(Tasks[_LeafLateFinish],Tasks[[#This Row],[_Row]]+Tasks[[#This Row],[_Descendants]])),Tasks[[#This Row],[_LeafLateFinish]]))</f>
        <v/>
      </c>
      <c r="Z116" s="43" t="str">
        <f aca="false">IF(Tasks[[#This Row],[Task Name]]="","",IF(Tasks[[#This Row],[_IsSummary]],MIN(INDEX(Tasks[_LeafTotalSlack],Tasks[[#This Row],[_Row]]+1):INDEX(Tasks[_LeafTotalSlack],Tasks[[#This Row],[_Row]]+Tasks[[#This Row],[_Descendants]])),Tasks[[#This Row],[_LeafTotalSlack]]))</f>
        <v/>
      </c>
      <c r="AA1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6" s="28" t="str">
        <f aca="false">IF(Tasks[[#This Row],[Task Name]]="","",IF(IF(Tasks[[#This Row],[_IsSummary]],COUNTIF(INDEX(Tasks[_LeafCritical],Tasks[[#This Row],[_Row]]+1):INDEX(Tasks[_LeafCritical],Tasks[[#This Row],[_Row]]+Tasks[[#This Row],[_Descendants]]),TRUE())&gt;0,Tasks[[#This Row],[_LeafCritical]]),"Yes",""))</f>
        <v/>
      </c>
      <c r="AC1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6" s="24" t="str">
        <f aca="false">IF(Tasks[[#This Row],[Task Name]]="","",TRIM(IF(Tasks[[#This Row],[_Pred1Problem]]&lt;&gt;"","Pred 1: "&amp;Tasks[[#This Row],[_Pred1Problem]]&amp;". ","")&amp;IF(Tasks[[#This Row],[_Pred2Problem]]&lt;&gt;"","Pred 2: "&amp;Tasks[[#This Row],[_Pred2Problem]]&amp;".","")))</f>
        <v/>
      </c>
      <c r="AE116" s="91"/>
      <c r="AF11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6" s="28" t="str">
        <f aca="false">IF(Tasks[[#This Row],[Task Name]]="","",IF(Tasks[[#This Row],[Progress]]&gt;=1,"Complete",IF(OR(N(Tasks[[#This Row],[Actual Start]])&gt;0,Tasks[[#This Row],[Progress]]&gt;0),IF(Tasks[[#This Row],[Finish Var]]&gt;0,"Behind","In Progress"),IF(Tasks[[#This Row],[Planned Start]]&lt;StatusDate,"Late Start","Not Started"))))</f>
        <v/>
      </c>
      <c r="AH116" s="30"/>
      <c r="AI116" s="91"/>
      <c r="AJ11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6" s="98" t="str">
        <f aca="false">IF(Tasks[[#This Row],[Task Name]]="","",IF(Tasks[[#This Row],[_IsSummary]],SUM(INDEX(Tasks[_LeafWork],Tasks[[#This Row],[_Row]]+1):INDEX(Tasks[_LeafWork],Tasks[[#This Row],[_Row]]+Tasks[[#This Row],[_Descendants]])),Tasks[[#This Row],[_LeafWork]]))</f>
        <v/>
      </c>
      <c r="AL116" s="99" t="str">
        <f aca="false">IF(Tasks[[#This Row],[Task Name]]="","",IF(Tasks[[#This Row],[_IsSummary]],SUM(INDEX(Tasks[_LeafCost],Tasks[[#This Row],[_Row]]+1):INDEX(Tasks[_LeafCost],Tasks[[#This Row],[_Row]]+Tasks[[#This Row],[_Descendants]])),Tasks[[#This Row],[_LeafCost]]))</f>
        <v/>
      </c>
      <c r="AM116" s="100"/>
      <c r="AN116" s="29"/>
      <c r="AO1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6" s="85"/>
      <c r="AQ116" s="24" t="str">
        <f aca="false">IF(Tasks[[#This Row],[Task Name]]="","",Tasks[[#This Row],[_Pred1IDText]]&amp;IF(AND(Tasks[[#This Row],[_Pred1IDText]]&lt;&gt;"",Tasks[[#This Row],[_Pred2IDText]]&lt;&gt;""),",","")&amp;Tasks[[#This Row],[_Pred2IDText]])</f>
        <v/>
      </c>
      <c r="AR116" s="30"/>
      <c r="AS116" s="25" t="str">
        <f aca="false">IF(Tasks[[#This Row],[Task Name]]="","",Tasks[[#This Row],[Forecast Start]])</f>
        <v/>
      </c>
      <c r="AT116" s="25" t="str">
        <f aca="false">IF(Tasks[[#This Row],[Task Name]]="","",Tasks[[#This Row],[Forecast Finish]])</f>
        <v/>
      </c>
      <c r="AU116" s="28" t="str">
        <f aca="false">IF(Tasks[[#This Row],[Task Name]]="","",IF(Tasks[[#This Row],[_IsSummary]],NETWORKDAYS.INTL(Tasks[[#This Row],[Forecast Start]],Tasks[[#This Row],[Forecast Finish]],WorkWeek,Holidays),N(Tasks[[#This Row],[Duration]])))</f>
        <v/>
      </c>
      <c r="AV116" s="98" t="str">
        <f aca="false">IF(Tasks[[#This Row],[Task Name]]="","",Tasks[[#This Row],[Work]])</f>
        <v/>
      </c>
      <c r="AW116" s="99" t="str">
        <f aca="false">IF(Tasks[[#This Row],[Task Name]]="","",Tasks[[#This Row],[Cost]])</f>
        <v/>
      </c>
      <c r="AX116" s="77"/>
      <c r="AY116" s="77"/>
      <c r="AZ116" s="29"/>
      <c r="BA116" s="101"/>
      <c r="BB116" s="100"/>
      <c r="BC116" s="28" t="str">
        <f aca="false">IF(OR(Tasks[[#This Row],[Task Name]]="",Tasks[[#This Row],[Baseline Duration]]=""),"",Tasks[[#This Row],[BL Source Duration]]-N(Tasks[[#This Row],[Baseline Duration]]))</f>
        <v/>
      </c>
      <c r="BD116" s="98" t="str">
        <f aca="false">IF(OR(Tasks[[#This Row],[Task Name]]="",Tasks[[#This Row],[Baseline Work]]=""),"",Tasks[[#This Row],[Work]]-N(Tasks[[#This Row],[Baseline Work]]))</f>
        <v/>
      </c>
      <c r="BE116" s="99" t="str">
        <f aca="false">IF(OR(Tasks[[#This Row],[Task Name]]="",Tasks[[#This Row],[Baseline Cost]]=""),"",Tasks[[#This Row],[Cost]]-N(Tasks[[#This Row],[Baseline Cost]]))</f>
        <v/>
      </c>
      <c r="BF116" s="99" t="str">
        <f aca="false">IF(Tasks[[#This Row],[Task Name]]="","",IF(Tasks[[#This Row],[_IsSummary]],SUM(INDEX(Tasks[_LeafBudget],Tasks[[#This Row],[_Row]]+1):INDEX(Tasks[_LeafBudget],Tasks[[#This Row],[_Row]]+Tasks[[#This Row],[_Descendants]])),Tasks[[#This Row],[_LeafBudget]]))</f>
        <v/>
      </c>
      <c r="BG116" s="99" t="str">
        <f aca="false">IF(Tasks[[#This Row],[Task Name]]="","",IF(Tasks[[#This Row],[_IsSummary]],SUM(INDEX(Tasks[_LeafPV],Tasks[[#This Row],[_Row]]+1):INDEX(Tasks[_LeafPV],Tasks[[#This Row],[_Row]]+Tasks[[#This Row],[_Descendants]])),Tasks[[#This Row],[_LeafPV]]))</f>
        <v/>
      </c>
      <c r="BH116" s="99" t="str">
        <f aca="false">IF(Tasks[[#This Row],[Task Name]]="","",IF(Tasks[[#This Row],[_IsSummary]],SUM(INDEX(Tasks[_LeafEV],Tasks[[#This Row],[_Row]]+1):INDEX(Tasks[_LeafEV],Tasks[[#This Row],[_Row]]+Tasks[[#This Row],[_Descendants]])),Tasks[[#This Row],[_LeafEV]]))</f>
        <v/>
      </c>
      <c r="BI116" s="99" t="str">
        <f aca="false">IF(Tasks[[#This Row],[Task Name]]="","",IF(Tasks[[#This Row],[_IsSummary]],SUM(INDEX(Tasks[_LeafAC],Tasks[[#This Row],[_Row]]+1):INDEX(Tasks[_LeafAC],Tasks[[#This Row],[_Row]]+Tasks[[#This Row],[_Descendants]])),Tasks[[#This Row],[_LeafAC]]))</f>
        <v/>
      </c>
      <c r="BJ116" s="41" t="str">
        <f aca="false">IF(Tasks[[#This Row],[Task Name]]="","",MAX(1,N(Tasks[[#This Row],[Level]])))</f>
        <v/>
      </c>
      <c r="BK116" s="41" t="n">
        <f aca="false">ROW()-ROW(Tasks[[#Headers],[ID]])</f>
        <v>111</v>
      </c>
      <c r="BL116" s="41" t="n">
        <f aca="false">IF(OR(Tasks[[#This Row],[Task Name]]="",Tasks[[#This Row],[_Level]]&lt;=1),0,IFERROR(LOOKUP(2,1/(Tasks[[#Headers],[_Level]]:Tasks[[#This Row],[_Level]]=Tasks[[#This Row],[_Level]]-1),ROW(Tasks[[#Headers],[_Level]]:Tasks[[#This Row],[_Level]])),0))</f>
        <v>0</v>
      </c>
      <c r="BM116" s="41" t="n">
        <f aca="false">IFERROR(N(INDEX(Tasks[_Level],Tasks[[#This Row],[_Row]]+1)),0)</f>
        <v>0</v>
      </c>
      <c r="BN116" s="102" t="b">
        <f aca="false">AND(Tasks[[#This Row],[Task Name]]&lt;&gt;"",Tasks[[#This Row],[_NextLevel]]&gt;Tasks[[#This Row],[_Level]])</f>
        <v>0</v>
      </c>
      <c r="BO116" s="41" t="n">
        <f aca="false">IF(Tasks[[#This Row],[_IsSummary]],COUNTIF(Tasks[WBS],Tasks[[#This Row],[WBS]]&amp;".*"),0)</f>
        <v>0</v>
      </c>
      <c r="BP116" s="41" t="n">
        <f aca="false">IF(AND(Tasks[[#This Row],[Task Name]]&lt;&gt;"",NOT(Tasks[[#This Row],[_IsSummary]])),1,0)</f>
        <v>0</v>
      </c>
      <c r="BQ116" s="41" t="n">
        <f aca="false">IF(N(Tasks[[#This Row],[Pred1 UID]])=0,0,IFERROR(MATCH(Tasks[[#This Row],[Pred1 UID]],Tasks[UID],0),-1))</f>
        <v>0</v>
      </c>
      <c r="BR116" s="41" t="n">
        <f aca="false">IF(N(Tasks[[#This Row],[Pred2 UID]])=0,0,IFERROR(MATCH(Tasks[[#This Row],[Pred2 UID]],Tasks[UID],0),-1))</f>
        <v>0</v>
      </c>
      <c r="BS11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6" s="103" t="str">
        <f aca="false">IF(NOT(Tasks[[#This Row],[_IsLeaf]]=1),"",IF(N(Tasks[[#This Row],[Duration]])&lt;=0,Tasks[[#This Row],[_LeafCalcStart]],WORKDAY.INTL(Tasks[[#This Row],[_LeafCalcStart]],Tasks[[#This Row],[Duration]]-1,WorkWeek,Holidays)))</f>
        <v/>
      </c>
      <c r="BU11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6" s="41" t="n">
        <f aca="false">IF(NOT(Tasks[[#This Row],[_IsLeaf]]=1),0,IF(N(Tasks[[#This Row],[Actual Finish]])&gt;0,1,MIN(1,N(Tasks[[#This Row],[% Complete]]))))</f>
        <v>0</v>
      </c>
      <c r="BX116" s="41" t="n">
        <f aca="false">IF(OR(NOT(Tasks[[#This Row],[_IsLeaf]]=1),Tasks[[#This Row],[Resource]]=""),0,N(Tasks[[#This Row],[Duration]])*HoursPerDay*IF(Tasks[[#This Row],[Units]]="",DefaultUnits,Tasks[[#This Row],[Units]]))</f>
        <v>0</v>
      </c>
      <c r="BY116" s="41" t="n">
        <f aca="false">IF(Tasks[[#This Row],[_LeafWork]]=0,0,Tasks[[#This Row],[_LeafWork]]*IFERROR(INDEX(res_Rate,MATCH(Tasks[[#This Row],[Resource]],res_Name,0)),0))</f>
        <v>0</v>
      </c>
      <c r="BZ1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6" s="41" t="n">
        <f aca="false">IF(NOT(Tasks[[#This Row],[_IsLeaf]]=1),0,MAX(_xlfn.MAXIFS(Tasks[_Row],Tasks[Pred1 UID],Tasks[[#This Row],[UID]]),_xlfn.MAXIFS(Tasks[_Row],Tasks[Pred2 UID],Tasks[[#This Row],[UID]])))</f>
        <v>0</v>
      </c>
      <c r="CE11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6" s="103" t="str">
        <f aca="false">IF(NOT(Tasks[[#This Row],[_IsLeaf]]=1),"",MIN(ProjectFinish,IF(N(Tasks[[#This Row],[Deadline]])&gt;0,Tasks[[#This Row],[Deadline]],2958465),Tasks[[#This Row],[_SuccessorFinishLimit]]))</f>
        <v/>
      </c>
      <c r="CG116" s="103" t="str">
        <f aca="false">IF(NOT(Tasks[[#This Row],[_IsLeaf]]=1),"",IF(N(Tasks[[#This Row],[Duration]])&lt;=0,Tasks[[#This Row],[_LeafLateFinish]],WORKDAY.INTL(Tasks[[#This Row],[_LeafLateFinish]],-(Tasks[[#This Row],[Duration]]-1),WorkWeek,Holidays)))</f>
        <v/>
      </c>
      <c r="CH1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6" s="102" t="b">
        <f aca="false">AND(Tasks[[#This Row],[_IsLeaf]]=1,Tasks[[#This Row],[_LeafProgress]]&lt;1,N(Tasks[[#This Row],[_LeafTotalSlack]])&lt;=CriticalSlackDays)</f>
        <v>0</v>
      </c>
      <c r="CJ116" s="103" t="str">
        <f aca="false">IF(Tasks[[#This Row],[Task Name]]="","",IF(Tasks[[#This Row],[_IsSummary]],MIN(INDEX(Tasks[_LeafCalcStart],Tasks[[#This Row],[_Row]]+1):INDEX(Tasks[_LeafCalcStart],Tasks[[#This Row],[_Row]]+Tasks[[#This Row],[_Descendants]])),Tasks[[#This Row],[_LeafCalcStart]]))</f>
        <v/>
      </c>
      <c r="CK116" s="103" t="str">
        <f aca="false">IF(Tasks[[#This Row],[Task Name]]="","",IF(Tasks[[#This Row],[_IsSummary]],MAX(INDEX(Tasks[_LeafCalcFinish],Tasks[[#This Row],[_Row]]+1):INDEX(Tasks[_LeafCalcFinish],Tasks[[#This Row],[_Row]]+Tasks[[#This Row],[_Descendants]])),Tasks[[#This Row],[_LeafCalcFinish]]))</f>
        <v/>
      </c>
      <c r="CL1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6" s="41" t="n">
        <f aca="false">IF(AND(Tasks[[#This Row],[_IsLeaf]]=1,Tasks[[#This Row],[_LeafWork]]&gt;0),NETWORKDAYS.INTL(ProjectStart,Tasks[[#This Row],[_LeafFcstStart]],WorkWeek,Holidays),0)</f>
        <v>0</v>
      </c>
      <c r="CS116" s="41" t="n">
        <f aca="false">IF(AND(Tasks[[#This Row],[_IsLeaf]]=1,Tasks[[#This Row],[_LeafWork]]&gt;0),MAX(Tasks[[#This Row],[_StartWorkday]],NETWORKDAYS.INTL(ProjectStart,Tasks[[#This Row],[_LeafFcstFinish]],WorkWeek,Holidays)),0)</f>
        <v>0</v>
      </c>
      <c r="CT116" s="41" t="n">
        <f aca="false">IF(AND(Tasks[[#This Row],[_IsLeaf]]=1,Tasks[[#This Row],[_LeafWork]]&gt;0),Tasks[[#This Row],[_LeafWork]]/(Tasks[[#This Row],[_FinishWorkday]]-Tasks[[#This Row],[_StartWorkday]]+1),0)</f>
        <v>0</v>
      </c>
      <c r="CU116" s="41" t="n">
        <f aca="false">Tasks[[#This Row],[_WorkPerWorkday]]*(Tasks[[#This Row],[_StartWorkday]]-1)</f>
        <v>-0</v>
      </c>
      <c r="CV116" s="41" t="n">
        <f aca="false">IF(Tasks[[#This Row],[_IsLeaf]]=1,MAX(N(Tasks[[#This Row],[Duration]]),0.1),0)</f>
        <v>0</v>
      </c>
      <c r="CW116" s="41" t="n">
        <f aca="false">Tasks[[#This Row],[_WeightDur]]*Tasks[[#This Row],[_LeafProgress]]</f>
        <v>0</v>
      </c>
      <c r="CX1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6" s="41" t="str">
        <f aca="false">IF(Tasks[[#This Row],[Task Name]]="","",Tasks[[#This Row],[_Pred1UIDText]]&amp;IF(AND(Tasks[[#This Row],[_Pred1UIDText]]&lt;&gt;"",Tasks[[#This Row],[_Pred2UIDText]]&lt;&gt;""),",","")&amp;Tasks[[#This Row],[_Pred2UIDText]])</f>
        <v/>
      </c>
      <c r="DC116" s="41" t="str">
        <f aca="false">IF(AND(Tasks[[#This Row],[_IsLeaf]]=1,N(Tasks[[#This Row],[Duration]])=0,Tasks[[#This Row],[_LeafProgress]]&lt;1),Tasks[[#This Row],[_LeafFcstFinish]]+Tasks[[#This Row],[_Row]]/100000,"")</f>
        <v/>
      </c>
      <c r="DD1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6" s="41" t="n">
        <f aca="false">IF(NOT(Tasks[[#This Row],[_IsLeaf]]=1),0,IF(Tasks[[#This Row],[Baseline Cost]]="",Tasks[[#This Row],[_LeafCost]],N(Tasks[[#This Row],[Baseline Cost]])))</f>
        <v>0</v>
      </c>
      <c r="DF116" s="41" t="n">
        <f aca="false">Tasks[[#This Row],[_LeafBudget]]*Tasks[[#This Row],[_PlannedPct]]</f>
        <v>0</v>
      </c>
      <c r="DG116" s="41" t="n">
        <f aca="false">Tasks[[#This Row],[_LeafBudget]]*Tasks[[#This Row],[_LeafProgress]]</f>
        <v>0</v>
      </c>
      <c r="DH116" s="41" t="n">
        <f aca="false">IF(NOT(Tasks[[#This Row],[_IsLeaf]]=1),0,IF(Tasks[[#This Row],[Actual Cost]]="",Tasks[[#This Row],[_LeafCost]]*Tasks[[#This Row],[_LeafProgress]],N(Tasks[[#This Row],[Actual Cost]])))</f>
        <v>0</v>
      </c>
      <c r="DI116" s="41" t="str">
        <f aca="false">IF(Tasks[[#This Row],[Task Name]]="","",LEFT(Tasks[[#This Row],[WBS]],FIND(".",Tasks[[#This Row],[WBS]]&amp;".")-1))</f>
        <v/>
      </c>
      <c r="DJ116" s="41" t="str">
        <f aca="false">IF(AND(Tasks[[#This Row],[Task Name]]&lt;&gt;"",Tasks[[#This Row],[_Level]]=1),Tasks[[#This Row],[_Row]],"")</f>
        <v/>
      </c>
      <c r="DK116" s="41" t="str">
        <f aca="false">IF(AND(Tasks[[#This Row],[_IsLeaf]]=1,N(Tasks[[#This Row],[Duration]])=0),Tasks[[#This Row],[Planned Finish]]+Tasks[[#This Row],[_Row]]/100000,"")</f>
        <v/>
      </c>
      <c r="DL116" s="41" t="str">
        <f aca="false">IF(AND(Tasks[[#This Row],[_IsLeaf]]=1,Tasks[[#This Row],[_LeafProgress]]&lt;1,OR(N(Tasks[[#This Row],[Finish Var]])&gt;0,Tasks[[#This Row],[Status]]="Late Start")),MAX(0,Tasks[[#This Row],[Finish Var]])+1-Tasks[[#This Row],[_Row]]/1000000,"")</f>
        <v/>
      </c>
      <c r="DM116" s="41" t="str">
        <f aca="false">IF(AND(Tasks[[#This Row],[_IsLeaf]]=1,N(Tasks[[#This Row],[Actual Start]])=0,Tasks[[#This Row],[_LeafFcstStart]]&gt;=StatusDate,Tasks[[#This Row],[_LeafFcstStart]]&lt;=LookaheadEnd),Tasks[[#This Row],[_LeafFcstStart]]+Tasks[[#This Row],[_Row]]/100000,"")</f>
        <v/>
      </c>
      <c r="DN116" s="41" t="str">
        <f aca="false">IF(AND(Tasks[[#This Row],[_IsLeaf]]=1,Tasks[[#This Row],[_LeafProgress]]&lt;1,Tasks[[#This Row],[_LeafFcstFinish]]&gt;=StatusDate,Tasks[[#This Row],[_LeafFcstFinish]]&lt;=LookaheadEnd),Tasks[[#This Row],[_LeafFcstFinish]]+Tasks[[#This Row],[_Row]]/100000,"")</f>
        <v/>
      </c>
      <c r="DO116" s="41" t="str">
        <f aca="false">IF(Tasks[[#This Row],[_LeafCritical]],Tasks[[#This Row],[_LeafFcstStart]]+Tasks[[#This Row],[_Row]]/100000,"")</f>
        <v/>
      </c>
      <c r="DP116" s="41" t="n">
        <f aca="false">Tasks[[#This Row],[_LeafWork]]*Tasks[[#This Row],[_LeafProgress]]</f>
        <v>0</v>
      </c>
      <c r="DQ116" s="103" t="str">
        <f aca="false">IF(AND(Tasks[[#This Row],[_IsLeaf]]=1,Tasks[[#This Row],[_LeafProgress]]&gt;=1),IF(N(Tasks[[#This Row],[Actual Finish]])&gt;0,Tasks[[#This Row],[Actual Finish]],Tasks[[#This Row],[_LeafFcstFinish]]),"")</f>
        <v/>
      </c>
      <c r="DR116" s="41" t="n">
        <f aca="false">IF(Tasks[[#This Row],[_IsLeaf]]=1,N(Tasks[[#This Row],[Story Points]]),0)</f>
        <v>0</v>
      </c>
      <c r="DS116" s="41" t="str">
        <f aca="false">IF(AND(Tasks[[#This Row],[_IsLeaf]]=1,CurrentSprint&lt;&gt;"",Tasks[[#This Row],[Sprint]]=CurrentSprint),Tasks[[#This Row],[_Row]],"")</f>
        <v/>
      </c>
    </row>
    <row r="117" customFormat="false" ht="15" hidden="false" customHeight="false" outlineLevel="0" collapsed="false">
      <c r="A117" s="28" t="str">
        <f aca="false">IF(Tasks[[#This Row],[Task Name]]="","",COUNTA(Tasks[[#Headers],[Task Name]]:Tasks[[#This Row],[Task Name]])-1)</f>
        <v/>
      </c>
      <c r="B117" s="29" t="n">
        <v>112</v>
      </c>
      <c r="C1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29"/>
      <c r="E117" s="30"/>
      <c r="F117" s="29"/>
      <c r="G117" s="29"/>
      <c r="H117" s="29"/>
      <c r="I117" s="29"/>
      <c r="J117" s="29"/>
      <c r="K117" s="29"/>
      <c r="L117" s="29"/>
      <c r="M117" s="29"/>
      <c r="N117" s="77"/>
      <c r="O117" s="77"/>
      <c r="P117" s="25" t="str">
        <f aca="false">IF(Tasks[[#This Row],[Task Name]]="","",IF(N(Tasks[[#This Row],[Baseline Start]])&gt;0,Tasks[[#This Row],[Baseline Start]],Tasks[[#This Row],[_CalcStart]]))</f>
        <v/>
      </c>
      <c r="Q117" s="25" t="str">
        <f aca="false">IF(Tasks[[#This Row],[Task Name]]="","",IF(N(Tasks[[#This Row],[Baseline Finish]])&gt;0,Tasks[[#This Row],[Baseline Finish]],Tasks[[#This Row],[_CalcFinish]]))</f>
        <v/>
      </c>
      <c r="R117" s="77"/>
      <c r="S117" s="77"/>
      <c r="T117" s="25" t="str">
        <f aca="false">IF(Tasks[[#This Row],[Task Name]]="","",IF(Tasks[[#This Row],[_IsSummary]],MIN(INDEX(Tasks[_LeafFcstStart],Tasks[[#This Row],[_Row]]+1):INDEX(Tasks[_LeafFcstStart],Tasks[[#This Row],[_Row]]+Tasks[[#This Row],[_Descendants]])),Tasks[[#This Row],[_LeafFcstStart]]))</f>
        <v/>
      </c>
      <c r="U117" s="25" t="str">
        <f aca="false">IF(Tasks[[#This Row],[Task Name]]="","",IF(Tasks[[#This Row],[_IsSummary]],MAX(INDEX(Tasks[_LeafFcstFinish],Tasks[[#This Row],[_Row]]+1):INDEX(Tasks[_LeafFcstFinish],Tasks[[#This Row],[_Row]]+Tasks[[#This Row],[_Descendants]])),Tasks[[#This Row],[_LeafFcstFinish]]))</f>
        <v/>
      </c>
      <c r="V11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7" s="25" t="str">
        <f aca="false">IF(Tasks[[#This Row],[Task Name]]="","",IF(Tasks[[#This Row],[_IsSummary]],MIN(INDEX(Tasks[_LeafLateStart],Tasks[[#This Row],[_Row]]+1):INDEX(Tasks[_LeafLateStart],Tasks[[#This Row],[_Row]]+Tasks[[#This Row],[_Descendants]])),Tasks[[#This Row],[_LeafLateStart]]))</f>
        <v/>
      </c>
      <c r="Y117" s="25" t="str">
        <f aca="false">IF(Tasks[[#This Row],[Task Name]]="","",IF(Tasks[[#This Row],[_IsSummary]],MAX(INDEX(Tasks[_LeafLateFinish],Tasks[[#This Row],[_Row]]+1):INDEX(Tasks[_LeafLateFinish],Tasks[[#This Row],[_Row]]+Tasks[[#This Row],[_Descendants]])),Tasks[[#This Row],[_LeafLateFinish]]))</f>
        <v/>
      </c>
      <c r="Z117" s="43" t="str">
        <f aca="false">IF(Tasks[[#This Row],[Task Name]]="","",IF(Tasks[[#This Row],[_IsSummary]],MIN(INDEX(Tasks[_LeafTotalSlack],Tasks[[#This Row],[_Row]]+1):INDEX(Tasks[_LeafTotalSlack],Tasks[[#This Row],[_Row]]+Tasks[[#This Row],[_Descendants]])),Tasks[[#This Row],[_LeafTotalSlack]]))</f>
        <v/>
      </c>
      <c r="AA1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7" s="28" t="str">
        <f aca="false">IF(Tasks[[#This Row],[Task Name]]="","",IF(IF(Tasks[[#This Row],[_IsSummary]],COUNTIF(INDEX(Tasks[_LeafCritical],Tasks[[#This Row],[_Row]]+1):INDEX(Tasks[_LeafCritical],Tasks[[#This Row],[_Row]]+Tasks[[#This Row],[_Descendants]]),TRUE())&gt;0,Tasks[[#This Row],[_LeafCritical]]),"Yes",""))</f>
        <v/>
      </c>
      <c r="AC1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7" s="24" t="str">
        <f aca="false">IF(Tasks[[#This Row],[Task Name]]="","",TRIM(IF(Tasks[[#This Row],[_Pred1Problem]]&lt;&gt;"","Pred 1: "&amp;Tasks[[#This Row],[_Pred1Problem]]&amp;". ","")&amp;IF(Tasks[[#This Row],[_Pred2Problem]]&lt;&gt;"","Pred 2: "&amp;Tasks[[#This Row],[_Pred2Problem]]&amp;".","")))</f>
        <v/>
      </c>
      <c r="AE117" s="91"/>
      <c r="AF11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7" s="28" t="str">
        <f aca="false">IF(Tasks[[#This Row],[Task Name]]="","",IF(Tasks[[#This Row],[Progress]]&gt;=1,"Complete",IF(OR(N(Tasks[[#This Row],[Actual Start]])&gt;0,Tasks[[#This Row],[Progress]]&gt;0),IF(Tasks[[#This Row],[Finish Var]]&gt;0,"Behind","In Progress"),IF(Tasks[[#This Row],[Planned Start]]&lt;StatusDate,"Late Start","Not Started"))))</f>
        <v/>
      </c>
      <c r="AH117" s="30"/>
      <c r="AI117" s="91"/>
      <c r="AJ11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7" s="98" t="str">
        <f aca="false">IF(Tasks[[#This Row],[Task Name]]="","",IF(Tasks[[#This Row],[_IsSummary]],SUM(INDEX(Tasks[_LeafWork],Tasks[[#This Row],[_Row]]+1):INDEX(Tasks[_LeafWork],Tasks[[#This Row],[_Row]]+Tasks[[#This Row],[_Descendants]])),Tasks[[#This Row],[_LeafWork]]))</f>
        <v/>
      </c>
      <c r="AL117" s="99" t="str">
        <f aca="false">IF(Tasks[[#This Row],[Task Name]]="","",IF(Tasks[[#This Row],[_IsSummary]],SUM(INDEX(Tasks[_LeafCost],Tasks[[#This Row],[_Row]]+1):INDEX(Tasks[_LeafCost],Tasks[[#This Row],[_Row]]+Tasks[[#This Row],[_Descendants]])),Tasks[[#This Row],[_LeafCost]]))</f>
        <v/>
      </c>
      <c r="AM117" s="100"/>
      <c r="AN117" s="29"/>
      <c r="AO1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7" s="85"/>
      <c r="AQ117" s="24" t="str">
        <f aca="false">IF(Tasks[[#This Row],[Task Name]]="","",Tasks[[#This Row],[_Pred1IDText]]&amp;IF(AND(Tasks[[#This Row],[_Pred1IDText]]&lt;&gt;"",Tasks[[#This Row],[_Pred2IDText]]&lt;&gt;""),",","")&amp;Tasks[[#This Row],[_Pred2IDText]])</f>
        <v/>
      </c>
      <c r="AR117" s="30"/>
      <c r="AS117" s="25" t="str">
        <f aca="false">IF(Tasks[[#This Row],[Task Name]]="","",Tasks[[#This Row],[Forecast Start]])</f>
        <v/>
      </c>
      <c r="AT117" s="25" t="str">
        <f aca="false">IF(Tasks[[#This Row],[Task Name]]="","",Tasks[[#This Row],[Forecast Finish]])</f>
        <v/>
      </c>
      <c r="AU117" s="28" t="str">
        <f aca="false">IF(Tasks[[#This Row],[Task Name]]="","",IF(Tasks[[#This Row],[_IsSummary]],NETWORKDAYS.INTL(Tasks[[#This Row],[Forecast Start]],Tasks[[#This Row],[Forecast Finish]],WorkWeek,Holidays),N(Tasks[[#This Row],[Duration]])))</f>
        <v/>
      </c>
      <c r="AV117" s="98" t="str">
        <f aca="false">IF(Tasks[[#This Row],[Task Name]]="","",Tasks[[#This Row],[Work]])</f>
        <v/>
      </c>
      <c r="AW117" s="99" t="str">
        <f aca="false">IF(Tasks[[#This Row],[Task Name]]="","",Tasks[[#This Row],[Cost]])</f>
        <v/>
      </c>
      <c r="AX117" s="77"/>
      <c r="AY117" s="77"/>
      <c r="AZ117" s="29"/>
      <c r="BA117" s="101"/>
      <c r="BB117" s="100"/>
      <c r="BC117" s="28" t="str">
        <f aca="false">IF(OR(Tasks[[#This Row],[Task Name]]="",Tasks[[#This Row],[Baseline Duration]]=""),"",Tasks[[#This Row],[BL Source Duration]]-N(Tasks[[#This Row],[Baseline Duration]]))</f>
        <v/>
      </c>
      <c r="BD117" s="98" t="str">
        <f aca="false">IF(OR(Tasks[[#This Row],[Task Name]]="",Tasks[[#This Row],[Baseline Work]]=""),"",Tasks[[#This Row],[Work]]-N(Tasks[[#This Row],[Baseline Work]]))</f>
        <v/>
      </c>
      <c r="BE117" s="99" t="str">
        <f aca="false">IF(OR(Tasks[[#This Row],[Task Name]]="",Tasks[[#This Row],[Baseline Cost]]=""),"",Tasks[[#This Row],[Cost]]-N(Tasks[[#This Row],[Baseline Cost]]))</f>
        <v/>
      </c>
      <c r="BF117" s="99" t="str">
        <f aca="false">IF(Tasks[[#This Row],[Task Name]]="","",IF(Tasks[[#This Row],[_IsSummary]],SUM(INDEX(Tasks[_LeafBudget],Tasks[[#This Row],[_Row]]+1):INDEX(Tasks[_LeafBudget],Tasks[[#This Row],[_Row]]+Tasks[[#This Row],[_Descendants]])),Tasks[[#This Row],[_LeafBudget]]))</f>
        <v/>
      </c>
      <c r="BG117" s="99" t="str">
        <f aca="false">IF(Tasks[[#This Row],[Task Name]]="","",IF(Tasks[[#This Row],[_IsSummary]],SUM(INDEX(Tasks[_LeafPV],Tasks[[#This Row],[_Row]]+1):INDEX(Tasks[_LeafPV],Tasks[[#This Row],[_Row]]+Tasks[[#This Row],[_Descendants]])),Tasks[[#This Row],[_LeafPV]]))</f>
        <v/>
      </c>
      <c r="BH117" s="99" t="str">
        <f aca="false">IF(Tasks[[#This Row],[Task Name]]="","",IF(Tasks[[#This Row],[_IsSummary]],SUM(INDEX(Tasks[_LeafEV],Tasks[[#This Row],[_Row]]+1):INDEX(Tasks[_LeafEV],Tasks[[#This Row],[_Row]]+Tasks[[#This Row],[_Descendants]])),Tasks[[#This Row],[_LeafEV]]))</f>
        <v/>
      </c>
      <c r="BI117" s="99" t="str">
        <f aca="false">IF(Tasks[[#This Row],[Task Name]]="","",IF(Tasks[[#This Row],[_IsSummary]],SUM(INDEX(Tasks[_LeafAC],Tasks[[#This Row],[_Row]]+1):INDEX(Tasks[_LeafAC],Tasks[[#This Row],[_Row]]+Tasks[[#This Row],[_Descendants]])),Tasks[[#This Row],[_LeafAC]]))</f>
        <v/>
      </c>
      <c r="BJ117" s="41" t="str">
        <f aca="false">IF(Tasks[[#This Row],[Task Name]]="","",MAX(1,N(Tasks[[#This Row],[Level]])))</f>
        <v/>
      </c>
      <c r="BK117" s="41" t="n">
        <f aca="false">ROW()-ROW(Tasks[[#Headers],[ID]])</f>
        <v>112</v>
      </c>
      <c r="BL117" s="41" t="n">
        <f aca="false">IF(OR(Tasks[[#This Row],[Task Name]]="",Tasks[[#This Row],[_Level]]&lt;=1),0,IFERROR(LOOKUP(2,1/(Tasks[[#Headers],[_Level]]:Tasks[[#This Row],[_Level]]=Tasks[[#This Row],[_Level]]-1),ROW(Tasks[[#Headers],[_Level]]:Tasks[[#This Row],[_Level]])),0))</f>
        <v>0</v>
      </c>
      <c r="BM117" s="41" t="n">
        <f aca="false">IFERROR(N(INDEX(Tasks[_Level],Tasks[[#This Row],[_Row]]+1)),0)</f>
        <v>0</v>
      </c>
      <c r="BN117" s="102" t="b">
        <f aca="false">AND(Tasks[[#This Row],[Task Name]]&lt;&gt;"",Tasks[[#This Row],[_NextLevel]]&gt;Tasks[[#This Row],[_Level]])</f>
        <v>0</v>
      </c>
      <c r="BO117" s="41" t="n">
        <f aca="false">IF(Tasks[[#This Row],[_IsSummary]],COUNTIF(Tasks[WBS],Tasks[[#This Row],[WBS]]&amp;".*"),0)</f>
        <v>0</v>
      </c>
      <c r="BP117" s="41" t="n">
        <f aca="false">IF(AND(Tasks[[#This Row],[Task Name]]&lt;&gt;"",NOT(Tasks[[#This Row],[_IsSummary]])),1,0)</f>
        <v>0</v>
      </c>
      <c r="BQ117" s="41" t="n">
        <f aca="false">IF(N(Tasks[[#This Row],[Pred1 UID]])=0,0,IFERROR(MATCH(Tasks[[#This Row],[Pred1 UID]],Tasks[UID],0),-1))</f>
        <v>0</v>
      </c>
      <c r="BR117" s="41" t="n">
        <f aca="false">IF(N(Tasks[[#This Row],[Pred2 UID]])=0,0,IFERROR(MATCH(Tasks[[#This Row],[Pred2 UID]],Tasks[UID],0),-1))</f>
        <v>0</v>
      </c>
      <c r="BS11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7" s="103" t="str">
        <f aca="false">IF(NOT(Tasks[[#This Row],[_IsLeaf]]=1),"",IF(N(Tasks[[#This Row],[Duration]])&lt;=0,Tasks[[#This Row],[_LeafCalcStart]],WORKDAY.INTL(Tasks[[#This Row],[_LeafCalcStart]],Tasks[[#This Row],[Duration]]-1,WorkWeek,Holidays)))</f>
        <v/>
      </c>
      <c r="BU11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7" s="41" t="n">
        <f aca="false">IF(NOT(Tasks[[#This Row],[_IsLeaf]]=1),0,IF(N(Tasks[[#This Row],[Actual Finish]])&gt;0,1,MIN(1,N(Tasks[[#This Row],[% Complete]]))))</f>
        <v>0</v>
      </c>
      <c r="BX117" s="41" t="n">
        <f aca="false">IF(OR(NOT(Tasks[[#This Row],[_IsLeaf]]=1),Tasks[[#This Row],[Resource]]=""),0,N(Tasks[[#This Row],[Duration]])*HoursPerDay*IF(Tasks[[#This Row],[Units]]="",DefaultUnits,Tasks[[#This Row],[Units]]))</f>
        <v>0</v>
      </c>
      <c r="BY117" s="41" t="n">
        <f aca="false">IF(Tasks[[#This Row],[_LeafWork]]=0,0,Tasks[[#This Row],[_LeafWork]]*IFERROR(INDEX(res_Rate,MATCH(Tasks[[#This Row],[Resource]],res_Name,0)),0))</f>
        <v>0</v>
      </c>
      <c r="BZ1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7" s="41" t="n">
        <f aca="false">IF(NOT(Tasks[[#This Row],[_IsLeaf]]=1),0,MAX(_xlfn.MAXIFS(Tasks[_Row],Tasks[Pred1 UID],Tasks[[#This Row],[UID]]),_xlfn.MAXIFS(Tasks[_Row],Tasks[Pred2 UID],Tasks[[#This Row],[UID]])))</f>
        <v>0</v>
      </c>
      <c r="CE11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7" s="103" t="str">
        <f aca="false">IF(NOT(Tasks[[#This Row],[_IsLeaf]]=1),"",MIN(ProjectFinish,IF(N(Tasks[[#This Row],[Deadline]])&gt;0,Tasks[[#This Row],[Deadline]],2958465),Tasks[[#This Row],[_SuccessorFinishLimit]]))</f>
        <v/>
      </c>
      <c r="CG117" s="103" t="str">
        <f aca="false">IF(NOT(Tasks[[#This Row],[_IsLeaf]]=1),"",IF(N(Tasks[[#This Row],[Duration]])&lt;=0,Tasks[[#This Row],[_LeafLateFinish]],WORKDAY.INTL(Tasks[[#This Row],[_LeafLateFinish]],-(Tasks[[#This Row],[Duration]]-1),WorkWeek,Holidays)))</f>
        <v/>
      </c>
      <c r="CH1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7" s="102" t="b">
        <f aca="false">AND(Tasks[[#This Row],[_IsLeaf]]=1,Tasks[[#This Row],[_LeafProgress]]&lt;1,N(Tasks[[#This Row],[_LeafTotalSlack]])&lt;=CriticalSlackDays)</f>
        <v>0</v>
      </c>
      <c r="CJ117" s="103" t="str">
        <f aca="false">IF(Tasks[[#This Row],[Task Name]]="","",IF(Tasks[[#This Row],[_IsSummary]],MIN(INDEX(Tasks[_LeafCalcStart],Tasks[[#This Row],[_Row]]+1):INDEX(Tasks[_LeafCalcStart],Tasks[[#This Row],[_Row]]+Tasks[[#This Row],[_Descendants]])),Tasks[[#This Row],[_LeafCalcStart]]))</f>
        <v/>
      </c>
      <c r="CK117" s="103" t="str">
        <f aca="false">IF(Tasks[[#This Row],[Task Name]]="","",IF(Tasks[[#This Row],[_IsSummary]],MAX(INDEX(Tasks[_LeafCalcFinish],Tasks[[#This Row],[_Row]]+1):INDEX(Tasks[_LeafCalcFinish],Tasks[[#This Row],[_Row]]+Tasks[[#This Row],[_Descendants]])),Tasks[[#This Row],[_LeafCalcFinish]]))</f>
        <v/>
      </c>
      <c r="CL1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7" s="41" t="n">
        <f aca="false">IF(AND(Tasks[[#This Row],[_IsLeaf]]=1,Tasks[[#This Row],[_LeafWork]]&gt;0),NETWORKDAYS.INTL(ProjectStart,Tasks[[#This Row],[_LeafFcstStart]],WorkWeek,Holidays),0)</f>
        <v>0</v>
      </c>
      <c r="CS117" s="41" t="n">
        <f aca="false">IF(AND(Tasks[[#This Row],[_IsLeaf]]=1,Tasks[[#This Row],[_LeafWork]]&gt;0),MAX(Tasks[[#This Row],[_StartWorkday]],NETWORKDAYS.INTL(ProjectStart,Tasks[[#This Row],[_LeafFcstFinish]],WorkWeek,Holidays)),0)</f>
        <v>0</v>
      </c>
      <c r="CT117" s="41" t="n">
        <f aca="false">IF(AND(Tasks[[#This Row],[_IsLeaf]]=1,Tasks[[#This Row],[_LeafWork]]&gt;0),Tasks[[#This Row],[_LeafWork]]/(Tasks[[#This Row],[_FinishWorkday]]-Tasks[[#This Row],[_StartWorkday]]+1),0)</f>
        <v>0</v>
      </c>
      <c r="CU117" s="41" t="n">
        <f aca="false">Tasks[[#This Row],[_WorkPerWorkday]]*(Tasks[[#This Row],[_StartWorkday]]-1)</f>
        <v>-0</v>
      </c>
      <c r="CV117" s="41" t="n">
        <f aca="false">IF(Tasks[[#This Row],[_IsLeaf]]=1,MAX(N(Tasks[[#This Row],[Duration]]),0.1),0)</f>
        <v>0</v>
      </c>
      <c r="CW117" s="41" t="n">
        <f aca="false">Tasks[[#This Row],[_WeightDur]]*Tasks[[#This Row],[_LeafProgress]]</f>
        <v>0</v>
      </c>
      <c r="CX1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7" s="41" t="str">
        <f aca="false">IF(Tasks[[#This Row],[Task Name]]="","",Tasks[[#This Row],[_Pred1UIDText]]&amp;IF(AND(Tasks[[#This Row],[_Pred1UIDText]]&lt;&gt;"",Tasks[[#This Row],[_Pred2UIDText]]&lt;&gt;""),",","")&amp;Tasks[[#This Row],[_Pred2UIDText]])</f>
        <v/>
      </c>
      <c r="DC117" s="41" t="str">
        <f aca="false">IF(AND(Tasks[[#This Row],[_IsLeaf]]=1,N(Tasks[[#This Row],[Duration]])=0,Tasks[[#This Row],[_LeafProgress]]&lt;1),Tasks[[#This Row],[_LeafFcstFinish]]+Tasks[[#This Row],[_Row]]/100000,"")</f>
        <v/>
      </c>
      <c r="DD1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7" s="41" t="n">
        <f aca="false">IF(NOT(Tasks[[#This Row],[_IsLeaf]]=1),0,IF(Tasks[[#This Row],[Baseline Cost]]="",Tasks[[#This Row],[_LeafCost]],N(Tasks[[#This Row],[Baseline Cost]])))</f>
        <v>0</v>
      </c>
      <c r="DF117" s="41" t="n">
        <f aca="false">Tasks[[#This Row],[_LeafBudget]]*Tasks[[#This Row],[_PlannedPct]]</f>
        <v>0</v>
      </c>
      <c r="DG117" s="41" t="n">
        <f aca="false">Tasks[[#This Row],[_LeafBudget]]*Tasks[[#This Row],[_LeafProgress]]</f>
        <v>0</v>
      </c>
      <c r="DH117" s="41" t="n">
        <f aca="false">IF(NOT(Tasks[[#This Row],[_IsLeaf]]=1),0,IF(Tasks[[#This Row],[Actual Cost]]="",Tasks[[#This Row],[_LeafCost]]*Tasks[[#This Row],[_LeafProgress]],N(Tasks[[#This Row],[Actual Cost]])))</f>
        <v>0</v>
      </c>
      <c r="DI117" s="41" t="str">
        <f aca="false">IF(Tasks[[#This Row],[Task Name]]="","",LEFT(Tasks[[#This Row],[WBS]],FIND(".",Tasks[[#This Row],[WBS]]&amp;".")-1))</f>
        <v/>
      </c>
      <c r="DJ117" s="41" t="str">
        <f aca="false">IF(AND(Tasks[[#This Row],[Task Name]]&lt;&gt;"",Tasks[[#This Row],[_Level]]=1),Tasks[[#This Row],[_Row]],"")</f>
        <v/>
      </c>
      <c r="DK117" s="41" t="str">
        <f aca="false">IF(AND(Tasks[[#This Row],[_IsLeaf]]=1,N(Tasks[[#This Row],[Duration]])=0),Tasks[[#This Row],[Planned Finish]]+Tasks[[#This Row],[_Row]]/100000,"")</f>
        <v/>
      </c>
      <c r="DL117" s="41" t="str">
        <f aca="false">IF(AND(Tasks[[#This Row],[_IsLeaf]]=1,Tasks[[#This Row],[_LeafProgress]]&lt;1,OR(N(Tasks[[#This Row],[Finish Var]])&gt;0,Tasks[[#This Row],[Status]]="Late Start")),MAX(0,Tasks[[#This Row],[Finish Var]])+1-Tasks[[#This Row],[_Row]]/1000000,"")</f>
        <v/>
      </c>
      <c r="DM117" s="41" t="str">
        <f aca="false">IF(AND(Tasks[[#This Row],[_IsLeaf]]=1,N(Tasks[[#This Row],[Actual Start]])=0,Tasks[[#This Row],[_LeafFcstStart]]&gt;=StatusDate,Tasks[[#This Row],[_LeafFcstStart]]&lt;=LookaheadEnd),Tasks[[#This Row],[_LeafFcstStart]]+Tasks[[#This Row],[_Row]]/100000,"")</f>
        <v/>
      </c>
      <c r="DN117" s="41" t="str">
        <f aca="false">IF(AND(Tasks[[#This Row],[_IsLeaf]]=1,Tasks[[#This Row],[_LeafProgress]]&lt;1,Tasks[[#This Row],[_LeafFcstFinish]]&gt;=StatusDate,Tasks[[#This Row],[_LeafFcstFinish]]&lt;=LookaheadEnd),Tasks[[#This Row],[_LeafFcstFinish]]+Tasks[[#This Row],[_Row]]/100000,"")</f>
        <v/>
      </c>
      <c r="DO117" s="41" t="str">
        <f aca="false">IF(Tasks[[#This Row],[_LeafCritical]],Tasks[[#This Row],[_LeafFcstStart]]+Tasks[[#This Row],[_Row]]/100000,"")</f>
        <v/>
      </c>
      <c r="DP117" s="41" t="n">
        <f aca="false">Tasks[[#This Row],[_LeafWork]]*Tasks[[#This Row],[_LeafProgress]]</f>
        <v>0</v>
      </c>
      <c r="DQ117" s="103" t="str">
        <f aca="false">IF(AND(Tasks[[#This Row],[_IsLeaf]]=1,Tasks[[#This Row],[_LeafProgress]]&gt;=1),IF(N(Tasks[[#This Row],[Actual Finish]])&gt;0,Tasks[[#This Row],[Actual Finish]],Tasks[[#This Row],[_LeafFcstFinish]]),"")</f>
        <v/>
      </c>
      <c r="DR117" s="41" t="n">
        <f aca="false">IF(Tasks[[#This Row],[_IsLeaf]]=1,N(Tasks[[#This Row],[Story Points]]),0)</f>
        <v>0</v>
      </c>
      <c r="DS117" s="41" t="str">
        <f aca="false">IF(AND(Tasks[[#This Row],[_IsLeaf]]=1,CurrentSprint&lt;&gt;"",Tasks[[#This Row],[Sprint]]=CurrentSprint),Tasks[[#This Row],[_Row]],"")</f>
        <v/>
      </c>
    </row>
    <row r="118" customFormat="false" ht="15" hidden="false" customHeight="false" outlineLevel="0" collapsed="false">
      <c r="A118" s="28" t="str">
        <f aca="false">IF(Tasks[[#This Row],[Task Name]]="","",COUNTA(Tasks[[#Headers],[Task Name]]:Tasks[[#This Row],[Task Name]])-1)</f>
        <v/>
      </c>
      <c r="B118" s="29" t="n">
        <v>113</v>
      </c>
      <c r="C1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29"/>
      <c r="E118" s="30"/>
      <c r="F118" s="29"/>
      <c r="G118" s="29"/>
      <c r="H118" s="29"/>
      <c r="I118" s="29"/>
      <c r="J118" s="29"/>
      <c r="K118" s="29"/>
      <c r="L118" s="29"/>
      <c r="M118" s="29"/>
      <c r="N118" s="77"/>
      <c r="O118" s="77"/>
      <c r="P118" s="25" t="str">
        <f aca="false">IF(Tasks[[#This Row],[Task Name]]="","",IF(N(Tasks[[#This Row],[Baseline Start]])&gt;0,Tasks[[#This Row],[Baseline Start]],Tasks[[#This Row],[_CalcStart]]))</f>
        <v/>
      </c>
      <c r="Q118" s="25" t="str">
        <f aca="false">IF(Tasks[[#This Row],[Task Name]]="","",IF(N(Tasks[[#This Row],[Baseline Finish]])&gt;0,Tasks[[#This Row],[Baseline Finish]],Tasks[[#This Row],[_CalcFinish]]))</f>
        <v/>
      </c>
      <c r="R118" s="77"/>
      <c r="S118" s="77"/>
      <c r="T118" s="25" t="str">
        <f aca="false">IF(Tasks[[#This Row],[Task Name]]="","",IF(Tasks[[#This Row],[_IsSummary]],MIN(INDEX(Tasks[_LeafFcstStart],Tasks[[#This Row],[_Row]]+1):INDEX(Tasks[_LeafFcstStart],Tasks[[#This Row],[_Row]]+Tasks[[#This Row],[_Descendants]])),Tasks[[#This Row],[_LeafFcstStart]]))</f>
        <v/>
      </c>
      <c r="U118" s="25" t="str">
        <f aca="false">IF(Tasks[[#This Row],[Task Name]]="","",IF(Tasks[[#This Row],[_IsSummary]],MAX(INDEX(Tasks[_LeafFcstFinish],Tasks[[#This Row],[_Row]]+1):INDEX(Tasks[_LeafFcstFinish],Tasks[[#This Row],[_Row]]+Tasks[[#This Row],[_Descendants]])),Tasks[[#This Row],[_LeafFcstFinish]]))</f>
        <v/>
      </c>
      <c r="V11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8" s="25" t="str">
        <f aca="false">IF(Tasks[[#This Row],[Task Name]]="","",IF(Tasks[[#This Row],[_IsSummary]],MIN(INDEX(Tasks[_LeafLateStart],Tasks[[#This Row],[_Row]]+1):INDEX(Tasks[_LeafLateStart],Tasks[[#This Row],[_Row]]+Tasks[[#This Row],[_Descendants]])),Tasks[[#This Row],[_LeafLateStart]]))</f>
        <v/>
      </c>
      <c r="Y118" s="25" t="str">
        <f aca="false">IF(Tasks[[#This Row],[Task Name]]="","",IF(Tasks[[#This Row],[_IsSummary]],MAX(INDEX(Tasks[_LeafLateFinish],Tasks[[#This Row],[_Row]]+1):INDEX(Tasks[_LeafLateFinish],Tasks[[#This Row],[_Row]]+Tasks[[#This Row],[_Descendants]])),Tasks[[#This Row],[_LeafLateFinish]]))</f>
        <v/>
      </c>
      <c r="Z118" s="43" t="str">
        <f aca="false">IF(Tasks[[#This Row],[Task Name]]="","",IF(Tasks[[#This Row],[_IsSummary]],MIN(INDEX(Tasks[_LeafTotalSlack],Tasks[[#This Row],[_Row]]+1):INDEX(Tasks[_LeafTotalSlack],Tasks[[#This Row],[_Row]]+Tasks[[#This Row],[_Descendants]])),Tasks[[#This Row],[_LeafTotalSlack]]))</f>
        <v/>
      </c>
      <c r="AA1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8" s="28" t="str">
        <f aca="false">IF(Tasks[[#This Row],[Task Name]]="","",IF(IF(Tasks[[#This Row],[_IsSummary]],COUNTIF(INDEX(Tasks[_LeafCritical],Tasks[[#This Row],[_Row]]+1):INDEX(Tasks[_LeafCritical],Tasks[[#This Row],[_Row]]+Tasks[[#This Row],[_Descendants]]),TRUE())&gt;0,Tasks[[#This Row],[_LeafCritical]]),"Yes",""))</f>
        <v/>
      </c>
      <c r="AC1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8" s="24" t="str">
        <f aca="false">IF(Tasks[[#This Row],[Task Name]]="","",TRIM(IF(Tasks[[#This Row],[_Pred1Problem]]&lt;&gt;"","Pred 1: "&amp;Tasks[[#This Row],[_Pred1Problem]]&amp;". ","")&amp;IF(Tasks[[#This Row],[_Pred2Problem]]&lt;&gt;"","Pred 2: "&amp;Tasks[[#This Row],[_Pred2Problem]]&amp;".","")))</f>
        <v/>
      </c>
      <c r="AE118" s="91"/>
      <c r="AF11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8" s="28" t="str">
        <f aca="false">IF(Tasks[[#This Row],[Task Name]]="","",IF(Tasks[[#This Row],[Progress]]&gt;=1,"Complete",IF(OR(N(Tasks[[#This Row],[Actual Start]])&gt;0,Tasks[[#This Row],[Progress]]&gt;0),IF(Tasks[[#This Row],[Finish Var]]&gt;0,"Behind","In Progress"),IF(Tasks[[#This Row],[Planned Start]]&lt;StatusDate,"Late Start","Not Started"))))</f>
        <v/>
      </c>
      <c r="AH118" s="30"/>
      <c r="AI118" s="91"/>
      <c r="AJ11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8" s="98" t="str">
        <f aca="false">IF(Tasks[[#This Row],[Task Name]]="","",IF(Tasks[[#This Row],[_IsSummary]],SUM(INDEX(Tasks[_LeafWork],Tasks[[#This Row],[_Row]]+1):INDEX(Tasks[_LeafWork],Tasks[[#This Row],[_Row]]+Tasks[[#This Row],[_Descendants]])),Tasks[[#This Row],[_LeafWork]]))</f>
        <v/>
      </c>
      <c r="AL118" s="99" t="str">
        <f aca="false">IF(Tasks[[#This Row],[Task Name]]="","",IF(Tasks[[#This Row],[_IsSummary]],SUM(INDEX(Tasks[_LeafCost],Tasks[[#This Row],[_Row]]+1):INDEX(Tasks[_LeafCost],Tasks[[#This Row],[_Row]]+Tasks[[#This Row],[_Descendants]])),Tasks[[#This Row],[_LeafCost]]))</f>
        <v/>
      </c>
      <c r="AM118" s="100"/>
      <c r="AN118" s="29"/>
      <c r="AO1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8" s="85"/>
      <c r="AQ118" s="24" t="str">
        <f aca="false">IF(Tasks[[#This Row],[Task Name]]="","",Tasks[[#This Row],[_Pred1IDText]]&amp;IF(AND(Tasks[[#This Row],[_Pred1IDText]]&lt;&gt;"",Tasks[[#This Row],[_Pred2IDText]]&lt;&gt;""),",","")&amp;Tasks[[#This Row],[_Pred2IDText]])</f>
        <v/>
      </c>
      <c r="AR118" s="30"/>
      <c r="AS118" s="25" t="str">
        <f aca="false">IF(Tasks[[#This Row],[Task Name]]="","",Tasks[[#This Row],[Forecast Start]])</f>
        <v/>
      </c>
      <c r="AT118" s="25" t="str">
        <f aca="false">IF(Tasks[[#This Row],[Task Name]]="","",Tasks[[#This Row],[Forecast Finish]])</f>
        <v/>
      </c>
      <c r="AU118" s="28" t="str">
        <f aca="false">IF(Tasks[[#This Row],[Task Name]]="","",IF(Tasks[[#This Row],[_IsSummary]],NETWORKDAYS.INTL(Tasks[[#This Row],[Forecast Start]],Tasks[[#This Row],[Forecast Finish]],WorkWeek,Holidays),N(Tasks[[#This Row],[Duration]])))</f>
        <v/>
      </c>
      <c r="AV118" s="98" t="str">
        <f aca="false">IF(Tasks[[#This Row],[Task Name]]="","",Tasks[[#This Row],[Work]])</f>
        <v/>
      </c>
      <c r="AW118" s="99" t="str">
        <f aca="false">IF(Tasks[[#This Row],[Task Name]]="","",Tasks[[#This Row],[Cost]])</f>
        <v/>
      </c>
      <c r="AX118" s="77"/>
      <c r="AY118" s="77"/>
      <c r="AZ118" s="29"/>
      <c r="BA118" s="101"/>
      <c r="BB118" s="100"/>
      <c r="BC118" s="28" t="str">
        <f aca="false">IF(OR(Tasks[[#This Row],[Task Name]]="",Tasks[[#This Row],[Baseline Duration]]=""),"",Tasks[[#This Row],[BL Source Duration]]-N(Tasks[[#This Row],[Baseline Duration]]))</f>
        <v/>
      </c>
      <c r="BD118" s="98" t="str">
        <f aca="false">IF(OR(Tasks[[#This Row],[Task Name]]="",Tasks[[#This Row],[Baseline Work]]=""),"",Tasks[[#This Row],[Work]]-N(Tasks[[#This Row],[Baseline Work]]))</f>
        <v/>
      </c>
      <c r="BE118" s="99" t="str">
        <f aca="false">IF(OR(Tasks[[#This Row],[Task Name]]="",Tasks[[#This Row],[Baseline Cost]]=""),"",Tasks[[#This Row],[Cost]]-N(Tasks[[#This Row],[Baseline Cost]]))</f>
        <v/>
      </c>
      <c r="BF118" s="99" t="str">
        <f aca="false">IF(Tasks[[#This Row],[Task Name]]="","",IF(Tasks[[#This Row],[_IsSummary]],SUM(INDEX(Tasks[_LeafBudget],Tasks[[#This Row],[_Row]]+1):INDEX(Tasks[_LeafBudget],Tasks[[#This Row],[_Row]]+Tasks[[#This Row],[_Descendants]])),Tasks[[#This Row],[_LeafBudget]]))</f>
        <v/>
      </c>
      <c r="BG118" s="99" t="str">
        <f aca="false">IF(Tasks[[#This Row],[Task Name]]="","",IF(Tasks[[#This Row],[_IsSummary]],SUM(INDEX(Tasks[_LeafPV],Tasks[[#This Row],[_Row]]+1):INDEX(Tasks[_LeafPV],Tasks[[#This Row],[_Row]]+Tasks[[#This Row],[_Descendants]])),Tasks[[#This Row],[_LeafPV]]))</f>
        <v/>
      </c>
      <c r="BH118" s="99" t="str">
        <f aca="false">IF(Tasks[[#This Row],[Task Name]]="","",IF(Tasks[[#This Row],[_IsSummary]],SUM(INDEX(Tasks[_LeafEV],Tasks[[#This Row],[_Row]]+1):INDEX(Tasks[_LeafEV],Tasks[[#This Row],[_Row]]+Tasks[[#This Row],[_Descendants]])),Tasks[[#This Row],[_LeafEV]]))</f>
        <v/>
      </c>
      <c r="BI118" s="99" t="str">
        <f aca="false">IF(Tasks[[#This Row],[Task Name]]="","",IF(Tasks[[#This Row],[_IsSummary]],SUM(INDEX(Tasks[_LeafAC],Tasks[[#This Row],[_Row]]+1):INDEX(Tasks[_LeafAC],Tasks[[#This Row],[_Row]]+Tasks[[#This Row],[_Descendants]])),Tasks[[#This Row],[_LeafAC]]))</f>
        <v/>
      </c>
      <c r="BJ118" s="41" t="str">
        <f aca="false">IF(Tasks[[#This Row],[Task Name]]="","",MAX(1,N(Tasks[[#This Row],[Level]])))</f>
        <v/>
      </c>
      <c r="BK118" s="41" t="n">
        <f aca="false">ROW()-ROW(Tasks[[#Headers],[ID]])</f>
        <v>113</v>
      </c>
      <c r="BL118" s="41" t="n">
        <f aca="false">IF(OR(Tasks[[#This Row],[Task Name]]="",Tasks[[#This Row],[_Level]]&lt;=1),0,IFERROR(LOOKUP(2,1/(Tasks[[#Headers],[_Level]]:Tasks[[#This Row],[_Level]]=Tasks[[#This Row],[_Level]]-1),ROW(Tasks[[#Headers],[_Level]]:Tasks[[#This Row],[_Level]])),0))</f>
        <v>0</v>
      </c>
      <c r="BM118" s="41" t="n">
        <f aca="false">IFERROR(N(INDEX(Tasks[_Level],Tasks[[#This Row],[_Row]]+1)),0)</f>
        <v>0</v>
      </c>
      <c r="BN118" s="102" t="b">
        <f aca="false">AND(Tasks[[#This Row],[Task Name]]&lt;&gt;"",Tasks[[#This Row],[_NextLevel]]&gt;Tasks[[#This Row],[_Level]])</f>
        <v>0</v>
      </c>
      <c r="BO118" s="41" t="n">
        <f aca="false">IF(Tasks[[#This Row],[_IsSummary]],COUNTIF(Tasks[WBS],Tasks[[#This Row],[WBS]]&amp;".*"),0)</f>
        <v>0</v>
      </c>
      <c r="BP118" s="41" t="n">
        <f aca="false">IF(AND(Tasks[[#This Row],[Task Name]]&lt;&gt;"",NOT(Tasks[[#This Row],[_IsSummary]])),1,0)</f>
        <v>0</v>
      </c>
      <c r="BQ118" s="41" t="n">
        <f aca="false">IF(N(Tasks[[#This Row],[Pred1 UID]])=0,0,IFERROR(MATCH(Tasks[[#This Row],[Pred1 UID]],Tasks[UID],0),-1))</f>
        <v>0</v>
      </c>
      <c r="BR118" s="41" t="n">
        <f aca="false">IF(N(Tasks[[#This Row],[Pred2 UID]])=0,0,IFERROR(MATCH(Tasks[[#This Row],[Pred2 UID]],Tasks[UID],0),-1))</f>
        <v>0</v>
      </c>
      <c r="BS11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8" s="103" t="str">
        <f aca="false">IF(NOT(Tasks[[#This Row],[_IsLeaf]]=1),"",IF(N(Tasks[[#This Row],[Duration]])&lt;=0,Tasks[[#This Row],[_LeafCalcStart]],WORKDAY.INTL(Tasks[[#This Row],[_LeafCalcStart]],Tasks[[#This Row],[Duration]]-1,WorkWeek,Holidays)))</f>
        <v/>
      </c>
      <c r="BU11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8" s="41" t="n">
        <f aca="false">IF(NOT(Tasks[[#This Row],[_IsLeaf]]=1),0,IF(N(Tasks[[#This Row],[Actual Finish]])&gt;0,1,MIN(1,N(Tasks[[#This Row],[% Complete]]))))</f>
        <v>0</v>
      </c>
      <c r="BX118" s="41" t="n">
        <f aca="false">IF(OR(NOT(Tasks[[#This Row],[_IsLeaf]]=1),Tasks[[#This Row],[Resource]]=""),0,N(Tasks[[#This Row],[Duration]])*HoursPerDay*IF(Tasks[[#This Row],[Units]]="",DefaultUnits,Tasks[[#This Row],[Units]]))</f>
        <v>0</v>
      </c>
      <c r="BY118" s="41" t="n">
        <f aca="false">IF(Tasks[[#This Row],[_LeafWork]]=0,0,Tasks[[#This Row],[_LeafWork]]*IFERROR(INDEX(res_Rate,MATCH(Tasks[[#This Row],[Resource]],res_Name,0)),0))</f>
        <v>0</v>
      </c>
      <c r="BZ1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8" s="41" t="n">
        <f aca="false">IF(NOT(Tasks[[#This Row],[_IsLeaf]]=1),0,MAX(_xlfn.MAXIFS(Tasks[_Row],Tasks[Pred1 UID],Tasks[[#This Row],[UID]]),_xlfn.MAXIFS(Tasks[_Row],Tasks[Pred2 UID],Tasks[[#This Row],[UID]])))</f>
        <v>0</v>
      </c>
      <c r="CE11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8" s="103" t="str">
        <f aca="false">IF(NOT(Tasks[[#This Row],[_IsLeaf]]=1),"",MIN(ProjectFinish,IF(N(Tasks[[#This Row],[Deadline]])&gt;0,Tasks[[#This Row],[Deadline]],2958465),Tasks[[#This Row],[_SuccessorFinishLimit]]))</f>
        <v/>
      </c>
      <c r="CG118" s="103" t="str">
        <f aca="false">IF(NOT(Tasks[[#This Row],[_IsLeaf]]=1),"",IF(N(Tasks[[#This Row],[Duration]])&lt;=0,Tasks[[#This Row],[_LeafLateFinish]],WORKDAY.INTL(Tasks[[#This Row],[_LeafLateFinish]],-(Tasks[[#This Row],[Duration]]-1),WorkWeek,Holidays)))</f>
        <v/>
      </c>
      <c r="CH1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8" s="102" t="b">
        <f aca="false">AND(Tasks[[#This Row],[_IsLeaf]]=1,Tasks[[#This Row],[_LeafProgress]]&lt;1,N(Tasks[[#This Row],[_LeafTotalSlack]])&lt;=CriticalSlackDays)</f>
        <v>0</v>
      </c>
      <c r="CJ118" s="103" t="str">
        <f aca="false">IF(Tasks[[#This Row],[Task Name]]="","",IF(Tasks[[#This Row],[_IsSummary]],MIN(INDEX(Tasks[_LeafCalcStart],Tasks[[#This Row],[_Row]]+1):INDEX(Tasks[_LeafCalcStart],Tasks[[#This Row],[_Row]]+Tasks[[#This Row],[_Descendants]])),Tasks[[#This Row],[_LeafCalcStart]]))</f>
        <v/>
      </c>
      <c r="CK118" s="103" t="str">
        <f aca="false">IF(Tasks[[#This Row],[Task Name]]="","",IF(Tasks[[#This Row],[_IsSummary]],MAX(INDEX(Tasks[_LeafCalcFinish],Tasks[[#This Row],[_Row]]+1):INDEX(Tasks[_LeafCalcFinish],Tasks[[#This Row],[_Row]]+Tasks[[#This Row],[_Descendants]])),Tasks[[#This Row],[_LeafCalcFinish]]))</f>
        <v/>
      </c>
      <c r="CL1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8" s="41" t="n">
        <f aca="false">IF(AND(Tasks[[#This Row],[_IsLeaf]]=1,Tasks[[#This Row],[_LeafWork]]&gt;0),NETWORKDAYS.INTL(ProjectStart,Tasks[[#This Row],[_LeafFcstStart]],WorkWeek,Holidays),0)</f>
        <v>0</v>
      </c>
      <c r="CS118" s="41" t="n">
        <f aca="false">IF(AND(Tasks[[#This Row],[_IsLeaf]]=1,Tasks[[#This Row],[_LeafWork]]&gt;0),MAX(Tasks[[#This Row],[_StartWorkday]],NETWORKDAYS.INTL(ProjectStart,Tasks[[#This Row],[_LeafFcstFinish]],WorkWeek,Holidays)),0)</f>
        <v>0</v>
      </c>
      <c r="CT118" s="41" t="n">
        <f aca="false">IF(AND(Tasks[[#This Row],[_IsLeaf]]=1,Tasks[[#This Row],[_LeafWork]]&gt;0),Tasks[[#This Row],[_LeafWork]]/(Tasks[[#This Row],[_FinishWorkday]]-Tasks[[#This Row],[_StartWorkday]]+1),0)</f>
        <v>0</v>
      </c>
      <c r="CU118" s="41" t="n">
        <f aca="false">Tasks[[#This Row],[_WorkPerWorkday]]*(Tasks[[#This Row],[_StartWorkday]]-1)</f>
        <v>-0</v>
      </c>
      <c r="CV118" s="41" t="n">
        <f aca="false">IF(Tasks[[#This Row],[_IsLeaf]]=1,MAX(N(Tasks[[#This Row],[Duration]]),0.1),0)</f>
        <v>0</v>
      </c>
      <c r="CW118" s="41" t="n">
        <f aca="false">Tasks[[#This Row],[_WeightDur]]*Tasks[[#This Row],[_LeafProgress]]</f>
        <v>0</v>
      </c>
      <c r="CX1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8" s="41" t="str">
        <f aca="false">IF(Tasks[[#This Row],[Task Name]]="","",Tasks[[#This Row],[_Pred1UIDText]]&amp;IF(AND(Tasks[[#This Row],[_Pred1UIDText]]&lt;&gt;"",Tasks[[#This Row],[_Pred2UIDText]]&lt;&gt;""),",","")&amp;Tasks[[#This Row],[_Pred2UIDText]])</f>
        <v/>
      </c>
      <c r="DC118" s="41" t="str">
        <f aca="false">IF(AND(Tasks[[#This Row],[_IsLeaf]]=1,N(Tasks[[#This Row],[Duration]])=0,Tasks[[#This Row],[_LeafProgress]]&lt;1),Tasks[[#This Row],[_LeafFcstFinish]]+Tasks[[#This Row],[_Row]]/100000,"")</f>
        <v/>
      </c>
      <c r="DD1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8" s="41" t="n">
        <f aca="false">IF(NOT(Tasks[[#This Row],[_IsLeaf]]=1),0,IF(Tasks[[#This Row],[Baseline Cost]]="",Tasks[[#This Row],[_LeafCost]],N(Tasks[[#This Row],[Baseline Cost]])))</f>
        <v>0</v>
      </c>
      <c r="DF118" s="41" t="n">
        <f aca="false">Tasks[[#This Row],[_LeafBudget]]*Tasks[[#This Row],[_PlannedPct]]</f>
        <v>0</v>
      </c>
      <c r="DG118" s="41" t="n">
        <f aca="false">Tasks[[#This Row],[_LeafBudget]]*Tasks[[#This Row],[_LeafProgress]]</f>
        <v>0</v>
      </c>
      <c r="DH118" s="41" t="n">
        <f aca="false">IF(NOT(Tasks[[#This Row],[_IsLeaf]]=1),0,IF(Tasks[[#This Row],[Actual Cost]]="",Tasks[[#This Row],[_LeafCost]]*Tasks[[#This Row],[_LeafProgress]],N(Tasks[[#This Row],[Actual Cost]])))</f>
        <v>0</v>
      </c>
      <c r="DI118" s="41" t="str">
        <f aca="false">IF(Tasks[[#This Row],[Task Name]]="","",LEFT(Tasks[[#This Row],[WBS]],FIND(".",Tasks[[#This Row],[WBS]]&amp;".")-1))</f>
        <v/>
      </c>
      <c r="DJ118" s="41" t="str">
        <f aca="false">IF(AND(Tasks[[#This Row],[Task Name]]&lt;&gt;"",Tasks[[#This Row],[_Level]]=1),Tasks[[#This Row],[_Row]],"")</f>
        <v/>
      </c>
      <c r="DK118" s="41" t="str">
        <f aca="false">IF(AND(Tasks[[#This Row],[_IsLeaf]]=1,N(Tasks[[#This Row],[Duration]])=0),Tasks[[#This Row],[Planned Finish]]+Tasks[[#This Row],[_Row]]/100000,"")</f>
        <v/>
      </c>
      <c r="DL118" s="41" t="str">
        <f aca="false">IF(AND(Tasks[[#This Row],[_IsLeaf]]=1,Tasks[[#This Row],[_LeafProgress]]&lt;1,OR(N(Tasks[[#This Row],[Finish Var]])&gt;0,Tasks[[#This Row],[Status]]="Late Start")),MAX(0,Tasks[[#This Row],[Finish Var]])+1-Tasks[[#This Row],[_Row]]/1000000,"")</f>
        <v/>
      </c>
      <c r="DM118" s="41" t="str">
        <f aca="false">IF(AND(Tasks[[#This Row],[_IsLeaf]]=1,N(Tasks[[#This Row],[Actual Start]])=0,Tasks[[#This Row],[_LeafFcstStart]]&gt;=StatusDate,Tasks[[#This Row],[_LeafFcstStart]]&lt;=LookaheadEnd),Tasks[[#This Row],[_LeafFcstStart]]+Tasks[[#This Row],[_Row]]/100000,"")</f>
        <v/>
      </c>
      <c r="DN118" s="41" t="str">
        <f aca="false">IF(AND(Tasks[[#This Row],[_IsLeaf]]=1,Tasks[[#This Row],[_LeafProgress]]&lt;1,Tasks[[#This Row],[_LeafFcstFinish]]&gt;=StatusDate,Tasks[[#This Row],[_LeafFcstFinish]]&lt;=LookaheadEnd),Tasks[[#This Row],[_LeafFcstFinish]]+Tasks[[#This Row],[_Row]]/100000,"")</f>
        <v/>
      </c>
      <c r="DO118" s="41" t="str">
        <f aca="false">IF(Tasks[[#This Row],[_LeafCritical]],Tasks[[#This Row],[_LeafFcstStart]]+Tasks[[#This Row],[_Row]]/100000,"")</f>
        <v/>
      </c>
      <c r="DP118" s="41" t="n">
        <f aca="false">Tasks[[#This Row],[_LeafWork]]*Tasks[[#This Row],[_LeafProgress]]</f>
        <v>0</v>
      </c>
      <c r="DQ118" s="103" t="str">
        <f aca="false">IF(AND(Tasks[[#This Row],[_IsLeaf]]=1,Tasks[[#This Row],[_LeafProgress]]&gt;=1),IF(N(Tasks[[#This Row],[Actual Finish]])&gt;0,Tasks[[#This Row],[Actual Finish]],Tasks[[#This Row],[_LeafFcstFinish]]),"")</f>
        <v/>
      </c>
      <c r="DR118" s="41" t="n">
        <f aca="false">IF(Tasks[[#This Row],[_IsLeaf]]=1,N(Tasks[[#This Row],[Story Points]]),0)</f>
        <v>0</v>
      </c>
      <c r="DS118" s="41" t="str">
        <f aca="false">IF(AND(Tasks[[#This Row],[_IsLeaf]]=1,CurrentSprint&lt;&gt;"",Tasks[[#This Row],[Sprint]]=CurrentSprint),Tasks[[#This Row],[_Row]],"")</f>
        <v/>
      </c>
    </row>
    <row r="119" customFormat="false" ht="15" hidden="false" customHeight="false" outlineLevel="0" collapsed="false">
      <c r="A119" s="28" t="str">
        <f aca="false">IF(Tasks[[#This Row],[Task Name]]="","",COUNTA(Tasks[[#Headers],[Task Name]]:Tasks[[#This Row],[Task Name]])-1)</f>
        <v/>
      </c>
      <c r="B119" s="29" t="n">
        <v>114</v>
      </c>
      <c r="C1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29"/>
      <c r="E119" s="30"/>
      <c r="F119" s="29"/>
      <c r="G119" s="29"/>
      <c r="H119" s="29"/>
      <c r="I119" s="29"/>
      <c r="J119" s="29"/>
      <c r="K119" s="29"/>
      <c r="L119" s="29"/>
      <c r="M119" s="29"/>
      <c r="N119" s="77"/>
      <c r="O119" s="77"/>
      <c r="P119" s="25" t="str">
        <f aca="false">IF(Tasks[[#This Row],[Task Name]]="","",IF(N(Tasks[[#This Row],[Baseline Start]])&gt;0,Tasks[[#This Row],[Baseline Start]],Tasks[[#This Row],[_CalcStart]]))</f>
        <v/>
      </c>
      <c r="Q119" s="25" t="str">
        <f aca="false">IF(Tasks[[#This Row],[Task Name]]="","",IF(N(Tasks[[#This Row],[Baseline Finish]])&gt;0,Tasks[[#This Row],[Baseline Finish]],Tasks[[#This Row],[_CalcFinish]]))</f>
        <v/>
      </c>
      <c r="R119" s="77"/>
      <c r="S119" s="77"/>
      <c r="T119" s="25" t="str">
        <f aca="false">IF(Tasks[[#This Row],[Task Name]]="","",IF(Tasks[[#This Row],[_IsSummary]],MIN(INDEX(Tasks[_LeafFcstStart],Tasks[[#This Row],[_Row]]+1):INDEX(Tasks[_LeafFcstStart],Tasks[[#This Row],[_Row]]+Tasks[[#This Row],[_Descendants]])),Tasks[[#This Row],[_LeafFcstStart]]))</f>
        <v/>
      </c>
      <c r="U119" s="25" t="str">
        <f aca="false">IF(Tasks[[#This Row],[Task Name]]="","",IF(Tasks[[#This Row],[_IsSummary]],MAX(INDEX(Tasks[_LeafFcstFinish],Tasks[[#This Row],[_Row]]+1):INDEX(Tasks[_LeafFcstFinish],Tasks[[#This Row],[_Row]]+Tasks[[#This Row],[_Descendants]])),Tasks[[#This Row],[_LeafFcstFinish]]))</f>
        <v/>
      </c>
      <c r="V11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1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9" s="25" t="str">
        <f aca="false">IF(Tasks[[#This Row],[Task Name]]="","",IF(Tasks[[#This Row],[_IsSummary]],MIN(INDEX(Tasks[_LeafLateStart],Tasks[[#This Row],[_Row]]+1):INDEX(Tasks[_LeafLateStart],Tasks[[#This Row],[_Row]]+Tasks[[#This Row],[_Descendants]])),Tasks[[#This Row],[_LeafLateStart]]))</f>
        <v/>
      </c>
      <c r="Y119" s="25" t="str">
        <f aca="false">IF(Tasks[[#This Row],[Task Name]]="","",IF(Tasks[[#This Row],[_IsSummary]],MAX(INDEX(Tasks[_LeafLateFinish],Tasks[[#This Row],[_Row]]+1):INDEX(Tasks[_LeafLateFinish],Tasks[[#This Row],[_Row]]+Tasks[[#This Row],[_Descendants]])),Tasks[[#This Row],[_LeafLateFinish]]))</f>
        <v/>
      </c>
      <c r="Z119" s="43" t="str">
        <f aca="false">IF(Tasks[[#This Row],[Task Name]]="","",IF(Tasks[[#This Row],[_IsSummary]],MIN(INDEX(Tasks[_LeafTotalSlack],Tasks[[#This Row],[_Row]]+1):INDEX(Tasks[_LeafTotalSlack],Tasks[[#This Row],[_Row]]+Tasks[[#This Row],[_Descendants]])),Tasks[[#This Row],[_LeafTotalSlack]]))</f>
        <v/>
      </c>
      <c r="AA1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9" s="28" t="str">
        <f aca="false">IF(Tasks[[#This Row],[Task Name]]="","",IF(IF(Tasks[[#This Row],[_IsSummary]],COUNTIF(INDEX(Tasks[_LeafCritical],Tasks[[#This Row],[_Row]]+1):INDEX(Tasks[_LeafCritical],Tasks[[#This Row],[_Row]]+Tasks[[#This Row],[_Descendants]]),TRUE())&gt;0,Tasks[[#This Row],[_LeafCritical]]),"Yes",""))</f>
        <v/>
      </c>
      <c r="AC1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9" s="24" t="str">
        <f aca="false">IF(Tasks[[#This Row],[Task Name]]="","",TRIM(IF(Tasks[[#This Row],[_Pred1Problem]]&lt;&gt;"","Pred 1: "&amp;Tasks[[#This Row],[_Pred1Problem]]&amp;". ","")&amp;IF(Tasks[[#This Row],[_Pred2Problem]]&lt;&gt;"","Pred 2: "&amp;Tasks[[#This Row],[_Pred2Problem]]&amp;".","")))</f>
        <v/>
      </c>
      <c r="AE119" s="91"/>
      <c r="AF11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9" s="28" t="str">
        <f aca="false">IF(Tasks[[#This Row],[Task Name]]="","",IF(Tasks[[#This Row],[Progress]]&gt;=1,"Complete",IF(OR(N(Tasks[[#This Row],[Actual Start]])&gt;0,Tasks[[#This Row],[Progress]]&gt;0),IF(Tasks[[#This Row],[Finish Var]]&gt;0,"Behind","In Progress"),IF(Tasks[[#This Row],[Planned Start]]&lt;StatusDate,"Late Start","Not Started"))))</f>
        <v/>
      </c>
      <c r="AH119" s="30"/>
      <c r="AI119" s="91"/>
      <c r="AJ11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9" s="98" t="str">
        <f aca="false">IF(Tasks[[#This Row],[Task Name]]="","",IF(Tasks[[#This Row],[_IsSummary]],SUM(INDEX(Tasks[_LeafWork],Tasks[[#This Row],[_Row]]+1):INDEX(Tasks[_LeafWork],Tasks[[#This Row],[_Row]]+Tasks[[#This Row],[_Descendants]])),Tasks[[#This Row],[_LeafWork]]))</f>
        <v/>
      </c>
      <c r="AL119" s="99" t="str">
        <f aca="false">IF(Tasks[[#This Row],[Task Name]]="","",IF(Tasks[[#This Row],[_IsSummary]],SUM(INDEX(Tasks[_LeafCost],Tasks[[#This Row],[_Row]]+1):INDEX(Tasks[_LeafCost],Tasks[[#This Row],[_Row]]+Tasks[[#This Row],[_Descendants]])),Tasks[[#This Row],[_LeafCost]]))</f>
        <v/>
      </c>
      <c r="AM119" s="100"/>
      <c r="AN119" s="29"/>
      <c r="AO1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9" s="85"/>
      <c r="AQ119" s="24" t="str">
        <f aca="false">IF(Tasks[[#This Row],[Task Name]]="","",Tasks[[#This Row],[_Pred1IDText]]&amp;IF(AND(Tasks[[#This Row],[_Pred1IDText]]&lt;&gt;"",Tasks[[#This Row],[_Pred2IDText]]&lt;&gt;""),",","")&amp;Tasks[[#This Row],[_Pred2IDText]])</f>
        <v/>
      </c>
      <c r="AR119" s="30"/>
      <c r="AS119" s="25" t="str">
        <f aca="false">IF(Tasks[[#This Row],[Task Name]]="","",Tasks[[#This Row],[Forecast Start]])</f>
        <v/>
      </c>
      <c r="AT119" s="25" t="str">
        <f aca="false">IF(Tasks[[#This Row],[Task Name]]="","",Tasks[[#This Row],[Forecast Finish]])</f>
        <v/>
      </c>
      <c r="AU119" s="28" t="str">
        <f aca="false">IF(Tasks[[#This Row],[Task Name]]="","",IF(Tasks[[#This Row],[_IsSummary]],NETWORKDAYS.INTL(Tasks[[#This Row],[Forecast Start]],Tasks[[#This Row],[Forecast Finish]],WorkWeek,Holidays),N(Tasks[[#This Row],[Duration]])))</f>
        <v/>
      </c>
      <c r="AV119" s="98" t="str">
        <f aca="false">IF(Tasks[[#This Row],[Task Name]]="","",Tasks[[#This Row],[Work]])</f>
        <v/>
      </c>
      <c r="AW119" s="99" t="str">
        <f aca="false">IF(Tasks[[#This Row],[Task Name]]="","",Tasks[[#This Row],[Cost]])</f>
        <v/>
      </c>
      <c r="AX119" s="77"/>
      <c r="AY119" s="77"/>
      <c r="AZ119" s="29"/>
      <c r="BA119" s="101"/>
      <c r="BB119" s="100"/>
      <c r="BC119" s="28" t="str">
        <f aca="false">IF(OR(Tasks[[#This Row],[Task Name]]="",Tasks[[#This Row],[Baseline Duration]]=""),"",Tasks[[#This Row],[BL Source Duration]]-N(Tasks[[#This Row],[Baseline Duration]]))</f>
        <v/>
      </c>
      <c r="BD119" s="98" t="str">
        <f aca="false">IF(OR(Tasks[[#This Row],[Task Name]]="",Tasks[[#This Row],[Baseline Work]]=""),"",Tasks[[#This Row],[Work]]-N(Tasks[[#This Row],[Baseline Work]]))</f>
        <v/>
      </c>
      <c r="BE119" s="99" t="str">
        <f aca="false">IF(OR(Tasks[[#This Row],[Task Name]]="",Tasks[[#This Row],[Baseline Cost]]=""),"",Tasks[[#This Row],[Cost]]-N(Tasks[[#This Row],[Baseline Cost]]))</f>
        <v/>
      </c>
      <c r="BF119" s="99" t="str">
        <f aca="false">IF(Tasks[[#This Row],[Task Name]]="","",IF(Tasks[[#This Row],[_IsSummary]],SUM(INDEX(Tasks[_LeafBudget],Tasks[[#This Row],[_Row]]+1):INDEX(Tasks[_LeafBudget],Tasks[[#This Row],[_Row]]+Tasks[[#This Row],[_Descendants]])),Tasks[[#This Row],[_LeafBudget]]))</f>
        <v/>
      </c>
      <c r="BG119" s="99" t="str">
        <f aca="false">IF(Tasks[[#This Row],[Task Name]]="","",IF(Tasks[[#This Row],[_IsSummary]],SUM(INDEX(Tasks[_LeafPV],Tasks[[#This Row],[_Row]]+1):INDEX(Tasks[_LeafPV],Tasks[[#This Row],[_Row]]+Tasks[[#This Row],[_Descendants]])),Tasks[[#This Row],[_LeafPV]]))</f>
        <v/>
      </c>
      <c r="BH119" s="99" t="str">
        <f aca="false">IF(Tasks[[#This Row],[Task Name]]="","",IF(Tasks[[#This Row],[_IsSummary]],SUM(INDEX(Tasks[_LeafEV],Tasks[[#This Row],[_Row]]+1):INDEX(Tasks[_LeafEV],Tasks[[#This Row],[_Row]]+Tasks[[#This Row],[_Descendants]])),Tasks[[#This Row],[_LeafEV]]))</f>
        <v/>
      </c>
      <c r="BI119" s="99" t="str">
        <f aca="false">IF(Tasks[[#This Row],[Task Name]]="","",IF(Tasks[[#This Row],[_IsSummary]],SUM(INDEX(Tasks[_LeafAC],Tasks[[#This Row],[_Row]]+1):INDEX(Tasks[_LeafAC],Tasks[[#This Row],[_Row]]+Tasks[[#This Row],[_Descendants]])),Tasks[[#This Row],[_LeafAC]]))</f>
        <v/>
      </c>
      <c r="BJ119" s="41" t="str">
        <f aca="false">IF(Tasks[[#This Row],[Task Name]]="","",MAX(1,N(Tasks[[#This Row],[Level]])))</f>
        <v/>
      </c>
      <c r="BK119" s="41" t="n">
        <f aca="false">ROW()-ROW(Tasks[[#Headers],[ID]])</f>
        <v>114</v>
      </c>
      <c r="BL119" s="41" t="n">
        <f aca="false">IF(OR(Tasks[[#This Row],[Task Name]]="",Tasks[[#This Row],[_Level]]&lt;=1),0,IFERROR(LOOKUP(2,1/(Tasks[[#Headers],[_Level]]:Tasks[[#This Row],[_Level]]=Tasks[[#This Row],[_Level]]-1),ROW(Tasks[[#Headers],[_Level]]:Tasks[[#This Row],[_Level]])),0))</f>
        <v>0</v>
      </c>
      <c r="BM119" s="41" t="n">
        <f aca="false">IFERROR(N(INDEX(Tasks[_Level],Tasks[[#This Row],[_Row]]+1)),0)</f>
        <v>0</v>
      </c>
      <c r="BN119" s="102" t="b">
        <f aca="false">AND(Tasks[[#This Row],[Task Name]]&lt;&gt;"",Tasks[[#This Row],[_NextLevel]]&gt;Tasks[[#This Row],[_Level]])</f>
        <v>0</v>
      </c>
      <c r="BO119" s="41" t="n">
        <f aca="false">IF(Tasks[[#This Row],[_IsSummary]],COUNTIF(Tasks[WBS],Tasks[[#This Row],[WBS]]&amp;".*"),0)</f>
        <v>0</v>
      </c>
      <c r="BP119" s="41" t="n">
        <f aca="false">IF(AND(Tasks[[#This Row],[Task Name]]&lt;&gt;"",NOT(Tasks[[#This Row],[_IsSummary]])),1,0)</f>
        <v>0</v>
      </c>
      <c r="BQ119" s="41" t="n">
        <f aca="false">IF(N(Tasks[[#This Row],[Pred1 UID]])=0,0,IFERROR(MATCH(Tasks[[#This Row],[Pred1 UID]],Tasks[UID],0),-1))</f>
        <v>0</v>
      </c>
      <c r="BR119" s="41" t="n">
        <f aca="false">IF(N(Tasks[[#This Row],[Pred2 UID]])=0,0,IFERROR(MATCH(Tasks[[#This Row],[Pred2 UID]],Tasks[UID],0),-1))</f>
        <v>0</v>
      </c>
      <c r="BS11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9" s="103" t="str">
        <f aca="false">IF(NOT(Tasks[[#This Row],[_IsLeaf]]=1),"",IF(N(Tasks[[#This Row],[Duration]])&lt;=0,Tasks[[#This Row],[_LeafCalcStart]],WORKDAY.INTL(Tasks[[#This Row],[_LeafCalcStart]],Tasks[[#This Row],[Duration]]-1,WorkWeek,Holidays)))</f>
        <v/>
      </c>
      <c r="BU11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9" s="41" t="n">
        <f aca="false">IF(NOT(Tasks[[#This Row],[_IsLeaf]]=1),0,IF(N(Tasks[[#This Row],[Actual Finish]])&gt;0,1,MIN(1,N(Tasks[[#This Row],[% Complete]]))))</f>
        <v>0</v>
      </c>
      <c r="BX119" s="41" t="n">
        <f aca="false">IF(OR(NOT(Tasks[[#This Row],[_IsLeaf]]=1),Tasks[[#This Row],[Resource]]=""),0,N(Tasks[[#This Row],[Duration]])*HoursPerDay*IF(Tasks[[#This Row],[Units]]="",DefaultUnits,Tasks[[#This Row],[Units]]))</f>
        <v>0</v>
      </c>
      <c r="BY119" s="41" t="n">
        <f aca="false">IF(Tasks[[#This Row],[_LeafWork]]=0,0,Tasks[[#This Row],[_LeafWork]]*IFERROR(INDEX(res_Rate,MATCH(Tasks[[#This Row],[Resource]],res_Name,0)),0))</f>
        <v>0</v>
      </c>
      <c r="BZ1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9" s="41" t="n">
        <f aca="false">IF(NOT(Tasks[[#This Row],[_IsLeaf]]=1),0,MAX(_xlfn.MAXIFS(Tasks[_Row],Tasks[Pred1 UID],Tasks[[#This Row],[UID]]),_xlfn.MAXIFS(Tasks[_Row],Tasks[Pred2 UID],Tasks[[#This Row],[UID]])))</f>
        <v>0</v>
      </c>
      <c r="CE11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9" s="103" t="str">
        <f aca="false">IF(NOT(Tasks[[#This Row],[_IsLeaf]]=1),"",MIN(ProjectFinish,IF(N(Tasks[[#This Row],[Deadline]])&gt;0,Tasks[[#This Row],[Deadline]],2958465),Tasks[[#This Row],[_SuccessorFinishLimit]]))</f>
        <v/>
      </c>
      <c r="CG119" s="103" t="str">
        <f aca="false">IF(NOT(Tasks[[#This Row],[_IsLeaf]]=1),"",IF(N(Tasks[[#This Row],[Duration]])&lt;=0,Tasks[[#This Row],[_LeafLateFinish]],WORKDAY.INTL(Tasks[[#This Row],[_LeafLateFinish]],-(Tasks[[#This Row],[Duration]]-1),WorkWeek,Holidays)))</f>
        <v/>
      </c>
      <c r="CH1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9" s="102" t="b">
        <f aca="false">AND(Tasks[[#This Row],[_IsLeaf]]=1,Tasks[[#This Row],[_LeafProgress]]&lt;1,N(Tasks[[#This Row],[_LeafTotalSlack]])&lt;=CriticalSlackDays)</f>
        <v>0</v>
      </c>
      <c r="CJ119" s="103" t="str">
        <f aca="false">IF(Tasks[[#This Row],[Task Name]]="","",IF(Tasks[[#This Row],[_IsSummary]],MIN(INDEX(Tasks[_LeafCalcStart],Tasks[[#This Row],[_Row]]+1):INDEX(Tasks[_LeafCalcStart],Tasks[[#This Row],[_Row]]+Tasks[[#This Row],[_Descendants]])),Tasks[[#This Row],[_LeafCalcStart]]))</f>
        <v/>
      </c>
      <c r="CK119" s="103" t="str">
        <f aca="false">IF(Tasks[[#This Row],[Task Name]]="","",IF(Tasks[[#This Row],[_IsSummary]],MAX(INDEX(Tasks[_LeafCalcFinish],Tasks[[#This Row],[_Row]]+1):INDEX(Tasks[_LeafCalcFinish],Tasks[[#This Row],[_Row]]+Tasks[[#This Row],[_Descendants]])),Tasks[[#This Row],[_LeafCalcFinish]]))</f>
        <v/>
      </c>
      <c r="CL1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9" s="41" t="n">
        <f aca="false">IF(AND(Tasks[[#This Row],[_IsLeaf]]=1,Tasks[[#This Row],[_LeafWork]]&gt;0),NETWORKDAYS.INTL(ProjectStart,Tasks[[#This Row],[_LeafFcstStart]],WorkWeek,Holidays),0)</f>
        <v>0</v>
      </c>
      <c r="CS119" s="41" t="n">
        <f aca="false">IF(AND(Tasks[[#This Row],[_IsLeaf]]=1,Tasks[[#This Row],[_LeafWork]]&gt;0),MAX(Tasks[[#This Row],[_StartWorkday]],NETWORKDAYS.INTL(ProjectStart,Tasks[[#This Row],[_LeafFcstFinish]],WorkWeek,Holidays)),0)</f>
        <v>0</v>
      </c>
      <c r="CT119" s="41" t="n">
        <f aca="false">IF(AND(Tasks[[#This Row],[_IsLeaf]]=1,Tasks[[#This Row],[_LeafWork]]&gt;0),Tasks[[#This Row],[_LeafWork]]/(Tasks[[#This Row],[_FinishWorkday]]-Tasks[[#This Row],[_StartWorkday]]+1),0)</f>
        <v>0</v>
      </c>
      <c r="CU119" s="41" t="n">
        <f aca="false">Tasks[[#This Row],[_WorkPerWorkday]]*(Tasks[[#This Row],[_StartWorkday]]-1)</f>
        <v>-0</v>
      </c>
      <c r="CV119" s="41" t="n">
        <f aca="false">IF(Tasks[[#This Row],[_IsLeaf]]=1,MAX(N(Tasks[[#This Row],[Duration]]),0.1),0)</f>
        <v>0</v>
      </c>
      <c r="CW119" s="41" t="n">
        <f aca="false">Tasks[[#This Row],[_WeightDur]]*Tasks[[#This Row],[_LeafProgress]]</f>
        <v>0</v>
      </c>
      <c r="CX1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9" s="41" t="str">
        <f aca="false">IF(Tasks[[#This Row],[Task Name]]="","",Tasks[[#This Row],[_Pred1UIDText]]&amp;IF(AND(Tasks[[#This Row],[_Pred1UIDText]]&lt;&gt;"",Tasks[[#This Row],[_Pred2UIDText]]&lt;&gt;""),",","")&amp;Tasks[[#This Row],[_Pred2UIDText]])</f>
        <v/>
      </c>
      <c r="DC119" s="41" t="str">
        <f aca="false">IF(AND(Tasks[[#This Row],[_IsLeaf]]=1,N(Tasks[[#This Row],[Duration]])=0,Tasks[[#This Row],[_LeafProgress]]&lt;1),Tasks[[#This Row],[_LeafFcstFinish]]+Tasks[[#This Row],[_Row]]/100000,"")</f>
        <v/>
      </c>
      <c r="DD1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9" s="41" t="n">
        <f aca="false">IF(NOT(Tasks[[#This Row],[_IsLeaf]]=1),0,IF(Tasks[[#This Row],[Baseline Cost]]="",Tasks[[#This Row],[_LeafCost]],N(Tasks[[#This Row],[Baseline Cost]])))</f>
        <v>0</v>
      </c>
      <c r="DF119" s="41" t="n">
        <f aca="false">Tasks[[#This Row],[_LeafBudget]]*Tasks[[#This Row],[_PlannedPct]]</f>
        <v>0</v>
      </c>
      <c r="DG119" s="41" t="n">
        <f aca="false">Tasks[[#This Row],[_LeafBudget]]*Tasks[[#This Row],[_LeafProgress]]</f>
        <v>0</v>
      </c>
      <c r="DH119" s="41" t="n">
        <f aca="false">IF(NOT(Tasks[[#This Row],[_IsLeaf]]=1),0,IF(Tasks[[#This Row],[Actual Cost]]="",Tasks[[#This Row],[_LeafCost]]*Tasks[[#This Row],[_LeafProgress]],N(Tasks[[#This Row],[Actual Cost]])))</f>
        <v>0</v>
      </c>
      <c r="DI119" s="41" t="str">
        <f aca="false">IF(Tasks[[#This Row],[Task Name]]="","",LEFT(Tasks[[#This Row],[WBS]],FIND(".",Tasks[[#This Row],[WBS]]&amp;".")-1))</f>
        <v/>
      </c>
      <c r="DJ119" s="41" t="str">
        <f aca="false">IF(AND(Tasks[[#This Row],[Task Name]]&lt;&gt;"",Tasks[[#This Row],[_Level]]=1),Tasks[[#This Row],[_Row]],"")</f>
        <v/>
      </c>
      <c r="DK119" s="41" t="str">
        <f aca="false">IF(AND(Tasks[[#This Row],[_IsLeaf]]=1,N(Tasks[[#This Row],[Duration]])=0),Tasks[[#This Row],[Planned Finish]]+Tasks[[#This Row],[_Row]]/100000,"")</f>
        <v/>
      </c>
      <c r="DL119" s="41" t="str">
        <f aca="false">IF(AND(Tasks[[#This Row],[_IsLeaf]]=1,Tasks[[#This Row],[_LeafProgress]]&lt;1,OR(N(Tasks[[#This Row],[Finish Var]])&gt;0,Tasks[[#This Row],[Status]]="Late Start")),MAX(0,Tasks[[#This Row],[Finish Var]])+1-Tasks[[#This Row],[_Row]]/1000000,"")</f>
        <v/>
      </c>
      <c r="DM119" s="41" t="str">
        <f aca="false">IF(AND(Tasks[[#This Row],[_IsLeaf]]=1,N(Tasks[[#This Row],[Actual Start]])=0,Tasks[[#This Row],[_LeafFcstStart]]&gt;=StatusDate,Tasks[[#This Row],[_LeafFcstStart]]&lt;=LookaheadEnd),Tasks[[#This Row],[_LeafFcstStart]]+Tasks[[#This Row],[_Row]]/100000,"")</f>
        <v/>
      </c>
      <c r="DN119" s="41" t="str">
        <f aca="false">IF(AND(Tasks[[#This Row],[_IsLeaf]]=1,Tasks[[#This Row],[_LeafProgress]]&lt;1,Tasks[[#This Row],[_LeafFcstFinish]]&gt;=StatusDate,Tasks[[#This Row],[_LeafFcstFinish]]&lt;=LookaheadEnd),Tasks[[#This Row],[_LeafFcstFinish]]+Tasks[[#This Row],[_Row]]/100000,"")</f>
        <v/>
      </c>
      <c r="DO119" s="41" t="str">
        <f aca="false">IF(Tasks[[#This Row],[_LeafCritical]],Tasks[[#This Row],[_LeafFcstStart]]+Tasks[[#This Row],[_Row]]/100000,"")</f>
        <v/>
      </c>
      <c r="DP119" s="41" t="n">
        <f aca="false">Tasks[[#This Row],[_LeafWork]]*Tasks[[#This Row],[_LeafProgress]]</f>
        <v>0</v>
      </c>
      <c r="DQ119" s="103" t="str">
        <f aca="false">IF(AND(Tasks[[#This Row],[_IsLeaf]]=1,Tasks[[#This Row],[_LeafProgress]]&gt;=1),IF(N(Tasks[[#This Row],[Actual Finish]])&gt;0,Tasks[[#This Row],[Actual Finish]],Tasks[[#This Row],[_LeafFcstFinish]]),"")</f>
        <v/>
      </c>
      <c r="DR119" s="41" t="n">
        <f aca="false">IF(Tasks[[#This Row],[_IsLeaf]]=1,N(Tasks[[#This Row],[Story Points]]),0)</f>
        <v>0</v>
      </c>
      <c r="DS119" s="41" t="str">
        <f aca="false">IF(AND(Tasks[[#This Row],[_IsLeaf]]=1,CurrentSprint&lt;&gt;"",Tasks[[#This Row],[Sprint]]=CurrentSprint),Tasks[[#This Row],[_Row]],"")</f>
        <v/>
      </c>
    </row>
    <row r="120" customFormat="false" ht="15" hidden="false" customHeight="false" outlineLevel="0" collapsed="false">
      <c r="A120" s="28" t="str">
        <f aca="false">IF(Tasks[[#This Row],[Task Name]]="","",COUNTA(Tasks[[#Headers],[Task Name]]:Tasks[[#This Row],[Task Name]])-1)</f>
        <v/>
      </c>
      <c r="B120" s="29" t="n">
        <v>115</v>
      </c>
      <c r="C1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29"/>
      <c r="E120" s="30"/>
      <c r="F120" s="29"/>
      <c r="G120" s="29"/>
      <c r="H120" s="29"/>
      <c r="I120" s="29"/>
      <c r="J120" s="29"/>
      <c r="K120" s="29"/>
      <c r="L120" s="29"/>
      <c r="M120" s="29"/>
      <c r="N120" s="77"/>
      <c r="O120" s="77"/>
      <c r="P120" s="25" t="str">
        <f aca="false">IF(Tasks[[#This Row],[Task Name]]="","",IF(N(Tasks[[#This Row],[Baseline Start]])&gt;0,Tasks[[#This Row],[Baseline Start]],Tasks[[#This Row],[_CalcStart]]))</f>
        <v/>
      </c>
      <c r="Q120" s="25" t="str">
        <f aca="false">IF(Tasks[[#This Row],[Task Name]]="","",IF(N(Tasks[[#This Row],[Baseline Finish]])&gt;0,Tasks[[#This Row],[Baseline Finish]],Tasks[[#This Row],[_CalcFinish]]))</f>
        <v/>
      </c>
      <c r="R120" s="77"/>
      <c r="S120" s="77"/>
      <c r="T120" s="25" t="str">
        <f aca="false">IF(Tasks[[#This Row],[Task Name]]="","",IF(Tasks[[#This Row],[_IsSummary]],MIN(INDEX(Tasks[_LeafFcstStart],Tasks[[#This Row],[_Row]]+1):INDEX(Tasks[_LeafFcstStart],Tasks[[#This Row],[_Row]]+Tasks[[#This Row],[_Descendants]])),Tasks[[#This Row],[_LeafFcstStart]]))</f>
        <v/>
      </c>
      <c r="U120" s="25" t="str">
        <f aca="false">IF(Tasks[[#This Row],[Task Name]]="","",IF(Tasks[[#This Row],[_IsSummary]],MAX(INDEX(Tasks[_LeafFcstFinish],Tasks[[#This Row],[_Row]]+1):INDEX(Tasks[_LeafFcstFinish],Tasks[[#This Row],[_Row]]+Tasks[[#This Row],[_Descendants]])),Tasks[[#This Row],[_LeafFcstFinish]]))</f>
        <v/>
      </c>
      <c r="V12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0" s="25" t="str">
        <f aca="false">IF(Tasks[[#This Row],[Task Name]]="","",IF(Tasks[[#This Row],[_IsSummary]],MIN(INDEX(Tasks[_LeafLateStart],Tasks[[#This Row],[_Row]]+1):INDEX(Tasks[_LeafLateStart],Tasks[[#This Row],[_Row]]+Tasks[[#This Row],[_Descendants]])),Tasks[[#This Row],[_LeafLateStart]]))</f>
        <v/>
      </c>
      <c r="Y120" s="25" t="str">
        <f aca="false">IF(Tasks[[#This Row],[Task Name]]="","",IF(Tasks[[#This Row],[_IsSummary]],MAX(INDEX(Tasks[_LeafLateFinish],Tasks[[#This Row],[_Row]]+1):INDEX(Tasks[_LeafLateFinish],Tasks[[#This Row],[_Row]]+Tasks[[#This Row],[_Descendants]])),Tasks[[#This Row],[_LeafLateFinish]]))</f>
        <v/>
      </c>
      <c r="Z120" s="43" t="str">
        <f aca="false">IF(Tasks[[#This Row],[Task Name]]="","",IF(Tasks[[#This Row],[_IsSummary]],MIN(INDEX(Tasks[_LeafTotalSlack],Tasks[[#This Row],[_Row]]+1):INDEX(Tasks[_LeafTotalSlack],Tasks[[#This Row],[_Row]]+Tasks[[#This Row],[_Descendants]])),Tasks[[#This Row],[_LeafTotalSlack]]))</f>
        <v/>
      </c>
      <c r="AA1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0" s="28" t="str">
        <f aca="false">IF(Tasks[[#This Row],[Task Name]]="","",IF(IF(Tasks[[#This Row],[_IsSummary]],COUNTIF(INDEX(Tasks[_LeafCritical],Tasks[[#This Row],[_Row]]+1):INDEX(Tasks[_LeafCritical],Tasks[[#This Row],[_Row]]+Tasks[[#This Row],[_Descendants]]),TRUE())&gt;0,Tasks[[#This Row],[_LeafCritical]]),"Yes",""))</f>
        <v/>
      </c>
      <c r="AC1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0" s="24" t="str">
        <f aca="false">IF(Tasks[[#This Row],[Task Name]]="","",TRIM(IF(Tasks[[#This Row],[_Pred1Problem]]&lt;&gt;"","Pred 1: "&amp;Tasks[[#This Row],[_Pred1Problem]]&amp;". ","")&amp;IF(Tasks[[#This Row],[_Pred2Problem]]&lt;&gt;"","Pred 2: "&amp;Tasks[[#This Row],[_Pred2Problem]]&amp;".","")))</f>
        <v/>
      </c>
      <c r="AE120" s="91"/>
      <c r="AF12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0" s="28" t="str">
        <f aca="false">IF(Tasks[[#This Row],[Task Name]]="","",IF(Tasks[[#This Row],[Progress]]&gt;=1,"Complete",IF(OR(N(Tasks[[#This Row],[Actual Start]])&gt;0,Tasks[[#This Row],[Progress]]&gt;0),IF(Tasks[[#This Row],[Finish Var]]&gt;0,"Behind","In Progress"),IF(Tasks[[#This Row],[Planned Start]]&lt;StatusDate,"Late Start","Not Started"))))</f>
        <v/>
      </c>
      <c r="AH120" s="30"/>
      <c r="AI120" s="91"/>
      <c r="AJ12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0" s="98" t="str">
        <f aca="false">IF(Tasks[[#This Row],[Task Name]]="","",IF(Tasks[[#This Row],[_IsSummary]],SUM(INDEX(Tasks[_LeafWork],Tasks[[#This Row],[_Row]]+1):INDEX(Tasks[_LeafWork],Tasks[[#This Row],[_Row]]+Tasks[[#This Row],[_Descendants]])),Tasks[[#This Row],[_LeafWork]]))</f>
        <v/>
      </c>
      <c r="AL120" s="99" t="str">
        <f aca="false">IF(Tasks[[#This Row],[Task Name]]="","",IF(Tasks[[#This Row],[_IsSummary]],SUM(INDEX(Tasks[_LeafCost],Tasks[[#This Row],[_Row]]+1):INDEX(Tasks[_LeafCost],Tasks[[#This Row],[_Row]]+Tasks[[#This Row],[_Descendants]])),Tasks[[#This Row],[_LeafCost]]))</f>
        <v/>
      </c>
      <c r="AM120" s="100"/>
      <c r="AN120" s="29"/>
      <c r="AO1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0" s="85"/>
      <c r="AQ120" s="24" t="str">
        <f aca="false">IF(Tasks[[#This Row],[Task Name]]="","",Tasks[[#This Row],[_Pred1IDText]]&amp;IF(AND(Tasks[[#This Row],[_Pred1IDText]]&lt;&gt;"",Tasks[[#This Row],[_Pred2IDText]]&lt;&gt;""),",","")&amp;Tasks[[#This Row],[_Pred2IDText]])</f>
        <v/>
      </c>
      <c r="AR120" s="30"/>
      <c r="AS120" s="25" t="str">
        <f aca="false">IF(Tasks[[#This Row],[Task Name]]="","",Tasks[[#This Row],[Forecast Start]])</f>
        <v/>
      </c>
      <c r="AT120" s="25" t="str">
        <f aca="false">IF(Tasks[[#This Row],[Task Name]]="","",Tasks[[#This Row],[Forecast Finish]])</f>
        <v/>
      </c>
      <c r="AU120" s="28" t="str">
        <f aca="false">IF(Tasks[[#This Row],[Task Name]]="","",IF(Tasks[[#This Row],[_IsSummary]],NETWORKDAYS.INTL(Tasks[[#This Row],[Forecast Start]],Tasks[[#This Row],[Forecast Finish]],WorkWeek,Holidays),N(Tasks[[#This Row],[Duration]])))</f>
        <v/>
      </c>
      <c r="AV120" s="98" t="str">
        <f aca="false">IF(Tasks[[#This Row],[Task Name]]="","",Tasks[[#This Row],[Work]])</f>
        <v/>
      </c>
      <c r="AW120" s="99" t="str">
        <f aca="false">IF(Tasks[[#This Row],[Task Name]]="","",Tasks[[#This Row],[Cost]])</f>
        <v/>
      </c>
      <c r="AX120" s="77"/>
      <c r="AY120" s="77"/>
      <c r="AZ120" s="29"/>
      <c r="BA120" s="101"/>
      <c r="BB120" s="100"/>
      <c r="BC120" s="28" t="str">
        <f aca="false">IF(OR(Tasks[[#This Row],[Task Name]]="",Tasks[[#This Row],[Baseline Duration]]=""),"",Tasks[[#This Row],[BL Source Duration]]-N(Tasks[[#This Row],[Baseline Duration]]))</f>
        <v/>
      </c>
      <c r="BD120" s="98" t="str">
        <f aca="false">IF(OR(Tasks[[#This Row],[Task Name]]="",Tasks[[#This Row],[Baseline Work]]=""),"",Tasks[[#This Row],[Work]]-N(Tasks[[#This Row],[Baseline Work]]))</f>
        <v/>
      </c>
      <c r="BE120" s="99" t="str">
        <f aca="false">IF(OR(Tasks[[#This Row],[Task Name]]="",Tasks[[#This Row],[Baseline Cost]]=""),"",Tasks[[#This Row],[Cost]]-N(Tasks[[#This Row],[Baseline Cost]]))</f>
        <v/>
      </c>
      <c r="BF120" s="99" t="str">
        <f aca="false">IF(Tasks[[#This Row],[Task Name]]="","",IF(Tasks[[#This Row],[_IsSummary]],SUM(INDEX(Tasks[_LeafBudget],Tasks[[#This Row],[_Row]]+1):INDEX(Tasks[_LeafBudget],Tasks[[#This Row],[_Row]]+Tasks[[#This Row],[_Descendants]])),Tasks[[#This Row],[_LeafBudget]]))</f>
        <v/>
      </c>
      <c r="BG120" s="99" t="str">
        <f aca="false">IF(Tasks[[#This Row],[Task Name]]="","",IF(Tasks[[#This Row],[_IsSummary]],SUM(INDEX(Tasks[_LeafPV],Tasks[[#This Row],[_Row]]+1):INDEX(Tasks[_LeafPV],Tasks[[#This Row],[_Row]]+Tasks[[#This Row],[_Descendants]])),Tasks[[#This Row],[_LeafPV]]))</f>
        <v/>
      </c>
      <c r="BH120" s="99" t="str">
        <f aca="false">IF(Tasks[[#This Row],[Task Name]]="","",IF(Tasks[[#This Row],[_IsSummary]],SUM(INDEX(Tasks[_LeafEV],Tasks[[#This Row],[_Row]]+1):INDEX(Tasks[_LeafEV],Tasks[[#This Row],[_Row]]+Tasks[[#This Row],[_Descendants]])),Tasks[[#This Row],[_LeafEV]]))</f>
        <v/>
      </c>
      <c r="BI120" s="99" t="str">
        <f aca="false">IF(Tasks[[#This Row],[Task Name]]="","",IF(Tasks[[#This Row],[_IsSummary]],SUM(INDEX(Tasks[_LeafAC],Tasks[[#This Row],[_Row]]+1):INDEX(Tasks[_LeafAC],Tasks[[#This Row],[_Row]]+Tasks[[#This Row],[_Descendants]])),Tasks[[#This Row],[_LeafAC]]))</f>
        <v/>
      </c>
      <c r="BJ120" s="41" t="str">
        <f aca="false">IF(Tasks[[#This Row],[Task Name]]="","",MAX(1,N(Tasks[[#This Row],[Level]])))</f>
        <v/>
      </c>
      <c r="BK120" s="41" t="n">
        <f aca="false">ROW()-ROW(Tasks[[#Headers],[ID]])</f>
        <v>115</v>
      </c>
      <c r="BL120" s="41" t="n">
        <f aca="false">IF(OR(Tasks[[#This Row],[Task Name]]="",Tasks[[#This Row],[_Level]]&lt;=1),0,IFERROR(LOOKUP(2,1/(Tasks[[#Headers],[_Level]]:Tasks[[#This Row],[_Level]]=Tasks[[#This Row],[_Level]]-1),ROW(Tasks[[#Headers],[_Level]]:Tasks[[#This Row],[_Level]])),0))</f>
        <v>0</v>
      </c>
      <c r="BM120" s="41" t="n">
        <f aca="false">IFERROR(N(INDEX(Tasks[_Level],Tasks[[#This Row],[_Row]]+1)),0)</f>
        <v>0</v>
      </c>
      <c r="BN120" s="102" t="b">
        <f aca="false">AND(Tasks[[#This Row],[Task Name]]&lt;&gt;"",Tasks[[#This Row],[_NextLevel]]&gt;Tasks[[#This Row],[_Level]])</f>
        <v>0</v>
      </c>
      <c r="BO120" s="41" t="n">
        <f aca="false">IF(Tasks[[#This Row],[_IsSummary]],COUNTIF(Tasks[WBS],Tasks[[#This Row],[WBS]]&amp;".*"),0)</f>
        <v>0</v>
      </c>
      <c r="BP120" s="41" t="n">
        <f aca="false">IF(AND(Tasks[[#This Row],[Task Name]]&lt;&gt;"",NOT(Tasks[[#This Row],[_IsSummary]])),1,0)</f>
        <v>0</v>
      </c>
      <c r="BQ120" s="41" t="n">
        <f aca="false">IF(N(Tasks[[#This Row],[Pred1 UID]])=0,0,IFERROR(MATCH(Tasks[[#This Row],[Pred1 UID]],Tasks[UID],0),-1))</f>
        <v>0</v>
      </c>
      <c r="BR120" s="41" t="n">
        <f aca="false">IF(N(Tasks[[#This Row],[Pred2 UID]])=0,0,IFERROR(MATCH(Tasks[[#This Row],[Pred2 UID]],Tasks[UID],0),-1))</f>
        <v>0</v>
      </c>
      <c r="BS12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0" s="103" t="str">
        <f aca="false">IF(NOT(Tasks[[#This Row],[_IsLeaf]]=1),"",IF(N(Tasks[[#This Row],[Duration]])&lt;=0,Tasks[[#This Row],[_LeafCalcStart]],WORKDAY.INTL(Tasks[[#This Row],[_LeafCalcStart]],Tasks[[#This Row],[Duration]]-1,WorkWeek,Holidays)))</f>
        <v/>
      </c>
      <c r="BU12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0" s="41" t="n">
        <f aca="false">IF(NOT(Tasks[[#This Row],[_IsLeaf]]=1),0,IF(N(Tasks[[#This Row],[Actual Finish]])&gt;0,1,MIN(1,N(Tasks[[#This Row],[% Complete]]))))</f>
        <v>0</v>
      </c>
      <c r="BX120" s="41" t="n">
        <f aca="false">IF(OR(NOT(Tasks[[#This Row],[_IsLeaf]]=1),Tasks[[#This Row],[Resource]]=""),0,N(Tasks[[#This Row],[Duration]])*HoursPerDay*IF(Tasks[[#This Row],[Units]]="",DefaultUnits,Tasks[[#This Row],[Units]]))</f>
        <v>0</v>
      </c>
      <c r="BY120" s="41" t="n">
        <f aca="false">IF(Tasks[[#This Row],[_LeafWork]]=0,0,Tasks[[#This Row],[_LeafWork]]*IFERROR(INDEX(res_Rate,MATCH(Tasks[[#This Row],[Resource]],res_Name,0)),0))</f>
        <v>0</v>
      </c>
      <c r="BZ1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0" s="41" t="n">
        <f aca="false">IF(NOT(Tasks[[#This Row],[_IsLeaf]]=1),0,MAX(_xlfn.MAXIFS(Tasks[_Row],Tasks[Pred1 UID],Tasks[[#This Row],[UID]]),_xlfn.MAXIFS(Tasks[_Row],Tasks[Pred2 UID],Tasks[[#This Row],[UID]])))</f>
        <v>0</v>
      </c>
      <c r="CE12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0" s="103" t="str">
        <f aca="false">IF(NOT(Tasks[[#This Row],[_IsLeaf]]=1),"",MIN(ProjectFinish,IF(N(Tasks[[#This Row],[Deadline]])&gt;0,Tasks[[#This Row],[Deadline]],2958465),Tasks[[#This Row],[_SuccessorFinishLimit]]))</f>
        <v/>
      </c>
      <c r="CG120" s="103" t="str">
        <f aca="false">IF(NOT(Tasks[[#This Row],[_IsLeaf]]=1),"",IF(N(Tasks[[#This Row],[Duration]])&lt;=0,Tasks[[#This Row],[_LeafLateFinish]],WORKDAY.INTL(Tasks[[#This Row],[_LeafLateFinish]],-(Tasks[[#This Row],[Duration]]-1),WorkWeek,Holidays)))</f>
        <v/>
      </c>
      <c r="CH1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0" s="102" t="b">
        <f aca="false">AND(Tasks[[#This Row],[_IsLeaf]]=1,Tasks[[#This Row],[_LeafProgress]]&lt;1,N(Tasks[[#This Row],[_LeafTotalSlack]])&lt;=CriticalSlackDays)</f>
        <v>0</v>
      </c>
      <c r="CJ120" s="103" t="str">
        <f aca="false">IF(Tasks[[#This Row],[Task Name]]="","",IF(Tasks[[#This Row],[_IsSummary]],MIN(INDEX(Tasks[_LeafCalcStart],Tasks[[#This Row],[_Row]]+1):INDEX(Tasks[_LeafCalcStart],Tasks[[#This Row],[_Row]]+Tasks[[#This Row],[_Descendants]])),Tasks[[#This Row],[_LeafCalcStart]]))</f>
        <v/>
      </c>
      <c r="CK120" s="103" t="str">
        <f aca="false">IF(Tasks[[#This Row],[Task Name]]="","",IF(Tasks[[#This Row],[_IsSummary]],MAX(INDEX(Tasks[_LeafCalcFinish],Tasks[[#This Row],[_Row]]+1):INDEX(Tasks[_LeafCalcFinish],Tasks[[#This Row],[_Row]]+Tasks[[#This Row],[_Descendants]])),Tasks[[#This Row],[_LeafCalcFinish]]))</f>
        <v/>
      </c>
      <c r="CL1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0" s="41" t="n">
        <f aca="false">IF(AND(Tasks[[#This Row],[_IsLeaf]]=1,Tasks[[#This Row],[_LeafWork]]&gt;0),NETWORKDAYS.INTL(ProjectStart,Tasks[[#This Row],[_LeafFcstStart]],WorkWeek,Holidays),0)</f>
        <v>0</v>
      </c>
      <c r="CS120" s="41" t="n">
        <f aca="false">IF(AND(Tasks[[#This Row],[_IsLeaf]]=1,Tasks[[#This Row],[_LeafWork]]&gt;0),MAX(Tasks[[#This Row],[_StartWorkday]],NETWORKDAYS.INTL(ProjectStart,Tasks[[#This Row],[_LeafFcstFinish]],WorkWeek,Holidays)),0)</f>
        <v>0</v>
      </c>
      <c r="CT120" s="41" t="n">
        <f aca="false">IF(AND(Tasks[[#This Row],[_IsLeaf]]=1,Tasks[[#This Row],[_LeafWork]]&gt;0),Tasks[[#This Row],[_LeafWork]]/(Tasks[[#This Row],[_FinishWorkday]]-Tasks[[#This Row],[_StartWorkday]]+1),0)</f>
        <v>0</v>
      </c>
      <c r="CU120" s="41" t="n">
        <f aca="false">Tasks[[#This Row],[_WorkPerWorkday]]*(Tasks[[#This Row],[_StartWorkday]]-1)</f>
        <v>-0</v>
      </c>
      <c r="CV120" s="41" t="n">
        <f aca="false">IF(Tasks[[#This Row],[_IsLeaf]]=1,MAX(N(Tasks[[#This Row],[Duration]]),0.1),0)</f>
        <v>0</v>
      </c>
      <c r="CW120" s="41" t="n">
        <f aca="false">Tasks[[#This Row],[_WeightDur]]*Tasks[[#This Row],[_LeafProgress]]</f>
        <v>0</v>
      </c>
      <c r="CX1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0" s="41" t="str">
        <f aca="false">IF(Tasks[[#This Row],[Task Name]]="","",Tasks[[#This Row],[_Pred1UIDText]]&amp;IF(AND(Tasks[[#This Row],[_Pred1UIDText]]&lt;&gt;"",Tasks[[#This Row],[_Pred2UIDText]]&lt;&gt;""),",","")&amp;Tasks[[#This Row],[_Pred2UIDText]])</f>
        <v/>
      </c>
      <c r="DC120" s="41" t="str">
        <f aca="false">IF(AND(Tasks[[#This Row],[_IsLeaf]]=1,N(Tasks[[#This Row],[Duration]])=0,Tasks[[#This Row],[_LeafProgress]]&lt;1),Tasks[[#This Row],[_LeafFcstFinish]]+Tasks[[#This Row],[_Row]]/100000,"")</f>
        <v/>
      </c>
      <c r="DD1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0" s="41" t="n">
        <f aca="false">IF(NOT(Tasks[[#This Row],[_IsLeaf]]=1),0,IF(Tasks[[#This Row],[Baseline Cost]]="",Tasks[[#This Row],[_LeafCost]],N(Tasks[[#This Row],[Baseline Cost]])))</f>
        <v>0</v>
      </c>
      <c r="DF120" s="41" t="n">
        <f aca="false">Tasks[[#This Row],[_LeafBudget]]*Tasks[[#This Row],[_PlannedPct]]</f>
        <v>0</v>
      </c>
      <c r="DG120" s="41" t="n">
        <f aca="false">Tasks[[#This Row],[_LeafBudget]]*Tasks[[#This Row],[_LeafProgress]]</f>
        <v>0</v>
      </c>
      <c r="DH120" s="41" t="n">
        <f aca="false">IF(NOT(Tasks[[#This Row],[_IsLeaf]]=1),0,IF(Tasks[[#This Row],[Actual Cost]]="",Tasks[[#This Row],[_LeafCost]]*Tasks[[#This Row],[_LeafProgress]],N(Tasks[[#This Row],[Actual Cost]])))</f>
        <v>0</v>
      </c>
      <c r="DI120" s="41" t="str">
        <f aca="false">IF(Tasks[[#This Row],[Task Name]]="","",LEFT(Tasks[[#This Row],[WBS]],FIND(".",Tasks[[#This Row],[WBS]]&amp;".")-1))</f>
        <v/>
      </c>
      <c r="DJ120" s="41" t="str">
        <f aca="false">IF(AND(Tasks[[#This Row],[Task Name]]&lt;&gt;"",Tasks[[#This Row],[_Level]]=1),Tasks[[#This Row],[_Row]],"")</f>
        <v/>
      </c>
      <c r="DK120" s="41" t="str">
        <f aca="false">IF(AND(Tasks[[#This Row],[_IsLeaf]]=1,N(Tasks[[#This Row],[Duration]])=0),Tasks[[#This Row],[Planned Finish]]+Tasks[[#This Row],[_Row]]/100000,"")</f>
        <v/>
      </c>
      <c r="DL120" s="41" t="str">
        <f aca="false">IF(AND(Tasks[[#This Row],[_IsLeaf]]=1,Tasks[[#This Row],[_LeafProgress]]&lt;1,OR(N(Tasks[[#This Row],[Finish Var]])&gt;0,Tasks[[#This Row],[Status]]="Late Start")),MAX(0,Tasks[[#This Row],[Finish Var]])+1-Tasks[[#This Row],[_Row]]/1000000,"")</f>
        <v/>
      </c>
      <c r="DM120" s="41" t="str">
        <f aca="false">IF(AND(Tasks[[#This Row],[_IsLeaf]]=1,N(Tasks[[#This Row],[Actual Start]])=0,Tasks[[#This Row],[_LeafFcstStart]]&gt;=StatusDate,Tasks[[#This Row],[_LeafFcstStart]]&lt;=LookaheadEnd),Tasks[[#This Row],[_LeafFcstStart]]+Tasks[[#This Row],[_Row]]/100000,"")</f>
        <v/>
      </c>
      <c r="DN120" s="41" t="str">
        <f aca="false">IF(AND(Tasks[[#This Row],[_IsLeaf]]=1,Tasks[[#This Row],[_LeafProgress]]&lt;1,Tasks[[#This Row],[_LeafFcstFinish]]&gt;=StatusDate,Tasks[[#This Row],[_LeafFcstFinish]]&lt;=LookaheadEnd),Tasks[[#This Row],[_LeafFcstFinish]]+Tasks[[#This Row],[_Row]]/100000,"")</f>
        <v/>
      </c>
      <c r="DO120" s="41" t="str">
        <f aca="false">IF(Tasks[[#This Row],[_LeafCritical]],Tasks[[#This Row],[_LeafFcstStart]]+Tasks[[#This Row],[_Row]]/100000,"")</f>
        <v/>
      </c>
      <c r="DP120" s="41" t="n">
        <f aca="false">Tasks[[#This Row],[_LeafWork]]*Tasks[[#This Row],[_LeafProgress]]</f>
        <v>0</v>
      </c>
      <c r="DQ120" s="103" t="str">
        <f aca="false">IF(AND(Tasks[[#This Row],[_IsLeaf]]=1,Tasks[[#This Row],[_LeafProgress]]&gt;=1),IF(N(Tasks[[#This Row],[Actual Finish]])&gt;0,Tasks[[#This Row],[Actual Finish]],Tasks[[#This Row],[_LeafFcstFinish]]),"")</f>
        <v/>
      </c>
      <c r="DR120" s="41" t="n">
        <f aca="false">IF(Tasks[[#This Row],[_IsLeaf]]=1,N(Tasks[[#This Row],[Story Points]]),0)</f>
        <v>0</v>
      </c>
      <c r="DS120" s="41" t="str">
        <f aca="false">IF(AND(Tasks[[#This Row],[_IsLeaf]]=1,CurrentSprint&lt;&gt;"",Tasks[[#This Row],[Sprint]]=CurrentSprint),Tasks[[#This Row],[_Row]],"")</f>
        <v/>
      </c>
    </row>
    <row r="121" customFormat="false" ht="15" hidden="false" customHeight="false" outlineLevel="0" collapsed="false">
      <c r="A121" s="28" t="str">
        <f aca="false">IF(Tasks[[#This Row],[Task Name]]="","",COUNTA(Tasks[[#Headers],[Task Name]]:Tasks[[#This Row],[Task Name]])-1)</f>
        <v/>
      </c>
      <c r="B121" s="29" t="n">
        <v>116</v>
      </c>
      <c r="C1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29"/>
      <c r="E121" s="30"/>
      <c r="F121" s="29"/>
      <c r="G121" s="29"/>
      <c r="H121" s="29"/>
      <c r="I121" s="29"/>
      <c r="J121" s="29"/>
      <c r="K121" s="29"/>
      <c r="L121" s="29"/>
      <c r="M121" s="29"/>
      <c r="N121" s="77"/>
      <c r="O121" s="77"/>
      <c r="P121" s="25" t="str">
        <f aca="false">IF(Tasks[[#This Row],[Task Name]]="","",IF(N(Tasks[[#This Row],[Baseline Start]])&gt;0,Tasks[[#This Row],[Baseline Start]],Tasks[[#This Row],[_CalcStart]]))</f>
        <v/>
      </c>
      <c r="Q121" s="25" t="str">
        <f aca="false">IF(Tasks[[#This Row],[Task Name]]="","",IF(N(Tasks[[#This Row],[Baseline Finish]])&gt;0,Tasks[[#This Row],[Baseline Finish]],Tasks[[#This Row],[_CalcFinish]]))</f>
        <v/>
      </c>
      <c r="R121" s="77"/>
      <c r="S121" s="77"/>
      <c r="T121" s="25" t="str">
        <f aca="false">IF(Tasks[[#This Row],[Task Name]]="","",IF(Tasks[[#This Row],[_IsSummary]],MIN(INDEX(Tasks[_LeafFcstStart],Tasks[[#This Row],[_Row]]+1):INDEX(Tasks[_LeafFcstStart],Tasks[[#This Row],[_Row]]+Tasks[[#This Row],[_Descendants]])),Tasks[[#This Row],[_LeafFcstStart]]))</f>
        <v/>
      </c>
      <c r="U121" s="25" t="str">
        <f aca="false">IF(Tasks[[#This Row],[Task Name]]="","",IF(Tasks[[#This Row],[_IsSummary]],MAX(INDEX(Tasks[_LeafFcstFinish],Tasks[[#This Row],[_Row]]+1):INDEX(Tasks[_LeafFcstFinish],Tasks[[#This Row],[_Row]]+Tasks[[#This Row],[_Descendants]])),Tasks[[#This Row],[_LeafFcstFinish]]))</f>
        <v/>
      </c>
      <c r="V12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1" s="25" t="str">
        <f aca="false">IF(Tasks[[#This Row],[Task Name]]="","",IF(Tasks[[#This Row],[_IsSummary]],MIN(INDEX(Tasks[_LeafLateStart],Tasks[[#This Row],[_Row]]+1):INDEX(Tasks[_LeafLateStart],Tasks[[#This Row],[_Row]]+Tasks[[#This Row],[_Descendants]])),Tasks[[#This Row],[_LeafLateStart]]))</f>
        <v/>
      </c>
      <c r="Y121" s="25" t="str">
        <f aca="false">IF(Tasks[[#This Row],[Task Name]]="","",IF(Tasks[[#This Row],[_IsSummary]],MAX(INDEX(Tasks[_LeafLateFinish],Tasks[[#This Row],[_Row]]+1):INDEX(Tasks[_LeafLateFinish],Tasks[[#This Row],[_Row]]+Tasks[[#This Row],[_Descendants]])),Tasks[[#This Row],[_LeafLateFinish]]))</f>
        <v/>
      </c>
      <c r="Z121" s="43" t="str">
        <f aca="false">IF(Tasks[[#This Row],[Task Name]]="","",IF(Tasks[[#This Row],[_IsSummary]],MIN(INDEX(Tasks[_LeafTotalSlack],Tasks[[#This Row],[_Row]]+1):INDEX(Tasks[_LeafTotalSlack],Tasks[[#This Row],[_Row]]+Tasks[[#This Row],[_Descendants]])),Tasks[[#This Row],[_LeafTotalSlack]]))</f>
        <v/>
      </c>
      <c r="AA1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1" s="28" t="str">
        <f aca="false">IF(Tasks[[#This Row],[Task Name]]="","",IF(IF(Tasks[[#This Row],[_IsSummary]],COUNTIF(INDEX(Tasks[_LeafCritical],Tasks[[#This Row],[_Row]]+1):INDEX(Tasks[_LeafCritical],Tasks[[#This Row],[_Row]]+Tasks[[#This Row],[_Descendants]]),TRUE())&gt;0,Tasks[[#This Row],[_LeafCritical]]),"Yes",""))</f>
        <v/>
      </c>
      <c r="AC1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1" s="24" t="str">
        <f aca="false">IF(Tasks[[#This Row],[Task Name]]="","",TRIM(IF(Tasks[[#This Row],[_Pred1Problem]]&lt;&gt;"","Pred 1: "&amp;Tasks[[#This Row],[_Pred1Problem]]&amp;". ","")&amp;IF(Tasks[[#This Row],[_Pred2Problem]]&lt;&gt;"","Pred 2: "&amp;Tasks[[#This Row],[_Pred2Problem]]&amp;".","")))</f>
        <v/>
      </c>
      <c r="AE121" s="91"/>
      <c r="AF12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1" s="28" t="str">
        <f aca="false">IF(Tasks[[#This Row],[Task Name]]="","",IF(Tasks[[#This Row],[Progress]]&gt;=1,"Complete",IF(OR(N(Tasks[[#This Row],[Actual Start]])&gt;0,Tasks[[#This Row],[Progress]]&gt;0),IF(Tasks[[#This Row],[Finish Var]]&gt;0,"Behind","In Progress"),IF(Tasks[[#This Row],[Planned Start]]&lt;StatusDate,"Late Start","Not Started"))))</f>
        <v/>
      </c>
      <c r="AH121" s="30"/>
      <c r="AI121" s="91"/>
      <c r="AJ12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1" s="98" t="str">
        <f aca="false">IF(Tasks[[#This Row],[Task Name]]="","",IF(Tasks[[#This Row],[_IsSummary]],SUM(INDEX(Tasks[_LeafWork],Tasks[[#This Row],[_Row]]+1):INDEX(Tasks[_LeafWork],Tasks[[#This Row],[_Row]]+Tasks[[#This Row],[_Descendants]])),Tasks[[#This Row],[_LeafWork]]))</f>
        <v/>
      </c>
      <c r="AL121" s="99" t="str">
        <f aca="false">IF(Tasks[[#This Row],[Task Name]]="","",IF(Tasks[[#This Row],[_IsSummary]],SUM(INDEX(Tasks[_LeafCost],Tasks[[#This Row],[_Row]]+1):INDEX(Tasks[_LeafCost],Tasks[[#This Row],[_Row]]+Tasks[[#This Row],[_Descendants]])),Tasks[[#This Row],[_LeafCost]]))</f>
        <v/>
      </c>
      <c r="AM121" s="100"/>
      <c r="AN121" s="29"/>
      <c r="AO1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1" s="85"/>
      <c r="AQ121" s="24" t="str">
        <f aca="false">IF(Tasks[[#This Row],[Task Name]]="","",Tasks[[#This Row],[_Pred1IDText]]&amp;IF(AND(Tasks[[#This Row],[_Pred1IDText]]&lt;&gt;"",Tasks[[#This Row],[_Pred2IDText]]&lt;&gt;""),",","")&amp;Tasks[[#This Row],[_Pred2IDText]])</f>
        <v/>
      </c>
      <c r="AR121" s="30"/>
      <c r="AS121" s="25" t="str">
        <f aca="false">IF(Tasks[[#This Row],[Task Name]]="","",Tasks[[#This Row],[Forecast Start]])</f>
        <v/>
      </c>
      <c r="AT121" s="25" t="str">
        <f aca="false">IF(Tasks[[#This Row],[Task Name]]="","",Tasks[[#This Row],[Forecast Finish]])</f>
        <v/>
      </c>
      <c r="AU121" s="28" t="str">
        <f aca="false">IF(Tasks[[#This Row],[Task Name]]="","",IF(Tasks[[#This Row],[_IsSummary]],NETWORKDAYS.INTL(Tasks[[#This Row],[Forecast Start]],Tasks[[#This Row],[Forecast Finish]],WorkWeek,Holidays),N(Tasks[[#This Row],[Duration]])))</f>
        <v/>
      </c>
      <c r="AV121" s="98" t="str">
        <f aca="false">IF(Tasks[[#This Row],[Task Name]]="","",Tasks[[#This Row],[Work]])</f>
        <v/>
      </c>
      <c r="AW121" s="99" t="str">
        <f aca="false">IF(Tasks[[#This Row],[Task Name]]="","",Tasks[[#This Row],[Cost]])</f>
        <v/>
      </c>
      <c r="AX121" s="77"/>
      <c r="AY121" s="77"/>
      <c r="AZ121" s="29"/>
      <c r="BA121" s="101"/>
      <c r="BB121" s="100"/>
      <c r="BC121" s="28" t="str">
        <f aca="false">IF(OR(Tasks[[#This Row],[Task Name]]="",Tasks[[#This Row],[Baseline Duration]]=""),"",Tasks[[#This Row],[BL Source Duration]]-N(Tasks[[#This Row],[Baseline Duration]]))</f>
        <v/>
      </c>
      <c r="BD121" s="98" t="str">
        <f aca="false">IF(OR(Tasks[[#This Row],[Task Name]]="",Tasks[[#This Row],[Baseline Work]]=""),"",Tasks[[#This Row],[Work]]-N(Tasks[[#This Row],[Baseline Work]]))</f>
        <v/>
      </c>
      <c r="BE121" s="99" t="str">
        <f aca="false">IF(OR(Tasks[[#This Row],[Task Name]]="",Tasks[[#This Row],[Baseline Cost]]=""),"",Tasks[[#This Row],[Cost]]-N(Tasks[[#This Row],[Baseline Cost]]))</f>
        <v/>
      </c>
      <c r="BF121" s="99" t="str">
        <f aca="false">IF(Tasks[[#This Row],[Task Name]]="","",IF(Tasks[[#This Row],[_IsSummary]],SUM(INDEX(Tasks[_LeafBudget],Tasks[[#This Row],[_Row]]+1):INDEX(Tasks[_LeafBudget],Tasks[[#This Row],[_Row]]+Tasks[[#This Row],[_Descendants]])),Tasks[[#This Row],[_LeafBudget]]))</f>
        <v/>
      </c>
      <c r="BG121" s="99" t="str">
        <f aca="false">IF(Tasks[[#This Row],[Task Name]]="","",IF(Tasks[[#This Row],[_IsSummary]],SUM(INDEX(Tasks[_LeafPV],Tasks[[#This Row],[_Row]]+1):INDEX(Tasks[_LeafPV],Tasks[[#This Row],[_Row]]+Tasks[[#This Row],[_Descendants]])),Tasks[[#This Row],[_LeafPV]]))</f>
        <v/>
      </c>
      <c r="BH121" s="99" t="str">
        <f aca="false">IF(Tasks[[#This Row],[Task Name]]="","",IF(Tasks[[#This Row],[_IsSummary]],SUM(INDEX(Tasks[_LeafEV],Tasks[[#This Row],[_Row]]+1):INDEX(Tasks[_LeafEV],Tasks[[#This Row],[_Row]]+Tasks[[#This Row],[_Descendants]])),Tasks[[#This Row],[_LeafEV]]))</f>
        <v/>
      </c>
      <c r="BI121" s="99" t="str">
        <f aca="false">IF(Tasks[[#This Row],[Task Name]]="","",IF(Tasks[[#This Row],[_IsSummary]],SUM(INDEX(Tasks[_LeafAC],Tasks[[#This Row],[_Row]]+1):INDEX(Tasks[_LeafAC],Tasks[[#This Row],[_Row]]+Tasks[[#This Row],[_Descendants]])),Tasks[[#This Row],[_LeafAC]]))</f>
        <v/>
      </c>
      <c r="BJ121" s="41" t="str">
        <f aca="false">IF(Tasks[[#This Row],[Task Name]]="","",MAX(1,N(Tasks[[#This Row],[Level]])))</f>
        <v/>
      </c>
      <c r="BK121" s="41" t="n">
        <f aca="false">ROW()-ROW(Tasks[[#Headers],[ID]])</f>
        <v>116</v>
      </c>
      <c r="BL121" s="41" t="n">
        <f aca="false">IF(OR(Tasks[[#This Row],[Task Name]]="",Tasks[[#This Row],[_Level]]&lt;=1),0,IFERROR(LOOKUP(2,1/(Tasks[[#Headers],[_Level]]:Tasks[[#This Row],[_Level]]=Tasks[[#This Row],[_Level]]-1),ROW(Tasks[[#Headers],[_Level]]:Tasks[[#This Row],[_Level]])),0))</f>
        <v>0</v>
      </c>
      <c r="BM121" s="41" t="n">
        <f aca="false">IFERROR(N(INDEX(Tasks[_Level],Tasks[[#This Row],[_Row]]+1)),0)</f>
        <v>0</v>
      </c>
      <c r="BN121" s="102" t="b">
        <f aca="false">AND(Tasks[[#This Row],[Task Name]]&lt;&gt;"",Tasks[[#This Row],[_NextLevel]]&gt;Tasks[[#This Row],[_Level]])</f>
        <v>0</v>
      </c>
      <c r="BO121" s="41" t="n">
        <f aca="false">IF(Tasks[[#This Row],[_IsSummary]],COUNTIF(Tasks[WBS],Tasks[[#This Row],[WBS]]&amp;".*"),0)</f>
        <v>0</v>
      </c>
      <c r="BP121" s="41" t="n">
        <f aca="false">IF(AND(Tasks[[#This Row],[Task Name]]&lt;&gt;"",NOT(Tasks[[#This Row],[_IsSummary]])),1,0)</f>
        <v>0</v>
      </c>
      <c r="BQ121" s="41" t="n">
        <f aca="false">IF(N(Tasks[[#This Row],[Pred1 UID]])=0,0,IFERROR(MATCH(Tasks[[#This Row],[Pred1 UID]],Tasks[UID],0),-1))</f>
        <v>0</v>
      </c>
      <c r="BR121" s="41" t="n">
        <f aca="false">IF(N(Tasks[[#This Row],[Pred2 UID]])=0,0,IFERROR(MATCH(Tasks[[#This Row],[Pred2 UID]],Tasks[UID],0),-1))</f>
        <v>0</v>
      </c>
      <c r="BS12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1" s="103" t="str">
        <f aca="false">IF(NOT(Tasks[[#This Row],[_IsLeaf]]=1),"",IF(N(Tasks[[#This Row],[Duration]])&lt;=0,Tasks[[#This Row],[_LeafCalcStart]],WORKDAY.INTL(Tasks[[#This Row],[_LeafCalcStart]],Tasks[[#This Row],[Duration]]-1,WorkWeek,Holidays)))</f>
        <v/>
      </c>
      <c r="BU12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1" s="41" t="n">
        <f aca="false">IF(NOT(Tasks[[#This Row],[_IsLeaf]]=1),0,IF(N(Tasks[[#This Row],[Actual Finish]])&gt;0,1,MIN(1,N(Tasks[[#This Row],[% Complete]]))))</f>
        <v>0</v>
      </c>
      <c r="BX121" s="41" t="n">
        <f aca="false">IF(OR(NOT(Tasks[[#This Row],[_IsLeaf]]=1),Tasks[[#This Row],[Resource]]=""),0,N(Tasks[[#This Row],[Duration]])*HoursPerDay*IF(Tasks[[#This Row],[Units]]="",DefaultUnits,Tasks[[#This Row],[Units]]))</f>
        <v>0</v>
      </c>
      <c r="BY121" s="41" t="n">
        <f aca="false">IF(Tasks[[#This Row],[_LeafWork]]=0,0,Tasks[[#This Row],[_LeafWork]]*IFERROR(INDEX(res_Rate,MATCH(Tasks[[#This Row],[Resource]],res_Name,0)),0))</f>
        <v>0</v>
      </c>
      <c r="BZ1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1" s="41" t="n">
        <f aca="false">IF(NOT(Tasks[[#This Row],[_IsLeaf]]=1),0,MAX(_xlfn.MAXIFS(Tasks[_Row],Tasks[Pred1 UID],Tasks[[#This Row],[UID]]),_xlfn.MAXIFS(Tasks[_Row],Tasks[Pred2 UID],Tasks[[#This Row],[UID]])))</f>
        <v>0</v>
      </c>
      <c r="CE12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1" s="103" t="str">
        <f aca="false">IF(NOT(Tasks[[#This Row],[_IsLeaf]]=1),"",MIN(ProjectFinish,IF(N(Tasks[[#This Row],[Deadline]])&gt;0,Tasks[[#This Row],[Deadline]],2958465),Tasks[[#This Row],[_SuccessorFinishLimit]]))</f>
        <v/>
      </c>
      <c r="CG121" s="103" t="str">
        <f aca="false">IF(NOT(Tasks[[#This Row],[_IsLeaf]]=1),"",IF(N(Tasks[[#This Row],[Duration]])&lt;=0,Tasks[[#This Row],[_LeafLateFinish]],WORKDAY.INTL(Tasks[[#This Row],[_LeafLateFinish]],-(Tasks[[#This Row],[Duration]]-1),WorkWeek,Holidays)))</f>
        <v/>
      </c>
      <c r="CH1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1" s="102" t="b">
        <f aca="false">AND(Tasks[[#This Row],[_IsLeaf]]=1,Tasks[[#This Row],[_LeafProgress]]&lt;1,N(Tasks[[#This Row],[_LeafTotalSlack]])&lt;=CriticalSlackDays)</f>
        <v>0</v>
      </c>
      <c r="CJ121" s="103" t="str">
        <f aca="false">IF(Tasks[[#This Row],[Task Name]]="","",IF(Tasks[[#This Row],[_IsSummary]],MIN(INDEX(Tasks[_LeafCalcStart],Tasks[[#This Row],[_Row]]+1):INDEX(Tasks[_LeafCalcStart],Tasks[[#This Row],[_Row]]+Tasks[[#This Row],[_Descendants]])),Tasks[[#This Row],[_LeafCalcStart]]))</f>
        <v/>
      </c>
      <c r="CK121" s="103" t="str">
        <f aca="false">IF(Tasks[[#This Row],[Task Name]]="","",IF(Tasks[[#This Row],[_IsSummary]],MAX(INDEX(Tasks[_LeafCalcFinish],Tasks[[#This Row],[_Row]]+1):INDEX(Tasks[_LeafCalcFinish],Tasks[[#This Row],[_Row]]+Tasks[[#This Row],[_Descendants]])),Tasks[[#This Row],[_LeafCalcFinish]]))</f>
        <v/>
      </c>
      <c r="CL1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1" s="41" t="n">
        <f aca="false">IF(AND(Tasks[[#This Row],[_IsLeaf]]=1,Tasks[[#This Row],[_LeafWork]]&gt;0),NETWORKDAYS.INTL(ProjectStart,Tasks[[#This Row],[_LeafFcstStart]],WorkWeek,Holidays),0)</f>
        <v>0</v>
      </c>
      <c r="CS121" s="41" t="n">
        <f aca="false">IF(AND(Tasks[[#This Row],[_IsLeaf]]=1,Tasks[[#This Row],[_LeafWork]]&gt;0),MAX(Tasks[[#This Row],[_StartWorkday]],NETWORKDAYS.INTL(ProjectStart,Tasks[[#This Row],[_LeafFcstFinish]],WorkWeek,Holidays)),0)</f>
        <v>0</v>
      </c>
      <c r="CT121" s="41" t="n">
        <f aca="false">IF(AND(Tasks[[#This Row],[_IsLeaf]]=1,Tasks[[#This Row],[_LeafWork]]&gt;0),Tasks[[#This Row],[_LeafWork]]/(Tasks[[#This Row],[_FinishWorkday]]-Tasks[[#This Row],[_StartWorkday]]+1),0)</f>
        <v>0</v>
      </c>
      <c r="CU121" s="41" t="n">
        <f aca="false">Tasks[[#This Row],[_WorkPerWorkday]]*(Tasks[[#This Row],[_StartWorkday]]-1)</f>
        <v>-0</v>
      </c>
      <c r="CV121" s="41" t="n">
        <f aca="false">IF(Tasks[[#This Row],[_IsLeaf]]=1,MAX(N(Tasks[[#This Row],[Duration]]),0.1),0)</f>
        <v>0</v>
      </c>
      <c r="CW121" s="41" t="n">
        <f aca="false">Tasks[[#This Row],[_WeightDur]]*Tasks[[#This Row],[_LeafProgress]]</f>
        <v>0</v>
      </c>
      <c r="CX1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1" s="41" t="str">
        <f aca="false">IF(Tasks[[#This Row],[Task Name]]="","",Tasks[[#This Row],[_Pred1UIDText]]&amp;IF(AND(Tasks[[#This Row],[_Pred1UIDText]]&lt;&gt;"",Tasks[[#This Row],[_Pred2UIDText]]&lt;&gt;""),",","")&amp;Tasks[[#This Row],[_Pred2UIDText]])</f>
        <v/>
      </c>
      <c r="DC121" s="41" t="str">
        <f aca="false">IF(AND(Tasks[[#This Row],[_IsLeaf]]=1,N(Tasks[[#This Row],[Duration]])=0,Tasks[[#This Row],[_LeafProgress]]&lt;1),Tasks[[#This Row],[_LeafFcstFinish]]+Tasks[[#This Row],[_Row]]/100000,"")</f>
        <v/>
      </c>
      <c r="DD1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1" s="41" t="n">
        <f aca="false">IF(NOT(Tasks[[#This Row],[_IsLeaf]]=1),0,IF(Tasks[[#This Row],[Baseline Cost]]="",Tasks[[#This Row],[_LeafCost]],N(Tasks[[#This Row],[Baseline Cost]])))</f>
        <v>0</v>
      </c>
      <c r="DF121" s="41" t="n">
        <f aca="false">Tasks[[#This Row],[_LeafBudget]]*Tasks[[#This Row],[_PlannedPct]]</f>
        <v>0</v>
      </c>
      <c r="DG121" s="41" t="n">
        <f aca="false">Tasks[[#This Row],[_LeafBudget]]*Tasks[[#This Row],[_LeafProgress]]</f>
        <v>0</v>
      </c>
      <c r="DH121" s="41" t="n">
        <f aca="false">IF(NOT(Tasks[[#This Row],[_IsLeaf]]=1),0,IF(Tasks[[#This Row],[Actual Cost]]="",Tasks[[#This Row],[_LeafCost]]*Tasks[[#This Row],[_LeafProgress]],N(Tasks[[#This Row],[Actual Cost]])))</f>
        <v>0</v>
      </c>
      <c r="DI121" s="41" t="str">
        <f aca="false">IF(Tasks[[#This Row],[Task Name]]="","",LEFT(Tasks[[#This Row],[WBS]],FIND(".",Tasks[[#This Row],[WBS]]&amp;".")-1))</f>
        <v/>
      </c>
      <c r="DJ121" s="41" t="str">
        <f aca="false">IF(AND(Tasks[[#This Row],[Task Name]]&lt;&gt;"",Tasks[[#This Row],[_Level]]=1),Tasks[[#This Row],[_Row]],"")</f>
        <v/>
      </c>
      <c r="DK121" s="41" t="str">
        <f aca="false">IF(AND(Tasks[[#This Row],[_IsLeaf]]=1,N(Tasks[[#This Row],[Duration]])=0),Tasks[[#This Row],[Planned Finish]]+Tasks[[#This Row],[_Row]]/100000,"")</f>
        <v/>
      </c>
      <c r="DL121" s="41" t="str">
        <f aca="false">IF(AND(Tasks[[#This Row],[_IsLeaf]]=1,Tasks[[#This Row],[_LeafProgress]]&lt;1,OR(N(Tasks[[#This Row],[Finish Var]])&gt;0,Tasks[[#This Row],[Status]]="Late Start")),MAX(0,Tasks[[#This Row],[Finish Var]])+1-Tasks[[#This Row],[_Row]]/1000000,"")</f>
        <v/>
      </c>
      <c r="DM121" s="41" t="str">
        <f aca="false">IF(AND(Tasks[[#This Row],[_IsLeaf]]=1,N(Tasks[[#This Row],[Actual Start]])=0,Tasks[[#This Row],[_LeafFcstStart]]&gt;=StatusDate,Tasks[[#This Row],[_LeafFcstStart]]&lt;=LookaheadEnd),Tasks[[#This Row],[_LeafFcstStart]]+Tasks[[#This Row],[_Row]]/100000,"")</f>
        <v/>
      </c>
      <c r="DN121" s="41" t="str">
        <f aca="false">IF(AND(Tasks[[#This Row],[_IsLeaf]]=1,Tasks[[#This Row],[_LeafProgress]]&lt;1,Tasks[[#This Row],[_LeafFcstFinish]]&gt;=StatusDate,Tasks[[#This Row],[_LeafFcstFinish]]&lt;=LookaheadEnd),Tasks[[#This Row],[_LeafFcstFinish]]+Tasks[[#This Row],[_Row]]/100000,"")</f>
        <v/>
      </c>
      <c r="DO121" s="41" t="str">
        <f aca="false">IF(Tasks[[#This Row],[_LeafCritical]],Tasks[[#This Row],[_LeafFcstStart]]+Tasks[[#This Row],[_Row]]/100000,"")</f>
        <v/>
      </c>
      <c r="DP121" s="41" t="n">
        <f aca="false">Tasks[[#This Row],[_LeafWork]]*Tasks[[#This Row],[_LeafProgress]]</f>
        <v>0</v>
      </c>
      <c r="DQ121" s="103" t="str">
        <f aca="false">IF(AND(Tasks[[#This Row],[_IsLeaf]]=1,Tasks[[#This Row],[_LeafProgress]]&gt;=1),IF(N(Tasks[[#This Row],[Actual Finish]])&gt;0,Tasks[[#This Row],[Actual Finish]],Tasks[[#This Row],[_LeafFcstFinish]]),"")</f>
        <v/>
      </c>
      <c r="DR121" s="41" t="n">
        <f aca="false">IF(Tasks[[#This Row],[_IsLeaf]]=1,N(Tasks[[#This Row],[Story Points]]),0)</f>
        <v>0</v>
      </c>
      <c r="DS121" s="41" t="str">
        <f aca="false">IF(AND(Tasks[[#This Row],[_IsLeaf]]=1,CurrentSprint&lt;&gt;"",Tasks[[#This Row],[Sprint]]=CurrentSprint),Tasks[[#This Row],[_Row]],"")</f>
        <v/>
      </c>
    </row>
    <row r="122" customFormat="false" ht="15" hidden="false" customHeight="false" outlineLevel="0" collapsed="false">
      <c r="A122" s="28" t="str">
        <f aca="false">IF(Tasks[[#This Row],[Task Name]]="","",COUNTA(Tasks[[#Headers],[Task Name]]:Tasks[[#This Row],[Task Name]])-1)</f>
        <v/>
      </c>
      <c r="B122" s="29" t="n">
        <v>117</v>
      </c>
      <c r="C1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29"/>
      <c r="E122" s="30"/>
      <c r="F122" s="29"/>
      <c r="G122" s="29"/>
      <c r="H122" s="29"/>
      <c r="I122" s="29"/>
      <c r="J122" s="29"/>
      <c r="K122" s="29"/>
      <c r="L122" s="29"/>
      <c r="M122" s="29"/>
      <c r="N122" s="77"/>
      <c r="O122" s="77"/>
      <c r="P122" s="25" t="str">
        <f aca="false">IF(Tasks[[#This Row],[Task Name]]="","",IF(N(Tasks[[#This Row],[Baseline Start]])&gt;0,Tasks[[#This Row],[Baseline Start]],Tasks[[#This Row],[_CalcStart]]))</f>
        <v/>
      </c>
      <c r="Q122" s="25" t="str">
        <f aca="false">IF(Tasks[[#This Row],[Task Name]]="","",IF(N(Tasks[[#This Row],[Baseline Finish]])&gt;0,Tasks[[#This Row],[Baseline Finish]],Tasks[[#This Row],[_CalcFinish]]))</f>
        <v/>
      </c>
      <c r="R122" s="77"/>
      <c r="S122" s="77"/>
      <c r="T122" s="25" t="str">
        <f aca="false">IF(Tasks[[#This Row],[Task Name]]="","",IF(Tasks[[#This Row],[_IsSummary]],MIN(INDEX(Tasks[_LeafFcstStart],Tasks[[#This Row],[_Row]]+1):INDEX(Tasks[_LeafFcstStart],Tasks[[#This Row],[_Row]]+Tasks[[#This Row],[_Descendants]])),Tasks[[#This Row],[_LeafFcstStart]]))</f>
        <v/>
      </c>
      <c r="U122" s="25" t="str">
        <f aca="false">IF(Tasks[[#This Row],[Task Name]]="","",IF(Tasks[[#This Row],[_IsSummary]],MAX(INDEX(Tasks[_LeafFcstFinish],Tasks[[#This Row],[_Row]]+1):INDEX(Tasks[_LeafFcstFinish],Tasks[[#This Row],[_Row]]+Tasks[[#This Row],[_Descendants]])),Tasks[[#This Row],[_LeafFcstFinish]]))</f>
        <v/>
      </c>
      <c r="V12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2" s="25" t="str">
        <f aca="false">IF(Tasks[[#This Row],[Task Name]]="","",IF(Tasks[[#This Row],[_IsSummary]],MIN(INDEX(Tasks[_LeafLateStart],Tasks[[#This Row],[_Row]]+1):INDEX(Tasks[_LeafLateStart],Tasks[[#This Row],[_Row]]+Tasks[[#This Row],[_Descendants]])),Tasks[[#This Row],[_LeafLateStart]]))</f>
        <v/>
      </c>
      <c r="Y122" s="25" t="str">
        <f aca="false">IF(Tasks[[#This Row],[Task Name]]="","",IF(Tasks[[#This Row],[_IsSummary]],MAX(INDEX(Tasks[_LeafLateFinish],Tasks[[#This Row],[_Row]]+1):INDEX(Tasks[_LeafLateFinish],Tasks[[#This Row],[_Row]]+Tasks[[#This Row],[_Descendants]])),Tasks[[#This Row],[_LeafLateFinish]]))</f>
        <v/>
      </c>
      <c r="Z122" s="43" t="str">
        <f aca="false">IF(Tasks[[#This Row],[Task Name]]="","",IF(Tasks[[#This Row],[_IsSummary]],MIN(INDEX(Tasks[_LeafTotalSlack],Tasks[[#This Row],[_Row]]+1):INDEX(Tasks[_LeafTotalSlack],Tasks[[#This Row],[_Row]]+Tasks[[#This Row],[_Descendants]])),Tasks[[#This Row],[_LeafTotalSlack]]))</f>
        <v/>
      </c>
      <c r="AA1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2" s="28" t="str">
        <f aca="false">IF(Tasks[[#This Row],[Task Name]]="","",IF(IF(Tasks[[#This Row],[_IsSummary]],COUNTIF(INDEX(Tasks[_LeafCritical],Tasks[[#This Row],[_Row]]+1):INDEX(Tasks[_LeafCritical],Tasks[[#This Row],[_Row]]+Tasks[[#This Row],[_Descendants]]),TRUE())&gt;0,Tasks[[#This Row],[_LeafCritical]]),"Yes",""))</f>
        <v/>
      </c>
      <c r="AC1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2" s="24" t="str">
        <f aca="false">IF(Tasks[[#This Row],[Task Name]]="","",TRIM(IF(Tasks[[#This Row],[_Pred1Problem]]&lt;&gt;"","Pred 1: "&amp;Tasks[[#This Row],[_Pred1Problem]]&amp;". ","")&amp;IF(Tasks[[#This Row],[_Pred2Problem]]&lt;&gt;"","Pred 2: "&amp;Tasks[[#This Row],[_Pred2Problem]]&amp;".","")))</f>
        <v/>
      </c>
      <c r="AE122" s="91"/>
      <c r="AF12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2" s="28" t="str">
        <f aca="false">IF(Tasks[[#This Row],[Task Name]]="","",IF(Tasks[[#This Row],[Progress]]&gt;=1,"Complete",IF(OR(N(Tasks[[#This Row],[Actual Start]])&gt;0,Tasks[[#This Row],[Progress]]&gt;0),IF(Tasks[[#This Row],[Finish Var]]&gt;0,"Behind","In Progress"),IF(Tasks[[#This Row],[Planned Start]]&lt;StatusDate,"Late Start","Not Started"))))</f>
        <v/>
      </c>
      <c r="AH122" s="30"/>
      <c r="AI122" s="91"/>
      <c r="AJ12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2" s="98" t="str">
        <f aca="false">IF(Tasks[[#This Row],[Task Name]]="","",IF(Tasks[[#This Row],[_IsSummary]],SUM(INDEX(Tasks[_LeafWork],Tasks[[#This Row],[_Row]]+1):INDEX(Tasks[_LeafWork],Tasks[[#This Row],[_Row]]+Tasks[[#This Row],[_Descendants]])),Tasks[[#This Row],[_LeafWork]]))</f>
        <v/>
      </c>
      <c r="AL122" s="99" t="str">
        <f aca="false">IF(Tasks[[#This Row],[Task Name]]="","",IF(Tasks[[#This Row],[_IsSummary]],SUM(INDEX(Tasks[_LeafCost],Tasks[[#This Row],[_Row]]+1):INDEX(Tasks[_LeafCost],Tasks[[#This Row],[_Row]]+Tasks[[#This Row],[_Descendants]])),Tasks[[#This Row],[_LeafCost]]))</f>
        <v/>
      </c>
      <c r="AM122" s="100"/>
      <c r="AN122" s="29"/>
      <c r="AO1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2" s="85"/>
      <c r="AQ122" s="24" t="str">
        <f aca="false">IF(Tasks[[#This Row],[Task Name]]="","",Tasks[[#This Row],[_Pred1IDText]]&amp;IF(AND(Tasks[[#This Row],[_Pred1IDText]]&lt;&gt;"",Tasks[[#This Row],[_Pred2IDText]]&lt;&gt;""),",","")&amp;Tasks[[#This Row],[_Pred2IDText]])</f>
        <v/>
      </c>
      <c r="AR122" s="30"/>
      <c r="AS122" s="25" t="str">
        <f aca="false">IF(Tasks[[#This Row],[Task Name]]="","",Tasks[[#This Row],[Forecast Start]])</f>
        <v/>
      </c>
      <c r="AT122" s="25" t="str">
        <f aca="false">IF(Tasks[[#This Row],[Task Name]]="","",Tasks[[#This Row],[Forecast Finish]])</f>
        <v/>
      </c>
      <c r="AU122" s="28" t="str">
        <f aca="false">IF(Tasks[[#This Row],[Task Name]]="","",IF(Tasks[[#This Row],[_IsSummary]],NETWORKDAYS.INTL(Tasks[[#This Row],[Forecast Start]],Tasks[[#This Row],[Forecast Finish]],WorkWeek,Holidays),N(Tasks[[#This Row],[Duration]])))</f>
        <v/>
      </c>
      <c r="AV122" s="98" t="str">
        <f aca="false">IF(Tasks[[#This Row],[Task Name]]="","",Tasks[[#This Row],[Work]])</f>
        <v/>
      </c>
      <c r="AW122" s="99" t="str">
        <f aca="false">IF(Tasks[[#This Row],[Task Name]]="","",Tasks[[#This Row],[Cost]])</f>
        <v/>
      </c>
      <c r="AX122" s="77"/>
      <c r="AY122" s="77"/>
      <c r="AZ122" s="29"/>
      <c r="BA122" s="101"/>
      <c r="BB122" s="100"/>
      <c r="BC122" s="28" t="str">
        <f aca="false">IF(OR(Tasks[[#This Row],[Task Name]]="",Tasks[[#This Row],[Baseline Duration]]=""),"",Tasks[[#This Row],[BL Source Duration]]-N(Tasks[[#This Row],[Baseline Duration]]))</f>
        <v/>
      </c>
      <c r="BD122" s="98" t="str">
        <f aca="false">IF(OR(Tasks[[#This Row],[Task Name]]="",Tasks[[#This Row],[Baseline Work]]=""),"",Tasks[[#This Row],[Work]]-N(Tasks[[#This Row],[Baseline Work]]))</f>
        <v/>
      </c>
      <c r="BE122" s="99" t="str">
        <f aca="false">IF(OR(Tasks[[#This Row],[Task Name]]="",Tasks[[#This Row],[Baseline Cost]]=""),"",Tasks[[#This Row],[Cost]]-N(Tasks[[#This Row],[Baseline Cost]]))</f>
        <v/>
      </c>
      <c r="BF122" s="99" t="str">
        <f aca="false">IF(Tasks[[#This Row],[Task Name]]="","",IF(Tasks[[#This Row],[_IsSummary]],SUM(INDEX(Tasks[_LeafBudget],Tasks[[#This Row],[_Row]]+1):INDEX(Tasks[_LeafBudget],Tasks[[#This Row],[_Row]]+Tasks[[#This Row],[_Descendants]])),Tasks[[#This Row],[_LeafBudget]]))</f>
        <v/>
      </c>
      <c r="BG122" s="99" t="str">
        <f aca="false">IF(Tasks[[#This Row],[Task Name]]="","",IF(Tasks[[#This Row],[_IsSummary]],SUM(INDEX(Tasks[_LeafPV],Tasks[[#This Row],[_Row]]+1):INDEX(Tasks[_LeafPV],Tasks[[#This Row],[_Row]]+Tasks[[#This Row],[_Descendants]])),Tasks[[#This Row],[_LeafPV]]))</f>
        <v/>
      </c>
      <c r="BH122" s="99" t="str">
        <f aca="false">IF(Tasks[[#This Row],[Task Name]]="","",IF(Tasks[[#This Row],[_IsSummary]],SUM(INDEX(Tasks[_LeafEV],Tasks[[#This Row],[_Row]]+1):INDEX(Tasks[_LeafEV],Tasks[[#This Row],[_Row]]+Tasks[[#This Row],[_Descendants]])),Tasks[[#This Row],[_LeafEV]]))</f>
        <v/>
      </c>
      <c r="BI122" s="99" t="str">
        <f aca="false">IF(Tasks[[#This Row],[Task Name]]="","",IF(Tasks[[#This Row],[_IsSummary]],SUM(INDEX(Tasks[_LeafAC],Tasks[[#This Row],[_Row]]+1):INDEX(Tasks[_LeafAC],Tasks[[#This Row],[_Row]]+Tasks[[#This Row],[_Descendants]])),Tasks[[#This Row],[_LeafAC]]))</f>
        <v/>
      </c>
      <c r="BJ122" s="41" t="str">
        <f aca="false">IF(Tasks[[#This Row],[Task Name]]="","",MAX(1,N(Tasks[[#This Row],[Level]])))</f>
        <v/>
      </c>
      <c r="BK122" s="41" t="n">
        <f aca="false">ROW()-ROW(Tasks[[#Headers],[ID]])</f>
        <v>117</v>
      </c>
      <c r="BL122" s="41" t="n">
        <f aca="false">IF(OR(Tasks[[#This Row],[Task Name]]="",Tasks[[#This Row],[_Level]]&lt;=1),0,IFERROR(LOOKUP(2,1/(Tasks[[#Headers],[_Level]]:Tasks[[#This Row],[_Level]]=Tasks[[#This Row],[_Level]]-1),ROW(Tasks[[#Headers],[_Level]]:Tasks[[#This Row],[_Level]])),0))</f>
        <v>0</v>
      </c>
      <c r="BM122" s="41" t="n">
        <f aca="false">IFERROR(N(INDEX(Tasks[_Level],Tasks[[#This Row],[_Row]]+1)),0)</f>
        <v>0</v>
      </c>
      <c r="BN122" s="102" t="b">
        <f aca="false">AND(Tasks[[#This Row],[Task Name]]&lt;&gt;"",Tasks[[#This Row],[_NextLevel]]&gt;Tasks[[#This Row],[_Level]])</f>
        <v>0</v>
      </c>
      <c r="BO122" s="41" t="n">
        <f aca="false">IF(Tasks[[#This Row],[_IsSummary]],COUNTIF(Tasks[WBS],Tasks[[#This Row],[WBS]]&amp;".*"),0)</f>
        <v>0</v>
      </c>
      <c r="BP122" s="41" t="n">
        <f aca="false">IF(AND(Tasks[[#This Row],[Task Name]]&lt;&gt;"",NOT(Tasks[[#This Row],[_IsSummary]])),1,0)</f>
        <v>0</v>
      </c>
      <c r="BQ122" s="41" t="n">
        <f aca="false">IF(N(Tasks[[#This Row],[Pred1 UID]])=0,0,IFERROR(MATCH(Tasks[[#This Row],[Pred1 UID]],Tasks[UID],0),-1))</f>
        <v>0</v>
      </c>
      <c r="BR122" s="41" t="n">
        <f aca="false">IF(N(Tasks[[#This Row],[Pred2 UID]])=0,0,IFERROR(MATCH(Tasks[[#This Row],[Pred2 UID]],Tasks[UID],0),-1))</f>
        <v>0</v>
      </c>
      <c r="BS12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2" s="103" t="str">
        <f aca="false">IF(NOT(Tasks[[#This Row],[_IsLeaf]]=1),"",IF(N(Tasks[[#This Row],[Duration]])&lt;=0,Tasks[[#This Row],[_LeafCalcStart]],WORKDAY.INTL(Tasks[[#This Row],[_LeafCalcStart]],Tasks[[#This Row],[Duration]]-1,WorkWeek,Holidays)))</f>
        <v/>
      </c>
      <c r="BU12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2" s="41" t="n">
        <f aca="false">IF(NOT(Tasks[[#This Row],[_IsLeaf]]=1),0,IF(N(Tasks[[#This Row],[Actual Finish]])&gt;0,1,MIN(1,N(Tasks[[#This Row],[% Complete]]))))</f>
        <v>0</v>
      </c>
      <c r="BX122" s="41" t="n">
        <f aca="false">IF(OR(NOT(Tasks[[#This Row],[_IsLeaf]]=1),Tasks[[#This Row],[Resource]]=""),0,N(Tasks[[#This Row],[Duration]])*HoursPerDay*IF(Tasks[[#This Row],[Units]]="",DefaultUnits,Tasks[[#This Row],[Units]]))</f>
        <v>0</v>
      </c>
      <c r="BY122" s="41" t="n">
        <f aca="false">IF(Tasks[[#This Row],[_LeafWork]]=0,0,Tasks[[#This Row],[_LeafWork]]*IFERROR(INDEX(res_Rate,MATCH(Tasks[[#This Row],[Resource]],res_Name,0)),0))</f>
        <v>0</v>
      </c>
      <c r="BZ1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2" s="41" t="n">
        <f aca="false">IF(NOT(Tasks[[#This Row],[_IsLeaf]]=1),0,MAX(_xlfn.MAXIFS(Tasks[_Row],Tasks[Pred1 UID],Tasks[[#This Row],[UID]]),_xlfn.MAXIFS(Tasks[_Row],Tasks[Pred2 UID],Tasks[[#This Row],[UID]])))</f>
        <v>0</v>
      </c>
      <c r="CE12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2" s="103" t="str">
        <f aca="false">IF(NOT(Tasks[[#This Row],[_IsLeaf]]=1),"",MIN(ProjectFinish,IF(N(Tasks[[#This Row],[Deadline]])&gt;0,Tasks[[#This Row],[Deadline]],2958465),Tasks[[#This Row],[_SuccessorFinishLimit]]))</f>
        <v/>
      </c>
      <c r="CG122" s="103" t="str">
        <f aca="false">IF(NOT(Tasks[[#This Row],[_IsLeaf]]=1),"",IF(N(Tasks[[#This Row],[Duration]])&lt;=0,Tasks[[#This Row],[_LeafLateFinish]],WORKDAY.INTL(Tasks[[#This Row],[_LeafLateFinish]],-(Tasks[[#This Row],[Duration]]-1),WorkWeek,Holidays)))</f>
        <v/>
      </c>
      <c r="CH1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2" s="102" t="b">
        <f aca="false">AND(Tasks[[#This Row],[_IsLeaf]]=1,Tasks[[#This Row],[_LeafProgress]]&lt;1,N(Tasks[[#This Row],[_LeafTotalSlack]])&lt;=CriticalSlackDays)</f>
        <v>0</v>
      </c>
      <c r="CJ122" s="103" t="str">
        <f aca="false">IF(Tasks[[#This Row],[Task Name]]="","",IF(Tasks[[#This Row],[_IsSummary]],MIN(INDEX(Tasks[_LeafCalcStart],Tasks[[#This Row],[_Row]]+1):INDEX(Tasks[_LeafCalcStart],Tasks[[#This Row],[_Row]]+Tasks[[#This Row],[_Descendants]])),Tasks[[#This Row],[_LeafCalcStart]]))</f>
        <v/>
      </c>
      <c r="CK122" s="103" t="str">
        <f aca="false">IF(Tasks[[#This Row],[Task Name]]="","",IF(Tasks[[#This Row],[_IsSummary]],MAX(INDEX(Tasks[_LeafCalcFinish],Tasks[[#This Row],[_Row]]+1):INDEX(Tasks[_LeafCalcFinish],Tasks[[#This Row],[_Row]]+Tasks[[#This Row],[_Descendants]])),Tasks[[#This Row],[_LeafCalcFinish]]))</f>
        <v/>
      </c>
      <c r="CL1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2" s="41" t="n">
        <f aca="false">IF(AND(Tasks[[#This Row],[_IsLeaf]]=1,Tasks[[#This Row],[_LeafWork]]&gt;0),NETWORKDAYS.INTL(ProjectStart,Tasks[[#This Row],[_LeafFcstStart]],WorkWeek,Holidays),0)</f>
        <v>0</v>
      </c>
      <c r="CS122" s="41" t="n">
        <f aca="false">IF(AND(Tasks[[#This Row],[_IsLeaf]]=1,Tasks[[#This Row],[_LeafWork]]&gt;0),MAX(Tasks[[#This Row],[_StartWorkday]],NETWORKDAYS.INTL(ProjectStart,Tasks[[#This Row],[_LeafFcstFinish]],WorkWeek,Holidays)),0)</f>
        <v>0</v>
      </c>
      <c r="CT122" s="41" t="n">
        <f aca="false">IF(AND(Tasks[[#This Row],[_IsLeaf]]=1,Tasks[[#This Row],[_LeafWork]]&gt;0),Tasks[[#This Row],[_LeafWork]]/(Tasks[[#This Row],[_FinishWorkday]]-Tasks[[#This Row],[_StartWorkday]]+1),0)</f>
        <v>0</v>
      </c>
      <c r="CU122" s="41" t="n">
        <f aca="false">Tasks[[#This Row],[_WorkPerWorkday]]*(Tasks[[#This Row],[_StartWorkday]]-1)</f>
        <v>-0</v>
      </c>
      <c r="CV122" s="41" t="n">
        <f aca="false">IF(Tasks[[#This Row],[_IsLeaf]]=1,MAX(N(Tasks[[#This Row],[Duration]]),0.1),0)</f>
        <v>0</v>
      </c>
      <c r="CW122" s="41" t="n">
        <f aca="false">Tasks[[#This Row],[_WeightDur]]*Tasks[[#This Row],[_LeafProgress]]</f>
        <v>0</v>
      </c>
      <c r="CX1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2" s="41" t="str">
        <f aca="false">IF(Tasks[[#This Row],[Task Name]]="","",Tasks[[#This Row],[_Pred1UIDText]]&amp;IF(AND(Tasks[[#This Row],[_Pred1UIDText]]&lt;&gt;"",Tasks[[#This Row],[_Pred2UIDText]]&lt;&gt;""),",","")&amp;Tasks[[#This Row],[_Pred2UIDText]])</f>
        <v/>
      </c>
      <c r="DC122" s="41" t="str">
        <f aca="false">IF(AND(Tasks[[#This Row],[_IsLeaf]]=1,N(Tasks[[#This Row],[Duration]])=0,Tasks[[#This Row],[_LeafProgress]]&lt;1),Tasks[[#This Row],[_LeafFcstFinish]]+Tasks[[#This Row],[_Row]]/100000,"")</f>
        <v/>
      </c>
      <c r="DD1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2" s="41" t="n">
        <f aca="false">IF(NOT(Tasks[[#This Row],[_IsLeaf]]=1),0,IF(Tasks[[#This Row],[Baseline Cost]]="",Tasks[[#This Row],[_LeafCost]],N(Tasks[[#This Row],[Baseline Cost]])))</f>
        <v>0</v>
      </c>
      <c r="DF122" s="41" t="n">
        <f aca="false">Tasks[[#This Row],[_LeafBudget]]*Tasks[[#This Row],[_PlannedPct]]</f>
        <v>0</v>
      </c>
      <c r="DG122" s="41" t="n">
        <f aca="false">Tasks[[#This Row],[_LeafBudget]]*Tasks[[#This Row],[_LeafProgress]]</f>
        <v>0</v>
      </c>
      <c r="DH122" s="41" t="n">
        <f aca="false">IF(NOT(Tasks[[#This Row],[_IsLeaf]]=1),0,IF(Tasks[[#This Row],[Actual Cost]]="",Tasks[[#This Row],[_LeafCost]]*Tasks[[#This Row],[_LeafProgress]],N(Tasks[[#This Row],[Actual Cost]])))</f>
        <v>0</v>
      </c>
      <c r="DI122" s="41" t="str">
        <f aca="false">IF(Tasks[[#This Row],[Task Name]]="","",LEFT(Tasks[[#This Row],[WBS]],FIND(".",Tasks[[#This Row],[WBS]]&amp;".")-1))</f>
        <v/>
      </c>
      <c r="DJ122" s="41" t="str">
        <f aca="false">IF(AND(Tasks[[#This Row],[Task Name]]&lt;&gt;"",Tasks[[#This Row],[_Level]]=1),Tasks[[#This Row],[_Row]],"")</f>
        <v/>
      </c>
      <c r="DK122" s="41" t="str">
        <f aca="false">IF(AND(Tasks[[#This Row],[_IsLeaf]]=1,N(Tasks[[#This Row],[Duration]])=0),Tasks[[#This Row],[Planned Finish]]+Tasks[[#This Row],[_Row]]/100000,"")</f>
        <v/>
      </c>
      <c r="DL122" s="41" t="str">
        <f aca="false">IF(AND(Tasks[[#This Row],[_IsLeaf]]=1,Tasks[[#This Row],[_LeafProgress]]&lt;1,OR(N(Tasks[[#This Row],[Finish Var]])&gt;0,Tasks[[#This Row],[Status]]="Late Start")),MAX(0,Tasks[[#This Row],[Finish Var]])+1-Tasks[[#This Row],[_Row]]/1000000,"")</f>
        <v/>
      </c>
      <c r="DM122" s="41" t="str">
        <f aca="false">IF(AND(Tasks[[#This Row],[_IsLeaf]]=1,N(Tasks[[#This Row],[Actual Start]])=0,Tasks[[#This Row],[_LeafFcstStart]]&gt;=StatusDate,Tasks[[#This Row],[_LeafFcstStart]]&lt;=LookaheadEnd),Tasks[[#This Row],[_LeafFcstStart]]+Tasks[[#This Row],[_Row]]/100000,"")</f>
        <v/>
      </c>
      <c r="DN122" s="41" t="str">
        <f aca="false">IF(AND(Tasks[[#This Row],[_IsLeaf]]=1,Tasks[[#This Row],[_LeafProgress]]&lt;1,Tasks[[#This Row],[_LeafFcstFinish]]&gt;=StatusDate,Tasks[[#This Row],[_LeafFcstFinish]]&lt;=LookaheadEnd),Tasks[[#This Row],[_LeafFcstFinish]]+Tasks[[#This Row],[_Row]]/100000,"")</f>
        <v/>
      </c>
      <c r="DO122" s="41" t="str">
        <f aca="false">IF(Tasks[[#This Row],[_LeafCritical]],Tasks[[#This Row],[_LeafFcstStart]]+Tasks[[#This Row],[_Row]]/100000,"")</f>
        <v/>
      </c>
      <c r="DP122" s="41" t="n">
        <f aca="false">Tasks[[#This Row],[_LeafWork]]*Tasks[[#This Row],[_LeafProgress]]</f>
        <v>0</v>
      </c>
      <c r="DQ122" s="103" t="str">
        <f aca="false">IF(AND(Tasks[[#This Row],[_IsLeaf]]=1,Tasks[[#This Row],[_LeafProgress]]&gt;=1),IF(N(Tasks[[#This Row],[Actual Finish]])&gt;0,Tasks[[#This Row],[Actual Finish]],Tasks[[#This Row],[_LeafFcstFinish]]),"")</f>
        <v/>
      </c>
      <c r="DR122" s="41" t="n">
        <f aca="false">IF(Tasks[[#This Row],[_IsLeaf]]=1,N(Tasks[[#This Row],[Story Points]]),0)</f>
        <v>0</v>
      </c>
      <c r="DS122" s="41" t="str">
        <f aca="false">IF(AND(Tasks[[#This Row],[_IsLeaf]]=1,CurrentSprint&lt;&gt;"",Tasks[[#This Row],[Sprint]]=CurrentSprint),Tasks[[#This Row],[_Row]],"")</f>
        <v/>
      </c>
    </row>
    <row r="123" customFormat="false" ht="15" hidden="false" customHeight="false" outlineLevel="0" collapsed="false">
      <c r="A123" s="28" t="str">
        <f aca="false">IF(Tasks[[#This Row],[Task Name]]="","",COUNTA(Tasks[[#Headers],[Task Name]]:Tasks[[#This Row],[Task Name]])-1)</f>
        <v/>
      </c>
      <c r="B123" s="29" t="n">
        <v>118</v>
      </c>
      <c r="C1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29"/>
      <c r="E123" s="30"/>
      <c r="F123" s="29"/>
      <c r="G123" s="29"/>
      <c r="H123" s="29"/>
      <c r="I123" s="29"/>
      <c r="J123" s="29"/>
      <c r="K123" s="29"/>
      <c r="L123" s="29"/>
      <c r="M123" s="29"/>
      <c r="N123" s="77"/>
      <c r="O123" s="77"/>
      <c r="P123" s="25" t="str">
        <f aca="false">IF(Tasks[[#This Row],[Task Name]]="","",IF(N(Tasks[[#This Row],[Baseline Start]])&gt;0,Tasks[[#This Row],[Baseline Start]],Tasks[[#This Row],[_CalcStart]]))</f>
        <v/>
      </c>
      <c r="Q123" s="25" t="str">
        <f aca="false">IF(Tasks[[#This Row],[Task Name]]="","",IF(N(Tasks[[#This Row],[Baseline Finish]])&gt;0,Tasks[[#This Row],[Baseline Finish]],Tasks[[#This Row],[_CalcFinish]]))</f>
        <v/>
      </c>
      <c r="R123" s="77"/>
      <c r="S123" s="77"/>
      <c r="T123" s="25" t="str">
        <f aca="false">IF(Tasks[[#This Row],[Task Name]]="","",IF(Tasks[[#This Row],[_IsSummary]],MIN(INDEX(Tasks[_LeafFcstStart],Tasks[[#This Row],[_Row]]+1):INDEX(Tasks[_LeafFcstStart],Tasks[[#This Row],[_Row]]+Tasks[[#This Row],[_Descendants]])),Tasks[[#This Row],[_LeafFcstStart]]))</f>
        <v/>
      </c>
      <c r="U123" s="25" t="str">
        <f aca="false">IF(Tasks[[#This Row],[Task Name]]="","",IF(Tasks[[#This Row],[_IsSummary]],MAX(INDEX(Tasks[_LeafFcstFinish],Tasks[[#This Row],[_Row]]+1):INDEX(Tasks[_LeafFcstFinish],Tasks[[#This Row],[_Row]]+Tasks[[#This Row],[_Descendants]])),Tasks[[#This Row],[_LeafFcstFinish]]))</f>
        <v/>
      </c>
      <c r="V12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3" s="25" t="str">
        <f aca="false">IF(Tasks[[#This Row],[Task Name]]="","",IF(Tasks[[#This Row],[_IsSummary]],MIN(INDEX(Tasks[_LeafLateStart],Tasks[[#This Row],[_Row]]+1):INDEX(Tasks[_LeafLateStart],Tasks[[#This Row],[_Row]]+Tasks[[#This Row],[_Descendants]])),Tasks[[#This Row],[_LeafLateStart]]))</f>
        <v/>
      </c>
      <c r="Y123" s="25" t="str">
        <f aca="false">IF(Tasks[[#This Row],[Task Name]]="","",IF(Tasks[[#This Row],[_IsSummary]],MAX(INDEX(Tasks[_LeafLateFinish],Tasks[[#This Row],[_Row]]+1):INDEX(Tasks[_LeafLateFinish],Tasks[[#This Row],[_Row]]+Tasks[[#This Row],[_Descendants]])),Tasks[[#This Row],[_LeafLateFinish]]))</f>
        <v/>
      </c>
      <c r="Z123" s="43" t="str">
        <f aca="false">IF(Tasks[[#This Row],[Task Name]]="","",IF(Tasks[[#This Row],[_IsSummary]],MIN(INDEX(Tasks[_LeafTotalSlack],Tasks[[#This Row],[_Row]]+1):INDEX(Tasks[_LeafTotalSlack],Tasks[[#This Row],[_Row]]+Tasks[[#This Row],[_Descendants]])),Tasks[[#This Row],[_LeafTotalSlack]]))</f>
        <v/>
      </c>
      <c r="AA1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3" s="28" t="str">
        <f aca="false">IF(Tasks[[#This Row],[Task Name]]="","",IF(IF(Tasks[[#This Row],[_IsSummary]],COUNTIF(INDEX(Tasks[_LeafCritical],Tasks[[#This Row],[_Row]]+1):INDEX(Tasks[_LeafCritical],Tasks[[#This Row],[_Row]]+Tasks[[#This Row],[_Descendants]]),TRUE())&gt;0,Tasks[[#This Row],[_LeafCritical]]),"Yes",""))</f>
        <v/>
      </c>
      <c r="AC1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3" s="24" t="str">
        <f aca="false">IF(Tasks[[#This Row],[Task Name]]="","",TRIM(IF(Tasks[[#This Row],[_Pred1Problem]]&lt;&gt;"","Pred 1: "&amp;Tasks[[#This Row],[_Pred1Problem]]&amp;". ","")&amp;IF(Tasks[[#This Row],[_Pred2Problem]]&lt;&gt;"","Pred 2: "&amp;Tasks[[#This Row],[_Pred2Problem]]&amp;".","")))</f>
        <v/>
      </c>
      <c r="AE123" s="91"/>
      <c r="AF12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3" s="28" t="str">
        <f aca="false">IF(Tasks[[#This Row],[Task Name]]="","",IF(Tasks[[#This Row],[Progress]]&gt;=1,"Complete",IF(OR(N(Tasks[[#This Row],[Actual Start]])&gt;0,Tasks[[#This Row],[Progress]]&gt;0),IF(Tasks[[#This Row],[Finish Var]]&gt;0,"Behind","In Progress"),IF(Tasks[[#This Row],[Planned Start]]&lt;StatusDate,"Late Start","Not Started"))))</f>
        <v/>
      </c>
      <c r="AH123" s="30"/>
      <c r="AI123" s="91"/>
      <c r="AJ12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3" s="98" t="str">
        <f aca="false">IF(Tasks[[#This Row],[Task Name]]="","",IF(Tasks[[#This Row],[_IsSummary]],SUM(INDEX(Tasks[_LeafWork],Tasks[[#This Row],[_Row]]+1):INDEX(Tasks[_LeafWork],Tasks[[#This Row],[_Row]]+Tasks[[#This Row],[_Descendants]])),Tasks[[#This Row],[_LeafWork]]))</f>
        <v/>
      </c>
      <c r="AL123" s="99" t="str">
        <f aca="false">IF(Tasks[[#This Row],[Task Name]]="","",IF(Tasks[[#This Row],[_IsSummary]],SUM(INDEX(Tasks[_LeafCost],Tasks[[#This Row],[_Row]]+1):INDEX(Tasks[_LeafCost],Tasks[[#This Row],[_Row]]+Tasks[[#This Row],[_Descendants]])),Tasks[[#This Row],[_LeafCost]]))</f>
        <v/>
      </c>
      <c r="AM123" s="100"/>
      <c r="AN123" s="29"/>
      <c r="AO1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3" s="85"/>
      <c r="AQ123" s="24" t="str">
        <f aca="false">IF(Tasks[[#This Row],[Task Name]]="","",Tasks[[#This Row],[_Pred1IDText]]&amp;IF(AND(Tasks[[#This Row],[_Pred1IDText]]&lt;&gt;"",Tasks[[#This Row],[_Pred2IDText]]&lt;&gt;""),",","")&amp;Tasks[[#This Row],[_Pred2IDText]])</f>
        <v/>
      </c>
      <c r="AR123" s="30"/>
      <c r="AS123" s="25" t="str">
        <f aca="false">IF(Tasks[[#This Row],[Task Name]]="","",Tasks[[#This Row],[Forecast Start]])</f>
        <v/>
      </c>
      <c r="AT123" s="25" t="str">
        <f aca="false">IF(Tasks[[#This Row],[Task Name]]="","",Tasks[[#This Row],[Forecast Finish]])</f>
        <v/>
      </c>
      <c r="AU123" s="28" t="str">
        <f aca="false">IF(Tasks[[#This Row],[Task Name]]="","",IF(Tasks[[#This Row],[_IsSummary]],NETWORKDAYS.INTL(Tasks[[#This Row],[Forecast Start]],Tasks[[#This Row],[Forecast Finish]],WorkWeek,Holidays),N(Tasks[[#This Row],[Duration]])))</f>
        <v/>
      </c>
      <c r="AV123" s="98" t="str">
        <f aca="false">IF(Tasks[[#This Row],[Task Name]]="","",Tasks[[#This Row],[Work]])</f>
        <v/>
      </c>
      <c r="AW123" s="99" t="str">
        <f aca="false">IF(Tasks[[#This Row],[Task Name]]="","",Tasks[[#This Row],[Cost]])</f>
        <v/>
      </c>
      <c r="AX123" s="77"/>
      <c r="AY123" s="77"/>
      <c r="AZ123" s="29"/>
      <c r="BA123" s="101"/>
      <c r="BB123" s="100"/>
      <c r="BC123" s="28" t="str">
        <f aca="false">IF(OR(Tasks[[#This Row],[Task Name]]="",Tasks[[#This Row],[Baseline Duration]]=""),"",Tasks[[#This Row],[BL Source Duration]]-N(Tasks[[#This Row],[Baseline Duration]]))</f>
        <v/>
      </c>
      <c r="BD123" s="98" t="str">
        <f aca="false">IF(OR(Tasks[[#This Row],[Task Name]]="",Tasks[[#This Row],[Baseline Work]]=""),"",Tasks[[#This Row],[Work]]-N(Tasks[[#This Row],[Baseline Work]]))</f>
        <v/>
      </c>
      <c r="BE123" s="99" t="str">
        <f aca="false">IF(OR(Tasks[[#This Row],[Task Name]]="",Tasks[[#This Row],[Baseline Cost]]=""),"",Tasks[[#This Row],[Cost]]-N(Tasks[[#This Row],[Baseline Cost]]))</f>
        <v/>
      </c>
      <c r="BF123" s="99" t="str">
        <f aca="false">IF(Tasks[[#This Row],[Task Name]]="","",IF(Tasks[[#This Row],[_IsSummary]],SUM(INDEX(Tasks[_LeafBudget],Tasks[[#This Row],[_Row]]+1):INDEX(Tasks[_LeafBudget],Tasks[[#This Row],[_Row]]+Tasks[[#This Row],[_Descendants]])),Tasks[[#This Row],[_LeafBudget]]))</f>
        <v/>
      </c>
      <c r="BG123" s="99" t="str">
        <f aca="false">IF(Tasks[[#This Row],[Task Name]]="","",IF(Tasks[[#This Row],[_IsSummary]],SUM(INDEX(Tasks[_LeafPV],Tasks[[#This Row],[_Row]]+1):INDEX(Tasks[_LeafPV],Tasks[[#This Row],[_Row]]+Tasks[[#This Row],[_Descendants]])),Tasks[[#This Row],[_LeafPV]]))</f>
        <v/>
      </c>
      <c r="BH123" s="99" t="str">
        <f aca="false">IF(Tasks[[#This Row],[Task Name]]="","",IF(Tasks[[#This Row],[_IsSummary]],SUM(INDEX(Tasks[_LeafEV],Tasks[[#This Row],[_Row]]+1):INDEX(Tasks[_LeafEV],Tasks[[#This Row],[_Row]]+Tasks[[#This Row],[_Descendants]])),Tasks[[#This Row],[_LeafEV]]))</f>
        <v/>
      </c>
      <c r="BI123" s="99" t="str">
        <f aca="false">IF(Tasks[[#This Row],[Task Name]]="","",IF(Tasks[[#This Row],[_IsSummary]],SUM(INDEX(Tasks[_LeafAC],Tasks[[#This Row],[_Row]]+1):INDEX(Tasks[_LeafAC],Tasks[[#This Row],[_Row]]+Tasks[[#This Row],[_Descendants]])),Tasks[[#This Row],[_LeafAC]]))</f>
        <v/>
      </c>
      <c r="BJ123" s="41" t="str">
        <f aca="false">IF(Tasks[[#This Row],[Task Name]]="","",MAX(1,N(Tasks[[#This Row],[Level]])))</f>
        <v/>
      </c>
      <c r="BK123" s="41" t="n">
        <f aca="false">ROW()-ROW(Tasks[[#Headers],[ID]])</f>
        <v>118</v>
      </c>
      <c r="BL123" s="41" t="n">
        <f aca="false">IF(OR(Tasks[[#This Row],[Task Name]]="",Tasks[[#This Row],[_Level]]&lt;=1),0,IFERROR(LOOKUP(2,1/(Tasks[[#Headers],[_Level]]:Tasks[[#This Row],[_Level]]=Tasks[[#This Row],[_Level]]-1),ROW(Tasks[[#Headers],[_Level]]:Tasks[[#This Row],[_Level]])),0))</f>
        <v>0</v>
      </c>
      <c r="BM123" s="41" t="n">
        <f aca="false">IFERROR(N(INDEX(Tasks[_Level],Tasks[[#This Row],[_Row]]+1)),0)</f>
        <v>0</v>
      </c>
      <c r="BN123" s="102" t="b">
        <f aca="false">AND(Tasks[[#This Row],[Task Name]]&lt;&gt;"",Tasks[[#This Row],[_NextLevel]]&gt;Tasks[[#This Row],[_Level]])</f>
        <v>0</v>
      </c>
      <c r="BO123" s="41" t="n">
        <f aca="false">IF(Tasks[[#This Row],[_IsSummary]],COUNTIF(Tasks[WBS],Tasks[[#This Row],[WBS]]&amp;".*"),0)</f>
        <v>0</v>
      </c>
      <c r="BP123" s="41" t="n">
        <f aca="false">IF(AND(Tasks[[#This Row],[Task Name]]&lt;&gt;"",NOT(Tasks[[#This Row],[_IsSummary]])),1,0)</f>
        <v>0</v>
      </c>
      <c r="BQ123" s="41" t="n">
        <f aca="false">IF(N(Tasks[[#This Row],[Pred1 UID]])=0,0,IFERROR(MATCH(Tasks[[#This Row],[Pred1 UID]],Tasks[UID],0),-1))</f>
        <v>0</v>
      </c>
      <c r="BR123" s="41" t="n">
        <f aca="false">IF(N(Tasks[[#This Row],[Pred2 UID]])=0,0,IFERROR(MATCH(Tasks[[#This Row],[Pred2 UID]],Tasks[UID],0),-1))</f>
        <v>0</v>
      </c>
      <c r="BS12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3" s="103" t="str">
        <f aca="false">IF(NOT(Tasks[[#This Row],[_IsLeaf]]=1),"",IF(N(Tasks[[#This Row],[Duration]])&lt;=0,Tasks[[#This Row],[_LeafCalcStart]],WORKDAY.INTL(Tasks[[#This Row],[_LeafCalcStart]],Tasks[[#This Row],[Duration]]-1,WorkWeek,Holidays)))</f>
        <v/>
      </c>
      <c r="BU12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3" s="41" t="n">
        <f aca="false">IF(NOT(Tasks[[#This Row],[_IsLeaf]]=1),0,IF(N(Tasks[[#This Row],[Actual Finish]])&gt;0,1,MIN(1,N(Tasks[[#This Row],[% Complete]]))))</f>
        <v>0</v>
      </c>
      <c r="BX123" s="41" t="n">
        <f aca="false">IF(OR(NOT(Tasks[[#This Row],[_IsLeaf]]=1),Tasks[[#This Row],[Resource]]=""),0,N(Tasks[[#This Row],[Duration]])*HoursPerDay*IF(Tasks[[#This Row],[Units]]="",DefaultUnits,Tasks[[#This Row],[Units]]))</f>
        <v>0</v>
      </c>
      <c r="BY123" s="41" t="n">
        <f aca="false">IF(Tasks[[#This Row],[_LeafWork]]=0,0,Tasks[[#This Row],[_LeafWork]]*IFERROR(INDEX(res_Rate,MATCH(Tasks[[#This Row],[Resource]],res_Name,0)),0))</f>
        <v>0</v>
      </c>
      <c r="BZ1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3" s="41" t="n">
        <f aca="false">IF(NOT(Tasks[[#This Row],[_IsLeaf]]=1),0,MAX(_xlfn.MAXIFS(Tasks[_Row],Tasks[Pred1 UID],Tasks[[#This Row],[UID]]),_xlfn.MAXIFS(Tasks[_Row],Tasks[Pred2 UID],Tasks[[#This Row],[UID]])))</f>
        <v>0</v>
      </c>
      <c r="CE12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3" s="103" t="str">
        <f aca="false">IF(NOT(Tasks[[#This Row],[_IsLeaf]]=1),"",MIN(ProjectFinish,IF(N(Tasks[[#This Row],[Deadline]])&gt;0,Tasks[[#This Row],[Deadline]],2958465),Tasks[[#This Row],[_SuccessorFinishLimit]]))</f>
        <v/>
      </c>
      <c r="CG123" s="103" t="str">
        <f aca="false">IF(NOT(Tasks[[#This Row],[_IsLeaf]]=1),"",IF(N(Tasks[[#This Row],[Duration]])&lt;=0,Tasks[[#This Row],[_LeafLateFinish]],WORKDAY.INTL(Tasks[[#This Row],[_LeafLateFinish]],-(Tasks[[#This Row],[Duration]]-1),WorkWeek,Holidays)))</f>
        <v/>
      </c>
      <c r="CH1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3" s="102" t="b">
        <f aca="false">AND(Tasks[[#This Row],[_IsLeaf]]=1,Tasks[[#This Row],[_LeafProgress]]&lt;1,N(Tasks[[#This Row],[_LeafTotalSlack]])&lt;=CriticalSlackDays)</f>
        <v>0</v>
      </c>
      <c r="CJ123" s="103" t="str">
        <f aca="false">IF(Tasks[[#This Row],[Task Name]]="","",IF(Tasks[[#This Row],[_IsSummary]],MIN(INDEX(Tasks[_LeafCalcStart],Tasks[[#This Row],[_Row]]+1):INDEX(Tasks[_LeafCalcStart],Tasks[[#This Row],[_Row]]+Tasks[[#This Row],[_Descendants]])),Tasks[[#This Row],[_LeafCalcStart]]))</f>
        <v/>
      </c>
      <c r="CK123" s="103" t="str">
        <f aca="false">IF(Tasks[[#This Row],[Task Name]]="","",IF(Tasks[[#This Row],[_IsSummary]],MAX(INDEX(Tasks[_LeafCalcFinish],Tasks[[#This Row],[_Row]]+1):INDEX(Tasks[_LeafCalcFinish],Tasks[[#This Row],[_Row]]+Tasks[[#This Row],[_Descendants]])),Tasks[[#This Row],[_LeafCalcFinish]]))</f>
        <v/>
      </c>
      <c r="CL1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3" s="41" t="n">
        <f aca="false">IF(AND(Tasks[[#This Row],[_IsLeaf]]=1,Tasks[[#This Row],[_LeafWork]]&gt;0),NETWORKDAYS.INTL(ProjectStart,Tasks[[#This Row],[_LeafFcstStart]],WorkWeek,Holidays),0)</f>
        <v>0</v>
      </c>
      <c r="CS123" s="41" t="n">
        <f aca="false">IF(AND(Tasks[[#This Row],[_IsLeaf]]=1,Tasks[[#This Row],[_LeafWork]]&gt;0),MAX(Tasks[[#This Row],[_StartWorkday]],NETWORKDAYS.INTL(ProjectStart,Tasks[[#This Row],[_LeafFcstFinish]],WorkWeek,Holidays)),0)</f>
        <v>0</v>
      </c>
      <c r="CT123" s="41" t="n">
        <f aca="false">IF(AND(Tasks[[#This Row],[_IsLeaf]]=1,Tasks[[#This Row],[_LeafWork]]&gt;0),Tasks[[#This Row],[_LeafWork]]/(Tasks[[#This Row],[_FinishWorkday]]-Tasks[[#This Row],[_StartWorkday]]+1),0)</f>
        <v>0</v>
      </c>
      <c r="CU123" s="41" t="n">
        <f aca="false">Tasks[[#This Row],[_WorkPerWorkday]]*(Tasks[[#This Row],[_StartWorkday]]-1)</f>
        <v>-0</v>
      </c>
      <c r="CV123" s="41" t="n">
        <f aca="false">IF(Tasks[[#This Row],[_IsLeaf]]=1,MAX(N(Tasks[[#This Row],[Duration]]),0.1),0)</f>
        <v>0</v>
      </c>
      <c r="CW123" s="41" t="n">
        <f aca="false">Tasks[[#This Row],[_WeightDur]]*Tasks[[#This Row],[_LeafProgress]]</f>
        <v>0</v>
      </c>
      <c r="CX1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3" s="41" t="str">
        <f aca="false">IF(Tasks[[#This Row],[Task Name]]="","",Tasks[[#This Row],[_Pred1UIDText]]&amp;IF(AND(Tasks[[#This Row],[_Pred1UIDText]]&lt;&gt;"",Tasks[[#This Row],[_Pred2UIDText]]&lt;&gt;""),",","")&amp;Tasks[[#This Row],[_Pred2UIDText]])</f>
        <v/>
      </c>
      <c r="DC123" s="41" t="str">
        <f aca="false">IF(AND(Tasks[[#This Row],[_IsLeaf]]=1,N(Tasks[[#This Row],[Duration]])=0,Tasks[[#This Row],[_LeafProgress]]&lt;1),Tasks[[#This Row],[_LeafFcstFinish]]+Tasks[[#This Row],[_Row]]/100000,"")</f>
        <v/>
      </c>
      <c r="DD1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3" s="41" t="n">
        <f aca="false">IF(NOT(Tasks[[#This Row],[_IsLeaf]]=1),0,IF(Tasks[[#This Row],[Baseline Cost]]="",Tasks[[#This Row],[_LeafCost]],N(Tasks[[#This Row],[Baseline Cost]])))</f>
        <v>0</v>
      </c>
      <c r="DF123" s="41" t="n">
        <f aca="false">Tasks[[#This Row],[_LeafBudget]]*Tasks[[#This Row],[_PlannedPct]]</f>
        <v>0</v>
      </c>
      <c r="DG123" s="41" t="n">
        <f aca="false">Tasks[[#This Row],[_LeafBudget]]*Tasks[[#This Row],[_LeafProgress]]</f>
        <v>0</v>
      </c>
      <c r="DH123" s="41" t="n">
        <f aca="false">IF(NOT(Tasks[[#This Row],[_IsLeaf]]=1),0,IF(Tasks[[#This Row],[Actual Cost]]="",Tasks[[#This Row],[_LeafCost]]*Tasks[[#This Row],[_LeafProgress]],N(Tasks[[#This Row],[Actual Cost]])))</f>
        <v>0</v>
      </c>
      <c r="DI123" s="41" t="str">
        <f aca="false">IF(Tasks[[#This Row],[Task Name]]="","",LEFT(Tasks[[#This Row],[WBS]],FIND(".",Tasks[[#This Row],[WBS]]&amp;".")-1))</f>
        <v/>
      </c>
      <c r="DJ123" s="41" t="str">
        <f aca="false">IF(AND(Tasks[[#This Row],[Task Name]]&lt;&gt;"",Tasks[[#This Row],[_Level]]=1),Tasks[[#This Row],[_Row]],"")</f>
        <v/>
      </c>
      <c r="DK123" s="41" t="str">
        <f aca="false">IF(AND(Tasks[[#This Row],[_IsLeaf]]=1,N(Tasks[[#This Row],[Duration]])=0),Tasks[[#This Row],[Planned Finish]]+Tasks[[#This Row],[_Row]]/100000,"")</f>
        <v/>
      </c>
      <c r="DL123" s="41" t="str">
        <f aca="false">IF(AND(Tasks[[#This Row],[_IsLeaf]]=1,Tasks[[#This Row],[_LeafProgress]]&lt;1,OR(N(Tasks[[#This Row],[Finish Var]])&gt;0,Tasks[[#This Row],[Status]]="Late Start")),MAX(0,Tasks[[#This Row],[Finish Var]])+1-Tasks[[#This Row],[_Row]]/1000000,"")</f>
        <v/>
      </c>
      <c r="DM123" s="41" t="str">
        <f aca="false">IF(AND(Tasks[[#This Row],[_IsLeaf]]=1,N(Tasks[[#This Row],[Actual Start]])=0,Tasks[[#This Row],[_LeafFcstStart]]&gt;=StatusDate,Tasks[[#This Row],[_LeafFcstStart]]&lt;=LookaheadEnd),Tasks[[#This Row],[_LeafFcstStart]]+Tasks[[#This Row],[_Row]]/100000,"")</f>
        <v/>
      </c>
      <c r="DN123" s="41" t="str">
        <f aca="false">IF(AND(Tasks[[#This Row],[_IsLeaf]]=1,Tasks[[#This Row],[_LeafProgress]]&lt;1,Tasks[[#This Row],[_LeafFcstFinish]]&gt;=StatusDate,Tasks[[#This Row],[_LeafFcstFinish]]&lt;=LookaheadEnd),Tasks[[#This Row],[_LeafFcstFinish]]+Tasks[[#This Row],[_Row]]/100000,"")</f>
        <v/>
      </c>
      <c r="DO123" s="41" t="str">
        <f aca="false">IF(Tasks[[#This Row],[_LeafCritical]],Tasks[[#This Row],[_LeafFcstStart]]+Tasks[[#This Row],[_Row]]/100000,"")</f>
        <v/>
      </c>
      <c r="DP123" s="41" t="n">
        <f aca="false">Tasks[[#This Row],[_LeafWork]]*Tasks[[#This Row],[_LeafProgress]]</f>
        <v>0</v>
      </c>
      <c r="DQ123" s="103" t="str">
        <f aca="false">IF(AND(Tasks[[#This Row],[_IsLeaf]]=1,Tasks[[#This Row],[_LeafProgress]]&gt;=1),IF(N(Tasks[[#This Row],[Actual Finish]])&gt;0,Tasks[[#This Row],[Actual Finish]],Tasks[[#This Row],[_LeafFcstFinish]]),"")</f>
        <v/>
      </c>
      <c r="DR123" s="41" t="n">
        <f aca="false">IF(Tasks[[#This Row],[_IsLeaf]]=1,N(Tasks[[#This Row],[Story Points]]),0)</f>
        <v>0</v>
      </c>
      <c r="DS123" s="41" t="str">
        <f aca="false">IF(AND(Tasks[[#This Row],[_IsLeaf]]=1,CurrentSprint&lt;&gt;"",Tasks[[#This Row],[Sprint]]=CurrentSprint),Tasks[[#This Row],[_Row]],"")</f>
        <v/>
      </c>
    </row>
    <row r="124" customFormat="false" ht="15" hidden="false" customHeight="false" outlineLevel="0" collapsed="false">
      <c r="A124" s="28" t="str">
        <f aca="false">IF(Tasks[[#This Row],[Task Name]]="","",COUNTA(Tasks[[#Headers],[Task Name]]:Tasks[[#This Row],[Task Name]])-1)</f>
        <v/>
      </c>
      <c r="B124" s="29" t="n">
        <v>119</v>
      </c>
      <c r="C1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29"/>
      <c r="E124" s="30"/>
      <c r="F124" s="29"/>
      <c r="G124" s="29"/>
      <c r="H124" s="29"/>
      <c r="I124" s="29"/>
      <c r="J124" s="29"/>
      <c r="K124" s="29"/>
      <c r="L124" s="29"/>
      <c r="M124" s="29"/>
      <c r="N124" s="77"/>
      <c r="O124" s="77"/>
      <c r="P124" s="25" t="str">
        <f aca="false">IF(Tasks[[#This Row],[Task Name]]="","",IF(N(Tasks[[#This Row],[Baseline Start]])&gt;0,Tasks[[#This Row],[Baseline Start]],Tasks[[#This Row],[_CalcStart]]))</f>
        <v/>
      </c>
      <c r="Q124" s="25" t="str">
        <f aca="false">IF(Tasks[[#This Row],[Task Name]]="","",IF(N(Tasks[[#This Row],[Baseline Finish]])&gt;0,Tasks[[#This Row],[Baseline Finish]],Tasks[[#This Row],[_CalcFinish]]))</f>
        <v/>
      </c>
      <c r="R124" s="77"/>
      <c r="S124" s="77"/>
      <c r="T124" s="25" t="str">
        <f aca="false">IF(Tasks[[#This Row],[Task Name]]="","",IF(Tasks[[#This Row],[_IsSummary]],MIN(INDEX(Tasks[_LeafFcstStart],Tasks[[#This Row],[_Row]]+1):INDEX(Tasks[_LeafFcstStart],Tasks[[#This Row],[_Row]]+Tasks[[#This Row],[_Descendants]])),Tasks[[#This Row],[_LeafFcstStart]]))</f>
        <v/>
      </c>
      <c r="U124" s="25" t="str">
        <f aca="false">IF(Tasks[[#This Row],[Task Name]]="","",IF(Tasks[[#This Row],[_IsSummary]],MAX(INDEX(Tasks[_LeafFcstFinish],Tasks[[#This Row],[_Row]]+1):INDEX(Tasks[_LeafFcstFinish],Tasks[[#This Row],[_Row]]+Tasks[[#This Row],[_Descendants]])),Tasks[[#This Row],[_LeafFcstFinish]]))</f>
        <v/>
      </c>
      <c r="V12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4" s="25" t="str">
        <f aca="false">IF(Tasks[[#This Row],[Task Name]]="","",IF(Tasks[[#This Row],[_IsSummary]],MIN(INDEX(Tasks[_LeafLateStart],Tasks[[#This Row],[_Row]]+1):INDEX(Tasks[_LeafLateStart],Tasks[[#This Row],[_Row]]+Tasks[[#This Row],[_Descendants]])),Tasks[[#This Row],[_LeafLateStart]]))</f>
        <v/>
      </c>
      <c r="Y124" s="25" t="str">
        <f aca="false">IF(Tasks[[#This Row],[Task Name]]="","",IF(Tasks[[#This Row],[_IsSummary]],MAX(INDEX(Tasks[_LeafLateFinish],Tasks[[#This Row],[_Row]]+1):INDEX(Tasks[_LeafLateFinish],Tasks[[#This Row],[_Row]]+Tasks[[#This Row],[_Descendants]])),Tasks[[#This Row],[_LeafLateFinish]]))</f>
        <v/>
      </c>
      <c r="Z124" s="43" t="str">
        <f aca="false">IF(Tasks[[#This Row],[Task Name]]="","",IF(Tasks[[#This Row],[_IsSummary]],MIN(INDEX(Tasks[_LeafTotalSlack],Tasks[[#This Row],[_Row]]+1):INDEX(Tasks[_LeafTotalSlack],Tasks[[#This Row],[_Row]]+Tasks[[#This Row],[_Descendants]])),Tasks[[#This Row],[_LeafTotalSlack]]))</f>
        <v/>
      </c>
      <c r="AA1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4" s="28" t="str">
        <f aca="false">IF(Tasks[[#This Row],[Task Name]]="","",IF(IF(Tasks[[#This Row],[_IsSummary]],COUNTIF(INDEX(Tasks[_LeafCritical],Tasks[[#This Row],[_Row]]+1):INDEX(Tasks[_LeafCritical],Tasks[[#This Row],[_Row]]+Tasks[[#This Row],[_Descendants]]),TRUE())&gt;0,Tasks[[#This Row],[_LeafCritical]]),"Yes",""))</f>
        <v/>
      </c>
      <c r="AC1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4" s="24" t="str">
        <f aca="false">IF(Tasks[[#This Row],[Task Name]]="","",TRIM(IF(Tasks[[#This Row],[_Pred1Problem]]&lt;&gt;"","Pred 1: "&amp;Tasks[[#This Row],[_Pred1Problem]]&amp;". ","")&amp;IF(Tasks[[#This Row],[_Pred2Problem]]&lt;&gt;"","Pred 2: "&amp;Tasks[[#This Row],[_Pred2Problem]]&amp;".","")))</f>
        <v/>
      </c>
      <c r="AE124" s="91"/>
      <c r="AF12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4" s="28" t="str">
        <f aca="false">IF(Tasks[[#This Row],[Task Name]]="","",IF(Tasks[[#This Row],[Progress]]&gt;=1,"Complete",IF(OR(N(Tasks[[#This Row],[Actual Start]])&gt;0,Tasks[[#This Row],[Progress]]&gt;0),IF(Tasks[[#This Row],[Finish Var]]&gt;0,"Behind","In Progress"),IF(Tasks[[#This Row],[Planned Start]]&lt;StatusDate,"Late Start","Not Started"))))</f>
        <v/>
      </c>
      <c r="AH124" s="30"/>
      <c r="AI124" s="91"/>
      <c r="AJ12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4" s="98" t="str">
        <f aca="false">IF(Tasks[[#This Row],[Task Name]]="","",IF(Tasks[[#This Row],[_IsSummary]],SUM(INDEX(Tasks[_LeafWork],Tasks[[#This Row],[_Row]]+1):INDEX(Tasks[_LeafWork],Tasks[[#This Row],[_Row]]+Tasks[[#This Row],[_Descendants]])),Tasks[[#This Row],[_LeafWork]]))</f>
        <v/>
      </c>
      <c r="AL124" s="99" t="str">
        <f aca="false">IF(Tasks[[#This Row],[Task Name]]="","",IF(Tasks[[#This Row],[_IsSummary]],SUM(INDEX(Tasks[_LeafCost],Tasks[[#This Row],[_Row]]+1):INDEX(Tasks[_LeafCost],Tasks[[#This Row],[_Row]]+Tasks[[#This Row],[_Descendants]])),Tasks[[#This Row],[_LeafCost]]))</f>
        <v/>
      </c>
      <c r="AM124" s="100"/>
      <c r="AN124" s="29"/>
      <c r="AO1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4" s="85"/>
      <c r="AQ124" s="24" t="str">
        <f aca="false">IF(Tasks[[#This Row],[Task Name]]="","",Tasks[[#This Row],[_Pred1IDText]]&amp;IF(AND(Tasks[[#This Row],[_Pred1IDText]]&lt;&gt;"",Tasks[[#This Row],[_Pred2IDText]]&lt;&gt;""),",","")&amp;Tasks[[#This Row],[_Pred2IDText]])</f>
        <v/>
      </c>
      <c r="AR124" s="30"/>
      <c r="AS124" s="25" t="str">
        <f aca="false">IF(Tasks[[#This Row],[Task Name]]="","",Tasks[[#This Row],[Forecast Start]])</f>
        <v/>
      </c>
      <c r="AT124" s="25" t="str">
        <f aca="false">IF(Tasks[[#This Row],[Task Name]]="","",Tasks[[#This Row],[Forecast Finish]])</f>
        <v/>
      </c>
      <c r="AU124" s="28" t="str">
        <f aca="false">IF(Tasks[[#This Row],[Task Name]]="","",IF(Tasks[[#This Row],[_IsSummary]],NETWORKDAYS.INTL(Tasks[[#This Row],[Forecast Start]],Tasks[[#This Row],[Forecast Finish]],WorkWeek,Holidays),N(Tasks[[#This Row],[Duration]])))</f>
        <v/>
      </c>
      <c r="AV124" s="98" t="str">
        <f aca="false">IF(Tasks[[#This Row],[Task Name]]="","",Tasks[[#This Row],[Work]])</f>
        <v/>
      </c>
      <c r="AW124" s="99" t="str">
        <f aca="false">IF(Tasks[[#This Row],[Task Name]]="","",Tasks[[#This Row],[Cost]])</f>
        <v/>
      </c>
      <c r="AX124" s="77"/>
      <c r="AY124" s="77"/>
      <c r="AZ124" s="29"/>
      <c r="BA124" s="101"/>
      <c r="BB124" s="100"/>
      <c r="BC124" s="28" t="str">
        <f aca="false">IF(OR(Tasks[[#This Row],[Task Name]]="",Tasks[[#This Row],[Baseline Duration]]=""),"",Tasks[[#This Row],[BL Source Duration]]-N(Tasks[[#This Row],[Baseline Duration]]))</f>
        <v/>
      </c>
      <c r="BD124" s="98" t="str">
        <f aca="false">IF(OR(Tasks[[#This Row],[Task Name]]="",Tasks[[#This Row],[Baseline Work]]=""),"",Tasks[[#This Row],[Work]]-N(Tasks[[#This Row],[Baseline Work]]))</f>
        <v/>
      </c>
      <c r="BE124" s="99" t="str">
        <f aca="false">IF(OR(Tasks[[#This Row],[Task Name]]="",Tasks[[#This Row],[Baseline Cost]]=""),"",Tasks[[#This Row],[Cost]]-N(Tasks[[#This Row],[Baseline Cost]]))</f>
        <v/>
      </c>
      <c r="BF124" s="99" t="str">
        <f aca="false">IF(Tasks[[#This Row],[Task Name]]="","",IF(Tasks[[#This Row],[_IsSummary]],SUM(INDEX(Tasks[_LeafBudget],Tasks[[#This Row],[_Row]]+1):INDEX(Tasks[_LeafBudget],Tasks[[#This Row],[_Row]]+Tasks[[#This Row],[_Descendants]])),Tasks[[#This Row],[_LeafBudget]]))</f>
        <v/>
      </c>
      <c r="BG124" s="99" t="str">
        <f aca="false">IF(Tasks[[#This Row],[Task Name]]="","",IF(Tasks[[#This Row],[_IsSummary]],SUM(INDEX(Tasks[_LeafPV],Tasks[[#This Row],[_Row]]+1):INDEX(Tasks[_LeafPV],Tasks[[#This Row],[_Row]]+Tasks[[#This Row],[_Descendants]])),Tasks[[#This Row],[_LeafPV]]))</f>
        <v/>
      </c>
      <c r="BH124" s="99" t="str">
        <f aca="false">IF(Tasks[[#This Row],[Task Name]]="","",IF(Tasks[[#This Row],[_IsSummary]],SUM(INDEX(Tasks[_LeafEV],Tasks[[#This Row],[_Row]]+1):INDEX(Tasks[_LeafEV],Tasks[[#This Row],[_Row]]+Tasks[[#This Row],[_Descendants]])),Tasks[[#This Row],[_LeafEV]]))</f>
        <v/>
      </c>
      <c r="BI124" s="99" t="str">
        <f aca="false">IF(Tasks[[#This Row],[Task Name]]="","",IF(Tasks[[#This Row],[_IsSummary]],SUM(INDEX(Tasks[_LeafAC],Tasks[[#This Row],[_Row]]+1):INDEX(Tasks[_LeafAC],Tasks[[#This Row],[_Row]]+Tasks[[#This Row],[_Descendants]])),Tasks[[#This Row],[_LeafAC]]))</f>
        <v/>
      </c>
      <c r="BJ124" s="41" t="str">
        <f aca="false">IF(Tasks[[#This Row],[Task Name]]="","",MAX(1,N(Tasks[[#This Row],[Level]])))</f>
        <v/>
      </c>
      <c r="BK124" s="41" t="n">
        <f aca="false">ROW()-ROW(Tasks[[#Headers],[ID]])</f>
        <v>119</v>
      </c>
      <c r="BL124" s="41" t="n">
        <f aca="false">IF(OR(Tasks[[#This Row],[Task Name]]="",Tasks[[#This Row],[_Level]]&lt;=1),0,IFERROR(LOOKUP(2,1/(Tasks[[#Headers],[_Level]]:Tasks[[#This Row],[_Level]]=Tasks[[#This Row],[_Level]]-1),ROW(Tasks[[#Headers],[_Level]]:Tasks[[#This Row],[_Level]])),0))</f>
        <v>0</v>
      </c>
      <c r="BM124" s="41" t="n">
        <f aca="false">IFERROR(N(INDEX(Tasks[_Level],Tasks[[#This Row],[_Row]]+1)),0)</f>
        <v>0</v>
      </c>
      <c r="BN124" s="102" t="b">
        <f aca="false">AND(Tasks[[#This Row],[Task Name]]&lt;&gt;"",Tasks[[#This Row],[_NextLevel]]&gt;Tasks[[#This Row],[_Level]])</f>
        <v>0</v>
      </c>
      <c r="BO124" s="41" t="n">
        <f aca="false">IF(Tasks[[#This Row],[_IsSummary]],COUNTIF(Tasks[WBS],Tasks[[#This Row],[WBS]]&amp;".*"),0)</f>
        <v>0</v>
      </c>
      <c r="BP124" s="41" t="n">
        <f aca="false">IF(AND(Tasks[[#This Row],[Task Name]]&lt;&gt;"",NOT(Tasks[[#This Row],[_IsSummary]])),1,0)</f>
        <v>0</v>
      </c>
      <c r="BQ124" s="41" t="n">
        <f aca="false">IF(N(Tasks[[#This Row],[Pred1 UID]])=0,0,IFERROR(MATCH(Tasks[[#This Row],[Pred1 UID]],Tasks[UID],0),-1))</f>
        <v>0</v>
      </c>
      <c r="BR124" s="41" t="n">
        <f aca="false">IF(N(Tasks[[#This Row],[Pred2 UID]])=0,0,IFERROR(MATCH(Tasks[[#This Row],[Pred2 UID]],Tasks[UID],0),-1))</f>
        <v>0</v>
      </c>
      <c r="BS12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4" s="103" t="str">
        <f aca="false">IF(NOT(Tasks[[#This Row],[_IsLeaf]]=1),"",IF(N(Tasks[[#This Row],[Duration]])&lt;=0,Tasks[[#This Row],[_LeafCalcStart]],WORKDAY.INTL(Tasks[[#This Row],[_LeafCalcStart]],Tasks[[#This Row],[Duration]]-1,WorkWeek,Holidays)))</f>
        <v/>
      </c>
      <c r="BU12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4" s="41" t="n">
        <f aca="false">IF(NOT(Tasks[[#This Row],[_IsLeaf]]=1),0,IF(N(Tasks[[#This Row],[Actual Finish]])&gt;0,1,MIN(1,N(Tasks[[#This Row],[% Complete]]))))</f>
        <v>0</v>
      </c>
      <c r="BX124" s="41" t="n">
        <f aca="false">IF(OR(NOT(Tasks[[#This Row],[_IsLeaf]]=1),Tasks[[#This Row],[Resource]]=""),0,N(Tasks[[#This Row],[Duration]])*HoursPerDay*IF(Tasks[[#This Row],[Units]]="",DefaultUnits,Tasks[[#This Row],[Units]]))</f>
        <v>0</v>
      </c>
      <c r="BY124" s="41" t="n">
        <f aca="false">IF(Tasks[[#This Row],[_LeafWork]]=0,0,Tasks[[#This Row],[_LeafWork]]*IFERROR(INDEX(res_Rate,MATCH(Tasks[[#This Row],[Resource]],res_Name,0)),0))</f>
        <v>0</v>
      </c>
      <c r="BZ1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4" s="41" t="n">
        <f aca="false">IF(NOT(Tasks[[#This Row],[_IsLeaf]]=1),0,MAX(_xlfn.MAXIFS(Tasks[_Row],Tasks[Pred1 UID],Tasks[[#This Row],[UID]]),_xlfn.MAXIFS(Tasks[_Row],Tasks[Pred2 UID],Tasks[[#This Row],[UID]])))</f>
        <v>0</v>
      </c>
      <c r="CE12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4" s="103" t="str">
        <f aca="false">IF(NOT(Tasks[[#This Row],[_IsLeaf]]=1),"",MIN(ProjectFinish,IF(N(Tasks[[#This Row],[Deadline]])&gt;0,Tasks[[#This Row],[Deadline]],2958465),Tasks[[#This Row],[_SuccessorFinishLimit]]))</f>
        <v/>
      </c>
      <c r="CG124" s="103" t="str">
        <f aca="false">IF(NOT(Tasks[[#This Row],[_IsLeaf]]=1),"",IF(N(Tasks[[#This Row],[Duration]])&lt;=0,Tasks[[#This Row],[_LeafLateFinish]],WORKDAY.INTL(Tasks[[#This Row],[_LeafLateFinish]],-(Tasks[[#This Row],[Duration]]-1),WorkWeek,Holidays)))</f>
        <v/>
      </c>
      <c r="CH1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4" s="102" t="b">
        <f aca="false">AND(Tasks[[#This Row],[_IsLeaf]]=1,Tasks[[#This Row],[_LeafProgress]]&lt;1,N(Tasks[[#This Row],[_LeafTotalSlack]])&lt;=CriticalSlackDays)</f>
        <v>0</v>
      </c>
      <c r="CJ124" s="103" t="str">
        <f aca="false">IF(Tasks[[#This Row],[Task Name]]="","",IF(Tasks[[#This Row],[_IsSummary]],MIN(INDEX(Tasks[_LeafCalcStart],Tasks[[#This Row],[_Row]]+1):INDEX(Tasks[_LeafCalcStart],Tasks[[#This Row],[_Row]]+Tasks[[#This Row],[_Descendants]])),Tasks[[#This Row],[_LeafCalcStart]]))</f>
        <v/>
      </c>
      <c r="CK124" s="103" t="str">
        <f aca="false">IF(Tasks[[#This Row],[Task Name]]="","",IF(Tasks[[#This Row],[_IsSummary]],MAX(INDEX(Tasks[_LeafCalcFinish],Tasks[[#This Row],[_Row]]+1):INDEX(Tasks[_LeafCalcFinish],Tasks[[#This Row],[_Row]]+Tasks[[#This Row],[_Descendants]])),Tasks[[#This Row],[_LeafCalcFinish]]))</f>
        <v/>
      </c>
      <c r="CL1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4" s="41" t="n">
        <f aca="false">IF(AND(Tasks[[#This Row],[_IsLeaf]]=1,Tasks[[#This Row],[_LeafWork]]&gt;0),NETWORKDAYS.INTL(ProjectStart,Tasks[[#This Row],[_LeafFcstStart]],WorkWeek,Holidays),0)</f>
        <v>0</v>
      </c>
      <c r="CS124" s="41" t="n">
        <f aca="false">IF(AND(Tasks[[#This Row],[_IsLeaf]]=1,Tasks[[#This Row],[_LeafWork]]&gt;0),MAX(Tasks[[#This Row],[_StartWorkday]],NETWORKDAYS.INTL(ProjectStart,Tasks[[#This Row],[_LeafFcstFinish]],WorkWeek,Holidays)),0)</f>
        <v>0</v>
      </c>
      <c r="CT124" s="41" t="n">
        <f aca="false">IF(AND(Tasks[[#This Row],[_IsLeaf]]=1,Tasks[[#This Row],[_LeafWork]]&gt;0),Tasks[[#This Row],[_LeafWork]]/(Tasks[[#This Row],[_FinishWorkday]]-Tasks[[#This Row],[_StartWorkday]]+1),0)</f>
        <v>0</v>
      </c>
      <c r="CU124" s="41" t="n">
        <f aca="false">Tasks[[#This Row],[_WorkPerWorkday]]*(Tasks[[#This Row],[_StartWorkday]]-1)</f>
        <v>-0</v>
      </c>
      <c r="CV124" s="41" t="n">
        <f aca="false">IF(Tasks[[#This Row],[_IsLeaf]]=1,MAX(N(Tasks[[#This Row],[Duration]]),0.1),0)</f>
        <v>0</v>
      </c>
      <c r="CW124" s="41" t="n">
        <f aca="false">Tasks[[#This Row],[_WeightDur]]*Tasks[[#This Row],[_LeafProgress]]</f>
        <v>0</v>
      </c>
      <c r="CX1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4" s="41" t="str">
        <f aca="false">IF(Tasks[[#This Row],[Task Name]]="","",Tasks[[#This Row],[_Pred1UIDText]]&amp;IF(AND(Tasks[[#This Row],[_Pred1UIDText]]&lt;&gt;"",Tasks[[#This Row],[_Pred2UIDText]]&lt;&gt;""),",","")&amp;Tasks[[#This Row],[_Pred2UIDText]])</f>
        <v/>
      </c>
      <c r="DC124" s="41" t="str">
        <f aca="false">IF(AND(Tasks[[#This Row],[_IsLeaf]]=1,N(Tasks[[#This Row],[Duration]])=0,Tasks[[#This Row],[_LeafProgress]]&lt;1),Tasks[[#This Row],[_LeafFcstFinish]]+Tasks[[#This Row],[_Row]]/100000,"")</f>
        <v/>
      </c>
      <c r="DD1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4" s="41" t="n">
        <f aca="false">IF(NOT(Tasks[[#This Row],[_IsLeaf]]=1),0,IF(Tasks[[#This Row],[Baseline Cost]]="",Tasks[[#This Row],[_LeafCost]],N(Tasks[[#This Row],[Baseline Cost]])))</f>
        <v>0</v>
      </c>
      <c r="DF124" s="41" t="n">
        <f aca="false">Tasks[[#This Row],[_LeafBudget]]*Tasks[[#This Row],[_PlannedPct]]</f>
        <v>0</v>
      </c>
      <c r="DG124" s="41" t="n">
        <f aca="false">Tasks[[#This Row],[_LeafBudget]]*Tasks[[#This Row],[_LeafProgress]]</f>
        <v>0</v>
      </c>
      <c r="DH124" s="41" t="n">
        <f aca="false">IF(NOT(Tasks[[#This Row],[_IsLeaf]]=1),0,IF(Tasks[[#This Row],[Actual Cost]]="",Tasks[[#This Row],[_LeafCost]]*Tasks[[#This Row],[_LeafProgress]],N(Tasks[[#This Row],[Actual Cost]])))</f>
        <v>0</v>
      </c>
      <c r="DI124" s="41" t="str">
        <f aca="false">IF(Tasks[[#This Row],[Task Name]]="","",LEFT(Tasks[[#This Row],[WBS]],FIND(".",Tasks[[#This Row],[WBS]]&amp;".")-1))</f>
        <v/>
      </c>
      <c r="DJ124" s="41" t="str">
        <f aca="false">IF(AND(Tasks[[#This Row],[Task Name]]&lt;&gt;"",Tasks[[#This Row],[_Level]]=1),Tasks[[#This Row],[_Row]],"")</f>
        <v/>
      </c>
      <c r="DK124" s="41" t="str">
        <f aca="false">IF(AND(Tasks[[#This Row],[_IsLeaf]]=1,N(Tasks[[#This Row],[Duration]])=0),Tasks[[#This Row],[Planned Finish]]+Tasks[[#This Row],[_Row]]/100000,"")</f>
        <v/>
      </c>
      <c r="DL124" s="41" t="str">
        <f aca="false">IF(AND(Tasks[[#This Row],[_IsLeaf]]=1,Tasks[[#This Row],[_LeafProgress]]&lt;1,OR(N(Tasks[[#This Row],[Finish Var]])&gt;0,Tasks[[#This Row],[Status]]="Late Start")),MAX(0,Tasks[[#This Row],[Finish Var]])+1-Tasks[[#This Row],[_Row]]/1000000,"")</f>
        <v/>
      </c>
      <c r="DM124" s="41" t="str">
        <f aca="false">IF(AND(Tasks[[#This Row],[_IsLeaf]]=1,N(Tasks[[#This Row],[Actual Start]])=0,Tasks[[#This Row],[_LeafFcstStart]]&gt;=StatusDate,Tasks[[#This Row],[_LeafFcstStart]]&lt;=LookaheadEnd),Tasks[[#This Row],[_LeafFcstStart]]+Tasks[[#This Row],[_Row]]/100000,"")</f>
        <v/>
      </c>
      <c r="DN124" s="41" t="str">
        <f aca="false">IF(AND(Tasks[[#This Row],[_IsLeaf]]=1,Tasks[[#This Row],[_LeafProgress]]&lt;1,Tasks[[#This Row],[_LeafFcstFinish]]&gt;=StatusDate,Tasks[[#This Row],[_LeafFcstFinish]]&lt;=LookaheadEnd),Tasks[[#This Row],[_LeafFcstFinish]]+Tasks[[#This Row],[_Row]]/100000,"")</f>
        <v/>
      </c>
      <c r="DO124" s="41" t="str">
        <f aca="false">IF(Tasks[[#This Row],[_LeafCritical]],Tasks[[#This Row],[_LeafFcstStart]]+Tasks[[#This Row],[_Row]]/100000,"")</f>
        <v/>
      </c>
      <c r="DP124" s="41" t="n">
        <f aca="false">Tasks[[#This Row],[_LeafWork]]*Tasks[[#This Row],[_LeafProgress]]</f>
        <v>0</v>
      </c>
      <c r="DQ124" s="103" t="str">
        <f aca="false">IF(AND(Tasks[[#This Row],[_IsLeaf]]=1,Tasks[[#This Row],[_LeafProgress]]&gt;=1),IF(N(Tasks[[#This Row],[Actual Finish]])&gt;0,Tasks[[#This Row],[Actual Finish]],Tasks[[#This Row],[_LeafFcstFinish]]),"")</f>
        <v/>
      </c>
      <c r="DR124" s="41" t="n">
        <f aca="false">IF(Tasks[[#This Row],[_IsLeaf]]=1,N(Tasks[[#This Row],[Story Points]]),0)</f>
        <v>0</v>
      </c>
      <c r="DS124" s="41" t="str">
        <f aca="false">IF(AND(Tasks[[#This Row],[_IsLeaf]]=1,CurrentSprint&lt;&gt;"",Tasks[[#This Row],[Sprint]]=CurrentSprint),Tasks[[#This Row],[_Row]],"")</f>
        <v/>
      </c>
    </row>
    <row r="125" customFormat="false" ht="15" hidden="false" customHeight="false" outlineLevel="0" collapsed="false">
      <c r="A125" s="28" t="str">
        <f aca="false">IF(Tasks[[#This Row],[Task Name]]="","",COUNTA(Tasks[[#Headers],[Task Name]]:Tasks[[#This Row],[Task Name]])-1)</f>
        <v/>
      </c>
      <c r="B125" s="29" t="n">
        <v>120</v>
      </c>
      <c r="C1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29"/>
      <c r="E125" s="30"/>
      <c r="F125" s="29"/>
      <c r="G125" s="29"/>
      <c r="H125" s="29"/>
      <c r="I125" s="29"/>
      <c r="J125" s="29"/>
      <c r="K125" s="29"/>
      <c r="L125" s="29"/>
      <c r="M125" s="29"/>
      <c r="N125" s="77"/>
      <c r="O125" s="77"/>
      <c r="P125" s="25" t="str">
        <f aca="false">IF(Tasks[[#This Row],[Task Name]]="","",IF(N(Tasks[[#This Row],[Baseline Start]])&gt;0,Tasks[[#This Row],[Baseline Start]],Tasks[[#This Row],[_CalcStart]]))</f>
        <v/>
      </c>
      <c r="Q125" s="25" t="str">
        <f aca="false">IF(Tasks[[#This Row],[Task Name]]="","",IF(N(Tasks[[#This Row],[Baseline Finish]])&gt;0,Tasks[[#This Row],[Baseline Finish]],Tasks[[#This Row],[_CalcFinish]]))</f>
        <v/>
      </c>
      <c r="R125" s="77"/>
      <c r="S125" s="77"/>
      <c r="T125" s="25" t="str">
        <f aca="false">IF(Tasks[[#This Row],[Task Name]]="","",IF(Tasks[[#This Row],[_IsSummary]],MIN(INDEX(Tasks[_LeafFcstStart],Tasks[[#This Row],[_Row]]+1):INDEX(Tasks[_LeafFcstStart],Tasks[[#This Row],[_Row]]+Tasks[[#This Row],[_Descendants]])),Tasks[[#This Row],[_LeafFcstStart]]))</f>
        <v/>
      </c>
      <c r="U125" s="25" t="str">
        <f aca="false">IF(Tasks[[#This Row],[Task Name]]="","",IF(Tasks[[#This Row],[_IsSummary]],MAX(INDEX(Tasks[_LeafFcstFinish],Tasks[[#This Row],[_Row]]+1):INDEX(Tasks[_LeafFcstFinish],Tasks[[#This Row],[_Row]]+Tasks[[#This Row],[_Descendants]])),Tasks[[#This Row],[_LeafFcstFinish]]))</f>
        <v/>
      </c>
      <c r="V12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5" s="25" t="str">
        <f aca="false">IF(Tasks[[#This Row],[Task Name]]="","",IF(Tasks[[#This Row],[_IsSummary]],MIN(INDEX(Tasks[_LeafLateStart],Tasks[[#This Row],[_Row]]+1):INDEX(Tasks[_LeafLateStart],Tasks[[#This Row],[_Row]]+Tasks[[#This Row],[_Descendants]])),Tasks[[#This Row],[_LeafLateStart]]))</f>
        <v/>
      </c>
      <c r="Y125" s="25" t="str">
        <f aca="false">IF(Tasks[[#This Row],[Task Name]]="","",IF(Tasks[[#This Row],[_IsSummary]],MAX(INDEX(Tasks[_LeafLateFinish],Tasks[[#This Row],[_Row]]+1):INDEX(Tasks[_LeafLateFinish],Tasks[[#This Row],[_Row]]+Tasks[[#This Row],[_Descendants]])),Tasks[[#This Row],[_LeafLateFinish]]))</f>
        <v/>
      </c>
      <c r="Z125" s="43" t="str">
        <f aca="false">IF(Tasks[[#This Row],[Task Name]]="","",IF(Tasks[[#This Row],[_IsSummary]],MIN(INDEX(Tasks[_LeafTotalSlack],Tasks[[#This Row],[_Row]]+1):INDEX(Tasks[_LeafTotalSlack],Tasks[[#This Row],[_Row]]+Tasks[[#This Row],[_Descendants]])),Tasks[[#This Row],[_LeafTotalSlack]]))</f>
        <v/>
      </c>
      <c r="AA1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5" s="28" t="str">
        <f aca="false">IF(Tasks[[#This Row],[Task Name]]="","",IF(IF(Tasks[[#This Row],[_IsSummary]],COUNTIF(INDEX(Tasks[_LeafCritical],Tasks[[#This Row],[_Row]]+1):INDEX(Tasks[_LeafCritical],Tasks[[#This Row],[_Row]]+Tasks[[#This Row],[_Descendants]]),TRUE())&gt;0,Tasks[[#This Row],[_LeafCritical]]),"Yes",""))</f>
        <v/>
      </c>
      <c r="AC1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5" s="24" t="str">
        <f aca="false">IF(Tasks[[#This Row],[Task Name]]="","",TRIM(IF(Tasks[[#This Row],[_Pred1Problem]]&lt;&gt;"","Pred 1: "&amp;Tasks[[#This Row],[_Pred1Problem]]&amp;". ","")&amp;IF(Tasks[[#This Row],[_Pred2Problem]]&lt;&gt;"","Pred 2: "&amp;Tasks[[#This Row],[_Pred2Problem]]&amp;".","")))</f>
        <v/>
      </c>
      <c r="AE125" s="91"/>
      <c r="AF12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5" s="28" t="str">
        <f aca="false">IF(Tasks[[#This Row],[Task Name]]="","",IF(Tasks[[#This Row],[Progress]]&gt;=1,"Complete",IF(OR(N(Tasks[[#This Row],[Actual Start]])&gt;0,Tasks[[#This Row],[Progress]]&gt;0),IF(Tasks[[#This Row],[Finish Var]]&gt;0,"Behind","In Progress"),IF(Tasks[[#This Row],[Planned Start]]&lt;StatusDate,"Late Start","Not Started"))))</f>
        <v/>
      </c>
      <c r="AH125" s="30"/>
      <c r="AI125" s="91"/>
      <c r="AJ12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5" s="98" t="str">
        <f aca="false">IF(Tasks[[#This Row],[Task Name]]="","",IF(Tasks[[#This Row],[_IsSummary]],SUM(INDEX(Tasks[_LeafWork],Tasks[[#This Row],[_Row]]+1):INDEX(Tasks[_LeafWork],Tasks[[#This Row],[_Row]]+Tasks[[#This Row],[_Descendants]])),Tasks[[#This Row],[_LeafWork]]))</f>
        <v/>
      </c>
      <c r="AL125" s="99" t="str">
        <f aca="false">IF(Tasks[[#This Row],[Task Name]]="","",IF(Tasks[[#This Row],[_IsSummary]],SUM(INDEX(Tasks[_LeafCost],Tasks[[#This Row],[_Row]]+1):INDEX(Tasks[_LeafCost],Tasks[[#This Row],[_Row]]+Tasks[[#This Row],[_Descendants]])),Tasks[[#This Row],[_LeafCost]]))</f>
        <v/>
      </c>
      <c r="AM125" s="100"/>
      <c r="AN125" s="29"/>
      <c r="AO1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5" s="85"/>
      <c r="AQ125" s="24" t="str">
        <f aca="false">IF(Tasks[[#This Row],[Task Name]]="","",Tasks[[#This Row],[_Pred1IDText]]&amp;IF(AND(Tasks[[#This Row],[_Pred1IDText]]&lt;&gt;"",Tasks[[#This Row],[_Pred2IDText]]&lt;&gt;""),",","")&amp;Tasks[[#This Row],[_Pred2IDText]])</f>
        <v/>
      </c>
      <c r="AR125" s="30"/>
      <c r="AS125" s="25" t="str">
        <f aca="false">IF(Tasks[[#This Row],[Task Name]]="","",Tasks[[#This Row],[Forecast Start]])</f>
        <v/>
      </c>
      <c r="AT125" s="25" t="str">
        <f aca="false">IF(Tasks[[#This Row],[Task Name]]="","",Tasks[[#This Row],[Forecast Finish]])</f>
        <v/>
      </c>
      <c r="AU125" s="28" t="str">
        <f aca="false">IF(Tasks[[#This Row],[Task Name]]="","",IF(Tasks[[#This Row],[_IsSummary]],NETWORKDAYS.INTL(Tasks[[#This Row],[Forecast Start]],Tasks[[#This Row],[Forecast Finish]],WorkWeek,Holidays),N(Tasks[[#This Row],[Duration]])))</f>
        <v/>
      </c>
      <c r="AV125" s="98" t="str">
        <f aca="false">IF(Tasks[[#This Row],[Task Name]]="","",Tasks[[#This Row],[Work]])</f>
        <v/>
      </c>
      <c r="AW125" s="99" t="str">
        <f aca="false">IF(Tasks[[#This Row],[Task Name]]="","",Tasks[[#This Row],[Cost]])</f>
        <v/>
      </c>
      <c r="AX125" s="77"/>
      <c r="AY125" s="77"/>
      <c r="AZ125" s="29"/>
      <c r="BA125" s="101"/>
      <c r="BB125" s="100"/>
      <c r="BC125" s="28" t="str">
        <f aca="false">IF(OR(Tasks[[#This Row],[Task Name]]="",Tasks[[#This Row],[Baseline Duration]]=""),"",Tasks[[#This Row],[BL Source Duration]]-N(Tasks[[#This Row],[Baseline Duration]]))</f>
        <v/>
      </c>
      <c r="BD125" s="98" t="str">
        <f aca="false">IF(OR(Tasks[[#This Row],[Task Name]]="",Tasks[[#This Row],[Baseline Work]]=""),"",Tasks[[#This Row],[Work]]-N(Tasks[[#This Row],[Baseline Work]]))</f>
        <v/>
      </c>
      <c r="BE125" s="99" t="str">
        <f aca="false">IF(OR(Tasks[[#This Row],[Task Name]]="",Tasks[[#This Row],[Baseline Cost]]=""),"",Tasks[[#This Row],[Cost]]-N(Tasks[[#This Row],[Baseline Cost]]))</f>
        <v/>
      </c>
      <c r="BF125" s="99" t="str">
        <f aca="false">IF(Tasks[[#This Row],[Task Name]]="","",IF(Tasks[[#This Row],[_IsSummary]],SUM(INDEX(Tasks[_LeafBudget],Tasks[[#This Row],[_Row]]+1):INDEX(Tasks[_LeafBudget],Tasks[[#This Row],[_Row]]+Tasks[[#This Row],[_Descendants]])),Tasks[[#This Row],[_LeafBudget]]))</f>
        <v/>
      </c>
      <c r="BG125" s="99" t="str">
        <f aca="false">IF(Tasks[[#This Row],[Task Name]]="","",IF(Tasks[[#This Row],[_IsSummary]],SUM(INDEX(Tasks[_LeafPV],Tasks[[#This Row],[_Row]]+1):INDEX(Tasks[_LeafPV],Tasks[[#This Row],[_Row]]+Tasks[[#This Row],[_Descendants]])),Tasks[[#This Row],[_LeafPV]]))</f>
        <v/>
      </c>
      <c r="BH125" s="99" t="str">
        <f aca="false">IF(Tasks[[#This Row],[Task Name]]="","",IF(Tasks[[#This Row],[_IsSummary]],SUM(INDEX(Tasks[_LeafEV],Tasks[[#This Row],[_Row]]+1):INDEX(Tasks[_LeafEV],Tasks[[#This Row],[_Row]]+Tasks[[#This Row],[_Descendants]])),Tasks[[#This Row],[_LeafEV]]))</f>
        <v/>
      </c>
      <c r="BI125" s="99" t="str">
        <f aca="false">IF(Tasks[[#This Row],[Task Name]]="","",IF(Tasks[[#This Row],[_IsSummary]],SUM(INDEX(Tasks[_LeafAC],Tasks[[#This Row],[_Row]]+1):INDEX(Tasks[_LeafAC],Tasks[[#This Row],[_Row]]+Tasks[[#This Row],[_Descendants]])),Tasks[[#This Row],[_LeafAC]]))</f>
        <v/>
      </c>
      <c r="BJ125" s="41" t="str">
        <f aca="false">IF(Tasks[[#This Row],[Task Name]]="","",MAX(1,N(Tasks[[#This Row],[Level]])))</f>
        <v/>
      </c>
      <c r="BK125" s="41" t="n">
        <f aca="false">ROW()-ROW(Tasks[[#Headers],[ID]])</f>
        <v>120</v>
      </c>
      <c r="BL125" s="41" t="n">
        <f aca="false">IF(OR(Tasks[[#This Row],[Task Name]]="",Tasks[[#This Row],[_Level]]&lt;=1),0,IFERROR(LOOKUP(2,1/(Tasks[[#Headers],[_Level]]:Tasks[[#This Row],[_Level]]=Tasks[[#This Row],[_Level]]-1),ROW(Tasks[[#Headers],[_Level]]:Tasks[[#This Row],[_Level]])),0))</f>
        <v>0</v>
      </c>
      <c r="BM125" s="41" t="n">
        <f aca="false">IFERROR(N(INDEX(Tasks[_Level],Tasks[[#This Row],[_Row]]+1)),0)</f>
        <v>0</v>
      </c>
      <c r="BN125" s="102" t="b">
        <f aca="false">AND(Tasks[[#This Row],[Task Name]]&lt;&gt;"",Tasks[[#This Row],[_NextLevel]]&gt;Tasks[[#This Row],[_Level]])</f>
        <v>0</v>
      </c>
      <c r="BO125" s="41" t="n">
        <f aca="false">IF(Tasks[[#This Row],[_IsSummary]],COUNTIF(Tasks[WBS],Tasks[[#This Row],[WBS]]&amp;".*"),0)</f>
        <v>0</v>
      </c>
      <c r="BP125" s="41" t="n">
        <f aca="false">IF(AND(Tasks[[#This Row],[Task Name]]&lt;&gt;"",NOT(Tasks[[#This Row],[_IsSummary]])),1,0)</f>
        <v>0</v>
      </c>
      <c r="BQ125" s="41" t="n">
        <f aca="false">IF(N(Tasks[[#This Row],[Pred1 UID]])=0,0,IFERROR(MATCH(Tasks[[#This Row],[Pred1 UID]],Tasks[UID],0),-1))</f>
        <v>0</v>
      </c>
      <c r="BR125" s="41" t="n">
        <f aca="false">IF(N(Tasks[[#This Row],[Pred2 UID]])=0,0,IFERROR(MATCH(Tasks[[#This Row],[Pred2 UID]],Tasks[UID],0),-1))</f>
        <v>0</v>
      </c>
      <c r="BS12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5" s="103" t="str">
        <f aca="false">IF(NOT(Tasks[[#This Row],[_IsLeaf]]=1),"",IF(N(Tasks[[#This Row],[Duration]])&lt;=0,Tasks[[#This Row],[_LeafCalcStart]],WORKDAY.INTL(Tasks[[#This Row],[_LeafCalcStart]],Tasks[[#This Row],[Duration]]-1,WorkWeek,Holidays)))</f>
        <v/>
      </c>
      <c r="BU12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5" s="41" t="n">
        <f aca="false">IF(NOT(Tasks[[#This Row],[_IsLeaf]]=1),0,IF(N(Tasks[[#This Row],[Actual Finish]])&gt;0,1,MIN(1,N(Tasks[[#This Row],[% Complete]]))))</f>
        <v>0</v>
      </c>
      <c r="BX125" s="41" t="n">
        <f aca="false">IF(OR(NOT(Tasks[[#This Row],[_IsLeaf]]=1),Tasks[[#This Row],[Resource]]=""),0,N(Tasks[[#This Row],[Duration]])*HoursPerDay*IF(Tasks[[#This Row],[Units]]="",DefaultUnits,Tasks[[#This Row],[Units]]))</f>
        <v>0</v>
      </c>
      <c r="BY125" s="41" t="n">
        <f aca="false">IF(Tasks[[#This Row],[_LeafWork]]=0,0,Tasks[[#This Row],[_LeafWork]]*IFERROR(INDEX(res_Rate,MATCH(Tasks[[#This Row],[Resource]],res_Name,0)),0))</f>
        <v>0</v>
      </c>
      <c r="BZ1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5" s="41" t="n">
        <f aca="false">IF(NOT(Tasks[[#This Row],[_IsLeaf]]=1),0,MAX(_xlfn.MAXIFS(Tasks[_Row],Tasks[Pred1 UID],Tasks[[#This Row],[UID]]),_xlfn.MAXIFS(Tasks[_Row],Tasks[Pred2 UID],Tasks[[#This Row],[UID]])))</f>
        <v>0</v>
      </c>
      <c r="CE12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5" s="103" t="str">
        <f aca="false">IF(NOT(Tasks[[#This Row],[_IsLeaf]]=1),"",MIN(ProjectFinish,IF(N(Tasks[[#This Row],[Deadline]])&gt;0,Tasks[[#This Row],[Deadline]],2958465),Tasks[[#This Row],[_SuccessorFinishLimit]]))</f>
        <v/>
      </c>
      <c r="CG125" s="103" t="str">
        <f aca="false">IF(NOT(Tasks[[#This Row],[_IsLeaf]]=1),"",IF(N(Tasks[[#This Row],[Duration]])&lt;=0,Tasks[[#This Row],[_LeafLateFinish]],WORKDAY.INTL(Tasks[[#This Row],[_LeafLateFinish]],-(Tasks[[#This Row],[Duration]]-1),WorkWeek,Holidays)))</f>
        <v/>
      </c>
      <c r="CH1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5" s="102" t="b">
        <f aca="false">AND(Tasks[[#This Row],[_IsLeaf]]=1,Tasks[[#This Row],[_LeafProgress]]&lt;1,N(Tasks[[#This Row],[_LeafTotalSlack]])&lt;=CriticalSlackDays)</f>
        <v>0</v>
      </c>
      <c r="CJ125" s="103" t="str">
        <f aca="false">IF(Tasks[[#This Row],[Task Name]]="","",IF(Tasks[[#This Row],[_IsSummary]],MIN(INDEX(Tasks[_LeafCalcStart],Tasks[[#This Row],[_Row]]+1):INDEX(Tasks[_LeafCalcStart],Tasks[[#This Row],[_Row]]+Tasks[[#This Row],[_Descendants]])),Tasks[[#This Row],[_LeafCalcStart]]))</f>
        <v/>
      </c>
      <c r="CK125" s="103" t="str">
        <f aca="false">IF(Tasks[[#This Row],[Task Name]]="","",IF(Tasks[[#This Row],[_IsSummary]],MAX(INDEX(Tasks[_LeafCalcFinish],Tasks[[#This Row],[_Row]]+1):INDEX(Tasks[_LeafCalcFinish],Tasks[[#This Row],[_Row]]+Tasks[[#This Row],[_Descendants]])),Tasks[[#This Row],[_LeafCalcFinish]]))</f>
        <v/>
      </c>
      <c r="CL1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5" s="41" t="n">
        <f aca="false">IF(AND(Tasks[[#This Row],[_IsLeaf]]=1,Tasks[[#This Row],[_LeafWork]]&gt;0),NETWORKDAYS.INTL(ProjectStart,Tasks[[#This Row],[_LeafFcstStart]],WorkWeek,Holidays),0)</f>
        <v>0</v>
      </c>
      <c r="CS125" s="41" t="n">
        <f aca="false">IF(AND(Tasks[[#This Row],[_IsLeaf]]=1,Tasks[[#This Row],[_LeafWork]]&gt;0),MAX(Tasks[[#This Row],[_StartWorkday]],NETWORKDAYS.INTL(ProjectStart,Tasks[[#This Row],[_LeafFcstFinish]],WorkWeek,Holidays)),0)</f>
        <v>0</v>
      </c>
      <c r="CT125" s="41" t="n">
        <f aca="false">IF(AND(Tasks[[#This Row],[_IsLeaf]]=1,Tasks[[#This Row],[_LeafWork]]&gt;0),Tasks[[#This Row],[_LeafWork]]/(Tasks[[#This Row],[_FinishWorkday]]-Tasks[[#This Row],[_StartWorkday]]+1),0)</f>
        <v>0</v>
      </c>
      <c r="CU125" s="41" t="n">
        <f aca="false">Tasks[[#This Row],[_WorkPerWorkday]]*(Tasks[[#This Row],[_StartWorkday]]-1)</f>
        <v>-0</v>
      </c>
      <c r="CV125" s="41" t="n">
        <f aca="false">IF(Tasks[[#This Row],[_IsLeaf]]=1,MAX(N(Tasks[[#This Row],[Duration]]),0.1),0)</f>
        <v>0</v>
      </c>
      <c r="CW125" s="41" t="n">
        <f aca="false">Tasks[[#This Row],[_WeightDur]]*Tasks[[#This Row],[_LeafProgress]]</f>
        <v>0</v>
      </c>
      <c r="CX1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5" s="41" t="str">
        <f aca="false">IF(Tasks[[#This Row],[Task Name]]="","",Tasks[[#This Row],[_Pred1UIDText]]&amp;IF(AND(Tasks[[#This Row],[_Pred1UIDText]]&lt;&gt;"",Tasks[[#This Row],[_Pred2UIDText]]&lt;&gt;""),",","")&amp;Tasks[[#This Row],[_Pred2UIDText]])</f>
        <v/>
      </c>
      <c r="DC125" s="41" t="str">
        <f aca="false">IF(AND(Tasks[[#This Row],[_IsLeaf]]=1,N(Tasks[[#This Row],[Duration]])=0,Tasks[[#This Row],[_LeafProgress]]&lt;1),Tasks[[#This Row],[_LeafFcstFinish]]+Tasks[[#This Row],[_Row]]/100000,"")</f>
        <v/>
      </c>
      <c r="DD1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5" s="41" t="n">
        <f aca="false">IF(NOT(Tasks[[#This Row],[_IsLeaf]]=1),0,IF(Tasks[[#This Row],[Baseline Cost]]="",Tasks[[#This Row],[_LeafCost]],N(Tasks[[#This Row],[Baseline Cost]])))</f>
        <v>0</v>
      </c>
      <c r="DF125" s="41" t="n">
        <f aca="false">Tasks[[#This Row],[_LeafBudget]]*Tasks[[#This Row],[_PlannedPct]]</f>
        <v>0</v>
      </c>
      <c r="DG125" s="41" t="n">
        <f aca="false">Tasks[[#This Row],[_LeafBudget]]*Tasks[[#This Row],[_LeafProgress]]</f>
        <v>0</v>
      </c>
      <c r="DH125" s="41" t="n">
        <f aca="false">IF(NOT(Tasks[[#This Row],[_IsLeaf]]=1),0,IF(Tasks[[#This Row],[Actual Cost]]="",Tasks[[#This Row],[_LeafCost]]*Tasks[[#This Row],[_LeafProgress]],N(Tasks[[#This Row],[Actual Cost]])))</f>
        <v>0</v>
      </c>
      <c r="DI125" s="41" t="str">
        <f aca="false">IF(Tasks[[#This Row],[Task Name]]="","",LEFT(Tasks[[#This Row],[WBS]],FIND(".",Tasks[[#This Row],[WBS]]&amp;".")-1))</f>
        <v/>
      </c>
      <c r="DJ125" s="41" t="str">
        <f aca="false">IF(AND(Tasks[[#This Row],[Task Name]]&lt;&gt;"",Tasks[[#This Row],[_Level]]=1),Tasks[[#This Row],[_Row]],"")</f>
        <v/>
      </c>
      <c r="DK125" s="41" t="str">
        <f aca="false">IF(AND(Tasks[[#This Row],[_IsLeaf]]=1,N(Tasks[[#This Row],[Duration]])=0),Tasks[[#This Row],[Planned Finish]]+Tasks[[#This Row],[_Row]]/100000,"")</f>
        <v/>
      </c>
      <c r="DL125" s="41" t="str">
        <f aca="false">IF(AND(Tasks[[#This Row],[_IsLeaf]]=1,Tasks[[#This Row],[_LeafProgress]]&lt;1,OR(N(Tasks[[#This Row],[Finish Var]])&gt;0,Tasks[[#This Row],[Status]]="Late Start")),MAX(0,Tasks[[#This Row],[Finish Var]])+1-Tasks[[#This Row],[_Row]]/1000000,"")</f>
        <v/>
      </c>
      <c r="DM125" s="41" t="str">
        <f aca="false">IF(AND(Tasks[[#This Row],[_IsLeaf]]=1,N(Tasks[[#This Row],[Actual Start]])=0,Tasks[[#This Row],[_LeafFcstStart]]&gt;=StatusDate,Tasks[[#This Row],[_LeafFcstStart]]&lt;=LookaheadEnd),Tasks[[#This Row],[_LeafFcstStart]]+Tasks[[#This Row],[_Row]]/100000,"")</f>
        <v/>
      </c>
      <c r="DN125" s="41" t="str">
        <f aca="false">IF(AND(Tasks[[#This Row],[_IsLeaf]]=1,Tasks[[#This Row],[_LeafProgress]]&lt;1,Tasks[[#This Row],[_LeafFcstFinish]]&gt;=StatusDate,Tasks[[#This Row],[_LeafFcstFinish]]&lt;=LookaheadEnd),Tasks[[#This Row],[_LeafFcstFinish]]+Tasks[[#This Row],[_Row]]/100000,"")</f>
        <v/>
      </c>
      <c r="DO125" s="41" t="str">
        <f aca="false">IF(Tasks[[#This Row],[_LeafCritical]],Tasks[[#This Row],[_LeafFcstStart]]+Tasks[[#This Row],[_Row]]/100000,"")</f>
        <v/>
      </c>
      <c r="DP125" s="41" t="n">
        <f aca="false">Tasks[[#This Row],[_LeafWork]]*Tasks[[#This Row],[_LeafProgress]]</f>
        <v>0</v>
      </c>
      <c r="DQ125" s="103" t="str">
        <f aca="false">IF(AND(Tasks[[#This Row],[_IsLeaf]]=1,Tasks[[#This Row],[_LeafProgress]]&gt;=1),IF(N(Tasks[[#This Row],[Actual Finish]])&gt;0,Tasks[[#This Row],[Actual Finish]],Tasks[[#This Row],[_LeafFcstFinish]]),"")</f>
        <v/>
      </c>
      <c r="DR125" s="41" t="n">
        <f aca="false">IF(Tasks[[#This Row],[_IsLeaf]]=1,N(Tasks[[#This Row],[Story Points]]),0)</f>
        <v>0</v>
      </c>
      <c r="DS125" s="41" t="str">
        <f aca="false">IF(AND(Tasks[[#This Row],[_IsLeaf]]=1,CurrentSprint&lt;&gt;"",Tasks[[#This Row],[Sprint]]=CurrentSprint),Tasks[[#This Row],[_Row]],"")</f>
        <v/>
      </c>
    </row>
    <row r="126" customFormat="false" ht="15" hidden="false" customHeight="false" outlineLevel="0" collapsed="false">
      <c r="A126" s="28" t="str">
        <f aca="false">IF(Tasks[[#This Row],[Task Name]]="","",COUNTA(Tasks[[#Headers],[Task Name]]:Tasks[[#This Row],[Task Name]])-1)</f>
        <v/>
      </c>
      <c r="B126" s="29" t="n">
        <v>121</v>
      </c>
      <c r="C1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29"/>
      <c r="E126" s="30"/>
      <c r="F126" s="29"/>
      <c r="G126" s="29"/>
      <c r="H126" s="29"/>
      <c r="I126" s="29"/>
      <c r="J126" s="29"/>
      <c r="K126" s="29"/>
      <c r="L126" s="29"/>
      <c r="M126" s="29"/>
      <c r="N126" s="77"/>
      <c r="O126" s="77"/>
      <c r="P126" s="25" t="str">
        <f aca="false">IF(Tasks[[#This Row],[Task Name]]="","",IF(N(Tasks[[#This Row],[Baseline Start]])&gt;0,Tasks[[#This Row],[Baseline Start]],Tasks[[#This Row],[_CalcStart]]))</f>
        <v/>
      </c>
      <c r="Q126" s="25" t="str">
        <f aca="false">IF(Tasks[[#This Row],[Task Name]]="","",IF(N(Tasks[[#This Row],[Baseline Finish]])&gt;0,Tasks[[#This Row],[Baseline Finish]],Tasks[[#This Row],[_CalcFinish]]))</f>
        <v/>
      </c>
      <c r="R126" s="77"/>
      <c r="S126" s="77"/>
      <c r="T126" s="25" t="str">
        <f aca="false">IF(Tasks[[#This Row],[Task Name]]="","",IF(Tasks[[#This Row],[_IsSummary]],MIN(INDEX(Tasks[_LeafFcstStart],Tasks[[#This Row],[_Row]]+1):INDEX(Tasks[_LeafFcstStart],Tasks[[#This Row],[_Row]]+Tasks[[#This Row],[_Descendants]])),Tasks[[#This Row],[_LeafFcstStart]]))</f>
        <v/>
      </c>
      <c r="U126" s="25" t="str">
        <f aca="false">IF(Tasks[[#This Row],[Task Name]]="","",IF(Tasks[[#This Row],[_IsSummary]],MAX(INDEX(Tasks[_LeafFcstFinish],Tasks[[#This Row],[_Row]]+1):INDEX(Tasks[_LeafFcstFinish],Tasks[[#This Row],[_Row]]+Tasks[[#This Row],[_Descendants]])),Tasks[[#This Row],[_LeafFcstFinish]]))</f>
        <v/>
      </c>
      <c r="V12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6" s="25" t="str">
        <f aca="false">IF(Tasks[[#This Row],[Task Name]]="","",IF(Tasks[[#This Row],[_IsSummary]],MIN(INDEX(Tasks[_LeafLateStart],Tasks[[#This Row],[_Row]]+1):INDEX(Tasks[_LeafLateStart],Tasks[[#This Row],[_Row]]+Tasks[[#This Row],[_Descendants]])),Tasks[[#This Row],[_LeafLateStart]]))</f>
        <v/>
      </c>
      <c r="Y126" s="25" t="str">
        <f aca="false">IF(Tasks[[#This Row],[Task Name]]="","",IF(Tasks[[#This Row],[_IsSummary]],MAX(INDEX(Tasks[_LeafLateFinish],Tasks[[#This Row],[_Row]]+1):INDEX(Tasks[_LeafLateFinish],Tasks[[#This Row],[_Row]]+Tasks[[#This Row],[_Descendants]])),Tasks[[#This Row],[_LeafLateFinish]]))</f>
        <v/>
      </c>
      <c r="Z126" s="43" t="str">
        <f aca="false">IF(Tasks[[#This Row],[Task Name]]="","",IF(Tasks[[#This Row],[_IsSummary]],MIN(INDEX(Tasks[_LeafTotalSlack],Tasks[[#This Row],[_Row]]+1):INDEX(Tasks[_LeafTotalSlack],Tasks[[#This Row],[_Row]]+Tasks[[#This Row],[_Descendants]])),Tasks[[#This Row],[_LeafTotalSlack]]))</f>
        <v/>
      </c>
      <c r="AA1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6" s="28" t="str">
        <f aca="false">IF(Tasks[[#This Row],[Task Name]]="","",IF(IF(Tasks[[#This Row],[_IsSummary]],COUNTIF(INDEX(Tasks[_LeafCritical],Tasks[[#This Row],[_Row]]+1):INDEX(Tasks[_LeafCritical],Tasks[[#This Row],[_Row]]+Tasks[[#This Row],[_Descendants]]),TRUE())&gt;0,Tasks[[#This Row],[_LeafCritical]]),"Yes",""))</f>
        <v/>
      </c>
      <c r="AC1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6" s="24" t="str">
        <f aca="false">IF(Tasks[[#This Row],[Task Name]]="","",TRIM(IF(Tasks[[#This Row],[_Pred1Problem]]&lt;&gt;"","Pred 1: "&amp;Tasks[[#This Row],[_Pred1Problem]]&amp;". ","")&amp;IF(Tasks[[#This Row],[_Pred2Problem]]&lt;&gt;"","Pred 2: "&amp;Tasks[[#This Row],[_Pred2Problem]]&amp;".","")))</f>
        <v/>
      </c>
      <c r="AE126" s="91"/>
      <c r="AF12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6" s="28" t="str">
        <f aca="false">IF(Tasks[[#This Row],[Task Name]]="","",IF(Tasks[[#This Row],[Progress]]&gt;=1,"Complete",IF(OR(N(Tasks[[#This Row],[Actual Start]])&gt;0,Tasks[[#This Row],[Progress]]&gt;0),IF(Tasks[[#This Row],[Finish Var]]&gt;0,"Behind","In Progress"),IF(Tasks[[#This Row],[Planned Start]]&lt;StatusDate,"Late Start","Not Started"))))</f>
        <v/>
      </c>
      <c r="AH126" s="30"/>
      <c r="AI126" s="91"/>
      <c r="AJ12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6" s="98" t="str">
        <f aca="false">IF(Tasks[[#This Row],[Task Name]]="","",IF(Tasks[[#This Row],[_IsSummary]],SUM(INDEX(Tasks[_LeafWork],Tasks[[#This Row],[_Row]]+1):INDEX(Tasks[_LeafWork],Tasks[[#This Row],[_Row]]+Tasks[[#This Row],[_Descendants]])),Tasks[[#This Row],[_LeafWork]]))</f>
        <v/>
      </c>
      <c r="AL126" s="99" t="str">
        <f aca="false">IF(Tasks[[#This Row],[Task Name]]="","",IF(Tasks[[#This Row],[_IsSummary]],SUM(INDEX(Tasks[_LeafCost],Tasks[[#This Row],[_Row]]+1):INDEX(Tasks[_LeafCost],Tasks[[#This Row],[_Row]]+Tasks[[#This Row],[_Descendants]])),Tasks[[#This Row],[_LeafCost]]))</f>
        <v/>
      </c>
      <c r="AM126" s="100"/>
      <c r="AN126" s="29"/>
      <c r="AO1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6" s="85"/>
      <c r="AQ126" s="24" t="str">
        <f aca="false">IF(Tasks[[#This Row],[Task Name]]="","",Tasks[[#This Row],[_Pred1IDText]]&amp;IF(AND(Tasks[[#This Row],[_Pred1IDText]]&lt;&gt;"",Tasks[[#This Row],[_Pred2IDText]]&lt;&gt;""),",","")&amp;Tasks[[#This Row],[_Pred2IDText]])</f>
        <v/>
      </c>
      <c r="AR126" s="30"/>
      <c r="AS126" s="25" t="str">
        <f aca="false">IF(Tasks[[#This Row],[Task Name]]="","",Tasks[[#This Row],[Forecast Start]])</f>
        <v/>
      </c>
      <c r="AT126" s="25" t="str">
        <f aca="false">IF(Tasks[[#This Row],[Task Name]]="","",Tasks[[#This Row],[Forecast Finish]])</f>
        <v/>
      </c>
      <c r="AU126" s="28" t="str">
        <f aca="false">IF(Tasks[[#This Row],[Task Name]]="","",IF(Tasks[[#This Row],[_IsSummary]],NETWORKDAYS.INTL(Tasks[[#This Row],[Forecast Start]],Tasks[[#This Row],[Forecast Finish]],WorkWeek,Holidays),N(Tasks[[#This Row],[Duration]])))</f>
        <v/>
      </c>
      <c r="AV126" s="98" t="str">
        <f aca="false">IF(Tasks[[#This Row],[Task Name]]="","",Tasks[[#This Row],[Work]])</f>
        <v/>
      </c>
      <c r="AW126" s="99" t="str">
        <f aca="false">IF(Tasks[[#This Row],[Task Name]]="","",Tasks[[#This Row],[Cost]])</f>
        <v/>
      </c>
      <c r="AX126" s="77"/>
      <c r="AY126" s="77"/>
      <c r="AZ126" s="29"/>
      <c r="BA126" s="101"/>
      <c r="BB126" s="100"/>
      <c r="BC126" s="28" t="str">
        <f aca="false">IF(OR(Tasks[[#This Row],[Task Name]]="",Tasks[[#This Row],[Baseline Duration]]=""),"",Tasks[[#This Row],[BL Source Duration]]-N(Tasks[[#This Row],[Baseline Duration]]))</f>
        <v/>
      </c>
      <c r="BD126" s="98" t="str">
        <f aca="false">IF(OR(Tasks[[#This Row],[Task Name]]="",Tasks[[#This Row],[Baseline Work]]=""),"",Tasks[[#This Row],[Work]]-N(Tasks[[#This Row],[Baseline Work]]))</f>
        <v/>
      </c>
      <c r="BE126" s="99" t="str">
        <f aca="false">IF(OR(Tasks[[#This Row],[Task Name]]="",Tasks[[#This Row],[Baseline Cost]]=""),"",Tasks[[#This Row],[Cost]]-N(Tasks[[#This Row],[Baseline Cost]]))</f>
        <v/>
      </c>
      <c r="BF126" s="99" t="str">
        <f aca="false">IF(Tasks[[#This Row],[Task Name]]="","",IF(Tasks[[#This Row],[_IsSummary]],SUM(INDEX(Tasks[_LeafBudget],Tasks[[#This Row],[_Row]]+1):INDEX(Tasks[_LeafBudget],Tasks[[#This Row],[_Row]]+Tasks[[#This Row],[_Descendants]])),Tasks[[#This Row],[_LeafBudget]]))</f>
        <v/>
      </c>
      <c r="BG126" s="99" t="str">
        <f aca="false">IF(Tasks[[#This Row],[Task Name]]="","",IF(Tasks[[#This Row],[_IsSummary]],SUM(INDEX(Tasks[_LeafPV],Tasks[[#This Row],[_Row]]+1):INDEX(Tasks[_LeafPV],Tasks[[#This Row],[_Row]]+Tasks[[#This Row],[_Descendants]])),Tasks[[#This Row],[_LeafPV]]))</f>
        <v/>
      </c>
      <c r="BH126" s="99" t="str">
        <f aca="false">IF(Tasks[[#This Row],[Task Name]]="","",IF(Tasks[[#This Row],[_IsSummary]],SUM(INDEX(Tasks[_LeafEV],Tasks[[#This Row],[_Row]]+1):INDEX(Tasks[_LeafEV],Tasks[[#This Row],[_Row]]+Tasks[[#This Row],[_Descendants]])),Tasks[[#This Row],[_LeafEV]]))</f>
        <v/>
      </c>
      <c r="BI126" s="99" t="str">
        <f aca="false">IF(Tasks[[#This Row],[Task Name]]="","",IF(Tasks[[#This Row],[_IsSummary]],SUM(INDEX(Tasks[_LeafAC],Tasks[[#This Row],[_Row]]+1):INDEX(Tasks[_LeafAC],Tasks[[#This Row],[_Row]]+Tasks[[#This Row],[_Descendants]])),Tasks[[#This Row],[_LeafAC]]))</f>
        <v/>
      </c>
      <c r="BJ126" s="41" t="str">
        <f aca="false">IF(Tasks[[#This Row],[Task Name]]="","",MAX(1,N(Tasks[[#This Row],[Level]])))</f>
        <v/>
      </c>
      <c r="BK126" s="41" t="n">
        <f aca="false">ROW()-ROW(Tasks[[#Headers],[ID]])</f>
        <v>121</v>
      </c>
      <c r="BL126" s="41" t="n">
        <f aca="false">IF(OR(Tasks[[#This Row],[Task Name]]="",Tasks[[#This Row],[_Level]]&lt;=1),0,IFERROR(LOOKUP(2,1/(Tasks[[#Headers],[_Level]]:Tasks[[#This Row],[_Level]]=Tasks[[#This Row],[_Level]]-1),ROW(Tasks[[#Headers],[_Level]]:Tasks[[#This Row],[_Level]])),0))</f>
        <v>0</v>
      </c>
      <c r="BM126" s="41" t="n">
        <f aca="false">IFERROR(N(INDEX(Tasks[_Level],Tasks[[#This Row],[_Row]]+1)),0)</f>
        <v>0</v>
      </c>
      <c r="BN126" s="102" t="b">
        <f aca="false">AND(Tasks[[#This Row],[Task Name]]&lt;&gt;"",Tasks[[#This Row],[_NextLevel]]&gt;Tasks[[#This Row],[_Level]])</f>
        <v>0</v>
      </c>
      <c r="BO126" s="41" t="n">
        <f aca="false">IF(Tasks[[#This Row],[_IsSummary]],COUNTIF(Tasks[WBS],Tasks[[#This Row],[WBS]]&amp;".*"),0)</f>
        <v>0</v>
      </c>
      <c r="BP126" s="41" t="n">
        <f aca="false">IF(AND(Tasks[[#This Row],[Task Name]]&lt;&gt;"",NOT(Tasks[[#This Row],[_IsSummary]])),1,0)</f>
        <v>0</v>
      </c>
      <c r="BQ126" s="41" t="n">
        <f aca="false">IF(N(Tasks[[#This Row],[Pred1 UID]])=0,0,IFERROR(MATCH(Tasks[[#This Row],[Pred1 UID]],Tasks[UID],0),-1))</f>
        <v>0</v>
      </c>
      <c r="BR126" s="41" t="n">
        <f aca="false">IF(N(Tasks[[#This Row],[Pred2 UID]])=0,0,IFERROR(MATCH(Tasks[[#This Row],[Pred2 UID]],Tasks[UID],0),-1))</f>
        <v>0</v>
      </c>
      <c r="BS12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6" s="103" t="str">
        <f aca="false">IF(NOT(Tasks[[#This Row],[_IsLeaf]]=1),"",IF(N(Tasks[[#This Row],[Duration]])&lt;=0,Tasks[[#This Row],[_LeafCalcStart]],WORKDAY.INTL(Tasks[[#This Row],[_LeafCalcStart]],Tasks[[#This Row],[Duration]]-1,WorkWeek,Holidays)))</f>
        <v/>
      </c>
      <c r="BU12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6" s="41" t="n">
        <f aca="false">IF(NOT(Tasks[[#This Row],[_IsLeaf]]=1),0,IF(N(Tasks[[#This Row],[Actual Finish]])&gt;0,1,MIN(1,N(Tasks[[#This Row],[% Complete]]))))</f>
        <v>0</v>
      </c>
      <c r="BX126" s="41" t="n">
        <f aca="false">IF(OR(NOT(Tasks[[#This Row],[_IsLeaf]]=1),Tasks[[#This Row],[Resource]]=""),0,N(Tasks[[#This Row],[Duration]])*HoursPerDay*IF(Tasks[[#This Row],[Units]]="",DefaultUnits,Tasks[[#This Row],[Units]]))</f>
        <v>0</v>
      </c>
      <c r="BY126" s="41" t="n">
        <f aca="false">IF(Tasks[[#This Row],[_LeafWork]]=0,0,Tasks[[#This Row],[_LeafWork]]*IFERROR(INDEX(res_Rate,MATCH(Tasks[[#This Row],[Resource]],res_Name,0)),0))</f>
        <v>0</v>
      </c>
      <c r="BZ1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6" s="41" t="n">
        <f aca="false">IF(NOT(Tasks[[#This Row],[_IsLeaf]]=1),0,MAX(_xlfn.MAXIFS(Tasks[_Row],Tasks[Pred1 UID],Tasks[[#This Row],[UID]]),_xlfn.MAXIFS(Tasks[_Row],Tasks[Pred2 UID],Tasks[[#This Row],[UID]])))</f>
        <v>0</v>
      </c>
      <c r="CE12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6" s="103" t="str">
        <f aca="false">IF(NOT(Tasks[[#This Row],[_IsLeaf]]=1),"",MIN(ProjectFinish,IF(N(Tasks[[#This Row],[Deadline]])&gt;0,Tasks[[#This Row],[Deadline]],2958465),Tasks[[#This Row],[_SuccessorFinishLimit]]))</f>
        <v/>
      </c>
      <c r="CG126" s="103" t="str">
        <f aca="false">IF(NOT(Tasks[[#This Row],[_IsLeaf]]=1),"",IF(N(Tasks[[#This Row],[Duration]])&lt;=0,Tasks[[#This Row],[_LeafLateFinish]],WORKDAY.INTL(Tasks[[#This Row],[_LeafLateFinish]],-(Tasks[[#This Row],[Duration]]-1),WorkWeek,Holidays)))</f>
        <v/>
      </c>
      <c r="CH1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6" s="102" t="b">
        <f aca="false">AND(Tasks[[#This Row],[_IsLeaf]]=1,Tasks[[#This Row],[_LeafProgress]]&lt;1,N(Tasks[[#This Row],[_LeafTotalSlack]])&lt;=CriticalSlackDays)</f>
        <v>0</v>
      </c>
      <c r="CJ126" s="103" t="str">
        <f aca="false">IF(Tasks[[#This Row],[Task Name]]="","",IF(Tasks[[#This Row],[_IsSummary]],MIN(INDEX(Tasks[_LeafCalcStart],Tasks[[#This Row],[_Row]]+1):INDEX(Tasks[_LeafCalcStart],Tasks[[#This Row],[_Row]]+Tasks[[#This Row],[_Descendants]])),Tasks[[#This Row],[_LeafCalcStart]]))</f>
        <v/>
      </c>
      <c r="CK126" s="103" t="str">
        <f aca="false">IF(Tasks[[#This Row],[Task Name]]="","",IF(Tasks[[#This Row],[_IsSummary]],MAX(INDEX(Tasks[_LeafCalcFinish],Tasks[[#This Row],[_Row]]+1):INDEX(Tasks[_LeafCalcFinish],Tasks[[#This Row],[_Row]]+Tasks[[#This Row],[_Descendants]])),Tasks[[#This Row],[_LeafCalcFinish]]))</f>
        <v/>
      </c>
      <c r="CL1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6" s="41" t="n">
        <f aca="false">IF(AND(Tasks[[#This Row],[_IsLeaf]]=1,Tasks[[#This Row],[_LeafWork]]&gt;0),NETWORKDAYS.INTL(ProjectStart,Tasks[[#This Row],[_LeafFcstStart]],WorkWeek,Holidays),0)</f>
        <v>0</v>
      </c>
      <c r="CS126" s="41" t="n">
        <f aca="false">IF(AND(Tasks[[#This Row],[_IsLeaf]]=1,Tasks[[#This Row],[_LeafWork]]&gt;0),MAX(Tasks[[#This Row],[_StartWorkday]],NETWORKDAYS.INTL(ProjectStart,Tasks[[#This Row],[_LeafFcstFinish]],WorkWeek,Holidays)),0)</f>
        <v>0</v>
      </c>
      <c r="CT126" s="41" t="n">
        <f aca="false">IF(AND(Tasks[[#This Row],[_IsLeaf]]=1,Tasks[[#This Row],[_LeafWork]]&gt;0),Tasks[[#This Row],[_LeafWork]]/(Tasks[[#This Row],[_FinishWorkday]]-Tasks[[#This Row],[_StartWorkday]]+1),0)</f>
        <v>0</v>
      </c>
      <c r="CU126" s="41" t="n">
        <f aca="false">Tasks[[#This Row],[_WorkPerWorkday]]*(Tasks[[#This Row],[_StartWorkday]]-1)</f>
        <v>-0</v>
      </c>
      <c r="CV126" s="41" t="n">
        <f aca="false">IF(Tasks[[#This Row],[_IsLeaf]]=1,MAX(N(Tasks[[#This Row],[Duration]]),0.1),0)</f>
        <v>0</v>
      </c>
      <c r="CW126" s="41" t="n">
        <f aca="false">Tasks[[#This Row],[_WeightDur]]*Tasks[[#This Row],[_LeafProgress]]</f>
        <v>0</v>
      </c>
      <c r="CX1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6" s="41" t="str">
        <f aca="false">IF(Tasks[[#This Row],[Task Name]]="","",Tasks[[#This Row],[_Pred1UIDText]]&amp;IF(AND(Tasks[[#This Row],[_Pred1UIDText]]&lt;&gt;"",Tasks[[#This Row],[_Pred2UIDText]]&lt;&gt;""),",","")&amp;Tasks[[#This Row],[_Pred2UIDText]])</f>
        <v/>
      </c>
      <c r="DC126" s="41" t="str">
        <f aca="false">IF(AND(Tasks[[#This Row],[_IsLeaf]]=1,N(Tasks[[#This Row],[Duration]])=0,Tasks[[#This Row],[_LeafProgress]]&lt;1),Tasks[[#This Row],[_LeafFcstFinish]]+Tasks[[#This Row],[_Row]]/100000,"")</f>
        <v/>
      </c>
      <c r="DD1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6" s="41" t="n">
        <f aca="false">IF(NOT(Tasks[[#This Row],[_IsLeaf]]=1),0,IF(Tasks[[#This Row],[Baseline Cost]]="",Tasks[[#This Row],[_LeafCost]],N(Tasks[[#This Row],[Baseline Cost]])))</f>
        <v>0</v>
      </c>
      <c r="DF126" s="41" t="n">
        <f aca="false">Tasks[[#This Row],[_LeafBudget]]*Tasks[[#This Row],[_PlannedPct]]</f>
        <v>0</v>
      </c>
      <c r="DG126" s="41" t="n">
        <f aca="false">Tasks[[#This Row],[_LeafBudget]]*Tasks[[#This Row],[_LeafProgress]]</f>
        <v>0</v>
      </c>
      <c r="DH126" s="41" t="n">
        <f aca="false">IF(NOT(Tasks[[#This Row],[_IsLeaf]]=1),0,IF(Tasks[[#This Row],[Actual Cost]]="",Tasks[[#This Row],[_LeafCost]]*Tasks[[#This Row],[_LeafProgress]],N(Tasks[[#This Row],[Actual Cost]])))</f>
        <v>0</v>
      </c>
      <c r="DI126" s="41" t="str">
        <f aca="false">IF(Tasks[[#This Row],[Task Name]]="","",LEFT(Tasks[[#This Row],[WBS]],FIND(".",Tasks[[#This Row],[WBS]]&amp;".")-1))</f>
        <v/>
      </c>
      <c r="DJ126" s="41" t="str">
        <f aca="false">IF(AND(Tasks[[#This Row],[Task Name]]&lt;&gt;"",Tasks[[#This Row],[_Level]]=1),Tasks[[#This Row],[_Row]],"")</f>
        <v/>
      </c>
      <c r="DK126" s="41" t="str">
        <f aca="false">IF(AND(Tasks[[#This Row],[_IsLeaf]]=1,N(Tasks[[#This Row],[Duration]])=0),Tasks[[#This Row],[Planned Finish]]+Tasks[[#This Row],[_Row]]/100000,"")</f>
        <v/>
      </c>
      <c r="DL126" s="41" t="str">
        <f aca="false">IF(AND(Tasks[[#This Row],[_IsLeaf]]=1,Tasks[[#This Row],[_LeafProgress]]&lt;1,OR(N(Tasks[[#This Row],[Finish Var]])&gt;0,Tasks[[#This Row],[Status]]="Late Start")),MAX(0,Tasks[[#This Row],[Finish Var]])+1-Tasks[[#This Row],[_Row]]/1000000,"")</f>
        <v/>
      </c>
      <c r="DM126" s="41" t="str">
        <f aca="false">IF(AND(Tasks[[#This Row],[_IsLeaf]]=1,N(Tasks[[#This Row],[Actual Start]])=0,Tasks[[#This Row],[_LeafFcstStart]]&gt;=StatusDate,Tasks[[#This Row],[_LeafFcstStart]]&lt;=LookaheadEnd),Tasks[[#This Row],[_LeafFcstStart]]+Tasks[[#This Row],[_Row]]/100000,"")</f>
        <v/>
      </c>
      <c r="DN126" s="41" t="str">
        <f aca="false">IF(AND(Tasks[[#This Row],[_IsLeaf]]=1,Tasks[[#This Row],[_LeafProgress]]&lt;1,Tasks[[#This Row],[_LeafFcstFinish]]&gt;=StatusDate,Tasks[[#This Row],[_LeafFcstFinish]]&lt;=LookaheadEnd),Tasks[[#This Row],[_LeafFcstFinish]]+Tasks[[#This Row],[_Row]]/100000,"")</f>
        <v/>
      </c>
      <c r="DO126" s="41" t="str">
        <f aca="false">IF(Tasks[[#This Row],[_LeafCritical]],Tasks[[#This Row],[_LeafFcstStart]]+Tasks[[#This Row],[_Row]]/100000,"")</f>
        <v/>
      </c>
      <c r="DP126" s="41" t="n">
        <f aca="false">Tasks[[#This Row],[_LeafWork]]*Tasks[[#This Row],[_LeafProgress]]</f>
        <v>0</v>
      </c>
      <c r="DQ126" s="103" t="str">
        <f aca="false">IF(AND(Tasks[[#This Row],[_IsLeaf]]=1,Tasks[[#This Row],[_LeafProgress]]&gt;=1),IF(N(Tasks[[#This Row],[Actual Finish]])&gt;0,Tasks[[#This Row],[Actual Finish]],Tasks[[#This Row],[_LeafFcstFinish]]),"")</f>
        <v/>
      </c>
      <c r="DR126" s="41" t="n">
        <f aca="false">IF(Tasks[[#This Row],[_IsLeaf]]=1,N(Tasks[[#This Row],[Story Points]]),0)</f>
        <v>0</v>
      </c>
      <c r="DS126" s="41" t="str">
        <f aca="false">IF(AND(Tasks[[#This Row],[_IsLeaf]]=1,CurrentSprint&lt;&gt;"",Tasks[[#This Row],[Sprint]]=CurrentSprint),Tasks[[#This Row],[_Row]],"")</f>
        <v/>
      </c>
    </row>
    <row r="127" customFormat="false" ht="15" hidden="false" customHeight="false" outlineLevel="0" collapsed="false">
      <c r="A127" s="28" t="str">
        <f aca="false">IF(Tasks[[#This Row],[Task Name]]="","",COUNTA(Tasks[[#Headers],[Task Name]]:Tasks[[#This Row],[Task Name]])-1)</f>
        <v/>
      </c>
      <c r="B127" s="29" t="n">
        <v>122</v>
      </c>
      <c r="C1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29"/>
      <c r="E127" s="30"/>
      <c r="F127" s="29"/>
      <c r="G127" s="29"/>
      <c r="H127" s="29"/>
      <c r="I127" s="29"/>
      <c r="J127" s="29"/>
      <c r="K127" s="29"/>
      <c r="L127" s="29"/>
      <c r="M127" s="29"/>
      <c r="N127" s="77"/>
      <c r="O127" s="77"/>
      <c r="P127" s="25" t="str">
        <f aca="false">IF(Tasks[[#This Row],[Task Name]]="","",IF(N(Tasks[[#This Row],[Baseline Start]])&gt;0,Tasks[[#This Row],[Baseline Start]],Tasks[[#This Row],[_CalcStart]]))</f>
        <v/>
      </c>
      <c r="Q127" s="25" t="str">
        <f aca="false">IF(Tasks[[#This Row],[Task Name]]="","",IF(N(Tasks[[#This Row],[Baseline Finish]])&gt;0,Tasks[[#This Row],[Baseline Finish]],Tasks[[#This Row],[_CalcFinish]]))</f>
        <v/>
      </c>
      <c r="R127" s="77"/>
      <c r="S127" s="77"/>
      <c r="T127" s="25" t="str">
        <f aca="false">IF(Tasks[[#This Row],[Task Name]]="","",IF(Tasks[[#This Row],[_IsSummary]],MIN(INDEX(Tasks[_LeafFcstStart],Tasks[[#This Row],[_Row]]+1):INDEX(Tasks[_LeafFcstStart],Tasks[[#This Row],[_Row]]+Tasks[[#This Row],[_Descendants]])),Tasks[[#This Row],[_LeafFcstStart]]))</f>
        <v/>
      </c>
      <c r="U127" s="25" t="str">
        <f aca="false">IF(Tasks[[#This Row],[Task Name]]="","",IF(Tasks[[#This Row],[_IsSummary]],MAX(INDEX(Tasks[_LeafFcstFinish],Tasks[[#This Row],[_Row]]+1):INDEX(Tasks[_LeafFcstFinish],Tasks[[#This Row],[_Row]]+Tasks[[#This Row],[_Descendants]])),Tasks[[#This Row],[_LeafFcstFinish]]))</f>
        <v/>
      </c>
      <c r="V12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7" s="25" t="str">
        <f aca="false">IF(Tasks[[#This Row],[Task Name]]="","",IF(Tasks[[#This Row],[_IsSummary]],MIN(INDEX(Tasks[_LeafLateStart],Tasks[[#This Row],[_Row]]+1):INDEX(Tasks[_LeafLateStart],Tasks[[#This Row],[_Row]]+Tasks[[#This Row],[_Descendants]])),Tasks[[#This Row],[_LeafLateStart]]))</f>
        <v/>
      </c>
      <c r="Y127" s="25" t="str">
        <f aca="false">IF(Tasks[[#This Row],[Task Name]]="","",IF(Tasks[[#This Row],[_IsSummary]],MAX(INDEX(Tasks[_LeafLateFinish],Tasks[[#This Row],[_Row]]+1):INDEX(Tasks[_LeafLateFinish],Tasks[[#This Row],[_Row]]+Tasks[[#This Row],[_Descendants]])),Tasks[[#This Row],[_LeafLateFinish]]))</f>
        <v/>
      </c>
      <c r="Z127" s="43" t="str">
        <f aca="false">IF(Tasks[[#This Row],[Task Name]]="","",IF(Tasks[[#This Row],[_IsSummary]],MIN(INDEX(Tasks[_LeafTotalSlack],Tasks[[#This Row],[_Row]]+1):INDEX(Tasks[_LeafTotalSlack],Tasks[[#This Row],[_Row]]+Tasks[[#This Row],[_Descendants]])),Tasks[[#This Row],[_LeafTotalSlack]]))</f>
        <v/>
      </c>
      <c r="AA1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7" s="28" t="str">
        <f aca="false">IF(Tasks[[#This Row],[Task Name]]="","",IF(IF(Tasks[[#This Row],[_IsSummary]],COUNTIF(INDEX(Tasks[_LeafCritical],Tasks[[#This Row],[_Row]]+1):INDEX(Tasks[_LeafCritical],Tasks[[#This Row],[_Row]]+Tasks[[#This Row],[_Descendants]]),TRUE())&gt;0,Tasks[[#This Row],[_LeafCritical]]),"Yes",""))</f>
        <v/>
      </c>
      <c r="AC1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7" s="24" t="str">
        <f aca="false">IF(Tasks[[#This Row],[Task Name]]="","",TRIM(IF(Tasks[[#This Row],[_Pred1Problem]]&lt;&gt;"","Pred 1: "&amp;Tasks[[#This Row],[_Pred1Problem]]&amp;". ","")&amp;IF(Tasks[[#This Row],[_Pred2Problem]]&lt;&gt;"","Pred 2: "&amp;Tasks[[#This Row],[_Pred2Problem]]&amp;".","")))</f>
        <v/>
      </c>
      <c r="AE127" s="91"/>
      <c r="AF12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7" s="28" t="str">
        <f aca="false">IF(Tasks[[#This Row],[Task Name]]="","",IF(Tasks[[#This Row],[Progress]]&gt;=1,"Complete",IF(OR(N(Tasks[[#This Row],[Actual Start]])&gt;0,Tasks[[#This Row],[Progress]]&gt;0),IF(Tasks[[#This Row],[Finish Var]]&gt;0,"Behind","In Progress"),IF(Tasks[[#This Row],[Planned Start]]&lt;StatusDate,"Late Start","Not Started"))))</f>
        <v/>
      </c>
      <c r="AH127" s="30"/>
      <c r="AI127" s="91"/>
      <c r="AJ12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7" s="98" t="str">
        <f aca="false">IF(Tasks[[#This Row],[Task Name]]="","",IF(Tasks[[#This Row],[_IsSummary]],SUM(INDEX(Tasks[_LeafWork],Tasks[[#This Row],[_Row]]+1):INDEX(Tasks[_LeafWork],Tasks[[#This Row],[_Row]]+Tasks[[#This Row],[_Descendants]])),Tasks[[#This Row],[_LeafWork]]))</f>
        <v/>
      </c>
      <c r="AL127" s="99" t="str">
        <f aca="false">IF(Tasks[[#This Row],[Task Name]]="","",IF(Tasks[[#This Row],[_IsSummary]],SUM(INDEX(Tasks[_LeafCost],Tasks[[#This Row],[_Row]]+1):INDEX(Tasks[_LeafCost],Tasks[[#This Row],[_Row]]+Tasks[[#This Row],[_Descendants]])),Tasks[[#This Row],[_LeafCost]]))</f>
        <v/>
      </c>
      <c r="AM127" s="100"/>
      <c r="AN127" s="29"/>
      <c r="AO1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7" s="85"/>
      <c r="AQ127" s="24" t="str">
        <f aca="false">IF(Tasks[[#This Row],[Task Name]]="","",Tasks[[#This Row],[_Pred1IDText]]&amp;IF(AND(Tasks[[#This Row],[_Pred1IDText]]&lt;&gt;"",Tasks[[#This Row],[_Pred2IDText]]&lt;&gt;""),",","")&amp;Tasks[[#This Row],[_Pred2IDText]])</f>
        <v/>
      </c>
      <c r="AR127" s="30"/>
      <c r="AS127" s="25" t="str">
        <f aca="false">IF(Tasks[[#This Row],[Task Name]]="","",Tasks[[#This Row],[Forecast Start]])</f>
        <v/>
      </c>
      <c r="AT127" s="25" t="str">
        <f aca="false">IF(Tasks[[#This Row],[Task Name]]="","",Tasks[[#This Row],[Forecast Finish]])</f>
        <v/>
      </c>
      <c r="AU127" s="28" t="str">
        <f aca="false">IF(Tasks[[#This Row],[Task Name]]="","",IF(Tasks[[#This Row],[_IsSummary]],NETWORKDAYS.INTL(Tasks[[#This Row],[Forecast Start]],Tasks[[#This Row],[Forecast Finish]],WorkWeek,Holidays),N(Tasks[[#This Row],[Duration]])))</f>
        <v/>
      </c>
      <c r="AV127" s="98" t="str">
        <f aca="false">IF(Tasks[[#This Row],[Task Name]]="","",Tasks[[#This Row],[Work]])</f>
        <v/>
      </c>
      <c r="AW127" s="99" t="str">
        <f aca="false">IF(Tasks[[#This Row],[Task Name]]="","",Tasks[[#This Row],[Cost]])</f>
        <v/>
      </c>
      <c r="AX127" s="77"/>
      <c r="AY127" s="77"/>
      <c r="AZ127" s="29"/>
      <c r="BA127" s="101"/>
      <c r="BB127" s="100"/>
      <c r="BC127" s="28" t="str">
        <f aca="false">IF(OR(Tasks[[#This Row],[Task Name]]="",Tasks[[#This Row],[Baseline Duration]]=""),"",Tasks[[#This Row],[BL Source Duration]]-N(Tasks[[#This Row],[Baseline Duration]]))</f>
        <v/>
      </c>
      <c r="BD127" s="98" t="str">
        <f aca="false">IF(OR(Tasks[[#This Row],[Task Name]]="",Tasks[[#This Row],[Baseline Work]]=""),"",Tasks[[#This Row],[Work]]-N(Tasks[[#This Row],[Baseline Work]]))</f>
        <v/>
      </c>
      <c r="BE127" s="99" t="str">
        <f aca="false">IF(OR(Tasks[[#This Row],[Task Name]]="",Tasks[[#This Row],[Baseline Cost]]=""),"",Tasks[[#This Row],[Cost]]-N(Tasks[[#This Row],[Baseline Cost]]))</f>
        <v/>
      </c>
      <c r="BF127" s="99" t="str">
        <f aca="false">IF(Tasks[[#This Row],[Task Name]]="","",IF(Tasks[[#This Row],[_IsSummary]],SUM(INDEX(Tasks[_LeafBudget],Tasks[[#This Row],[_Row]]+1):INDEX(Tasks[_LeafBudget],Tasks[[#This Row],[_Row]]+Tasks[[#This Row],[_Descendants]])),Tasks[[#This Row],[_LeafBudget]]))</f>
        <v/>
      </c>
      <c r="BG127" s="99" t="str">
        <f aca="false">IF(Tasks[[#This Row],[Task Name]]="","",IF(Tasks[[#This Row],[_IsSummary]],SUM(INDEX(Tasks[_LeafPV],Tasks[[#This Row],[_Row]]+1):INDEX(Tasks[_LeafPV],Tasks[[#This Row],[_Row]]+Tasks[[#This Row],[_Descendants]])),Tasks[[#This Row],[_LeafPV]]))</f>
        <v/>
      </c>
      <c r="BH127" s="99" t="str">
        <f aca="false">IF(Tasks[[#This Row],[Task Name]]="","",IF(Tasks[[#This Row],[_IsSummary]],SUM(INDEX(Tasks[_LeafEV],Tasks[[#This Row],[_Row]]+1):INDEX(Tasks[_LeafEV],Tasks[[#This Row],[_Row]]+Tasks[[#This Row],[_Descendants]])),Tasks[[#This Row],[_LeafEV]]))</f>
        <v/>
      </c>
      <c r="BI127" s="99" t="str">
        <f aca="false">IF(Tasks[[#This Row],[Task Name]]="","",IF(Tasks[[#This Row],[_IsSummary]],SUM(INDEX(Tasks[_LeafAC],Tasks[[#This Row],[_Row]]+1):INDEX(Tasks[_LeafAC],Tasks[[#This Row],[_Row]]+Tasks[[#This Row],[_Descendants]])),Tasks[[#This Row],[_LeafAC]]))</f>
        <v/>
      </c>
      <c r="BJ127" s="41" t="str">
        <f aca="false">IF(Tasks[[#This Row],[Task Name]]="","",MAX(1,N(Tasks[[#This Row],[Level]])))</f>
        <v/>
      </c>
      <c r="BK127" s="41" t="n">
        <f aca="false">ROW()-ROW(Tasks[[#Headers],[ID]])</f>
        <v>122</v>
      </c>
      <c r="BL127" s="41" t="n">
        <f aca="false">IF(OR(Tasks[[#This Row],[Task Name]]="",Tasks[[#This Row],[_Level]]&lt;=1),0,IFERROR(LOOKUP(2,1/(Tasks[[#Headers],[_Level]]:Tasks[[#This Row],[_Level]]=Tasks[[#This Row],[_Level]]-1),ROW(Tasks[[#Headers],[_Level]]:Tasks[[#This Row],[_Level]])),0))</f>
        <v>0</v>
      </c>
      <c r="BM127" s="41" t="n">
        <f aca="false">IFERROR(N(INDEX(Tasks[_Level],Tasks[[#This Row],[_Row]]+1)),0)</f>
        <v>0</v>
      </c>
      <c r="BN127" s="102" t="b">
        <f aca="false">AND(Tasks[[#This Row],[Task Name]]&lt;&gt;"",Tasks[[#This Row],[_NextLevel]]&gt;Tasks[[#This Row],[_Level]])</f>
        <v>0</v>
      </c>
      <c r="BO127" s="41" t="n">
        <f aca="false">IF(Tasks[[#This Row],[_IsSummary]],COUNTIF(Tasks[WBS],Tasks[[#This Row],[WBS]]&amp;".*"),0)</f>
        <v>0</v>
      </c>
      <c r="BP127" s="41" t="n">
        <f aca="false">IF(AND(Tasks[[#This Row],[Task Name]]&lt;&gt;"",NOT(Tasks[[#This Row],[_IsSummary]])),1,0)</f>
        <v>0</v>
      </c>
      <c r="BQ127" s="41" t="n">
        <f aca="false">IF(N(Tasks[[#This Row],[Pred1 UID]])=0,0,IFERROR(MATCH(Tasks[[#This Row],[Pred1 UID]],Tasks[UID],0),-1))</f>
        <v>0</v>
      </c>
      <c r="BR127" s="41" t="n">
        <f aca="false">IF(N(Tasks[[#This Row],[Pred2 UID]])=0,0,IFERROR(MATCH(Tasks[[#This Row],[Pred2 UID]],Tasks[UID],0),-1))</f>
        <v>0</v>
      </c>
      <c r="BS12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7" s="103" t="str">
        <f aca="false">IF(NOT(Tasks[[#This Row],[_IsLeaf]]=1),"",IF(N(Tasks[[#This Row],[Duration]])&lt;=0,Tasks[[#This Row],[_LeafCalcStart]],WORKDAY.INTL(Tasks[[#This Row],[_LeafCalcStart]],Tasks[[#This Row],[Duration]]-1,WorkWeek,Holidays)))</f>
        <v/>
      </c>
      <c r="BU12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7" s="41" t="n">
        <f aca="false">IF(NOT(Tasks[[#This Row],[_IsLeaf]]=1),0,IF(N(Tasks[[#This Row],[Actual Finish]])&gt;0,1,MIN(1,N(Tasks[[#This Row],[% Complete]]))))</f>
        <v>0</v>
      </c>
      <c r="BX127" s="41" t="n">
        <f aca="false">IF(OR(NOT(Tasks[[#This Row],[_IsLeaf]]=1),Tasks[[#This Row],[Resource]]=""),0,N(Tasks[[#This Row],[Duration]])*HoursPerDay*IF(Tasks[[#This Row],[Units]]="",DefaultUnits,Tasks[[#This Row],[Units]]))</f>
        <v>0</v>
      </c>
      <c r="BY127" s="41" t="n">
        <f aca="false">IF(Tasks[[#This Row],[_LeafWork]]=0,0,Tasks[[#This Row],[_LeafWork]]*IFERROR(INDEX(res_Rate,MATCH(Tasks[[#This Row],[Resource]],res_Name,0)),0))</f>
        <v>0</v>
      </c>
      <c r="BZ1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7" s="41" t="n">
        <f aca="false">IF(NOT(Tasks[[#This Row],[_IsLeaf]]=1),0,MAX(_xlfn.MAXIFS(Tasks[_Row],Tasks[Pred1 UID],Tasks[[#This Row],[UID]]),_xlfn.MAXIFS(Tasks[_Row],Tasks[Pred2 UID],Tasks[[#This Row],[UID]])))</f>
        <v>0</v>
      </c>
      <c r="CE12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7" s="103" t="str">
        <f aca="false">IF(NOT(Tasks[[#This Row],[_IsLeaf]]=1),"",MIN(ProjectFinish,IF(N(Tasks[[#This Row],[Deadline]])&gt;0,Tasks[[#This Row],[Deadline]],2958465),Tasks[[#This Row],[_SuccessorFinishLimit]]))</f>
        <v/>
      </c>
      <c r="CG127" s="103" t="str">
        <f aca="false">IF(NOT(Tasks[[#This Row],[_IsLeaf]]=1),"",IF(N(Tasks[[#This Row],[Duration]])&lt;=0,Tasks[[#This Row],[_LeafLateFinish]],WORKDAY.INTL(Tasks[[#This Row],[_LeafLateFinish]],-(Tasks[[#This Row],[Duration]]-1),WorkWeek,Holidays)))</f>
        <v/>
      </c>
      <c r="CH1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7" s="102" t="b">
        <f aca="false">AND(Tasks[[#This Row],[_IsLeaf]]=1,Tasks[[#This Row],[_LeafProgress]]&lt;1,N(Tasks[[#This Row],[_LeafTotalSlack]])&lt;=CriticalSlackDays)</f>
        <v>0</v>
      </c>
      <c r="CJ127" s="103" t="str">
        <f aca="false">IF(Tasks[[#This Row],[Task Name]]="","",IF(Tasks[[#This Row],[_IsSummary]],MIN(INDEX(Tasks[_LeafCalcStart],Tasks[[#This Row],[_Row]]+1):INDEX(Tasks[_LeafCalcStart],Tasks[[#This Row],[_Row]]+Tasks[[#This Row],[_Descendants]])),Tasks[[#This Row],[_LeafCalcStart]]))</f>
        <v/>
      </c>
      <c r="CK127" s="103" t="str">
        <f aca="false">IF(Tasks[[#This Row],[Task Name]]="","",IF(Tasks[[#This Row],[_IsSummary]],MAX(INDEX(Tasks[_LeafCalcFinish],Tasks[[#This Row],[_Row]]+1):INDEX(Tasks[_LeafCalcFinish],Tasks[[#This Row],[_Row]]+Tasks[[#This Row],[_Descendants]])),Tasks[[#This Row],[_LeafCalcFinish]]))</f>
        <v/>
      </c>
      <c r="CL1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7" s="41" t="n">
        <f aca="false">IF(AND(Tasks[[#This Row],[_IsLeaf]]=1,Tasks[[#This Row],[_LeafWork]]&gt;0),NETWORKDAYS.INTL(ProjectStart,Tasks[[#This Row],[_LeafFcstStart]],WorkWeek,Holidays),0)</f>
        <v>0</v>
      </c>
      <c r="CS127" s="41" t="n">
        <f aca="false">IF(AND(Tasks[[#This Row],[_IsLeaf]]=1,Tasks[[#This Row],[_LeafWork]]&gt;0),MAX(Tasks[[#This Row],[_StartWorkday]],NETWORKDAYS.INTL(ProjectStart,Tasks[[#This Row],[_LeafFcstFinish]],WorkWeek,Holidays)),0)</f>
        <v>0</v>
      </c>
      <c r="CT127" s="41" t="n">
        <f aca="false">IF(AND(Tasks[[#This Row],[_IsLeaf]]=1,Tasks[[#This Row],[_LeafWork]]&gt;0),Tasks[[#This Row],[_LeafWork]]/(Tasks[[#This Row],[_FinishWorkday]]-Tasks[[#This Row],[_StartWorkday]]+1),0)</f>
        <v>0</v>
      </c>
      <c r="CU127" s="41" t="n">
        <f aca="false">Tasks[[#This Row],[_WorkPerWorkday]]*(Tasks[[#This Row],[_StartWorkday]]-1)</f>
        <v>-0</v>
      </c>
      <c r="CV127" s="41" t="n">
        <f aca="false">IF(Tasks[[#This Row],[_IsLeaf]]=1,MAX(N(Tasks[[#This Row],[Duration]]),0.1),0)</f>
        <v>0</v>
      </c>
      <c r="CW127" s="41" t="n">
        <f aca="false">Tasks[[#This Row],[_WeightDur]]*Tasks[[#This Row],[_LeafProgress]]</f>
        <v>0</v>
      </c>
      <c r="CX1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7" s="41" t="str">
        <f aca="false">IF(Tasks[[#This Row],[Task Name]]="","",Tasks[[#This Row],[_Pred1UIDText]]&amp;IF(AND(Tasks[[#This Row],[_Pred1UIDText]]&lt;&gt;"",Tasks[[#This Row],[_Pred2UIDText]]&lt;&gt;""),",","")&amp;Tasks[[#This Row],[_Pred2UIDText]])</f>
        <v/>
      </c>
      <c r="DC127" s="41" t="str">
        <f aca="false">IF(AND(Tasks[[#This Row],[_IsLeaf]]=1,N(Tasks[[#This Row],[Duration]])=0,Tasks[[#This Row],[_LeafProgress]]&lt;1),Tasks[[#This Row],[_LeafFcstFinish]]+Tasks[[#This Row],[_Row]]/100000,"")</f>
        <v/>
      </c>
      <c r="DD1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7" s="41" t="n">
        <f aca="false">IF(NOT(Tasks[[#This Row],[_IsLeaf]]=1),0,IF(Tasks[[#This Row],[Baseline Cost]]="",Tasks[[#This Row],[_LeafCost]],N(Tasks[[#This Row],[Baseline Cost]])))</f>
        <v>0</v>
      </c>
      <c r="DF127" s="41" t="n">
        <f aca="false">Tasks[[#This Row],[_LeafBudget]]*Tasks[[#This Row],[_PlannedPct]]</f>
        <v>0</v>
      </c>
      <c r="DG127" s="41" t="n">
        <f aca="false">Tasks[[#This Row],[_LeafBudget]]*Tasks[[#This Row],[_LeafProgress]]</f>
        <v>0</v>
      </c>
      <c r="DH127" s="41" t="n">
        <f aca="false">IF(NOT(Tasks[[#This Row],[_IsLeaf]]=1),0,IF(Tasks[[#This Row],[Actual Cost]]="",Tasks[[#This Row],[_LeafCost]]*Tasks[[#This Row],[_LeafProgress]],N(Tasks[[#This Row],[Actual Cost]])))</f>
        <v>0</v>
      </c>
      <c r="DI127" s="41" t="str">
        <f aca="false">IF(Tasks[[#This Row],[Task Name]]="","",LEFT(Tasks[[#This Row],[WBS]],FIND(".",Tasks[[#This Row],[WBS]]&amp;".")-1))</f>
        <v/>
      </c>
      <c r="DJ127" s="41" t="str">
        <f aca="false">IF(AND(Tasks[[#This Row],[Task Name]]&lt;&gt;"",Tasks[[#This Row],[_Level]]=1),Tasks[[#This Row],[_Row]],"")</f>
        <v/>
      </c>
      <c r="DK127" s="41" t="str">
        <f aca="false">IF(AND(Tasks[[#This Row],[_IsLeaf]]=1,N(Tasks[[#This Row],[Duration]])=0),Tasks[[#This Row],[Planned Finish]]+Tasks[[#This Row],[_Row]]/100000,"")</f>
        <v/>
      </c>
      <c r="DL127" s="41" t="str">
        <f aca="false">IF(AND(Tasks[[#This Row],[_IsLeaf]]=1,Tasks[[#This Row],[_LeafProgress]]&lt;1,OR(N(Tasks[[#This Row],[Finish Var]])&gt;0,Tasks[[#This Row],[Status]]="Late Start")),MAX(0,Tasks[[#This Row],[Finish Var]])+1-Tasks[[#This Row],[_Row]]/1000000,"")</f>
        <v/>
      </c>
      <c r="DM127" s="41" t="str">
        <f aca="false">IF(AND(Tasks[[#This Row],[_IsLeaf]]=1,N(Tasks[[#This Row],[Actual Start]])=0,Tasks[[#This Row],[_LeafFcstStart]]&gt;=StatusDate,Tasks[[#This Row],[_LeafFcstStart]]&lt;=LookaheadEnd),Tasks[[#This Row],[_LeafFcstStart]]+Tasks[[#This Row],[_Row]]/100000,"")</f>
        <v/>
      </c>
      <c r="DN127" s="41" t="str">
        <f aca="false">IF(AND(Tasks[[#This Row],[_IsLeaf]]=1,Tasks[[#This Row],[_LeafProgress]]&lt;1,Tasks[[#This Row],[_LeafFcstFinish]]&gt;=StatusDate,Tasks[[#This Row],[_LeafFcstFinish]]&lt;=LookaheadEnd),Tasks[[#This Row],[_LeafFcstFinish]]+Tasks[[#This Row],[_Row]]/100000,"")</f>
        <v/>
      </c>
      <c r="DO127" s="41" t="str">
        <f aca="false">IF(Tasks[[#This Row],[_LeafCritical]],Tasks[[#This Row],[_LeafFcstStart]]+Tasks[[#This Row],[_Row]]/100000,"")</f>
        <v/>
      </c>
      <c r="DP127" s="41" t="n">
        <f aca="false">Tasks[[#This Row],[_LeafWork]]*Tasks[[#This Row],[_LeafProgress]]</f>
        <v>0</v>
      </c>
      <c r="DQ127" s="103" t="str">
        <f aca="false">IF(AND(Tasks[[#This Row],[_IsLeaf]]=1,Tasks[[#This Row],[_LeafProgress]]&gt;=1),IF(N(Tasks[[#This Row],[Actual Finish]])&gt;0,Tasks[[#This Row],[Actual Finish]],Tasks[[#This Row],[_LeafFcstFinish]]),"")</f>
        <v/>
      </c>
      <c r="DR127" s="41" t="n">
        <f aca="false">IF(Tasks[[#This Row],[_IsLeaf]]=1,N(Tasks[[#This Row],[Story Points]]),0)</f>
        <v>0</v>
      </c>
      <c r="DS127" s="41" t="str">
        <f aca="false">IF(AND(Tasks[[#This Row],[_IsLeaf]]=1,CurrentSprint&lt;&gt;"",Tasks[[#This Row],[Sprint]]=CurrentSprint),Tasks[[#This Row],[_Row]],"")</f>
        <v/>
      </c>
    </row>
    <row r="128" customFormat="false" ht="15" hidden="false" customHeight="false" outlineLevel="0" collapsed="false">
      <c r="A128" s="28" t="str">
        <f aca="false">IF(Tasks[[#This Row],[Task Name]]="","",COUNTA(Tasks[[#Headers],[Task Name]]:Tasks[[#This Row],[Task Name]])-1)</f>
        <v/>
      </c>
      <c r="B128" s="29" t="n">
        <v>123</v>
      </c>
      <c r="C1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29"/>
      <c r="E128" s="30"/>
      <c r="F128" s="29"/>
      <c r="G128" s="29"/>
      <c r="H128" s="29"/>
      <c r="I128" s="29"/>
      <c r="J128" s="29"/>
      <c r="K128" s="29"/>
      <c r="L128" s="29"/>
      <c r="M128" s="29"/>
      <c r="N128" s="77"/>
      <c r="O128" s="77"/>
      <c r="P128" s="25" t="str">
        <f aca="false">IF(Tasks[[#This Row],[Task Name]]="","",IF(N(Tasks[[#This Row],[Baseline Start]])&gt;0,Tasks[[#This Row],[Baseline Start]],Tasks[[#This Row],[_CalcStart]]))</f>
        <v/>
      </c>
      <c r="Q128" s="25" t="str">
        <f aca="false">IF(Tasks[[#This Row],[Task Name]]="","",IF(N(Tasks[[#This Row],[Baseline Finish]])&gt;0,Tasks[[#This Row],[Baseline Finish]],Tasks[[#This Row],[_CalcFinish]]))</f>
        <v/>
      </c>
      <c r="R128" s="77"/>
      <c r="S128" s="77"/>
      <c r="T128" s="25" t="str">
        <f aca="false">IF(Tasks[[#This Row],[Task Name]]="","",IF(Tasks[[#This Row],[_IsSummary]],MIN(INDEX(Tasks[_LeafFcstStart],Tasks[[#This Row],[_Row]]+1):INDEX(Tasks[_LeafFcstStart],Tasks[[#This Row],[_Row]]+Tasks[[#This Row],[_Descendants]])),Tasks[[#This Row],[_LeafFcstStart]]))</f>
        <v/>
      </c>
      <c r="U128" s="25" t="str">
        <f aca="false">IF(Tasks[[#This Row],[Task Name]]="","",IF(Tasks[[#This Row],[_IsSummary]],MAX(INDEX(Tasks[_LeafFcstFinish],Tasks[[#This Row],[_Row]]+1):INDEX(Tasks[_LeafFcstFinish],Tasks[[#This Row],[_Row]]+Tasks[[#This Row],[_Descendants]])),Tasks[[#This Row],[_LeafFcstFinish]]))</f>
        <v/>
      </c>
      <c r="V12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8" s="25" t="str">
        <f aca="false">IF(Tasks[[#This Row],[Task Name]]="","",IF(Tasks[[#This Row],[_IsSummary]],MIN(INDEX(Tasks[_LeafLateStart],Tasks[[#This Row],[_Row]]+1):INDEX(Tasks[_LeafLateStart],Tasks[[#This Row],[_Row]]+Tasks[[#This Row],[_Descendants]])),Tasks[[#This Row],[_LeafLateStart]]))</f>
        <v/>
      </c>
      <c r="Y128" s="25" t="str">
        <f aca="false">IF(Tasks[[#This Row],[Task Name]]="","",IF(Tasks[[#This Row],[_IsSummary]],MAX(INDEX(Tasks[_LeafLateFinish],Tasks[[#This Row],[_Row]]+1):INDEX(Tasks[_LeafLateFinish],Tasks[[#This Row],[_Row]]+Tasks[[#This Row],[_Descendants]])),Tasks[[#This Row],[_LeafLateFinish]]))</f>
        <v/>
      </c>
      <c r="Z128" s="43" t="str">
        <f aca="false">IF(Tasks[[#This Row],[Task Name]]="","",IF(Tasks[[#This Row],[_IsSummary]],MIN(INDEX(Tasks[_LeafTotalSlack],Tasks[[#This Row],[_Row]]+1):INDEX(Tasks[_LeafTotalSlack],Tasks[[#This Row],[_Row]]+Tasks[[#This Row],[_Descendants]])),Tasks[[#This Row],[_LeafTotalSlack]]))</f>
        <v/>
      </c>
      <c r="AA1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8" s="28" t="str">
        <f aca="false">IF(Tasks[[#This Row],[Task Name]]="","",IF(IF(Tasks[[#This Row],[_IsSummary]],COUNTIF(INDEX(Tasks[_LeafCritical],Tasks[[#This Row],[_Row]]+1):INDEX(Tasks[_LeafCritical],Tasks[[#This Row],[_Row]]+Tasks[[#This Row],[_Descendants]]),TRUE())&gt;0,Tasks[[#This Row],[_LeafCritical]]),"Yes",""))</f>
        <v/>
      </c>
      <c r="AC1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8" s="24" t="str">
        <f aca="false">IF(Tasks[[#This Row],[Task Name]]="","",TRIM(IF(Tasks[[#This Row],[_Pred1Problem]]&lt;&gt;"","Pred 1: "&amp;Tasks[[#This Row],[_Pred1Problem]]&amp;". ","")&amp;IF(Tasks[[#This Row],[_Pred2Problem]]&lt;&gt;"","Pred 2: "&amp;Tasks[[#This Row],[_Pred2Problem]]&amp;".","")))</f>
        <v/>
      </c>
      <c r="AE128" s="91"/>
      <c r="AF12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8" s="28" t="str">
        <f aca="false">IF(Tasks[[#This Row],[Task Name]]="","",IF(Tasks[[#This Row],[Progress]]&gt;=1,"Complete",IF(OR(N(Tasks[[#This Row],[Actual Start]])&gt;0,Tasks[[#This Row],[Progress]]&gt;0),IF(Tasks[[#This Row],[Finish Var]]&gt;0,"Behind","In Progress"),IF(Tasks[[#This Row],[Planned Start]]&lt;StatusDate,"Late Start","Not Started"))))</f>
        <v/>
      </c>
      <c r="AH128" s="30"/>
      <c r="AI128" s="91"/>
      <c r="AJ12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8" s="98" t="str">
        <f aca="false">IF(Tasks[[#This Row],[Task Name]]="","",IF(Tasks[[#This Row],[_IsSummary]],SUM(INDEX(Tasks[_LeafWork],Tasks[[#This Row],[_Row]]+1):INDEX(Tasks[_LeafWork],Tasks[[#This Row],[_Row]]+Tasks[[#This Row],[_Descendants]])),Tasks[[#This Row],[_LeafWork]]))</f>
        <v/>
      </c>
      <c r="AL128" s="99" t="str">
        <f aca="false">IF(Tasks[[#This Row],[Task Name]]="","",IF(Tasks[[#This Row],[_IsSummary]],SUM(INDEX(Tasks[_LeafCost],Tasks[[#This Row],[_Row]]+1):INDEX(Tasks[_LeafCost],Tasks[[#This Row],[_Row]]+Tasks[[#This Row],[_Descendants]])),Tasks[[#This Row],[_LeafCost]]))</f>
        <v/>
      </c>
      <c r="AM128" s="100"/>
      <c r="AN128" s="29"/>
      <c r="AO1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8" s="85"/>
      <c r="AQ128" s="24" t="str">
        <f aca="false">IF(Tasks[[#This Row],[Task Name]]="","",Tasks[[#This Row],[_Pred1IDText]]&amp;IF(AND(Tasks[[#This Row],[_Pred1IDText]]&lt;&gt;"",Tasks[[#This Row],[_Pred2IDText]]&lt;&gt;""),",","")&amp;Tasks[[#This Row],[_Pred2IDText]])</f>
        <v/>
      </c>
      <c r="AR128" s="30"/>
      <c r="AS128" s="25" t="str">
        <f aca="false">IF(Tasks[[#This Row],[Task Name]]="","",Tasks[[#This Row],[Forecast Start]])</f>
        <v/>
      </c>
      <c r="AT128" s="25" t="str">
        <f aca="false">IF(Tasks[[#This Row],[Task Name]]="","",Tasks[[#This Row],[Forecast Finish]])</f>
        <v/>
      </c>
      <c r="AU128" s="28" t="str">
        <f aca="false">IF(Tasks[[#This Row],[Task Name]]="","",IF(Tasks[[#This Row],[_IsSummary]],NETWORKDAYS.INTL(Tasks[[#This Row],[Forecast Start]],Tasks[[#This Row],[Forecast Finish]],WorkWeek,Holidays),N(Tasks[[#This Row],[Duration]])))</f>
        <v/>
      </c>
      <c r="AV128" s="98" t="str">
        <f aca="false">IF(Tasks[[#This Row],[Task Name]]="","",Tasks[[#This Row],[Work]])</f>
        <v/>
      </c>
      <c r="AW128" s="99" t="str">
        <f aca="false">IF(Tasks[[#This Row],[Task Name]]="","",Tasks[[#This Row],[Cost]])</f>
        <v/>
      </c>
      <c r="AX128" s="77"/>
      <c r="AY128" s="77"/>
      <c r="AZ128" s="29"/>
      <c r="BA128" s="101"/>
      <c r="BB128" s="100"/>
      <c r="BC128" s="28" t="str">
        <f aca="false">IF(OR(Tasks[[#This Row],[Task Name]]="",Tasks[[#This Row],[Baseline Duration]]=""),"",Tasks[[#This Row],[BL Source Duration]]-N(Tasks[[#This Row],[Baseline Duration]]))</f>
        <v/>
      </c>
      <c r="BD128" s="98" t="str">
        <f aca="false">IF(OR(Tasks[[#This Row],[Task Name]]="",Tasks[[#This Row],[Baseline Work]]=""),"",Tasks[[#This Row],[Work]]-N(Tasks[[#This Row],[Baseline Work]]))</f>
        <v/>
      </c>
      <c r="BE128" s="99" t="str">
        <f aca="false">IF(OR(Tasks[[#This Row],[Task Name]]="",Tasks[[#This Row],[Baseline Cost]]=""),"",Tasks[[#This Row],[Cost]]-N(Tasks[[#This Row],[Baseline Cost]]))</f>
        <v/>
      </c>
      <c r="BF128" s="99" t="str">
        <f aca="false">IF(Tasks[[#This Row],[Task Name]]="","",IF(Tasks[[#This Row],[_IsSummary]],SUM(INDEX(Tasks[_LeafBudget],Tasks[[#This Row],[_Row]]+1):INDEX(Tasks[_LeafBudget],Tasks[[#This Row],[_Row]]+Tasks[[#This Row],[_Descendants]])),Tasks[[#This Row],[_LeafBudget]]))</f>
        <v/>
      </c>
      <c r="BG128" s="99" t="str">
        <f aca="false">IF(Tasks[[#This Row],[Task Name]]="","",IF(Tasks[[#This Row],[_IsSummary]],SUM(INDEX(Tasks[_LeafPV],Tasks[[#This Row],[_Row]]+1):INDEX(Tasks[_LeafPV],Tasks[[#This Row],[_Row]]+Tasks[[#This Row],[_Descendants]])),Tasks[[#This Row],[_LeafPV]]))</f>
        <v/>
      </c>
      <c r="BH128" s="99" t="str">
        <f aca="false">IF(Tasks[[#This Row],[Task Name]]="","",IF(Tasks[[#This Row],[_IsSummary]],SUM(INDEX(Tasks[_LeafEV],Tasks[[#This Row],[_Row]]+1):INDEX(Tasks[_LeafEV],Tasks[[#This Row],[_Row]]+Tasks[[#This Row],[_Descendants]])),Tasks[[#This Row],[_LeafEV]]))</f>
        <v/>
      </c>
      <c r="BI128" s="99" t="str">
        <f aca="false">IF(Tasks[[#This Row],[Task Name]]="","",IF(Tasks[[#This Row],[_IsSummary]],SUM(INDEX(Tasks[_LeafAC],Tasks[[#This Row],[_Row]]+1):INDEX(Tasks[_LeafAC],Tasks[[#This Row],[_Row]]+Tasks[[#This Row],[_Descendants]])),Tasks[[#This Row],[_LeafAC]]))</f>
        <v/>
      </c>
      <c r="BJ128" s="41" t="str">
        <f aca="false">IF(Tasks[[#This Row],[Task Name]]="","",MAX(1,N(Tasks[[#This Row],[Level]])))</f>
        <v/>
      </c>
      <c r="BK128" s="41" t="n">
        <f aca="false">ROW()-ROW(Tasks[[#Headers],[ID]])</f>
        <v>123</v>
      </c>
      <c r="BL128" s="41" t="n">
        <f aca="false">IF(OR(Tasks[[#This Row],[Task Name]]="",Tasks[[#This Row],[_Level]]&lt;=1),0,IFERROR(LOOKUP(2,1/(Tasks[[#Headers],[_Level]]:Tasks[[#This Row],[_Level]]=Tasks[[#This Row],[_Level]]-1),ROW(Tasks[[#Headers],[_Level]]:Tasks[[#This Row],[_Level]])),0))</f>
        <v>0</v>
      </c>
      <c r="BM128" s="41" t="n">
        <f aca="false">IFERROR(N(INDEX(Tasks[_Level],Tasks[[#This Row],[_Row]]+1)),0)</f>
        <v>0</v>
      </c>
      <c r="BN128" s="102" t="b">
        <f aca="false">AND(Tasks[[#This Row],[Task Name]]&lt;&gt;"",Tasks[[#This Row],[_NextLevel]]&gt;Tasks[[#This Row],[_Level]])</f>
        <v>0</v>
      </c>
      <c r="BO128" s="41" t="n">
        <f aca="false">IF(Tasks[[#This Row],[_IsSummary]],COUNTIF(Tasks[WBS],Tasks[[#This Row],[WBS]]&amp;".*"),0)</f>
        <v>0</v>
      </c>
      <c r="BP128" s="41" t="n">
        <f aca="false">IF(AND(Tasks[[#This Row],[Task Name]]&lt;&gt;"",NOT(Tasks[[#This Row],[_IsSummary]])),1,0)</f>
        <v>0</v>
      </c>
      <c r="BQ128" s="41" t="n">
        <f aca="false">IF(N(Tasks[[#This Row],[Pred1 UID]])=0,0,IFERROR(MATCH(Tasks[[#This Row],[Pred1 UID]],Tasks[UID],0),-1))</f>
        <v>0</v>
      </c>
      <c r="BR128" s="41" t="n">
        <f aca="false">IF(N(Tasks[[#This Row],[Pred2 UID]])=0,0,IFERROR(MATCH(Tasks[[#This Row],[Pred2 UID]],Tasks[UID],0),-1))</f>
        <v>0</v>
      </c>
      <c r="BS12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8" s="103" t="str">
        <f aca="false">IF(NOT(Tasks[[#This Row],[_IsLeaf]]=1),"",IF(N(Tasks[[#This Row],[Duration]])&lt;=0,Tasks[[#This Row],[_LeafCalcStart]],WORKDAY.INTL(Tasks[[#This Row],[_LeafCalcStart]],Tasks[[#This Row],[Duration]]-1,WorkWeek,Holidays)))</f>
        <v/>
      </c>
      <c r="BU12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8" s="41" t="n">
        <f aca="false">IF(NOT(Tasks[[#This Row],[_IsLeaf]]=1),0,IF(N(Tasks[[#This Row],[Actual Finish]])&gt;0,1,MIN(1,N(Tasks[[#This Row],[% Complete]]))))</f>
        <v>0</v>
      </c>
      <c r="BX128" s="41" t="n">
        <f aca="false">IF(OR(NOT(Tasks[[#This Row],[_IsLeaf]]=1),Tasks[[#This Row],[Resource]]=""),0,N(Tasks[[#This Row],[Duration]])*HoursPerDay*IF(Tasks[[#This Row],[Units]]="",DefaultUnits,Tasks[[#This Row],[Units]]))</f>
        <v>0</v>
      </c>
      <c r="BY128" s="41" t="n">
        <f aca="false">IF(Tasks[[#This Row],[_LeafWork]]=0,0,Tasks[[#This Row],[_LeafWork]]*IFERROR(INDEX(res_Rate,MATCH(Tasks[[#This Row],[Resource]],res_Name,0)),0))</f>
        <v>0</v>
      </c>
      <c r="BZ1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8" s="41" t="n">
        <f aca="false">IF(NOT(Tasks[[#This Row],[_IsLeaf]]=1),0,MAX(_xlfn.MAXIFS(Tasks[_Row],Tasks[Pred1 UID],Tasks[[#This Row],[UID]]),_xlfn.MAXIFS(Tasks[_Row],Tasks[Pred2 UID],Tasks[[#This Row],[UID]])))</f>
        <v>0</v>
      </c>
      <c r="CE12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8" s="103" t="str">
        <f aca="false">IF(NOT(Tasks[[#This Row],[_IsLeaf]]=1),"",MIN(ProjectFinish,IF(N(Tasks[[#This Row],[Deadline]])&gt;0,Tasks[[#This Row],[Deadline]],2958465),Tasks[[#This Row],[_SuccessorFinishLimit]]))</f>
        <v/>
      </c>
      <c r="CG128" s="103" t="str">
        <f aca="false">IF(NOT(Tasks[[#This Row],[_IsLeaf]]=1),"",IF(N(Tasks[[#This Row],[Duration]])&lt;=0,Tasks[[#This Row],[_LeafLateFinish]],WORKDAY.INTL(Tasks[[#This Row],[_LeafLateFinish]],-(Tasks[[#This Row],[Duration]]-1),WorkWeek,Holidays)))</f>
        <v/>
      </c>
      <c r="CH1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8" s="102" t="b">
        <f aca="false">AND(Tasks[[#This Row],[_IsLeaf]]=1,Tasks[[#This Row],[_LeafProgress]]&lt;1,N(Tasks[[#This Row],[_LeafTotalSlack]])&lt;=CriticalSlackDays)</f>
        <v>0</v>
      </c>
      <c r="CJ128" s="103" t="str">
        <f aca="false">IF(Tasks[[#This Row],[Task Name]]="","",IF(Tasks[[#This Row],[_IsSummary]],MIN(INDEX(Tasks[_LeafCalcStart],Tasks[[#This Row],[_Row]]+1):INDEX(Tasks[_LeafCalcStart],Tasks[[#This Row],[_Row]]+Tasks[[#This Row],[_Descendants]])),Tasks[[#This Row],[_LeafCalcStart]]))</f>
        <v/>
      </c>
      <c r="CK128" s="103" t="str">
        <f aca="false">IF(Tasks[[#This Row],[Task Name]]="","",IF(Tasks[[#This Row],[_IsSummary]],MAX(INDEX(Tasks[_LeafCalcFinish],Tasks[[#This Row],[_Row]]+1):INDEX(Tasks[_LeafCalcFinish],Tasks[[#This Row],[_Row]]+Tasks[[#This Row],[_Descendants]])),Tasks[[#This Row],[_LeafCalcFinish]]))</f>
        <v/>
      </c>
      <c r="CL1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8" s="41" t="n">
        <f aca="false">IF(AND(Tasks[[#This Row],[_IsLeaf]]=1,Tasks[[#This Row],[_LeafWork]]&gt;0),NETWORKDAYS.INTL(ProjectStart,Tasks[[#This Row],[_LeafFcstStart]],WorkWeek,Holidays),0)</f>
        <v>0</v>
      </c>
      <c r="CS128" s="41" t="n">
        <f aca="false">IF(AND(Tasks[[#This Row],[_IsLeaf]]=1,Tasks[[#This Row],[_LeafWork]]&gt;0),MAX(Tasks[[#This Row],[_StartWorkday]],NETWORKDAYS.INTL(ProjectStart,Tasks[[#This Row],[_LeafFcstFinish]],WorkWeek,Holidays)),0)</f>
        <v>0</v>
      </c>
      <c r="CT128" s="41" t="n">
        <f aca="false">IF(AND(Tasks[[#This Row],[_IsLeaf]]=1,Tasks[[#This Row],[_LeafWork]]&gt;0),Tasks[[#This Row],[_LeafWork]]/(Tasks[[#This Row],[_FinishWorkday]]-Tasks[[#This Row],[_StartWorkday]]+1),0)</f>
        <v>0</v>
      </c>
      <c r="CU128" s="41" t="n">
        <f aca="false">Tasks[[#This Row],[_WorkPerWorkday]]*(Tasks[[#This Row],[_StartWorkday]]-1)</f>
        <v>-0</v>
      </c>
      <c r="CV128" s="41" t="n">
        <f aca="false">IF(Tasks[[#This Row],[_IsLeaf]]=1,MAX(N(Tasks[[#This Row],[Duration]]),0.1),0)</f>
        <v>0</v>
      </c>
      <c r="CW128" s="41" t="n">
        <f aca="false">Tasks[[#This Row],[_WeightDur]]*Tasks[[#This Row],[_LeafProgress]]</f>
        <v>0</v>
      </c>
      <c r="CX1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8" s="41" t="str">
        <f aca="false">IF(Tasks[[#This Row],[Task Name]]="","",Tasks[[#This Row],[_Pred1UIDText]]&amp;IF(AND(Tasks[[#This Row],[_Pred1UIDText]]&lt;&gt;"",Tasks[[#This Row],[_Pred2UIDText]]&lt;&gt;""),",","")&amp;Tasks[[#This Row],[_Pred2UIDText]])</f>
        <v/>
      </c>
      <c r="DC128" s="41" t="str">
        <f aca="false">IF(AND(Tasks[[#This Row],[_IsLeaf]]=1,N(Tasks[[#This Row],[Duration]])=0,Tasks[[#This Row],[_LeafProgress]]&lt;1),Tasks[[#This Row],[_LeafFcstFinish]]+Tasks[[#This Row],[_Row]]/100000,"")</f>
        <v/>
      </c>
      <c r="DD1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8" s="41" t="n">
        <f aca="false">IF(NOT(Tasks[[#This Row],[_IsLeaf]]=1),0,IF(Tasks[[#This Row],[Baseline Cost]]="",Tasks[[#This Row],[_LeafCost]],N(Tasks[[#This Row],[Baseline Cost]])))</f>
        <v>0</v>
      </c>
      <c r="DF128" s="41" t="n">
        <f aca="false">Tasks[[#This Row],[_LeafBudget]]*Tasks[[#This Row],[_PlannedPct]]</f>
        <v>0</v>
      </c>
      <c r="DG128" s="41" t="n">
        <f aca="false">Tasks[[#This Row],[_LeafBudget]]*Tasks[[#This Row],[_LeafProgress]]</f>
        <v>0</v>
      </c>
      <c r="DH128" s="41" t="n">
        <f aca="false">IF(NOT(Tasks[[#This Row],[_IsLeaf]]=1),0,IF(Tasks[[#This Row],[Actual Cost]]="",Tasks[[#This Row],[_LeafCost]]*Tasks[[#This Row],[_LeafProgress]],N(Tasks[[#This Row],[Actual Cost]])))</f>
        <v>0</v>
      </c>
      <c r="DI128" s="41" t="str">
        <f aca="false">IF(Tasks[[#This Row],[Task Name]]="","",LEFT(Tasks[[#This Row],[WBS]],FIND(".",Tasks[[#This Row],[WBS]]&amp;".")-1))</f>
        <v/>
      </c>
      <c r="DJ128" s="41" t="str">
        <f aca="false">IF(AND(Tasks[[#This Row],[Task Name]]&lt;&gt;"",Tasks[[#This Row],[_Level]]=1),Tasks[[#This Row],[_Row]],"")</f>
        <v/>
      </c>
      <c r="DK128" s="41" t="str">
        <f aca="false">IF(AND(Tasks[[#This Row],[_IsLeaf]]=1,N(Tasks[[#This Row],[Duration]])=0),Tasks[[#This Row],[Planned Finish]]+Tasks[[#This Row],[_Row]]/100000,"")</f>
        <v/>
      </c>
      <c r="DL128" s="41" t="str">
        <f aca="false">IF(AND(Tasks[[#This Row],[_IsLeaf]]=1,Tasks[[#This Row],[_LeafProgress]]&lt;1,OR(N(Tasks[[#This Row],[Finish Var]])&gt;0,Tasks[[#This Row],[Status]]="Late Start")),MAX(0,Tasks[[#This Row],[Finish Var]])+1-Tasks[[#This Row],[_Row]]/1000000,"")</f>
        <v/>
      </c>
      <c r="DM128" s="41" t="str">
        <f aca="false">IF(AND(Tasks[[#This Row],[_IsLeaf]]=1,N(Tasks[[#This Row],[Actual Start]])=0,Tasks[[#This Row],[_LeafFcstStart]]&gt;=StatusDate,Tasks[[#This Row],[_LeafFcstStart]]&lt;=LookaheadEnd),Tasks[[#This Row],[_LeafFcstStart]]+Tasks[[#This Row],[_Row]]/100000,"")</f>
        <v/>
      </c>
      <c r="DN128" s="41" t="str">
        <f aca="false">IF(AND(Tasks[[#This Row],[_IsLeaf]]=1,Tasks[[#This Row],[_LeafProgress]]&lt;1,Tasks[[#This Row],[_LeafFcstFinish]]&gt;=StatusDate,Tasks[[#This Row],[_LeafFcstFinish]]&lt;=LookaheadEnd),Tasks[[#This Row],[_LeafFcstFinish]]+Tasks[[#This Row],[_Row]]/100000,"")</f>
        <v/>
      </c>
      <c r="DO128" s="41" t="str">
        <f aca="false">IF(Tasks[[#This Row],[_LeafCritical]],Tasks[[#This Row],[_LeafFcstStart]]+Tasks[[#This Row],[_Row]]/100000,"")</f>
        <v/>
      </c>
      <c r="DP128" s="41" t="n">
        <f aca="false">Tasks[[#This Row],[_LeafWork]]*Tasks[[#This Row],[_LeafProgress]]</f>
        <v>0</v>
      </c>
      <c r="DQ128" s="103" t="str">
        <f aca="false">IF(AND(Tasks[[#This Row],[_IsLeaf]]=1,Tasks[[#This Row],[_LeafProgress]]&gt;=1),IF(N(Tasks[[#This Row],[Actual Finish]])&gt;0,Tasks[[#This Row],[Actual Finish]],Tasks[[#This Row],[_LeafFcstFinish]]),"")</f>
        <v/>
      </c>
      <c r="DR128" s="41" t="n">
        <f aca="false">IF(Tasks[[#This Row],[_IsLeaf]]=1,N(Tasks[[#This Row],[Story Points]]),0)</f>
        <v>0</v>
      </c>
      <c r="DS128" s="41" t="str">
        <f aca="false">IF(AND(Tasks[[#This Row],[_IsLeaf]]=1,CurrentSprint&lt;&gt;"",Tasks[[#This Row],[Sprint]]=CurrentSprint),Tasks[[#This Row],[_Row]],"")</f>
        <v/>
      </c>
    </row>
    <row r="129" customFormat="false" ht="15" hidden="false" customHeight="false" outlineLevel="0" collapsed="false">
      <c r="A129" s="28" t="str">
        <f aca="false">IF(Tasks[[#This Row],[Task Name]]="","",COUNTA(Tasks[[#Headers],[Task Name]]:Tasks[[#This Row],[Task Name]])-1)</f>
        <v/>
      </c>
      <c r="B129" s="29" t="n">
        <v>124</v>
      </c>
      <c r="C1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29"/>
      <c r="E129" s="30"/>
      <c r="F129" s="29"/>
      <c r="G129" s="29"/>
      <c r="H129" s="29"/>
      <c r="I129" s="29"/>
      <c r="J129" s="29"/>
      <c r="K129" s="29"/>
      <c r="L129" s="29"/>
      <c r="M129" s="29"/>
      <c r="N129" s="77"/>
      <c r="O129" s="77"/>
      <c r="P129" s="25" t="str">
        <f aca="false">IF(Tasks[[#This Row],[Task Name]]="","",IF(N(Tasks[[#This Row],[Baseline Start]])&gt;0,Tasks[[#This Row],[Baseline Start]],Tasks[[#This Row],[_CalcStart]]))</f>
        <v/>
      </c>
      <c r="Q129" s="25" t="str">
        <f aca="false">IF(Tasks[[#This Row],[Task Name]]="","",IF(N(Tasks[[#This Row],[Baseline Finish]])&gt;0,Tasks[[#This Row],[Baseline Finish]],Tasks[[#This Row],[_CalcFinish]]))</f>
        <v/>
      </c>
      <c r="R129" s="77"/>
      <c r="S129" s="77"/>
      <c r="T129" s="25" t="str">
        <f aca="false">IF(Tasks[[#This Row],[Task Name]]="","",IF(Tasks[[#This Row],[_IsSummary]],MIN(INDEX(Tasks[_LeafFcstStart],Tasks[[#This Row],[_Row]]+1):INDEX(Tasks[_LeafFcstStart],Tasks[[#This Row],[_Row]]+Tasks[[#This Row],[_Descendants]])),Tasks[[#This Row],[_LeafFcstStart]]))</f>
        <v/>
      </c>
      <c r="U129" s="25" t="str">
        <f aca="false">IF(Tasks[[#This Row],[Task Name]]="","",IF(Tasks[[#This Row],[_IsSummary]],MAX(INDEX(Tasks[_LeafFcstFinish],Tasks[[#This Row],[_Row]]+1):INDEX(Tasks[_LeafFcstFinish],Tasks[[#This Row],[_Row]]+Tasks[[#This Row],[_Descendants]])),Tasks[[#This Row],[_LeafFcstFinish]]))</f>
        <v/>
      </c>
      <c r="V12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2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9" s="25" t="str">
        <f aca="false">IF(Tasks[[#This Row],[Task Name]]="","",IF(Tasks[[#This Row],[_IsSummary]],MIN(INDEX(Tasks[_LeafLateStart],Tasks[[#This Row],[_Row]]+1):INDEX(Tasks[_LeafLateStart],Tasks[[#This Row],[_Row]]+Tasks[[#This Row],[_Descendants]])),Tasks[[#This Row],[_LeafLateStart]]))</f>
        <v/>
      </c>
      <c r="Y129" s="25" t="str">
        <f aca="false">IF(Tasks[[#This Row],[Task Name]]="","",IF(Tasks[[#This Row],[_IsSummary]],MAX(INDEX(Tasks[_LeafLateFinish],Tasks[[#This Row],[_Row]]+1):INDEX(Tasks[_LeafLateFinish],Tasks[[#This Row],[_Row]]+Tasks[[#This Row],[_Descendants]])),Tasks[[#This Row],[_LeafLateFinish]]))</f>
        <v/>
      </c>
      <c r="Z129" s="43" t="str">
        <f aca="false">IF(Tasks[[#This Row],[Task Name]]="","",IF(Tasks[[#This Row],[_IsSummary]],MIN(INDEX(Tasks[_LeafTotalSlack],Tasks[[#This Row],[_Row]]+1):INDEX(Tasks[_LeafTotalSlack],Tasks[[#This Row],[_Row]]+Tasks[[#This Row],[_Descendants]])),Tasks[[#This Row],[_LeafTotalSlack]]))</f>
        <v/>
      </c>
      <c r="AA1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9" s="28" t="str">
        <f aca="false">IF(Tasks[[#This Row],[Task Name]]="","",IF(IF(Tasks[[#This Row],[_IsSummary]],COUNTIF(INDEX(Tasks[_LeafCritical],Tasks[[#This Row],[_Row]]+1):INDEX(Tasks[_LeafCritical],Tasks[[#This Row],[_Row]]+Tasks[[#This Row],[_Descendants]]),TRUE())&gt;0,Tasks[[#This Row],[_LeafCritical]]),"Yes",""))</f>
        <v/>
      </c>
      <c r="AC1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9" s="24" t="str">
        <f aca="false">IF(Tasks[[#This Row],[Task Name]]="","",TRIM(IF(Tasks[[#This Row],[_Pred1Problem]]&lt;&gt;"","Pred 1: "&amp;Tasks[[#This Row],[_Pred1Problem]]&amp;". ","")&amp;IF(Tasks[[#This Row],[_Pred2Problem]]&lt;&gt;"","Pred 2: "&amp;Tasks[[#This Row],[_Pred2Problem]]&amp;".","")))</f>
        <v/>
      </c>
      <c r="AE129" s="91"/>
      <c r="AF12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9" s="28" t="str">
        <f aca="false">IF(Tasks[[#This Row],[Task Name]]="","",IF(Tasks[[#This Row],[Progress]]&gt;=1,"Complete",IF(OR(N(Tasks[[#This Row],[Actual Start]])&gt;0,Tasks[[#This Row],[Progress]]&gt;0),IF(Tasks[[#This Row],[Finish Var]]&gt;0,"Behind","In Progress"),IF(Tasks[[#This Row],[Planned Start]]&lt;StatusDate,"Late Start","Not Started"))))</f>
        <v/>
      </c>
      <c r="AH129" s="30"/>
      <c r="AI129" s="91"/>
      <c r="AJ12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9" s="98" t="str">
        <f aca="false">IF(Tasks[[#This Row],[Task Name]]="","",IF(Tasks[[#This Row],[_IsSummary]],SUM(INDEX(Tasks[_LeafWork],Tasks[[#This Row],[_Row]]+1):INDEX(Tasks[_LeafWork],Tasks[[#This Row],[_Row]]+Tasks[[#This Row],[_Descendants]])),Tasks[[#This Row],[_LeafWork]]))</f>
        <v/>
      </c>
      <c r="AL129" s="99" t="str">
        <f aca="false">IF(Tasks[[#This Row],[Task Name]]="","",IF(Tasks[[#This Row],[_IsSummary]],SUM(INDEX(Tasks[_LeafCost],Tasks[[#This Row],[_Row]]+1):INDEX(Tasks[_LeafCost],Tasks[[#This Row],[_Row]]+Tasks[[#This Row],[_Descendants]])),Tasks[[#This Row],[_LeafCost]]))</f>
        <v/>
      </c>
      <c r="AM129" s="100"/>
      <c r="AN129" s="29"/>
      <c r="AO1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9" s="85"/>
      <c r="AQ129" s="24" t="str">
        <f aca="false">IF(Tasks[[#This Row],[Task Name]]="","",Tasks[[#This Row],[_Pred1IDText]]&amp;IF(AND(Tasks[[#This Row],[_Pred1IDText]]&lt;&gt;"",Tasks[[#This Row],[_Pred2IDText]]&lt;&gt;""),",","")&amp;Tasks[[#This Row],[_Pred2IDText]])</f>
        <v/>
      </c>
      <c r="AR129" s="30"/>
      <c r="AS129" s="25" t="str">
        <f aca="false">IF(Tasks[[#This Row],[Task Name]]="","",Tasks[[#This Row],[Forecast Start]])</f>
        <v/>
      </c>
      <c r="AT129" s="25" t="str">
        <f aca="false">IF(Tasks[[#This Row],[Task Name]]="","",Tasks[[#This Row],[Forecast Finish]])</f>
        <v/>
      </c>
      <c r="AU129" s="28" t="str">
        <f aca="false">IF(Tasks[[#This Row],[Task Name]]="","",IF(Tasks[[#This Row],[_IsSummary]],NETWORKDAYS.INTL(Tasks[[#This Row],[Forecast Start]],Tasks[[#This Row],[Forecast Finish]],WorkWeek,Holidays),N(Tasks[[#This Row],[Duration]])))</f>
        <v/>
      </c>
      <c r="AV129" s="98" t="str">
        <f aca="false">IF(Tasks[[#This Row],[Task Name]]="","",Tasks[[#This Row],[Work]])</f>
        <v/>
      </c>
      <c r="AW129" s="99" t="str">
        <f aca="false">IF(Tasks[[#This Row],[Task Name]]="","",Tasks[[#This Row],[Cost]])</f>
        <v/>
      </c>
      <c r="AX129" s="77"/>
      <c r="AY129" s="77"/>
      <c r="AZ129" s="29"/>
      <c r="BA129" s="101"/>
      <c r="BB129" s="100"/>
      <c r="BC129" s="28" t="str">
        <f aca="false">IF(OR(Tasks[[#This Row],[Task Name]]="",Tasks[[#This Row],[Baseline Duration]]=""),"",Tasks[[#This Row],[BL Source Duration]]-N(Tasks[[#This Row],[Baseline Duration]]))</f>
        <v/>
      </c>
      <c r="BD129" s="98" t="str">
        <f aca="false">IF(OR(Tasks[[#This Row],[Task Name]]="",Tasks[[#This Row],[Baseline Work]]=""),"",Tasks[[#This Row],[Work]]-N(Tasks[[#This Row],[Baseline Work]]))</f>
        <v/>
      </c>
      <c r="BE129" s="99" t="str">
        <f aca="false">IF(OR(Tasks[[#This Row],[Task Name]]="",Tasks[[#This Row],[Baseline Cost]]=""),"",Tasks[[#This Row],[Cost]]-N(Tasks[[#This Row],[Baseline Cost]]))</f>
        <v/>
      </c>
      <c r="BF129" s="99" t="str">
        <f aca="false">IF(Tasks[[#This Row],[Task Name]]="","",IF(Tasks[[#This Row],[_IsSummary]],SUM(INDEX(Tasks[_LeafBudget],Tasks[[#This Row],[_Row]]+1):INDEX(Tasks[_LeafBudget],Tasks[[#This Row],[_Row]]+Tasks[[#This Row],[_Descendants]])),Tasks[[#This Row],[_LeafBudget]]))</f>
        <v/>
      </c>
      <c r="BG129" s="99" t="str">
        <f aca="false">IF(Tasks[[#This Row],[Task Name]]="","",IF(Tasks[[#This Row],[_IsSummary]],SUM(INDEX(Tasks[_LeafPV],Tasks[[#This Row],[_Row]]+1):INDEX(Tasks[_LeafPV],Tasks[[#This Row],[_Row]]+Tasks[[#This Row],[_Descendants]])),Tasks[[#This Row],[_LeafPV]]))</f>
        <v/>
      </c>
      <c r="BH129" s="99" t="str">
        <f aca="false">IF(Tasks[[#This Row],[Task Name]]="","",IF(Tasks[[#This Row],[_IsSummary]],SUM(INDEX(Tasks[_LeafEV],Tasks[[#This Row],[_Row]]+1):INDEX(Tasks[_LeafEV],Tasks[[#This Row],[_Row]]+Tasks[[#This Row],[_Descendants]])),Tasks[[#This Row],[_LeafEV]]))</f>
        <v/>
      </c>
      <c r="BI129" s="99" t="str">
        <f aca="false">IF(Tasks[[#This Row],[Task Name]]="","",IF(Tasks[[#This Row],[_IsSummary]],SUM(INDEX(Tasks[_LeafAC],Tasks[[#This Row],[_Row]]+1):INDEX(Tasks[_LeafAC],Tasks[[#This Row],[_Row]]+Tasks[[#This Row],[_Descendants]])),Tasks[[#This Row],[_LeafAC]]))</f>
        <v/>
      </c>
      <c r="BJ129" s="41" t="str">
        <f aca="false">IF(Tasks[[#This Row],[Task Name]]="","",MAX(1,N(Tasks[[#This Row],[Level]])))</f>
        <v/>
      </c>
      <c r="BK129" s="41" t="n">
        <f aca="false">ROW()-ROW(Tasks[[#Headers],[ID]])</f>
        <v>124</v>
      </c>
      <c r="BL129" s="41" t="n">
        <f aca="false">IF(OR(Tasks[[#This Row],[Task Name]]="",Tasks[[#This Row],[_Level]]&lt;=1),0,IFERROR(LOOKUP(2,1/(Tasks[[#Headers],[_Level]]:Tasks[[#This Row],[_Level]]=Tasks[[#This Row],[_Level]]-1),ROW(Tasks[[#Headers],[_Level]]:Tasks[[#This Row],[_Level]])),0))</f>
        <v>0</v>
      </c>
      <c r="BM129" s="41" t="n">
        <f aca="false">IFERROR(N(INDEX(Tasks[_Level],Tasks[[#This Row],[_Row]]+1)),0)</f>
        <v>0</v>
      </c>
      <c r="BN129" s="102" t="b">
        <f aca="false">AND(Tasks[[#This Row],[Task Name]]&lt;&gt;"",Tasks[[#This Row],[_NextLevel]]&gt;Tasks[[#This Row],[_Level]])</f>
        <v>0</v>
      </c>
      <c r="BO129" s="41" t="n">
        <f aca="false">IF(Tasks[[#This Row],[_IsSummary]],COUNTIF(Tasks[WBS],Tasks[[#This Row],[WBS]]&amp;".*"),0)</f>
        <v>0</v>
      </c>
      <c r="BP129" s="41" t="n">
        <f aca="false">IF(AND(Tasks[[#This Row],[Task Name]]&lt;&gt;"",NOT(Tasks[[#This Row],[_IsSummary]])),1,0)</f>
        <v>0</v>
      </c>
      <c r="BQ129" s="41" t="n">
        <f aca="false">IF(N(Tasks[[#This Row],[Pred1 UID]])=0,0,IFERROR(MATCH(Tasks[[#This Row],[Pred1 UID]],Tasks[UID],0),-1))</f>
        <v>0</v>
      </c>
      <c r="BR129" s="41" t="n">
        <f aca="false">IF(N(Tasks[[#This Row],[Pred2 UID]])=0,0,IFERROR(MATCH(Tasks[[#This Row],[Pred2 UID]],Tasks[UID],0),-1))</f>
        <v>0</v>
      </c>
      <c r="BS12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9" s="103" t="str">
        <f aca="false">IF(NOT(Tasks[[#This Row],[_IsLeaf]]=1),"",IF(N(Tasks[[#This Row],[Duration]])&lt;=0,Tasks[[#This Row],[_LeafCalcStart]],WORKDAY.INTL(Tasks[[#This Row],[_LeafCalcStart]],Tasks[[#This Row],[Duration]]-1,WorkWeek,Holidays)))</f>
        <v/>
      </c>
      <c r="BU12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9" s="41" t="n">
        <f aca="false">IF(NOT(Tasks[[#This Row],[_IsLeaf]]=1),0,IF(N(Tasks[[#This Row],[Actual Finish]])&gt;0,1,MIN(1,N(Tasks[[#This Row],[% Complete]]))))</f>
        <v>0</v>
      </c>
      <c r="BX129" s="41" t="n">
        <f aca="false">IF(OR(NOT(Tasks[[#This Row],[_IsLeaf]]=1),Tasks[[#This Row],[Resource]]=""),0,N(Tasks[[#This Row],[Duration]])*HoursPerDay*IF(Tasks[[#This Row],[Units]]="",DefaultUnits,Tasks[[#This Row],[Units]]))</f>
        <v>0</v>
      </c>
      <c r="BY129" s="41" t="n">
        <f aca="false">IF(Tasks[[#This Row],[_LeafWork]]=0,0,Tasks[[#This Row],[_LeafWork]]*IFERROR(INDEX(res_Rate,MATCH(Tasks[[#This Row],[Resource]],res_Name,0)),0))</f>
        <v>0</v>
      </c>
      <c r="BZ1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9" s="41" t="n">
        <f aca="false">IF(NOT(Tasks[[#This Row],[_IsLeaf]]=1),0,MAX(_xlfn.MAXIFS(Tasks[_Row],Tasks[Pred1 UID],Tasks[[#This Row],[UID]]),_xlfn.MAXIFS(Tasks[_Row],Tasks[Pred2 UID],Tasks[[#This Row],[UID]])))</f>
        <v>0</v>
      </c>
      <c r="CE12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9" s="103" t="str">
        <f aca="false">IF(NOT(Tasks[[#This Row],[_IsLeaf]]=1),"",MIN(ProjectFinish,IF(N(Tasks[[#This Row],[Deadline]])&gt;0,Tasks[[#This Row],[Deadline]],2958465),Tasks[[#This Row],[_SuccessorFinishLimit]]))</f>
        <v/>
      </c>
      <c r="CG129" s="103" t="str">
        <f aca="false">IF(NOT(Tasks[[#This Row],[_IsLeaf]]=1),"",IF(N(Tasks[[#This Row],[Duration]])&lt;=0,Tasks[[#This Row],[_LeafLateFinish]],WORKDAY.INTL(Tasks[[#This Row],[_LeafLateFinish]],-(Tasks[[#This Row],[Duration]]-1),WorkWeek,Holidays)))</f>
        <v/>
      </c>
      <c r="CH1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9" s="102" t="b">
        <f aca="false">AND(Tasks[[#This Row],[_IsLeaf]]=1,Tasks[[#This Row],[_LeafProgress]]&lt;1,N(Tasks[[#This Row],[_LeafTotalSlack]])&lt;=CriticalSlackDays)</f>
        <v>0</v>
      </c>
      <c r="CJ129" s="103" t="str">
        <f aca="false">IF(Tasks[[#This Row],[Task Name]]="","",IF(Tasks[[#This Row],[_IsSummary]],MIN(INDEX(Tasks[_LeafCalcStart],Tasks[[#This Row],[_Row]]+1):INDEX(Tasks[_LeafCalcStart],Tasks[[#This Row],[_Row]]+Tasks[[#This Row],[_Descendants]])),Tasks[[#This Row],[_LeafCalcStart]]))</f>
        <v/>
      </c>
      <c r="CK129" s="103" t="str">
        <f aca="false">IF(Tasks[[#This Row],[Task Name]]="","",IF(Tasks[[#This Row],[_IsSummary]],MAX(INDEX(Tasks[_LeafCalcFinish],Tasks[[#This Row],[_Row]]+1):INDEX(Tasks[_LeafCalcFinish],Tasks[[#This Row],[_Row]]+Tasks[[#This Row],[_Descendants]])),Tasks[[#This Row],[_LeafCalcFinish]]))</f>
        <v/>
      </c>
      <c r="CL1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9" s="41" t="n">
        <f aca="false">IF(AND(Tasks[[#This Row],[_IsLeaf]]=1,Tasks[[#This Row],[_LeafWork]]&gt;0),NETWORKDAYS.INTL(ProjectStart,Tasks[[#This Row],[_LeafFcstStart]],WorkWeek,Holidays),0)</f>
        <v>0</v>
      </c>
      <c r="CS129" s="41" t="n">
        <f aca="false">IF(AND(Tasks[[#This Row],[_IsLeaf]]=1,Tasks[[#This Row],[_LeafWork]]&gt;0),MAX(Tasks[[#This Row],[_StartWorkday]],NETWORKDAYS.INTL(ProjectStart,Tasks[[#This Row],[_LeafFcstFinish]],WorkWeek,Holidays)),0)</f>
        <v>0</v>
      </c>
      <c r="CT129" s="41" t="n">
        <f aca="false">IF(AND(Tasks[[#This Row],[_IsLeaf]]=1,Tasks[[#This Row],[_LeafWork]]&gt;0),Tasks[[#This Row],[_LeafWork]]/(Tasks[[#This Row],[_FinishWorkday]]-Tasks[[#This Row],[_StartWorkday]]+1),0)</f>
        <v>0</v>
      </c>
      <c r="CU129" s="41" t="n">
        <f aca="false">Tasks[[#This Row],[_WorkPerWorkday]]*(Tasks[[#This Row],[_StartWorkday]]-1)</f>
        <v>-0</v>
      </c>
      <c r="CV129" s="41" t="n">
        <f aca="false">IF(Tasks[[#This Row],[_IsLeaf]]=1,MAX(N(Tasks[[#This Row],[Duration]]),0.1),0)</f>
        <v>0</v>
      </c>
      <c r="CW129" s="41" t="n">
        <f aca="false">Tasks[[#This Row],[_WeightDur]]*Tasks[[#This Row],[_LeafProgress]]</f>
        <v>0</v>
      </c>
      <c r="CX1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9" s="41" t="str">
        <f aca="false">IF(Tasks[[#This Row],[Task Name]]="","",Tasks[[#This Row],[_Pred1UIDText]]&amp;IF(AND(Tasks[[#This Row],[_Pred1UIDText]]&lt;&gt;"",Tasks[[#This Row],[_Pred2UIDText]]&lt;&gt;""),",","")&amp;Tasks[[#This Row],[_Pred2UIDText]])</f>
        <v/>
      </c>
      <c r="DC129" s="41" t="str">
        <f aca="false">IF(AND(Tasks[[#This Row],[_IsLeaf]]=1,N(Tasks[[#This Row],[Duration]])=0,Tasks[[#This Row],[_LeafProgress]]&lt;1),Tasks[[#This Row],[_LeafFcstFinish]]+Tasks[[#This Row],[_Row]]/100000,"")</f>
        <v/>
      </c>
      <c r="DD1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9" s="41" t="n">
        <f aca="false">IF(NOT(Tasks[[#This Row],[_IsLeaf]]=1),0,IF(Tasks[[#This Row],[Baseline Cost]]="",Tasks[[#This Row],[_LeafCost]],N(Tasks[[#This Row],[Baseline Cost]])))</f>
        <v>0</v>
      </c>
      <c r="DF129" s="41" t="n">
        <f aca="false">Tasks[[#This Row],[_LeafBudget]]*Tasks[[#This Row],[_PlannedPct]]</f>
        <v>0</v>
      </c>
      <c r="DG129" s="41" t="n">
        <f aca="false">Tasks[[#This Row],[_LeafBudget]]*Tasks[[#This Row],[_LeafProgress]]</f>
        <v>0</v>
      </c>
      <c r="DH129" s="41" t="n">
        <f aca="false">IF(NOT(Tasks[[#This Row],[_IsLeaf]]=1),0,IF(Tasks[[#This Row],[Actual Cost]]="",Tasks[[#This Row],[_LeafCost]]*Tasks[[#This Row],[_LeafProgress]],N(Tasks[[#This Row],[Actual Cost]])))</f>
        <v>0</v>
      </c>
      <c r="DI129" s="41" t="str">
        <f aca="false">IF(Tasks[[#This Row],[Task Name]]="","",LEFT(Tasks[[#This Row],[WBS]],FIND(".",Tasks[[#This Row],[WBS]]&amp;".")-1))</f>
        <v/>
      </c>
      <c r="DJ129" s="41" t="str">
        <f aca="false">IF(AND(Tasks[[#This Row],[Task Name]]&lt;&gt;"",Tasks[[#This Row],[_Level]]=1),Tasks[[#This Row],[_Row]],"")</f>
        <v/>
      </c>
      <c r="DK129" s="41" t="str">
        <f aca="false">IF(AND(Tasks[[#This Row],[_IsLeaf]]=1,N(Tasks[[#This Row],[Duration]])=0),Tasks[[#This Row],[Planned Finish]]+Tasks[[#This Row],[_Row]]/100000,"")</f>
        <v/>
      </c>
      <c r="DL129" s="41" t="str">
        <f aca="false">IF(AND(Tasks[[#This Row],[_IsLeaf]]=1,Tasks[[#This Row],[_LeafProgress]]&lt;1,OR(N(Tasks[[#This Row],[Finish Var]])&gt;0,Tasks[[#This Row],[Status]]="Late Start")),MAX(0,Tasks[[#This Row],[Finish Var]])+1-Tasks[[#This Row],[_Row]]/1000000,"")</f>
        <v/>
      </c>
      <c r="DM129" s="41" t="str">
        <f aca="false">IF(AND(Tasks[[#This Row],[_IsLeaf]]=1,N(Tasks[[#This Row],[Actual Start]])=0,Tasks[[#This Row],[_LeafFcstStart]]&gt;=StatusDate,Tasks[[#This Row],[_LeafFcstStart]]&lt;=LookaheadEnd),Tasks[[#This Row],[_LeafFcstStart]]+Tasks[[#This Row],[_Row]]/100000,"")</f>
        <v/>
      </c>
      <c r="DN129" s="41" t="str">
        <f aca="false">IF(AND(Tasks[[#This Row],[_IsLeaf]]=1,Tasks[[#This Row],[_LeafProgress]]&lt;1,Tasks[[#This Row],[_LeafFcstFinish]]&gt;=StatusDate,Tasks[[#This Row],[_LeafFcstFinish]]&lt;=LookaheadEnd),Tasks[[#This Row],[_LeafFcstFinish]]+Tasks[[#This Row],[_Row]]/100000,"")</f>
        <v/>
      </c>
      <c r="DO129" s="41" t="str">
        <f aca="false">IF(Tasks[[#This Row],[_LeafCritical]],Tasks[[#This Row],[_LeafFcstStart]]+Tasks[[#This Row],[_Row]]/100000,"")</f>
        <v/>
      </c>
      <c r="DP129" s="41" t="n">
        <f aca="false">Tasks[[#This Row],[_LeafWork]]*Tasks[[#This Row],[_LeafProgress]]</f>
        <v>0</v>
      </c>
      <c r="DQ129" s="103" t="str">
        <f aca="false">IF(AND(Tasks[[#This Row],[_IsLeaf]]=1,Tasks[[#This Row],[_LeafProgress]]&gt;=1),IF(N(Tasks[[#This Row],[Actual Finish]])&gt;0,Tasks[[#This Row],[Actual Finish]],Tasks[[#This Row],[_LeafFcstFinish]]),"")</f>
        <v/>
      </c>
      <c r="DR129" s="41" t="n">
        <f aca="false">IF(Tasks[[#This Row],[_IsLeaf]]=1,N(Tasks[[#This Row],[Story Points]]),0)</f>
        <v>0</v>
      </c>
      <c r="DS129" s="41" t="str">
        <f aca="false">IF(AND(Tasks[[#This Row],[_IsLeaf]]=1,CurrentSprint&lt;&gt;"",Tasks[[#This Row],[Sprint]]=CurrentSprint),Tasks[[#This Row],[_Row]],"")</f>
        <v/>
      </c>
    </row>
    <row r="130" customFormat="false" ht="15" hidden="false" customHeight="false" outlineLevel="0" collapsed="false">
      <c r="A130" s="28" t="str">
        <f aca="false">IF(Tasks[[#This Row],[Task Name]]="","",COUNTA(Tasks[[#Headers],[Task Name]]:Tasks[[#This Row],[Task Name]])-1)</f>
        <v/>
      </c>
      <c r="B130" s="29" t="n">
        <v>125</v>
      </c>
      <c r="C1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29"/>
      <c r="E130" s="30"/>
      <c r="F130" s="29"/>
      <c r="G130" s="29"/>
      <c r="H130" s="29"/>
      <c r="I130" s="29"/>
      <c r="J130" s="29"/>
      <c r="K130" s="29"/>
      <c r="L130" s="29"/>
      <c r="M130" s="29"/>
      <c r="N130" s="77"/>
      <c r="O130" s="77"/>
      <c r="P130" s="25" t="str">
        <f aca="false">IF(Tasks[[#This Row],[Task Name]]="","",IF(N(Tasks[[#This Row],[Baseline Start]])&gt;0,Tasks[[#This Row],[Baseline Start]],Tasks[[#This Row],[_CalcStart]]))</f>
        <v/>
      </c>
      <c r="Q130" s="25" t="str">
        <f aca="false">IF(Tasks[[#This Row],[Task Name]]="","",IF(N(Tasks[[#This Row],[Baseline Finish]])&gt;0,Tasks[[#This Row],[Baseline Finish]],Tasks[[#This Row],[_CalcFinish]]))</f>
        <v/>
      </c>
      <c r="R130" s="77"/>
      <c r="S130" s="77"/>
      <c r="T130" s="25" t="str">
        <f aca="false">IF(Tasks[[#This Row],[Task Name]]="","",IF(Tasks[[#This Row],[_IsSummary]],MIN(INDEX(Tasks[_LeafFcstStart],Tasks[[#This Row],[_Row]]+1):INDEX(Tasks[_LeafFcstStart],Tasks[[#This Row],[_Row]]+Tasks[[#This Row],[_Descendants]])),Tasks[[#This Row],[_LeafFcstStart]]))</f>
        <v/>
      </c>
      <c r="U130" s="25" t="str">
        <f aca="false">IF(Tasks[[#This Row],[Task Name]]="","",IF(Tasks[[#This Row],[_IsSummary]],MAX(INDEX(Tasks[_LeafFcstFinish],Tasks[[#This Row],[_Row]]+1):INDEX(Tasks[_LeafFcstFinish],Tasks[[#This Row],[_Row]]+Tasks[[#This Row],[_Descendants]])),Tasks[[#This Row],[_LeafFcstFinish]]))</f>
        <v/>
      </c>
      <c r="V13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0" s="25" t="str">
        <f aca="false">IF(Tasks[[#This Row],[Task Name]]="","",IF(Tasks[[#This Row],[_IsSummary]],MIN(INDEX(Tasks[_LeafLateStart],Tasks[[#This Row],[_Row]]+1):INDEX(Tasks[_LeafLateStart],Tasks[[#This Row],[_Row]]+Tasks[[#This Row],[_Descendants]])),Tasks[[#This Row],[_LeafLateStart]]))</f>
        <v/>
      </c>
      <c r="Y130" s="25" t="str">
        <f aca="false">IF(Tasks[[#This Row],[Task Name]]="","",IF(Tasks[[#This Row],[_IsSummary]],MAX(INDEX(Tasks[_LeafLateFinish],Tasks[[#This Row],[_Row]]+1):INDEX(Tasks[_LeafLateFinish],Tasks[[#This Row],[_Row]]+Tasks[[#This Row],[_Descendants]])),Tasks[[#This Row],[_LeafLateFinish]]))</f>
        <v/>
      </c>
      <c r="Z130" s="43" t="str">
        <f aca="false">IF(Tasks[[#This Row],[Task Name]]="","",IF(Tasks[[#This Row],[_IsSummary]],MIN(INDEX(Tasks[_LeafTotalSlack],Tasks[[#This Row],[_Row]]+1):INDEX(Tasks[_LeafTotalSlack],Tasks[[#This Row],[_Row]]+Tasks[[#This Row],[_Descendants]])),Tasks[[#This Row],[_LeafTotalSlack]]))</f>
        <v/>
      </c>
      <c r="AA1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0" s="28" t="str">
        <f aca="false">IF(Tasks[[#This Row],[Task Name]]="","",IF(IF(Tasks[[#This Row],[_IsSummary]],COUNTIF(INDEX(Tasks[_LeafCritical],Tasks[[#This Row],[_Row]]+1):INDEX(Tasks[_LeafCritical],Tasks[[#This Row],[_Row]]+Tasks[[#This Row],[_Descendants]]),TRUE())&gt;0,Tasks[[#This Row],[_LeafCritical]]),"Yes",""))</f>
        <v/>
      </c>
      <c r="AC1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0" s="24" t="str">
        <f aca="false">IF(Tasks[[#This Row],[Task Name]]="","",TRIM(IF(Tasks[[#This Row],[_Pred1Problem]]&lt;&gt;"","Pred 1: "&amp;Tasks[[#This Row],[_Pred1Problem]]&amp;". ","")&amp;IF(Tasks[[#This Row],[_Pred2Problem]]&lt;&gt;"","Pred 2: "&amp;Tasks[[#This Row],[_Pred2Problem]]&amp;".","")))</f>
        <v/>
      </c>
      <c r="AE130" s="91"/>
      <c r="AF13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0" s="28" t="str">
        <f aca="false">IF(Tasks[[#This Row],[Task Name]]="","",IF(Tasks[[#This Row],[Progress]]&gt;=1,"Complete",IF(OR(N(Tasks[[#This Row],[Actual Start]])&gt;0,Tasks[[#This Row],[Progress]]&gt;0),IF(Tasks[[#This Row],[Finish Var]]&gt;0,"Behind","In Progress"),IF(Tasks[[#This Row],[Planned Start]]&lt;StatusDate,"Late Start","Not Started"))))</f>
        <v/>
      </c>
      <c r="AH130" s="30"/>
      <c r="AI130" s="91"/>
      <c r="AJ13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0" s="98" t="str">
        <f aca="false">IF(Tasks[[#This Row],[Task Name]]="","",IF(Tasks[[#This Row],[_IsSummary]],SUM(INDEX(Tasks[_LeafWork],Tasks[[#This Row],[_Row]]+1):INDEX(Tasks[_LeafWork],Tasks[[#This Row],[_Row]]+Tasks[[#This Row],[_Descendants]])),Tasks[[#This Row],[_LeafWork]]))</f>
        <v/>
      </c>
      <c r="AL130" s="99" t="str">
        <f aca="false">IF(Tasks[[#This Row],[Task Name]]="","",IF(Tasks[[#This Row],[_IsSummary]],SUM(INDEX(Tasks[_LeafCost],Tasks[[#This Row],[_Row]]+1):INDEX(Tasks[_LeafCost],Tasks[[#This Row],[_Row]]+Tasks[[#This Row],[_Descendants]])),Tasks[[#This Row],[_LeafCost]]))</f>
        <v/>
      </c>
      <c r="AM130" s="100"/>
      <c r="AN130" s="29"/>
      <c r="AO1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0" s="85"/>
      <c r="AQ130" s="24" t="str">
        <f aca="false">IF(Tasks[[#This Row],[Task Name]]="","",Tasks[[#This Row],[_Pred1IDText]]&amp;IF(AND(Tasks[[#This Row],[_Pred1IDText]]&lt;&gt;"",Tasks[[#This Row],[_Pred2IDText]]&lt;&gt;""),",","")&amp;Tasks[[#This Row],[_Pred2IDText]])</f>
        <v/>
      </c>
      <c r="AR130" s="30"/>
      <c r="AS130" s="25" t="str">
        <f aca="false">IF(Tasks[[#This Row],[Task Name]]="","",Tasks[[#This Row],[Forecast Start]])</f>
        <v/>
      </c>
      <c r="AT130" s="25" t="str">
        <f aca="false">IF(Tasks[[#This Row],[Task Name]]="","",Tasks[[#This Row],[Forecast Finish]])</f>
        <v/>
      </c>
      <c r="AU130" s="28" t="str">
        <f aca="false">IF(Tasks[[#This Row],[Task Name]]="","",IF(Tasks[[#This Row],[_IsSummary]],NETWORKDAYS.INTL(Tasks[[#This Row],[Forecast Start]],Tasks[[#This Row],[Forecast Finish]],WorkWeek,Holidays),N(Tasks[[#This Row],[Duration]])))</f>
        <v/>
      </c>
      <c r="AV130" s="98" t="str">
        <f aca="false">IF(Tasks[[#This Row],[Task Name]]="","",Tasks[[#This Row],[Work]])</f>
        <v/>
      </c>
      <c r="AW130" s="99" t="str">
        <f aca="false">IF(Tasks[[#This Row],[Task Name]]="","",Tasks[[#This Row],[Cost]])</f>
        <v/>
      </c>
      <c r="AX130" s="77"/>
      <c r="AY130" s="77"/>
      <c r="AZ130" s="29"/>
      <c r="BA130" s="101"/>
      <c r="BB130" s="100"/>
      <c r="BC130" s="28" t="str">
        <f aca="false">IF(OR(Tasks[[#This Row],[Task Name]]="",Tasks[[#This Row],[Baseline Duration]]=""),"",Tasks[[#This Row],[BL Source Duration]]-N(Tasks[[#This Row],[Baseline Duration]]))</f>
        <v/>
      </c>
      <c r="BD130" s="98" t="str">
        <f aca="false">IF(OR(Tasks[[#This Row],[Task Name]]="",Tasks[[#This Row],[Baseline Work]]=""),"",Tasks[[#This Row],[Work]]-N(Tasks[[#This Row],[Baseline Work]]))</f>
        <v/>
      </c>
      <c r="BE130" s="99" t="str">
        <f aca="false">IF(OR(Tasks[[#This Row],[Task Name]]="",Tasks[[#This Row],[Baseline Cost]]=""),"",Tasks[[#This Row],[Cost]]-N(Tasks[[#This Row],[Baseline Cost]]))</f>
        <v/>
      </c>
      <c r="BF130" s="99" t="str">
        <f aca="false">IF(Tasks[[#This Row],[Task Name]]="","",IF(Tasks[[#This Row],[_IsSummary]],SUM(INDEX(Tasks[_LeafBudget],Tasks[[#This Row],[_Row]]+1):INDEX(Tasks[_LeafBudget],Tasks[[#This Row],[_Row]]+Tasks[[#This Row],[_Descendants]])),Tasks[[#This Row],[_LeafBudget]]))</f>
        <v/>
      </c>
      <c r="BG130" s="99" t="str">
        <f aca="false">IF(Tasks[[#This Row],[Task Name]]="","",IF(Tasks[[#This Row],[_IsSummary]],SUM(INDEX(Tasks[_LeafPV],Tasks[[#This Row],[_Row]]+1):INDEX(Tasks[_LeafPV],Tasks[[#This Row],[_Row]]+Tasks[[#This Row],[_Descendants]])),Tasks[[#This Row],[_LeafPV]]))</f>
        <v/>
      </c>
      <c r="BH130" s="99" t="str">
        <f aca="false">IF(Tasks[[#This Row],[Task Name]]="","",IF(Tasks[[#This Row],[_IsSummary]],SUM(INDEX(Tasks[_LeafEV],Tasks[[#This Row],[_Row]]+1):INDEX(Tasks[_LeafEV],Tasks[[#This Row],[_Row]]+Tasks[[#This Row],[_Descendants]])),Tasks[[#This Row],[_LeafEV]]))</f>
        <v/>
      </c>
      <c r="BI130" s="99" t="str">
        <f aca="false">IF(Tasks[[#This Row],[Task Name]]="","",IF(Tasks[[#This Row],[_IsSummary]],SUM(INDEX(Tasks[_LeafAC],Tasks[[#This Row],[_Row]]+1):INDEX(Tasks[_LeafAC],Tasks[[#This Row],[_Row]]+Tasks[[#This Row],[_Descendants]])),Tasks[[#This Row],[_LeafAC]]))</f>
        <v/>
      </c>
      <c r="BJ130" s="41" t="str">
        <f aca="false">IF(Tasks[[#This Row],[Task Name]]="","",MAX(1,N(Tasks[[#This Row],[Level]])))</f>
        <v/>
      </c>
      <c r="BK130" s="41" t="n">
        <f aca="false">ROW()-ROW(Tasks[[#Headers],[ID]])</f>
        <v>125</v>
      </c>
      <c r="BL130" s="41" t="n">
        <f aca="false">IF(OR(Tasks[[#This Row],[Task Name]]="",Tasks[[#This Row],[_Level]]&lt;=1),0,IFERROR(LOOKUP(2,1/(Tasks[[#Headers],[_Level]]:Tasks[[#This Row],[_Level]]=Tasks[[#This Row],[_Level]]-1),ROW(Tasks[[#Headers],[_Level]]:Tasks[[#This Row],[_Level]])),0))</f>
        <v>0</v>
      </c>
      <c r="BM130" s="41" t="n">
        <f aca="false">IFERROR(N(INDEX(Tasks[_Level],Tasks[[#This Row],[_Row]]+1)),0)</f>
        <v>0</v>
      </c>
      <c r="BN130" s="102" t="b">
        <f aca="false">AND(Tasks[[#This Row],[Task Name]]&lt;&gt;"",Tasks[[#This Row],[_NextLevel]]&gt;Tasks[[#This Row],[_Level]])</f>
        <v>0</v>
      </c>
      <c r="BO130" s="41" t="n">
        <f aca="false">IF(Tasks[[#This Row],[_IsSummary]],COUNTIF(Tasks[WBS],Tasks[[#This Row],[WBS]]&amp;".*"),0)</f>
        <v>0</v>
      </c>
      <c r="BP130" s="41" t="n">
        <f aca="false">IF(AND(Tasks[[#This Row],[Task Name]]&lt;&gt;"",NOT(Tasks[[#This Row],[_IsSummary]])),1,0)</f>
        <v>0</v>
      </c>
      <c r="BQ130" s="41" t="n">
        <f aca="false">IF(N(Tasks[[#This Row],[Pred1 UID]])=0,0,IFERROR(MATCH(Tasks[[#This Row],[Pred1 UID]],Tasks[UID],0),-1))</f>
        <v>0</v>
      </c>
      <c r="BR130" s="41" t="n">
        <f aca="false">IF(N(Tasks[[#This Row],[Pred2 UID]])=0,0,IFERROR(MATCH(Tasks[[#This Row],[Pred2 UID]],Tasks[UID],0),-1))</f>
        <v>0</v>
      </c>
      <c r="BS13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0" s="103" t="str">
        <f aca="false">IF(NOT(Tasks[[#This Row],[_IsLeaf]]=1),"",IF(N(Tasks[[#This Row],[Duration]])&lt;=0,Tasks[[#This Row],[_LeafCalcStart]],WORKDAY.INTL(Tasks[[#This Row],[_LeafCalcStart]],Tasks[[#This Row],[Duration]]-1,WorkWeek,Holidays)))</f>
        <v/>
      </c>
      <c r="BU13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0" s="41" t="n">
        <f aca="false">IF(NOT(Tasks[[#This Row],[_IsLeaf]]=1),0,IF(N(Tasks[[#This Row],[Actual Finish]])&gt;0,1,MIN(1,N(Tasks[[#This Row],[% Complete]]))))</f>
        <v>0</v>
      </c>
      <c r="BX130" s="41" t="n">
        <f aca="false">IF(OR(NOT(Tasks[[#This Row],[_IsLeaf]]=1),Tasks[[#This Row],[Resource]]=""),0,N(Tasks[[#This Row],[Duration]])*HoursPerDay*IF(Tasks[[#This Row],[Units]]="",DefaultUnits,Tasks[[#This Row],[Units]]))</f>
        <v>0</v>
      </c>
      <c r="BY130" s="41" t="n">
        <f aca="false">IF(Tasks[[#This Row],[_LeafWork]]=0,0,Tasks[[#This Row],[_LeafWork]]*IFERROR(INDEX(res_Rate,MATCH(Tasks[[#This Row],[Resource]],res_Name,0)),0))</f>
        <v>0</v>
      </c>
      <c r="BZ1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0" s="41" t="n">
        <f aca="false">IF(NOT(Tasks[[#This Row],[_IsLeaf]]=1),0,MAX(_xlfn.MAXIFS(Tasks[_Row],Tasks[Pred1 UID],Tasks[[#This Row],[UID]]),_xlfn.MAXIFS(Tasks[_Row],Tasks[Pred2 UID],Tasks[[#This Row],[UID]])))</f>
        <v>0</v>
      </c>
      <c r="CE13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0" s="103" t="str">
        <f aca="false">IF(NOT(Tasks[[#This Row],[_IsLeaf]]=1),"",MIN(ProjectFinish,IF(N(Tasks[[#This Row],[Deadline]])&gt;0,Tasks[[#This Row],[Deadline]],2958465),Tasks[[#This Row],[_SuccessorFinishLimit]]))</f>
        <v/>
      </c>
      <c r="CG130" s="103" t="str">
        <f aca="false">IF(NOT(Tasks[[#This Row],[_IsLeaf]]=1),"",IF(N(Tasks[[#This Row],[Duration]])&lt;=0,Tasks[[#This Row],[_LeafLateFinish]],WORKDAY.INTL(Tasks[[#This Row],[_LeafLateFinish]],-(Tasks[[#This Row],[Duration]]-1),WorkWeek,Holidays)))</f>
        <v/>
      </c>
      <c r="CH1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0" s="102" t="b">
        <f aca="false">AND(Tasks[[#This Row],[_IsLeaf]]=1,Tasks[[#This Row],[_LeafProgress]]&lt;1,N(Tasks[[#This Row],[_LeafTotalSlack]])&lt;=CriticalSlackDays)</f>
        <v>0</v>
      </c>
      <c r="CJ130" s="103" t="str">
        <f aca="false">IF(Tasks[[#This Row],[Task Name]]="","",IF(Tasks[[#This Row],[_IsSummary]],MIN(INDEX(Tasks[_LeafCalcStart],Tasks[[#This Row],[_Row]]+1):INDEX(Tasks[_LeafCalcStart],Tasks[[#This Row],[_Row]]+Tasks[[#This Row],[_Descendants]])),Tasks[[#This Row],[_LeafCalcStart]]))</f>
        <v/>
      </c>
      <c r="CK130" s="103" t="str">
        <f aca="false">IF(Tasks[[#This Row],[Task Name]]="","",IF(Tasks[[#This Row],[_IsSummary]],MAX(INDEX(Tasks[_LeafCalcFinish],Tasks[[#This Row],[_Row]]+1):INDEX(Tasks[_LeafCalcFinish],Tasks[[#This Row],[_Row]]+Tasks[[#This Row],[_Descendants]])),Tasks[[#This Row],[_LeafCalcFinish]]))</f>
        <v/>
      </c>
      <c r="CL1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0" s="41" t="n">
        <f aca="false">IF(AND(Tasks[[#This Row],[_IsLeaf]]=1,Tasks[[#This Row],[_LeafWork]]&gt;0),NETWORKDAYS.INTL(ProjectStart,Tasks[[#This Row],[_LeafFcstStart]],WorkWeek,Holidays),0)</f>
        <v>0</v>
      </c>
      <c r="CS130" s="41" t="n">
        <f aca="false">IF(AND(Tasks[[#This Row],[_IsLeaf]]=1,Tasks[[#This Row],[_LeafWork]]&gt;0),MAX(Tasks[[#This Row],[_StartWorkday]],NETWORKDAYS.INTL(ProjectStart,Tasks[[#This Row],[_LeafFcstFinish]],WorkWeek,Holidays)),0)</f>
        <v>0</v>
      </c>
      <c r="CT130" s="41" t="n">
        <f aca="false">IF(AND(Tasks[[#This Row],[_IsLeaf]]=1,Tasks[[#This Row],[_LeafWork]]&gt;0),Tasks[[#This Row],[_LeafWork]]/(Tasks[[#This Row],[_FinishWorkday]]-Tasks[[#This Row],[_StartWorkday]]+1),0)</f>
        <v>0</v>
      </c>
      <c r="CU130" s="41" t="n">
        <f aca="false">Tasks[[#This Row],[_WorkPerWorkday]]*(Tasks[[#This Row],[_StartWorkday]]-1)</f>
        <v>-0</v>
      </c>
      <c r="CV130" s="41" t="n">
        <f aca="false">IF(Tasks[[#This Row],[_IsLeaf]]=1,MAX(N(Tasks[[#This Row],[Duration]]),0.1),0)</f>
        <v>0</v>
      </c>
      <c r="CW130" s="41" t="n">
        <f aca="false">Tasks[[#This Row],[_WeightDur]]*Tasks[[#This Row],[_LeafProgress]]</f>
        <v>0</v>
      </c>
      <c r="CX1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0" s="41" t="str">
        <f aca="false">IF(Tasks[[#This Row],[Task Name]]="","",Tasks[[#This Row],[_Pred1UIDText]]&amp;IF(AND(Tasks[[#This Row],[_Pred1UIDText]]&lt;&gt;"",Tasks[[#This Row],[_Pred2UIDText]]&lt;&gt;""),",","")&amp;Tasks[[#This Row],[_Pred2UIDText]])</f>
        <v/>
      </c>
      <c r="DC130" s="41" t="str">
        <f aca="false">IF(AND(Tasks[[#This Row],[_IsLeaf]]=1,N(Tasks[[#This Row],[Duration]])=0,Tasks[[#This Row],[_LeafProgress]]&lt;1),Tasks[[#This Row],[_LeafFcstFinish]]+Tasks[[#This Row],[_Row]]/100000,"")</f>
        <v/>
      </c>
      <c r="DD1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0" s="41" t="n">
        <f aca="false">IF(NOT(Tasks[[#This Row],[_IsLeaf]]=1),0,IF(Tasks[[#This Row],[Baseline Cost]]="",Tasks[[#This Row],[_LeafCost]],N(Tasks[[#This Row],[Baseline Cost]])))</f>
        <v>0</v>
      </c>
      <c r="DF130" s="41" t="n">
        <f aca="false">Tasks[[#This Row],[_LeafBudget]]*Tasks[[#This Row],[_PlannedPct]]</f>
        <v>0</v>
      </c>
      <c r="DG130" s="41" t="n">
        <f aca="false">Tasks[[#This Row],[_LeafBudget]]*Tasks[[#This Row],[_LeafProgress]]</f>
        <v>0</v>
      </c>
      <c r="DH130" s="41" t="n">
        <f aca="false">IF(NOT(Tasks[[#This Row],[_IsLeaf]]=1),0,IF(Tasks[[#This Row],[Actual Cost]]="",Tasks[[#This Row],[_LeafCost]]*Tasks[[#This Row],[_LeafProgress]],N(Tasks[[#This Row],[Actual Cost]])))</f>
        <v>0</v>
      </c>
      <c r="DI130" s="41" t="str">
        <f aca="false">IF(Tasks[[#This Row],[Task Name]]="","",LEFT(Tasks[[#This Row],[WBS]],FIND(".",Tasks[[#This Row],[WBS]]&amp;".")-1))</f>
        <v/>
      </c>
      <c r="DJ130" s="41" t="str">
        <f aca="false">IF(AND(Tasks[[#This Row],[Task Name]]&lt;&gt;"",Tasks[[#This Row],[_Level]]=1),Tasks[[#This Row],[_Row]],"")</f>
        <v/>
      </c>
      <c r="DK130" s="41" t="str">
        <f aca="false">IF(AND(Tasks[[#This Row],[_IsLeaf]]=1,N(Tasks[[#This Row],[Duration]])=0),Tasks[[#This Row],[Planned Finish]]+Tasks[[#This Row],[_Row]]/100000,"")</f>
        <v/>
      </c>
      <c r="DL130" s="41" t="str">
        <f aca="false">IF(AND(Tasks[[#This Row],[_IsLeaf]]=1,Tasks[[#This Row],[_LeafProgress]]&lt;1,OR(N(Tasks[[#This Row],[Finish Var]])&gt;0,Tasks[[#This Row],[Status]]="Late Start")),MAX(0,Tasks[[#This Row],[Finish Var]])+1-Tasks[[#This Row],[_Row]]/1000000,"")</f>
        <v/>
      </c>
      <c r="DM130" s="41" t="str">
        <f aca="false">IF(AND(Tasks[[#This Row],[_IsLeaf]]=1,N(Tasks[[#This Row],[Actual Start]])=0,Tasks[[#This Row],[_LeafFcstStart]]&gt;=StatusDate,Tasks[[#This Row],[_LeafFcstStart]]&lt;=LookaheadEnd),Tasks[[#This Row],[_LeafFcstStart]]+Tasks[[#This Row],[_Row]]/100000,"")</f>
        <v/>
      </c>
      <c r="DN130" s="41" t="str">
        <f aca="false">IF(AND(Tasks[[#This Row],[_IsLeaf]]=1,Tasks[[#This Row],[_LeafProgress]]&lt;1,Tasks[[#This Row],[_LeafFcstFinish]]&gt;=StatusDate,Tasks[[#This Row],[_LeafFcstFinish]]&lt;=LookaheadEnd),Tasks[[#This Row],[_LeafFcstFinish]]+Tasks[[#This Row],[_Row]]/100000,"")</f>
        <v/>
      </c>
      <c r="DO130" s="41" t="str">
        <f aca="false">IF(Tasks[[#This Row],[_LeafCritical]],Tasks[[#This Row],[_LeafFcstStart]]+Tasks[[#This Row],[_Row]]/100000,"")</f>
        <v/>
      </c>
      <c r="DP130" s="41" t="n">
        <f aca="false">Tasks[[#This Row],[_LeafWork]]*Tasks[[#This Row],[_LeafProgress]]</f>
        <v>0</v>
      </c>
      <c r="DQ130" s="103" t="str">
        <f aca="false">IF(AND(Tasks[[#This Row],[_IsLeaf]]=1,Tasks[[#This Row],[_LeafProgress]]&gt;=1),IF(N(Tasks[[#This Row],[Actual Finish]])&gt;0,Tasks[[#This Row],[Actual Finish]],Tasks[[#This Row],[_LeafFcstFinish]]),"")</f>
        <v/>
      </c>
      <c r="DR130" s="41" t="n">
        <f aca="false">IF(Tasks[[#This Row],[_IsLeaf]]=1,N(Tasks[[#This Row],[Story Points]]),0)</f>
        <v>0</v>
      </c>
      <c r="DS130" s="41" t="str">
        <f aca="false">IF(AND(Tasks[[#This Row],[_IsLeaf]]=1,CurrentSprint&lt;&gt;"",Tasks[[#This Row],[Sprint]]=CurrentSprint),Tasks[[#This Row],[_Row]],"")</f>
        <v/>
      </c>
    </row>
    <row r="131" customFormat="false" ht="15" hidden="false" customHeight="false" outlineLevel="0" collapsed="false">
      <c r="A131" s="28" t="str">
        <f aca="false">IF(Tasks[[#This Row],[Task Name]]="","",COUNTA(Tasks[[#Headers],[Task Name]]:Tasks[[#This Row],[Task Name]])-1)</f>
        <v/>
      </c>
      <c r="B131" s="29" t="n">
        <v>126</v>
      </c>
      <c r="C1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29"/>
      <c r="E131" s="30"/>
      <c r="F131" s="29"/>
      <c r="G131" s="29"/>
      <c r="H131" s="29"/>
      <c r="I131" s="29"/>
      <c r="J131" s="29"/>
      <c r="K131" s="29"/>
      <c r="L131" s="29"/>
      <c r="M131" s="29"/>
      <c r="N131" s="77"/>
      <c r="O131" s="77"/>
      <c r="P131" s="25" t="str">
        <f aca="false">IF(Tasks[[#This Row],[Task Name]]="","",IF(N(Tasks[[#This Row],[Baseline Start]])&gt;0,Tasks[[#This Row],[Baseline Start]],Tasks[[#This Row],[_CalcStart]]))</f>
        <v/>
      </c>
      <c r="Q131" s="25" t="str">
        <f aca="false">IF(Tasks[[#This Row],[Task Name]]="","",IF(N(Tasks[[#This Row],[Baseline Finish]])&gt;0,Tasks[[#This Row],[Baseline Finish]],Tasks[[#This Row],[_CalcFinish]]))</f>
        <v/>
      </c>
      <c r="R131" s="77"/>
      <c r="S131" s="77"/>
      <c r="T131" s="25" t="str">
        <f aca="false">IF(Tasks[[#This Row],[Task Name]]="","",IF(Tasks[[#This Row],[_IsSummary]],MIN(INDEX(Tasks[_LeafFcstStart],Tasks[[#This Row],[_Row]]+1):INDEX(Tasks[_LeafFcstStart],Tasks[[#This Row],[_Row]]+Tasks[[#This Row],[_Descendants]])),Tasks[[#This Row],[_LeafFcstStart]]))</f>
        <v/>
      </c>
      <c r="U131" s="25" t="str">
        <f aca="false">IF(Tasks[[#This Row],[Task Name]]="","",IF(Tasks[[#This Row],[_IsSummary]],MAX(INDEX(Tasks[_LeafFcstFinish],Tasks[[#This Row],[_Row]]+1):INDEX(Tasks[_LeafFcstFinish],Tasks[[#This Row],[_Row]]+Tasks[[#This Row],[_Descendants]])),Tasks[[#This Row],[_LeafFcstFinish]]))</f>
        <v/>
      </c>
      <c r="V13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1" s="25" t="str">
        <f aca="false">IF(Tasks[[#This Row],[Task Name]]="","",IF(Tasks[[#This Row],[_IsSummary]],MIN(INDEX(Tasks[_LeafLateStart],Tasks[[#This Row],[_Row]]+1):INDEX(Tasks[_LeafLateStart],Tasks[[#This Row],[_Row]]+Tasks[[#This Row],[_Descendants]])),Tasks[[#This Row],[_LeafLateStart]]))</f>
        <v/>
      </c>
      <c r="Y131" s="25" t="str">
        <f aca="false">IF(Tasks[[#This Row],[Task Name]]="","",IF(Tasks[[#This Row],[_IsSummary]],MAX(INDEX(Tasks[_LeafLateFinish],Tasks[[#This Row],[_Row]]+1):INDEX(Tasks[_LeafLateFinish],Tasks[[#This Row],[_Row]]+Tasks[[#This Row],[_Descendants]])),Tasks[[#This Row],[_LeafLateFinish]]))</f>
        <v/>
      </c>
      <c r="Z131" s="43" t="str">
        <f aca="false">IF(Tasks[[#This Row],[Task Name]]="","",IF(Tasks[[#This Row],[_IsSummary]],MIN(INDEX(Tasks[_LeafTotalSlack],Tasks[[#This Row],[_Row]]+1):INDEX(Tasks[_LeafTotalSlack],Tasks[[#This Row],[_Row]]+Tasks[[#This Row],[_Descendants]])),Tasks[[#This Row],[_LeafTotalSlack]]))</f>
        <v/>
      </c>
      <c r="AA1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1" s="28" t="str">
        <f aca="false">IF(Tasks[[#This Row],[Task Name]]="","",IF(IF(Tasks[[#This Row],[_IsSummary]],COUNTIF(INDEX(Tasks[_LeafCritical],Tasks[[#This Row],[_Row]]+1):INDEX(Tasks[_LeafCritical],Tasks[[#This Row],[_Row]]+Tasks[[#This Row],[_Descendants]]),TRUE())&gt;0,Tasks[[#This Row],[_LeafCritical]]),"Yes",""))</f>
        <v/>
      </c>
      <c r="AC1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1" s="24" t="str">
        <f aca="false">IF(Tasks[[#This Row],[Task Name]]="","",TRIM(IF(Tasks[[#This Row],[_Pred1Problem]]&lt;&gt;"","Pred 1: "&amp;Tasks[[#This Row],[_Pred1Problem]]&amp;". ","")&amp;IF(Tasks[[#This Row],[_Pred2Problem]]&lt;&gt;"","Pred 2: "&amp;Tasks[[#This Row],[_Pred2Problem]]&amp;".","")))</f>
        <v/>
      </c>
      <c r="AE131" s="91"/>
      <c r="AF13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1" s="28" t="str">
        <f aca="false">IF(Tasks[[#This Row],[Task Name]]="","",IF(Tasks[[#This Row],[Progress]]&gt;=1,"Complete",IF(OR(N(Tasks[[#This Row],[Actual Start]])&gt;0,Tasks[[#This Row],[Progress]]&gt;0),IF(Tasks[[#This Row],[Finish Var]]&gt;0,"Behind","In Progress"),IF(Tasks[[#This Row],[Planned Start]]&lt;StatusDate,"Late Start","Not Started"))))</f>
        <v/>
      </c>
      <c r="AH131" s="30"/>
      <c r="AI131" s="91"/>
      <c r="AJ13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1" s="98" t="str">
        <f aca="false">IF(Tasks[[#This Row],[Task Name]]="","",IF(Tasks[[#This Row],[_IsSummary]],SUM(INDEX(Tasks[_LeafWork],Tasks[[#This Row],[_Row]]+1):INDEX(Tasks[_LeafWork],Tasks[[#This Row],[_Row]]+Tasks[[#This Row],[_Descendants]])),Tasks[[#This Row],[_LeafWork]]))</f>
        <v/>
      </c>
      <c r="AL131" s="99" t="str">
        <f aca="false">IF(Tasks[[#This Row],[Task Name]]="","",IF(Tasks[[#This Row],[_IsSummary]],SUM(INDEX(Tasks[_LeafCost],Tasks[[#This Row],[_Row]]+1):INDEX(Tasks[_LeafCost],Tasks[[#This Row],[_Row]]+Tasks[[#This Row],[_Descendants]])),Tasks[[#This Row],[_LeafCost]]))</f>
        <v/>
      </c>
      <c r="AM131" s="100"/>
      <c r="AN131" s="29"/>
      <c r="AO1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1" s="85"/>
      <c r="AQ131" s="24" t="str">
        <f aca="false">IF(Tasks[[#This Row],[Task Name]]="","",Tasks[[#This Row],[_Pred1IDText]]&amp;IF(AND(Tasks[[#This Row],[_Pred1IDText]]&lt;&gt;"",Tasks[[#This Row],[_Pred2IDText]]&lt;&gt;""),",","")&amp;Tasks[[#This Row],[_Pred2IDText]])</f>
        <v/>
      </c>
      <c r="AR131" s="30"/>
      <c r="AS131" s="25" t="str">
        <f aca="false">IF(Tasks[[#This Row],[Task Name]]="","",Tasks[[#This Row],[Forecast Start]])</f>
        <v/>
      </c>
      <c r="AT131" s="25" t="str">
        <f aca="false">IF(Tasks[[#This Row],[Task Name]]="","",Tasks[[#This Row],[Forecast Finish]])</f>
        <v/>
      </c>
      <c r="AU131" s="28" t="str">
        <f aca="false">IF(Tasks[[#This Row],[Task Name]]="","",IF(Tasks[[#This Row],[_IsSummary]],NETWORKDAYS.INTL(Tasks[[#This Row],[Forecast Start]],Tasks[[#This Row],[Forecast Finish]],WorkWeek,Holidays),N(Tasks[[#This Row],[Duration]])))</f>
        <v/>
      </c>
      <c r="AV131" s="98" t="str">
        <f aca="false">IF(Tasks[[#This Row],[Task Name]]="","",Tasks[[#This Row],[Work]])</f>
        <v/>
      </c>
      <c r="AW131" s="99" t="str">
        <f aca="false">IF(Tasks[[#This Row],[Task Name]]="","",Tasks[[#This Row],[Cost]])</f>
        <v/>
      </c>
      <c r="AX131" s="77"/>
      <c r="AY131" s="77"/>
      <c r="AZ131" s="29"/>
      <c r="BA131" s="101"/>
      <c r="BB131" s="100"/>
      <c r="BC131" s="28" t="str">
        <f aca="false">IF(OR(Tasks[[#This Row],[Task Name]]="",Tasks[[#This Row],[Baseline Duration]]=""),"",Tasks[[#This Row],[BL Source Duration]]-N(Tasks[[#This Row],[Baseline Duration]]))</f>
        <v/>
      </c>
      <c r="BD131" s="98" t="str">
        <f aca="false">IF(OR(Tasks[[#This Row],[Task Name]]="",Tasks[[#This Row],[Baseline Work]]=""),"",Tasks[[#This Row],[Work]]-N(Tasks[[#This Row],[Baseline Work]]))</f>
        <v/>
      </c>
      <c r="BE131" s="99" t="str">
        <f aca="false">IF(OR(Tasks[[#This Row],[Task Name]]="",Tasks[[#This Row],[Baseline Cost]]=""),"",Tasks[[#This Row],[Cost]]-N(Tasks[[#This Row],[Baseline Cost]]))</f>
        <v/>
      </c>
      <c r="BF131" s="99" t="str">
        <f aca="false">IF(Tasks[[#This Row],[Task Name]]="","",IF(Tasks[[#This Row],[_IsSummary]],SUM(INDEX(Tasks[_LeafBudget],Tasks[[#This Row],[_Row]]+1):INDEX(Tasks[_LeafBudget],Tasks[[#This Row],[_Row]]+Tasks[[#This Row],[_Descendants]])),Tasks[[#This Row],[_LeafBudget]]))</f>
        <v/>
      </c>
      <c r="BG131" s="99" t="str">
        <f aca="false">IF(Tasks[[#This Row],[Task Name]]="","",IF(Tasks[[#This Row],[_IsSummary]],SUM(INDEX(Tasks[_LeafPV],Tasks[[#This Row],[_Row]]+1):INDEX(Tasks[_LeafPV],Tasks[[#This Row],[_Row]]+Tasks[[#This Row],[_Descendants]])),Tasks[[#This Row],[_LeafPV]]))</f>
        <v/>
      </c>
      <c r="BH131" s="99" t="str">
        <f aca="false">IF(Tasks[[#This Row],[Task Name]]="","",IF(Tasks[[#This Row],[_IsSummary]],SUM(INDEX(Tasks[_LeafEV],Tasks[[#This Row],[_Row]]+1):INDEX(Tasks[_LeafEV],Tasks[[#This Row],[_Row]]+Tasks[[#This Row],[_Descendants]])),Tasks[[#This Row],[_LeafEV]]))</f>
        <v/>
      </c>
      <c r="BI131" s="99" t="str">
        <f aca="false">IF(Tasks[[#This Row],[Task Name]]="","",IF(Tasks[[#This Row],[_IsSummary]],SUM(INDEX(Tasks[_LeafAC],Tasks[[#This Row],[_Row]]+1):INDEX(Tasks[_LeafAC],Tasks[[#This Row],[_Row]]+Tasks[[#This Row],[_Descendants]])),Tasks[[#This Row],[_LeafAC]]))</f>
        <v/>
      </c>
      <c r="BJ131" s="41" t="str">
        <f aca="false">IF(Tasks[[#This Row],[Task Name]]="","",MAX(1,N(Tasks[[#This Row],[Level]])))</f>
        <v/>
      </c>
      <c r="BK131" s="41" t="n">
        <f aca="false">ROW()-ROW(Tasks[[#Headers],[ID]])</f>
        <v>126</v>
      </c>
      <c r="BL131" s="41" t="n">
        <f aca="false">IF(OR(Tasks[[#This Row],[Task Name]]="",Tasks[[#This Row],[_Level]]&lt;=1),0,IFERROR(LOOKUP(2,1/(Tasks[[#Headers],[_Level]]:Tasks[[#This Row],[_Level]]=Tasks[[#This Row],[_Level]]-1),ROW(Tasks[[#Headers],[_Level]]:Tasks[[#This Row],[_Level]])),0))</f>
        <v>0</v>
      </c>
      <c r="BM131" s="41" t="n">
        <f aca="false">IFERROR(N(INDEX(Tasks[_Level],Tasks[[#This Row],[_Row]]+1)),0)</f>
        <v>0</v>
      </c>
      <c r="BN131" s="102" t="b">
        <f aca="false">AND(Tasks[[#This Row],[Task Name]]&lt;&gt;"",Tasks[[#This Row],[_NextLevel]]&gt;Tasks[[#This Row],[_Level]])</f>
        <v>0</v>
      </c>
      <c r="BO131" s="41" t="n">
        <f aca="false">IF(Tasks[[#This Row],[_IsSummary]],COUNTIF(Tasks[WBS],Tasks[[#This Row],[WBS]]&amp;".*"),0)</f>
        <v>0</v>
      </c>
      <c r="BP131" s="41" t="n">
        <f aca="false">IF(AND(Tasks[[#This Row],[Task Name]]&lt;&gt;"",NOT(Tasks[[#This Row],[_IsSummary]])),1,0)</f>
        <v>0</v>
      </c>
      <c r="BQ131" s="41" t="n">
        <f aca="false">IF(N(Tasks[[#This Row],[Pred1 UID]])=0,0,IFERROR(MATCH(Tasks[[#This Row],[Pred1 UID]],Tasks[UID],0),-1))</f>
        <v>0</v>
      </c>
      <c r="BR131" s="41" t="n">
        <f aca="false">IF(N(Tasks[[#This Row],[Pred2 UID]])=0,0,IFERROR(MATCH(Tasks[[#This Row],[Pred2 UID]],Tasks[UID],0),-1))</f>
        <v>0</v>
      </c>
      <c r="BS13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1" s="103" t="str">
        <f aca="false">IF(NOT(Tasks[[#This Row],[_IsLeaf]]=1),"",IF(N(Tasks[[#This Row],[Duration]])&lt;=0,Tasks[[#This Row],[_LeafCalcStart]],WORKDAY.INTL(Tasks[[#This Row],[_LeafCalcStart]],Tasks[[#This Row],[Duration]]-1,WorkWeek,Holidays)))</f>
        <v/>
      </c>
      <c r="BU13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1" s="41" t="n">
        <f aca="false">IF(NOT(Tasks[[#This Row],[_IsLeaf]]=1),0,IF(N(Tasks[[#This Row],[Actual Finish]])&gt;0,1,MIN(1,N(Tasks[[#This Row],[% Complete]]))))</f>
        <v>0</v>
      </c>
      <c r="BX131" s="41" t="n">
        <f aca="false">IF(OR(NOT(Tasks[[#This Row],[_IsLeaf]]=1),Tasks[[#This Row],[Resource]]=""),0,N(Tasks[[#This Row],[Duration]])*HoursPerDay*IF(Tasks[[#This Row],[Units]]="",DefaultUnits,Tasks[[#This Row],[Units]]))</f>
        <v>0</v>
      </c>
      <c r="BY131" s="41" t="n">
        <f aca="false">IF(Tasks[[#This Row],[_LeafWork]]=0,0,Tasks[[#This Row],[_LeafWork]]*IFERROR(INDEX(res_Rate,MATCH(Tasks[[#This Row],[Resource]],res_Name,0)),0))</f>
        <v>0</v>
      </c>
      <c r="BZ1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1" s="41" t="n">
        <f aca="false">IF(NOT(Tasks[[#This Row],[_IsLeaf]]=1),0,MAX(_xlfn.MAXIFS(Tasks[_Row],Tasks[Pred1 UID],Tasks[[#This Row],[UID]]),_xlfn.MAXIFS(Tasks[_Row],Tasks[Pred2 UID],Tasks[[#This Row],[UID]])))</f>
        <v>0</v>
      </c>
      <c r="CE13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1" s="103" t="str">
        <f aca="false">IF(NOT(Tasks[[#This Row],[_IsLeaf]]=1),"",MIN(ProjectFinish,IF(N(Tasks[[#This Row],[Deadline]])&gt;0,Tasks[[#This Row],[Deadline]],2958465),Tasks[[#This Row],[_SuccessorFinishLimit]]))</f>
        <v/>
      </c>
      <c r="CG131" s="103" t="str">
        <f aca="false">IF(NOT(Tasks[[#This Row],[_IsLeaf]]=1),"",IF(N(Tasks[[#This Row],[Duration]])&lt;=0,Tasks[[#This Row],[_LeafLateFinish]],WORKDAY.INTL(Tasks[[#This Row],[_LeafLateFinish]],-(Tasks[[#This Row],[Duration]]-1),WorkWeek,Holidays)))</f>
        <v/>
      </c>
      <c r="CH1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1" s="102" t="b">
        <f aca="false">AND(Tasks[[#This Row],[_IsLeaf]]=1,Tasks[[#This Row],[_LeafProgress]]&lt;1,N(Tasks[[#This Row],[_LeafTotalSlack]])&lt;=CriticalSlackDays)</f>
        <v>0</v>
      </c>
      <c r="CJ131" s="103" t="str">
        <f aca="false">IF(Tasks[[#This Row],[Task Name]]="","",IF(Tasks[[#This Row],[_IsSummary]],MIN(INDEX(Tasks[_LeafCalcStart],Tasks[[#This Row],[_Row]]+1):INDEX(Tasks[_LeafCalcStart],Tasks[[#This Row],[_Row]]+Tasks[[#This Row],[_Descendants]])),Tasks[[#This Row],[_LeafCalcStart]]))</f>
        <v/>
      </c>
      <c r="CK131" s="103" t="str">
        <f aca="false">IF(Tasks[[#This Row],[Task Name]]="","",IF(Tasks[[#This Row],[_IsSummary]],MAX(INDEX(Tasks[_LeafCalcFinish],Tasks[[#This Row],[_Row]]+1):INDEX(Tasks[_LeafCalcFinish],Tasks[[#This Row],[_Row]]+Tasks[[#This Row],[_Descendants]])),Tasks[[#This Row],[_LeafCalcFinish]]))</f>
        <v/>
      </c>
      <c r="CL1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1" s="41" t="n">
        <f aca="false">IF(AND(Tasks[[#This Row],[_IsLeaf]]=1,Tasks[[#This Row],[_LeafWork]]&gt;0),NETWORKDAYS.INTL(ProjectStart,Tasks[[#This Row],[_LeafFcstStart]],WorkWeek,Holidays),0)</f>
        <v>0</v>
      </c>
      <c r="CS131" s="41" t="n">
        <f aca="false">IF(AND(Tasks[[#This Row],[_IsLeaf]]=1,Tasks[[#This Row],[_LeafWork]]&gt;0),MAX(Tasks[[#This Row],[_StartWorkday]],NETWORKDAYS.INTL(ProjectStart,Tasks[[#This Row],[_LeafFcstFinish]],WorkWeek,Holidays)),0)</f>
        <v>0</v>
      </c>
      <c r="CT131" s="41" t="n">
        <f aca="false">IF(AND(Tasks[[#This Row],[_IsLeaf]]=1,Tasks[[#This Row],[_LeafWork]]&gt;0),Tasks[[#This Row],[_LeafWork]]/(Tasks[[#This Row],[_FinishWorkday]]-Tasks[[#This Row],[_StartWorkday]]+1),0)</f>
        <v>0</v>
      </c>
      <c r="CU131" s="41" t="n">
        <f aca="false">Tasks[[#This Row],[_WorkPerWorkday]]*(Tasks[[#This Row],[_StartWorkday]]-1)</f>
        <v>-0</v>
      </c>
      <c r="CV131" s="41" t="n">
        <f aca="false">IF(Tasks[[#This Row],[_IsLeaf]]=1,MAX(N(Tasks[[#This Row],[Duration]]),0.1),0)</f>
        <v>0</v>
      </c>
      <c r="CW131" s="41" t="n">
        <f aca="false">Tasks[[#This Row],[_WeightDur]]*Tasks[[#This Row],[_LeafProgress]]</f>
        <v>0</v>
      </c>
      <c r="CX1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1" s="41" t="str">
        <f aca="false">IF(Tasks[[#This Row],[Task Name]]="","",Tasks[[#This Row],[_Pred1UIDText]]&amp;IF(AND(Tasks[[#This Row],[_Pred1UIDText]]&lt;&gt;"",Tasks[[#This Row],[_Pred2UIDText]]&lt;&gt;""),",","")&amp;Tasks[[#This Row],[_Pred2UIDText]])</f>
        <v/>
      </c>
      <c r="DC131" s="41" t="str">
        <f aca="false">IF(AND(Tasks[[#This Row],[_IsLeaf]]=1,N(Tasks[[#This Row],[Duration]])=0,Tasks[[#This Row],[_LeafProgress]]&lt;1),Tasks[[#This Row],[_LeafFcstFinish]]+Tasks[[#This Row],[_Row]]/100000,"")</f>
        <v/>
      </c>
      <c r="DD1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1" s="41" t="n">
        <f aca="false">IF(NOT(Tasks[[#This Row],[_IsLeaf]]=1),0,IF(Tasks[[#This Row],[Baseline Cost]]="",Tasks[[#This Row],[_LeafCost]],N(Tasks[[#This Row],[Baseline Cost]])))</f>
        <v>0</v>
      </c>
      <c r="DF131" s="41" t="n">
        <f aca="false">Tasks[[#This Row],[_LeafBudget]]*Tasks[[#This Row],[_PlannedPct]]</f>
        <v>0</v>
      </c>
      <c r="DG131" s="41" t="n">
        <f aca="false">Tasks[[#This Row],[_LeafBudget]]*Tasks[[#This Row],[_LeafProgress]]</f>
        <v>0</v>
      </c>
      <c r="DH131" s="41" t="n">
        <f aca="false">IF(NOT(Tasks[[#This Row],[_IsLeaf]]=1),0,IF(Tasks[[#This Row],[Actual Cost]]="",Tasks[[#This Row],[_LeafCost]]*Tasks[[#This Row],[_LeafProgress]],N(Tasks[[#This Row],[Actual Cost]])))</f>
        <v>0</v>
      </c>
      <c r="DI131" s="41" t="str">
        <f aca="false">IF(Tasks[[#This Row],[Task Name]]="","",LEFT(Tasks[[#This Row],[WBS]],FIND(".",Tasks[[#This Row],[WBS]]&amp;".")-1))</f>
        <v/>
      </c>
      <c r="DJ131" s="41" t="str">
        <f aca="false">IF(AND(Tasks[[#This Row],[Task Name]]&lt;&gt;"",Tasks[[#This Row],[_Level]]=1),Tasks[[#This Row],[_Row]],"")</f>
        <v/>
      </c>
      <c r="DK131" s="41" t="str">
        <f aca="false">IF(AND(Tasks[[#This Row],[_IsLeaf]]=1,N(Tasks[[#This Row],[Duration]])=0),Tasks[[#This Row],[Planned Finish]]+Tasks[[#This Row],[_Row]]/100000,"")</f>
        <v/>
      </c>
      <c r="DL131" s="41" t="str">
        <f aca="false">IF(AND(Tasks[[#This Row],[_IsLeaf]]=1,Tasks[[#This Row],[_LeafProgress]]&lt;1,OR(N(Tasks[[#This Row],[Finish Var]])&gt;0,Tasks[[#This Row],[Status]]="Late Start")),MAX(0,Tasks[[#This Row],[Finish Var]])+1-Tasks[[#This Row],[_Row]]/1000000,"")</f>
        <v/>
      </c>
      <c r="DM131" s="41" t="str">
        <f aca="false">IF(AND(Tasks[[#This Row],[_IsLeaf]]=1,N(Tasks[[#This Row],[Actual Start]])=0,Tasks[[#This Row],[_LeafFcstStart]]&gt;=StatusDate,Tasks[[#This Row],[_LeafFcstStart]]&lt;=LookaheadEnd),Tasks[[#This Row],[_LeafFcstStart]]+Tasks[[#This Row],[_Row]]/100000,"")</f>
        <v/>
      </c>
      <c r="DN131" s="41" t="str">
        <f aca="false">IF(AND(Tasks[[#This Row],[_IsLeaf]]=1,Tasks[[#This Row],[_LeafProgress]]&lt;1,Tasks[[#This Row],[_LeafFcstFinish]]&gt;=StatusDate,Tasks[[#This Row],[_LeafFcstFinish]]&lt;=LookaheadEnd),Tasks[[#This Row],[_LeafFcstFinish]]+Tasks[[#This Row],[_Row]]/100000,"")</f>
        <v/>
      </c>
      <c r="DO131" s="41" t="str">
        <f aca="false">IF(Tasks[[#This Row],[_LeafCritical]],Tasks[[#This Row],[_LeafFcstStart]]+Tasks[[#This Row],[_Row]]/100000,"")</f>
        <v/>
      </c>
      <c r="DP131" s="41" t="n">
        <f aca="false">Tasks[[#This Row],[_LeafWork]]*Tasks[[#This Row],[_LeafProgress]]</f>
        <v>0</v>
      </c>
      <c r="DQ131" s="103" t="str">
        <f aca="false">IF(AND(Tasks[[#This Row],[_IsLeaf]]=1,Tasks[[#This Row],[_LeafProgress]]&gt;=1),IF(N(Tasks[[#This Row],[Actual Finish]])&gt;0,Tasks[[#This Row],[Actual Finish]],Tasks[[#This Row],[_LeafFcstFinish]]),"")</f>
        <v/>
      </c>
      <c r="DR131" s="41" t="n">
        <f aca="false">IF(Tasks[[#This Row],[_IsLeaf]]=1,N(Tasks[[#This Row],[Story Points]]),0)</f>
        <v>0</v>
      </c>
      <c r="DS131" s="41" t="str">
        <f aca="false">IF(AND(Tasks[[#This Row],[_IsLeaf]]=1,CurrentSprint&lt;&gt;"",Tasks[[#This Row],[Sprint]]=CurrentSprint),Tasks[[#This Row],[_Row]],"")</f>
        <v/>
      </c>
    </row>
    <row r="132" customFormat="false" ht="15" hidden="false" customHeight="false" outlineLevel="0" collapsed="false">
      <c r="A132" s="28" t="str">
        <f aca="false">IF(Tasks[[#This Row],[Task Name]]="","",COUNTA(Tasks[[#Headers],[Task Name]]:Tasks[[#This Row],[Task Name]])-1)</f>
        <v/>
      </c>
      <c r="B132" s="29" t="n">
        <v>127</v>
      </c>
      <c r="C1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29"/>
      <c r="E132" s="30"/>
      <c r="F132" s="29"/>
      <c r="G132" s="29"/>
      <c r="H132" s="29"/>
      <c r="I132" s="29"/>
      <c r="J132" s="29"/>
      <c r="K132" s="29"/>
      <c r="L132" s="29"/>
      <c r="M132" s="29"/>
      <c r="N132" s="77"/>
      <c r="O132" s="77"/>
      <c r="P132" s="25" t="str">
        <f aca="false">IF(Tasks[[#This Row],[Task Name]]="","",IF(N(Tasks[[#This Row],[Baseline Start]])&gt;0,Tasks[[#This Row],[Baseline Start]],Tasks[[#This Row],[_CalcStart]]))</f>
        <v/>
      </c>
      <c r="Q132" s="25" t="str">
        <f aca="false">IF(Tasks[[#This Row],[Task Name]]="","",IF(N(Tasks[[#This Row],[Baseline Finish]])&gt;0,Tasks[[#This Row],[Baseline Finish]],Tasks[[#This Row],[_CalcFinish]]))</f>
        <v/>
      </c>
      <c r="R132" s="77"/>
      <c r="S132" s="77"/>
      <c r="T132" s="25" t="str">
        <f aca="false">IF(Tasks[[#This Row],[Task Name]]="","",IF(Tasks[[#This Row],[_IsSummary]],MIN(INDEX(Tasks[_LeafFcstStart],Tasks[[#This Row],[_Row]]+1):INDEX(Tasks[_LeafFcstStart],Tasks[[#This Row],[_Row]]+Tasks[[#This Row],[_Descendants]])),Tasks[[#This Row],[_LeafFcstStart]]))</f>
        <v/>
      </c>
      <c r="U132" s="25" t="str">
        <f aca="false">IF(Tasks[[#This Row],[Task Name]]="","",IF(Tasks[[#This Row],[_IsSummary]],MAX(INDEX(Tasks[_LeafFcstFinish],Tasks[[#This Row],[_Row]]+1):INDEX(Tasks[_LeafFcstFinish],Tasks[[#This Row],[_Row]]+Tasks[[#This Row],[_Descendants]])),Tasks[[#This Row],[_LeafFcstFinish]]))</f>
        <v/>
      </c>
      <c r="V13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2" s="25" t="str">
        <f aca="false">IF(Tasks[[#This Row],[Task Name]]="","",IF(Tasks[[#This Row],[_IsSummary]],MIN(INDEX(Tasks[_LeafLateStart],Tasks[[#This Row],[_Row]]+1):INDEX(Tasks[_LeafLateStart],Tasks[[#This Row],[_Row]]+Tasks[[#This Row],[_Descendants]])),Tasks[[#This Row],[_LeafLateStart]]))</f>
        <v/>
      </c>
      <c r="Y132" s="25" t="str">
        <f aca="false">IF(Tasks[[#This Row],[Task Name]]="","",IF(Tasks[[#This Row],[_IsSummary]],MAX(INDEX(Tasks[_LeafLateFinish],Tasks[[#This Row],[_Row]]+1):INDEX(Tasks[_LeafLateFinish],Tasks[[#This Row],[_Row]]+Tasks[[#This Row],[_Descendants]])),Tasks[[#This Row],[_LeafLateFinish]]))</f>
        <v/>
      </c>
      <c r="Z132" s="43" t="str">
        <f aca="false">IF(Tasks[[#This Row],[Task Name]]="","",IF(Tasks[[#This Row],[_IsSummary]],MIN(INDEX(Tasks[_LeafTotalSlack],Tasks[[#This Row],[_Row]]+1):INDEX(Tasks[_LeafTotalSlack],Tasks[[#This Row],[_Row]]+Tasks[[#This Row],[_Descendants]])),Tasks[[#This Row],[_LeafTotalSlack]]))</f>
        <v/>
      </c>
      <c r="AA1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2" s="28" t="str">
        <f aca="false">IF(Tasks[[#This Row],[Task Name]]="","",IF(IF(Tasks[[#This Row],[_IsSummary]],COUNTIF(INDEX(Tasks[_LeafCritical],Tasks[[#This Row],[_Row]]+1):INDEX(Tasks[_LeafCritical],Tasks[[#This Row],[_Row]]+Tasks[[#This Row],[_Descendants]]),TRUE())&gt;0,Tasks[[#This Row],[_LeafCritical]]),"Yes",""))</f>
        <v/>
      </c>
      <c r="AC1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2" s="24" t="str">
        <f aca="false">IF(Tasks[[#This Row],[Task Name]]="","",TRIM(IF(Tasks[[#This Row],[_Pred1Problem]]&lt;&gt;"","Pred 1: "&amp;Tasks[[#This Row],[_Pred1Problem]]&amp;". ","")&amp;IF(Tasks[[#This Row],[_Pred2Problem]]&lt;&gt;"","Pred 2: "&amp;Tasks[[#This Row],[_Pred2Problem]]&amp;".","")))</f>
        <v/>
      </c>
      <c r="AE132" s="91"/>
      <c r="AF13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2" s="28" t="str">
        <f aca="false">IF(Tasks[[#This Row],[Task Name]]="","",IF(Tasks[[#This Row],[Progress]]&gt;=1,"Complete",IF(OR(N(Tasks[[#This Row],[Actual Start]])&gt;0,Tasks[[#This Row],[Progress]]&gt;0),IF(Tasks[[#This Row],[Finish Var]]&gt;0,"Behind","In Progress"),IF(Tasks[[#This Row],[Planned Start]]&lt;StatusDate,"Late Start","Not Started"))))</f>
        <v/>
      </c>
      <c r="AH132" s="30"/>
      <c r="AI132" s="91"/>
      <c r="AJ13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2" s="98" t="str">
        <f aca="false">IF(Tasks[[#This Row],[Task Name]]="","",IF(Tasks[[#This Row],[_IsSummary]],SUM(INDEX(Tasks[_LeafWork],Tasks[[#This Row],[_Row]]+1):INDEX(Tasks[_LeafWork],Tasks[[#This Row],[_Row]]+Tasks[[#This Row],[_Descendants]])),Tasks[[#This Row],[_LeafWork]]))</f>
        <v/>
      </c>
      <c r="AL132" s="99" t="str">
        <f aca="false">IF(Tasks[[#This Row],[Task Name]]="","",IF(Tasks[[#This Row],[_IsSummary]],SUM(INDEX(Tasks[_LeafCost],Tasks[[#This Row],[_Row]]+1):INDEX(Tasks[_LeafCost],Tasks[[#This Row],[_Row]]+Tasks[[#This Row],[_Descendants]])),Tasks[[#This Row],[_LeafCost]]))</f>
        <v/>
      </c>
      <c r="AM132" s="100"/>
      <c r="AN132" s="29"/>
      <c r="AO1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2" s="85"/>
      <c r="AQ132" s="24" t="str">
        <f aca="false">IF(Tasks[[#This Row],[Task Name]]="","",Tasks[[#This Row],[_Pred1IDText]]&amp;IF(AND(Tasks[[#This Row],[_Pred1IDText]]&lt;&gt;"",Tasks[[#This Row],[_Pred2IDText]]&lt;&gt;""),",","")&amp;Tasks[[#This Row],[_Pred2IDText]])</f>
        <v/>
      </c>
      <c r="AR132" s="30"/>
      <c r="AS132" s="25" t="str">
        <f aca="false">IF(Tasks[[#This Row],[Task Name]]="","",Tasks[[#This Row],[Forecast Start]])</f>
        <v/>
      </c>
      <c r="AT132" s="25" t="str">
        <f aca="false">IF(Tasks[[#This Row],[Task Name]]="","",Tasks[[#This Row],[Forecast Finish]])</f>
        <v/>
      </c>
      <c r="AU132" s="28" t="str">
        <f aca="false">IF(Tasks[[#This Row],[Task Name]]="","",IF(Tasks[[#This Row],[_IsSummary]],NETWORKDAYS.INTL(Tasks[[#This Row],[Forecast Start]],Tasks[[#This Row],[Forecast Finish]],WorkWeek,Holidays),N(Tasks[[#This Row],[Duration]])))</f>
        <v/>
      </c>
      <c r="AV132" s="98" t="str">
        <f aca="false">IF(Tasks[[#This Row],[Task Name]]="","",Tasks[[#This Row],[Work]])</f>
        <v/>
      </c>
      <c r="AW132" s="99" t="str">
        <f aca="false">IF(Tasks[[#This Row],[Task Name]]="","",Tasks[[#This Row],[Cost]])</f>
        <v/>
      </c>
      <c r="AX132" s="77"/>
      <c r="AY132" s="77"/>
      <c r="AZ132" s="29"/>
      <c r="BA132" s="101"/>
      <c r="BB132" s="100"/>
      <c r="BC132" s="28" t="str">
        <f aca="false">IF(OR(Tasks[[#This Row],[Task Name]]="",Tasks[[#This Row],[Baseline Duration]]=""),"",Tasks[[#This Row],[BL Source Duration]]-N(Tasks[[#This Row],[Baseline Duration]]))</f>
        <v/>
      </c>
      <c r="BD132" s="98" t="str">
        <f aca="false">IF(OR(Tasks[[#This Row],[Task Name]]="",Tasks[[#This Row],[Baseline Work]]=""),"",Tasks[[#This Row],[Work]]-N(Tasks[[#This Row],[Baseline Work]]))</f>
        <v/>
      </c>
      <c r="BE132" s="99" t="str">
        <f aca="false">IF(OR(Tasks[[#This Row],[Task Name]]="",Tasks[[#This Row],[Baseline Cost]]=""),"",Tasks[[#This Row],[Cost]]-N(Tasks[[#This Row],[Baseline Cost]]))</f>
        <v/>
      </c>
      <c r="BF132" s="99" t="str">
        <f aca="false">IF(Tasks[[#This Row],[Task Name]]="","",IF(Tasks[[#This Row],[_IsSummary]],SUM(INDEX(Tasks[_LeafBudget],Tasks[[#This Row],[_Row]]+1):INDEX(Tasks[_LeafBudget],Tasks[[#This Row],[_Row]]+Tasks[[#This Row],[_Descendants]])),Tasks[[#This Row],[_LeafBudget]]))</f>
        <v/>
      </c>
      <c r="BG132" s="99" t="str">
        <f aca="false">IF(Tasks[[#This Row],[Task Name]]="","",IF(Tasks[[#This Row],[_IsSummary]],SUM(INDEX(Tasks[_LeafPV],Tasks[[#This Row],[_Row]]+1):INDEX(Tasks[_LeafPV],Tasks[[#This Row],[_Row]]+Tasks[[#This Row],[_Descendants]])),Tasks[[#This Row],[_LeafPV]]))</f>
        <v/>
      </c>
      <c r="BH132" s="99" t="str">
        <f aca="false">IF(Tasks[[#This Row],[Task Name]]="","",IF(Tasks[[#This Row],[_IsSummary]],SUM(INDEX(Tasks[_LeafEV],Tasks[[#This Row],[_Row]]+1):INDEX(Tasks[_LeafEV],Tasks[[#This Row],[_Row]]+Tasks[[#This Row],[_Descendants]])),Tasks[[#This Row],[_LeafEV]]))</f>
        <v/>
      </c>
      <c r="BI132" s="99" t="str">
        <f aca="false">IF(Tasks[[#This Row],[Task Name]]="","",IF(Tasks[[#This Row],[_IsSummary]],SUM(INDEX(Tasks[_LeafAC],Tasks[[#This Row],[_Row]]+1):INDEX(Tasks[_LeafAC],Tasks[[#This Row],[_Row]]+Tasks[[#This Row],[_Descendants]])),Tasks[[#This Row],[_LeafAC]]))</f>
        <v/>
      </c>
      <c r="BJ132" s="41" t="str">
        <f aca="false">IF(Tasks[[#This Row],[Task Name]]="","",MAX(1,N(Tasks[[#This Row],[Level]])))</f>
        <v/>
      </c>
      <c r="BK132" s="41" t="n">
        <f aca="false">ROW()-ROW(Tasks[[#Headers],[ID]])</f>
        <v>127</v>
      </c>
      <c r="BL132" s="41" t="n">
        <f aca="false">IF(OR(Tasks[[#This Row],[Task Name]]="",Tasks[[#This Row],[_Level]]&lt;=1),0,IFERROR(LOOKUP(2,1/(Tasks[[#Headers],[_Level]]:Tasks[[#This Row],[_Level]]=Tasks[[#This Row],[_Level]]-1),ROW(Tasks[[#Headers],[_Level]]:Tasks[[#This Row],[_Level]])),0))</f>
        <v>0</v>
      </c>
      <c r="BM132" s="41" t="n">
        <f aca="false">IFERROR(N(INDEX(Tasks[_Level],Tasks[[#This Row],[_Row]]+1)),0)</f>
        <v>0</v>
      </c>
      <c r="BN132" s="102" t="b">
        <f aca="false">AND(Tasks[[#This Row],[Task Name]]&lt;&gt;"",Tasks[[#This Row],[_NextLevel]]&gt;Tasks[[#This Row],[_Level]])</f>
        <v>0</v>
      </c>
      <c r="BO132" s="41" t="n">
        <f aca="false">IF(Tasks[[#This Row],[_IsSummary]],COUNTIF(Tasks[WBS],Tasks[[#This Row],[WBS]]&amp;".*"),0)</f>
        <v>0</v>
      </c>
      <c r="BP132" s="41" t="n">
        <f aca="false">IF(AND(Tasks[[#This Row],[Task Name]]&lt;&gt;"",NOT(Tasks[[#This Row],[_IsSummary]])),1,0)</f>
        <v>0</v>
      </c>
      <c r="BQ132" s="41" t="n">
        <f aca="false">IF(N(Tasks[[#This Row],[Pred1 UID]])=0,0,IFERROR(MATCH(Tasks[[#This Row],[Pred1 UID]],Tasks[UID],0),-1))</f>
        <v>0</v>
      </c>
      <c r="BR132" s="41" t="n">
        <f aca="false">IF(N(Tasks[[#This Row],[Pred2 UID]])=0,0,IFERROR(MATCH(Tasks[[#This Row],[Pred2 UID]],Tasks[UID],0),-1))</f>
        <v>0</v>
      </c>
      <c r="BS13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2" s="103" t="str">
        <f aca="false">IF(NOT(Tasks[[#This Row],[_IsLeaf]]=1),"",IF(N(Tasks[[#This Row],[Duration]])&lt;=0,Tasks[[#This Row],[_LeafCalcStart]],WORKDAY.INTL(Tasks[[#This Row],[_LeafCalcStart]],Tasks[[#This Row],[Duration]]-1,WorkWeek,Holidays)))</f>
        <v/>
      </c>
      <c r="BU13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2" s="41" t="n">
        <f aca="false">IF(NOT(Tasks[[#This Row],[_IsLeaf]]=1),0,IF(N(Tasks[[#This Row],[Actual Finish]])&gt;0,1,MIN(1,N(Tasks[[#This Row],[% Complete]]))))</f>
        <v>0</v>
      </c>
      <c r="BX132" s="41" t="n">
        <f aca="false">IF(OR(NOT(Tasks[[#This Row],[_IsLeaf]]=1),Tasks[[#This Row],[Resource]]=""),0,N(Tasks[[#This Row],[Duration]])*HoursPerDay*IF(Tasks[[#This Row],[Units]]="",DefaultUnits,Tasks[[#This Row],[Units]]))</f>
        <v>0</v>
      </c>
      <c r="BY132" s="41" t="n">
        <f aca="false">IF(Tasks[[#This Row],[_LeafWork]]=0,0,Tasks[[#This Row],[_LeafWork]]*IFERROR(INDEX(res_Rate,MATCH(Tasks[[#This Row],[Resource]],res_Name,0)),0))</f>
        <v>0</v>
      </c>
      <c r="BZ1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2" s="41" t="n">
        <f aca="false">IF(NOT(Tasks[[#This Row],[_IsLeaf]]=1),0,MAX(_xlfn.MAXIFS(Tasks[_Row],Tasks[Pred1 UID],Tasks[[#This Row],[UID]]),_xlfn.MAXIFS(Tasks[_Row],Tasks[Pred2 UID],Tasks[[#This Row],[UID]])))</f>
        <v>0</v>
      </c>
      <c r="CE13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2" s="103" t="str">
        <f aca="false">IF(NOT(Tasks[[#This Row],[_IsLeaf]]=1),"",MIN(ProjectFinish,IF(N(Tasks[[#This Row],[Deadline]])&gt;0,Tasks[[#This Row],[Deadline]],2958465),Tasks[[#This Row],[_SuccessorFinishLimit]]))</f>
        <v/>
      </c>
      <c r="CG132" s="103" t="str">
        <f aca="false">IF(NOT(Tasks[[#This Row],[_IsLeaf]]=1),"",IF(N(Tasks[[#This Row],[Duration]])&lt;=0,Tasks[[#This Row],[_LeafLateFinish]],WORKDAY.INTL(Tasks[[#This Row],[_LeafLateFinish]],-(Tasks[[#This Row],[Duration]]-1),WorkWeek,Holidays)))</f>
        <v/>
      </c>
      <c r="CH1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2" s="102" t="b">
        <f aca="false">AND(Tasks[[#This Row],[_IsLeaf]]=1,Tasks[[#This Row],[_LeafProgress]]&lt;1,N(Tasks[[#This Row],[_LeafTotalSlack]])&lt;=CriticalSlackDays)</f>
        <v>0</v>
      </c>
      <c r="CJ132" s="103" t="str">
        <f aca="false">IF(Tasks[[#This Row],[Task Name]]="","",IF(Tasks[[#This Row],[_IsSummary]],MIN(INDEX(Tasks[_LeafCalcStart],Tasks[[#This Row],[_Row]]+1):INDEX(Tasks[_LeafCalcStart],Tasks[[#This Row],[_Row]]+Tasks[[#This Row],[_Descendants]])),Tasks[[#This Row],[_LeafCalcStart]]))</f>
        <v/>
      </c>
      <c r="CK132" s="103" t="str">
        <f aca="false">IF(Tasks[[#This Row],[Task Name]]="","",IF(Tasks[[#This Row],[_IsSummary]],MAX(INDEX(Tasks[_LeafCalcFinish],Tasks[[#This Row],[_Row]]+1):INDEX(Tasks[_LeafCalcFinish],Tasks[[#This Row],[_Row]]+Tasks[[#This Row],[_Descendants]])),Tasks[[#This Row],[_LeafCalcFinish]]))</f>
        <v/>
      </c>
      <c r="CL1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2" s="41" t="n">
        <f aca="false">IF(AND(Tasks[[#This Row],[_IsLeaf]]=1,Tasks[[#This Row],[_LeafWork]]&gt;0),NETWORKDAYS.INTL(ProjectStart,Tasks[[#This Row],[_LeafFcstStart]],WorkWeek,Holidays),0)</f>
        <v>0</v>
      </c>
      <c r="CS132" s="41" t="n">
        <f aca="false">IF(AND(Tasks[[#This Row],[_IsLeaf]]=1,Tasks[[#This Row],[_LeafWork]]&gt;0),MAX(Tasks[[#This Row],[_StartWorkday]],NETWORKDAYS.INTL(ProjectStart,Tasks[[#This Row],[_LeafFcstFinish]],WorkWeek,Holidays)),0)</f>
        <v>0</v>
      </c>
      <c r="CT132" s="41" t="n">
        <f aca="false">IF(AND(Tasks[[#This Row],[_IsLeaf]]=1,Tasks[[#This Row],[_LeafWork]]&gt;0),Tasks[[#This Row],[_LeafWork]]/(Tasks[[#This Row],[_FinishWorkday]]-Tasks[[#This Row],[_StartWorkday]]+1),0)</f>
        <v>0</v>
      </c>
      <c r="CU132" s="41" t="n">
        <f aca="false">Tasks[[#This Row],[_WorkPerWorkday]]*(Tasks[[#This Row],[_StartWorkday]]-1)</f>
        <v>-0</v>
      </c>
      <c r="CV132" s="41" t="n">
        <f aca="false">IF(Tasks[[#This Row],[_IsLeaf]]=1,MAX(N(Tasks[[#This Row],[Duration]]),0.1),0)</f>
        <v>0</v>
      </c>
      <c r="CW132" s="41" t="n">
        <f aca="false">Tasks[[#This Row],[_WeightDur]]*Tasks[[#This Row],[_LeafProgress]]</f>
        <v>0</v>
      </c>
      <c r="CX1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2" s="41" t="str">
        <f aca="false">IF(Tasks[[#This Row],[Task Name]]="","",Tasks[[#This Row],[_Pred1UIDText]]&amp;IF(AND(Tasks[[#This Row],[_Pred1UIDText]]&lt;&gt;"",Tasks[[#This Row],[_Pred2UIDText]]&lt;&gt;""),",","")&amp;Tasks[[#This Row],[_Pred2UIDText]])</f>
        <v/>
      </c>
      <c r="DC132" s="41" t="str">
        <f aca="false">IF(AND(Tasks[[#This Row],[_IsLeaf]]=1,N(Tasks[[#This Row],[Duration]])=0,Tasks[[#This Row],[_LeafProgress]]&lt;1),Tasks[[#This Row],[_LeafFcstFinish]]+Tasks[[#This Row],[_Row]]/100000,"")</f>
        <v/>
      </c>
      <c r="DD1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2" s="41" t="n">
        <f aca="false">IF(NOT(Tasks[[#This Row],[_IsLeaf]]=1),0,IF(Tasks[[#This Row],[Baseline Cost]]="",Tasks[[#This Row],[_LeafCost]],N(Tasks[[#This Row],[Baseline Cost]])))</f>
        <v>0</v>
      </c>
      <c r="DF132" s="41" t="n">
        <f aca="false">Tasks[[#This Row],[_LeafBudget]]*Tasks[[#This Row],[_PlannedPct]]</f>
        <v>0</v>
      </c>
      <c r="DG132" s="41" t="n">
        <f aca="false">Tasks[[#This Row],[_LeafBudget]]*Tasks[[#This Row],[_LeafProgress]]</f>
        <v>0</v>
      </c>
      <c r="DH132" s="41" t="n">
        <f aca="false">IF(NOT(Tasks[[#This Row],[_IsLeaf]]=1),0,IF(Tasks[[#This Row],[Actual Cost]]="",Tasks[[#This Row],[_LeafCost]]*Tasks[[#This Row],[_LeafProgress]],N(Tasks[[#This Row],[Actual Cost]])))</f>
        <v>0</v>
      </c>
      <c r="DI132" s="41" t="str">
        <f aca="false">IF(Tasks[[#This Row],[Task Name]]="","",LEFT(Tasks[[#This Row],[WBS]],FIND(".",Tasks[[#This Row],[WBS]]&amp;".")-1))</f>
        <v/>
      </c>
      <c r="DJ132" s="41" t="str">
        <f aca="false">IF(AND(Tasks[[#This Row],[Task Name]]&lt;&gt;"",Tasks[[#This Row],[_Level]]=1),Tasks[[#This Row],[_Row]],"")</f>
        <v/>
      </c>
      <c r="DK132" s="41" t="str">
        <f aca="false">IF(AND(Tasks[[#This Row],[_IsLeaf]]=1,N(Tasks[[#This Row],[Duration]])=0),Tasks[[#This Row],[Planned Finish]]+Tasks[[#This Row],[_Row]]/100000,"")</f>
        <v/>
      </c>
      <c r="DL132" s="41" t="str">
        <f aca="false">IF(AND(Tasks[[#This Row],[_IsLeaf]]=1,Tasks[[#This Row],[_LeafProgress]]&lt;1,OR(N(Tasks[[#This Row],[Finish Var]])&gt;0,Tasks[[#This Row],[Status]]="Late Start")),MAX(0,Tasks[[#This Row],[Finish Var]])+1-Tasks[[#This Row],[_Row]]/1000000,"")</f>
        <v/>
      </c>
      <c r="DM132" s="41" t="str">
        <f aca="false">IF(AND(Tasks[[#This Row],[_IsLeaf]]=1,N(Tasks[[#This Row],[Actual Start]])=0,Tasks[[#This Row],[_LeafFcstStart]]&gt;=StatusDate,Tasks[[#This Row],[_LeafFcstStart]]&lt;=LookaheadEnd),Tasks[[#This Row],[_LeafFcstStart]]+Tasks[[#This Row],[_Row]]/100000,"")</f>
        <v/>
      </c>
      <c r="DN132" s="41" t="str">
        <f aca="false">IF(AND(Tasks[[#This Row],[_IsLeaf]]=1,Tasks[[#This Row],[_LeafProgress]]&lt;1,Tasks[[#This Row],[_LeafFcstFinish]]&gt;=StatusDate,Tasks[[#This Row],[_LeafFcstFinish]]&lt;=LookaheadEnd),Tasks[[#This Row],[_LeafFcstFinish]]+Tasks[[#This Row],[_Row]]/100000,"")</f>
        <v/>
      </c>
      <c r="DO132" s="41" t="str">
        <f aca="false">IF(Tasks[[#This Row],[_LeafCritical]],Tasks[[#This Row],[_LeafFcstStart]]+Tasks[[#This Row],[_Row]]/100000,"")</f>
        <v/>
      </c>
      <c r="DP132" s="41" t="n">
        <f aca="false">Tasks[[#This Row],[_LeafWork]]*Tasks[[#This Row],[_LeafProgress]]</f>
        <v>0</v>
      </c>
      <c r="DQ132" s="103" t="str">
        <f aca="false">IF(AND(Tasks[[#This Row],[_IsLeaf]]=1,Tasks[[#This Row],[_LeafProgress]]&gt;=1),IF(N(Tasks[[#This Row],[Actual Finish]])&gt;0,Tasks[[#This Row],[Actual Finish]],Tasks[[#This Row],[_LeafFcstFinish]]),"")</f>
        <v/>
      </c>
      <c r="DR132" s="41" t="n">
        <f aca="false">IF(Tasks[[#This Row],[_IsLeaf]]=1,N(Tasks[[#This Row],[Story Points]]),0)</f>
        <v>0</v>
      </c>
      <c r="DS132" s="41" t="str">
        <f aca="false">IF(AND(Tasks[[#This Row],[_IsLeaf]]=1,CurrentSprint&lt;&gt;"",Tasks[[#This Row],[Sprint]]=CurrentSprint),Tasks[[#This Row],[_Row]],"")</f>
        <v/>
      </c>
    </row>
    <row r="133" customFormat="false" ht="15" hidden="false" customHeight="false" outlineLevel="0" collapsed="false">
      <c r="A133" s="28" t="str">
        <f aca="false">IF(Tasks[[#This Row],[Task Name]]="","",COUNTA(Tasks[[#Headers],[Task Name]]:Tasks[[#This Row],[Task Name]])-1)</f>
        <v/>
      </c>
      <c r="B133" s="29" t="n">
        <v>128</v>
      </c>
      <c r="C1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29"/>
      <c r="E133" s="30"/>
      <c r="F133" s="29"/>
      <c r="G133" s="29"/>
      <c r="H133" s="29"/>
      <c r="I133" s="29"/>
      <c r="J133" s="29"/>
      <c r="K133" s="29"/>
      <c r="L133" s="29"/>
      <c r="M133" s="29"/>
      <c r="N133" s="77"/>
      <c r="O133" s="77"/>
      <c r="P133" s="25" t="str">
        <f aca="false">IF(Tasks[[#This Row],[Task Name]]="","",IF(N(Tasks[[#This Row],[Baseline Start]])&gt;0,Tasks[[#This Row],[Baseline Start]],Tasks[[#This Row],[_CalcStart]]))</f>
        <v/>
      </c>
      <c r="Q133" s="25" t="str">
        <f aca="false">IF(Tasks[[#This Row],[Task Name]]="","",IF(N(Tasks[[#This Row],[Baseline Finish]])&gt;0,Tasks[[#This Row],[Baseline Finish]],Tasks[[#This Row],[_CalcFinish]]))</f>
        <v/>
      </c>
      <c r="R133" s="77"/>
      <c r="S133" s="77"/>
      <c r="T133" s="25" t="str">
        <f aca="false">IF(Tasks[[#This Row],[Task Name]]="","",IF(Tasks[[#This Row],[_IsSummary]],MIN(INDEX(Tasks[_LeafFcstStart],Tasks[[#This Row],[_Row]]+1):INDEX(Tasks[_LeafFcstStart],Tasks[[#This Row],[_Row]]+Tasks[[#This Row],[_Descendants]])),Tasks[[#This Row],[_LeafFcstStart]]))</f>
        <v/>
      </c>
      <c r="U133" s="25" t="str">
        <f aca="false">IF(Tasks[[#This Row],[Task Name]]="","",IF(Tasks[[#This Row],[_IsSummary]],MAX(INDEX(Tasks[_LeafFcstFinish],Tasks[[#This Row],[_Row]]+1):INDEX(Tasks[_LeafFcstFinish],Tasks[[#This Row],[_Row]]+Tasks[[#This Row],[_Descendants]])),Tasks[[#This Row],[_LeafFcstFinish]]))</f>
        <v/>
      </c>
      <c r="V13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3" s="25" t="str">
        <f aca="false">IF(Tasks[[#This Row],[Task Name]]="","",IF(Tasks[[#This Row],[_IsSummary]],MIN(INDEX(Tasks[_LeafLateStart],Tasks[[#This Row],[_Row]]+1):INDEX(Tasks[_LeafLateStart],Tasks[[#This Row],[_Row]]+Tasks[[#This Row],[_Descendants]])),Tasks[[#This Row],[_LeafLateStart]]))</f>
        <v/>
      </c>
      <c r="Y133" s="25" t="str">
        <f aca="false">IF(Tasks[[#This Row],[Task Name]]="","",IF(Tasks[[#This Row],[_IsSummary]],MAX(INDEX(Tasks[_LeafLateFinish],Tasks[[#This Row],[_Row]]+1):INDEX(Tasks[_LeafLateFinish],Tasks[[#This Row],[_Row]]+Tasks[[#This Row],[_Descendants]])),Tasks[[#This Row],[_LeafLateFinish]]))</f>
        <v/>
      </c>
      <c r="Z133" s="43" t="str">
        <f aca="false">IF(Tasks[[#This Row],[Task Name]]="","",IF(Tasks[[#This Row],[_IsSummary]],MIN(INDEX(Tasks[_LeafTotalSlack],Tasks[[#This Row],[_Row]]+1):INDEX(Tasks[_LeafTotalSlack],Tasks[[#This Row],[_Row]]+Tasks[[#This Row],[_Descendants]])),Tasks[[#This Row],[_LeafTotalSlack]]))</f>
        <v/>
      </c>
      <c r="AA1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3" s="28" t="str">
        <f aca="false">IF(Tasks[[#This Row],[Task Name]]="","",IF(IF(Tasks[[#This Row],[_IsSummary]],COUNTIF(INDEX(Tasks[_LeafCritical],Tasks[[#This Row],[_Row]]+1):INDEX(Tasks[_LeafCritical],Tasks[[#This Row],[_Row]]+Tasks[[#This Row],[_Descendants]]),TRUE())&gt;0,Tasks[[#This Row],[_LeafCritical]]),"Yes",""))</f>
        <v/>
      </c>
      <c r="AC1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3" s="24" t="str">
        <f aca="false">IF(Tasks[[#This Row],[Task Name]]="","",TRIM(IF(Tasks[[#This Row],[_Pred1Problem]]&lt;&gt;"","Pred 1: "&amp;Tasks[[#This Row],[_Pred1Problem]]&amp;". ","")&amp;IF(Tasks[[#This Row],[_Pred2Problem]]&lt;&gt;"","Pred 2: "&amp;Tasks[[#This Row],[_Pred2Problem]]&amp;".","")))</f>
        <v/>
      </c>
      <c r="AE133" s="91"/>
      <c r="AF13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3" s="28" t="str">
        <f aca="false">IF(Tasks[[#This Row],[Task Name]]="","",IF(Tasks[[#This Row],[Progress]]&gt;=1,"Complete",IF(OR(N(Tasks[[#This Row],[Actual Start]])&gt;0,Tasks[[#This Row],[Progress]]&gt;0),IF(Tasks[[#This Row],[Finish Var]]&gt;0,"Behind","In Progress"),IF(Tasks[[#This Row],[Planned Start]]&lt;StatusDate,"Late Start","Not Started"))))</f>
        <v/>
      </c>
      <c r="AH133" s="30"/>
      <c r="AI133" s="91"/>
      <c r="AJ13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3" s="98" t="str">
        <f aca="false">IF(Tasks[[#This Row],[Task Name]]="","",IF(Tasks[[#This Row],[_IsSummary]],SUM(INDEX(Tasks[_LeafWork],Tasks[[#This Row],[_Row]]+1):INDEX(Tasks[_LeafWork],Tasks[[#This Row],[_Row]]+Tasks[[#This Row],[_Descendants]])),Tasks[[#This Row],[_LeafWork]]))</f>
        <v/>
      </c>
      <c r="AL133" s="99" t="str">
        <f aca="false">IF(Tasks[[#This Row],[Task Name]]="","",IF(Tasks[[#This Row],[_IsSummary]],SUM(INDEX(Tasks[_LeafCost],Tasks[[#This Row],[_Row]]+1):INDEX(Tasks[_LeafCost],Tasks[[#This Row],[_Row]]+Tasks[[#This Row],[_Descendants]])),Tasks[[#This Row],[_LeafCost]]))</f>
        <v/>
      </c>
      <c r="AM133" s="100"/>
      <c r="AN133" s="29"/>
      <c r="AO1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3" s="85"/>
      <c r="AQ133" s="24" t="str">
        <f aca="false">IF(Tasks[[#This Row],[Task Name]]="","",Tasks[[#This Row],[_Pred1IDText]]&amp;IF(AND(Tasks[[#This Row],[_Pred1IDText]]&lt;&gt;"",Tasks[[#This Row],[_Pred2IDText]]&lt;&gt;""),",","")&amp;Tasks[[#This Row],[_Pred2IDText]])</f>
        <v/>
      </c>
      <c r="AR133" s="30"/>
      <c r="AS133" s="25" t="str">
        <f aca="false">IF(Tasks[[#This Row],[Task Name]]="","",Tasks[[#This Row],[Forecast Start]])</f>
        <v/>
      </c>
      <c r="AT133" s="25" t="str">
        <f aca="false">IF(Tasks[[#This Row],[Task Name]]="","",Tasks[[#This Row],[Forecast Finish]])</f>
        <v/>
      </c>
      <c r="AU133" s="28" t="str">
        <f aca="false">IF(Tasks[[#This Row],[Task Name]]="","",IF(Tasks[[#This Row],[_IsSummary]],NETWORKDAYS.INTL(Tasks[[#This Row],[Forecast Start]],Tasks[[#This Row],[Forecast Finish]],WorkWeek,Holidays),N(Tasks[[#This Row],[Duration]])))</f>
        <v/>
      </c>
      <c r="AV133" s="98" t="str">
        <f aca="false">IF(Tasks[[#This Row],[Task Name]]="","",Tasks[[#This Row],[Work]])</f>
        <v/>
      </c>
      <c r="AW133" s="99" t="str">
        <f aca="false">IF(Tasks[[#This Row],[Task Name]]="","",Tasks[[#This Row],[Cost]])</f>
        <v/>
      </c>
      <c r="AX133" s="77"/>
      <c r="AY133" s="77"/>
      <c r="AZ133" s="29"/>
      <c r="BA133" s="101"/>
      <c r="BB133" s="100"/>
      <c r="BC133" s="28" t="str">
        <f aca="false">IF(OR(Tasks[[#This Row],[Task Name]]="",Tasks[[#This Row],[Baseline Duration]]=""),"",Tasks[[#This Row],[BL Source Duration]]-N(Tasks[[#This Row],[Baseline Duration]]))</f>
        <v/>
      </c>
      <c r="BD133" s="98" t="str">
        <f aca="false">IF(OR(Tasks[[#This Row],[Task Name]]="",Tasks[[#This Row],[Baseline Work]]=""),"",Tasks[[#This Row],[Work]]-N(Tasks[[#This Row],[Baseline Work]]))</f>
        <v/>
      </c>
      <c r="BE133" s="99" t="str">
        <f aca="false">IF(OR(Tasks[[#This Row],[Task Name]]="",Tasks[[#This Row],[Baseline Cost]]=""),"",Tasks[[#This Row],[Cost]]-N(Tasks[[#This Row],[Baseline Cost]]))</f>
        <v/>
      </c>
      <c r="BF133" s="99" t="str">
        <f aca="false">IF(Tasks[[#This Row],[Task Name]]="","",IF(Tasks[[#This Row],[_IsSummary]],SUM(INDEX(Tasks[_LeafBudget],Tasks[[#This Row],[_Row]]+1):INDEX(Tasks[_LeafBudget],Tasks[[#This Row],[_Row]]+Tasks[[#This Row],[_Descendants]])),Tasks[[#This Row],[_LeafBudget]]))</f>
        <v/>
      </c>
      <c r="BG133" s="99" t="str">
        <f aca="false">IF(Tasks[[#This Row],[Task Name]]="","",IF(Tasks[[#This Row],[_IsSummary]],SUM(INDEX(Tasks[_LeafPV],Tasks[[#This Row],[_Row]]+1):INDEX(Tasks[_LeafPV],Tasks[[#This Row],[_Row]]+Tasks[[#This Row],[_Descendants]])),Tasks[[#This Row],[_LeafPV]]))</f>
        <v/>
      </c>
      <c r="BH133" s="99" t="str">
        <f aca="false">IF(Tasks[[#This Row],[Task Name]]="","",IF(Tasks[[#This Row],[_IsSummary]],SUM(INDEX(Tasks[_LeafEV],Tasks[[#This Row],[_Row]]+1):INDEX(Tasks[_LeafEV],Tasks[[#This Row],[_Row]]+Tasks[[#This Row],[_Descendants]])),Tasks[[#This Row],[_LeafEV]]))</f>
        <v/>
      </c>
      <c r="BI133" s="99" t="str">
        <f aca="false">IF(Tasks[[#This Row],[Task Name]]="","",IF(Tasks[[#This Row],[_IsSummary]],SUM(INDEX(Tasks[_LeafAC],Tasks[[#This Row],[_Row]]+1):INDEX(Tasks[_LeafAC],Tasks[[#This Row],[_Row]]+Tasks[[#This Row],[_Descendants]])),Tasks[[#This Row],[_LeafAC]]))</f>
        <v/>
      </c>
      <c r="BJ133" s="41" t="str">
        <f aca="false">IF(Tasks[[#This Row],[Task Name]]="","",MAX(1,N(Tasks[[#This Row],[Level]])))</f>
        <v/>
      </c>
      <c r="BK133" s="41" t="n">
        <f aca="false">ROW()-ROW(Tasks[[#Headers],[ID]])</f>
        <v>128</v>
      </c>
      <c r="BL133" s="41" t="n">
        <f aca="false">IF(OR(Tasks[[#This Row],[Task Name]]="",Tasks[[#This Row],[_Level]]&lt;=1),0,IFERROR(LOOKUP(2,1/(Tasks[[#Headers],[_Level]]:Tasks[[#This Row],[_Level]]=Tasks[[#This Row],[_Level]]-1),ROW(Tasks[[#Headers],[_Level]]:Tasks[[#This Row],[_Level]])),0))</f>
        <v>0</v>
      </c>
      <c r="BM133" s="41" t="n">
        <f aca="false">IFERROR(N(INDEX(Tasks[_Level],Tasks[[#This Row],[_Row]]+1)),0)</f>
        <v>0</v>
      </c>
      <c r="BN133" s="102" t="b">
        <f aca="false">AND(Tasks[[#This Row],[Task Name]]&lt;&gt;"",Tasks[[#This Row],[_NextLevel]]&gt;Tasks[[#This Row],[_Level]])</f>
        <v>0</v>
      </c>
      <c r="BO133" s="41" t="n">
        <f aca="false">IF(Tasks[[#This Row],[_IsSummary]],COUNTIF(Tasks[WBS],Tasks[[#This Row],[WBS]]&amp;".*"),0)</f>
        <v>0</v>
      </c>
      <c r="BP133" s="41" t="n">
        <f aca="false">IF(AND(Tasks[[#This Row],[Task Name]]&lt;&gt;"",NOT(Tasks[[#This Row],[_IsSummary]])),1,0)</f>
        <v>0</v>
      </c>
      <c r="BQ133" s="41" t="n">
        <f aca="false">IF(N(Tasks[[#This Row],[Pred1 UID]])=0,0,IFERROR(MATCH(Tasks[[#This Row],[Pred1 UID]],Tasks[UID],0),-1))</f>
        <v>0</v>
      </c>
      <c r="BR133" s="41" t="n">
        <f aca="false">IF(N(Tasks[[#This Row],[Pred2 UID]])=0,0,IFERROR(MATCH(Tasks[[#This Row],[Pred2 UID]],Tasks[UID],0),-1))</f>
        <v>0</v>
      </c>
      <c r="BS13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3" s="103" t="str">
        <f aca="false">IF(NOT(Tasks[[#This Row],[_IsLeaf]]=1),"",IF(N(Tasks[[#This Row],[Duration]])&lt;=0,Tasks[[#This Row],[_LeafCalcStart]],WORKDAY.INTL(Tasks[[#This Row],[_LeafCalcStart]],Tasks[[#This Row],[Duration]]-1,WorkWeek,Holidays)))</f>
        <v/>
      </c>
      <c r="BU13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3" s="41" t="n">
        <f aca="false">IF(NOT(Tasks[[#This Row],[_IsLeaf]]=1),0,IF(N(Tasks[[#This Row],[Actual Finish]])&gt;0,1,MIN(1,N(Tasks[[#This Row],[% Complete]]))))</f>
        <v>0</v>
      </c>
      <c r="BX133" s="41" t="n">
        <f aca="false">IF(OR(NOT(Tasks[[#This Row],[_IsLeaf]]=1),Tasks[[#This Row],[Resource]]=""),0,N(Tasks[[#This Row],[Duration]])*HoursPerDay*IF(Tasks[[#This Row],[Units]]="",DefaultUnits,Tasks[[#This Row],[Units]]))</f>
        <v>0</v>
      </c>
      <c r="BY133" s="41" t="n">
        <f aca="false">IF(Tasks[[#This Row],[_LeafWork]]=0,0,Tasks[[#This Row],[_LeafWork]]*IFERROR(INDEX(res_Rate,MATCH(Tasks[[#This Row],[Resource]],res_Name,0)),0))</f>
        <v>0</v>
      </c>
      <c r="BZ1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3" s="41" t="n">
        <f aca="false">IF(NOT(Tasks[[#This Row],[_IsLeaf]]=1),0,MAX(_xlfn.MAXIFS(Tasks[_Row],Tasks[Pred1 UID],Tasks[[#This Row],[UID]]),_xlfn.MAXIFS(Tasks[_Row],Tasks[Pred2 UID],Tasks[[#This Row],[UID]])))</f>
        <v>0</v>
      </c>
      <c r="CE13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3" s="103" t="str">
        <f aca="false">IF(NOT(Tasks[[#This Row],[_IsLeaf]]=1),"",MIN(ProjectFinish,IF(N(Tasks[[#This Row],[Deadline]])&gt;0,Tasks[[#This Row],[Deadline]],2958465),Tasks[[#This Row],[_SuccessorFinishLimit]]))</f>
        <v/>
      </c>
      <c r="CG133" s="103" t="str">
        <f aca="false">IF(NOT(Tasks[[#This Row],[_IsLeaf]]=1),"",IF(N(Tasks[[#This Row],[Duration]])&lt;=0,Tasks[[#This Row],[_LeafLateFinish]],WORKDAY.INTL(Tasks[[#This Row],[_LeafLateFinish]],-(Tasks[[#This Row],[Duration]]-1),WorkWeek,Holidays)))</f>
        <v/>
      </c>
      <c r="CH1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3" s="102" t="b">
        <f aca="false">AND(Tasks[[#This Row],[_IsLeaf]]=1,Tasks[[#This Row],[_LeafProgress]]&lt;1,N(Tasks[[#This Row],[_LeafTotalSlack]])&lt;=CriticalSlackDays)</f>
        <v>0</v>
      </c>
      <c r="CJ133" s="103" t="str">
        <f aca="false">IF(Tasks[[#This Row],[Task Name]]="","",IF(Tasks[[#This Row],[_IsSummary]],MIN(INDEX(Tasks[_LeafCalcStart],Tasks[[#This Row],[_Row]]+1):INDEX(Tasks[_LeafCalcStart],Tasks[[#This Row],[_Row]]+Tasks[[#This Row],[_Descendants]])),Tasks[[#This Row],[_LeafCalcStart]]))</f>
        <v/>
      </c>
      <c r="CK133" s="103" t="str">
        <f aca="false">IF(Tasks[[#This Row],[Task Name]]="","",IF(Tasks[[#This Row],[_IsSummary]],MAX(INDEX(Tasks[_LeafCalcFinish],Tasks[[#This Row],[_Row]]+1):INDEX(Tasks[_LeafCalcFinish],Tasks[[#This Row],[_Row]]+Tasks[[#This Row],[_Descendants]])),Tasks[[#This Row],[_LeafCalcFinish]]))</f>
        <v/>
      </c>
      <c r="CL1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3" s="41" t="n">
        <f aca="false">IF(AND(Tasks[[#This Row],[_IsLeaf]]=1,Tasks[[#This Row],[_LeafWork]]&gt;0),NETWORKDAYS.INTL(ProjectStart,Tasks[[#This Row],[_LeafFcstStart]],WorkWeek,Holidays),0)</f>
        <v>0</v>
      </c>
      <c r="CS133" s="41" t="n">
        <f aca="false">IF(AND(Tasks[[#This Row],[_IsLeaf]]=1,Tasks[[#This Row],[_LeafWork]]&gt;0),MAX(Tasks[[#This Row],[_StartWorkday]],NETWORKDAYS.INTL(ProjectStart,Tasks[[#This Row],[_LeafFcstFinish]],WorkWeek,Holidays)),0)</f>
        <v>0</v>
      </c>
      <c r="CT133" s="41" t="n">
        <f aca="false">IF(AND(Tasks[[#This Row],[_IsLeaf]]=1,Tasks[[#This Row],[_LeafWork]]&gt;0),Tasks[[#This Row],[_LeafWork]]/(Tasks[[#This Row],[_FinishWorkday]]-Tasks[[#This Row],[_StartWorkday]]+1),0)</f>
        <v>0</v>
      </c>
      <c r="CU133" s="41" t="n">
        <f aca="false">Tasks[[#This Row],[_WorkPerWorkday]]*(Tasks[[#This Row],[_StartWorkday]]-1)</f>
        <v>-0</v>
      </c>
      <c r="CV133" s="41" t="n">
        <f aca="false">IF(Tasks[[#This Row],[_IsLeaf]]=1,MAX(N(Tasks[[#This Row],[Duration]]),0.1),0)</f>
        <v>0</v>
      </c>
      <c r="CW133" s="41" t="n">
        <f aca="false">Tasks[[#This Row],[_WeightDur]]*Tasks[[#This Row],[_LeafProgress]]</f>
        <v>0</v>
      </c>
      <c r="CX1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3" s="41" t="str">
        <f aca="false">IF(Tasks[[#This Row],[Task Name]]="","",Tasks[[#This Row],[_Pred1UIDText]]&amp;IF(AND(Tasks[[#This Row],[_Pred1UIDText]]&lt;&gt;"",Tasks[[#This Row],[_Pred2UIDText]]&lt;&gt;""),",","")&amp;Tasks[[#This Row],[_Pred2UIDText]])</f>
        <v/>
      </c>
      <c r="DC133" s="41" t="str">
        <f aca="false">IF(AND(Tasks[[#This Row],[_IsLeaf]]=1,N(Tasks[[#This Row],[Duration]])=0,Tasks[[#This Row],[_LeafProgress]]&lt;1),Tasks[[#This Row],[_LeafFcstFinish]]+Tasks[[#This Row],[_Row]]/100000,"")</f>
        <v/>
      </c>
      <c r="DD1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3" s="41" t="n">
        <f aca="false">IF(NOT(Tasks[[#This Row],[_IsLeaf]]=1),0,IF(Tasks[[#This Row],[Baseline Cost]]="",Tasks[[#This Row],[_LeafCost]],N(Tasks[[#This Row],[Baseline Cost]])))</f>
        <v>0</v>
      </c>
      <c r="DF133" s="41" t="n">
        <f aca="false">Tasks[[#This Row],[_LeafBudget]]*Tasks[[#This Row],[_PlannedPct]]</f>
        <v>0</v>
      </c>
      <c r="DG133" s="41" t="n">
        <f aca="false">Tasks[[#This Row],[_LeafBudget]]*Tasks[[#This Row],[_LeafProgress]]</f>
        <v>0</v>
      </c>
      <c r="DH133" s="41" t="n">
        <f aca="false">IF(NOT(Tasks[[#This Row],[_IsLeaf]]=1),0,IF(Tasks[[#This Row],[Actual Cost]]="",Tasks[[#This Row],[_LeafCost]]*Tasks[[#This Row],[_LeafProgress]],N(Tasks[[#This Row],[Actual Cost]])))</f>
        <v>0</v>
      </c>
      <c r="DI133" s="41" t="str">
        <f aca="false">IF(Tasks[[#This Row],[Task Name]]="","",LEFT(Tasks[[#This Row],[WBS]],FIND(".",Tasks[[#This Row],[WBS]]&amp;".")-1))</f>
        <v/>
      </c>
      <c r="DJ133" s="41" t="str">
        <f aca="false">IF(AND(Tasks[[#This Row],[Task Name]]&lt;&gt;"",Tasks[[#This Row],[_Level]]=1),Tasks[[#This Row],[_Row]],"")</f>
        <v/>
      </c>
      <c r="DK133" s="41" t="str">
        <f aca="false">IF(AND(Tasks[[#This Row],[_IsLeaf]]=1,N(Tasks[[#This Row],[Duration]])=0),Tasks[[#This Row],[Planned Finish]]+Tasks[[#This Row],[_Row]]/100000,"")</f>
        <v/>
      </c>
      <c r="DL133" s="41" t="str">
        <f aca="false">IF(AND(Tasks[[#This Row],[_IsLeaf]]=1,Tasks[[#This Row],[_LeafProgress]]&lt;1,OR(N(Tasks[[#This Row],[Finish Var]])&gt;0,Tasks[[#This Row],[Status]]="Late Start")),MAX(0,Tasks[[#This Row],[Finish Var]])+1-Tasks[[#This Row],[_Row]]/1000000,"")</f>
        <v/>
      </c>
      <c r="DM133" s="41" t="str">
        <f aca="false">IF(AND(Tasks[[#This Row],[_IsLeaf]]=1,N(Tasks[[#This Row],[Actual Start]])=0,Tasks[[#This Row],[_LeafFcstStart]]&gt;=StatusDate,Tasks[[#This Row],[_LeafFcstStart]]&lt;=LookaheadEnd),Tasks[[#This Row],[_LeafFcstStart]]+Tasks[[#This Row],[_Row]]/100000,"")</f>
        <v/>
      </c>
      <c r="DN133" s="41" t="str">
        <f aca="false">IF(AND(Tasks[[#This Row],[_IsLeaf]]=1,Tasks[[#This Row],[_LeafProgress]]&lt;1,Tasks[[#This Row],[_LeafFcstFinish]]&gt;=StatusDate,Tasks[[#This Row],[_LeafFcstFinish]]&lt;=LookaheadEnd),Tasks[[#This Row],[_LeafFcstFinish]]+Tasks[[#This Row],[_Row]]/100000,"")</f>
        <v/>
      </c>
      <c r="DO133" s="41" t="str">
        <f aca="false">IF(Tasks[[#This Row],[_LeafCritical]],Tasks[[#This Row],[_LeafFcstStart]]+Tasks[[#This Row],[_Row]]/100000,"")</f>
        <v/>
      </c>
      <c r="DP133" s="41" t="n">
        <f aca="false">Tasks[[#This Row],[_LeafWork]]*Tasks[[#This Row],[_LeafProgress]]</f>
        <v>0</v>
      </c>
      <c r="DQ133" s="103" t="str">
        <f aca="false">IF(AND(Tasks[[#This Row],[_IsLeaf]]=1,Tasks[[#This Row],[_LeafProgress]]&gt;=1),IF(N(Tasks[[#This Row],[Actual Finish]])&gt;0,Tasks[[#This Row],[Actual Finish]],Tasks[[#This Row],[_LeafFcstFinish]]),"")</f>
        <v/>
      </c>
      <c r="DR133" s="41" t="n">
        <f aca="false">IF(Tasks[[#This Row],[_IsLeaf]]=1,N(Tasks[[#This Row],[Story Points]]),0)</f>
        <v>0</v>
      </c>
      <c r="DS133" s="41" t="str">
        <f aca="false">IF(AND(Tasks[[#This Row],[_IsLeaf]]=1,CurrentSprint&lt;&gt;"",Tasks[[#This Row],[Sprint]]=CurrentSprint),Tasks[[#This Row],[_Row]],"")</f>
        <v/>
      </c>
    </row>
    <row r="134" customFormat="false" ht="15" hidden="false" customHeight="false" outlineLevel="0" collapsed="false">
      <c r="A134" s="28" t="str">
        <f aca="false">IF(Tasks[[#This Row],[Task Name]]="","",COUNTA(Tasks[[#Headers],[Task Name]]:Tasks[[#This Row],[Task Name]])-1)</f>
        <v/>
      </c>
      <c r="B134" s="29" t="n">
        <v>129</v>
      </c>
      <c r="C1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29"/>
      <c r="E134" s="30"/>
      <c r="F134" s="29"/>
      <c r="G134" s="29"/>
      <c r="H134" s="29"/>
      <c r="I134" s="29"/>
      <c r="J134" s="29"/>
      <c r="K134" s="29"/>
      <c r="L134" s="29"/>
      <c r="M134" s="29"/>
      <c r="N134" s="77"/>
      <c r="O134" s="77"/>
      <c r="P134" s="25" t="str">
        <f aca="false">IF(Tasks[[#This Row],[Task Name]]="","",IF(N(Tasks[[#This Row],[Baseline Start]])&gt;0,Tasks[[#This Row],[Baseline Start]],Tasks[[#This Row],[_CalcStart]]))</f>
        <v/>
      </c>
      <c r="Q134" s="25" t="str">
        <f aca="false">IF(Tasks[[#This Row],[Task Name]]="","",IF(N(Tasks[[#This Row],[Baseline Finish]])&gt;0,Tasks[[#This Row],[Baseline Finish]],Tasks[[#This Row],[_CalcFinish]]))</f>
        <v/>
      </c>
      <c r="R134" s="77"/>
      <c r="S134" s="77"/>
      <c r="T134" s="25" t="str">
        <f aca="false">IF(Tasks[[#This Row],[Task Name]]="","",IF(Tasks[[#This Row],[_IsSummary]],MIN(INDEX(Tasks[_LeafFcstStart],Tasks[[#This Row],[_Row]]+1):INDEX(Tasks[_LeafFcstStart],Tasks[[#This Row],[_Row]]+Tasks[[#This Row],[_Descendants]])),Tasks[[#This Row],[_LeafFcstStart]]))</f>
        <v/>
      </c>
      <c r="U134" s="25" t="str">
        <f aca="false">IF(Tasks[[#This Row],[Task Name]]="","",IF(Tasks[[#This Row],[_IsSummary]],MAX(INDEX(Tasks[_LeafFcstFinish],Tasks[[#This Row],[_Row]]+1):INDEX(Tasks[_LeafFcstFinish],Tasks[[#This Row],[_Row]]+Tasks[[#This Row],[_Descendants]])),Tasks[[#This Row],[_LeafFcstFinish]]))</f>
        <v/>
      </c>
      <c r="V13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4" s="25" t="str">
        <f aca="false">IF(Tasks[[#This Row],[Task Name]]="","",IF(Tasks[[#This Row],[_IsSummary]],MIN(INDEX(Tasks[_LeafLateStart],Tasks[[#This Row],[_Row]]+1):INDEX(Tasks[_LeafLateStart],Tasks[[#This Row],[_Row]]+Tasks[[#This Row],[_Descendants]])),Tasks[[#This Row],[_LeafLateStart]]))</f>
        <v/>
      </c>
      <c r="Y134" s="25" t="str">
        <f aca="false">IF(Tasks[[#This Row],[Task Name]]="","",IF(Tasks[[#This Row],[_IsSummary]],MAX(INDEX(Tasks[_LeafLateFinish],Tasks[[#This Row],[_Row]]+1):INDEX(Tasks[_LeafLateFinish],Tasks[[#This Row],[_Row]]+Tasks[[#This Row],[_Descendants]])),Tasks[[#This Row],[_LeafLateFinish]]))</f>
        <v/>
      </c>
      <c r="Z134" s="43" t="str">
        <f aca="false">IF(Tasks[[#This Row],[Task Name]]="","",IF(Tasks[[#This Row],[_IsSummary]],MIN(INDEX(Tasks[_LeafTotalSlack],Tasks[[#This Row],[_Row]]+1):INDEX(Tasks[_LeafTotalSlack],Tasks[[#This Row],[_Row]]+Tasks[[#This Row],[_Descendants]])),Tasks[[#This Row],[_LeafTotalSlack]]))</f>
        <v/>
      </c>
      <c r="AA1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4" s="28" t="str">
        <f aca="false">IF(Tasks[[#This Row],[Task Name]]="","",IF(IF(Tasks[[#This Row],[_IsSummary]],COUNTIF(INDEX(Tasks[_LeafCritical],Tasks[[#This Row],[_Row]]+1):INDEX(Tasks[_LeafCritical],Tasks[[#This Row],[_Row]]+Tasks[[#This Row],[_Descendants]]),TRUE())&gt;0,Tasks[[#This Row],[_LeafCritical]]),"Yes",""))</f>
        <v/>
      </c>
      <c r="AC1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4" s="24" t="str">
        <f aca="false">IF(Tasks[[#This Row],[Task Name]]="","",TRIM(IF(Tasks[[#This Row],[_Pred1Problem]]&lt;&gt;"","Pred 1: "&amp;Tasks[[#This Row],[_Pred1Problem]]&amp;". ","")&amp;IF(Tasks[[#This Row],[_Pred2Problem]]&lt;&gt;"","Pred 2: "&amp;Tasks[[#This Row],[_Pred2Problem]]&amp;".","")))</f>
        <v/>
      </c>
      <c r="AE134" s="91"/>
      <c r="AF13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4" s="28" t="str">
        <f aca="false">IF(Tasks[[#This Row],[Task Name]]="","",IF(Tasks[[#This Row],[Progress]]&gt;=1,"Complete",IF(OR(N(Tasks[[#This Row],[Actual Start]])&gt;0,Tasks[[#This Row],[Progress]]&gt;0),IF(Tasks[[#This Row],[Finish Var]]&gt;0,"Behind","In Progress"),IF(Tasks[[#This Row],[Planned Start]]&lt;StatusDate,"Late Start","Not Started"))))</f>
        <v/>
      </c>
      <c r="AH134" s="30"/>
      <c r="AI134" s="91"/>
      <c r="AJ13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4" s="98" t="str">
        <f aca="false">IF(Tasks[[#This Row],[Task Name]]="","",IF(Tasks[[#This Row],[_IsSummary]],SUM(INDEX(Tasks[_LeafWork],Tasks[[#This Row],[_Row]]+1):INDEX(Tasks[_LeafWork],Tasks[[#This Row],[_Row]]+Tasks[[#This Row],[_Descendants]])),Tasks[[#This Row],[_LeafWork]]))</f>
        <v/>
      </c>
      <c r="AL134" s="99" t="str">
        <f aca="false">IF(Tasks[[#This Row],[Task Name]]="","",IF(Tasks[[#This Row],[_IsSummary]],SUM(INDEX(Tasks[_LeafCost],Tasks[[#This Row],[_Row]]+1):INDEX(Tasks[_LeafCost],Tasks[[#This Row],[_Row]]+Tasks[[#This Row],[_Descendants]])),Tasks[[#This Row],[_LeafCost]]))</f>
        <v/>
      </c>
      <c r="AM134" s="100"/>
      <c r="AN134" s="29"/>
      <c r="AO1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4" s="85"/>
      <c r="AQ134" s="24" t="str">
        <f aca="false">IF(Tasks[[#This Row],[Task Name]]="","",Tasks[[#This Row],[_Pred1IDText]]&amp;IF(AND(Tasks[[#This Row],[_Pred1IDText]]&lt;&gt;"",Tasks[[#This Row],[_Pred2IDText]]&lt;&gt;""),",","")&amp;Tasks[[#This Row],[_Pred2IDText]])</f>
        <v/>
      </c>
      <c r="AR134" s="30"/>
      <c r="AS134" s="25" t="str">
        <f aca="false">IF(Tasks[[#This Row],[Task Name]]="","",Tasks[[#This Row],[Forecast Start]])</f>
        <v/>
      </c>
      <c r="AT134" s="25" t="str">
        <f aca="false">IF(Tasks[[#This Row],[Task Name]]="","",Tasks[[#This Row],[Forecast Finish]])</f>
        <v/>
      </c>
      <c r="AU134" s="28" t="str">
        <f aca="false">IF(Tasks[[#This Row],[Task Name]]="","",IF(Tasks[[#This Row],[_IsSummary]],NETWORKDAYS.INTL(Tasks[[#This Row],[Forecast Start]],Tasks[[#This Row],[Forecast Finish]],WorkWeek,Holidays),N(Tasks[[#This Row],[Duration]])))</f>
        <v/>
      </c>
      <c r="AV134" s="98" t="str">
        <f aca="false">IF(Tasks[[#This Row],[Task Name]]="","",Tasks[[#This Row],[Work]])</f>
        <v/>
      </c>
      <c r="AW134" s="99" t="str">
        <f aca="false">IF(Tasks[[#This Row],[Task Name]]="","",Tasks[[#This Row],[Cost]])</f>
        <v/>
      </c>
      <c r="AX134" s="77"/>
      <c r="AY134" s="77"/>
      <c r="AZ134" s="29"/>
      <c r="BA134" s="101"/>
      <c r="BB134" s="100"/>
      <c r="BC134" s="28" t="str">
        <f aca="false">IF(OR(Tasks[[#This Row],[Task Name]]="",Tasks[[#This Row],[Baseline Duration]]=""),"",Tasks[[#This Row],[BL Source Duration]]-N(Tasks[[#This Row],[Baseline Duration]]))</f>
        <v/>
      </c>
      <c r="BD134" s="98" t="str">
        <f aca="false">IF(OR(Tasks[[#This Row],[Task Name]]="",Tasks[[#This Row],[Baseline Work]]=""),"",Tasks[[#This Row],[Work]]-N(Tasks[[#This Row],[Baseline Work]]))</f>
        <v/>
      </c>
      <c r="BE134" s="99" t="str">
        <f aca="false">IF(OR(Tasks[[#This Row],[Task Name]]="",Tasks[[#This Row],[Baseline Cost]]=""),"",Tasks[[#This Row],[Cost]]-N(Tasks[[#This Row],[Baseline Cost]]))</f>
        <v/>
      </c>
      <c r="BF134" s="99" t="str">
        <f aca="false">IF(Tasks[[#This Row],[Task Name]]="","",IF(Tasks[[#This Row],[_IsSummary]],SUM(INDEX(Tasks[_LeafBudget],Tasks[[#This Row],[_Row]]+1):INDEX(Tasks[_LeafBudget],Tasks[[#This Row],[_Row]]+Tasks[[#This Row],[_Descendants]])),Tasks[[#This Row],[_LeafBudget]]))</f>
        <v/>
      </c>
      <c r="BG134" s="99" t="str">
        <f aca="false">IF(Tasks[[#This Row],[Task Name]]="","",IF(Tasks[[#This Row],[_IsSummary]],SUM(INDEX(Tasks[_LeafPV],Tasks[[#This Row],[_Row]]+1):INDEX(Tasks[_LeafPV],Tasks[[#This Row],[_Row]]+Tasks[[#This Row],[_Descendants]])),Tasks[[#This Row],[_LeafPV]]))</f>
        <v/>
      </c>
      <c r="BH134" s="99" t="str">
        <f aca="false">IF(Tasks[[#This Row],[Task Name]]="","",IF(Tasks[[#This Row],[_IsSummary]],SUM(INDEX(Tasks[_LeafEV],Tasks[[#This Row],[_Row]]+1):INDEX(Tasks[_LeafEV],Tasks[[#This Row],[_Row]]+Tasks[[#This Row],[_Descendants]])),Tasks[[#This Row],[_LeafEV]]))</f>
        <v/>
      </c>
      <c r="BI134" s="99" t="str">
        <f aca="false">IF(Tasks[[#This Row],[Task Name]]="","",IF(Tasks[[#This Row],[_IsSummary]],SUM(INDEX(Tasks[_LeafAC],Tasks[[#This Row],[_Row]]+1):INDEX(Tasks[_LeafAC],Tasks[[#This Row],[_Row]]+Tasks[[#This Row],[_Descendants]])),Tasks[[#This Row],[_LeafAC]]))</f>
        <v/>
      </c>
      <c r="BJ134" s="41" t="str">
        <f aca="false">IF(Tasks[[#This Row],[Task Name]]="","",MAX(1,N(Tasks[[#This Row],[Level]])))</f>
        <v/>
      </c>
      <c r="BK134" s="41" t="n">
        <f aca="false">ROW()-ROW(Tasks[[#Headers],[ID]])</f>
        <v>129</v>
      </c>
      <c r="BL134" s="41" t="n">
        <f aca="false">IF(OR(Tasks[[#This Row],[Task Name]]="",Tasks[[#This Row],[_Level]]&lt;=1),0,IFERROR(LOOKUP(2,1/(Tasks[[#Headers],[_Level]]:Tasks[[#This Row],[_Level]]=Tasks[[#This Row],[_Level]]-1),ROW(Tasks[[#Headers],[_Level]]:Tasks[[#This Row],[_Level]])),0))</f>
        <v>0</v>
      </c>
      <c r="BM134" s="41" t="n">
        <f aca="false">IFERROR(N(INDEX(Tasks[_Level],Tasks[[#This Row],[_Row]]+1)),0)</f>
        <v>0</v>
      </c>
      <c r="BN134" s="102" t="b">
        <f aca="false">AND(Tasks[[#This Row],[Task Name]]&lt;&gt;"",Tasks[[#This Row],[_NextLevel]]&gt;Tasks[[#This Row],[_Level]])</f>
        <v>0</v>
      </c>
      <c r="BO134" s="41" t="n">
        <f aca="false">IF(Tasks[[#This Row],[_IsSummary]],COUNTIF(Tasks[WBS],Tasks[[#This Row],[WBS]]&amp;".*"),0)</f>
        <v>0</v>
      </c>
      <c r="BP134" s="41" t="n">
        <f aca="false">IF(AND(Tasks[[#This Row],[Task Name]]&lt;&gt;"",NOT(Tasks[[#This Row],[_IsSummary]])),1,0)</f>
        <v>0</v>
      </c>
      <c r="BQ134" s="41" t="n">
        <f aca="false">IF(N(Tasks[[#This Row],[Pred1 UID]])=0,0,IFERROR(MATCH(Tasks[[#This Row],[Pred1 UID]],Tasks[UID],0),-1))</f>
        <v>0</v>
      </c>
      <c r="BR134" s="41" t="n">
        <f aca="false">IF(N(Tasks[[#This Row],[Pred2 UID]])=0,0,IFERROR(MATCH(Tasks[[#This Row],[Pred2 UID]],Tasks[UID],0),-1))</f>
        <v>0</v>
      </c>
      <c r="BS13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4" s="103" t="str">
        <f aca="false">IF(NOT(Tasks[[#This Row],[_IsLeaf]]=1),"",IF(N(Tasks[[#This Row],[Duration]])&lt;=0,Tasks[[#This Row],[_LeafCalcStart]],WORKDAY.INTL(Tasks[[#This Row],[_LeafCalcStart]],Tasks[[#This Row],[Duration]]-1,WorkWeek,Holidays)))</f>
        <v/>
      </c>
      <c r="BU13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4" s="41" t="n">
        <f aca="false">IF(NOT(Tasks[[#This Row],[_IsLeaf]]=1),0,IF(N(Tasks[[#This Row],[Actual Finish]])&gt;0,1,MIN(1,N(Tasks[[#This Row],[% Complete]]))))</f>
        <v>0</v>
      </c>
      <c r="BX134" s="41" t="n">
        <f aca="false">IF(OR(NOT(Tasks[[#This Row],[_IsLeaf]]=1),Tasks[[#This Row],[Resource]]=""),0,N(Tasks[[#This Row],[Duration]])*HoursPerDay*IF(Tasks[[#This Row],[Units]]="",DefaultUnits,Tasks[[#This Row],[Units]]))</f>
        <v>0</v>
      </c>
      <c r="BY134" s="41" t="n">
        <f aca="false">IF(Tasks[[#This Row],[_LeafWork]]=0,0,Tasks[[#This Row],[_LeafWork]]*IFERROR(INDEX(res_Rate,MATCH(Tasks[[#This Row],[Resource]],res_Name,0)),0))</f>
        <v>0</v>
      </c>
      <c r="BZ1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4" s="41" t="n">
        <f aca="false">IF(NOT(Tasks[[#This Row],[_IsLeaf]]=1),0,MAX(_xlfn.MAXIFS(Tasks[_Row],Tasks[Pred1 UID],Tasks[[#This Row],[UID]]),_xlfn.MAXIFS(Tasks[_Row],Tasks[Pred2 UID],Tasks[[#This Row],[UID]])))</f>
        <v>0</v>
      </c>
      <c r="CE13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4" s="103" t="str">
        <f aca="false">IF(NOT(Tasks[[#This Row],[_IsLeaf]]=1),"",MIN(ProjectFinish,IF(N(Tasks[[#This Row],[Deadline]])&gt;0,Tasks[[#This Row],[Deadline]],2958465),Tasks[[#This Row],[_SuccessorFinishLimit]]))</f>
        <v/>
      </c>
      <c r="CG134" s="103" t="str">
        <f aca="false">IF(NOT(Tasks[[#This Row],[_IsLeaf]]=1),"",IF(N(Tasks[[#This Row],[Duration]])&lt;=0,Tasks[[#This Row],[_LeafLateFinish]],WORKDAY.INTL(Tasks[[#This Row],[_LeafLateFinish]],-(Tasks[[#This Row],[Duration]]-1),WorkWeek,Holidays)))</f>
        <v/>
      </c>
      <c r="CH1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4" s="102" t="b">
        <f aca="false">AND(Tasks[[#This Row],[_IsLeaf]]=1,Tasks[[#This Row],[_LeafProgress]]&lt;1,N(Tasks[[#This Row],[_LeafTotalSlack]])&lt;=CriticalSlackDays)</f>
        <v>0</v>
      </c>
      <c r="CJ134" s="103" t="str">
        <f aca="false">IF(Tasks[[#This Row],[Task Name]]="","",IF(Tasks[[#This Row],[_IsSummary]],MIN(INDEX(Tasks[_LeafCalcStart],Tasks[[#This Row],[_Row]]+1):INDEX(Tasks[_LeafCalcStart],Tasks[[#This Row],[_Row]]+Tasks[[#This Row],[_Descendants]])),Tasks[[#This Row],[_LeafCalcStart]]))</f>
        <v/>
      </c>
      <c r="CK134" s="103" t="str">
        <f aca="false">IF(Tasks[[#This Row],[Task Name]]="","",IF(Tasks[[#This Row],[_IsSummary]],MAX(INDEX(Tasks[_LeafCalcFinish],Tasks[[#This Row],[_Row]]+1):INDEX(Tasks[_LeafCalcFinish],Tasks[[#This Row],[_Row]]+Tasks[[#This Row],[_Descendants]])),Tasks[[#This Row],[_LeafCalcFinish]]))</f>
        <v/>
      </c>
      <c r="CL1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4" s="41" t="n">
        <f aca="false">IF(AND(Tasks[[#This Row],[_IsLeaf]]=1,Tasks[[#This Row],[_LeafWork]]&gt;0),NETWORKDAYS.INTL(ProjectStart,Tasks[[#This Row],[_LeafFcstStart]],WorkWeek,Holidays),0)</f>
        <v>0</v>
      </c>
      <c r="CS134" s="41" t="n">
        <f aca="false">IF(AND(Tasks[[#This Row],[_IsLeaf]]=1,Tasks[[#This Row],[_LeafWork]]&gt;0),MAX(Tasks[[#This Row],[_StartWorkday]],NETWORKDAYS.INTL(ProjectStart,Tasks[[#This Row],[_LeafFcstFinish]],WorkWeek,Holidays)),0)</f>
        <v>0</v>
      </c>
      <c r="CT134" s="41" t="n">
        <f aca="false">IF(AND(Tasks[[#This Row],[_IsLeaf]]=1,Tasks[[#This Row],[_LeafWork]]&gt;0),Tasks[[#This Row],[_LeafWork]]/(Tasks[[#This Row],[_FinishWorkday]]-Tasks[[#This Row],[_StartWorkday]]+1),0)</f>
        <v>0</v>
      </c>
      <c r="CU134" s="41" t="n">
        <f aca="false">Tasks[[#This Row],[_WorkPerWorkday]]*(Tasks[[#This Row],[_StartWorkday]]-1)</f>
        <v>-0</v>
      </c>
      <c r="CV134" s="41" t="n">
        <f aca="false">IF(Tasks[[#This Row],[_IsLeaf]]=1,MAX(N(Tasks[[#This Row],[Duration]]),0.1),0)</f>
        <v>0</v>
      </c>
      <c r="CW134" s="41" t="n">
        <f aca="false">Tasks[[#This Row],[_WeightDur]]*Tasks[[#This Row],[_LeafProgress]]</f>
        <v>0</v>
      </c>
      <c r="CX1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4" s="41" t="str">
        <f aca="false">IF(Tasks[[#This Row],[Task Name]]="","",Tasks[[#This Row],[_Pred1UIDText]]&amp;IF(AND(Tasks[[#This Row],[_Pred1UIDText]]&lt;&gt;"",Tasks[[#This Row],[_Pred2UIDText]]&lt;&gt;""),",","")&amp;Tasks[[#This Row],[_Pred2UIDText]])</f>
        <v/>
      </c>
      <c r="DC134" s="41" t="str">
        <f aca="false">IF(AND(Tasks[[#This Row],[_IsLeaf]]=1,N(Tasks[[#This Row],[Duration]])=0,Tasks[[#This Row],[_LeafProgress]]&lt;1),Tasks[[#This Row],[_LeafFcstFinish]]+Tasks[[#This Row],[_Row]]/100000,"")</f>
        <v/>
      </c>
      <c r="DD1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4" s="41" t="n">
        <f aca="false">IF(NOT(Tasks[[#This Row],[_IsLeaf]]=1),0,IF(Tasks[[#This Row],[Baseline Cost]]="",Tasks[[#This Row],[_LeafCost]],N(Tasks[[#This Row],[Baseline Cost]])))</f>
        <v>0</v>
      </c>
      <c r="DF134" s="41" t="n">
        <f aca="false">Tasks[[#This Row],[_LeafBudget]]*Tasks[[#This Row],[_PlannedPct]]</f>
        <v>0</v>
      </c>
      <c r="DG134" s="41" t="n">
        <f aca="false">Tasks[[#This Row],[_LeafBudget]]*Tasks[[#This Row],[_LeafProgress]]</f>
        <v>0</v>
      </c>
      <c r="DH134" s="41" t="n">
        <f aca="false">IF(NOT(Tasks[[#This Row],[_IsLeaf]]=1),0,IF(Tasks[[#This Row],[Actual Cost]]="",Tasks[[#This Row],[_LeafCost]]*Tasks[[#This Row],[_LeafProgress]],N(Tasks[[#This Row],[Actual Cost]])))</f>
        <v>0</v>
      </c>
      <c r="DI134" s="41" t="str">
        <f aca="false">IF(Tasks[[#This Row],[Task Name]]="","",LEFT(Tasks[[#This Row],[WBS]],FIND(".",Tasks[[#This Row],[WBS]]&amp;".")-1))</f>
        <v/>
      </c>
      <c r="DJ134" s="41" t="str">
        <f aca="false">IF(AND(Tasks[[#This Row],[Task Name]]&lt;&gt;"",Tasks[[#This Row],[_Level]]=1),Tasks[[#This Row],[_Row]],"")</f>
        <v/>
      </c>
      <c r="DK134" s="41" t="str">
        <f aca="false">IF(AND(Tasks[[#This Row],[_IsLeaf]]=1,N(Tasks[[#This Row],[Duration]])=0),Tasks[[#This Row],[Planned Finish]]+Tasks[[#This Row],[_Row]]/100000,"")</f>
        <v/>
      </c>
      <c r="DL134" s="41" t="str">
        <f aca="false">IF(AND(Tasks[[#This Row],[_IsLeaf]]=1,Tasks[[#This Row],[_LeafProgress]]&lt;1,OR(N(Tasks[[#This Row],[Finish Var]])&gt;0,Tasks[[#This Row],[Status]]="Late Start")),MAX(0,Tasks[[#This Row],[Finish Var]])+1-Tasks[[#This Row],[_Row]]/1000000,"")</f>
        <v/>
      </c>
      <c r="DM134" s="41" t="str">
        <f aca="false">IF(AND(Tasks[[#This Row],[_IsLeaf]]=1,N(Tasks[[#This Row],[Actual Start]])=0,Tasks[[#This Row],[_LeafFcstStart]]&gt;=StatusDate,Tasks[[#This Row],[_LeafFcstStart]]&lt;=LookaheadEnd),Tasks[[#This Row],[_LeafFcstStart]]+Tasks[[#This Row],[_Row]]/100000,"")</f>
        <v/>
      </c>
      <c r="DN134" s="41" t="str">
        <f aca="false">IF(AND(Tasks[[#This Row],[_IsLeaf]]=1,Tasks[[#This Row],[_LeafProgress]]&lt;1,Tasks[[#This Row],[_LeafFcstFinish]]&gt;=StatusDate,Tasks[[#This Row],[_LeafFcstFinish]]&lt;=LookaheadEnd),Tasks[[#This Row],[_LeafFcstFinish]]+Tasks[[#This Row],[_Row]]/100000,"")</f>
        <v/>
      </c>
      <c r="DO134" s="41" t="str">
        <f aca="false">IF(Tasks[[#This Row],[_LeafCritical]],Tasks[[#This Row],[_LeafFcstStart]]+Tasks[[#This Row],[_Row]]/100000,"")</f>
        <v/>
      </c>
      <c r="DP134" s="41" t="n">
        <f aca="false">Tasks[[#This Row],[_LeafWork]]*Tasks[[#This Row],[_LeafProgress]]</f>
        <v>0</v>
      </c>
      <c r="DQ134" s="103" t="str">
        <f aca="false">IF(AND(Tasks[[#This Row],[_IsLeaf]]=1,Tasks[[#This Row],[_LeafProgress]]&gt;=1),IF(N(Tasks[[#This Row],[Actual Finish]])&gt;0,Tasks[[#This Row],[Actual Finish]],Tasks[[#This Row],[_LeafFcstFinish]]),"")</f>
        <v/>
      </c>
      <c r="DR134" s="41" t="n">
        <f aca="false">IF(Tasks[[#This Row],[_IsLeaf]]=1,N(Tasks[[#This Row],[Story Points]]),0)</f>
        <v>0</v>
      </c>
      <c r="DS134" s="41" t="str">
        <f aca="false">IF(AND(Tasks[[#This Row],[_IsLeaf]]=1,CurrentSprint&lt;&gt;"",Tasks[[#This Row],[Sprint]]=CurrentSprint),Tasks[[#This Row],[_Row]],"")</f>
        <v/>
      </c>
    </row>
    <row r="135" customFormat="false" ht="15" hidden="false" customHeight="false" outlineLevel="0" collapsed="false">
      <c r="A135" s="28" t="str">
        <f aca="false">IF(Tasks[[#This Row],[Task Name]]="","",COUNTA(Tasks[[#Headers],[Task Name]]:Tasks[[#This Row],[Task Name]])-1)</f>
        <v/>
      </c>
      <c r="B135" s="29" t="n">
        <v>130</v>
      </c>
      <c r="C1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29"/>
      <c r="E135" s="30"/>
      <c r="F135" s="29"/>
      <c r="G135" s="29"/>
      <c r="H135" s="29"/>
      <c r="I135" s="29"/>
      <c r="J135" s="29"/>
      <c r="K135" s="29"/>
      <c r="L135" s="29"/>
      <c r="M135" s="29"/>
      <c r="N135" s="77"/>
      <c r="O135" s="77"/>
      <c r="P135" s="25" t="str">
        <f aca="false">IF(Tasks[[#This Row],[Task Name]]="","",IF(N(Tasks[[#This Row],[Baseline Start]])&gt;0,Tasks[[#This Row],[Baseline Start]],Tasks[[#This Row],[_CalcStart]]))</f>
        <v/>
      </c>
      <c r="Q135" s="25" t="str">
        <f aca="false">IF(Tasks[[#This Row],[Task Name]]="","",IF(N(Tasks[[#This Row],[Baseline Finish]])&gt;0,Tasks[[#This Row],[Baseline Finish]],Tasks[[#This Row],[_CalcFinish]]))</f>
        <v/>
      </c>
      <c r="R135" s="77"/>
      <c r="S135" s="77"/>
      <c r="T135" s="25" t="str">
        <f aca="false">IF(Tasks[[#This Row],[Task Name]]="","",IF(Tasks[[#This Row],[_IsSummary]],MIN(INDEX(Tasks[_LeafFcstStart],Tasks[[#This Row],[_Row]]+1):INDEX(Tasks[_LeafFcstStart],Tasks[[#This Row],[_Row]]+Tasks[[#This Row],[_Descendants]])),Tasks[[#This Row],[_LeafFcstStart]]))</f>
        <v/>
      </c>
      <c r="U135" s="25" t="str">
        <f aca="false">IF(Tasks[[#This Row],[Task Name]]="","",IF(Tasks[[#This Row],[_IsSummary]],MAX(INDEX(Tasks[_LeafFcstFinish],Tasks[[#This Row],[_Row]]+1):INDEX(Tasks[_LeafFcstFinish],Tasks[[#This Row],[_Row]]+Tasks[[#This Row],[_Descendants]])),Tasks[[#This Row],[_LeafFcstFinish]]))</f>
        <v/>
      </c>
      <c r="V13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5" s="25" t="str">
        <f aca="false">IF(Tasks[[#This Row],[Task Name]]="","",IF(Tasks[[#This Row],[_IsSummary]],MIN(INDEX(Tasks[_LeafLateStart],Tasks[[#This Row],[_Row]]+1):INDEX(Tasks[_LeafLateStart],Tasks[[#This Row],[_Row]]+Tasks[[#This Row],[_Descendants]])),Tasks[[#This Row],[_LeafLateStart]]))</f>
        <v/>
      </c>
      <c r="Y135" s="25" t="str">
        <f aca="false">IF(Tasks[[#This Row],[Task Name]]="","",IF(Tasks[[#This Row],[_IsSummary]],MAX(INDEX(Tasks[_LeafLateFinish],Tasks[[#This Row],[_Row]]+1):INDEX(Tasks[_LeafLateFinish],Tasks[[#This Row],[_Row]]+Tasks[[#This Row],[_Descendants]])),Tasks[[#This Row],[_LeafLateFinish]]))</f>
        <v/>
      </c>
      <c r="Z135" s="43" t="str">
        <f aca="false">IF(Tasks[[#This Row],[Task Name]]="","",IF(Tasks[[#This Row],[_IsSummary]],MIN(INDEX(Tasks[_LeafTotalSlack],Tasks[[#This Row],[_Row]]+1):INDEX(Tasks[_LeafTotalSlack],Tasks[[#This Row],[_Row]]+Tasks[[#This Row],[_Descendants]])),Tasks[[#This Row],[_LeafTotalSlack]]))</f>
        <v/>
      </c>
      <c r="AA1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5" s="28" t="str">
        <f aca="false">IF(Tasks[[#This Row],[Task Name]]="","",IF(IF(Tasks[[#This Row],[_IsSummary]],COUNTIF(INDEX(Tasks[_LeafCritical],Tasks[[#This Row],[_Row]]+1):INDEX(Tasks[_LeafCritical],Tasks[[#This Row],[_Row]]+Tasks[[#This Row],[_Descendants]]),TRUE())&gt;0,Tasks[[#This Row],[_LeafCritical]]),"Yes",""))</f>
        <v/>
      </c>
      <c r="AC1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5" s="24" t="str">
        <f aca="false">IF(Tasks[[#This Row],[Task Name]]="","",TRIM(IF(Tasks[[#This Row],[_Pred1Problem]]&lt;&gt;"","Pred 1: "&amp;Tasks[[#This Row],[_Pred1Problem]]&amp;". ","")&amp;IF(Tasks[[#This Row],[_Pred2Problem]]&lt;&gt;"","Pred 2: "&amp;Tasks[[#This Row],[_Pred2Problem]]&amp;".","")))</f>
        <v/>
      </c>
      <c r="AE135" s="91"/>
      <c r="AF13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5" s="28" t="str">
        <f aca="false">IF(Tasks[[#This Row],[Task Name]]="","",IF(Tasks[[#This Row],[Progress]]&gt;=1,"Complete",IF(OR(N(Tasks[[#This Row],[Actual Start]])&gt;0,Tasks[[#This Row],[Progress]]&gt;0),IF(Tasks[[#This Row],[Finish Var]]&gt;0,"Behind","In Progress"),IF(Tasks[[#This Row],[Planned Start]]&lt;StatusDate,"Late Start","Not Started"))))</f>
        <v/>
      </c>
      <c r="AH135" s="30"/>
      <c r="AI135" s="91"/>
      <c r="AJ13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5" s="98" t="str">
        <f aca="false">IF(Tasks[[#This Row],[Task Name]]="","",IF(Tasks[[#This Row],[_IsSummary]],SUM(INDEX(Tasks[_LeafWork],Tasks[[#This Row],[_Row]]+1):INDEX(Tasks[_LeafWork],Tasks[[#This Row],[_Row]]+Tasks[[#This Row],[_Descendants]])),Tasks[[#This Row],[_LeafWork]]))</f>
        <v/>
      </c>
      <c r="AL135" s="99" t="str">
        <f aca="false">IF(Tasks[[#This Row],[Task Name]]="","",IF(Tasks[[#This Row],[_IsSummary]],SUM(INDEX(Tasks[_LeafCost],Tasks[[#This Row],[_Row]]+1):INDEX(Tasks[_LeafCost],Tasks[[#This Row],[_Row]]+Tasks[[#This Row],[_Descendants]])),Tasks[[#This Row],[_LeafCost]]))</f>
        <v/>
      </c>
      <c r="AM135" s="100"/>
      <c r="AN135" s="29"/>
      <c r="AO1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5" s="85"/>
      <c r="AQ135" s="24" t="str">
        <f aca="false">IF(Tasks[[#This Row],[Task Name]]="","",Tasks[[#This Row],[_Pred1IDText]]&amp;IF(AND(Tasks[[#This Row],[_Pred1IDText]]&lt;&gt;"",Tasks[[#This Row],[_Pred2IDText]]&lt;&gt;""),",","")&amp;Tasks[[#This Row],[_Pred2IDText]])</f>
        <v/>
      </c>
      <c r="AR135" s="30"/>
      <c r="AS135" s="25" t="str">
        <f aca="false">IF(Tasks[[#This Row],[Task Name]]="","",Tasks[[#This Row],[Forecast Start]])</f>
        <v/>
      </c>
      <c r="AT135" s="25" t="str">
        <f aca="false">IF(Tasks[[#This Row],[Task Name]]="","",Tasks[[#This Row],[Forecast Finish]])</f>
        <v/>
      </c>
      <c r="AU135" s="28" t="str">
        <f aca="false">IF(Tasks[[#This Row],[Task Name]]="","",IF(Tasks[[#This Row],[_IsSummary]],NETWORKDAYS.INTL(Tasks[[#This Row],[Forecast Start]],Tasks[[#This Row],[Forecast Finish]],WorkWeek,Holidays),N(Tasks[[#This Row],[Duration]])))</f>
        <v/>
      </c>
      <c r="AV135" s="98" t="str">
        <f aca="false">IF(Tasks[[#This Row],[Task Name]]="","",Tasks[[#This Row],[Work]])</f>
        <v/>
      </c>
      <c r="AW135" s="99" t="str">
        <f aca="false">IF(Tasks[[#This Row],[Task Name]]="","",Tasks[[#This Row],[Cost]])</f>
        <v/>
      </c>
      <c r="AX135" s="77"/>
      <c r="AY135" s="77"/>
      <c r="AZ135" s="29"/>
      <c r="BA135" s="101"/>
      <c r="BB135" s="100"/>
      <c r="BC135" s="28" t="str">
        <f aca="false">IF(OR(Tasks[[#This Row],[Task Name]]="",Tasks[[#This Row],[Baseline Duration]]=""),"",Tasks[[#This Row],[BL Source Duration]]-N(Tasks[[#This Row],[Baseline Duration]]))</f>
        <v/>
      </c>
      <c r="BD135" s="98" t="str">
        <f aca="false">IF(OR(Tasks[[#This Row],[Task Name]]="",Tasks[[#This Row],[Baseline Work]]=""),"",Tasks[[#This Row],[Work]]-N(Tasks[[#This Row],[Baseline Work]]))</f>
        <v/>
      </c>
      <c r="BE135" s="99" t="str">
        <f aca="false">IF(OR(Tasks[[#This Row],[Task Name]]="",Tasks[[#This Row],[Baseline Cost]]=""),"",Tasks[[#This Row],[Cost]]-N(Tasks[[#This Row],[Baseline Cost]]))</f>
        <v/>
      </c>
      <c r="BF135" s="99" t="str">
        <f aca="false">IF(Tasks[[#This Row],[Task Name]]="","",IF(Tasks[[#This Row],[_IsSummary]],SUM(INDEX(Tasks[_LeafBudget],Tasks[[#This Row],[_Row]]+1):INDEX(Tasks[_LeafBudget],Tasks[[#This Row],[_Row]]+Tasks[[#This Row],[_Descendants]])),Tasks[[#This Row],[_LeafBudget]]))</f>
        <v/>
      </c>
      <c r="BG135" s="99" t="str">
        <f aca="false">IF(Tasks[[#This Row],[Task Name]]="","",IF(Tasks[[#This Row],[_IsSummary]],SUM(INDEX(Tasks[_LeafPV],Tasks[[#This Row],[_Row]]+1):INDEX(Tasks[_LeafPV],Tasks[[#This Row],[_Row]]+Tasks[[#This Row],[_Descendants]])),Tasks[[#This Row],[_LeafPV]]))</f>
        <v/>
      </c>
      <c r="BH135" s="99" t="str">
        <f aca="false">IF(Tasks[[#This Row],[Task Name]]="","",IF(Tasks[[#This Row],[_IsSummary]],SUM(INDEX(Tasks[_LeafEV],Tasks[[#This Row],[_Row]]+1):INDEX(Tasks[_LeafEV],Tasks[[#This Row],[_Row]]+Tasks[[#This Row],[_Descendants]])),Tasks[[#This Row],[_LeafEV]]))</f>
        <v/>
      </c>
      <c r="BI135" s="99" t="str">
        <f aca="false">IF(Tasks[[#This Row],[Task Name]]="","",IF(Tasks[[#This Row],[_IsSummary]],SUM(INDEX(Tasks[_LeafAC],Tasks[[#This Row],[_Row]]+1):INDEX(Tasks[_LeafAC],Tasks[[#This Row],[_Row]]+Tasks[[#This Row],[_Descendants]])),Tasks[[#This Row],[_LeafAC]]))</f>
        <v/>
      </c>
      <c r="BJ135" s="41" t="str">
        <f aca="false">IF(Tasks[[#This Row],[Task Name]]="","",MAX(1,N(Tasks[[#This Row],[Level]])))</f>
        <v/>
      </c>
      <c r="BK135" s="41" t="n">
        <f aca="false">ROW()-ROW(Tasks[[#Headers],[ID]])</f>
        <v>130</v>
      </c>
      <c r="BL135" s="41" t="n">
        <f aca="false">IF(OR(Tasks[[#This Row],[Task Name]]="",Tasks[[#This Row],[_Level]]&lt;=1),0,IFERROR(LOOKUP(2,1/(Tasks[[#Headers],[_Level]]:Tasks[[#This Row],[_Level]]=Tasks[[#This Row],[_Level]]-1),ROW(Tasks[[#Headers],[_Level]]:Tasks[[#This Row],[_Level]])),0))</f>
        <v>0</v>
      </c>
      <c r="BM135" s="41" t="n">
        <f aca="false">IFERROR(N(INDEX(Tasks[_Level],Tasks[[#This Row],[_Row]]+1)),0)</f>
        <v>0</v>
      </c>
      <c r="BN135" s="102" t="b">
        <f aca="false">AND(Tasks[[#This Row],[Task Name]]&lt;&gt;"",Tasks[[#This Row],[_NextLevel]]&gt;Tasks[[#This Row],[_Level]])</f>
        <v>0</v>
      </c>
      <c r="BO135" s="41" t="n">
        <f aca="false">IF(Tasks[[#This Row],[_IsSummary]],COUNTIF(Tasks[WBS],Tasks[[#This Row],[WBS]]&amp;".*"),0)</f>
        <v>0</v>
      </c>
      <c r="BP135" s="41" t="n">
        <f aca="false">IF(AND(Tasks[[#This Row],[Task Name]]&lt;&gt;"",NOT(Tasks[[#This Row],[_IsSummary]])),1,0)</f>
        <v>0</v>
      </c>
      <c r="BQ135" s="41" t="n">
        <f aca="false">IF(N(Tasks[[#This Row],[Pred1 UID]])=0,0,IFERROR(MATCH(Tasks[[#This Row],[Pred1 UID]],Tasks[UID],0),-1))</f>
        <v>0</v>
      </c>
      <c r="BR135" s="41" t="n">
        <f aca="false">IF(N(Tasks[[#This Row],[Pred2 UID]])=0,0,IFERROR(MATCH(Tasks[[#This Row],[Pred2 UID]],Tasks[UID],0),-1))</f>
        <v>0</v>
      </c>
      <c r="BS13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5" s="103" t="str">
        <f aca="false">IF(NOT(Tasks[[#This Row],[_IsLeaf]]=1),"",IF(N(Tasks[[#This Row],[Duration]])&lt;=0,Tasks[[#This Row],[_LeafCalcStart]],WORKDAY.INTL(Tasks[[#This Row],[_LeafCalcStart]],Tasks[[#This Row],[Duration]]-1,WorkWeek,Holidays)))</f>
        <v/>
      </c>
      <c r="BU13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5" s="41" t="n">
        <f aca="false">IF(NOT(Tasks[[#This Row],[_IsLeaf]]=1),0,IF(N(Tasks[[#This Row],[Actual Finish]])&gt;0,1,MIN(1,N(Tasks[[#This Row],[% Complete]]))))</f>
        <v>0</v>
      </c>
      <c r="BX135" s="41" t="n">
        <f aca="false">IF(OR(NOT(Tasks[[#This Row],[_IsLeaf]]=1),Tasks[[#This Row],[Resource]]=""),0,N(Tasks[[#This Row],[Duration]])*HoursPerDay*IF(Tasks[[#This Row],[Units]]="",DefaultUnits,Tasks[[#This Row],[Units]]))</f>
        <v>0</v>
      </c>
      <c r="BY135" s="41" t="n">
        <f aca="false">IF(Tasks[[#This Row],[_LeafWork]]=0,0,Tasks[[#This Row],[_LeafWork]]*IFERROR(INDEX(res_Rate,MATCH(Tasks[[#This Row],[Resource]],res_Name,0)),0))</f>
        <v>0</v>
      </c>
      <c r="BZ1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5" s="41" t="n">
        <f aca="false">IF(NOT(Tasks[[#This Row],[_IsLeaf]]=1),0,MAX(_xlfn.MAXIFS(Tasks[_Row],Tasks[Pred1 UID],Tasks[[#This Row],[UID]]),_xlfn.MAXIFS(Tasks[_Row],Tasks[Pred2 UID],Tasks[[#This Row],[UID]])))</f>
        <v>0</v>
      </c>
      <c r="CE13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5" s="103" t="str">
        <f aca="false">IF(NOT(Tasks[[#This Row],[_IsLeaf]]=1),"",MIN(ProjectFinish,IF(N(Tasks[[#This Row],[Deadline]])&gt;0,Tasks[[#This Row],[Deadline]],2958465),Tasks[[#This Row],[_SuccessorFinishLimit]]))</f>
        <v/>
      </c>
      <c r="CG135" s="103" t="str">
        <f aca="false">IF(NOT(Tasks[[#This Row],[_IsLeaf]]=1),"",IF(N(Tasks[[#This Row],[Duration]])&lt;=0,Tasks[[#This Row],[_LeafLateFinish]],WORKDAY.INTL(Tasks[[#This Row],[_LeafLateFinish]],-(Tasks[[#This Row],[Duration]]-1),WorkWeek,Holidays)))</f>
        <v/>
      </c>
      <c r="CH1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5" s="102" t="b">
        <f aca="false">AND(Tasks[[#This Row],[_IsLeaf]]=1,Tasks[[#This Row],[_LeafProgress]]&lt;1,N(Tasks[[#This Row],[_LeafTotalSlack]])&lt;=CriticalSlackDays)</f>
        <v>0</v>
      </c>
      <c r="CJ135" s="103" t="str">
        <f aca="false">IF(Tasks[[#This Row],[Task Name]]="","",IF(Tasks[[#This Row],[_IsSummary]],MIN(INDEX(Tasks[_LeafCalcStart],Tasks[[#This Row],[_Row]]+1):INDEX(Tasks[_LeafCalcStart],Tasks[[#This Row],[_Row]]+Tasks[[#This Row],[_Descendants]])),Tasks[[#This Row],[_LeafCalcStart]]))</f>
        <v/>
      </c>
      <c r="CK135" s="103" t="str">
        <f aca="false">IF(Tasks[[#This Row],[Task Name]]="","",IF(Tasks[[#This Row],[_IsSummary]],MAX(INDEX(Tasks[_LeafCalcFinish],Tasks[[#This Row],[_Row]]+1):INDEX(Tasks[_LeafCalcFinish],Tasks[[#This Row],[_Row]]+Tasks[[#This Row],[_Descendants]])),Tasks[[#This Row],[_LeafCalcFinish]]))</f>
        <v/>
      </c>
      <c r="CL1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5" s="41" t="n">
        <f aca="false">IF(AND(Tasks[[#This Row],[_IsLeaf]]=1,Tasks[[#This Row],[_LeafWork]]&gt;0),NETWORKDAYS.INTL(ProjectStart,Tasks[[#This Row],[_LeafFcstStart]],WorkWeek,Holidays),0)</f>
        <v>0</v>
      </c>
      <c r="CS135" s="41" t="n">
        <f aca="false">IF(AND(Tasks[[#This Row],[_IsLeaf]]=1,Tasks[[#This Row],[_LeafWork]]&gt;0),MAX(Tasks[[#This Row],[_StartWorkday]],NETWORKDAYS.INTL(ProjectStart,Tasks[[#This Row],[_LeafFcstFinish]],WorkWeek,Holidays)),0)</f>
        <v>0</v>
      </c>
      <c r="CT135" s="41" t="n">
        <f aca="false">IF(AND(Tasks[[#This Row],[_IsLeaf]]=1,Tasks[[#This Row],[_LeafWork]]&gt;0),Tasks[[#This Row],[_LeafWork]]/(Tasks[[#This Row],[_FinishWorkday]]-Tasks[[#This Row],[_StartWorkday]]+1),0)</f>
        <v>0</v>
      </c>
      <c r="CU135" s="41" t="n">
        <f aca="false">Tasks[[#This Row],[_WorkPerWorkday]]*(Tasks[[#This Row],[_StartWorkday]]-1)</f>
        <v>-0</v>
      </c>
      <c r="CV135" s="41" t="n">
        <f aca="false">IF(Tasks[[#This Row],[_IsLeaf]]=1,MAX(N(Tasks[[#This Row],[Duration]]),0.1),0)</f>
        <v>0</v>
      </c>
      <c r="CW135" s="41" t="n">
        <f aca="false">Tasks[[#This Row],[_WeightDur]]*Tasks[[#This Row],[_LeafProgress]]</f>
        <v>0</v>
      </c>
      <c r="CX1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5" s="41" t="str">
        <f aca="false">IF(Tasks[[#This Row],[Task Name]]="","",Tasks[[#This Row],[_Pred1UIDText]]&amp;IF(AND(Tasks[[#This Row],[_Pred1UIDText]]&lt;&gt;"",Tasks[[#This Row],[_Pred2UIDText]]&lt;&gt;""),",","")&amp;Tasks[[#This Row],[_Pred2UIDText]])</f>
        <v/>
      </c>
      <c r="DC135" s="41" t="str">
        <f aca="false">IF(AND(Tasks[[#This Row],[_IsLeaf]]=1,N(Tasks[[#This Row],[Duration]])=0,Tasks[[#This Row],[_LeafProgress]]&lt;1),Tasks[[#This Row],[_LeafFcstFinish]]+Tasks[[#This Row],[_Row]]/100000,"")</f>
        <v/>
      </c>
      <c r="DD1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5" s="41" t="n">
        <f aca="false">IF(NOT(Tasks[[#This Row],[_IsLeaf]]=1),0,IF(Tasks[[#This Row],[Baseline Cost]]="",Tasks[[#This Row],[_LeafCost]],N(Tasks[[#This Row],[Baseline Cost]])))</f>
        <v>0</v>
      </c>
      <c r="DF135" s="41" t="n">
        <f aca="false">Tasks[[#This Row],[_LeafBudget]]*Tasks[[#This Row],[_PlannedPct]]</f>
        <v>0</v>
      </c>
      <c r="DG135" s="41" t="n">
        <f aca="false">Tasks[[#This Row],[_LeafBudget]]*Tasks[[#This Row],[_LeafProgress]]</f>
        <v>0</v>
      </c>
      <c r="DH135" s="41" t="n">
        <f aca="false">IF(NOT(Tasks[[#This Row],[_IsLeaf]]=1),0,IF(Tasks[[#This Row],[Actual Cost]]="",Tasks[[#This Row],[_LeafCost]]*Tasks[[#This Row],[_LeafProgress]],N(Tasks[[#This Row],[Actual Cost]])))</f>
        <v>0</v>
      </c>
      <c r="DI135" s="41" t="str">
        <f aca="false">IF(Tasks[[#This Row],[Task Name]]="","",LEFT(Tasks[[#This Row],[WBS]],FIND(".",Tasks[[#This Row],[WBS]]&amp;".")-1))</f>
        <v/>
      </c>
      <c r="DJ135" s="41" t="str">
        <f aca="false">IF(AND(Tasks[[#This Row],[Task Name]]&lt;&gt;"",Tasks[[#This Row],[_Level]]=1),Tasks[[#This Row],[_Row]],"")</f>
        <v/>
      </c>
      <c r="DK135" s="41" t="str">
        <f aca="false">IF(AND(Tasks[[#This Row],[_IsLeaf]]=1,N(Tasks[[#This Row],[Duration]])=0),Tasks[[#This Row],[Planned Finish]]+Tasks[[#This Row],[_Row]]/100000,"")</f>
        <v/>
      </c>
      <c r="DL135" s="41" t="str">
        <f aca="false">IF(AND(Tasks[[#This Row],[_IsLeaf]]=1,Tasks[[#This Row],[_LeafProgress]]&lt;1,OR(N(Tasks[[#This Row],[Finish Var]])&gt;0,Tasks[[#This Row],[Status]]="Late Start")),MAX(0,Tasks[[#This Row],[Finish Var]])+1-Tasks[[#This Row],[_Row]]/1000000,"")</f>
        <v/>
      </c>
      <c r="DM135" s="41" t="str">
        <f aca="false">IF(AND(Tasks[[#This Row],[_IsLeaf]]=1,N(Tasks[[#This Row],[Actual Start]])=0,Tasks[[#This Row],[_LeafFcstStart]]&gt;=StatusDate,Tasks[[#This Row],[_LeafFcstStart]]&lt;=LookaheadEnd),Tasks[[#This Row],[_LeafFcstStart]]+Tasks[[#This Row],[_Row]]/100000,"")</f>
        <v/>
      </c>
      <c r="DN135" s="41" t="str">
        <f aca="false">IF(AND(Tasks[[#This Row],[_IsLeaf]]=1,Tasks[[#This Row],[_LeafProgress]]&lt;1,Tasks[[#This Row],[_LeafFcstFinish]]&gt;=StatusDate,Tasks[[#This Row],[_LeafFcstFinish]]&lt;=LookaheadEnd),Tasks[[#This Row],[_LeafFcstFinish]]+Tasks[[#This Row],[_Row]]/100000,"")</f>
        <v/>
      </c>
      <c r="DO135" s="41" t="str">
        <f aca="false">IF(Tasks[[#This Row],[_LeafCritical]],Tasks[[#This Row],[_LeafFcstStart]]+Tasks[[#This Row],[_Row]]/100000,"")</f>
        <v/>
      </c>
      <c r="DP135" s="41" t="n">
        <f aca="false">Tasks[[#This Row],[_LeafWork]]*Tasks[[#This Row],[_LeafProgress]]</f>
        <v>0</v>
      </c>
      <c r="DQ135" s="103" t="str">
        <f aca="false">IF(AND(Tasks[[#This Row],[_IsLeaf]]=1,Tasks[[#This Row],[_LeafProgress]]&gt;=1),IF(N(Tasks[[#This Row],[Actual Finish]])&gt;0,Tasks[[#This Row],[Actual Finish]],Tasks[[#This Row],[_LeafFcstFinish]]),"")</f>
        <v/>
      </c>
      <c r="DR135" s="41" t="n">
        <f aca="false">IF(Tasks[[#This Row],[_IsLeaf]]=1,N(Tasks[[#This Row],[Story Points]]),0)</f>
        <v>0</v>
      </c>
      <c r="DS135" s="41" t="str">
        <f aca="false">IF(AND(Tasks[[#This Row],[_IsLeaf]]=1,CurrentSprint&lt;&gt;"",Tasks[[#This Row],[Sprint]]=CurrentSprint),Tasks[[#This Row],[_Row]],"")</f>
        <v/>
      </c>
    </row>
    <row r="136" customFormat="false" ht="15" hidden="false" customHeight="false" outlineLevel="0" collapsed="false">
      <c r="A136" s="28" t="str">
        <f aca="false">IF(Tasks[[#This Row],[Task Name]]="","",COUNTA(Tasks[[#Headers],[Task Name]]:Tasks[[#This Row],[Task Name]])-1)</f>
        <v/>
      </c>
      <c r="B136" s="29" t="n">
        <v>131</v>
      </c>
      <c r="C1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29"/>
      <c r="E136" s="30"/>
      <c r="F136" s="29"/>
      <c r="G136" s="29"/>
      <c r="H136" s="29"/>
      <c r="I136" s="29"/>
      <c r="J136" s="29"/>
      <c r="K136" s="29"/>
      <c r="L136" s="29"/>
      <c r="M136" s="29"/>
      <c r="N136" s="77"/>
      <c r="O136" s="77"/>
      <c r="P136" s="25" t="str">
        <f aca="false">IF(Tasks[[#This Row],[Task Name]]="","",IF(N(Tasks[[#This Row],[Baseline Start]])&gt;0,Tasks[[#This Row],[Baseline Start]],Tasks[[#This Row],[_CalcStart]]))</f>
        <v/>
      </c>
      <c r="Q136" s="25" t="str">
        <f aca="false">IF(Tasks[[#This Row],[Task Name]]="","",IF(N(Tasks[[#This Row],[Baseline Finish]])&gt;0,Tasks[[#This Row],[Baseline Finish]],Tasks[[#This Row],[_CalcFinish]]))</f>
        <v/>
      </c>
      <c r="R136" s="77"/>
      <c r="S136" s="77"/>
      <c r="T136" s="25" t="str">
        <f aca="false">IF(Tasks[[#This Row],[Task Name]]="","",IF(Tasks[[#This Row],[_IsSummary]],MIN(INDEX(Tasks[_LeafFcstStart],Tasks[[#This Row],[_Row]]+1):INDEX(Tasks[_LeafFcstStart],Tasks[[#This Row],[_Row]]+Tasks[[#This Row],[_Descendants]])),Tasks[[#This Row],[_LeafFcstStart]]))</f>
        <v/>
      </c>
      <c r="U136" s="25" t="str">
        <f aca="false">IF(Tasks[[#This Row],[Task Name]]="","",IF(Tasks[[#This Row],[_IsSummary]],MAX(INDEX(Tasks[_LeafFcstFinish],Tasks[[#This Row],[_Row]]+1):INDEX(Tasks[_LeafFcstFinish],Tasks[[#This Row],[_Row]]+Tasks[[#This Row],[_Descendants]])),Tasks[[#This Row],[_LeafFcstFinish]]))</f>
        <v/>
      </c>
      <c r="V13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6" s="25" t="str">
        <f aca="false">IF(Tasks[[#This Row],[Task Name]]="","",IF(Tasks[[#This Row],[_IsSummary]],MIN(INDEX(Tasks[_LeafLateStart],Tasks[[#This Row],[_Row]]+1):INDEX(Tasks[_LeafLateStart],Tasks[[#This Row],[_Row]]+Tasks[[#This Row],[_Descendants]])),Tasks[[#This Row],[_LeafLateStart]]))</f>
        <v/>
      </c>
      <c r="Y136" s="25" t="str">
        <f aca="false">IF(Tasks[[#This Row],[Task Name]]="","",IF(Tasks[[#This Row],[_IsSummary]],MAX(INDEX(Tasks[_LeafLateFinish],Tasks[[#This Row],[_Row]]+1):INDEX(Tasks[_LeafLateFinish],Tasks[[#This Row],[_Row]]+Tasks[[#This Row],[_Descendants]])),Tasks[[#This Row],[_LeafLateFinish]]))</f>
        <v/>
      </c>
      <c r="Z136" s="43" t="str">
        <f aca="false">IF(Tasks[[#This Row],[Task Name]]="","",IF(Tasks[[#This Row],[_IsSummary]],MIN(INDEX(Tasks[_LeafTotalSlack],Tasks[[#This Row],[_Row]]+1):INDEX(Tasks[_LeafTotalSlack],Tasks[[#This Row],[_Row]]+Tasks[[#This Row],[_Descendants]])),Tasks[[#This Row],[_LeafTotalSlack]]))</f>
        <v/>
      </c>
      <c r="AA1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6" s="28" t="str">
        <f aca="false">IF(Tasks[[#This Row],[Task Name]]="","",IF(IF(Tasks[[#This Row],[_IsSummary]],COUNTIF(INDEX(Tasks[_LeafCritical],Tasks[[#This Row],[_Row]]+1):INDEX(Tasks[_LeafCritical],Tasks[[#This Row],[_Row]]+Tasks[[#This Row],[_Descendants]]),TRUE())&gt;0,Tasks[[#This Row],[_LeafCritical]]),"Yes",""))</f>
        <v/>
      </c>
      <c r="AC1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6" s="24" t="str">
        <f aca="false">IF(Tasks[[#This Row],[Task Name]]="","",TRIM(IF(Tasks[[#This Row],[_Pred1Problem]]&lt;&gt;"","Pred 1: "&amp;Tasks[[#This Row],[_Pred1Problem]]&amp;". ","")&amp;IF(Tasks[[#This Row],[_Pred2Problem]]&lt;&gt;"","Pred 2: "&amp;Tasks[[#This Row],[_Pred2Problem]]&amp;".","")))</f>
        <v/>
      </c>
      <c r="AE136" s="91"/>
      <c r="AF13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6" s="28" t="str">
        <f aca="false">IF(Tasks[[#This Row],[Task Name]]="","",IF(Tasks[[#This Row],[Progress]]&gt;=1,"Complete",IF(OR(N(Tasks[[#This Row],[Actual Start]])&gt;0,Tasks[[#This Row],[Progress]]&gt;0),IF(Tasks[[#This Row],[Finish Var]]&gt;0,"Behind","In Progress"),IF(Tasks[[#This Row],[Planned Start]]&lt;StatusDate,"Late Start","Not Started"))))</f>
        <v/>
      </c>
      <c r="AH136" s="30"/>
      <c r="AI136" s="91"/>
      <c r="AJ13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6" s="98" t="str">
        <f aca="false">IF(Tasks[[#This Row],[Task Name]]="","",IF(Tasks[[#This Row],[_IsSummary]],SUM(INDEX(Tasks[_LeafWork],Tasks[[#This Row],[_Row]]+1):INDEX(Tasks[_LeafWork],Tasks[[#This Row],[_Row]]+Tasks[[#This Row],[_Descendants]])),Tasks[[#This Row],[_LeafWork]]))</f>
        <v/>
      </c>
      <c r="AL136" s="99" t="str">
        <f aca="false">IF(Tasks[[#This Row],[Task Name]]="","",IF(Tasks[[#This Row],[_IsSummary]],SUM(INDEX(Tasks[_LeafCost],Tasks[[#This Row],[_Row]]+1):INDEX(Tasks[_LeafCost],Tasks[[#This Row],[_Row]]+Tasks[[#This Row],[_Descendants]])),Tasks[[#This Row],[_LeafCost]]))</f>
        <v/>
      </c>
      <c r="AM136" s="100"/>
      <c r="AN136" s="29"/>
      <c r="AO1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6" s="85"/>
      <c r="AQ136" s="24" t="str">
        <f aca="false">IF(Tasks[[#This Row],[Task Name]]="","",Tasks[[#This Row],[_Pred1IDText]]&amp;IF(AND(Tasks[[#This Row],[_Pred1IDText]]&lt;&gt;"",Tasks[[#This Row],[_Pred2IDText]]&lt;&gt;""),",","")&amp;Tasks[[#This Row],[_Pred2IDText]])</f>
        <v/>
      </c>
      <c r="AR136" s="30"/>
      <c r="AS136" s="25" t="str">
        <f aca="false">IF(Tasks[[#This Row],[Task Name]]="","",Tasks[[#This Row],[Forecast Start]])</f>
        <v/>
      </c>
      <c r="AT136" s="25" t="str">
        <f aca="false">IF(Tasks[[#This Row],[Task Name]]="","",Tasks[[#This Row],[Forecast Finish]])</f>
        <v/>
      </c>
      <c r="AU136" s="28" t="str">
        <f aca="false">IF(Tasks[[#This Row],[Task Name]]="","",IF(Tasks[[#This Row],[_IsSummary]],NETWORKDAYS.INTL(Tasks[[#This Row],[Forecast Start]],Tasks[[#This Row],[Forecast Finish]],WorkWeek,Holidays),N(Tasks[[#This Row],[Duration]])))</f>
        <v/>
      </c>
      <c r="AV136" s="98" t="str">
        <f aca="false">IF(Tasks[[#This Row],[Task Name]]="","",Tasks[[#This Row],[Work]])</f>
        <v/>
      </c>
      <c r="AW136" s="99" t="str">
        <f aca="false">IF(Tasks[[#This Row],[Task Name]]="","",Tasks[[#This Row],[Cost]])</f>
        <v/>
      </c>
      <c r="AX136" s="77"/>
      <c r="AY136" s="77"/>
      <c r="AZ136" s="29"/>
      <c r="BA136" s="101"/>
      <c r="BB136" s="100"/>
      <c r="BC136" s="28" t="str">
        <f aca="false">IF(OR(Tasks[[#This Row],[Task Name]]="",Tasks[[#This Row],[Baseline Duration]]=""),"",Tasks[[#This Row],[BL Source Duration]]-N(Tasks[[#This Row],[Baseline Duration]]))</f>
        <v/>
      </c>
      <c r="BD136" s="98" t="str">
        <f aca="false">IF(OR(Tasks[[#This Row],[Task Name]]="",Tasks[[#This Row],[Baseline Work]]=""),"",Tasks[[#This Row],[Work]]-N(Tasks[[#This Row],[Baseline Work]]))</f>
        <v/>
      </c>
      <c r="BE136" s="99" t="str">
        <f aca="false">IF(OR(Tasks[[#This Row],[Task Name]]="",Tasks[[#This Row],[Baseline Cost]]=""),"",Tasks[[#This Row],[Cost]]-N(Tasks[[#This Row],[Baseline Cost]]))</f>
        <v/>
      </c>
      <c r="BF136" s="99" t="str">
        <f aca="false">IF(Tasks[[#This Row],[Task Name]]="","",IF(Tasks[[#This Row],[_IsSummary]],SUM(INDEX(Tasks[_LeafBudget],Tasks[[#This Row],[_Row]]+1):INDEX(Tasks[_LeafBudget],Tasks[[#This Row],[_Row]]+Tasks[[#This Row],[_Descendants]])),Tasks[[#This Row],[_LeafBudget]]))</f>
        <v/>
      </c>
      <c r="BG136" s="99" t="str">
        <f aca="false">IF(Tasks[[#This Row],[Task Name]]="","",IF(Tasks[[#This Row],[_IsSummary]],SUM(INDEX(Tasks[_LeafPV],Tasks[[#This Row],[_Row]]+1):INDEX(Tasks[_LeafPV],Tasks[[#This Row],[_Row]]+Tasks[[#This Row],[_Descendants]])),Tasks[[#This Row],[_LeafPV]]))</f>
        <v/>
      </c>
      <c r="BH136" s="99" t="str">
        <f aca="false">IF(Tasks[[#This Row],[Task Name]]="","",IF(Tasks[[#This Row],[_IsSummary]],SUM(INDEX(Tasks[_LeafEV],Tasks[[#This Row],[_Row]]+1):INDEX(Tasks[_LeafEV],Tasks[[#This Row],[_Row]]+Tasks[[#This Row],[_Descendants]])),Tasks[[#This Row],[_LeafEV]]))</f>
        <v/>
      </c>
      <c r="BI136" s="99" t="str">
        <f aca="false">IF(Tasks[[#This Row],[Task Name]]="","",IF(Tasks[[#This Row],[_IsSummary]],SUM(INDEX(Tasks[_LeafAC],Tasks[[#This Row],[_Row]]+1):INDEX(Tasks[_LeafAC],Tasks[[#This Row],[_Row]]+Tasks[[#This Row],[_Descendants]])),Tasks[[#This Row],[_LeafAC]]))</f>
        <v/>
      </c>
      <c r="BJ136" s="41" t="str">
        <f aca="false">IF(Tasks[[#This Row],[Task Name]]="","",MAX(1,N(Tasks[[#This Row],[Level]])))</f>
        <v/>
      </c>
      <c r="BK136" s="41" t="n">
        <f aca="false">ROW()-ROW(Tasks[[#Headers],[ID]])</f>
        <v>131</v>
      </c>
      <c r="BL136" s="41" t="n">
        <f aca="false">IF(OR(Tasks[[#This Row],[Task Name]]="",Tasks[[#This Row],[_Level]]&lt;=1),0,IFERROR(LOOKUP(2,1/(Tasks[[#Headers],[_Level]]:Tasks[[#This Row],[_Level]]=Tasks[[#This Row],[_Level]]-1),ROW(Tasks[[#Headers],[_Level]]:Tasks[[#This Row],[_Level]])),0))</f>
        <v>0</v>
      </c>
      <c r="BM136" s="41" t="n">
        <f aca="false">IFERROR(N(INDEX(Tasks[_Level],Tasks[[#This Row],[_Row]]+1)),0)</f>
        <v>0</v>
      </c>
      <c r="BN136" s="102" t="b">
        <f aca="false">AND(Tasks[[#This Row],[Task Name]]&lt;&gt;"",Tasks[[#This Row],[_NextLevel]]&gt;Tasks[[#This Row],[_Level]])</f>
        <v>0</v>
      </c>
      <c r="BO136" s="41" t="n">
        <f aca="false">IF(Tasks[[#This Row],[_IsSummary]],COUNTIF(Tasks[WBS],Tasks[[#This Row],[WBS]]&amp;".*"),0)</f>
        <v>0</v>
      </c>
      <c r="BP136" s="41" t="n">
        <f aca="false">IF(AND(Tasks[[#This Row],[Task Name]]&lt;&gt;"",NOT(Tasks[[#This Row],[_IsSummary]])),1,0)</f>
        <v>0</v>
      </c>
      <c r="BQ136" s="41" t="n">
        <f aca="false">IF(N(Tasks[[#This Row],[Pred1 UID]])=0,0,IFERROR(MATCH(Tasks[[#This Row],[Pred1 UID]],Tasks[UID],0),-1))</f>
        <v>0</v>
      </c>
      <c r="BR136" s="41" t="n">
        <f aca="false">IF(N(Tasks[[#This Row],[Pred2 UID]])=0,0,IFERROR(MATCH(Tasks[[#This Row],[Pred2 UID]],Tasks[UID],0),-1))</f>
        <v>0</v>
      </c>
      <c r="BS13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6" s="103" t="str">
        <f aca="false">IF(NOT(Tasks[[#This Row],[_IsLeaf]]=1),"",IF(N(Tasks[[#This Row],[Duration]])&lt;=0,Tasks[[#This Row],[_LeafCalcStart]],WORKDAY.INTL(Tasks[[#This Row],[_LeafCalcStart]],Tasks[[#This Row],[Duration]]-1,WorkWeek,Holidays)))</f>
        <v/>
      </c>
      <c r="BU13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6" s="41" t="n">
        <f aca="false">IF(NOT(Tasks[[#This Row],[_IsLeaf]]=1),0,IF(N(Tasks[[#This Row],[Actual Finish]])&gt;0,1,MIN(1,N(Tasks[[#This Row],[% Complete]]))))</f>
        <v>0</v>
      </c>
      <c r="BX136" s="41" t="n">
        <f aca="false">IF(OR(NOT(Tasks[[#This Row],[_IsLeaf]]=1),Tasks[[#This Row],[Resource]]=""),0,N(Tasks[[#This Row],[Duration]])*HoursPerDay*IF(Tasks[[#This Row],[Units]]="",DefaultUnits,Tasks[[#This Row],[Units]]))</f>
        <v>0</v>
      </c>
      <c r="BY136" s="41" t="n">
        <f aca="false">IF(Tasks[[#This Row],[_LeafWork]]=0,0,Tasks[[#This Row],[_LeafWork]]*IFERROR(INDEX(res_Rate,MATCH(Tasks[[#This Row],[Resource]],res_Name,0)),0))</f>
        <v>0</v>
      </c>
      <c r="BZ1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6" s="41" t="n">
        <f aca="false">IF(NOT(Tasks[[#This Row],[_IsLeaf]]=1),0,MAX(_xlfn.MAXIFS(Tasks[_Row],Tasks[Pred1 UID],Tasks[[#This Row],[UID]]),_xlfn.MAXIFS(Tasks[_Row],Tasks[Pred2 UID],Tasks[[#This Row],[UID]])))</f>
        <v>0</v>
      </c>
      <c r="CE13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6" s="103" t="str">
        <f aca="false">IF(NOT(Tasks[[#This Row],[_IsLeaf]]=1),"",MIN(ProjectFinish,IF(N(Tasks[[#This Row],[Deadline]])&gt;0,Tasks[[#This Row],[Deadline]],2958465),Tasks[[#This Row],[_SuccessorFinishLimit]]))</f>
        <v/>
      </c>
      <c r="CG136" s="103" t="str">
        <f aca="false">IF(NOT(Tasks[[#This Row],[_IsLeaf]]=1),"",IF(N(Tasks[[#This Row],[Duration]])&lt;=0,Tasks[[#This Row],[_LeafLateFinish]],WORKDAY.INTL(Tasks[[#This Row],[_LeafLateFinish]],-(Tasks[[#This Row],[Duration]]-1),WorkWeek,Holidays)))</f>
        <v/>
      </c>
      <c r="CH1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6" s="102" t="b">
        <f aca="false">AND(Tasks[[#This Row],[_IsLeaf]]=1,Tasks[[#This Row],[_LeafProgress]]&lt;1,N(Tasks[[#This Row],[_LeafTotalSlack]])&lt;=CriticalSlackDays)</f>
        <v>0</v>
      </c>
      <c r="CJ136" s="103" t="str">
        <f aca="false">IF(Tasks[[#This Row],[Task Name]]="","",IF(Tasks[[#This Row],[_IsSummary]],MIN(INDEX(Tasks[_LeafCalcStart],Tasks[[#This Row],[_Row]]+1):INDEX(Tasks[_LeafCalcStart],Tasks[[#This Row],[_Row]]+Tasks[[#This Row],[_Descendants]])),Tasks[[#This Row],[_LeafCalcStart]]))</f>
        <v/>
      </c>
      <c r="CK136" s="103" t="str">
        <f aca="false">IF(Tasks[[#This Row],[Task Name]]="","",IF(Tasks[[#This Row],[_IsSummary]],MAX(INDEX(Tasks[_LeafCalcFinish],Tasks[[#This Row],[_Row]]+1):INDEX(Tasks[_LeafCalcFinish],Tasks[[#This Row],[_Row]]+Tasks[[#This Row],[_Descendants]])),Tasks[[#This Row],[_LeafCalcFinish]]))</f>
        <v/>
      </c>
      <c r="CL1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6" s="41" t="n">
        <f aca="false">IF(AND(Tasks[[#This Row],[_IsLeaf]]=1,Tasks[[#This Row],[_LeafWork]]&gt;0),NETWORKDAYS.INTL(ProjectStart,Tasks[[#This Row],[_LeafFcstStart]],WorkWeek,Holidays),0)</f>
        <v>0</v>
      </c>
      <c r="CS136" s="41" t="n">
        <f aca="false">IF(AND(Tasks[[#This Row],[_IsLeaf]]=1,Tasks[[#This Row],[_LeafWork]]&gt;0),MAX(Tasks[[#This Row],[_StartWorkday]],NETWORKDAYS.INTL(ProjectStart,Tasks[[#This Row],[_LeafFcstFinish]],WorkWeek,Holidays)),0)</f>
        <v>0</v>
      </c>
      <c r="CT136" s="41" t="n">
        <f aca="false">IF(AND(Tasks[[#This Row],[_IsLeaf]]=1,Tasks[[#This Row],[_LeafWork]]&gt;0),Tasks[[#This Row],[_LeafWork]]/(Tasks[[#This Row],[_FinishWorkday]]-Tasks[[#This Row],[_StartWorkday]]+1),0)</f>
        <v>0</v>
      </c>
      <c r="CU136" s="41" t="n">
        <f aca="false">Tasks[[#This Row],[_WorkPerWorkday]]*(Tasks[[#This Row],[_StartWorkday]]-1)</f>
        <v>-0</v>
      </c>
      <c r="CV136" s="41" t="n">
        <f aca="false">IF(Tasks[[#This Row],[_IsLeaf]]=1,MAX(N(Tasks[[#This Row],[Duration]]),0.1),0)</f>
        <v>0</v>
      </c>
      <c r="CW136" s="41" t="n">
        <f aca="false">Tasks[[#This Row],[_WeightDur]]*Tasks[[#This Row],[_LeafProgress]]</f>
        <v>0</v>
      </c>
      <c r="CX1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6" s="41" t="str">
        <f aca="false">IF(Tasks[[#This Row],[Task Name]]="","",Tasks[[#This Row],[_Pred1UIDText]]&amp;IF(AND(Tasks[[#This Row],[_Pred1UIDText]]&lt;&gt;"",Tasks[[#This Row],[_Pred2UIDText]]&lt;&gt;""),",","")&amp;Tasks[[#This Row],[_Pred2UIDText]])</f>
        <v/>
      </c>
      <c r="DC136" s="41" t="str">
        <f aca="false">IF(AND(Tasks[[#This Row],[_IsLeaf]]=1,N(Tasks[[#This Row],[Duration]])=0,Tasks[[#This Row],[_LeafProgress]]&lt;1),Tasks[[#This Row],[_LeafFcstFinish]]+Tasks[[#This Row],[_Row]]/100000,"")</f>
        <v/>
      </c>
      <c r="DD1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6" s="41" t="n">
        <f aca="false">IF(NOT(Tasks[[#This Row],[_IsLeaf]]=1),0,IF(Tasks[[#This Row],[Baseline Cost]]="",Tasks[[#This Row],[_LeafCost]],N(Tasks[[#This Row],[Baseline Cost]])))</f>
        <v>0</v>
      </c>
      <c r="DF136" s="41" t="n">
        <f aca="false">Tasks[[#This Row],[_LeafBudget]]*Tasks[[#This Row],[_PlannedPct]]</f>
        <v>0</v>
      </c>
      <c r="DG136" s="41" t="n">
        <f aca="false">Tasks[[#This Row],[_LeafBudget]]*Tasks[[#This Row],[_LeafProgress]]</f>
        <v>0</v>
      </c>
      <c r="DH136" s="41" t="n">
        <f aca="false">IF(NOT(Tasks[[#This Row],[_IsLeaf]]=1),0,IF(Tasks[[#This Row],[Actual Cost]]="",Tasks[[#This Row],[_LeafCost]]*Tasks[[#This Row],[_LeafProgress]],N(Tasks[[#This Row],[Actual Cost]])))</f>
        <v>0</v>
      </c>
      <c r="DI136" s="41" t="str">
        <f aca="false">IF(Tasks[[#This Row],[Task Name]]="","",LEFT(Tasks[[#This Row],[WBS]],FIND(".",Tasks[[#This Row],[WBS]]&amp;".")-1))</f>
        <v/>
      </c>
      <c r="DJ136" s="41" t="str">
        <f aca="false">IF(AND(Tasks[[#This Row],[Task Name]]&lt;&gt;"",Tasks[[#This Row],[_Level]]=1),Tasks[[#This Row],[_Row]],"")</f>
        <v/>
      </c>
      <c r="DK136" s="41" t="str">
        <f aca="false">IF(AND(Tasks[[#This Row],[_IsLeaf]]=1,N(Tasks[[#This Row],[Duration]])=0),Tasks[[#This Row],[Planned Finish]]+Tasks[[#This Row],[_Row]]/100000,"")</f>
        <v/>
      </c>
      <c r="DL136" s="41" t="str">
        <f aca="false">IF(AND(Tasks[[#This Row],[_IsLeaf]]=1,Tasks[[#This Row],[_LeafProgress]]&lt;1,OR(N(Tasks[[#This Row],[Finish Var]])&gt;0,Tasks[[#This Row],[Status]]="Late Start")),MAX(0,Tasks[[#This Row],[Finish Var]])+1-Tasks[[#This Row],[_Row]]/1000000,"")</f>
        <v/>
      </c>
      <c r="DM136" s="41" t="str">
        <f aca="false">IF(AND(Tasks[[#This Row],[_IsLeaf]]=1,N(Tasks[[#This Row],[Actual Start]])=0,Tasks[[#This Row],[_LeafFcstStart]]&gt;=StatusDate,Tasks[[#This Row],[_LeafFcstStart]]&lt;=LookaheadEnd),Tasks[[#This Row],[_LeafFcstStart]]+Tasks[[#This Row],[_Row]]/100000,"")</f>
        <v/>
      </c>
      <c r="DN136" s="41" t="str">
        <f aca="false">IF(AND(Tasks[[#This Row],[_IsLeaf]]=1,Tasks[[#This Row],[_LeafProgress]]&lt;1,Tasks[[#This Row],[_LeafFcstFinish]]&gt;=StatusDate,Tasks[[#This Row],[_LeafFcstFinish]]&lt;=LookaheadEnd),Tasks[[#This Row],[_LeafFcstFinish]]+Tasks[[#This Row],[_Row]]/100000,"")</f>
        <v/>
      </c>
      <c r="DO136" s="41" t="str">
        <f aca="false">IF(Tasks[[#This Row],[_LeafCritical]],Tasks[[#This Row],[_LeafFcstStart]]+Tasks[[#This Row],[_Row]]/100000,"")</f>
        <v/>
      </c>
      <c r="DP136" s="41" t="n">
        <f aca="false">Tasks[[#This Row],[_LeafWork]]*Tasks[[#This Row],[_LeafProgress]]</f>
        <v>0</v>
      </c>
      <c r="DQ136" s="103" t="str">
        <f aca="false">IF(AND(Tasks[[#This Row],[_IsLeaf]]=1,Tasks[[#This Row],[_LeafProgress]]&gt;=1),IF(N(Tasks[[#This Row],[Actual Finish]])&gt;0,Tasks[[#This Row],[Actual Finish]],Tasks[[#This Row],[_LeafFcstFinish]]),"")</f>
        <v/>
      </c>
      <c r="DR136" s="41" t="n">
        <f aca="false">IF(Tasks[[#This Row],[_IsLeaf]]=1,N(Tasks[[#This Row],[Story Points]]),0)</f>
        <v>0</v>
      </c>
      <c r="DS136" s="41" t="str">
        <f aca="false">IF(AND(Tasks[[#This Row],[_IsLeaf]]=1,CurrentSprint&lt;&gt;"",Tasks[[#This Row],[Sprint]]=CurrentSprint),Tasks[[#This Row],[_Row]],"")</f>
        <v/>
      </c>
    </row>
    <row r="137" customFormat="false" ht="15" hidden="false" customHeight="false" outlineLevel="0" collapsed="false">
      <c r="A137" s="28" t="str">
        <f aca="false">IF(Tasks[[#This Row],[Task Name]]="","",COUNTA(Tasks[[#Headers],[Task Name]]:Tasks[[#This Row],[Task Name]])-1)</f>
        <v/>
      </c>
      <c r="B137" s="29" t="n">
        <v>132</v>
      </c>
      <c r="C1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29"/>
      <c r="E137" s="30"/>
      <c r="F137" s="29"/>
      <c r="G137" s="29"/>
      <c r="H137" s="29"/>
      <c r="I137" s="29"/>
      <c r="J137" s="29"/>
      <c r="K137" s="29"/>
      <c r="L137" s="29"/>
      <c r="M137" s="29"/>
      <c r="N137" s="77"/>
      <c r="O137" s="77"/>
      <c r="P137" s="25" t="str">
        <f aca="false">IF(Tasks[[#This Row],[Task Name]]="","",IF(N(Tasks[[#This Row],[Baseline Start]])&gt;0,Tasks[[#This Row],[Baseline Start]],Tasks[[#This Row],[_CalcStart]]))</f>
        <v/>
      </c>
      <c r="Q137" s="25" t="str">
        <f aca="false">IF(Tasks[[#This Row],[Task Name]]="","",IF(N(Tasks[[#This Row],[Baseline Finish]])&gt;0,Tasks[[#This Row],[Baseline Finish]],Tasks[[#This Row],[_CalcFinish]]))</f>
        <v/>
      </c>
      <c r="R137" s="77"/>
      <c r="S137" s="77"/>
      <c r="T137" s="25" t="str">
        <f aca="false">IF(Tasks[[#This Row],[Task Name]]="","",IF(Tasks[[#This Row],[_IsSummary]],MIN(INDEX(Tasks[_LeafFcstStart],Tasks[[#This Row],[_Row]]+1):INDEX(Tasks[_LeafFcstStart],Tasks[[#This Row],[_Row]]+Tasks[[#This Row],[_Descendants]])),Tasks[[#This Row],[_LeafFcstStart]]))</f>
        <v/>
      </c>
      <c r="U137" s="25" t="str">
        <f aca="false">IF(Tasks[[#This Row],[Task Name]]="","",IF(Tasks[[#This Row],[_IsSummary]],MAX(INDEX(Tasks[_LeafFcstFinish],Tasks[[#This Row],[_Row]]+1):INDEX(Tasks[_LeafFcstFinish],Tasks[[#This Row],[_Row]]+Tasks[[#This Row],[_Descendants]])),Tasks[[#This Row],[_LeafFcstFinish]]))</f>
        <v/>
      </c>
      <c r="V13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7" s="25" t="str">
        <f aca="false">IF(Tasks[[#This Row],[Task Name]]="","",IF(Tasks[[#This Row],[_IsSummary]],MIN(INDEX(Tasks[_LeafLateStart],Tasks[[#This Row],[_Row]]+1):INDEX(Tasks[_LeafLateStart],Tasks[[#This Row],[_Row]]+Tasks[[#This Row],[_Descendants]])),Tasks[[#This Row],[_LeafLateStart]]))</f>
        <v/>
      </c>
      <c r="Y137" s="25" t="str">
        <f aca="false">IF(Tasks[[#This Row],[Task Name]]="","",IF(Tasks[[#This Row],[_IsSummary]],MAX(INDEX(Tasks[_LeafLateFinish],Tasks[[#This Row],[_Row]]+1):INDEX(Tasks[_LeafLateFinish],Tasks[[#This Row],[_Row]]+Tasks[[#This Row],[_Descendants]])),Tasks[[#This Row],[_LeafLateFinish]]))</f>
        <v/>
      </c>
      <c r="Z137" s="43" t="str">
        <f aca="false">IF(Tasks[[#This Row],[Task Name]]="","",IF(Tasks[[#This Row],[_IsSummary]],MIN(INDEX(Tasks[_LeafTotalSlack],Tasks[[#This Row],[_Row]]+1):INDEX(Tasks[_LeafTotalSlack],Tasks[[#This Row],[_Row]]+Tasks[[#This Row],[_Descendants]])),Tasks[[#This Row],[_LeafTotalSlack]]))</f>
        <v/>
      </c>
      <c r="AA1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7" s="28" t="str">
        <f aca="false">IF(Tasks[[#This Row],[Task Name]]="","",IF(IF(Tasks[[#This Row],[_IsSummary]],COUNTIF(INDEX(Tasks[_LeafCritical],Tasks[[#This Row],[_Row]]+1):INDEX(Tasks[_LeafCritical],Tasks[[#This Row],[_Row]]+Tasks[[#This Row],[_Descendants]]),TRUE())&gt;0,Tasks[[#This Row],[_LeafCritical]]),"Yes",""))</f>
        <v/>
      </c>
      <c r="AC1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7" s="24" t="str">
        <f aca="false">IF(Tasks[[#This Row],[Task Name]]="","",TRIM(IF(Tasks[[#This Row],[_Pred1Problem]]&lt;&gt;"","Pred 1: "&amp;Tasks[[#This Row],[_Pred1Problem]]&amp;". ","")&amp;IF(Tasks[[#This Row],[_Pred2Problem]]&lt;&gt;"","Pred 2: "&amp;Tasks[[#This Row],[_Pred2Problem]]&amp;".","")))</f>
        <v/>
      </c>
      <c r="AE137" s="91"/>
      <c r="AF13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7" s="28" t="str">
        <f aca="false">IF(Tasks[[#This Row],[Task Name]]="","",IF(Tasks[[#This Row],[Progress]]&gt;=1,"Complete",IF(OR(N(Tasks[[#This Row],[Actual Start]])&gt;0,Tasks[[#This Row],[Progress]]&gt;0),IF(Tasks[[#This Row],[Finish Var]]&gt;0,"Behind","In Progress"),IF(Tasks[[#This Row],[Planned Start]]&lt;StatusDate,"Late Start","Not Started"))))</f>
        <v/>
      </c>
      <c r="AH137" s="30"/>
      <c r="AI137" s="91"/>
      <c r="AJ13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7" s="98" t="str">
        <f aca="false">IF(Tasks[[#This Row],[Task Name]]="","",IF(Tasks[[#This Row],[_IsSummary]],SUM(INDEX(Tasks[_LeafWork],Tasks[[#This Row],[_Row]]+1):INDEX(Tasks[_LeafWork],Tasks[[#This Row],[_Row]]+Tasks[[#This Row],[_Descendants]])),Tasks[[#This Row],[_LeafWork]]))</f>
        <v/>
      </c>
      <c r="AL137" s="99" t="str">
        <f aca="false">IF(Tasks[[#This Row],[Task Name]]="","",IF(Tasks[[#This Row],[_IsSummary]],SUM(INDEX(Tasks[_LeafCost],Tasks[[#This Row],[_Row]]+1):INDEX(Tasks[_LeafCost],Tasks[[#This Row],[_Row]]+Tasks[[#This Row],[_Descendants]])),Tasks[[#This Row],[_LeafCost]]))</f>
        <v/>
      </c>
      <c r="AM137" s="100"/>
      <c r="AN137" s="29"/>
      <c r="AO1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7" s="85"/>
      <c r="AQ137" s="24" t="str">
        <f aca="false">IF(Tasks[[#This Row],[Task Name]]="","",Tasks[[#This Row],[_Pred1IDText]]&amp;IF(AND(Tasks[[#This Row],[_Pred1IDText]]&lt;&gt;"",Tasks[[#This Row],[_Pred2IDText]]&lt;&gt;""),",","")&amp;Tasks[[#This Row],[_Pred2IDText]])</f>
        <v/>
      </c>
      <c r="AR137" s="30"/>
      <c r="AS137" s="25" t="str">
        <f aca="false">IF(Tasks[[#This Row],[Task Name]]="","",Tasks[[#This Row],[Forecast Start]])</f>
        <v/>
      </c>
      <c r="AT137" s="25" t="str">
        <f aca="false">IF(Tasks[[#This Row],[Task Name]]="","",Tasks[[#This Row],[Forecast Finish]])</f>
        <v/>
      </c>
      <c r="AU137" s="28" t="str">
        <f aca="false">IF(Tasks[[#This Row],[Task Name]]="","",IF(Tasks[[#This Row],[_IsSummary]],NETWORKDAYS.INTL(Tasks[[#This Row],[Forecast Start]],Tasks[[#This Row],[Forecast Finish]],WorkWeek,Holidays),N(Tasks[[#This Row],[Duration]])))</f>
        <v/>
      </c>
      <c r="AV137" s="98" t="str">
        <f aca="false">IF(Tasks[[#This Row],[Task Name]]="","",Tasks[[#This Row],[Work]])</f>
        <v/>
      </c>
      <c r="AW137" s="99" t="str">
        <f aca="false">IF(Tasks[[#This Row],[Task Name]]="","",Tasks[[#This Row],[Cost]])</f>
        <v/>
      </c>
      <c r="AX137" s="77"/>
      <c r="AY137" s="77"/>
      <c r="AZ137" s="29"/>
      <c r="BA137" s="101"/>
      <c r="BB137" s="100"/>
      <c r="BC137" s="28" t="str">
        <f aca="false">IF(OR(Tasks[[#This Row],[Task Name]]="",Tasks[[#This Row],[Baseline Duration]]=""),"",Tasks[[#This Row],[BL Source Duration]]-N(Tasks[[#This Row],[Baseline Duration]]))</f>
        <v/>
      </c>
      <c r="BD137" s="98" t="str">
        <f aca="false">IF(OR(Tasks[[#This Row],[Task Name]]="",Tasks[[#This Row],[Baseline Work]]=""),"",Tasks[[#This Row],[Work]]-N(Tasks[[#This Row],[Baseline Work]]))</f>
        <v/>
      </c>
      <c r="BE137" s="99" t="str">
        <f aca="false">IF(OR(Tasks[[#This Row],[Task Name]]="",Tasks[[#This Row],[Baseline Cost]]=""),"",Tasks[[#This Row],[Cost]]-N(Tasks[[#This Row],[Baseline Cost]]))</f>
        <v/>
      </c>
      <c r="BF137" s="99" t="str">
        <f aca="false">IF(Tasks[[#This Row],[Task Name]]="","",IF(Tasks[[#This Row],[_IsSummary]],SUM(INDEX(Tasks[_LeafBudget],Tasks[[#This Row],[_Row]]+1):INDEX(Tasks[_LeafBudget],Tasks[[#This Row],[_Row]]+Tasks[[#This Row],[_Descendants]])),Tasks[[#This Row],[_LeafBudget]]))</f>
        <v/>
      </c>
      <c r="BG137" s="99" t="str">
        <f aca="false">IF(Tasks[[#This Row],[Task Name]]="","",IF(Tasks[[#This Row],[_IsSummary]],SUM(INDEX(Tasks[_LeafPV],Tasks[[#This Row],[_Row]]+1):INDEX(Tasks[_LeafPV],Tasks[[#This Row],[_Row]]+Tasks[[#This Row],[_Descendants]])),Tasks[[#This Row],[_LeafPV]]))</f>
        <v/>
      </c>
      <c r="BH137" s="99" t="str">
        <f aca="false">IF(Tasks[[#This Row],[Task Name]]="","",IF(Tasks[[#This Row],[_IsSummary]],SUM(INDEX(Tasks[_LeafEV],Tasks[[#This Row],[_Row]]+1):INDEX(Tasks[_LeafEV],Tasks[[#This Row],[_Row]]+Tasks[[#This Row],[_Descendants]])),Tasks[[#This Row],[_LeafEV]]))</f>
        <v/>
      </c>
      <c r="BI137" s="99" t="str">
        <f aca="false">IF(Tasks[[#This Row],[Task Name]]="","",IF(Tasks[[#This Row],[_IsSummary]],SUM(INDEX(Tasks[_LeafAC],Tasks[[#This Row],[_Row]]+1):INDEX(Tasks[_LeafAC],Tasks[[#This Row],[_Row]]+Tasks[[#This Row],[_Descendants]])),Tasks[[#This Row],[_LeafAC]]))</f>
        <v/>
      </c>
      <c r="BJ137" s="41" t="str">
        <f aca="false">IF(Tasks[[#This Row],[Task Name]]="","",MAX(1,N(Tasks[[#This Row],[Level]])))</f>
        <v/>
      </c>
      <c r="BK137" s="41" t="n">
        <f aca="false">ROW()-ROW(Tasks[[#Headers],[ID]])</f>
        <v>132</v>
      </c>
      <c r="BL137" s="41" t="n">
        <f aca="false">IF(OR(Tasks[[#This Row],[Task Name]]="",Tasks[[#This Row],[_Level]]&lt;=1),0,IFERROR(LOOKUP(2,1/(Tasks[[#Headers],[_Level]]:Tasks[[#This Row],[_Level]]=Tasks[[#This Row],[_Level]]-1),ROW(Tasks[[#Headers],[_Level]]:Tasks[[#This Row],[_Level]])),0))</f>
        <v>0</v>
      </c>
      <c r="BM137" s="41" t="n">
        <f aca="false">IFERROR(N(INDEX(Tasks[_Level],Tasks[[#This Row],[_Row]]+1)),0)</f>
        <v>0</v>
      </c>
      <c r="BN137" s="102" t="b">
        <f aca="false">AND(Tasks[[#This Row],[Task Name]]&lt;&gt;"",Tasks[[#This Row],[_NextLevel]]&gt;Tasks[[#This Row],[_Level]])</f>
        <v>0</v>
      </c>
      <c r="BO137" s="41" t="n">
        <f aca="false">IF(Tasks[[#This Row],[_IsSummary]],COUNTIF(Tasks[WBS],Tasks[[#This Row],[WBS]]&amp;".*"),0)</f>
        <v>0</v>
      </c>
      <c r="BP137" s="41" t="n">
        <f aca="false">IF(AND(Tasks[[#This Row],[Task Name]]&lt;&gt;"",NOT(Tasks[[#This Row],[_IsSummary]])),1,0)</f>
        <v>0</v>
      </c>
      <c r="BQ137" s="41" t="n">
        <f aca="false">IF(N(Tasks[[#This Row],[Pred1 UID]])=0,0,IFERROR(MATCH(Tasks[[#This Row],[Pred1 UID]],Tasks[UID],0),-1))</f>
        <v>0</v>
      </c>
      <c r="BR137" s="41" t="n">
        <f aca="false">IF(N(Tasks[[#This Row],[Pred2 UID]])=0,0,IFERROR(MATCH(Tasks[[#This Row],[Pred2 UID]],Tasks[UID],0),-1))</f>
        <v>0</v>
      </c>
      <c r="BS13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7" s="103" t="str">
        <f aca="false">IF(NOT(Tasks[[#This Row],[_IsLeaf]]=1),"",IF(N(Tasks[[#This Row],[Duration]])&lt;=0,Tasks[[#This Row],[_LeafCalcStart]],WORKDAY.INTL(Tasks[[#This Row],[_LeafCalcStart]],Tasks[[#This Row],[Duration]]-1,WorkWeek,Holidays)))</f>
        <v/>
      </c>
      <c r="BU13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7" s="41" t="n">
        <f aca="false">IF(NOT(Tasks[[#This Row],[_IsLeaf]]=1),0,IF(N(Tasks[[#This Row],[Actual Finish]])&gt;0,1,MIN(1,N(Tasks[[#This Row],[% Complete]]))))</f>
        <v>0</v>
      </c>
      <c r="BX137" s="41" t="n">
        <f aca="false">IF(OR(NOT(Tasks[[#This Row],[_IsLeaf]]=1),Tasks[[#This Row],[Resource]]=""),0,N(Tasks[[#This Row],[Duration]])*HoursPerDay*IF(Tasks[[#This Row],[Units]]="",DefaultUnits,Tasks[[#This Row],[Units]]))</f>
        <v>0</v>
      </c>
      <c r="BY137" s="41" t="n">
        <f aca="false">IF(Tasks[[#This Row],[_LeafWork]]=0,0,Tasks[[#This Row],[_LeafWork]]*IFERROR(INDEX(res_Rate,MATCH(Tasks[[#This Row],[Resource]],res_Name,0)),0))</f>
        <v>0</v>
      </c>
      <c r="BZ1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7" s="41" t="n">
        <f aca="false">IF(NOT(Tasks[[#This Row],[_IsLeaf]]=1),0,MAX(_xlfn.MAXIFS(Tasks[_Row],Tasks[Pred1 UID],Tasks[[#This Row],[UID]]),_xlfn.MAXIFS(Tasks[_Row],Tasks[Pred2 UID],Tasks[[#This Row],[UID]])))</f>
        <v>0</v>
      </c>
      <c r="CE13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7" s="103" t="str">
        <f aca="false">IF(NOT(Tasks[[#This Row],[_IsLeaf]]=1),"",MIN(ProjectFinish,IF(N(Tasks[[#This Row],[Deadline]])&gt;0,Tasks[[#This Row],[Deadline]],2958465),Tasks[[#This Row],[_SuccessorFinishLimit]]))</f>
        <v/>
      </c>
      <c r="CG137" s="103" t="str">
        <f aca="false">IF(NOT(Tasks[[#This Row],[_IsLeaf]]=1),"",IF(N(Tasks[[#This Row],[Duration]])&lt;=0,Tasks[[#This Row],[_LeafLateFinish]],WORKDAY.INTL(Tasks[[#This Row],[_LeafLateFinish]],-(Tasks[[#This Row],[Duration]]-1),WorkWeek,Holidays)))</f>
        <v/>
      </c>
      <c r="CH1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7" s="102" t="b">
        <f aca="false">AND(Tasks[[#This Row],[_IsLeaf]]=1,Tasks[[#This Row],[_LeafProgress]]&lt;1,N(Tasks[[#This Row],[_LeafTotalSlack]])&lt;=CriticalSlackDays)</f>
        <v>0</v>
      </c>
      <c r="CJ137" s="103" t="str">
        <f aca="false">IF(Tasks[[#This Row],[Task Name]]="","",IF(Tasks[[#This Row],[_IsSummary]],MIN(INDEX(Tasks[_LeafCalcStart],Tasks[[#This Row],[_Row]]+1):INDEX(Tasks[_LeafCalcStart],Tasks[[#This Row],[_Row]]+Tasks[[#This Row],[_Descendants]])),Tasks[[#This Row],[_LeafCalcStart]]))</f>
        <v/>
      </c>
      <c r="CK137" s="103" t="str">
        <f aca="false">IF(Tasks[[#This Row],[Task Name]]="","",IF(Tasks[[#This Row],[_IsSummary]],MAX(INDEX(Tasks[_LeafCalcFinish],Tasks[[#This Row],[_Row]]+1):INDEX(Tasks[_LeafCalcFinish],Tasks[[#This Row],[_Row]]+Tasks[[#This Row],[_Descendants]])),Tasks[[#This Row],[_LeafCalcFinish]]))</f>
        <v/>
      </c>
      <c r="CL1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7" s="41" t="n">
        <f aca="false">IF(AND(Tasks[[#This Row],[_IsLeaf]]=1,Tasks[[#This Row],[_LeafWork]]&gt;0),NETWORKDAYS.INTL(ProjectStart,Tasks[[#This Row],[_LeafFcstStart]],WorkWeek,Holidays),0)</f>
        <v>0</v>
      </c>
      <c r="CS137" s="41" t="n">
        <f aca="false">IF(AND(Tasks[[#This Row],[_IsLeaf]]=1,Tasks[[#This Row],[_LeafWork]]&gt;0),MAX(Tasks[[#This Row],[_StartWorkday]],NETWORKDAYS.INTL(ProjectStart,Tasks[[#This Row],[_LeafFcstFinish]],WorkWeek,Holidays)),0)</f>
        <v>0</v>
      </c>
      <c r="CT137" s="41" t="n">
        <f aca="false">IF(AND(Tasks[[#This Row],[_IsLeaf]]=1,Tasks[[#This Row],[_LeafWork]]&gt;0),Tasks[[#This Row],[_LeafWork]]/(Tasks[[#This Row],[_FinishWorkday]]-Tasks[[#This Row],[_StartWorkday]]+1),0)</f>
        <v>0</v>
      </c>
      <c r="CU137" s="41" t="n">
        <f aca="false">Tasks[[#This Row],[_WorkPerWorkday]]*(Tasks[[#This Row],[_StartWorkday]]-1)</f>
        <v>-0</v>
      </c>
      <c r="CV137" s="41" t="n">
        <f aca="false">IF(Tasks[[#This Row],[_IsLeaf]]=1,MAX(N(Tasks[[#This Row],[Duration]]),0.1),0)</f>
        <v>0</v>
      </c>
      <c r="CW137" s="41" t="n">
        <f aca="false">Tasks[[#This Row],[_WeightDur]]*Tasks[[#This Row],[_LeafProgress]]</f>
        <v>0</v>
      </c>
      <c r="CX1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7" s="41" t="str">
        <f aca="false">IF(Tasks[[#This Row],[Task Name]]="","",Tasks[[#This Row],[_Pred1UIDText]]&amp;IF(AND(Tasks[[#This Row],[_Pred1UIDText]]&lt;&gt;"",Tasks[[#This Row],[_Pred2UIDText]]&lt;&gt;""),",","")&amp;Tasks[[#This Row],[_Pred2UIDText]])</f>
        <v/>
      </c>
      <c r="DC137" s="41" t="str">
        <f aca="false">IF(AND(Tasks[[#This Row],[_IsLeaf]]=1,N(Tasks[[#This Row],[Duration]])=0,Tasks[[#This Row],[_LeafProgress]]&lt;1),Tasks[[#This Row],[_LeafFcstFinish]]+Tasks[[#This Row],[_Row]]/100000,"")</f>
        <v/>
      </c>
      <c r="DD1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7" s="41" t="n">
        <f aca="false">IF(NOT(Tasks[[#This Row],[_IsLeaf]]=1),0,IF(Tasks[[#This Row],[Baseline Cost]]="",Tasks[[#This Row],[_LeafCost]],N(Tasks[[#This Row],[Baseline Cost]])))</f>
        <v>0</v>
      </c>
      <c r="DF137" s="41" t="n">
        <f aca="false">Tasks[[#This Row],[_LeafBudget]]*Tasks[[#This Row],[_PlannedPct]]</f>
        <v>0</v>
      </c>
      <c r="DG137" s="41" t="n">
        <f aca="false">Tasks[[#This Row],[_LeafBudget]]*Tasks[[#This Row],[_LeafProgress]]</f>
        <v>0</v>
      </c>
      <c r="DH137" s="41" t="n">
        <f aca="false">IF(NOT(Tasks[[#This Row],[_IsLeaf]]=1),0,IF(Tasks[[#This Row],[Actual Cost]]="",Tasks[[#This Row],[_LeafCost]]*Tasks[[#This Row],[_LeafProgress]],N(Tasks[[#This Row],[Actual Cost]])))</f>
        <v>0</v>
      </c>
      <c r="DI137" s="41" t="str">
        <f aca="false">IF(Tasks[[#This Row],[Task Name]]="","",LEFT(Tasks[[#This Row],[WBS]],FIND(".",Tasks[[#This Row],[WBS]]&amp;".")-1))</f>
        <v/>
      </c>
      <c r="DJ137" s="41" t="str">
        <f aca="false">IF(AND(Tasks[[#This Row],[Task Name]]&lt;&gt;"",Tasks[[#This Row],[_Level]]=1),Tasks[[#This Row],[_Row]],"")</f>
        <v/>
      </c>
      <c r="DK137" s="41" t="str">
        <f aca="false">IF(AND(Tasks[[#This Row],[_IsLeaf]]=1,N(Tasks[[#This Row],[Duration]])=0),Tasks[[#This Row],[Planned Finish]]+Tasks[[#This Row],[_Row]]/100000,"")</f>
        <v/>
      </c>
      <c r="DL137" s="41" t="str">
        <f aca="false">IF(AND(Tasks[[#This Row],[_IsLeaf]]=1,Tasks[[#This Row],[_LeafProgress]]&lt;1,OR(N(Tasks[[#This Row],[Finish Var]])&gt;0,Tasks[[#This Row],[Status]]="Late Start")),MAX(0,Tasks[[#This Row],[Finish Var]])+1-Tasks[[#This Row],[_Row]]/1000000,"")</f>
        <v/>
      </c>
      <c r="DM137" s="41" t="str">
        <f aca="false">IF(AND(Tasks[[#This Row],[_IsLeaf]]=1,N(Tasks[[#This Row],[Actual Start]])=0,Tasks[[#This Row],[_LeafFcstStart]]&gt;=StatusDate,Tasks[[#This Row],[_LeafFcstStart]]&lt;=LookaheadEnd),Tasks[[#This Row],[_LeafFcstStart]]+Tasks[[#This Row],[_Row]]/100000,"")</f>
        <v/>
      </c>
      <c r="DN137" s="41" t="str">
        <f aca="false">IF(AND(Tasks[[#This Row],[_IsLeaf]]=1,Tasks[[#This Row],[_LeafProgress]]&lt;1,Tasks[[#This Row],[_LeafFcstFinish]]&gt;=StatusDate,Tasks[[#This Row],[_LeafFcstFinish]]&lt;=LookaheadEnd),Tasks[[#This Row],[_LeafFcstFinish]]+Tasks[[#This Row],[_Row]]/100000,"")</f>
        <v/>
      </c>
      <c r="DO137" s="41" t="str">
        <f aca="false">IF(Tasks[[#This Row],[_LeafCritical]],Tasks[[#This Row],[_LeafFcstStart]]+Tasks[[#This Row],[_Row]]/100000,"")</f>
        <v/>
      </c>
      <c r="DP137" s="41" t="n">
        <f aca="false">Tasks[[#This Row],[_LeafWork]]*Tasks[[#This Row],[_LeafProgress]]</f>
        <v>0</v>
      </c>
      <c r="DQ137" s="103" t="str">
        <f aca="false">IF(AND(Tasks[[#This Row],[_IsLeaf]]=1,Tasks[[#This Row],[_LeafProgress]]&gt;=1),IF(N(Tasks[[#This Row],[Actual Finish]])&gt;0,Tasks[[#This Row],[Actual Finish]],Tasks[[#This Row],[_LeafFcstFinish]]),"")</f>
        <v/>
      </c>
      <c r="DR137" s="41" t="n">
        <f aca="false">IF(Tasks[[#This Row],[_IsLeaf]]=1,N(Tasks[[#This Row],[Story Points]]),0)</f>
        <v>0</v>
      </c>
      <c r="DS137" s="41" t="str">
        <f aca="false">IF(AND(Tasks[[#This Row],[_IsLeaf]]=1,CurrentSprint&lt;&gt;"",Tasks[[#This Row],[Sprint]]=CurrentSprint),Tasks[[#This Row],[_Row]],"")</f>
        <v/>
      </c>
    </row>
    <row r="138" customFormat="false" ht="15" hidden="false" customHeight="false" outlineLevel="0" collapsed="false">
      <c r="A138" s="28" t="str">
        <f aca="false">IF(Tasks[[#This Row],[Task Name]]="","",COUNTA(Tasks[[#Headers],[Task Name]]:Tasks[[#This Row],[Task Name]])-1)</f>
        <v/>
      </c>
      <c r="B138" s="29" t="n">
        <v>133</v>
      </c>
      <c r="C1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29"/>
      <c r="E138" s="30"/>
      <c r="F138" s="29"/>
      <c r="G138" s="29"/>
      <c r="H138" s="29"/>
      <c r="I138" s="29"/>
      <c r="J138" s="29"/>
      <c r="K138" s="29"/>
      <c r="L138" s="29"/>
      <c r="M138" s="29"/>
      <c r="N138" s="77"/>
      <c r="O138" s="77"/>
      <c r="P138" s="25" t="str">
        <f aca="false">IF(Tasks[[#This Row],[Task Name]]="","",IF(N(Tasks[[#This Row],[Baseline Start]])&gt;0,Tasks[[#This Row],[Baseline Start]],Tasks[[#This Row],[_CalcStart]]))</f>
        <v/>
      </c>
      <c r="Q138" s="25" t="str">
        <f aca="false">IF(Tasks[[#This Row],[Task Name]]="","",IF(N(Tasks[[#This Row],[Baseline Finish]])&gt;0,Tasks[[#This Row],[Baseline Finish]],Tasks[[#This Row],[_CalcFinish]]))</f>
        <v/>
      </c>
      <c r="R138" s="77"/>
      <c r="S138" s="77"/>
      <c r="T138" s="25" t="str">
        <f aca="false">IF(Tasks[[#This Row],[Task Name]]="","",IF(Tasks[[#This Row],[_IsSummary]],MIN(INDEX(Tasks[_LeafFcstStart],Tasks[[#This Row],[_Row]]+1):INDEX(Tasks[_LeafFcstStart],Tasks[[#This Row],[_Row]]+Tasks[[#This Row],[_Descendants]])),Tasks[[#This Row],[_LeafFcstStart]]))</f>
        <v/>
      </c>
      <c r="U138" s="25" t="str">
        <f aca="false">IF(Tasks[[#This Row],[Task Name]]="","",IF(Tasks[[#This Row],[_IsSummary]],MAX(INDEX(Tasks[_LeafFcstFinish],Tasks[[#This Row],[_Row]]+1):INDEX(Tasks[_LeafFcstFinish],Tasks[[#This Row],[_Row]]+Tasks[[#This Row],[_Descendants]])),Tasks[[#This Row],[_LeafFcstFinish]]))</f>
        <v/>
      </c>
      <c r="V13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8" s="25" t="str">
        <f aca="false">IF(Tasks[[#This Row],[Task Name]]="","",IF(Tasks[[#This Row],[_IsSummary]],MIN(INDEX(Tasks[_LeafLateStart],Tasks[[#This Row],[_Row]]+1):INDEX(Tasks[_LeafLateStart],Tasks[[#This Row],[_Row]]+Tasks[[#This Row],[_Descendants]])),Tasks[[#This Row],[_LeafLateStart]]))</f>
        <v/>
      </c>
      <c r="Y138" s="25" t="str">
        <f aca="false">IF(Tasks[[#This Row],[Task Name]]="","",IF(Tasks[[#This Row],[_IsSummary]],MAX(INDEX(Tasks[_LeafLateFinish],Tasks[[#This Row],[_Row]]+1):INDEX(Tasks[_LeafLateFinish],Tasks[[#This Row],[_Row]]+Tasks[[#This Row],[_Descendants]])),Tasks[[#This Row],[_LeafLateFinish]]))</f>
        <v/>
      </c>
      <c r="Z138" s="43" t="str">
        <f aca="false">IF(Tasks[[#This Row],[Task Name]]="","",IF(Tasks[[#This Row],[_IsSummary]],MIN(INDEX(Tasks[_LeafTotalSlack],Tasks[[#This Row],[_Row]]+1):INDEX(Tasks[_LeafTotalSlack],Tasks[[#This Row],[_Row]]+Tasks[[#This Row],[_Descendants]])),Tasks[[#This Row],[_LeafTotalSlack]]))</f>
        <v/>
      </c>
      <c r="AA1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8" s="28" t="str">
        <f aca="false">IF(Tasks[[#This Row],[Task Name]]="","",IF(IF(Tasks[[#This Row],[_IsSummary]],COUNTIF(INDEX(Tasks[_LeafCritical],Tasks[[#This Row],[_Row]]+1):INDEX(Tasks[_LeafCritical],Tasks[[#This Row],[_Row]]+Tasks[[#This Row],[_Descendants]]),TRUE())&gt;0,Tasks[[#This Row],[_LeafCritical]]),"Yes",""))</f>
        <v/>
      </c>
      <c r="AC1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8" s="24" t="str">
        <f aca="false">IF(Tasks[[#This Row],[Task Name]]="","",TRIM(IF(Tasks[[#This Row],[_Pred1Problem]]&lt;&gt;"","Pred 1: "&amp;Tasks[[#This Row],[_Pred1Problem]]&amp;". ","")&amp;IF(Tasks[[#This Row],[_Pred2Problem]]&lt;&gt;"","Pred 2: "&amp;Tasks[[#This Row],[_Pred2Problem]]&amp;".","")))</f>
        <v/>
      </c>
      <c r="AE138" s="91"/>
      <c r="AF13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8" s="28" t="str">
        <f aca="false">IF(Tasks[[#This Row],[Task Name]]="","",IF(Tasks[[#This Row],[Progress]]&gt;=1,"Complete",IF(OR(N(Tasks[[#This Row],[Actual Start]])&gt;0,Tasks[[#This Row],[Progress]]&gt;0),IF(Tasks[[#This Row],[Finish Var]]&gt;0,"Behind","In Progress"),IF(Tasks[[#This Row],[Planned Start]]&lt;StatusDate,"Late Start","Not Started"))))</f>
        <v/>
      </c>
      <c r="AH138" s="30"/>
      <c r="AI138" s="91"/>
      <c r="AJ13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8" s="98" t="str">
        <f aca="false">IF(Tasks[[#This Row],[Task Name]]="","",IF(Tasks[[#This Row],[_IsSummary]],SUM(INDEX(Tasks[_LeafWork],Tasks[[#This Row],[_Row]]+1):INDEX(Tasks[_LeafWork],Tasks[[#This Row],[_Row]]+Tasks[[#This Row],[_Descendants]])),Tasks[[#This Row],[_LeafWork]]))</f>
        <v/>
      </c>
      <c r="AL138" s="99" t="str">
        <f aca="false">IF(Tasks[[#This Row],[Task Name]]="","",IF(Tasks[[#This Row],[_IsSummary]],SUM(INDEX(Tasks[_LeafCost],Tasks[[#This Row],[_Row]]+1):INDEX(Tasks[_LeafCost],Tasks[[#This Row],[_Row]]+Tasks[[#This Row],[_Descendants]])),Tasks[[#This Row],[_LeafCost]]))</f>
        <v/>
      </c>
      <c r="AM138" s="100"/>
      <c r="AN138" s="29"/>
      <c r="AO1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8" s="85"/>
      <c r="AQ138" s="24" t="str">
        <f aca="false">IF(Tasks[[#This Row],[Task Name]]="","",Tasks[[#This Row],[_Pred1IDText]]&amp;IF(AND(Tasks[[#This Row],[_Pred1IDText]]&lt;&gt;"",Tasks[[#This Row],[_Pred2IDText]]&lt;&gt;""),",","")&amp;Tasks[[#This Row],[_Pred2IDText]])</f>
        <v/>
      </c>
      <c r="AR138" s="30"/>
      <c r="AS138" s="25" t="str">
        <f aca="false">IF(Tasks[[#This Row],[Task Name]]="","",Tasks[[#This Row],[Forecast Start]])</f>
        <v/>
      </c>
      <c r="AT138" s="25" t="str">
        <f aca="false">IF(Tasks[[#This Row],[Task Name]]="","",Tasks[[#This Row],[Forecast Finish]])</f>
        <v/>
      </c>
      <c r="AU138" s="28" t="str">
        <f aca="false">IF(Tasks[[#This Row],[Task Name]]="","",IF(Tasks[[#This Row],[_IsSummary]],NETWORKDAYS.INTL(Tasks[[#This Row],[Forecast Start]],Tasks[[#This Row],[Forecast Finish]],WorkWeek,Holidays),N(Tasks[[#This Row],[Duration]])))</f>
        <v/>
      </c>
      <c r="AV138" s="98" t="str">
        <f aca="false">IF(Tasks[[#This Row],[Task Name]]="","",Tasks[[#This Row],[Work]])</f>
        <v/>
      </c>
      <c r="AW138" s="99" t="str">
        <f aca="false">IF(Tasks[[#This Row],[Task Name]]="","",Tasks[[#This Row],[Cost]])</f>
        <v/>
      </c>
      <c r="AX138" s="77"/>
      <c r="AY138" s="77"/>
      <c r="AZ138" s="29"/>
      <c r="BA138" s="101"/>
      <c r="BB138" s="100"/>
      <c r="BC138" s="28" t="str">
        <f aca="false">IF(OR(Tasks[[#This Row],[Task Name]]="",Tasks[[#This Row],[Baseline Duration]]=""),"",Tasks[[#This Row],[BL Source Duration]]-N(Tasks[[#This Row],[Baseline Duration]]))</f>
        <v/>
      </c>
      <c r="BD138" s="98" t="str">
        <f aca="false">IF(OR(Tasks[[#This Row],[Task Name]]="",Tasks[[#This Row],[Baseline Work]]=""),"",Tasks[[#This Row],[Work]]-N(Tasks[[#This Row],[Baseline Work]]))</f>
        <v/>
      </c>
      <c r="BE138" s="99" t="str">
        <f aca="false">IF(OR(Tasks[[#This Row],[Task Name]]="",Tasks[[#This Row],[Baseline Cost]]=""),"",Tasks[[#This Row],[Cost]]-N(Tasks[[#This Row],[Baseline Cost]]))</f>
        <v/>
      </c>
      <c r="BF138" s="99" t="str">
        <f aca="false">IF(Tasks[[#This Row],[Task Name]]="","",IF(Tasks[[#This Row],[_IsSummary]],SUM(INDEX(Tasks[_LeafBudget],Tasks[[#This Row],[_Row]]+1):INDEX(Tasks[_LeafBudget],Tasks[[#This Row],[_Row]]+Tasks[[#This Row],[_Descendants]])),Tasks[[#This Row],[_LeafBudget]]))</f>
        <v/>
      </c>
      <c r="BG138" s="99" t="str">
        <f aca="false">IF(Tasks[[#This Row],[Task Name]]="","",IF(Tasks[[#This Row],[_IsSummary]],SUM(INDEX(Tasks[_LeafPV],Tasks[[#This Row],[_Row]]+1):INDEX(Tasks[_LeafPV],Tasks[[#This Row],[_Row]]+Tasks[[#This Row],[_Descendants]])),Tasks[[#This Row],[_LeafPV]]))</f>
        <v/>
      </c>
      <c r="BH138" s="99" t="str">
        <f aca="false">IF(Tasks[[#This Row],[Task Name]]="","",IF(Tasks[[#This Row],[_IsSummary]],SUM(INDEX(Tasks[_LeafEV],Tasks[[#This Row],[_Row]]+1):INDEX(Tasks[_LeafEV],Tasks[[#This Row],[_Row]]+Tasks[[#This Row],[_Descendants]])),Tasks[[#This Row],[_LeafEV]]))</f>
        <v/>
      </c>
      <c r="BI138" s="99" t="str">
        <f aca="false">IF(Tasks[[#This Row],[Task Name]]="","",IF(Tasks[[#This Row],[_IsSummary]],SUM(INDEX(Tasks[_LeafAC],Tasks[[#This Row],[_Row]]+1):INDEX(Tasks[_LeafAC],Tasks[[#This Row],[_Row]]+Tasks[[#This Row],[_Descendants]])),Tasks[[#This Row],[_LeafAC]]))</f>
        <v/>
      </c>
      <c r="BJ138" s="41" t="str">
        <f aca="false">IF(Tasks[[#This Row],[Task Name]]="","",MAX(1,N(Tasks[[#This Row],[Level]])))</f>
        <v/>
      </c>
      <c r="BK138" s="41" t="n">
        <f aca="false">ROW()-ROW(Tasks[[#Headers],[ID]])</f>
        <v>133</v>
      </c>
      <c r="BL138" s="41" t="n">
        <f aca="false">IF(OR(Tasks[[#This Row],[Task Name]]="",Tasks[[#This Row],[_Level]]&lt;=1),0,IFERROR(LOOKUP(2,1/(Tasks[[#Headers],[_Level]]:Tasks[[#This Row],[_Level]]=Tasks[[#This Row],[_Level]]-1),ROW(Tasks[[#Headers],[_Level]]:Tasks[[#This Row],[_Level]])),0))</f>
        <v>0</v>
      </c>
      <c r="BM138" s="41" t="n">
        <f aca="false">IFERROR(N(INDEX(Tasks[_Level],Tasks[[#This Row],[_Row]]+1)),0)</f>
        <v>0</v>
      </c>
      <c r="BN138" s="102" t="b">
        <f aca="false">AND(Tasks[[#This Row],[Task Name]]&lt;&gt;"",Tasks[[#This Row],[_NextLevel]]&gt;Tasks[[#This Row],[_Level]])</f>
        <v>0</v>
      </c>
      <c r="BO138" s="41" t="n">
        <f aca="false">IF(Tasks[[#This Row],[_IsSummary]],COUNTIF(Tasks[WBS],Tasks[[#This Row],[WBS]]&amp;".*"),0)</f>
        <v>0</v>
      </c>
      <c r="BP138" s="41" t="n">
        <f aca="false">IF(AND(Tasks[[#This Row],[Task Name]]&lt;&gt;"",NOT(Tasks[[#This Row],[_IsSummary]])),1,0)</f>
        <v>0</v>
      </c>
      <c r="BQ138" s="41" t="n">
        <f aca="false">IF(N(Tasks[[#This Row],[Pred1 UID]])=0,0,IFERROR(MATCH(Tasks[[#This Row],[Pred1 UID]],Tasks[UID],0),-1))</f>
        <v>0</v>
      </c>
      <c r="BR138" s="41" t="n">
        <f aca="false">IF(N(Tasks[[#This Row],[Pred2 UID]])=0,0,IFERROR(MATCH(Tasks[[#This Row],[Pred2 UID]],Tasks[UID],0),-1))</f>
        <v>0</v>
      </c>
      <c r="BS13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8" s="103" t="str">
        <f aca="false">IF(NOT(Tasks[[#This Row],[_IsLeaf]]=1),"",IF(N(Tasks[[#This Row],[Duration]])&lt;=0,Tasks[[#This Row],[_LeafCalcStart]],WORKDAY.INTL(Tasks[[#This Row],[_LeafCalcStart]],Tasks[[#This Row],[Duration]]-1,WorkWeek,Holidays)))</f>
        <v/>
      </c>
      <c r="BU13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8" s="41" t="n">
        <f aca="false">IF(NOT(Tasks[[#This Row],[_IsLeaf]]=1),0,IF(N(Tasks[[#This Row],[Actual Finish]])&gt;0,1,MIN(1,N(Tasks[[#This Row],[% Complete]]))))</f>
        <v>0</v>
      </c>
      <c r="BX138" s="41" t="n">
        <f aca="false">IF(OR(NOT(Tasks[[#This Row],[_IsLeaf]]=1),Tasks[[#This Row],[Resource]]=""),0,N(Tasks[[#This Row],[Duration]])*HoursPerDay*IF(Tasks[[#This Row],[Units]]="",DefaultUnits,Tasks[[#This Row],[Units]]))</f>
        <v>0</v>
      </c>
      <c r="BY138" s="41" t="n">
        <f aca="false">IF(Tasks[[#This Row],[_LeafWork]]=0,0,Tasks[[#This Row],[_LeafWork]]*IFERROR(INDEX(res_Rate,MATCH(Tasks[[#This Row],[Resource]],res_Name,0)),0))</f>
        <v>0</v>
      </c>
      <c r="BZ1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8" s="41" t="n">
        <f aca="false">IF(NOT(Tasks[[#This Row],[_IsLeaf]]=1),0,MAX(_xlfn.MAXIFS(Tasks[_Row],Tasks[Pred1 UID],Tasks[[#This Row],[UID]]),_xlfn.MAXIFS(Tasks[_Row],Tasks[Pred2 UID],Tasks[[#This Row],[UID]])))</f>
        <v>0</v>
      </c>
      <c r="CE13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8" s="103" t="str">
        <f aca="false">IF(NOT(Tasks[[#This Row],[_IsLeaf]]=1),"",MIN(ProjectFinish,IF(N(Tasks[[#This Row],[Deadline]])&gt;0,Tasks[[#This Row],[Deadline]],2958465),Tasks[[#This Row],[_SuccessorFinishLimit]]))</f>
        <v/>
      </c>
      <c r="CG138" s="103" t="str">
        <f aca="false">IF(NOT(Tasks[[#This Row],[_IsLeaf]]=1),"",IF(N(Tasks[[#This Row],[Duration]])&lt;=0,Tasks[[#This Row],[_LeafLateFinish]],WORKDAY.INTL(Tasks[[#This Row],[_LeafLateFinish]],-(Tasks[[#This Row],[Duration]]-1),WorkWeek,Holidays)))</f>
        <v/>
      </c>
      <c r="CH1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8" s="102" t="b">
        <f aca="false">AND(Tasks[[#This Row],[_IsLeaf]]=1,Tasks[[#This Row],[_LeafProgress]]&lt;1,N(Tasks[[#This Row],[_LeafTotalSlack]])&lt;=CriticalSlackDays)</f>
        <v>0</v>
      </c>
      <c r="CJ138" s="103" t="str">
        <f aca="false">IF(Tasks[[#This Row],[Task Name]]="","",IF(Tasks[[#This Row],[_IsSummary]],MIN(INDEX(Tasks[_LeafCalcStart],Tasks[[#This Row],[_Row]]+1):INDEX(Tasks[_LeafCalcStart],Tasks[[#This Row],[_Row]]+Tasks[[#This Row],[_Descendants]])),Tasks[[#This Row],[_LeafCalcStart]]))</f>
        <v/>
      </c>
      <c r="CK138" s="103" t="str">
        <f aca="false">IF(Tasks[[#This Row],[Task Name]]="","",IF(Tasks[[#This Row],[_IsSummary]],MAX(INDEX(Tasks[_LeafCalcFinish],Tasks[[#This Row],[_Row]]+1):INDEX(Tasks[_LeafCalcFinish],Tasks[[#This Row],[_Row]]+Tasks[[#This Row],[_Descendants]])),Tasks[[#This Row],[_LeafCalcFinish]]))</f>
        <v/>
      </c>
      <c r="CL1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8" s="41" t="n">
        <f aca="false">IF(AND(Tasks[[#This Row],[_IsLeaf]]=1,Tasks[[#This Row],[_LeafWork]]&gt;0),NETWORKDAYS.INTL(ProjectStart,Tasks[[#This Row],[_LeafFcstStart]],WorkWeek,Holidays),0)</f>
        <v>0</v>
      </c>
      <c r="CS138" s="41" t="n">
        <f aca="false">IF(AND(Tasks[[#This Row],[_IsLeaf]]=1,Tasks[[#This Row],[_LeafWork]]&gt;0),MAX(Tasks[[#This Row],[_StartWorkday]],NETWORKDAYS.INTL(ProjectStart,Tasks[[#This Row],[_LeafFcstFinish]],WorkWeek,Holidays)),0)</f>
        <v>0</v>
      </c>
      <c r="CT138" s="41" t="n">
        <f aca="false">IF(AND(Tasks[[#This Row],[_IsLeaf]]=1,Tasks[[#This Row],[_LeafWork]]&gt;0),Tasks[[#This Row],[_LeafWork]]/(Tasks[[#This Row],[_FinishWorkday]]-Tasks[[#This Row],[_StartWorkday]]+1),0)</f>
        <v>0</v>
      </c>
      <c r="CU138" s="41" t="n">
        <f aca="false">Tasks[[#This Row],[_WorkPerWorkday]]*(Tasks[[#This Row],[_StartWorkday]]-1)</f>
        <v>-0</v>
      </c>
      <c r="CV138" s="41" t="n">
        <f aca="false">IF(Tasks[[#This Row],[_IsLeaf]]=1,MAX(N(Tasks[[#This Row],[Duration]]),0.1),0)</f>
        <v>0</v>
      </c>
      <c r="CW138" s="41" t="n">
        <f aca="false">Tasks[[#This Row],[_WeightDur]]*Tasks[[#This Row],[_LeafProgress]]</f>
        <v>0</v>
      </c>
      <c r="CX1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8" s="41" t="str">
        <f aca="false">IF(Tasks[[#This Row],[Task Name]]="","",Tasks[[#This Row],[_Pred1UIDText]]&amp;IF(AND(Tasks[[#This Row],[_Pred1UIDText]]&lt;&gt;"",Tasks[[#This Row],[_Pred2UIDText]]&lt;&gt;""),",","")&amp;Tasks[[#This Row],[_Pred2UIDText]])</f>
        <v/>
      </c>
      <c r="DC138" s="41" t="str">
        <f aca="false">IF(AND(Tasks[[#This Row],[_IsLeaf]]=1,N(Tasks[[#This Row],[Duration]])=0,Tasks[[#This Row],[_LeafProgress]]&lt;1),Tasks[[#This Row],[_LeafFcstFinish]]+Tasks[[#This Row],[_Row]]/100000,"")</f>
        <v/>
      </c>
      <c r="DD1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8" s="41" t="n">
        <f aca="false">IF(NOT(Tasks[[#This Row],[_IsLeaf]]=1),0,IF(Tasks[[#This Row],[Baseline Cost]]="",Tasks[[#This Row],[_LeafCost]],N(Tasks[[#This Row],[Baseline Cost]])))</f>
        <v>0</v>
      </c>
      <c r="DF138" s="41" t="n">
        <f aca="false">Tasks[[#This Row],[_LeafBudget]]*Tasks[[#This Row],[_PlannedPct]]</f>
        <v>0</v>
      </c>
      <c r="DG138" s="41" t="n">
        <f aca="false">Tasks[[#This Row],[_LeafBudget]]*Tasks[[#This Row],[_LeafProgress]]</f>
        <v>0</v>
      </c>
      <c r="DH138" s="41" t="n">
        <f aca="false">IF(NOT(Tasks[[#This Row],[_IsLeaf]]=1),0,IF(Tasks[[#This Row],[Actual Cost]]="",Tasks[[#This Row],[_LeafCost]]*Tasks[[#This Row],[_LeafProgress]],N(Tasks[[#This Row],[Actual Cost]])))</f>
        <v>0</v>
      </c>
      <c r="DI138" s="41" t="str">
        <f aca="false">IF(Tasks[[#This Row],[Task Name]]="","",LEFT(Tasks[[#This Row],[WBS]],FIND(".",Tasks[[#This Row],[WBS]]&amp;".")-1))</f>
        <v/>
      </c>
      <c r="DJ138" s="41" t="str">
        <f aca="false">IF(AND(Tasks[[#This Row],[Task Name]]&lt;&gt;"",Tasks[[#This Row],[_Level]]=1),Tasks[[#This Row],[_Row]],"")</f>
        <v/>
      </c>
      <c r="DK138" s="41" t="str">
        <f aca="false">IF(AND(Tasks[[#This Row],[_IsLeaf]]=1,N(Tasks[[#This Row],[Duration]])=0),Tasks[[#This Row],[Planned Finish]]+Tasks[[#This Row],[_Row]]/100000,"")</f>
        <v/>
      </c>
      <c r="DL138" s="41" t="str">
        <f aca="false">IF(AND(Tasks[[#This Row],[_IsLeaf]]=1,Tasks[[#This Row],[_LeafProgress]]&lt;1,OR(N(Tasks[[#This Row],[Finish Var]])&gt;0,Tasks[[#This Row],[Status]]="Late Start")),MAX(0,Tasks[[#This Row],[Finish Var]])+1-Tasks[[#This Row],[_Row]]/1000000,"")</f>
        <v/>
      </c>
      <c r="DM138" s="41" t="str">
        <f aca="false">IF(AND(Tasks[[#This Row],[_IsLeaf]]=1,N(Tasks[[#This Row],[Actual Start]])=0,Tasks[[#This Row],[_LeafFcstStart]]&gt;=StatusDate,Tasks[[#This Row],[_LeafFcstStart]]&lt;=LookaheadEnd),Tasks[[#This Row],[_LeafFcstStart]]+Tasks[[#This Row],[_Row]]/100000,"")</f>
        <v/>
      </c>
      <c r="DN138" s="41" t="str">
        <f aca="false">IF(AND(Tasks[[#This Row],[_IsLeaf]]=1,Tasks[[#This Row],[_LeafProgress]]&lt;1,Tasks[[#This Row],[_LeafFcstFinish]]&gt;=StatusDate,Tasks[[#This Row],[_LeafFcstFinish]]&lt;=LookaheadEnd),Tasks[[#This Row],[_LeafFcstFinish]]+Tasks[[#This Row],[_Row]]/100000,"")</f>
        <v/>
      </c>
      <c r="DO138" s="41" t="str">
        <f aca="false">IF(Tasks[[#This Row],[_LeafCritical]],Tasks[[#This Row],[_LeafFcstStart]]+Tasks[[#This Row],[_Row]]/100000,"")</f>
        <v/>
      </c>
      <c r="DP138" s="41" t="n">
        <f aca="false">Tasks[[#This Row],[_LeafWork]]*Tasks[[#This Row],[_LeafProgress]]</f>
        <v>0</v>
      </c>
      <c r="DQ138" s="103" t="str">
        <f aca="false">IF(AND(Tasks[[#This Row],[_IsLeaf]]=1,Tasks[[#This Row],[_LeafProgress]]&gt;=1),IF(N(Tasks[[#This Row],[Actual Finish]])&gt;0,Tasks[[#This Row],[Actual Finish]],Tasks[[#This Row],[_LeafFcstFinish]]),"")</f>
        <v/>
      </c>
      <c r="DR138" s="41" t="n">
        <f aca="false">IF(Tasks[[#This Row],[_IsLeaf]]=1,N(Tasks[[#This Row],[Story Points]]),0)</f>
        <v>0</v>
      </c>
      <c r="DS138" s="41" t="str">
        <f aca="false">IF(AND(Tasks[[#This Row],[_IsLeaf]]=1,CurrentSprint&lt;&gt;"",Tasks[[#This Row],[Sprint]]=CurrentSprint),Tasks[[#This Row],[_Row]],"")</f>
        <v/>
      </c>
    </row>
    <row r="139" customFormat="false" ht="15" hidden="false" customHeight="false" outlineLevel="0" collapsed="false">
      <c r="A139" s="28" t="str">
        <f aca="false">IF(Tasks[[#This Row],[Task Name]]="","",COUNTA(Tasks[[#Headers],[Task Name]]:Tasks[[#This Row],[Task Name]])-1)</f>
        <v/>
      </c>
      <c r="B139" s="29" t="n">
        <v>134</v>
      </c>
      <c r="C1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29"/>
      <c r="E139" s="30"/>
      <c r="F139" s="29"/>
      <c r="G139" s="29"/>
      <c r="H139" s="29"/>
      <c r="I139" s="29"/>
      <c r="J139" s="29"/>
      <c r="K139" s="29"/>
      <c r="L139" s="29"/>
      <c r="M139" s="29"/>
      <c r="N139" s="77"/>
      <c r="O139" s="77"/>
      <c r="P139" s="25" t="str">
        <f aca="false">IF(Tasks[[#This Row],[Task Name]]="","",IF(N(Tasks[[#This Row],[Baseline Start]])&gt;0,Tasks[[#This Row],[Baseline Start]],Tasks[[#This Row],[_CalcStart]]))</f>
        <v/>
      </c>
      <c r="Q139" s="25" t="str">
        <f aca="false">IF(Tasks[[#This Row],[Task Name]]="","",IF(N(Tasks[[#This Row],[Baseline Finish]])&gt;0,Tasks[[#This Row],[Baseline Finish]],Tasks[[#This Row],[_CalcFinish]]))</f>
        <v/>
      </c>
      <c r="R139" s="77"/>
      <c r="S139" s="77"/>
      <c r="T139" s="25" t="str">
        <f aca="false">IF(Tasks[[#This Row],[Task Name]]="","",IF(Tasks[[#This Row],[_IsSummary]],MIN(INDEX(Tasks[_LeafFcstStart],Tasks[[#This Row],[_Row]]+1):INDEX(Tasks[_LeafFcstStart],Tasks[[#This Row],[_Row]]+Tasks[[#This Row],[_Descendants]])),Tasks[[#This Row],[_LeafFcstStart]]))</f>
        <v/>
      </c>
      <c r="U139" s="25" t="str">
        <f aca="false">IF(Tasks[[#This Row],[Task Name]]="","",IF(Tasks[[#This Row],[_IsSummary]],MAX(INDEX(Tasks[_LeafFcstFinish],Tasks[[#This Row],[_Row]]+1):INDEX(Tasks[_LeafFcstFinish],Tasks[[#This Row],[_Row]]+Tasks[[#This Row],[_Descendants]])),Tasks[[#This Row],[_LeafFcstFinish]]))</f>
        <v/>
      </c>
      <c r="V13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3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9" s="25" t="str">
        <f aca="false">IF(Tasks[[#This Row],[Task Name]]="","",IF(Tasks[[#This Row],[_IsSummary]],MIN(INDEX(Tasks[_LeafLateStart],Tasks[[#This Row],[_Row]]+1):INDEX(Tasks[_LeafLateStart],Tasks[[#This Row],[_Row]]+Tasks[[#This Row],[_Descendants]])),Tasks[[#This Row],[_LeafLateStart]]))</f>
        <v/>
      </c>
      <c r="Y139" s="25" t="str">
        <f aca="false">IF(Tasks[[#This Row],[Task Name]]="","",IF(Tasks[[#This Row],[_IsSummary]],MAX(INDEX(Tasks[_LeafLateFinish],Tasks[[#This Row],[_Row]]+1):INDEX(Tasks[_LeafLateFinish],Tasks[[#This Row],[_Row]]+Tasks[[#This Row],[_Descendants]])),Tasks[[#This Row],[_LeafLateFinish]]))</f>
        <v/>
      </c>
      <c r="Z139" s="43" t="str">
        <f aca="false">IF(Tasks[[#This Row],[Task Name]]="","",IF(Tasks[[#This Row],[_IsSummary]],MIN(INDEX(Tasks[_LeafTotalSlack],Tasks[[#This Row],[_Row]]+1):INDEX(Tasks[_LeafTotalSlack],Tasks[[#This Row],[_Row]]+Tasks[[#This Row],[_Descendants]])),Tasks[[#This Row],[_LeafTotalSlack]]))</f>
        <v/>
      </c>
      <c r="AA1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9" s="28" t="str">
        <f aca="false">IF(Tasks[[#This Row],[Task Name]]="","",IF(IF(Tasks[[#This Row],[_IsSummary]],COUNTIF(INDEX(Tasks[_LeafCritical],Tasks[[#This Row],[_Row]]+1):INDEX(Tasks[_LeafCritical],Tasks[[#This Row],[_Row]]+Tasks[[#This Row],[_Descendants]]),TRUE())&gt;0,Tasks[[#This Row],[_LeafCritical]]),"Yes",""))</f>
        <v/>
      </c>
      <c r="AC1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9" s="24" t="str">
        <f aca="false">IF(Tasks[[#This Row],[Task Name]]="","",TRIM(IF(Tasks[[#This Row],[_Pred1Problem]]&lt;&gt;"","Pred 1: "&amp;Tasks[[#This Row],[_Pred1Problem]]&amp;". ","")&amp;IF(Tasks[[#This Row],[_Pred2Problem]]&lt;&gt;"","Pred 2: "&amp;Tasks[[#This Row],[_Pred2Problem]]&amp;".","")))</f>
        <v/>
      </c>
      <c r="AE139" s="91"/>
      <c r="AF13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9" s="28" t="str">
        <f aca="false">IF(Tasks[[#This Row],[Task Name]]="","",IF(Tasks[[#This Row],[Progress]]&gt;=1,"Complete",IF(OR(N(Tasks[[#This Row],[Actual Start]])&gt;0,Tasks[[#This Row],[Progress]]&gt;0),IF(Tasks[[#This Row],[Finish Var]]&gt;0,"Behind","In Progress"),IF(Tasks[[#This Row],[Planned Start]]&lt;StatusDate,"Late Start","Not Started"))))</f>
        <v/>
      </c>
      <c r="AH139" s="30"/>
      <c r="AI139" s="91"/>
      <c r="AJ13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9" s="98" t="str">
        <f aca="false">IF(Tasks[[#This Row],[Task Name]]="","",IF(Tasks[[#This Row],[_IsSummary]],SUM(INDEX(Tasks[_LeafWork],Tasks[[#This Row],[_Row]]+1):INDEX(Tasks[_LeafWork],Tasks[[#This Row],[_Row]]+Tasks[[#This Row],[_Descendants]])),Tasks[[#This Row],[_LeafWork]]))</f>
        <v/>
      </c>
      <c r="AL139" s="99" t="str">
        <f aca="false">IF(Tasks[[#This Row],[Task Name]]="","",IF(Tasks[[#This Row],[_IsSummary]],SUM(INDEX(Tasks[_LeafCost],Tasks[[#This Row],[_Row]]+1):INDEX(Tasks[_LeafCost],Tasks[[#This Row],[_Row]]+Tasks[[#This Row],[_Descendants]])),Tasks[[#This Row],[_LeafCost]]))</f>
        <v/>
      </c>
      <c r="AM139" s="100"/>
      <c r="AN139" s="29"/>
      <c r="AO1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9" s="85"/>
      <c r="AQ139" s="24" t="str">
        <f aca="false">IF(Tasks[[#This Row],[Task Name]]="","",Tasks[[#This Row],[_Pred1IDText]]&amp;IF(AND(Tasks[[#This Row],[_Pred1IDText]]&lt;&gt;"",Tasks[[#This Row],[_Pred2IDText]]&lt;&gt;""),",","")&amp;Tasks[[#This Row],[_Pred2IDText]])</f>
        <v/>
      </c>
      <c r="AR139" s="30"/>
      <c r="AS139" s="25" t="str">
        <f aca="false">IF(Tasks[[#This Row],[Task Name]]="","",Tasks[[#This Row],[Forecast Start]])</f>
        <v/>
      </c>
      <c r="AT139" s="25" t="str">
        <f aca="false">IF(Tasks[[#This Row],[Task Name]]="","",Tasks[[#This Row],[Forecast Finish]])</f>
        <v/>
      </c>
      <c r="AU139" s="28" t="str">
        <f aca="false">IF(Tasks[[#This Row],[Task Name]]="","",IF(Tasks[[#This Row],[_IsSummary]],NETWORKDAYS.INTL(Tasks[[#This Row],[Forecast Start]],Tasks[[#This Row],[Forecast Finish]],WorkWeek,Holidays),N(Tasks[[#This Row],[Duration]])))</f>
        <v/>
      </c>
      <c r="AV139" s="98" t="str">
        <f aca="false">IF(Tasks[[#This Row],[Task Name]]="","",Tasks[[#This Row],[Work]])</f>
        <v/>
      </c>
      <c r="AW139" s="99" t="str">
        <f aca="false">IF(Tasks[[#This Row],[Task Name]]="","",Tasks[[#This Row],[Cost]])</f>
        <v/>
      </c>
      <c r="AX139" s="77"/>
      <c r="AY139" s="77"/>
      <c r="AZ139" s="29"/>
      <c r="BA139" s="101"/>
      <c r="BB139" s="100"/>
      <c r="BC139" s="28" t="str">
        <f aca="false">IF(OR(Tasks[[#This Row],[Task Name]]="",Tasks[[#This Row],[Baseline Duration]]=""),"",Tasks[[#This Row],[BL Source Duration]]-N(Tasks[[#This Row],[Baseline Duration]]))</f>
        <v/>
      </c>
      <c r="BD139" s="98" t="str">
        <f aca="false">IF(OR(Tasks[[#This Row],[Task Name]]="",Tasks[[#This Row],[Baseline Work]]=""),"",Tasks[[#This Row],[Work]]-N(Tasks[[#This Row],[Baseline Work]]))</f>
        <v/>
      </c>
      <c r="BE139" s="99" t="str">
        <f aca="false">IF(OR(Tasks[[#This Row],[Task Name]]="",Tasks[[#This Row],[Baseline Cost]]=""),"",Tasks[[#This Row],[Cost]]-N(Tasks[[#This Row],[Baseline Cost]]))</f>
        <v/>
      </c>
      <c r="BF139" s="99" t="str">
        <f aca="false">IF(Tasks[[#This Row],[Task Name]]="","",IF(Tasks[[#This Row],[_IsSummary]],SUM(INDEX(Tasks[_LeafBudget],Tasks[[#This Row],[_Row]]+1):INDEX(Tasks[_LeafBudget],Tasks[[#This Row],[_Row]]+Tasks[[#This Row],[_Descendants]])),Tasks[[#This Row],[_LeafBudget]]))</f>
        <v/>
      </c>
      <c r="BG139" s="99" t="str">
        <f aca="false">IF(Tasks[[#This Row],[Task Name]]="","",IF(Tasks[[#This Row],[_IsSummary]],SUM(INDEX(Tasks[_LeafPV],Tasks[[#This Row],[_Row]]+1):INDEX(Tasks[_LeafPV],Tasks[[#This Row],[_Row]]+Tasks[[#This Row],[_Descendants]])),Tasks[[#This Row],[_LeafPV]]))</f>
        <v/>
      </c>
      <c r="BH139" s="99" t="str">
        <f aca="false">IF(Tasks[[#This Row],[Task Name]]="","",IF(Tasks[[#This Row],[_IsSummary]],SUM(INDEX(Tasks[_LeafEV],Tasks[[#This Row],[_Row]]+1):INDEX(Tasks[_LeafEV],Tasks[[#This Row],[_Row]]+Tasks[[#This Row],[_Descendants]])),Tasks[[#This Row],[_LeafEV]]))</f>
        <v/>
      </c>
      <c r="BI139" s="99" t="str">
        <f aca="false">IF(Tasks[[#This Row],[Task Name]]="","",IF(Tasks[[#This Row],[_IsSummary]],SUM(INDEX(Tasks[_LeafAC],Tasks[[#This Row],[_Row]]+1):INDEX(Tasks[_LeafAC],Tasks[[#This Row],[_Row]]+Tasks[[#This Row],[_Descendants]])),Tasks[[#This Row],[_LeafAC]]))</f>
        <v/>
      </c>
      <c r="BJ139" s="41" t="str">
        <f aca="false">IF(Tasks[[#This Row],[Task Name]]="","",MAX(1,N(Tasks[[#This Row],[Level]])))</f>
        <v/>
      </c>
      <c r="BK139" s="41" t="n">
        <f aca="false">ROW()-ROW(Tasks[[#Headers],[ID]])</f>
        <v>134</v>
      </c>
      <c r="BL139" s="41" t="n">
        <f aca="false">IF(OR(Tasks[[#This Row],[Task Name]]="",Tasks[[#This Row],[_Level]]&lt;=1),0,IFERROR(LOOKUP(2,1/(Tasks[[#Headers],[_Level]]:Tasks[[#This Row],[_Level]]=Tasks[[#This Row],[_Level]]-1),ROW(Tasks[[#Headers],[_Level]]:Tasks[[#This Row],[_Level]])),0))</f>
        <v>0</v>
      </c>
      <c r="BM139" s="41" t="n">
        <f aca="false">IFERROR(N(INDEX(Tasks[_Level],Tasks[[#This Row],[_Row]]+1)),0)</f>
        <v>0</v>
      </c>
      <c r="BN139" s="102" t="b">
        <f aca="false">AND(Tasks[[#This Row],[Task Name]]&lt;&gt;"",Tasks[[#This Row],[_NextLevel]]&gt;Tasks[[#This Row],[_Level]])</f>
        <v>0</v>
      </c>
      <c r="BO139" s="41" t="n">
        <f aca="false">IF(Tasks[[#This Row],[_IsSummary]],COUNTIF(Tasks[WBS],Tasks[[#This Row],[WBS]]&amp;".*"),0)</f>
        <v>0</v>
      </c>
      <c r="BP139" s="41" t="n">
        <f aca="false">IF(AND(Tasks[[#This Row],[Task Name]]&lt;&gt;"",NOT(Tasks[[#This Row],[_IsSummary]])),1,0)</f>
        <v>0</v>
      </c>
      <c r="BQ139" s="41" t="n">
        <f aca="false">IF(N(Tasks[[#This Row],[Pred1 UID]])=0,0,IFERROR(MATCH(Tasks[[#This Row],[Pred1 UID]],Tasks[UID],0),-1))</f>
        <v>0</v>
      </c>
      <c r="BR139" s="41" t="n">
        <f aca="false">IF(N(Tasks[[#This Row],[Pred2 UID]])=0,0,IFERROR(MATCH(Tasks[[#This Row],[Pred2 UID]],Tasks[UID],0),-1))</f>
        <v>0</v>
      </c>
      <c r="BS13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9" s="103" t="str">
        <f aca="false">IF(NOT(Tasks[[#This Row],[_IsLeaf]]=1),"",IF(N(Tasks[[#This Row],[Duration]])&lt;=0,Tasks[[#This Row],[_LeafCalcStart]],WORKDAY.INTL(Tasks[[#This Row],[_LeafCalcStart]],Tasks[[#This Row],[Duration]]-1,WorkWeek,Holidays)))</f>
        <v/>
      </c>
      <c r="BU13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9" s="41" t="n">
        <f aca="false">IF(NOT(Tasks[[#This Row],[_IsLeaf]]=1),0,IF(N(Tasks[[#This Row],[Actual Finish]])&gt;0,1,MIN(1,N(Tasks[[#This Row],[% Complete]]))))</f>
        <v>0</v>
      </c>
      <c r="BX139" s="41" t="n">
        <f aca="false">IF(OR(NOT(Tasks[[#This Row],[_IsLeaf]]=1),Tasks[[#This Row],[Resource]]=""),0,N(Tasks[[#This Row],[Duration]])*HoursPerDay*IF(Tasks[[#This Row],[Units]]="",DefaultUnits,Tasks[[#This Row],[Units]]))</f>
        <v>0</v>
      </c>
      <c r="BY139" s="41" t="n">
        <f aca="false">IF(Tasks[[#This Row],[_LeafWork]]=0,0,Tasks[[#This Row],[_LeafWork]]*IFERROR(INDEX(res_Rate,MATCH(Tasks[[#This Row],[Resource]],res_Name,0)),0))</f>
        <v>0</v>
      </c>
      <c r="BZ1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9" s="41" t="n">
        <f aca="false">IF(NOT(Tasks[[#This Row],[_IsLeaf]]=1),0,MAX(_xlfn.MAXIFS(Tasks[_Row],Tasks[Pred1 UID],Tasks[[#This Row],[UID]]),_xlfn.MAXIFS(Tasks[_Row],Tasks[Pred2 UID],Tasks[[#This Row],[UID]])))</f>
        <v>0</v>
      </c>
      <c r="CE13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9" s="103" t="str">
        <f aca="false">IF(NOT(Tasks[[#This Row],[_IsLeaf]]=1),"",MIN(ProjectFinish,IF(N(Tasks[[#This Row],[Deadline]])&gt;0,Tasks[[#This Row],[Deadline]],2958465),Tasks[[#This Row],[_SuccessorFinishLimit]]))</f>
        <v/>
      </c>
      <c r="CG139" s="103" t="str">
        <f aca="false">IF(NOT(Tasks[[#This Row],[_IsLeaf]]=1),"",IF(N(Tasks[[#This Row],[Duration]])&lt;=0,Tasks[[#This Row],[_LeafLateFinish]],WORKDAY.INTL(Tasks[[#This Row],[_LeafLateFinish]],-(Tasks[[#This Row],[Duration]]-1),WorkWeek,Holidays)))</f>
        <v/>
      </c>
      <c r="CH1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9" s="102" t="b">
        <f aca="false">AND(Tasks[[#This Row],[_IsLeaf]]=1,Tasks[[#This Row],[_LeafProgress]]&lt;1,N(Tasks[[#This Row],[_LeafTotalSlack]])&lt;=CriticalSlackDays)</f>
        <v>0</v>
      </c>
      <c r="CJ139" s="103" t="str">
        <f aca="false">IF(Tasks[[#This Row],[Task Name]]="","",IF(Tasks[[#This Row],[_IsSummary]],MIN(INDEX(Tasks[_LeafCalcStart],Tasks[[#This Row],[_Row]]+1):INDEX(Tasks[_LeafCalcStart],Tasks[[#This Row],[_Row]]+Tasks[[#This Row],[_Descendants]])),Tasks[[#This Row],[_LeafCalcStart]]))</f>
        <v/>
      </c>
      <c r="CK139" s="103" t="str">
        <f aca="false">IF(Tasks[[#This Row],[Task Name]]="","",IF(Tasks[[#This Row],[_IsSummary]],MAX(INDEX(Tasks[_LeafCalcFinish],Tasks[[#This Row],[_Row]]+1):INDEX(Tasks[_LeafCalcFinish],Tasks[[#This Row],[_Row]]+Tasks[[#This Row],[_Descendants]])),Tasks[[#This Row],[_LeafCalcFinish]]))</f>
        <v/>
      </c>
      <c r="CL1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9" s="41" t="n">
        <f aca="false">IF(AND(Tasks[[#This Row],[_IsLeaf]]=1,Tasks[[#This Row],[_LeafWork]]&gt;0),NETWORKDAYS.INTL(ProjectStart,Tasks[[#This Row],[_LeafFcstStart]],WorkWeek,Holidays),0)</f>
        <v>0</v>
      </c>
      <c r="CS139" s="41" t="n">
        <f aca="false">IF(AND(Tasks[[#This Row],[_IsLeaf]]=1,Tasks[[#This Row],[_LeafWork]]&gt;0),MAX(Tasks[[#This Row],[_StartWorkday]],NETWORKDAYS.INTL(ProjectStart,Tasks[[#This Row],[_LeafFcstFinish]],WorkWeek,Holidays)),0)</f>
        <v>0</v>
      </c>
      <c r="CT139" s="41" t="n">
        <f aca="false">IF(AND(Tasks[[#This Row],[_IsLeaf]]=1,Tasks[[#This Row],[_LeafWork]]&gt;0),Tasks[[#This Row],[_LeafWork]]/(Tasks[[#This Row],[_FinishWorkday]]-Tasks[[#This Row],[_StartWorkday]]+1),0)</f>
        <v>0</v>
      </c>
      <c r="CU139" s="41" t="n">
        <f aca="false">Tasks[[#This Row],[_WorkPerWorkday]]*(Tasks[[#This Row],[_StartWorkday]]-1)</f>
        <v>-0</v>
      </c>
      <c r="CV139" s="41" t="n">
        <f aca="false">IF(Tasks[[#This Row],[_IsLeaf]]=1,MAX(N(Tasks[[#This Row],[Duration]]),0.1),0)</f>
        <v>0</v>
      </c>
      <c r="CW139" s="41" t="n">
        <f aca="false">Tasks[[#This Row],[_WeightDur]]*Tasks[[#This Row],[_LeafProgress]]</f>
        <v>0</v>
      </c>
      <c r="CX1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9" s="41" t="str">
        <f aca="false">IF(Tasks[[#This Row],[Task Name]]="","",Tasks[[#This Row],[_Pred1UIDText]]&amp;IF(AND(Tasks[[#This Row],[_Pred1UIDText]]&lt;&gt;"",Tasks[[#This Row],[_Pred2UIDText]]&lt;&gt;""),",","")&amp;Tasks[[#This Row],[_Pred2UIDText]])</f>
        <v/>
      </c>
      <c r="DC139" s="41" t="str">
        <f aca="false">IF(AND(Tasks[[#This Row],[_IsLeaf]]=1,N(Tasks[[#This Row],[Duration]])=0,Tasks[[#This Row],[_LeafProgress]]&lt;1),Tasks[[#This Row],[_LeafFcstFinish]]+Tasks[[#This Row],[_Row]]/100000,"")</f>
        <v/>
      </c>
      <c r="DD1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9" s="41" t="n">
        <f aca="false">IF(NOT(Tasks[[#This Row],[_IsLeaf]]=1),0,IF(Tasks[[#This Row],[Baseline Cost]]="",Tasks[[#This Row],[_LeafCost]],N(Tasks[[#This Row],[Baseline Cost]])))</f>
        <v>0</v>
      </c>
      <c r="DF139" s="41" t="n">
        <f aca="false">Tasks[[#This Row],[_LeafBudget]]*Tasks[[#This Row],[_PlannedPct]]</f>
        <v>0</v>
      </c>
      <c r="DG139" s="41" t="n">
        <f aca="false">Tasks[[#This Row],[_LeafBudget]]*Tasks[[#This Row],[_LeafProgress]]</f>
        <v>0</v>
      </c>
      <c r="DH139" s="41" t="n">
        <f aca="false">IF(NOT(Tasks[[#This Row],[_IsLeaf]]=1),0,IF(Tasks[[#This Row],[Actual Cost]]="",Tasks[[#This Row],[_LeafCost]]*Tasks[[#This Row],[_LeafProgress]],N(Tasks[[#This Row],[Actual Cost]])))</f>
        <v>0</v>
      </c>
      <c r="DI139" s="41" t="str">
        <f aca="false">IF(Tasks[[#This Row],[Task Name]]="","",LEFT(Tasks[[#This Row],[WBS]],FIND(".",Tasks[[#This Row],[WBS]]&amp;".")-1))</f>
        <v/>
      </c>
      <c r="DJ139" s="41" t="str">
        <f aca="false">IF(AND(Tasks[[#This Row],[Task Name]]&lt;&gt;"",Tasks[[#This Row],[_Level]]=1),Tasks[[#This Row],[_Row]],"")</f>
        <v/>
      </c>
      <c r="DK139" s="41" t="str">
        <f aca="false">IF(AND(Tasks[[#This Row],[_IsLeaf]]=1,N(Tasks[[#This Row],[Duration]])=0),Tasks[[#This Row],[Planned Finish]]+Tasks[[#This Row],[_Row]]/100000,"")</f>
        <v/>
      </c>
      <c r="DL139" s="41" t="str">
        <f aca="false">IF(AND(Tasks[[#This Row],[_IsLeaf]]=1,Tasks[[#This Row],[_LeafProgress]]&lt;1,OR(N(Tasks[[#This Row],[Finish Var]])&gt;0,Tasks[[#This Row],[Status]]="Late Start")),MAX(0,Tasks[[#This Row],[Finish Var]])+1-Tasks[[#This Row],[_Row]]/1000000,"")</f>
        <v/>
      </c>
      <c r="DM139" s="41" t="str">
        <f aca="false">IF(AND(Tasks[[#This Row],[_IsLeaf]]=1,N(Tasks[[#This Row],[Actual Start]])=0,Tasks[[#This Row],[_LeafFcstStart]]&gt;=StatusDate,Tasks[[#This Row],[_LeafFcstStart]]&lt;=LookaheadEnd),Tasks[[#This Row],[_LeafFcstStart]]+Tasks[[#This Row],[_Row]]/100000,"")</f>
        <v/>
      </c>
      <c r="DN139" s="41" t="str">
        <f aca="false">IF(AND(Tasks[[#This Row],[_IsLeaf]]=1,Tasks[[#This Row],[_LeafProgress]]&lt;1,Tasks[[#This Row],[_LeafFcstFinish]]&gt;=StatusDate,Tasks[[#This Row],[_LeafFcstFinish]]&lt;=LookaheadEnd),Tasks[[#This Row],[_LeafFcstFinish]]+Tasks[[#This Row],[_Row]]/100000,"")</f>
        <v/>
      </c>
      <c r="DO139" s="41" t="str">
        <f aca="false">IF(Tasks[[#This Row],[_LeafCritical]],Tasks[[#This Row],[_LeafFcstStart]]+Tasks[[#This Row],[_Row]]/100000,"")</f>
        <v/>
      </c>
      <c r="DP139" s="41" t="n">
        <f aca="false">Tasks[[#This Row],[_LeafWork]]*Tasks[[#This Row],[_LeafProgress]]</f>
        <v>0</v>
      </c>
      <c r="DQ139" s="103" t="str">
        <f aca="false">IF(AND(Tasks[[#This Row],[_IsLeaf]]=1,Tasks[[#This Row],[_LeafProgress]]&gt;=1),IF(N(Tasks[[#This Row],[Actual Finish]])&gt;0,Tasks[[#This Row],[Actual Finish]],Tasks[[#This Row],[_LeafFcstFinish]]),"")</f>
        <v/>
      </c>
      <c r="DR139" s="41" t="n">
        <f aca="false">IF(Tasks[[#This Row],[_IsLeaf]]=1,N(Tasks[[#This Row],[Story Points]]),0)</f>
        <v>0</v>
      </c>
      <c r="DS139" s="41" t="str">
        <f aca="false">IF(AND(Tasks[[#This Row],[_IsLeaf]]=1,CurrentSprint&lt;&gt;"",Tasks[[#This Row],[Sprint]]=CurrentSprint),Tasks[[#This Row],[_Row]],"")</f>
        <v/>
      </c>
    </row>
    <row r="140" customFormat="false" ht="15" hidden="false" customHeight="false" outlineLevel="0" collapsed="false">
      <c r="A140" s="28" t="str">
        <f aca="false">IF(Tasks[[#This Row],[Task Name]]="","",COUNTA(Tasks[[#Headers],[Task Name]]:Tasks[[#This Row],[Task Name]])-1)</f>
        <v/>
      </c>
      <c r="B140" s="29" t="n">
        <v>135</v>
      </c>
      <c r="C1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29"/>
      <c r="E140" s="30"/>
      <c r="F140" s="29"/>
      <c r="G140" s="29"/>
      <c r="H140" s="29"/>
      <c r="I140" s="29"/>
      <c r="J140" s="29"/>
      <c r="K140" s="29"/>
      <c r="L140" s="29"/>
      <c r="M140" s="29"/>
      <c r="N140" s="77"/>
      <c r="O140" s="77"/>
      <c r="P140" s="25" t="str">
        <f aca="false">IF(Tasks[[#This Row],[Task Name]]="","",IF(N(Tasks[[#This Row],[Baseline Start]])&gt;0,Tasks[[#This Row],[Baseline Start]],Tasks[[#This Row],[_CalcStart]]))</f>
        <v/>
      </c>
      <c r="Q140" s="25" t="str">
        <f aca="false">IF(Tasks[[#This Row],[Task Name]]="","",IF(N(Tasks[[#This Row],[Baseline Finish]])&gt;0,Tasks[[#This Row],[Baseline Finish]],Tasks[[#This Row],[_CalcFinish]]))</f>
        <v/>
      </c>
      <c r="R140" s="77"/>
      <c r="S140" s="77"/>
      <c r="T140" s="25" t="str">
        <f aca="false">IF(Tasks[[#This Row],[Task Name]]="","",IF(Tasks[[#This Row],[_IsSummary]],MIN(INDEX(Tasks[_LeafFcstStart],Tasks[[#This Row],[_Row]]+1):INDEX(Tasks[_LeafFcstStart],Tasks[[#This Row],[_Row]]+Tasks[[#This Row],[_Descendants]])),Tasks[[#This Row],[_LeafFcstStart]]))</f>
        <v/>
      </c>
      <c r="U140" s="25" t="str">
        <f aca="false">IF(Tasks[[#This Row],[Task Name]]="","",IF(Tasks[[#This Row],[_IsSummary]],MAX(INDEX(Tasks[_LeafFcstFinish],Tasks[[#This Row],[_Row]]+1):INDEX(Tasks[_LeafFcstFinish],Tasks[[#This Row],[_Row]]+Tasks[[#This Row],[_Descendants]])),Tasks[[#This Row],[_LeafFcstFinish]]))</f>
        <v/>
      </c>
      <c r="V14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0" s="25" t="str">
        <f aca="false">IF(Tasks[[#This Row],[Task Name]]="","",IF(Tasks[[#This Row],[_IsSummary]],MIN(INDEX(Tasks[_LeafLateStart],Tasks[[#This Row],[_Row]]+1):INDEX(Tasks[_LeafLateStart],Tasks[[#This Row],[_Row]]+Tasks[[#This Row],[_Descendants]])),Tasks[[#This Row],[_LeafLateStart]]))</f>
        <v/>
      </c>
      <c r="Y140" s="25" t="str">
        <f aca="false">IF(Tasks[[#This Row],[Task Name]]="","",IF(Tasks[[#This Row],[_IsSummary]],MAX(INDEX(Tasks[_LeafLateFinish],Tasks[[#This Row],[_Row]]+1):INDEX(Tasks[_LeafLateFinish],Tasks[[#This Row],[_Row]]+Tasks[[#This Row],[_Descendants]])),Tasks[[#This Row],[_LeafLateFinish]]))</f>
        <v/>
      </c>
      <c r="Z140" s="43" t="str">
        <f aca="false">IF(Tasks[[#This Row],[Task Name]]="","",IF(Tasks[[#This Row],[_IsSummary]],MIN(INDEX(Tasks[_LeafTotalSlack],Tasks[[#This Row],[_Row]]+1):INDEX(Tasks[_LeafTotalSlack],Tasks[[#This Row],[_Row]]+Tasks[[#This Row],[_Descendants]])),Tasks[[#This Row],[_LeafTotalSlack]]))</f>
        <v/>
      </c>
      <c r="AA1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0" s="28" t="str">
        <f aca="false">IF(Tasks[[#This Row],[Task Name]]="","",IF(IF(Tasks[[#This Row],[_IsSummary]],COUNTIF(INDEX(Tasks[_LeafCritical],Tasks[[#This Row],[_Row]]+1):INDEX(Tasks[_LeafCritical],Tasks[[#This Row],[_Row]]+Tasks[[#This Row],[_Descendants]]),TRUE())&gt;0,Tasks[[#This Row],[_LeafCritical]]),"Yes",""))</f>
        <v/>
      </c>
      <c r="AC1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0" s="24" t="str">
        <f aca="false">IF(Tasks[[#This Row],[Task Name]]="","",TRIM(IF(Tasks[[#This Row],[_Pred1Problem]]&lt;&gt;"","Pred 1: "&amp;Tasks[[#This Row],[_Pred1Problem]]&amp;". ","")&amp;IF(Tasks[[#This Row],[_Pred2Problem]]&lt;&gt;"","Pred 2: "&amp;Tasks[[#This Row],[_Pred2Problem]]&amp;".","")))</f>
        <v/>
      </c>
      <c r="AE140" s="91"/>
      <c r="AF14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0" s="28" t="str">
        <f aca="false">IF(Tasks[[#This Row],[Task Name]]="","",IF(Tasks[[#This Row],[Progress]]&gt;=1,"Complete",IF(OR(N(Tasks[[#This Row],[Actual Start]])&gt;0,Tasks[[#This Row],[Progress]]&gt;0),IF(Tasks[[#This Row],[Finish Var]]&gt;0,"Behind","In Progress"),IF(Tasks[[#This Row],[Planned Start]]&lt;StatusDate,"Late Start","Not Started"))))</f>
        <v/>
      </c>
      <c r="AH140" s="30"/>
      <c r="AI140" s="91"/>
      <c r="AJ14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0" s="98" t="str">
        <f aca="false">IF(Tasks[[#This Row],[Task Name]]="","",IF(Tasks[[#This Row],[_IsSummary]],SUM(INDEX(Tasks[_LeafWork],Tasks[[#This Row],[_Row]]+1):INDEX(Tasks[_LeafWork],Tasks[[#This Row],[_Row]]+Tasks[[#This Row],[_Descendants]])),Tasks[[#This Row],[_LeafWork]]))</f>
        <v/>
      </c>
      <c r="AL140" s="99" t="str">
        <f aca="false">IF(Tasks[[#This Row],[Task Name]]="","",IF(Tasks[[#This Row],[_IsSummary]],SUM(INDEX(Tasks[_LeafCost],Tasks[[#This Row],[_Row]]+1):INDEX(Tasks[_LeafCost],Tasks[[#This Row],[_Row]]+Tasks[[#This Row],[_Descendants]])),Tasks[[#This Row],[_LeafCost]]))</f>
        <v/>
      </c>
      <c r="AM140" s="100"/>
      <c r="AN140" s="29"/>
      <c r="AO1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0" s="85"/>
      <c r="AQ140" s="24" t="str">
        <f aca="false">IF(Tasks[[#This Row],[Task Name]]="","",Tasks[[#This Row],[_Pred1IDText]]&amp;IF(AND(Tasks[[#This Row],[_Pred1IDText]]&lt;&gt;"",Tasks[[#This Row],[_Pred2IDText]]&lt;&gt;""),",","")&amp;Tasks[[#This Row],[_Pred2IDText]])</f>
        <v/>
      </c>
      <c r="AR140" s="30"/>
      <c r="AS140" s="25" t="str">
        <f aca="false">IF(Tasks[[#This Row],[Task Name]]="","",Tasks[[#This Row],[Forecast Start]])</f>
        <v/>
      </c>
      <c r="AT140" s="25" t="str">
        <f aca="false">IF(Tasks[[#This Row],[Task Name]]="","",Tasks[[#This Row],[Forecast Finish]])</f>
        <v/>
      </c>
      <c r="AU140" s="28" t="str">
        <f aca="false">IF(Tasks[[#This Row],[Task Name]]="","",IF(Tasks[[#This Row],[_IsSummary]],NETWORKDAYS.INTL(Tasks[[#This Row],[Forecast Start]],Tasks[[#This Row],[Forecast Finish]],WorkWeek,Holidays),N(Tasks[[#This Row],[Duration]])))</f>
        <v/>
      </c>
      <c r="AV140" s="98" t="str">
        <f aca="false">IF(Tasks[[#This Row],[Task Name]]="","",Tasks[[#This Row],[Work]])</f>
        <v/>
      </c>
      <c r="AW140" s="99" t="str">
        <f aca="false">IF(Tasks[[#This Row],[Task Name]]="","",Tasks[[#This Row],[Cost]])</f>
        <v/>
      </c>
      <c r="AX140" s="77"/>
      <c r="AY140" s="77"/>
      <c r="AZ140" s="29"/>
      <c r="BA140" s="101"/>
      <c r="BB140" s="100"/>
      <c r="BC140" s="28" t="str">
        <f aca="false">IF(OR(Tasks[[#This Row],[Task Name]]="",Tasks[[#This Row],[Baseline Duration]]=""),"",Tasks[[#This Row],[BL Source Duration]]-N(Tasks[[#This Row],[Baseline Duration]]))</f>
        <v/>
      </c>
      <c r="BD140" s="98" t="str">
        <f aca="false">IF(OR(Tasks[[#This Row],[Task Name]]="",Tasks[[#This Row],[Baseline Work]]=""),"",Tasks[[#This Row],[Work]]-N(Tasks[[#This Row],[Baseline Work]]))</f>
        <v/>
      </c>
      <c r="BE140" s="99" t="str">
        <f aca="false">IF(OR(Tasks[[#This Row],[Task Name]]="",Tasks[[#This Row],[Baseline Cost]]=""),"",Tasks[[#This Row],[Cost]]-N(Tasks[[#This Row],[Baseline Cost]]))</f>
        <v/>
      </c>
      <c r="BF140" s="99" t="str">
        <f aca="false">IF(Tasks[[#This Row],[Task Name]]="","",IF(Tasks[[#This Row],[_IsSummary]],SUM(INDEX(Tasks[_LeafBudget],Tasks[[#This Row],[_Row]]+1):INDEX(Tasks[_LeafBudget],Tasks[[#This Row],[_Row]]+Tasks[[#This Row],[_Descendants]])),Tasks[[#This Row],[_LeafBudget]]))</f>
        <v/>
      </c>
      <c r="BG140" s="99" t="str">
        <f aca="false">IF(Tasks[[#This Row],[Task Name]]="","",IF(Tasks[[#This Row],[_IsSummary]],SUM(INDEX(Tasks[_LeafPV],Tasks[[#This Row],[_Row]]+1):INDEX(Tasks[_LeafPV],Tasks[[#This Row],[_Row]]+Tasks[[#This Row],[_Descendants]])),Tasks[[#This Row],[_LeafPV]]))</f>
        <v/>
      </c>
      <c r="BH140" s="99" t="str">
        <f aca="false">IF(Tasks[[#This Row],[Task Name]]="","",IF(Tasks[[#This Row],[_IsSummary]],SUM(INDEX(Tasks[_LeafEV],Tasks[[#This Row],[_Row]]+1):INDEX(Tasks[_LeafEV],Tasks[[#This Row],[_Row]]+Tasks[[#This Row],[_Descendants]])),Tasks[[#This Row],[_LeafEV]]))</f>
        <v/>
      </c>
      <c r="BI140" s="99" t="str">
        <f aca="false">IF(Tasks[[#This Row],[Task Name]]="","",IF(Tasks[[#This Row],[_IsSummary]],SUM(INDEX(Tasks[_LeafAC],Tasks[[#This Row],[_Row]]+1):INDEX(Tasks[_LeafAC],Tasks[[#This Row],[_Row]]+Tasks[[#This Row],[_Descendants]])),Tasks[[#This Row],[_LeafAC]]))</f>
        <v/>
      </c>
      <c r="BJ140" s="41" t="str">
        <f aca="false">IF(Tasks[[#This Row],[Task Name]]="","",MAX(1,N(Tasks[[#This Row],[Level]])))</f>
        <v/>
      </c>
      <c r="BK140" s="41" t="n">
        <f aca="false">ROW()-ROW(Tasks[[#Headers],[ID]])</f>
        <v>135</v>
      </c>
      <c r="BL140" s="41" t="n">
        <f aca="false">IF(OR(Tasks[[#This Row],[Task Name]]="",Tasks[[#This Row],[_Level]]&lt;=1),0,IFERROR(LOOKUP(2,1/(Tasks[[#Headers],[_Level]]:Tasks[[#This Row],[_Level]]=Tasks[[#This Row],[_Level]]-1),ROW(Tasks[[#Headers],[_Level]]:Tasks[[#This Row],[_Level]])),0))</f>
        <v>0</v>
      </c>
      <c r="BM140" s="41" t="n">
        <f aca="false">IFERROR(N(INDEX(Tasks[_Level],Tasks[[#This Row],[_Row]]+1)),0)</f>
        <v>0</v>
      </c>
      <c r="BN140" s="102" t="b">
        <f aca="false">AND(Tasks[[#This Row],[Task Name]]&lt;&gt;"",Tasks[[#This Row],[_NextLevel]]&gt;Tasks[[#This Row],[_Level]])</f>
        <v>0</v>
      </c>
      <c r="BO140" s="41" t="n">
        <f aca="false">IF(Tasks[[#This Row],[_IsSummary]],COUNTIF(Tasks[WBS],Tasks[[#This Row],[WBS]]&amp;".*"),0)</f>
        <v>0</v>
      </c>
      <c r="BP140" s="41" t="n">
        <f aca="false">IF(AND(Tasks[[#This Row],[Task Name]]&lt;&gt;"",NOT(Tasks[[#This Row],[_IsSummary]])),1,0)</f>
        <v>0</v>
      </c>
      <c r="BQ140" s="41" t="n">
        <f aca="false">IF(N(Tasks[[#This Row],[Pred1 UID]])=0,0,IFERROR(MATCH(Tasks[[#This Row],[Pred1 UID]],Tasks[UID],0),-1))</f>
        <v>0</v>
      </c>
      <c r="BR140" s="41" t="n">
        <f aca="false">IF(N(Tasks[[#This Row],[Pred2 UID]])=0,0,IFERROR(MATCH(Tasks[[#This Row],[Pred2 UID]],Tasks[UID],0),-1))</f>
        <v>0</v>
      </c>
      <c r="BS14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0" s="103" t="str">
        <f aca="false">IF(NOT(Tasks[[#This Row],[_IsLeaf]]=1),"",IF(N(Tasks[[#This Row],[Duration]])&lt;=0,Tasks[[#This Row],[_LeafCalcStart]],WORKDAY.INTL(Tasks[[#This Row],[_LeafCalcStart]],Tasks[[#This Row],[Duration]]-1,WorkWeek,Holidays)))</f>
        <v/>
      </c>
      <c r="BU14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0" s="41" t="n">
        <f aca="false">IF(NOT(Tasks[[#This Row],[_IsLeaf]]=1),0,IF(N(Tasks[[#This Row],[Actual Finish]])&gt;0,1,MIN(1,N(Tasks[[#This Row],[% Complete]]))))</f>
        <v>0</v>
      </c>
      <c r="BX140" s="41" t="n">
        <f aca="false">IF(OR(NOT(Tasks[[#This Row],[_IsLeaf]]=1),Tasks[[#This Row],[Resource]]=""),0,N(Tasks[[#This Row],[Duration]])*HoursPerDay*IF(Tasks[[#This Row],[Units]]="",DefaultUnits,Tasks[[#This Row],[Units]]))</f>
        <v>0</v>
      </c>
      <c r="BY140" s="41" t="n">
        <f aca="false">IF(Tasks[[#This Row],[_LeafWork]]=0,0,Tasks[[#This Row],[_LeafWork]]*IFERROR(INDEX(res_Rate,MATCH(Tasks[[#This Row],[Resource]],res_Name,0)),0))</f>
        <v>0</v>
      </c>
      <c r="BZ1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0" s="41" t="n">
        <f aca="false">IF(NOT(Tasks[[#This Row],[_IsLeaf]]=1),0,MAX(_xlfn.MAXIFS(Tasks[_Row],Tasks[Pred1 UID],Tasks[[#This Row],[UID]]),_xlfn.MAXIFS(Tasks[_Row],Tasks[Pred2 UID],Tasks[[#This Row],[UID]])))</f>
        <v>0</v>
      </c>
      <c r="CE14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0" s="103" t="str">
        <f aca="false">IF(NOT(Tasks[[#This Row],[_IsLeaf]]=1),"",MIN(ProjectFinish,IF(N(Tasks[[#This Row],[Deadline]])&gt;0,Tasks[[#This Row],[Deadline]],2958465),Tasks[[#This Row],[_SuccessorFinishLimit]]))</f>
        <v/>
      </c>
      <c r="CG140" s="103" t="str">
        <f aca="false">IF(NOT(Tasks[[#This Row],[_IsLeaf]]=1),"",IF(N(Tasks[[#This Row],[Duration]])&lt;=0,Tasks[[#This Row],[_LeafLateFinish]],WORKDAY.INTL(Tasks[[#This Row],[_LeafLateFinish]],-(Tasks[[#This Row],[Duration]]-1),WorkWeek,Holidays)))</f>
        <v/>
      </c>
      <c r="CH1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0" s="102" t="b">
        <f aca="false">AND(Tasks[[#This Row],[_IsLeaf]]=1,Tasks[[#This Row],[_LeafProgress]]&lt;1,N(Tasks[[#This Row],[_LeafTotalSlack]])&lt;=CriticalSlackDays)</f>
        <v>0</v>
      </c>
      <c r="CJ140" s="103" t="str">
        <f aca="false">IF(Tasks[[#This Row],[Task Name]]="","",IF(Tasks[[#This Row],[_IsSummary]],MIN(INDEX(Tasks[_LeafCalcStart],Tasks[[#This Row],[_Row]]+1):INDEX(Tasks[_LeafCalcStart],Tasks[[#This Row],[_Row]]+Tasks[[#This Row],[_Descendants]])),Tasks[[#This Row],[_LeafCalcStart]]))</f>
        <v/>
      </c>
      <c r="CK140" s="103" t="str">
        <f aca="false">IF(Tasks[[#This Row],[Task Name]]="","",IF(Tasks[[#This Row],[_IsSummary]],MAX(INDEX(Tasks[_LeafCalcFinish],Tasks[[#This Row],[_Row]]+1):INDEX(Tasks[_LeafCalcFinish],Tasks[[#This Row],[_Row]]+Tasks[[#This Row],[_Descendants]])),Tasks[[#This Row],[_LeafCalcFinish]]))</f>
        <v/>
      </c>
      <c r="CL1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0" s="41" t="n">
        <f aca="false">IF(AND(Tasks[[#This Row],[_IsLeaf]]=1,Tasks[[#This Row],[_LeafWork]]&gt;0),NETWORKDAYS.INTL(ProjectStart,Tasks[[#This Row],[_LeafFcstStart]],WorkWeek,Holidays),0)</f>
        <v>0</v>
      </c>
      <c r="CS140" s="41" t="n">
        <f aca="false">IF(AND(Tasks[[#This Row],[_IsLeaf]]=1,Tasks[[#This Row],[_LeafWork]]&gt;0),MAX(Tasks[[#This Row],[_StartWorkday]],NETWORKDAYS.INTL(ProjectStart,Tasks[[#This Row],[_LeafFcstFinish]],WorkWeek,Holidays)),0)</f>
        <v>0</v>
      </c>
      <c r="CT140" s="41" t="n">
        <f aca="false">IF(AND(Tasks[[#This Row],[_IsLeaf]]=1,Tasks[[#This Row],[_LeafWork]]&gt;0),Tasks[[#This Row],[_LeafWork]]/(Tasks[[#This Row],[_FinishWorkday]]-Tasks[[#This Row],[_StartWorkday]]+1),0)</f>
        <v>0</v>
      </c>
      <c r="CU140" s="41" t="n">
        <f aca="false">Tasks[[#This Row],[_WorkPerWorkday]]*(Tasks[[#This Row],[_StartWorkday]]-1)</f>
        <v>-0</v>
      </c>
      <c r="CV140" s="41" t="n">
        <f aca="false">IF(Tasks[[#This Row],[_IsLeaf]]=1,MAX(N(Tasks[[#This Row],[Duration]]),0.1),0)</f>
        <v>0</v>
      </c>
      <c r="CW140" s="41" t="n">
        <f aca="false">Tasks[[#This Row],[_WeightDur]]*Tasks[[#This Row],[_LeafProgress]]</f>
        <v>0</v>
      </c>
      <c r="CX1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0" s="41" t="str">
        <f aca="false">IF(Tasks[[#This Row],[Task Name]]="","",Tasks[[#This Row],[_Pred1UIDText]]&amp;IF(AND(Tasks[[#This Row],[_Pred1UIDText]]&lt;&gt;"",Tasks[[#This Row],[_Pred2UIDText]]&lt;&gt;""),",","")&amp;Tasks[[#This Row],[_Pred2UIDText]])</f>
        <v/>
      </c>
      <c r="DC140" s="41" t="str">
        <f aca="false">IF(AND(Tasks[[#This Row],[_IsLeaf]]=1,N(Tasks[[#This Row],[Duration]])=0,Tasks[[#This Row],[_LeafProgress]]&lt;1),Tasks[[#This Row],[_LeafFcstFinish]]+Tasks[[#This Row],[_Row]]/100000,"")</f>
        <v/>
      </c>
      <c r="DD1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0" s="41" t="n">
        <f aca="false">IF(NOT(Tasks[[#This Row],[_IsLeaf]]=1),0,IF(Tasks[[#This Row],[Baseline Cost]]="",Tasks[[#This Row],[_LeafCost]],N(Tasks[[#This Row],[Baseline Cost]])))</f>
        <v>0</v>
      </c>
      <c r="DF140" s="41" t="n">
        <f aca="false">Tasks[[#This Row],[_LeafBudget]]*Tasks[[#This Row],[_PlannedPct]]</f>
        <v>0</v>
      </c>
      <c r="DG140" s="41" t="n">
        <f aca="false">Tasks[[#This Row],[_LeafBudget]]*Tasks[[#This Row],[_LeafProgress]]</f>
        <v>0</v>
      </c>
      <c r="DH140" s="41" t="n">
        <f aca="false">IF(NOT(Tasks[[#This Row],[_IsLeaf]]=1),0,IF(Tasks[[#This Row],[Actual Cost]]="",Tasks[[#This Row],[_LeafCost]]*Tasks[[#This Row],[_LeafProgress]],N(Tasks[[#This Row],[Actual Cost]])))</f>
        <v>0</v>
      </c>
      <c r="DI140" s="41" t="str">
        <f aca="false">IF(Tasks[[#This Row],[Task Name]]="","",LEFT(Tasks[[#This Row],[WBS]],FIND(".",Tasks[[#This Row],[WBS]]&amp;".")-1))</f>
        <v/>
      </c>
      <c r="DJ140" s="41" t="str">
        <f aca="false">IF(AND(Tasks[[#This Row],[Task Name]]&lt;&gt;"",Tasks[[#This Row],[_Level]]=1),Tasks[[#This Row],[_Row]],"")</f>
        <v/>
      </c>
      <c r="DK140" s="41" t="str">
        <f aca="false">IF(AND(Tasks[[#This Row],[_IsLeaf]]=1,N(Tasks[[#This Row],[Duration]])=0),Tasks[[#This Row],[Planned Finish]]+Tasks[[#This Row],[_Row]]/100000,"")</f>
        <v/>
      </c>
      <c r="DL140" s="41" t="str">
        <f aca="false">IF(AND(Tasks[[#This Row],[_IsLeaf]]=1,Tasks[[#This Row],[_LeafProgress]]&lt;1,OR(N(Tasks[[#This Row],[Finish Var]])&gt;0,Tasks[[#This Row],[Status]]="Late Start")),MAX(0,Tasks[[#This Row],[Finish Var]])+1-Tasks[[#This Row],[_Row]]/1000000,"")</f>
        <v/>
      </c>
      <c r="DM140" s="41" t="str">
        <f aca="false">IF(AND(Tasks[[#This Row],[_IsLeaf]]=1,N(Tasks[[#This Row],[Actual Start]])=0,Tasks[[#This Row],[_LeafFcstStart]]&gt;=StatusDate,Tasks[[#This Row],[_LeafFcstStart]]&lt;=LookaheadEnd),Tasks[[#This Row],[_LeafFcstStart]]+Tasks[[#This Row],[_Row]]/100000,"")</f>
        <v/>
      </c>
      <c r="DN140" s="41" t="str">
        <f aca="false">IF(AND(Tasks[[#This Row],[_IsLeaf]]=1,Tasks[[#This Row],[_LeafProgress]]&lt;1,Tasks[[#This Row],[_LeafFcstFinish]]&gt;=StatusDate,Tasks[[#This Row],[_LeafFcstFinish]]&lt;=LookaheadEnd),Tasks[[#This Row],[_LeafFcstFinish]]+Tasks[[#This Row],[_Row]]/100000,"")</f>
        <v/>
      </c>
      <c r="DO140" s="41" t="str">
        <f aca="false">IF(Tasks[[#This Row],[_LeafCritical]],Tasks[[#This Row],[_LeafFcstStart]]+Tasks[[#This Row],[_Row]]/100000,"")</f>
        <v/>
      </c>
      <c r="DP140" s="41" t="n">
        <f aca="false">Tasks[[#This Row],[_LeafWork]]*Tasks[[#This Row],[_LeafProgress]]</f>
        <v>0</v>
      </c>
      <c r="DQ140" s="103" t="str">
        <f aca="false">IF(AND(Tasks[[#This Row],[_IsLeaf]]=1,Tasks[[#This Row],[_LeafProgress]]&gt;=1),IF(N(Tasks[[#This Row],[Actual Finish]])&gt;0,Tasks[[#This Row],[Actual Finish]],Tasks[[#This Row],[_LeafFcstFinish]]),"")</f>
        <v/>
      </c>
      <c r="DR140" s="41" t="n">
        <f aca="false">IF(Tasks[[#This Row],[_IsLeaf]]=1,N(Tasks[[#This Row],[Story Points]]),0)</f>
        <v>0</v>
      </c>
      <c r="DS140" s="41" t="str">
        <f aca="false">IF(AND(Tasks[[#This Row],[_IsLeaf]]=1,CurrentSprint&lt;&gt;"",Tasks[[#This Row],[Sprint]]=CurrentSprint),Tasks[[#This Row],[_Row]],"")</f>
        <v/>
      </c>
    </row>
    <row r="141" customFormat="false" ht="15" hidden="false" customHeight="false" outlineLevel="0" collapsed="false">
      <c r="A141" s="28" t="str">
        <f aca="false">IF(Tasks[[#This Row],[Task Name]]="","",COUNTA(Tasks[[#Headers],[Task Name]]:Tasks[[#This Row],[Task Name]])-1)</f>
        <v/>
      </c>
      <c r="B141" s="29" t="n">
        <v>136</v>
      </c>
      <c r="C1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29"/>
      <c r="E141" s="30"/>
      <c r="F141" s="29"/>
      <c r="G141" s="29"/>
      <c r="H141" s="29"/>
      <c r="I141" s="29"/>
      <c r="J141" s="29"/>
      <c r="K141" s="29"/>
      <c r="L141" s="29"/>
      <c r="M141" s="29"/>
      <c r="N141" s="77"/>
      <c r="O141" s="77"/>
      <c r="P141" s="25" t="str">
        <f aca="false">IF(Tasks[[#This Row],[Task Name]]="","",IF(N(Tasks[[#This Row],[Baseline Start]])&gt;0,Tasks[[#This Row],[Baseline Start]],Tasks[[#This Row],[_CalcStart]]))</f>
        <v/>
      </c>
      <c r="Q141" s="25" t="str">
        <f aca="false">IF(Tasks[[#This Row],[Task Name]]="","",IF(N(Tasks[[#This Row],[Baseline Finish]])&gt;0,Tasks[[#This Row],[Baseline Finish]],Tasks[[#This Row],[_CalcFinish]]))</f>
        <v/>
      </c>
      <c r="R141" s="77"/>
      <c r="S141" s="77"/>
      <c r="T141" s="25" t="str">
        <f aca="false">IF(Tasks[[#This Row],[Task Name]]="","",IF(Tasks[[#This Row],[_IsSummary]],MIN(INDEX(Tasks[_LeafFcstStart],Tasks[[#This Row],[_Row]]+1):INDEX(Tasks[_LeafFcstStart],Tasks[[#This Row],[_Row]]+Tasks[[#This Row],[_Descendants]])),Tasks[[#This Row],[_LeafFcstStart]]))</f>
        <v/>
      </c>
      <c r="U141" s="25" t="str">
        <f aca="false">IF(Tasks[[#This Row],[Task Name]]="","",IF(Tasks[[#This Row],[_IsSummary]],MAX(INDEX(Tasks[_LeafFcstFinish],Tasks[[#This Row],[_Row]]+1):INDEX(Tasks[_LeafFcstFinish],Tasks[[#This Row],[_Row]]+Tasks[[#This Row],[_Descendants]])),Tasks[[#This Row],[_LeafFcstFinish]]))</f>
        <v/>
      </c>
      <c r="V14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1" s="25" t="str">
        <f aca="false">IF(Tasks[[#This Row],[Task Name]]="","",IF(Tasks[[#This Row],[_IsSummary]],MIN(INDEX(Tasks[_LeafLateStart],Tasks[[#This Row],[_Row]]+1):INDEX(Tasks[_LeafLateStart],Tasks[[#This Row],[_Row]]+Tasks[[#This Row],[_Descendants]])),Tasks[[#This Row],[_LeafLateStart]]))</f>
        <v/>
      </c>
      <c r="Y141" s="25" t="str">
        <f aca="false">IF(Tasks[[#This Row],[Task Name]]="","",IF(Tasks[[#This Row],[_IsSummary]],MAX(INDEX(Tasks[_LeafLateFinish],Tasks[[#This Row],[_Row]]+1):INDEX(Tasks[_LeafLateFinish],Tasks[[#This Row],[_Row]]+Tasks[[#This Row],[_Descendants]])),Tasks[[#This Row],[_LeafLateFinish]]))</f>
        <v/>
      </c>
      <c r="Z141" s="43" t="str">
        <f aca="false">IF(Tasks[[#This Row],[Task Name]]="","",IF(Tasks[[#This Row],[_IsSummary]],MIN(INDEX(Tasks[_LeafTotalSlack],Tasks[[#This Row],[_Row]]+1):INDEX(Tasks[_LeafTotalSlack],Tasks[[#This Row],[_Row]]+Tasks[[#This Row],[_Descendants]])),Tasks[[#This Row],[_LeafTotalSlack]]))</f>
        <v/>
      </c>
      <c r="AA1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1" s="28" t="str">
        <f aca="false">IF(Tasks[[#This Row],[Task Name]]="","",IF(IF(Tasks[[#This Row],[_IsSummary]],COUNTIF(INDEX(Tasks[_LeafCritical],Tasks[[#This Row],[_Row]]+1):INDEX(Tasks[_LeafCritical],Tasks[[#This Row],[_Row]]+Tasks[[#This Row],[_Descendants]]),TRUE())&gt;0,Tasks[[#This Row],[_LeafCritical]]),"Yes",""))</f>
        <v/>
      </c>
      <c r="AC1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1" s="24" t="str">
        <f aca="false">IF(Tasks[[#This Row],[Task Name]]="","",TRIM(IF(Tasks[[#This Row],[_Pred1Problem]]&lt;&gt;"","Pred 1: "&amp;Tasks[[#This Row],[_Pred1Problem]]&amp;". ","")&amp;IF(Tasks[[#This Row],[_Pred2Problem]]&lt;&gt;"","Pred 2: "&amp;Tasks[[#This Row],[_Pred2Problem]]&amp;".","")))</f>
        <v/>
      </c>
      <c r="AE141" s="91"/>
      <c r="AF14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1" s="28" t="str">
        <f aca="false">IF(Tasks[[#This Row],[Task Name]]="","",IF(Tasks[[#This Row],[Progress]]&gt;=1,"Complete",IF(OR(N(Tasks[[#This Row],[Actual Start]])&gt;0,Tasks[[#This Row],[Progress]]&gt;0),IF(Tasks[[#This Row],[Finish Var]]&gt;0,"Behind","In Progress"),IF(Tasks[[#This Row],[Planned Start]]&lt;StatusDate,"Late Start","Not Started"))))</f>
        <v/>
      </c>
      <c r="AH141" s="30"/>
      <c r="AI141" s="91"/>
      <c r="AJ14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1" s="98" t="str">
        <f aca="false">IF(Tasks[[#This Row],[Task Name]]="","",IF(Tasks[[#This Row],[_IsSummary]],SUM(INDEX(Tasks[_LeafWork],Tasks[[#This Row],[_Row]]+1):INDEX(Tasks[_LeafWork],Tasks[[#This Row],[_Row]]+Tasks[[#This Row],[_Descendants]])),Tasks[[#This Row],[_LeafWork]]))</f>
        <v/>
      </c>
      <c r="AL141" s="99" t="str">
        <f aca="false">IF(Tasks[[#This Row],[Task Name]]="","",IF(Tasks[[#This Row],[_IsSummary]],SUM(INDEX(Tasks[_LeafCost],Tasks[[#This Row],[_Row]]+1):INDEX(Tasks[_LeafCost],Tasks[[#This Row],[_Row]]+Tasks[[#This Row],[_Descendants]])),Tasks[[#This Row],[_LeafCost]]))</f>
        <v/>
      </c>
      <c r="AM141" s="100"/>
      <c r="AN141" s="29"/>
      <c r="AO1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1" s="85"/>
      <c r="AQ141" s="24" t="str">
        <f aca="false">IF(Tasks[[#This Row],[Task Name]]="","",Tasks[[#This Row],[_Pred1IDText]]&amp;IF(AND(Tasks[[#This Row],[_Pred1IDText]]&lt;&gt;"",Tasks[[#This Row],[_Pred2IDText]]&lt;&gt;""),",","")&amp;Tasks[[#This Row],[_Pred2IDText]])</f>
        <v/>
      </c>
      <c r="AR141" s="30"/>
      <c r="AS141" s="25" t="str">
        <f aca="false">IF(Tasks[[#This Row],[Task Name]]="","",Tasks[[#This Row],[Forecast Start]])</f>
        <v/>
      </c>
      <c r="AT141" s="25" t="str">
        <f aca="false">IF(Tasks[[#This Row],[Task Name]]="","",Tasks[[#This Row],[Forecast Finish]])</f>
        <v/>
      </c>
      <c r="AU141" s="28" t="str">
        <f aca="false">IF(Tasks[[#This Row],[Task Name]]="","",IF(Tasks[[#This Row],[_IsSummary]],NETWORKDAYS.INTL(Tasks[[#This Row],[Forecast Start]],Tasks[[#This Row],[Forecast Finish]],WorkWeek,Holidays),N(Tasks[[#This Row],[Duration]])))</f>
        <v/>
      </c>
      <c r="AV141" s="98" t="str">
        <f aca="false">IF(Tasks[[#This Row],[Task Name]]="","",Tasks[[#This Row],[Work]])</f>
        <v/>
      </c>
      <c r="AW141" s="99" t="str">
        <f aca="false">IF(Tasks[[#This Row],[Task Name]]="","",Tasks[[#This Row],[Cost]])</f>
        <v/>
      </c>
      <c r="AX141" s="77"/>
      <c r="AY141" s="77"/>
      <c r="AZ141" s="29"/>
      <c r="BA141" s="101"/>
      <c r="BB141" s="100"/>
      <c r="BC141" s="28" t="str">
        <f aca="false">IF(OR(Tasks[[#This Row],[Task Name]]="",Tasks[[#This Row],[Baseline Duration]]=""),"",Tasks[[#This Row],[BL Source Duration]]-N(Tasks[[#This Row],[Baseline Duration]]))</f>
        <v/>
      </c>
      <c r="BD141" s="98" t="str">
        <f aca="false">IF(OR(Tasks[[#This Row],[Task Name]]="",Tasks[[#This Row],[Baseline Work]]=""),"",Tasks[[#This Row],[Work]]-N(Tasks[[#This Row],[Baseline Work]]))</f>
        <v/>
      </c>
      <c r="BE141" s="99" t="str">
        <f aca="false">IF(OR(Tasks[[#This Row],[Task Name]]="",Tasks[[#This Row],[Baseline Cost]]=""),"",Tasks[[#This Row],[Cost]]-N(Tasks[[#This Row],[Baseline Cost]]))</f>
        <v/>
      </c>
      <c r="BF141" s="99" t="str">
        <f aca="false">IF(Tasks[[#This Row],[Task Name]]="","",IF(Tasks[[#This Row],[_IsSummary]],SUM(INDEX(Tasks[_LeafBudget],Tasks[[#This Row],[_Row]]+1):INDEX(Tasks[_LeafBudget],Tasks[[#This Row],[_Row]]+Tasks[[#This Row],[_Descendants]])),Tasks[[#This Row],[_LeafBudget]]))</f>
        <v/>
      </c>
      <c r="BG141" s="99" t="str">
        <f aca="false">IF(Tasks[[#This Row],[Task Name]]="","",IF(Tasks[[#This Row],[_IsSummary]],SUM(INDEX(Tasks[_LeafPV],Tasks[[#This Row],[_Row]]+1):INDEX(Tasks[_LeafPV],Tasks[[#This Row],[_Row]]+Tasks[[#This Row],[_Descendants]])),Tasks[[#This Row],[_LeafPV]]))</f>
        <v/>
      </c>
      <c r="BH141" s="99" t="str">
        <f aca="false">IF(Tasks[[#This Row],[Task Name]]="","",IF(Tasks[[#This Row],[_IsSummary]],SUM(INDEX(Tasks[_LeafEV],Tasks[[#This Row],[_Row]]+1):INDEX(Tasks[_LeafEV],Tasks[[#This Row],[_Row]]+Tasks[[#This Row],[_Descendants]])),Tasks[[#This Row],[_LeafEV]]))</f>
        <v/>
      </c>
      <c r="BI141" s="99" t="str">
        <f aca="false">IF(Tasks[[#This Row],[Task Name]]="","",IF(Tasks[[#This Row],[_IsSummary]],SUM(INDEX(Tasks[_LeafAC],Tasks[[#This Row],[_Row]]+1):INDEX(Tasks[_LeafAC],Tasks[[#This Row],[_Row]]+Tasks[[#This Row],[_Descendants]])),Tasks[[#This Row],[_LeafAC]]))</f>
        <v/>
      </c>
      <c r="BJ141" s="41" t="str">
        <f aca="false">IF(Tasks[[#This Row],[Task Name]]="","",MAX(1,N(Tasks[[#This Row],[Level]])))</f>
        <v/>
      </c>
      <c r="BK141" s="41" t="n">
        <f aca="false">ROW()-ROW(Tasks[[#Headers],[ID]])</f>
        <v>136</v>
      </c>
      <c r="BL141" s="41" t="n">
        <f aca="false">IF(OR(Tasks[[#This Row],[Task Name]]="",Tasks[[#This Row],[_Level]]&lt;=1),0,IFERROR(LOOKUP(2,1/(Tasks[[#Headers],[_Level]]:Tasks[[#This Row],[_Level]]=Tasks[[#This Row],[_Level]]-1),ROW(Tasks[[#Headers],[_Level]]:Tasks[[#This Row],[_Level]])),0))</f>
        <v>0</v>
      </c>
      <c r="BM141" s="41" t="n">
        <f aca="false">IFERROR(N(INDEX(Tasks[_Level],Tasks[[#This Row],[_Row]]+1)),0)</f>
        <v>0</v>
      </c>
      <c r="BN141" s="102" t="b">
        <f aca="false">AND(Tasks[[#This Row],[Task Name]]&lt;&gt;"",Tasks[[#This Row],[_NextLevel]]&gt;Tasks[[#This Row],[_Level]])</f>
        <v>0</v>
      </c>
      <c r="BO141" s="41" t="n">
        <f aca="false">IF(Tasks[[#This Row],[_IsSummary]],COUNTIF(Tasks[WBS],Tasks[[#This Row],[WBS]]&amp;".*"),0)</f>
        <v>0</v>
      </c>
      <c r="BP141" s="41" t="n">
        <f aca="false">IF(AND(Tasks[[#This Row],[Task Name]]&lt;&gt;"",NOT(Tasks[[#This Row],[_IsSummary]])),1,0)</f>
        <v>0</v>
      </c>
      <c r="BQ141" s="41" t="n">
        <f aca="false">IF(N(Tasks[[#This Row],[Pred1 UID]])=0,0,IFERROR(MATCH(Tasks[[#This Row],[Pred1 UID]],Tasks[UID],0),-1))</f>
        <v>0</v>
      </c>
      <c r="BR141" s="41" t="n">
        <f aca="false">IF(N(Tasks[[#This Row],[Pred2 UID]])=0,0,IFERROR(MATCH(Tasks[[#This Row],[Pred2 UID]],Tasks[UID],0),-1))</f>
        <v>0</v>
      </c>
      <c r="BS14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1" s="103" t="str">
        <f aca="false">IF(NOT(Tasks[[#This Row],[_IsLeaf]]=1),"",IF(N(Tasks[[#This Row],[Duration]])&lt;=0,Tasks[[#This Row],[_LeafCalcStart]],WORKDAY.INTL(Tasks[[#This Row],[_LeafCalcStart]],Tasks[[#This Row],[Duration]]-1,WorkWeek,Holidays)))</f>
        <v/>
      </c>
      <c r="BU14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1" s="41" t="n">
        <f aca="false">IF(NOT(Tasks[[#This Row],[_IsLeaf]]=1),0,IF(N(Tasks[[#This Row],[Actual Finish]])&gt;0,1,MIN(1,N(Tasks[[#This Row],[% Complete]]))))</f>
        <v>0</v>
      </c>
      <c r="BX141" s="41" t="n">
        <f aca="false">IF(OR(NOT(Tasks[[#This Row],[_IsLeaf]]=1),Tasks[[#This Row],[Resource]]=""),0,N(Tasks[[#This Row],[Duration]])*HoursPerDay*IF(Tasks[[#This Row],[Units]]="",DefaultUnits,Tasks[[#This Row],[Units]]))</f>
        <v>0</v>
      </c>
      <c r="BY141" s="41" t="n">
        <f aca="false">IF(Tasks[[#This Row],[_LeafWork]]=0,0,Tasks[[#This Row],[_LeafWork]]*IFERROR(INDEX(res_Rate,MATCH(Tasks[[#This Row],[Resource]],res_Name,0)),0))</f>
        <v>0</v>
      </c>
      <c r="BZ1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1" s="41" t="n">
        <f aca="false">IF(NOT(Tasks[[#This Row],[_IsLeaf]]=1),0,MAX(_xlfn.MAXIFS(Tasks[_Row],Tasks[Pred1 UID],Tasks[[#This Row],[UID]]),_xlfn.MAXIFS(Tasks[_Row],Tasks[Pred2 UID],Tasks[[#This Row],[UID]])))</f>
        <v>0</v>
      </c>
      <c r="CE14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1" s="103" t="str">
        <f aca="false">IF(NOT(Tasks[[#This Row],[_IsLeaf]]=1),"",MIN(ProjectFinish,IF(N(Tasks[[#This Row],[Deadline]])&gt;0,Tasks[[#This Row],[Deadline]],2958465),Tasks[[#This Row],[_SuccessorFinishLimit]]))</f>
        <v/>
      </c>
      <c r="CG141" s="103" t="str">
        <f aca="false">IF(NOT(Tasks[[#This Row],[_IsLeaf]]=1),"",IF(N(Tasks[[#This Row],[Duration]])&lt;=0,Tasks[[#This Row],[_LeafLateFinish]],WORKDAY.INTL(Tasks[[#This Row],[_LeafLateFinish]],-(Tasks[[#This Row],[Duration]]-1),WorkWeek,Holidays)))</f>
        <v/>
      </c>
      <c r="CH1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1" s="102" t="b">
        <f aca="false">AND(Tasks[[#This Row],[_IsLeaf]]=1,Tasks[[#This Row],[_LeafProgress]]&lt;1,N(Tasks[[#This Row],[_LeafTotalSlack]])&lt;=CriticalSlackDays)</f>
        <v>0</v>
      </c>
      <c r="CJ141" s="103" t="str">
        <f aca="false">IF(Tasks[[#This Row],[Task Name]]="","",IF(Tasks[[#This Row],[_IsSummary]],MIN(INDEX(Tasks[_LeafCalcStart],Tasks[[#This Row],[_Row]]+1):INDEX(Tasks[_LeafCalcStart],Tasks[[#This Row],[_Row]]+Tasks[[#This Row],[_Descendants]])),Tasks[[#This Row],[_LeafCalcStart]]))</f>
        <v/>
      </c>
      <c r="CK141" s="103" t="str">
        <f aca="false">IF(Tasks[[#This Row],[Task Name]]="","",IF(Tasks[[#This Row],[_IsSummary]],MAX(INDEX(Tasks[_LeafCalcFinish],Tasks[[#This Row],[_Row]]+1):INDEX(Tasks[_LeafCalcFinish],Tasks[[#This Row],[_Row]]+Tasks[[#This Row],[_Descendants]])),Tasks[[#This Row],[_LeafCalcFinish]]))</f>
        <v/>
      </c>
      <c r="CL1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1" s="41" t="n">
        <f aca="false">IF(AND(Tasks[[#This Row],[_IsLeaf]]=1,Tasks[[#This Row],[_LeafWork]]&gt;0),NETWORKDAYS.INTL(ProjectStart,Tasks[[#This Row],[_LeafFcstStart]],WorkWeek,Holidays),0)</f>
        <v>0</v>
      </c>
      <c r="CS141" s="41" t="n">
        <f aca="false">IF(AND(Tasks[[#This Row],[_IsLeaf]]=1,Tasks[[#This Row],[_LeafWork]]&gt;0),MAX(Tasks[[#This Row],[_StartWorkday]],NETWORKDAYS.INTL(ProjectStart,Tasks[[#This Row],[_LeafFcstFinish]],WorkWeek,Holidays)),0)</f>
        <v>0</v>
      </c>
      <c r="CT141" s="41" t="n">
        <f aca="false">IF(AND(Tasks[[#This Row],[_IsLeaf]]=1,Tasks[[#This Row],[_LeafWork]]&gt;0),Tasks[[#This Row],[_LeafWork]]/(Tasks[[#This Row],[_FinishWorkday]]-Tasks[[#This Row],[_StartWorkday]]+1),0)</f>
        <v>0</v>
      </c>
      <c r="CU141" s="41" t="n">
        <f aca="false">Tasks[[#This Row],[_WorkPerWorkday]]*(Tasks[[#This Row],[_StartWorkday]]-1)</f>
        <v>-0</v>
      </c>
      <c r="CV141" s="41" t="n">
        <f aca="false">IF(Tasks[[#This Row],[_IsLeaf]]=1,MAX(N(Tasks[[#This Row],[Duration]]),0.1),0)</f>
        <v>0</v>
      </c>
      <c r="CW141" s="41" t="n">
        <f aca="false">Tasks[[#This Row],[_WeightDur]]*Tasks[[#This Row],[_LeafProgress]]</f>
        <v>0</v>
      </c>
      <c r="CX1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1" s="41" t="str">
        <f aca="false">IF(Tasks[[#This Row],[Task Name]]="","",Tasks[[#This Row],[_Pred1UIDText]]&amp;IF(AND(Tasks[[#This Row],[_Pred1UIDText]]&lt;&gt;"",Tasks[[#This Row],[_Pred2UIDText]]&lt;&gt;""),",","")&amp;Tasks[[#This Row],[_Pred2UIDText]])</f>
        <v/>
      </c>
      <c r="DC141" s="41" t="str">
        <f aca="false">IF(AND(Tasks[[#This Row],[_IsLeaf]]=1,N(Tasks[[#This Row],[Duration]])=0,Tasks[[#This Row],[_LeafProgress]]&lt;1),Tasks[[#This Row],[_LeafFcstFinish]]+Tasks[[#This Row],[_Row]]/100000,"")</f>
        <v/>
      </c>
      <c r="DD1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1" s="41" t="n">
        <f aca="false">IF(NOT(Tasks[[#This Row],[_IsLeaf]]=1),0,IF(Tasks[[#This Row],[Baseline Cost]]="",Tasks[[#This Row],[_LeafCost]],N(Tasks[[#This Row],[Baseline Cost]])))</f>
        <v>0</v>
      </c>
      <c r="DF141" s="41" t="n">
        <f aca="false">Tasks[[#This Row],[_LeafBudget]]*Tasks[[#This Row],[_PlannedPct]]</f>
        <v>0</v>
      </c>
      <c r="DG141" s="41" t="n">
        <f aca="false">Tasks[[#This Row],[_LeafBudget]]*Tasks[[#This Row],[_LeafProgress]]</f>
        <v>0</v>
      </c>
      <c r="DH141" s="41" t="n">
        <f aca="false">IF(NOT(Tasks[[#This Row],[_IsLeaf]]=1),0,IF(Tasks[[#This Row],[Actual Cost]]="",Tasks[[#This Row],[_LeafCost]]*Tasks[[#This Row],[_LeafProgress]],N(Tasks[[#This Row],[Actual Cost]])))</f>
        <v>0</v>
      </c>
      <c r="DI141" s="41" t="str">
        <f aca="false">IF(Tasks[[#This Row],[Task Name]]="","",LEFT(Tasks[[#This Row],[WBS]],FIND(".",Tasks[[#This Row],[WBS]]&amp;".")-1))</f>
        <v/>
      </c>
      <c r="DJ141" s="41" t="str">
        <f aca="false">IF(AND(Tasks[[#This Row],[Task Name]]&lt;&gt;"",Tasks[[#This Row],[_Level]]=1),Tasks[[#This Row],[_Row]],"")</f>
        <v/>
      </c>
      <c r="DK141" s="41" t="str">
        <f aca="false">IF(AND(Tasks[[#This Row],[_IsLeaf]]=1,N(Tasks[[#This Row],[Duration]])=0),Tasks[[#This Row],[Planned Finish]]+Tasks[[#This Row],[_Row]]/100000,"")</f>
        <v/>
      </c>
      <c r="DL141" s="41" t="str">
        <f aca="false">IF(AND(Tasks[[#This Row],[_IsLeaf]]=1,Tasks[[#This Row],[_LeafProgress]]&lt;1,OR(N(Tasks[[#This Row],[Finish Var]])&gt;0,Tasks[[#This Row],[Status]]="Late Start")),MAX(0,Tasks[[#This Row],[Finish Var]])+1-Tasks[[#This Row],[_Row]]/1000000,"")</f>
        <v/>
      </c>
      <c r="DM141" s="41" t="str">
        <f aca="false">IF(AND(Tasks[[#This Row],[_IsLeaf]]=1,N(Tasks[[#This Row],[Actual Start]])=0,Tasks[[#This Row],[_LeafFcstStart]]&gt;=StatusDate,Tasks[[#This Row],[_LeafFcstStart]]&lt;=LookaheadEnd),Tasks[[#This Row],[_LeafFcstStart]]+Tasks[[#This Row],[_Row]]/100000,"")</f>
        <v/>
      </c>
      <c r="DN141" s="41" t="str">
        <f aca="false">IF(AND(Tasks[[#This Row],[_IsLeaf]]=1,Tasks[[#This Row],[_LeafProgress]]&lt;1,Tasks[[#This Row],[_LeafFcstFinish]]&gt;=StatusDate,Tasks[[#This Row],[_LeafFcstFinish]]&lt;=LookaheadEnd),Tasks[[#This Row],[_LeafFcstFinish]]+Tasks[[#This Row],[_Row]]/100000,"")</f>
        <v/>
      </c>
      <c r="DO141" s="41" t="str">
        <f aca="false">IF(Tasks[[#This Row],[_LeafCritical]],Tasks[[#This Row],[_LeafFcstStart]]+Tasks[[#This Row],[_Row]]/100000,"")</f>
        <v/>
      </c>
      <c r="DP141" s="41" t="n">
        <f aca="false">Tasks[[#This Row],[_LeafWork]]*Tasks[[#This Row],[_LeafProgress]]</f>
        <v>0</v>
      </c>
      <c r="DQ141" s="103" t="str">
        <f aca="false">IF(AND(Tasks[[#This Row],[_IsLeaf]]=1,Tasks[[#This Row],[_LeafProgress]]&gt;=1),IF(N(Tasks[[#This Row],[Actual Finish]])&gt;0,Tasks[[#This Row],[Actual Finish]],Tasks[[#This Row],[_LeafFcstFinish]]),"")</f>
        <v/>
      </c>
      <c r="DR141" s="41" t="n">
        <f aca="false">IF(Tasks[[#This Row],[_IsLeaf]]=1,N(Tasks[[#This Row],[Story Points]]),0)</f>
        <v>0</v>
      </c>
      <c r="DS141" s="41" t="str">
        <f aca="false">IF(AND(Tasks[[#This Row],[_IsLeaf]]=1,CurrentSprint&lt;&gt;"",Tasks[[#This Row],[Sprint]]=CurrentSprint),Tasks[[#This Row],[_Row]],"")</f>
        <v/>
      </c>
    </row>
    <row r="142" customFormat="false" ht="15" hidden="false" customHeight="false" outlineLevel="0" collapsed="false">
      <c r="A142" s="28" t="str">
        <f aca="false">IF(Tasks[[#This Row],[Task Name]]="","",COUNTA(Tasks[[#Headers],[Task Name]]:Tasks[[#This Row],[Task Name]])-1)</f>
        <v/>
      </c>
      <c r="B142" s="29" t="n">
        <v>137</v>
      </c>
      <c r="C1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29"/>
      <c r="E142" s="30"/>
      <c r="F142" s="29"/>
      <c r="G142" s="29"/>
      <c r="H142" s="29"/>
      <c r="I142" s="29"/>
      <c r="J142" s="29"/>
      <c r="K142" s="29"/>
      <c r="L142" s="29"/>
      <c r="M142" s="29"/>
      <c r="N142" s="77"/>
      <c r="O142" s="77"/>
      <c r="P142" s="25" t="str">
        <f aca="false">IF(Tasks[[#This Row],[Task Name]]="","",IF(N(Tasks[[#This Row],[Baseline Start]])&gt;0,Tasks[[#This Row],[Baseline Start]],Tasks[[#This Row],[_CalcStart]]))</f>
        <v/>
      </c>
      <c r="Q142" s="25" t="str">
        <f aca="false">IF(Tasks[[#This Row],[Task Name]]="","",IF(N(Tasks[[#This Row],[Baseline Finish]])&gt;0,Tasks[[#This Row],[Baseline Finish]],Tasks[[#This Row],[_CalcFinish]]))</f>
        <v/>
      </c>
      <c r="R142" s="77"/>
      <c r="S142" s="77"/>
      <c r="T142" s="25" t="str">
        <f aca="false">IF(Tasks[[#This Row],[Task Name]]="","",IF(Tasks[[#This Row],[_IsSummary]],MIN(INDEX(Tasks[_LeafFcstStart],Tasks[[#This Row],[_Row]]+1):INDEX(Tasks[_LeafFcstStart],Tasks[[#This Row],[_Row]]+Tasks[[#This Row],[_Descendants]])),Tasks[[#This Row],[_LeafFcstStart]]))</f>
        <v/>
      </c>
      <c r="U142" s="25" t="str">
        <f aca="false">IF(Tasks[[#This Row],[Task Name]]="","",IF(Tasks[[#This Row],[_IsSummary]],MAX(INDEX(Tasks[_LeafFcstFinish],Tasks[[#This Row],[_Row]]+1):INDEX(Tasks[_LeafFcstFinish],Tasks[[#This Row],[_Row]]+Tasks[[#This Row],[_Descendants]])),Tasks[[#This Row],[_LeafFcstFinish]]))</f>
        <v/>
      </c>
      <c r="V14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2" s="25" t="str">
        <f aca="false">IF(Tasks[[#This Row],[Task Name]]="","",IF(Tasks[[#This Row],[_IsSummary]],MIN(INDEX(Tasks[_LeafLateStart],Tasks[[#This Row],[_Row]]+1):INDEX(Tasks[_LeafLateStart],Tasks[[#This Row],[_Row]]+Tasks[[#This Row],[_Descendants]])),Tasks[[#This Row],[_LeafLateStart]]))</f>
        <v/>
      </c>
      <c r="Y142" s="25" t="str">
        <f aca="false">IF(Tasks[[#This Row],[Task Name]]="","",IF(Tasks[[#This Row],[_IsSummary]],MAX(INDEX(Tasks[_LeafLateFinish],Tasks[[#This Row],[_Row]]+1):INDEX(Tasks[_LeafLateFinish],Tasks[[#This Row],[_Row]]+Tasks[[#This Row],[_Descendants]])),Tasks[[#This Row],[_LeafLateFinish]]))</f>
        <v/>
      </c>
      <c r="Z142" s="43" t="str">
        <f aca="false">IF(Tasks[[#This Row],[Task Name]]="","",IF(Tasks[[#This Row],[_IsSummary]],MIN(INDEX(Tasks[_LeafTotalSlack],Tasks[[#This Row],[_Row]]+1):INDEX(Tasks[_LeafTotalSlack],Tasks[[#This Row],[_Row]]+Tasks[[#This Row],[_Descendants]])),Tasks[[#This Row],[_LeafTotalSlack]]))</f>
        <v/>
      </c>
      <c r="AA1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2" s="28" t="str">
        <f aca="false">IF(Tasks[[#This Row],[Task Name]]="","",IF(IF(Tasks[[#This Row],[_IsSummary]],COUNTIF(INDEX(Tasks[_LeafCritical],Tasks[[#This Row],[_Row]]+1):INDEX(Tasks[_LeafCritical],Tasks[[#This Row],[_Row]]+Tasks[[#This Row],[_Descendants]]),TRUE())&gt;0,Tasks[[#This Row],[_LeafCritical]]),"Yes",""))</f>
        <v/>
      </c>
      <c r="AC1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2" s="24" t="str">
        <f aca="false">IF(Tasks[[#This Row],[Task Name]]="","",TRIM(IF(Tasks[[#This Row],[_Pred1Problem]]&lt;&gt;"","Pred 1: "&amp;Tasks[[#This Row],[_Pred1Problem]]&amp;". ","")&amp;IF(Tasks[[#This Row],[_Pred2Problem]]&lt;&gt;"","Pred 2: "&amp;Tasks[[#This Row],[_Pred2Problem]]&amp;".","")))</f>
        <v/>
      </c>
      <c r="AE142" s="91"/>
      <c r="AF14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2" s="28" t="str">
        <f aca="false">IF(Tasks[[#This Row],[Task Name]]="","",IF(Tasks[[#This Row],[Progress]]&gt;=1,"Complete",IF(OR(N(Tasks[[#This Row],[Actual Start]])&gt;0,Tasks[[#This Row],[Progress]]&gt;0),IF(Tasks[[#This Row],[Finish Var]]&gt;0,"Behind","In Progress"),IF(Tasks[[#This Row],[Planned Start]]&lt;StatusDate,"Late Start","Not Started"))))</f>
        <v/>
      </c>
      <c r="AH142" s="30"/>
      <c r="AI142" s="91"/>
      <c r="AJ14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2" s="98" t="str">
        <f aca="false">IF(Tasks[[#This Row],[Task Name]]="","",IF(Tasks[[#This Row],[_IsSummary]],SUM(INDEX(Tasks[_LeafWork],Tasks[[#This Row],[_Row]]+1):INDEX(Tasks[_LeafWork],Tasks[[#This Row],[_Row]]+Tasks[[#This Row],[_Descendants]])),Tasks[[#This Row],[_LeafWork]]))</f>
        <v/>
      </c>
      <c r="AL142" s="99" t="str">
        <f aca="false">IF(Tasks[[#This Row],[Task Name]]="","",IF(Tasks[[#This Row],[_IsSummary]],SUM(INDEX(Tasks[_LeafCost],Tasks[[#This Row],[_Row]]+1):INDEX(Tasks[_LeafCost],Tasks[[#This Row],[_Row]]+Tasks[[#This Row],[_Descendants]])),Tasks[[#This Row],[_LeafCost]]))</f>
        <v/>
      </c>
      <c r="AM142" s="100"/>
      <c r="AN142" s="29"/>
      <c r="AO1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2" s="85"/>
      <c r="AQ142" s="24" t="str">
        <f aca="false">IF(Tasks[[#This Row],[Task Name]]="","",Tasks[[#This Row],[_Pred1IDText]]&amp;IF(AND(Tasks[[#This Row],[_Pred1IDText]]&lt;&gt;"",Tasks[[#This Row],[_Pred2IDText]]&lt;&gt;""),",","")&amp;Tasks[[#This Row],[_Pred2IDText]])</f>
        <v/>
      </c>
      <c r="AR142" s="30"/>
      <c r="AS142" s="25" t="str">
        <f aca="false">IF(Tasks[[#This Row],[Task Name]]="","",Tasks[[#This Row],[Forecast Start]])</f>
        <v/>
      </c>
      <c r="AT142" s="25" t="str">
        <f aca="false">IF(Tasks[[#This Row],[Task Name]]="","",Tasks[[#This Row],[Forecast Finish]])</f>
        <v/>
      </c>
      <c r="AU142" s="28" t="str">
        <f aca="false">IF(Tasks[[#This Row],[Task Name]]="","",IF(Tasks[[#This Row],[_IsSummary]],NETWORKDAYS.INTL(Tasks[[#This Row],[Forecast Start]],Tasks[[#This Row],[Forecast Finish]],WorkWeek,Holidays),N(Tasks[[#This Row],[Duration]])))</f>
        <v/>
      </c>
      <c r="AV142" s="98" t="str">
        <f aca="false">IF(Tasks[[#This Row],[Task Name]]="","",Tasks[[#This Row],[Work]])</f>
        <v/>
      </c>
      <c r="AW142" s="99" t="str">
        <f aca="false">IF(Tasks[[#This Row],[Task Name]]="","",Tasks[[#This Row],[Cost]])</f>
        <v/>
      </c>
      <c r="AX142" s="77"/>
      <c r="AY142" s="77"/>
      <c r="AZ142" s="29"/>
      <c r="BA142" s="101"/>
      <c r="BB142" s="100"/>
      <c r="BC142" s="28" t="str">
        <f aca="false">IF(OR(Tasks[[#This Row],[Task Name]]="",Tasks[[#This Row],[Baseline Duration]]=""),"",Tasks[[#This Row],[BL Source Duration]]-N(Tasks[[#This Row],[Baseline Duration]]))</f>
        <v/>
      </c>
      <c r="BD142" s="98" t="str">
        <f aca="false">IF(OR(Tasks[[#This Row],[Task Name]]="",Tasks[[#This Row],[Baseline Work]]=""),"",Tasks[[#This Row],[Work]]-N(Tasks[[#This Row],[Baseline Work]]))</f>
        <v/>
      </c>
      <c r="BE142" s="99" t="str">
        <f aca="false">IF(OR(Tasks[[#This Row],[Task Name]]="",Tasks[[#This Row],[Baseline Cost]]=""),"",Tasks[[#This Row],[Cost]]-N(Tasks[[#This Row],[Baseline Cost]]))</f>
        <v/>
      </c>
      <c r="BF142" s="99" t="str">
        <f aca="false">IF(Tasks[[#This Row],[Task Name]]="","",IF(Tasks[[#This Row],[_IsSummary]],SUM(INDEX(Tasks[_LeafBudget],Tasks[[#This Row],[_Row]]+1):INDEX(Tasks[_LeafBudget],Tasks[[#This Row],[_Row]]+Tasks[[#This Row],[_Descendants]])),Tasks[[#This Row],[_LeafBudget]]))</f>
        <v/>
      </c>
      <c r="BG142" s="99" t="str">
        <f aca="false">IF(Tasks[[#This Row],[Task Name]]="","",IF(Tasks[[#This Row],[_IsSummary]],SUM(INDEX(Tasks[_LeafPV],Tasks[[#This Row],[_Row]]+1):INDEX(Tasks[_LeafPV],Tasks[[#This Row],[_Row]]+Tasks[[#This Row],[_Descendants]])),Tasks[[#This Row],[_LeafPV]]))</f>
        <v/>
      </c>
      <c r="BH142" s="99" t="str">
        <f aca="false">IF(Tasks[[#This Row],[Task Name]]="","",IF(Tasks[[#This Row],[_IsSummary]],SUM(INDEX(Tasks[_LeafEV],Tasks[[#This Row],[_Row]]+1):INDEX(Tasks[_LeafEV],Tasks[[#This Row],[_Row]]+Tasks[[#This Row],[_Descendants]])),Tasks[[#This Row],[_LeafEV]]))</f>
        <v/>
      </c>
      <c r="BI142" s="99" t="str">
        <f aca="false">IF(Tasks[[#This Row],[Task Name]]="","",IF(Tasks[[#This Row],[_IsSummary]],SUM(INDEX(Tasks[_LeafAC],Tasks[[#This Row],[_Row]]+1):INDEX(Tasks[_LeafAC],Tasks[[#This Row],[_Row]]+Tasks[[#This Row],[_Descendants]])),Tasks[[#This Row],[_LeafAC]]))</f>
        <v/>
      </c>
      <c r="BJ142" s="41" t="str">
        <f aca="false">IF(Tasks[[#This Row],[Task Name]]="","",MAX(1,N(Tasks[[#This Row],[Level]])))</f>
        <v/>
      </c>
      <c r="BK142" s="41" t="n">
        <f aca="false">ROW()-ROW(Tasks[[#Headers],[ID]])</f>
        <v>137</v>
      </c>
      <c r="BL142" s="41" t="n">
        <f aca="false">IF(OR(Tasks[[#This Row],[Task Name]]="",Tasks[[#This Row],[_Level]]&lt;=1),0,IFERROR(LOOKUP(2,1/(Tasks[[#Headers],[_Level]]:Tasks[[#This Row],[_Level]]=Tasks[[#This Row],[_Level]]-1),ROW(Tasks[[#Headers],[_Level]]:Tasks[[#This Row],[_Level]])),0))</f>
        <v>0</v>
      </c>
      <c r="BM142" s="41" t="n">
        <f aca="false">IFERROR(N(INDEX(Tasks[_Level],Tasks[[#This Row],[_Row]]+1)),0)</f>
        <v>0</v>
      </c>
      <c r="BN142" s="102" t="b">
        <f aca="false">AND(Tasks[[#This Row],[Task Name]]&lt;&gt;"",Tasks[[#This Row],[_NextLevel]]&gt;Tasks[[#This Row],[_Level]])</f>
        <v>0</v>
      </c>
      <c r="BO142" s="41" t="n">
        <f aca="false">IF(Tasks[[#This Row],[_IsSummary]],COUNTIF(Tasks[WBS],Tasks[[#This Row],[WBS]]&amp;".*"),0)</f>
        <v>0</v>
      </c>
      <c r="BP142" s="41" t="n">
        <f aca="false">IF(AND(Tasks[[#This Row],[Task Name]]&lt;&gt;"",NOT(Tasks[[#This Row],[_IsSummary]])),1,0)</f>
        <v>0</v>
      </c>
      <c r="BQ142" s="41" t="n">
        <f aca="false">IF(N(Tasks[[#This Row],[Pred1 UID]])=0,0,IFERROR(MATCH(Tasks[[#This Row],[Pred1 UID]],Tasks[UID],0),-1))</f>
        <v>0</v>
      </c>
      <c r="BR142" s="41" t="n">
        <f aca="false">IF(N(Tasks[[#This Row],[Pred2 UID]])=0,0,IFERROR(MATCH(Tasks[[#This Row],[Pred2 UID]],Tasks[UID],0),-1))</f>
        <v>0</v>
      </c>
      <c r="BS14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2" s="103" t="str">
        <f aca="false">IF(NOT(Tasks[[#This Row],[_IsLeaf]]=1),"",IF(N(Tasks[[#This Row],[Duration]])&lt;=0,Tasks[[#This Row],[_LeafCalcStart]],WORKDAY.INTL(Tasks[[#This Row],[_LeafCalcStart]],Tasks[[#This Row],[Duration]]-1,WorkWeek,Holidays)))</f>
        <v/>
      </c>
      <c r="BU14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2" s="41" t="n">
        <f aca="false">IF(NOT(Tasks[[#This Row],[_IsLeaf]]=1),0,IF(N(Tasks[[#This Row],[Actual Finish]])&gt;0,1,MIN(1,N(Tasks[[#This Row],[% Complete]]))))</f>
        <v>0</v>
      </c>
      <c r="BX142" s="41" t="n">
        <f aca="false">IF(OR(NOT(Tasks[[#This Row],[_IsLeaf]]=1),Tasks[[#This Row],[Resource]]=""),0,N(Tasks[[#This Row],[Duration]])*HoursPerDay*IF(Tasks[[#This Row],[Units]]="",DefaultUnits,Tasks[[#This Row],[Units]]))</f>
        <v>0</v>
      </c>
      <c r="BY142" s="41" t="n">
        <f aca="false">IF(Tasks[[#This Row],[_LeafWork]]=0,0,Tasks[[#This Row],[_LeafWork]]*IFERROR(INDEX(res_Rate,MATCH(Tasks[[#This Row],[Resource]],res_Name,0)),0))</f>
        <v>0</v>
      </c>
      <c r="BZ1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2" s="41" t="n">
        <f aca="false">IF(NOT(Tasks[[#This Row],[_IsLeaf]]=1),0,MAX(_xlfn.MAXIFS(Tasks[_Row],Tasks[Pred1 UID],Tasks[[#This Row],[UID]]),_xlfn.MAXIFS(Tasks[_Row],Tasks[Pred2 UID],Tasks[[#This Row],[UID]])))</f>
        <v>0</v>
      </c>
      <c r="CE14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2" s="103" t="str">
        <f aca="false">IF(NOT(Tasks[[#This Row],[_IsLeaf]]=1),"",MIN(ProjectFinish,IF(N(Tasks[[#This Row],[Deadline]])&gt;0,Tasks[[#This Row],[Deadline]],2958465),Tasks[[#This Row],[_SuccessorFinishLimit]]))</f>
        <v/>
      </c>
      <c r="CG142" s="103" t="str">
        <f aca="false">IF(NOT(Tasks[[#This Row],[_IsLeaf]]=1),"",IF(N(Tasks[[#This Row],[Duration]])&lt;=0,Tasks[[#This Row],[_LeafLateFinish]],WORKDAY.INTL(Tasks[[#This Row],[_LeafLateFinish]],-(Tasks[[#This Row],[Duration]]-1),WorkWeek,Holidays)))</f>
        <v/>
      </c>
      <c r="CH1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2" s="102" t="b">
        <f aca="false">AND(Tasks[[#This Row],[_IsLeaf]]=1,Tasks[[#This Row],[_LeafProgress]]&lt;1,N(Tasks[[#This Row],[_LeafTotalSlack]])&lt;=CriticalSlackDays)</f>
        <v>0</v>
      </c>
      <c r="CJ142" s="103" t="str">
        <f aca="false">IF(Tasks[[#This Row],[Task Name]]="","",IF(Tasks[[#This Row],[_IsSummary]],MIN(INDEX(Tasks[_LeafCalcStart],Tasks[[#This Row],[_Row]]+1):INDEX(Tasks[_LeafCalcStart],Tasks[[#This Row],[_Row]]+Tasks[[#This Row],[_Descendants]])),Tasks[[#This Row],[_LeafCalcStart]]))</f>
        <v/>
      </c>
      <c r="CK142" s="103" t="str">
        <f aca="false">IF(Tasks[[#This Row],[Task Name]]="","",IF(Tasks[[#This Row],[_IsSummary]],MAX(INDEX(Tasks[_LeafCalcFinish],Tasks[[#This Row],[_Row]]+1):INDEX(Tasks[_LeafCalcFinish],Tasks[[#This Row],[_Row]]+Tasks[[#This Row],[_Descendants]])),Tasks[[#This Row],[_LeafCalcFinish]]))</f>
        <v/>
      </c>
      <c r="CL1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2" s="41" t="n">
        <f aca="false">IF(AND(Tasks[[#This Row],[_IsLeaf]]=1,Tasks[[#This Row],[_LeafWork]]&gt;0),NETWORKDAYS.INTL(ProjectStart,Tasks[[#This Row],[_LeafFcstStart]],WorkWeek,Holidays),0)</f>
        <v>0</v>
      </c>
      <c r="CS142" s="41" t="n">
        <f aca="false">IF(AND(Tasks[[#This Row],[_IsLeaf]]=1,Tasks[[#This Row],[_LeafWork]]&gt;0),MAX(Tasks[[#This Row],[_StartWorkday]],NETWORKDAYS.INTL(ProjectStart,Tasks[[#This Row],[_LeafFcstFinish]],WorkWeek,Holidays)),0)</f>
        <v>0</v>
      </c>
      <c r="CT142" s="41" t="n">
        <f aca="false">IF(AND(Tasks[[#This Row],[_IsLeaf]]=1,Tasks[[#This Row],[_LeafWork]]&gt;0),Tasks[[#This Row],[_LeafWork]]/(Tasks[[#This Row],[_FinishWorkday]]-Tasks[[#This Row],[_StartWorkday]]+1),0)</f>
        <v>0</v>
      </c>
      <c r="CU142" s="41" t="n">
        <f aca="false">Tasks[[#This Row],[_WorkPerWorkday]]*(Tasks[[#This Row],[_StartWorkday]]-1)</f>
        <v>-0</v>
      </c>
      <c r="CV142" s="41" t="n">
        <f aca="false">IF(Tasks[[#This Row],[_IsLeaf]]=1,MAX(N(Tasks[[#This Row],[Duration]]),0.1),0)</f>
        <v>0</v>
      </c>
      <c r="CW142" s="41" t="n">
        <f aca="false">Tasks[[#This Row],[_WeightDur]]*Tasks[[#This Row],[_LeafProgress]]</f>
        <v>0</v>
      </c>
      <c r="CX1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2" s="41" t="str">
        <f aca="false">IF(Tasks[[#This Row],[Task Name]]="","",Tasks[[#This Row],[_Pred1UIDText]]&amp;IF(AND(Tasks[[#This Row],[_Pred1UIDText]]&lt;&gt;"",Tasks[[#This Row],[_Pred2UIDText]]&lt;&gt;""),",","")&amp;Tasks[[#This Row],[_Pred2UIDText]])</f>
        <v/>
      </c>
      <c r="DC142" s="41" t="str">
        <f aca="false">IF(AND(Tasks[[#This Row],[_IsLeaf]]=1,N(Tasks[[#This Row],[Duration]])=0,Tasks[[#This Row],[_LeafProgress]]&lt;1),Tasks[[#This Row],[_LeafFcstFinish]]+Tasks[[#This Row],[_Row]]/100000,"")</f>
        <v/>
      </c>
      <c r="DD1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2" s="41" t="n">
        <f aca="false">IF(NOT(Tasks[[#This Row],[_IsLeaf]]=1),0,IF(Tasks[[#This Row],[Baseline Cost]]="",Tasks[[#This Row],[_LeafCost]],N(Tasks[[#This Row],[Baseline Cost]])))</f>
        <v>0</v>
      </c>
      <c r="DF142" s="41" t="n">
        <f aca="false">Tasks[[#This Row],[_LeafBudget]]*Tasks[[#This Row],[_PlannedPct]]</f>
        <v>0</v>
      </c>
      <c r="DG142" s="41" t="n">
        <f aca="false">Tasks[[#This Row],[_LeafBudget]]*Tasks[[#This Row],[_LeafProgress]]</f>
        <v>0</v>
      </c>
      <c r="DH142" s="41" t="n">
        <f aca="false">IF(NOT(Tasks[[#This Row],[_IsLeaf]]=1),0,IF(Tasks[[#This Row],[Actual Cost]]="",Tasks[[#This Row],[_LeafCost]]*Tasks[[#This Row],[_LeafProgress]],N(Tasks[[#This Row],[Actual Cost]])))</f>
        <v>0</v>
      </c>
      <c r="DI142" s="41" t="str">
        <f aca="false">IF(Tasks[[#This Row],[Task Name]]="","",LEFT(Tasks[[#This Row],[WBS]],FIND(".",Tasks[[#This Row],[WBS]]&amp;".")-1))</f>
        <v/>
      </c>
      <c r="DJ142" s="41" t="str">
        <f aca="false">IF(AND(Tasks[[#This Row],[Task Name]]&lt;&gt;"",Tasks[[#This Row],[_Level]]=1),Tasks[[#This Row],[_Row]],"")</f>
        <v/>
      </c>
      <c r="DK142" s="41" t="str">
        <f aca="false">IF(AND(Tasks[[#This Row],[_IsLeaf]]=1,N(Tasks[[#This Row],[Duration]])=0),Tasks[[#This Row],[Planned Finish]]+Tasks[[#This Row],[_Row]]/100000,"")</f>
        <v/>
      </c>
      <c r="DL142" s="41" t="str">
        <f aca="false">IF(AND(Tasks[[#This Row],[_IsLeaf]]=1,Tasks[[#This Row],[_LeafProgress]]&lt;1,OR(N(Tasks[[#This Row],[Finish Var]])&gt;0,Tasks[[#This Row],[Status]]="Late Start")),MAX(0,Tasks[[#This Row],[Finish Var]])+1-Tasks[[#This Row],[_Row]]/1000000,"")</f>
        <v/>
      </c>
      <c r="DM142" s="41" t="str">
        <f aca="false">IF(AND(Tasks[[#This Row],[_IsLeaf]]=1,N(Tasks[[#This Row],[Actual Start]])=0,Tasks[[#This Row],[_LeafFcstStart]]&gt;=StatusDate,Tasks[[#This Row],[_LeafFcstStart]]&lt;=LookaheadEnd),Tasks[[#This Row],[_LeafFcstStart]]+Tasks[[#This Row],[_Row]]/100000,"")</f>
        <v/>
      </c>
      <c r="DN142" s="41" t="str">
        <f aca="false">IF(AND(Tasks[[#This Row],[_IsLeaf]]=1,Tasks[[#This Row],[_LeafProgress]]&lt;1,Tasks[[#This Row],[_LeafFcstFinish]]&gt;=StatusDate,Tasks[[#This Row],[_LeafFcstFinish]]&lt;=LookaheadEnd),Tasks[[#This Row],[_LeafFcstFinish]]+Tasks[[#This Row],[_Row]]/100000,"")</f>
        <v/>
      </c>
      <c r="DO142" s="41" t="str">
        <f aca="false">IF(Tasks[[#This Row],[_LeafCritical]],Tasks[[#This Row],[_LeafFcstStart]]+Tasks[[#This Row],[_Row]]/100000,"")</f>
        <v/>
      </c>
      <c r="DP142" s="41" t="n">
        <f aca="false">Tasks[[#This Row],[_LeafWork]]*Tasks[[#This Row],[_LeafProgress]]</f>
        <v>0</v>
      </c>
      <c r="DQ142" s="103" t="str">
        <f aca="false">IF(AND(Tasks[[#This Row],[_IsLeaf]]=1,Tasks[[#This Row],[_LeafProgress]]&gt;=1),IF(N(Tasks[[#This Row],[Actual Finish]])&gt;0,Tasks[[#This Row],[Actual Finish]],Tasks[[#This Row],[_LeafFcstFinish]]),"")</f>
        <v/>
      </c>
      <c r="DR142" s="41" t="n">
        <f aca="false">IF(Tasks[[#This Row],[_IsLeaf]]=1,N(Tasks[[#This Row],[Story Points]]),0)</f>
        <v>0</v>
      </c>
      <c r="DS142" s="41" t="str">
        <f aca="false">IF(AND(Tasks[[#This Row],[_IsLeaf]]=1,CurrentSprint&lt;&gt;"",Tasks[[#This Row],[Sprint]]=CurrentSprint),Tasks[[#This Row],[_Row]],"")</f>
        <v/>
      </c>
    </row>
    <row r="143" customFormat="false" ht="15" hidden="false" customHeight="false" outlineLevel="0" collapsed="false">
      <c r="A143" s="28" t="str">
        <f aca="false">IF(Tasks[[#This Row],[Task Name]]="","",COUNTA(Tasks[[#Headers],[Task Name]]:Tasks[[#This Row],[Task Name]])-1)</f>
        <v/>
      </c>
      <c r="B143" s="29" t="n">
        <v>138</v>
      </c>
      <c r="C1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29"/>
      <c r="E143" s="30"/>
      <c r="F143" s="29"/>
      <c r="G143" s="29"/>
      <c r="H143" s="29"/>
      <c r="I143" s="29"/>
      <c r="J143" s="29"/>
      <c r="K143" s="29"/>
      <c r="L143" s="29"/>
      <c r="M143" s="29"/>
      <c r="N143" s="77"/>
      <c r="O143" s="77"/>
      <c r="P143" s="25" t="str">
        <f aca="false">IF(Tasks[[#This Row],[Task Name]]="","",IF(N(Tasks[[#This Row],[Baseline Start]])&gt;0,Tasks[[#This Row],[Baseline Start]],Tasks[[#This Row],[_CalcStart]]))</f>
        <v/>
      </c>
      <c r="Q143" s="25" t="str">
        <f aca="false">IF(Tasks[[#This Row],[Task Name]]="","",IF(N(Tasks[[#This Row],[Baseline Finish]])&gt;0,Tasks[[#This Row],[Baseline Finish]],Tasks[[#This Row],[_CalcFinish]]))</f>
        <v/>
      </c>
      <c r="R143" s="77"/>
      <c r="S143" s="77"/>
      <c r="T143" s="25" t="str">
        <f aca="false">IF(Tasks[[#This Row],[Task Name]]="","",IF(Tasks[[#This Row],[_IsSummary]],MIN(INDEX(Tasks[_LeafFcstStart],Tasks[[#This Row],[_Row]]+1):INDEX(Tasks[_LeafFcstStart],Tasks[[#This Row],[_Row]]+Tasks[[#This Row],[_Descendants]])),Tasks[[#This Row],[_LeafFcstStart]]))</f>
        <v/>
      </c>
      <c r="U143" s="25" t="str">
        <f aca="false">IF(Tasks[[#This Row],[Task Name]]="","",IF(Tasks[[#This Row],[_IsSummary]],MAX(INDEX(Tasks[_LeafFcstFinish],Tasks[[#This Row],[_Row]]+1):INDEX(Tasks[_LeafFcstFinish],Tasks[[#This Row],[_Row]]+Tasks[[#This Row],[_Descendants]])),Tasks[[#This Row],[_LeafFcstFinish]]))</f>
        <v/>
      </c>
      <c r="V14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3" s="25" t="str">
        <f aca="false">IF(Tasks[[#This Row],[Task Name]]="","",IF(Tasks[[#This Row],[_IsSummary]],MIN(INDEX(Tasks[_LeafLateStart],Tasks[[#This Row],[_Row]]+1):INDEX(Tasks[_LeafLateStart],Tasks[[#This Row],[_Row]]+Tasks[[#This Row],[_Descendants]])),Tasks[[#This Row],[_LeafLateStart]]))</f>
        <v/>
      </c>
      <c r="Y143" s="25" t="str">
        <f aca="false">IF(Tasks[[#This Row],[Task Name]]="","",IF(Tasks[[#This Row],[_IsSummary]],MAX(INDEX(Tasks[_LeafLateFinish],Tasks[[#This Row],[_Row]]+1):INDEX(Tasks[_LeafLateFinish],Tasks[[#This Row],[_Row]]+Tasks[[#This Row],[_Descendants]])),Tasks[[#This Row],[_LeafLateFinish]]))</f>
        <v/>
      </c>
      <c r="Z143" s="43" t="str">
        <f aca="false">IF(Tasks[[#This Row],[Task Name]]="","",IF(Tasks[[#This Row],[_IsSummary]],MIN(INDEX(Tasks[_LeafTotalSlack],Tasks[[#This Row],[_Row]]+1):INDEX(Tasks[_LeafTotalSlack],Tasks[[#This Row],[_Row]]+Tasks[[#This Row],[_Descendants]])),Tasks[[#This Row],[_LeafTotalSlack]]))</f>
        <v/>
      </c>
      <c r="AA1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3" s="28" t="str">
        <f aca="false">IF(Tasks[[#This Row],[Task Name]]="","",IF(IF(Tasks[[#This Row],[_IsSummary]],COUNTIF(INDEX(Tasks[_LeafCritical],Tasks[[#This Row],[_Row]]+1):INDEX(Tasks[_LeafCritical],Tasks[[#This Row],[_Row]]+Tasks[[#This Row],[_Descendants]]),TRUE())&gt;0,Tasks[[#This Row],[_LeafCritical]]),"Yes",""))</f>
        <v/>
      </c>
      <c r="AC1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3" s="24" t="str">
        <f aca="false">IF(Tasks[[#This Row],[Task Name]]="","",TRIM(IF(Tasks[[#This Row],[_Pred1Problem]]&lt;&gt;"","Pred 1: "&amp;Tasks[[#This Row],[_Pred1Problem]]&amp;". ","")&amp;IF(Tasks[[#This Row],[_Pred2Problem]]&lt;&gt;"","Pred 2: "&amp;Tasks[[#This Row],[_Pred2Problem]]&amp;".","")))</f>
        <v/>
      </c>
      <c r="AE143" s="91"/>
      <c r="AF14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3" s="28" t="str">
        <f aca="false">IF(Tasks[[#This Row],[Task Name]]="","",IF(Tasks[[#This Row],[Progress]]&gt;=1,"Complete",IF(OR(N(Tasks[[#This Row],[Actual Start]])&gt;0,Tasks[[#This Row],[Progress]]&gt;0),IF(Tasks[[#This Row],[Finish Var]]&gt;0,"Behind","In Progress"),IF(Tasks[[#This Row],[Planned Start]]&lt;StatusDate,"Late Start","Not Started"))))</f>
        <v/>
      </c>
      <c r="AH143" s="30"/>
      <c r="AI143" s="91"/>
      <c r="AJ14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3" s="98" t="str">
        <f aca="false">IF(Tasks[[#This Row],[Task Name]]="","",IF(Tasks[[#This Row],[_IsSummary]],SUM(INDEX(Tasks[_LeafWork],Tasks[[#This Row],[_Row]]+1):INDEX(Tasks[_LeafWork],Tasks[[#This Row],[_Row]]+Tasks[[#This Row],[_Descendants]])),Tasks[[#This Row],[_LeafWork]]))</f>
        <v/>
      </c>
      <c r="AL143" s="99" t="str">
        <f aca="false">IF(Tasks[[#This Row],[Task Name]]="","",IF(Tasks[[#This Row],[_IsSummary]],SUM(INDEX(Tasks[_LeafCost],Tasks[[#This Row],[_Row]]+1):INDEX(Tasks[_LeafCost],Tasks[[#This Row],[_Row]]+Tasks[[#This Row],[_Descendants]])),Tasks[[#This Row],[_LeafCost]]))</f>
        <v/>
      </c>
      <c r="AM143" s="100"/>
      <c r="AN143" s="29"/>
      <c r="AO1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3" s="85"/>
      <c r="AQ143" s="24" t="str">
        <f aca="false">IF(Tasks[[#This Row],[Task Name]]="","",Tasks[[#This Row],[_Pred1IDText]]&amp;IF(AND(Tasks[[#This Row],[_Pred1IDText]]&lt;&gt;"",Tasks[[#This Row],[_Pred2IDText]]&lt;&gt;""),",","")&amp;Tasks[[#This Row],[_Pred2IDText]])</f>
        <v/>
      </c>
      <c r="AR143" s="30"/>
      <c r="AS143" s="25" t="str">
        <f aca="false">IF(Tasks[[#This Row],[Task Name]]="","",Tasks[[#This Row],[Forecast Start]])</f>
        <v/>
      </c>
      <c r="AT143" s="25" t="str">
        <f aca="false">IF(Tasks[[#This Row],[Task Name]]="","",Tasks[[#This Row],[Forecast Finish]])</f>
        <v/>
      </c>
      <c r="AU143" s="28" t="str">
        <f aca="false">IF(Tasks[[#This Row],[Task Name]]="","",IF(Tasks[[#This Row],[_IsSummary]],NETWORKDAYS.INTL(Tasks[[#This Row],[Forecast Start]],Tasks[[#This Row],[Forecast Finish]],WorkWeek,Holidays),N(Tasks[[#This Row],[Duration]])))</f>
        <v/>
      </c>
      <c r="AV143" s="98" t="str">
        <f aca="false">IF(Tasks[[#This Row],[Task Name]]="","",Tasks[[#This Row],[Work]])</f>
        <v/>
      </c>
      <c r="AW143" s="99" t="str">
        <f aca="false">IF(Tasks[[#This Row],[Task Name]]="","",Tasks[[#This Row],[Cost]])</f>
        <v/>
      </c>
      <c r="AX143" s="77"/>
      <c r="AY143" s="77"/>
      <c r="AZ143" s="29"/>
      <c r="BA143" s="101"/>
      <c r="BB143" s="100"/>
      <c r="BC143" s="28" t="str">
        <f aca="false">IF(OR(Tasks[[#This Row],[Task Name]]="",Tasks[[#This Row],[Baseline Duration]]=""),"",Tasks[[#This Row],[BL Source Duration]]-N(Tasks[[#This Row],[Baseline Duration]]))</f>
        <v/>
      </c>
      <c r="BD143" s="98" t="str">
        <f aca="false">IF(OR(Tasks[[#This Row],[Task Name]]="",Tasks[[#This Row],[Baseline Work]]=""),"",Tasks[[#This Row],[Work]]-N(Tasks[[#This Row],[Baseline Work]]))</f>
        <v/>
      </c>
      <c r="BE143" s="99" t="str">
        <f aca="false">IF(OR(Tasks[[#This Row],[Task Name]]="",Tasks[[#This Row],[Baseline Cost]]=""),"",Tasks[[#This Row],[Cost]]-N(Tasks[[#This Row],[Baseline Cost]]))</f>
        <v/>
      </c>
      <c r="BF143" s="99" t="str">
        <f aca="false">IF(Tasks[[#This Row],[Task Name]]="","",IF(Tasks[[#This Row],[_IsSummary]],SUM(INDEX(Tasks[_LeafBudget],Tasks[[#This Row],[_Row]]+1):INDEX(Tasks[_LeafBudget],Tasks[[#This Row],[_Row]]+Tasks[[#This Row],[_Descendants]])),Tasks[[#This Row],[_LeafBudget]]))</f>
        <v/>
      </c>
      <c r="BG143" s="99" t="str">
        <f aca="false">IF(Tasks[[#This Row],[Task Name]]="","",IF(Tasks[[#This Row],[_IsSummary]],SUM(INDEX(Tasks[_LeafPV],Tasks[[#This Row],[_Row]]+1):INDEX(Tasks[_LeafPV],Tasks[[#This Row],[_Row]]+Tasks[[#This Row],[_Descendants]])),Tasks[[#This Row],[_LeafPV]]))</f>
        <v/>
      </c>
      <c r="BH143" s="99" t="str">
        <f aca="false">IF(Tasks[[#This Row],[Task Name]]="","",IF(Tasks[[#This Row],[_IsSummary]],SUM(INDEX(Tasks[_LeafEV],Tasks[[#This Row],[_Row]]+1):INDEX(Tasks[_LeafEV],Tasks[[#This Row],[_Row]]+Tasks[[#This Row],[_Descendants]])),Tasks[[#This Row],[_LeafEV]]))</f>
        <v/>
      </c>
      <c r="BI143" s="99" t="str">
        <f aca="false">IF(Tasks[[#This Row],[Task Name]]="","",IF(Tasks[[#This Row],[_IsSummary]],SUM(INDEX(Tasks[_LeafAC],Tasks[[#This Row],[_Row]]+1):INDEX(Tasks[_LeafAC],Tasks[[#This Row],[_Row]]+Tasks[[#This Row],[_Descendants]])),Tasks[[#This Row],[_LeafAC]]))</f>
        <v/>
      </c>
      <c r="BJ143" s="41" t="str">
        <f aca="false">IF(Tasks[[#This Row],[Task Name]]="","",MAX(1,N(Tasks[[#This Row],[Level]])))</f>
        <v/>
      </c>
      <c r="BK143" s="41" t="n">
        <f aca="false">ROW()-ROW(Tasks[[#Headers],[ID]])</f>
        <v>138</v>
      </c>
      <c r="BL143" s="41" t="n">
        <f aca="false">IF(OR(Tasks[[#This Row],[Task Name]]="",Tasks[[#This Row],[_Level]]&lt;=1),0,IFERROR(LOOKUP(2,1/(Tasks[[#Headers],[_Level]]:Tasks[[#This Row],[_Level]]=Tasks[[#This Row],[_Level]]-1),ROW(Tasks[[#Headers],[_Level]]:Tasks[[#This Row],[_Level]])),0))</f>
        <v>0</v>
      </c>
      <c r="BM143" s="41" t="n">
        <f aca="false">IFERROR(N(INDEX(Tasks[_Level],Tasks[[#This Row],[_Row]]+1)),0)</f>
        <v>0</v>
      </c>
      <c r="BN143" s="102" t="b">
        <f aca="false">AND(Tasks[[#This Row],[Task Name]]&lt;&gt;"",Tasks[[#This Row],[_NextLevel]]&gt;Tasks[[#This Row],[_Level]])</f>
        <v>0</v>
      </c>
      <c r="BO143" s="41" t="n">
        <f aca="false">IF(Tasks[[#This Row],[_IsSummary]],COUNTIF(Tasks[WBS],Tasks[[#This Row],[WBS]]&amp;".*"),0)</f>
        <v>0</v>
      </c>
      <c r="BP143" s="41" t="n">
        <f aca="false">IF(AND(Tasks[[#This Row],[Task Name]]&lt;&gt;"",NOT(Tasks[[#This Row],[_IsSummary]])),1,0)</f>
        <v>0</v>
      </c>
      <c r="BQ143" s="41" t="n">
        <f aca="false">IF(N(Tasks[[#This Row],[Pred1 UID]])=0,0,IFERROR(MATCH(Tasks[[#This Row],[Pred1 UID]],Tasks[UID],0),-1))</f>
        <v>0</v>
      </c>
      <c r="BR143" s="41" t="n">
        <f aca="false">IF(N(Tasks[[#This Row],[Pred2 UID]])=0,0,IFERROR(MATCH(Tasks[[#This Row],[Pred2 UID]],Tasks[UID],0),-1))</f>
        <v>0</v>
      </c>
      <c r="BS14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3" s="103" t="str">
        <f aca="false">IF(NOT(Tasks[[#This Row],[_IsLeaf]]=1),"",IF(N(Tasks[[#This Row],[Duration]])&lt;=0,Tasks[[#This Row],[_LeafCalcStart]],WORKDAY.INTL(Tasks[[#This Row],[_LeafCalcStart]],Tasks[[#This Row],[Duration]]-1,WorkWeek,Holidays)))</f>
        <v/>
      </c>
      <c r="BU14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3" s="41" t="n">
        <f aca="false">IF(NOT(Tasks[[#This Row],[_IsLeaf]]=1),0,IF(N(Tasks[[#This Row],[Actual Finish]])&gt;0,1,MIN(1,N(Tasks[[#This Row],[% Complete]]))))</f>
        <v>0</v>
      </c>
      <c r="BX143" s="41" t="n">
        <f aca="false">IF(OR(NOT(Tasks[[#This Row],[_IsLeaf]]=1),Tasks[[#This Row],[Resource]]=""),0,N(Tasks[[#This Row],[Duration]])*HoursPerDay*IF(Tasks[[#This Row],[Units]]="",DefaultUnits,Tasks[[#This Row],[Units]]))</f>
        <v>0</v>
      </c>
      <c r="BY143" s="41" t="n">
        <f aca="false">IF(Tasks[[#This Row],[_LeafWork]]=0,0,Tasks[[#This Row],[_LeafWork]]*IFERROR(INDEX(res_Rate,MATCH(Tasks[[#This Row],[Resource]],res_Name,0)),0))</f>
        <v>0</v>
      </c>
      <c r="BZ1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3" s="41" t="n">
        <f aca="false">IF(NOT(Tasks[[#This Row],[_IsLeaf]]=1),0,MAX(_xlfn.MAXIFS(Tasks[_Row],Tasks[Pred1 UID],Tasks[[#This Row],[UID]]),_xlfn.MAXIFS(Tasks[_Row],Tasks[Pred2 UID],Tasks[[#This Row],[UID]])))</f>
        <v>0</v>
      </c>
      <c r="CE14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3" s="103" t="str">
        <f aca="false">IF(NOT(Tasks[[#This Row],[_IsLeaf]]=1),"",MIN(ProjectFinish,IF(N(Tasks[[#This Row],[Deadline]])&gt;0,Tasks[[#This Row],[Deadline]],2958465),Tasks[[#This Row],[_SuccessorFinishLimit]]))</f>
        <v/>
      </c>
      <c r="CG143" s="103" t="str">
        <f aca="false">IF(NOT(Tasks[[#This Row],[_IsLeaf]]=1),"",IF(N(Tasks[[#This Row],[Duration]])&lt;=0,Tasks[[#This Row],[_LeafLateFinish]],WORKDAY.INTL(Tasks[[#This Row],[_LeafLateFinish]],-(Tasks[[#This Row],[Duration]]-1),WorkWeek,Holidays)))</f>
        <v/>
      </c>
      <c r="CH1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3" s="102" t="b">
        <f aca="false">AND(Tasks[[#This Row],[_IsLeaf]]=1,Tasks[[#This Row],[_LeafProgress]]&lt;1,N(Tasks[[#This Row],[_LeafTotalSlack]])&lt;=CriticalSlackDays)</f>
        <v>0</v>
      </c>
      <c r="CJ143" s="103" t="str">
        <f aca="false">IF(Tasks[[#This Row],[Task Name]]="","",IF(Tasks[[#This Row],[_IsSummary]],MIN(INDEX(Tasks[_LeafCalcStart],Tasks[[#This Row],[_Row]]+1):INDEX(Tasks[_LeafCalcStart],Tasks[[#This Row],[_Row]]+Tasks[[#This Row],[_Descendants]])),Tasks[[#This Row],[_LeafCalcStart]]))</f>
        <v/>
      </c>
      <c r="CK143" s="103" t="str">
        <f aca="false">IF(Tasks[[#This Row],[Task Name]]="","",IF(Tasks[[#This Row],[_IsSummary]],MAX(INDEX(Tasks[_LeafCalcFinish],Tasks[[#This Row],[_Row]]+1):INDEX(Tasks[_LeafCalcFinish],Tasks[[#This Row],[_Row]]+Tasks[[#This Row],[_Descendants]])),Tasks[[#This Row],[_LeafCalcFinish]]))</f>
        <v/>
      </c>
      <c r="CL1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3" s="41" t="n">
        <f aca="false">IF(AND(Tasks[[#This Row],[_IsLeaf]]=1,Tasks[[#This Row],[_LeafWork]]&gt;0),NETWORKDAYS.INTL(ProjectStart,Tasks[[#This Row],[_LeafFcstStart]],WorkWeek,Holidays),0)</f>
        <v>0</v>
      </c>
      <c r="CS143" s="41" t="n">
        <f aca="false">IF(AND(Tasks[[#This Row],[_IsLeaf]]=1,Tasks[[#This Row],[_LeafWork]]&gt;0),MAX(Tasks[[#This Row],[_StartWorkday]],NETWORKDAYS.INTL(ProjectStart,Tasks[[#This Row],[_LeafFcstFinish]],WorkWeek,Holidays)),0)</f>
        <v>0</v>
      </c>
      <c r="CT143" s="41" t="n">
        <f aca="false">IF(AND(Tasks[[#This Row],[_IsLeaf]]=1,Tasks[[#This Row],[_LeafWork]]&gt;0),Tasks[[#This Row],[_LeafWork]]/(Tasks[[#This Row],[_FinishWorkday]]-Tasks[[#This Row],[_StartWorkday]]+1),0)</f>
        <v>0</v>
      </c>
      <c r="CU143" s="41" t="n">
        <f aca="false">Tasks[[#This Row],[_WorkPerWorkday]]*(Tasks[[#This Row],[_StartWorkday]]-1)</f>
        <v>-0</v>
      </c>
      <c r="CV143" s="41" t="n">
        <f aca="false">IF(Tasks[[#This Row],[_IsLeaf]]=1,MAX(N(Tasks[[#This Row],[Duration]]),0.1),0)</f>
        <v>0</v>
      </c>
      <c r="CW143" s="41" t="n">
        <f aca="false">Tasks[[#This Row],[_WeightDur]]*Tasks[[#This Row],[_LeafProgress]]</f>
        <v>0</v>
      </c>
      <c r="CX1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3" s="41" t="str">
        <f aca="false">IF(Tasks[[#This Row],[Task Name]]="","",Tasks[[#This Row],[_Pred1UIDText]]&amp;IF(AND(Tasks[[#This Row],[_Pred1UIDText]]&lt;&gt;"",Tasks[[#This Row],[_Pred2UIDText]]&lt;&gt;""),",","")&amp;Tasks[[#This Row],[_Pred2UIDText]])</f>
        <v/>
      </c>
      <c r="DC143" s="41" t="str">
        <f aca="false">IF(AND(Tasks[[#This Row],[_IsLeaf]]=1,N(Tasks[[#This Row],[Duration]])=0,Tasks[[#This Row],[_LeafProgress]]&lt;1),Tasks[[#This Row],[_LeafFcstFinish]]+Tasks[[#This Row],[_Row]]/100000,"")</f>
        <v/>
      </c>
      <c r="DD1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3" s="41" t="n">
        <f aca="false">IF(NOT(Tasks[[#This Row],[_IsLeaf]]=1),0,IF(Tasks[[#This Row],[Baseline Cost]]="",Tasks[[#This Row],[_LeafCost]],N(Tasks[[#This Row],[Baseline Cost]])))</f>
        <v>0</v>
      </c>
      <c r="DF143" s="41" t="n">
        <f aca="false">Tasks[[#This Row],[_LeafBudget]]*Tasks[[#This Row],[_PlannedPct]]</f>
        <v>0</v>
      </c>
      <c r="DG143" s="41" t="n">
        <f aca="false">Tasks[[#This Row],[_LeafBudget]]*Tasks[[#This Row],[_LeafProgress]]</f>
        <v>0</v>
      </c>
      <c r="DH143" s="41" t="n">
        <f aca="false">IF(NOT(Tasks[[#This Row],[_IsLeaf]]=1),0,IF(Tasks[[#This Row],[Actual Cost]]="",Tasks[[#This Row],[_LeafCost]]*Tasks[[#This Row],[_LeafProgress]],N(Tasks[[#This Row],[Actual Cost]])))</f>
        <v>0</v>
      </c>
      <c r="DI143" s="41" t="str">
        <f aca="false">IF(Tasks[[#This Row],[Task Name]]="","",LEFT(Tasks[[#This Row],[WBS]],FIND(".",Tasks[[#This Row],[WBS]]&amp;".")-1))</f>
        <v/>
      </c>
      <c r="DJ143" s="41" t="str">
        <f aca="false">IF(AND(Tasks[[#This Row],[Task Name]]&lt;&gt;"",Tasks[[#This Row],[_Level]]=1),Tasks[[#This Row],[_Row]],"")</f>
        <v/>
      </c>
      <c r="DK143" s="41" t="str">
        <f aca="false">IF(AND(Tasks[[#This Row],[_IsLeaf]]=1,N(Tasks[[#This Row],[Duration]])=0),Tasks[[#This Row],[Planned Finish]]+Tasks[[#This Row],[_Row]]/100000,"")</f>
        <v/>
      </c>
      <c r="DL143" s="41" t="str">
        <f aca="false">IF(AND(Tasks[[#This Row],[_IsLeaf]]=1,Tasks[[#This Row],[_LeafProgress]]&lt;1,OR(N(Tasks[[#This Row],[Finish Var]])&gt;0,Tasks[[#This Row],[Status]]="Late Start")),MAX(0,Tasks[[#This Row],[Finish Var]])+1-Tasks[[#This Row],[_Row]]/1000000,"")</f>
        <v/>
      </c>
      <c r="DM143" s="41" t="str">
        <f aca="false">IF(AND(Tasks[[#This Row],[_IsLeaf]]=1,N(Tasks[[#This Row],[Actual Start]])=0,Tasks[[#This Row],[_LeafFcstStart]]&gt;=StatusDate,Tasks[[#This Row],[_LeafFcstStart]]&lt;=LookaheadEnd),Tasks[[#This Row],[_LeafFcstStart]]+Tasks[[#This Row],[_Row]]/100000,"")</f>
        <v/>
      </c>
      <c r="DN143" s="41" t="str">
        <f aca="false">IF(AND(Tasks[[#This Row],[_IsLeaf]]=1,Tasks[[#This Row],[_LeafProgress]]&lt;1,Tasks[[#This Row],[_LeafFcstFinish]]&gt;=StatusDate,Tasks[[#This Row],[_LeafFcstFinish]]&lt;=LookaheadEnd),Tasks[[#This Row],[_LeafFcstFinish]]+Tasks[[#This Row],[_Row]]/100000,"")</f>
        <v/>
      </c>
      <c r="DO143" s="41" t="str">
        <f aca="false">IF(Tasks[[#This Row],[_LeafCritical]],Tasks[[#This Row],[_LeafFcstStart]]+Tasks[[#This Row],[_Row]]/100000,"")</f>
        <v/>
      </c>
      <c r="DP143" s="41" t="n">
        <f aca="false">Tasks[[#This Row],[_LeafWork]]*Tasks[[#This Row],[_LeafProgress]]</f>
        <v>0</v>
      </c>
      <c r="DQ143" s="103" t="str">
        <f aca="false">IF(AND(Tasks[[#This Row],[_IsLeaf]]=1,Tasks[[#This Row],[_LeafProgress]]&gt;=1),IF(N(Tasks[[#This Row],[Actual Finish]])&gt;0,Tasks[[#This Row],[Actual Finish]],Tasks[[#This Row],[_LeafFcstFinish]]),"")</f>
        <v/>
      </c>
      <c r="DR143" s="41" t="n">
        <f aca="false">IF(Tasks[[#This Row],[_IsLeaf]]=1,N(Tasks[[#This Row],[Story Points]]),0)</f>
        <v>0</v>
      </c>
      <c r="DS143" s="41" t="str">
        <f aca="false">IF(AND(Tasks[[#This Row],[_IsLeaf]]=1,CurrentSprint&lt;&gt;"",Tasks[[#This Row],[Sprint]]=CurrentSprint),Tasks[[#This Row],[_Row]],"")</f>
        <v/>
      </c>
    </row>
    <row r="144" customFormat="false" ht="15" hidden="false" customHeight="false" outlineLevel="0" collapsed="false">
      <c r="A144" s="28" t="str">
        <f aca="false">IF(Tasks[[#This Row],[Task Name]]="","",COUNTA(Tasks[[#Headers],[Task Name]]:Tasks[[#This Row],[Task Name]])-1)</f>
        <v/>
      </c>
      <c r="B144" s="29" t="n">
        <v>139</v>
      </c>
      <c r="C1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29"/>
      <c r="E144" s="30"/>
      <c r="F144" s="29"/>
      <c r="G144" s="29"/>
      <c r="H144" s="29"/>
      <c r="I144" s="29"/>
      <c r="J144" s="29"/>
      <c r="K144" s="29"/>
      <c r="L144" s="29"/>
      <c r="M144" s="29"/>
      <c r="N144" s="77"/>
      <c r="O144" s="77"/>
      <c r="P144" s="25" t="str">
        <f aca="false">IF(Tasks[[#This Row],[Task Name]]="","",IF(N(Tasks[[#This Row],[Baseline Start]])&gt;0,Tasks[[#This Row],[Baseline Start]],Tasks[[#This Row],[_CalcStart]]))</f>
        <v/>
      </c>
      <c r="Q144" s="25" t="str">
        <f aca="false">IF(Tasks[[#This Row],[Task Name]]="","",IF(N(Tasks[[#This Row],[Baseline Finish]])&gt;0,Tasks[[#This Row],[Baseline Finish]],Tasks[[#This Row],[_CalcFinish]]))</f>
        <v/>
      </c>
      <c r="R144" s="77"/>
      <c r="S144" s="77"/>
      <c r="T144" s="25" t="str">
        <f aca="false">IF(Tasks[[#This Row],[Task Name]]="","",IF(Tasks[[#This Row],[_IsSummary]],MIN(INDEX(Tasks[_LeafFcstStart],Tasks[[#This Row],[_Row]]+1):INDEX(Tasks[_LeafFcstStart],Tasks[[#This Row],[_Row]]+Tasks[[#This Row],[_Descendants]])),Tasks[[#This Row],[_LeafFcstStart]]))</f>
        <v/>
      </c>
      <c r="U144" s="25" t="str">
        <f aca="false">IF(Tasks[[#This Row],[Task Name]]="","",IF(Tasks[[#This Row],[_IsSummary]],MAX(INDEX(Tasks[_LeafFcstFinish],Tasks[[#This Row],[_Row]]+1):INDEX(Tasks[_LeafFcstFinish],Tasks[[#This Row],[_Row]]+Tasks[[#This Row],[_Descendants]])),Tasks[[#This Row],[_LeafFcstFinish]]))</f>
        <v/>
      </c>
      <c r="V14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4" s="25" t="str">
        <f aca="false">IF(Tasks[[#This Row],[Task Name]]="","",IF(Tasks[[#This Row],[_IsSummary]],MIN(INDEX(Tasks[_LeafLateStart],Tasks[[#This Row],[_Row]]+1):INDEX(Tasks[_LeafLateStart],Tasks[[#This Row],[_Row]]+Tasks[[#This Row],[_Descendants]])),Tasks[[#This Row],[_LeafLateStart]]))</f>
        <v/>
      </c>
      <c r="Y144" s="25" t="str">
        <f aca="false">IF(Tasks[[#This Row],[Task Name]]="","",IF(Tasks[[#This Row],[_IsSummary]],MAX(INDEX(Tasks[_LeafLateFinish],Tasks[[#This Row],[_Row]]+1):INDEX(Tasks[_LeafLateFinish],Tasks[[#This Row],[_Row]]+Tasks[[#This Row],[_Descendants]])),Tasks[[#This Row],[_LeafLateFinish]]))</f>
        <v/>
      </c>
      <c r="Z144" s="43" t="str">
        <f aca="false">IF(Tasks[[#This Row],[Task Name]]="","",IF(Tasks[[#This Row],[_IsSummary]],MIN(INDEX(Tasks[_LeafTotalSlack],Tasks[[#This Row],[_Row]]+1):INDEX(Tasks[_LeafTotalSlack],Tasks[[#This Row],[_Row]]+Tasks[[#This Row],[_Descendants]])),Tasks[[#This Row],[_LeafTotalSlack]]))</f>
        <v/>
      </c>
      <c r="AA1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4" s="28" t="str">
        <f aca="false">IF(Tasks[[#This Row],[Task Name]]="","",IF(IF(Tasks[[#This Row],[_IsSummary]],COUNTIF(INDEX(Tasks[_LeafCritical],Tasks[[#This Row],[_Row]]+1):INDEX(Tasks[_LeafCritical],Tasks[[#This Row],[_Row]]+Tasks[[#This Row],[_Descendants]]),TRUE())&gt;0,Tasks[[#This Row],[_LeafCritical]]),"Yes",""))</f>
        <v/>
      </c>
      <c r="AC1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4" s="24" t="str">
        <f aca="false">IF(Tasks[[#This Row],[Task Name]]="","",TRIM(IF(Tasks[[#This Row],[_Pred1Problem]]&lt;&gt;"","Pred 1: "&amp;Tasks[[#This Row],[_Pred1Problem]]&amp;". ","")&amp;IF(Tasks[[#This Row],[_Pred2Problem]]&lt;&gt;"","Pred 2: "&amp;Tasks[[#This Row],[_Pred2Problem]]&amp;".","")))</f>
        <v/>
      </c>
      <c r="AE144" s="91"/>
      <c r="AF14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4" s="28" t="str">
        <f aca="false">IF(Tasks[[#This Row],[Task Name]]="","",IF(Tasks[[#This Row],[Progress]]&gt;=1,"Complete",IF(OR(N(Tasks[[#This Row],[Actual Start]])&gt;0,Tasks[[#This Row],[Progress]]&gt;0),IF(Tasks[[#This Row],[Finish Var]]&gt;0,"Behind","In Progress"),IF(Tasks[[#This Row],[Planned Start]]&lt;StatusDate,"Late Start","Not Started"))))</f>
        <v/>
      </c>
      <c r="AH144" s="30"/>
      <c r="AI144" s="91"/>
      <c r="AJ14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4" s="98" t="str">
        <f aca="false">IF(Tasks[[#This Row],[Task Name]]="","",IF(Tasks[[#This Row],[_IsSummary]],SUM(INDEX(Tasks[_LeafWork],Tasks[[#This Row],[_Row]]+1):INDEX(Tasks[_LeafWork],Tasks[[#This Row],[_Row]]+Tasks[[#This Row],[_Descendants]])),Tasks[[#This Row],[_LeafWork]]))</f>
        <v/>
      </c>
      <c r="AL144" s="99" t="str">
        <f aca="false">IF(Tasks[[#This Row],[Task Name]]="","",IF(Tasks[[#This Row],[_IsSummary]],SUM(INDEX(Tasks[_LeafCost],Tasks[[#This Row],[_Row]]+1):INDEX(Tasks[_LeafCost],Tasks[[#This Row],[_Row]]+Tasks[[#This Row],[_Descendants]])),Tasks[[#This Row],[_LeafCost]]))</f>
        <v/>
      </c>
      <c r="AM144" s="100"/>
      <c r="AN144" s="29"/>
      <c r="AO1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4" s="85"/>
      <c r="AQ144" s="24" t="str">
        <f aca="false">IF(Tasks[[#This Row],[Task Name]]="","",Tasks[[#This Row],[_Pred1IDText]]&amp;IF(AND(Tasks[[#This Row],[_Pred1IDText]]&lt;&gt;"",Tasks[[#This Row],[_Pred2IDText]]&lt;&gt;""),",","")&amp;Tasks[[#This Row],[_Pred2IDText]])</f>
        <v/>
      </c>
      <c r="AR144" s="30"/>
      <c r="AS144" s="25" t="str">
        <f aca="false">IF(Tasks[[#This Row],[Task Name]]="","",Tasks[[#This Row],[Forecast Start]])</f>
        <v/>
      </c>
      <c r="AT144" s="25" t="str">
        <f aca="false">IF(Tasks[[#This Row],[Task Name]]="","",Tasks[[#This Row],[Forecast Finish]])</f>
        <v/>
      </c>
      <c r="AU144" s="28" t="str">
        <f aca="false">IF(Tasks[[#This Row],[Task Name]]="","",IF(Tasks[[#This Row],[_IsSummary]],NETWORKDAYS.INTL(Tasks[[#This Row],[Forecast Start]],Tasks[[#This Row],[Forecast Finish]],WorkWeek,Holidays),N(Tasks[[#This Row],[Duration]])))</f>
        <v/>
      </c>
      <c r="AV144" s="98" t="str">
        <f aca="false">IF(Tasks[[#This Row],[Task Name]]="","",Tasks[[#This Row],[Work]])</f>
        <v/>
      </c>
      <c r="AW144" s="99" t="str">
        <f aca="false">IF(Tasks[[#This Row],[Task Name]]="","",Tasks[[#This Row],[Cost]])</f>
        <v/>
      </c>
      <c r="AX144" s="77"/>
      <c r="AY144" s="77"/>
      <c r="AZ144" s="29"/>
      <c r="BA144" s="101"/>
      <c r="BB144" s="100"/>
      <c r="BC144" s="28" t="str">
        <f aca="false">IF(OR(Tasks[[#This Row],[Task Name]]="",Tasks[[#This Row],[Baseline Duration]]=""),"",Tasks[[#This Row],[BL Source Duration]]-N(Tasks[[#This Row],[Baseline Duration]]))</f>
        <v/>
      </c>
      <c r="BD144" s="98" t="str">
        <f aca="false">IF(OR(Tasks[[#This Row],[Task Name]]="",Tasks[[#This Row],[Baseline Work]]=""),"",Tasks[[#This Row],[Work]]-N(Tasks[[#This Row],[Baseline Work]]))</f>
        <v/>
      </c>
      <c r="BE144" s="99" t="str">
        <f aca="false">IF(OR(Tasks[[#This Row],[Task Name]]="",Tasks[[#This Row],[Baseline Cost]]=""),"",Tasks[[#This Row],[Cost]]-N(Tasks[[#This Row],[Baseline Cost]]))</f>
        <v/>
      </c>
      <c r="BF144" s="99" t="str">
        <f aca="false">IF(Tasks[[#This Row],[Task Name]]="","",IF(Tasks[[#This Row],[_IsSummary]],SUM(INDEX(Tasks[_LeafBudget],Tasks[[#This Row],[_Row]]+1):INDEX(Tasks[_LeafBudget],Tasks[[#This Row],[_Row]]+Tasks[[#This Row],[_Descendants]])),Tasks[[#This Row],[_LeafBudget]]))</f>
        <v/>
      </c>
      <c r="BG144" s="99" t="str">
        <f aca="false">IF(Tasks[[#This Row],[Task Name]]="","",IF(Tasks[[#This Row],[_IsSummary]],SUM(INDEX(Tasks[_LeafPV],Tasks[[#This Row],[_Row]]+1):INDEX(Tasks[_LeafPV],Tasks[[#This Row],[_Row]]+Tasks[[#This Row],[_Descendants]])),Tasks[[#This Row],[_LeafPV]]))</f>
        <v/>
      </c>
      <c r="BH144" s="99" t="str">
        <f aca="false">IF(Tasks[[#This Row],[Task Name]]="","",IF(Tasks[[#This Row],[_IsSummary]],SUM(INDEX(Tasks[_LeafEV],Tasks[[#This Row],[_Row]]+1):INDEX(Tasks[_LeafEV],Tasks[[#This Row],[_Row]]+Tasks[[#This Row],[_Descendants]])),Tasks[[#This Row],[_LeafEV]]))</f>
        <v/>
      </c>
      <c r="BI144" s="99" t="str">
        <f aca="false">IF(Tasks[[#This Row],[Task Name]]="","",IF(Tasks[[#This Row],[_IsSummary]],SUM(INDEX(Tasks[_LeafAC],Tasks[[#This Row],[_Row]]+1):INDEX(Tasks[_LeafAC],Tasks[[#This Row],[_Row]]+Tasks[[#This Row],[_Descendants]])),Tasks[[#This Row],[_LeafAC]]))</f>
        <v/>
      </c>
      <c r="BJ144" s="41" t="str">
        <f aca="false">IF(Tasks[[#This Row],[Task Name]]="","",MAX(1,N(Tasks[[#This Row],[Level]])))</f>
        <v/>
      </c>
      <c r="BK144" s="41" t="n">
        <f aca="false">ROW()-ROW(Tasks[[#Headers],[ID]])</f>
        <v>139</v>
      </c>
      <c r="BL144" s="41" t="n">
        <f aca="false">IF(OR(Tasks[[#This Row],[Task Name]]="",Tasks[[#This Row],[_Level]]&lt;=1),0,IFERROR(LOOKUP(2,1/(Tasks[[#Headers],[_Level]]:Tasks[[#This Row],[_Level]]=Tasks[[#This Row],[_Level]]-1),ROW(Tasks[[#Headers],[_Level]]:Tasks[[#This Row],[_Level]])),0))</f>
        <v>0</v>
      </c>
      <c r="BM144" s="41" t="n">
        <f aca="false">IFERROR(N(INDEX(Tasks[_Level],Tasks[[#This Row],[_Row]]+1)),0)</f>
        <v>0</v>
      </c>
      <c r="BN144" s="102" t="b">
        <f aca="false">AND(Tasks[[#This Row],[Task Name]]&lt;&gt;"",Tasks[[#This Row],[_NextLevel]]&gt;Tasks[[#This Row],[_Level]])</f>
        <v>0</v>
      </c>
      <c r="BO144" s="41" t="n">
        <f aca="false">IF(Tasks[[#This Row],[_IsSummary]],COUNTIF(Tasks[WBS],Tasks[[#This Row],[WBS]]&amp;".*"),0)</f>
        <v>0</v>
      </c>
      <c r="BP144" s="41" t="n">
        <f aca="false">IF(AND(Tasks[[#This Row],[Task Name]]&lt;&gt;"",NOT(Tasks[[#This Row],[_IsSummary]])),1,0)</f>
        <v>0</v>
      </c>
      <c r="BQ144" s="41" t="n">
        <f aca="false">IF(N(Tasks[[#This Row],[Pred1 UID]])=0,0,IFERROR(MATCH(Tasks[[#This Row],[Pred1 UID]],Tasks[UID],0),-1))</f>
        <v>0</v>
      </c>
      <c r="BR144" s="41" t="n">
        <f aca="false">IF(N(Tasks[[#This Row],[Pred2 UID]])=0,0,IFERROR(MATCH(Tasks[[#This Row],[Pred2 UID]],Tasks[UID],0),-1))</f>
        <v>0</v>
      </c>
      <c r="BS14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4" s="103" t="str">
        <f aca="false">IF(NOT(Tasks[[#This Row],[_IsLeaf]]=1),"",IF(N(Tasks[[#This Row],[Duration]])&lt;=0,Tasks[[#This Row],[_LeafCalcStart]],WORKDAY.INTL(Tasks[[#This Row],[_LeafCalcStart]],Tasks[[#This Row],[Duration]]-1,WorkWeek,Holidays)))</f>
        <v/>
      </c>
      <c r="BU14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4" s="41" t="n">
        <f aca="false">IF(NOT(Tasks[[#This Row],[_IsLeaf]]=1),0,IF(N(Tasks[[#This Row],[Actual Finish]])&gt;0,1,MIN(1,N(Tasks[[#This Row],[% Complete]]))))</f>
        <v>0</v>
      </c>
      <c r="BX144" s="41" t="n">
        <f aca="false">IF(OR(NOT(Tasks[[#This Row],[_IsLeaf]]=1),Tasks[[#This Row],[Resource]]=""),0,N(Tasks[[#This Row],[Duration]])*HoursPerDay*IF(Tasks[[#This Row],[Units]]="",DefaultUnits,Tasks[[#This Row],[Units]]))</f>
        <v>0</v>
      </c>
      <c r="BY144" s="41" t="n">
        <f aca="false">IF(Tasks[[#This Row],[_LeafWork]]=0,0,Tasks[[#This Row],[_LeafWork]]*IFERROR(INDEX(res_Rate,MATCH(Tasks[[#This Row],[Resource]],res_Name,0)),0))</f>
        <v>0</v>
      </c>
      <c r="BZ1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4" s="41" t="n">
        <f aca="false">IF(NOT(Tasks[[#This Row],[_IsLeaf]]=1),0,MAX(_xlfn.MAXIFS(Tasks[_Row],Tasks[Pred1 UID],Tasks[[#This Row],[UID]]),_xlfn.MAXIFS(Tasks[_Row],Tasks[Pred2 UID],Tasks[[#This Row],[UID]])))</f>
        <v>0</v>
      </c>
      <c r="CE14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4" s="103" t="str">
        <f aca="false">IF(NOT(Tasks[[#This Row],[_IsLeaf]]=1),"",MIN(ProjectFinish,IF(N(Tasks[[#This Row],[Deadline]])&gt;0,Tasks[[#This Row],[Deadline]],2958465),Tasks[[#This Row],[_SuccessorFinishLimit]]))</f>
        <v/>
      </c>
      <c r="CG144" s="103" t="str">
        <f aca="false">IF(NOT(Tasks[[#This Row],[_IsLeaf]]=1),"",IF(N(Tasks[[#This Row],[Duration]])&lt;=0,Tasks[[#This Row],[_LeafLateFinish]],WORKDAY.INTL(Tasks[[#This Row],[_LeafLateFinish]],-(Tasks[[#This Row],[Duration]]-1),WorkWeek,Holidays)))</f>
        <v/>
      </c>
      <c r="CH1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4" s="102" t="b">
        <f aca="false">AND(Tasks[[#This Row],[_IsLeaf]]=1,Tasks[[#This Row],[_LeafProgress]]&lt;1,N(Tasks[[#This Row],[_LeafTotalSlack]])&lt;=CriticalSlackDays)</f>
        <v>0</v>
      </c>
      <c r="CJ144" s="103" t="str">
        <f aca="false">IF(Tasks[[#This Row],[Task Name]]="","",IF(Tasks[[#This Row],[_IsSummary]],MIN(INDEX(Tasks[_LeafCalcStart],Tasks[[#This Row],[_Row]]+1):INDEX(Tasks[_LeafCalcStart],Tasks[[#This Row],[_Row]]+Tasks[[#This Row],[_Descendants]])),Tasks[[#This Row],[_LeafCalcStart]]))</f>
        <v/>
      </c>
      <c r="CK144" s="103" t="str">
        <f aca="false">IF(Tasks[[#This Row],[Task Name]]="","",IF(Tasks[[#This Row],[_IsSummary]],MAX(INDEX(Tasks[_LeafCalcFinish],Tasks[[#This Row],[_Row]]+1):INDEX(Tasks[_LeafCalcFinish],Tasks[[#This Row],[_Row]]+Tasks[[#This Row],[_Descendants]])),Tasks[[#This Row],[_LeafCalcFinish]]))</f>
        <v/>
      </c>
      <c r="CL1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4" s="41" t="n">
        <f aca="false">IF(AND(Tasks[[#This Row],[_IsLeaf]]=1,Tasks[[#This Row],[_LeafWork]]&gt;0),NETWORKDAYS.INTL(ProjectStart,Tasks[[#This Row],[_LeafFcstStart]],WorkWeek,Holidays),0)</f>
        <v>0</v>
      </c>
      <c r="CS144" s="41" t="n">
        <f aca="false">IF(AND(Tasks[[#This Row],[_IsLeaf]]=1,Tasks[[#This Row],[_LeafWork]]&gt;0),MAX(Tasks[[#This Row],[_StartWorkday]],NETWORKDAYS.INTL(ProjectStart,Tasks[[#This Row],[_LeafFcstFinish]],WorkWeek,Holidays)),0)</f>
        <v>0</v>
      </c>
      <c r="CT144" s="41" t="n">
        <f aca="false">IF(AND(Tasks[[#This Row],[_IsLeaf]]=1,Tasks[[#This Row],[_LeafWork]]&gt;0),Tasks[[#This Row],[_LeafWork]]/(Tasks[[#This Row],[_FinishWorkday]]-Tasks[[#This Row],[_StartWorkday]]+1),0)</f>
        <v>0</v>
      </c>
      <c r="CU144" s="41" t="n">
        <f aca="false">Tasks[[#This Row],[_WorkPerWorkday]]*(Tasks[[#This Row],[_StartWorkday]]-1)</f>
        <v>-0</v>
      </c>
      <c r="CV144" s="41" t="n">
        <f aca="false">IF(Tasks[[#This Row],[_IsLeaf]]=1,MAX(N(Tasks[[#This Row],[Duration]]),0.1),0)</f>
        <v>0</v>
      </c>
      <c r="CW144" s="41" t="n">
        <f aca="false">Tasks[[#This Row],[_WeightDur]]*Tasks[[#This Row],[_LeafProgress]]</f>
        <v>0</v>
      </c>
      <c r="CX1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4" s="41" t="str">
        <f aca="false">IF(Tasks[[#This Row],[Task Name]]="","",Tasks[[#This Row],[_Pred1UIDText]]&amp;IF(AND(Tasks[[#This Row],[_Pred1UIDText]]&lt;&gt;"",Tasks[[#This Row],[_Pred2UIDText]]&lt;&gt;""),",","")&amp;Tasks[[#This Row],[_Pred2UIDText]])</f>
        <v/>
      </c>
      <c r="DC144" s="41" t="str">
        <f aca="false">IF(AND(Tasks[[#This Row],[_IsLeaf]]=1,N(Tasks[[#This Row],[Duration]])=0,Tasks[[#This Row],[_LeafProgress]]&lt;1),Tasks[[#This Row],[_LeafFcstFinish]]+Tasks[[#This Row],[_Row]]/100000,"")</f>
        <v/>
      </c>
      <c r="DD1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4" s="41" t="n">
        <f aca="false">IF(NOT(Tasks[[#This Row],[_IsLeaf]]=1),0,IF(Tasks[[#This Row],[Baseline Cost]]="",Tasks[[#This Row],[_LeafCost]],N(Tasks[[#This Row],[Baseline Cost]])))</f>
        <v>0</v>
      </c>
      <c r="DF144" s="41" t="n">
        <f aca="false">Tasks[[#This Row],[_LeafBudget]]*Tasks[[#This Row],[_PlannedPct]]</f>
        <v>0</v>
      </c>
      <c r="DG144" s="41" t="n">
        <f aca="false">Tasks[[#This Row],[_LeafBudget]]*Tasks[[#This Row],[_LeafProgress]]</f>
        <v>0</v>
      </c>
      <c r="DH144" s="41" t="n">
        <f aca="false">IF(NOT(Tasks[[#This Row],[_IsLeaf]]=1),0,IF(Tasks[[#This Row],[Actual Cost]]="",Tasks[[#This Row],[_LeafCost]]*Tasks[[#This Row],[_LeafProgress]],N(Tasks[[#This Row],[Actual Cost]])))</f>
        <v>0</v>
      </c>
      <c r="DI144" s="41" t="str">
        <f aca="false">IF(Tasks[[#This Row],[Task Name]]="","",LEFT(Tasks[[#This Row],[WBS]],FIND(".",Tasks[[#This Row],[WBS]]&amp;".")-1))</f>
        <v/>
      </c>
      <c r="DJ144" s="41" t="str">
        <f aca="false">IF(AND(Tasks[[#This Row],[Task Name]]&lt;&gt;"",Tasks[[#This Row],[_Level]]=1),Tasks[[#This Row],[_Row]],"")</f>
        <v/>
      </c>
      <c r="DK144" s="41" t="str">
        <f aca="false">IF(AND(Tasks[[#This Row],[_IsLeaf]]=1,N(Tasks[[#This Row],[Duration]])=0),Tasks[[#This Row],[Planned Finish]]+Tasks[[#This Row],[_Row]]/100000,"")</f>
        <v/>
      </c>
      <c r="DL144" s="41" t="str">
        <f aca="false">IF(AND(Tasks[[#This Row],[_IsLeaf]]=1,Tasks[[#This Row],[_LeafProgress]]&lt;1,OR(N(Tasks[[#This Row],[Finish Var]])&gt;0,Tasks[[#This Row],[Status]]="Late Start")),MAX(0,Tasks[[#This Row],[Finish Var]])+1-Tasks[[#This Row],[_Row]]/1000000,"")</f>
        <v/>
      </c>
      <c r="DM144" s="41" t="str">
        <f aca="false">IF(AND(Tasks[[#This Row],[_IsLeaf]]=1,N(Tasks[[#This Row],[Actual Start]])=0,Tasks[[#This Row],[_LeafFcstStart]]&gt;=StatusDate,Tasks[[#This Row],[_LeafFcstStart]]&lt;=LookaheadEnd),Tasks[[#This Row],[_LeafFcstStart]]+Tasks[[#This Row],[_Row]]/100000,"")</f>
        <v/>
      </c>
      <c r="DN144" s="41" t="str">
        <f aca="false">IF(AND(Tasks[[#This Row],[_IsLeaf]]=1,Tasks[[#This Row],[_LeafProgress]]&lt;1,Tasks[[#This Row],[_LeafFcstFinish]]&gt;=StatusDate,Tasks[[#This Row],[_LeafFcstFinish]]&lt;=LookaheadEnd),Tasks[[#This Row],[_LeafFcstFinish]]+Tasks[[#This Row],[_Row]]/100000,"")</f>
        <v/>
      </c>
      <c r="DO144" s="41" t="str">
        <f aca="false">IF(Tasks[[#This Row],[_LeafCritical]],Tasks[[#This Row],[_LeafFcstStart]]+Tasks[[#This Row],[_Row]]/100000,"")</f>
        <v/>
      </c>
      <c r="DP144" s="41" t="n">
        <f aca="false">Tasks[[#This Row],[_LeafWork]]*Tasks[[#This Row],[_LeafProgress]]</f>
        <v>0</v>
      </c>
      <c r="DQ144" s="103" t="str">
        <f aca="false">IF(AND(Tasks[[#This Row],[_IsLeaf]]=1,Tasks[[#This Row],[_LeafProgress]]&gt;=1),IF(N(Tasks[[#This Row],[Actual Finish]])&gt;0,Tasks[[#This Row],[Actual Finish]],Tasks[[#This Row],[_LeafFcstFinish]]),"")</f>
        <v/>
      </c>
      <c r="DR144" s="41" t="n">
        <f aca="false">IF(Tasks[[#This Row],[_IsLeaf]]=1,N(Tasks[[#This Row],[Story Points]]),0)</f>
        <v>0</v>
      </c>
      <c r="DS144" s="41" t="str">
        <f aca="false">IF(AND(Tasks[[#This Row],[_IsLeaf]]=1,CurrentSprint&lt;&gt;"",Tasks[[#This Row],[Sprint]]=CurrentSprint),Tasks[[#This Row],[_Row]],"")</f>
        <v/>
      </c>
    </row>
    <row r="145" customFormat="false" ht="15" hidden="false" customHeight="false" outlineLevel="0" collapsed="false">
      <c r="A145" s="28" t="str">
        <f aca="false">IF(Tasks[[#This Row],[Task Name]]="","",COUNTA(Tasks[[#Headers],[Task Name]]:Tasks[[#This Row],[Task Name]])-1)</f>
        <v/>
      </c>
      <c r="B145" s="29" t="n">
        <v>140</v>
      </c>
      <c r="C1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29"/>
      <c r="E145" s="30"/>
      <c r="F145" s="29"/>
      <c r="G145" s="29"/>
      <c r="H145" s="29"/>
      <c r="I145" s="29"/>
      <c r="J145" s="29"/>
      <c r="K145" s="29"/>
      <c r="L145" s="29"/>
      <c r="M145" s="29"/>
      <c r="N145" s="77"/>
      <c r="O145" s="77"/>
      <c r="P145" s="25" t="str">
        <f aca="false">IF(Tasks[[#This Row],[Task Name]]="","",IF(N(Tasks[[#This Row],[Baseline Start]])&gt;0,Tasks[[#This Row],[Baseline Start]],Tasks[[#This Row],[_CalcStart]]))</f>
        <v/>
      </c>
      <c r="Q145" s="25" t="str">
        <f aca="false">IF(Tasks[[#This Row],[Task Name]]="","",IF(N(Tasks[[#This Row],[Baseline Finish]])&gt;0,Tasks[[#This Row],[Baseline Finish]],Tasks[[#This Row],[_CalcFinish]]))</f>
        <v/>
      </c>
      <c r="R145" s="77"/>
      <c r="S145" s="77"/>
      <c r="T145" s="25" t="str">
        <f aca="false">IF(Tasks[[#This Row],[Task Name]]="","",IF(Tasks[[#This Row],[_IsSummary]],MIN(INDEX(Tasks[_LeafFcstStart],Tasks[[#This Row],[_Row]]+1):INDEX(Tasks[_LeafFcstStart],Tasks[[#This Row],[_Row]]+Tasks[[#This Row],[_Descendants]])),Tasks[[#This Row],[_LeafFcstStart]]))</f>
        <v/>
      </c>
      <c r="U145" s="25" t="str">
        <f aca="false">IF(Tasks[[#This Row],[Task Name]]="","",IF(Tasks[[#This Row],[_IsSummary]],MAX(INDEX(Tasks[_LeafFcstFinish],Tasks[[#This Row],[_Row]]+1):INDEX(Tasks[_LeafFcstFinish],Tasks[[#This Row],[_Row]]+Tasks[[#This Row],[_Descendants]])),Tasks[[#This Row],[_LeafFcstFinish]]))</f>
        <v/>
      </c>
      <c r="V14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5" s="25" t="str">
        <f aca="false">IF(Tasks[[#This Row],[Task Name]]="","",IF(Tasks[[#This Row],[_IsSummary]],MIN(INDEX(Tasks[_LeafLateStart],Tasks[[#This Row],[_Row]]+1):INDEX(Tasks[_LeafLateStart],Tasks[[#This Row],[_Row]]+Tasks[[#This Row],[_Descendants]])),Tasks[[#This Row],[_LeafLateStart]]))</f>
        <v/>
      </c>
      <c r="Y145" s="25" t="str">
        <f aca="false">IF(Tasks[[#This Row],[Task Name]]="","",IF(Tasks[[#This Row],[_IsSummary]],MAX(INDEX(Tasks[_LeafLateFinish],Tasks[[#This Row],[_Row]]+1):INDEX(Tasks[_LeafLateFinish],Tasks[[#This Row],[_Row]]+Tasks[[#This Row],[_Descendants]])),Tasks[[#This Row],[_LeafLateFinish]]))</f>
        <v/>
      </c>
      <c r="Z145" s="43" t="str">
        <f aca="false">IF(Tasks[[#This Row],[Task Name]]="","",IF(Tasks[[#This Row],[_IsSummary]],MIN(INDEX(Tasks[_LeafTotalSlack],Tasks[[#This Row],[_Row]]+1):INDEX(Tasks[_LeafTotalSlack],Tasks[[#This Row],[_Row]]+Tasks[[#This Row],[_Descendants]])),Tasks[[#This Row],[_LeafTotalSlack]]))</f>
        <v/>
      </c>
      <c r="AA1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5" s="28" t="str">
        <f aca="false">IF(Tasks[[#This Row],[Task Name]]="","",IF(IF(Tasks[[#This Row],[_IsSummary]],COUNTIF(INDEX(Tasks[_LeafCritical],Tasks[[#This Row],[_Row]]+1):INDEX(Tasks[_LeafCritical],Tasks[[#This Row],[_Row]]+Tasks[[#This Row],[_Descendants]]),TRUE())&gt;0,Tasks[[#This Row],[_LeafCritical]]),"Yes",""))</f>
        <v/>
      </c>
      <c r="AC1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5" s="24" t="str">
        <f aca="false">IF(Tasks[[#This Row],[Task Name]]="","",TRIM(IF(Tasks[[#This Row],[_Pred1Problem]]&lt;&gt;"","Pred 1: "&amp;Tasks[[#This Row],[_Pred1Problem]]&amp;". ","")&amp;IF(Tasks[[#This Row],[_Pred2Problem]]&lt;&gt;"","Pred 2: "&amp;Tasks[[#This Row],[_Pred2Problem]]&amp;".","")))</f>
        <v/>
      </c>
      <c r="AE145" s="91"/>
      <c r="AF14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5" s="28" t="str">
        <f aca="false">IF(Tasks[[#This Row],[Task Name]]="","",IF(Tasks[[#This Row],[Progress]]&gt;=1,"Complete",IF(OR(N(Tasks[[#This Row],[Actual Start]])&gt;0,Tasks[[#This Row],[Progress]]&gt;0),IF(Tasks[[#This Row],[Finish Var]]&gt;0,"Behind","In Progress"),IF(Tasks[[#This Row],[Planned Start]]&lt;StatusDate,"Late Start","Not Started"))))</f>
        <v/>
      </c>
      <c r="AH145" s="30"/>
      <c r="AI145" s="91"/>
      <c r="AJ14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5" s="98" t="str">
        <f aca="false">IF(Tasks[[#This Row],[Task Name]]="","",IF(Tasks[[#This Row],[_IsSummary]],SUM(INDEX(Tasks[_LeafWork],Tasks[[#This Row],[_Row]]+1):INDEX(Tasks[_LeafWork],Tasks[[#This Row],[_Row]]+Tasks[[#This Row],[_Descendants]])),Tasks[[#This Row],[_LeafWork]]))</f>
        <v/>
      </c>
      <c r="AL145" s="99" t="str">
        <f aca="false">IF(Tasks[[#This Row],[Task Name]]="","",IF(Tasks[[#This Row],[_IsSummary]],SUM(INDEX(Tasks[_LeafCost],Tasks[[#This Row],[_Row]]+1):INDEX(Tasks[_LeafCost],Tasks[[#This Row],[_Row]]+Tasks[[#This Row],[_Descendants]])),Tasks[[#This Row],[_LeafCost]]))</f>
        <v/>
      </c>
      <c r="AM145" s="100"/>
      <c r="AN145" s="29"/>
      <c r="AO1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5" s="85"/>
      <c r="AQ145" s="24" t="str">
        <f aca="false">IF(Tasks[[#This Row],[Task Name]]="","",Tasks[[#This Row],[_Pred1IDText]]&amp;IF(AND(Tasks[[#This Row],[_Pred1IDText]]&lt;&gt;"",Tasks[[#This Row],[_Pred2IDText]]&lt;&gt;""),",","")&amp;Tasks[[#This Row],[_Pred2IDText]])</f>
        <v/>
      </c>
      <c r="AR145" s="30"/>
      <c r="AS145" s="25" t="str">
        <f aca="false">IF(Tasks[[#This Row],[Task Name]]="","",Tasks[[#This Row],[Forecast Start]])</f>
        <v/>
      </c>
      <c r="AT145" s="25" t="str">
        <f aca="false">IF(Tasks[[#This Row],[Task Name]]="","",Tasks[[#This Row],[Forecast Finish]])</f>
        <v/>
      </c>
      <c r="AU145" s="28" t="str">
        <f aca="false">IF(Tasks[[#This Row],[Task Name]]="","",IF(Tasks[[#This Row],[_IsSummary]],NETWORKDAYS.INTL(Tasks[[#This Row],[Forecast Start]],Tasks[[#This Row],[Forecast Finish]],WorkWeek,Holidays),N(Tasks[[#This Row],[Duration]])))</f>
        <v/>
      </c>
      <c r="AV145" s="98" t="str">
        <f aca="false">IF(Tasks[[#This Row],[Task Name]]="","",Tasks[[#This Row],[Work]])</f>
        <v/>
      </c>
      <c r="AW145" s="99" t="str">
        <f aca="false">IF(Tasks[[#This Row],[Task Name]]="","",Tasks[[#This Row],[Cost]])</f>
        <v/>
      </c>
      <c r="AX145" s="77"/>
      <c r="AY145" s="77"/>
      <c r="AZ145" s="29"/>
      <c r="BA145" s="101"/>
      <c r="BB145" s="100"/>
      <c r="BC145" s="28" t="str">
        <f aca="false">IF(OR(Tasks[[#This Row],[Task Name]]="",Tasks[[#This Row],[Baseline Duration]]=""),"",Tasks[[#This Row],[BL Source Duration]]-N(Tasks[[#This Row],[Baseline Duration]]))</f>
        <v/>
      </c>
      <c r="BD145" s="98" t="str">
        <f aca="false">IF(OR(Tasks[[#This Row],[Task Name]]="",Tasks[[#This Row],[Baseline Work]]=""),"",Tasks[[#This Row],[Work]]-N(Tasks[[#This Row],[Baseline Work]]))</f>
        <v/>
      </c>
      <c r="BE145" s="99" t="str">
        <f aca="false">IF(OR(Tasks[[#This Row],[Task Name]]="",Tasks[[#This Row],[Baseline Cost]]=""),"",Tasks[[#This Row],[Cost]]-N(Tasks[[#This Row],[Baseline Cost]]))</f>
        <v/>
      </c>
      <c r="BF145" s="99" t="str">
        <f aca="false">IF(Tasks[[#This Row],[Task Name]]="","",IF(Tasks[[#This Row],[_IsSummary]],SUM(INDEX(Tasks[_LeafBudget],Tasks[[#This Row],[_Row]]+1):INDEX(Tasks[_LeafBudget],Tasks[[#This Row],[_Row]]+Tasks[[#This Row],[_Descendants]])),Tasks[[#This Row],[_LeafBudget]]))</f>
        <v/>
      </c>
      <c r="BG145" s="99" t="str">
        <f aca="false">IF(Tasks[[#This Row],[Task Name]]="","",IF(Tasks[[#This Row],[_IsSummary]],SUM(INDEX(Tasks[_LeafPV],Tasks[[#This Row],[_Row]]+1):INDEX(Tasks[_LeafPV],Tasks[[#This Row],[_Row]]+Tasks[[#This Row],[_Descendants]])),Tasks[[#This Row],[_LeafPV]]))</f>
        <v/>
      </c>
      <c r="BH145" s="99" t="str">
        <f aca="false">IF(Tasks[[#This Row],[Task Name]]="","",IF(Tasks[[#This Row],[_IsSummary]],SUM(INDEX(Tasks[_LeafEV],Tasks[[#This Row],[_Row]]+1):INDEX(Tasks[_LeafEV],Tasks[[#This Row],[_Row]]+Tasks[[#This Row],[_Descendants]])),Tasks[[#This Row],[_LeafEV]]))</f>
        <v/>
      </c>
      <c r="BI145" s="99" t="str">
        <f aca="false">IF(Tasks[[#This Row],[Task Name]]="","",IF(Tasks[[#This Row],[_IsSummary]],SUM(INDEX(Tasks[_LeafAC],Tasks[[#This Row],[_Row]]+1):INDEX(Tasks[_LeafAC],Tasks[[#This Row],[_Row]]+Tasks[[#This Row],[_Descendants]])),Tasks[[#This Row],[_LeafAC]]))</f>
        <v/>
      </c>
      <c r="BJ145" s="41" t="str">
        <f aca="false">IF(Tasks[[#This Row],[Task Name]]="","",MAX(1,N(Tasks[[#This Row],[Level]])))</f>
        <v/>
      </c>
      <c r="BK145" s="41" t="n">
        <f aca="false">ROW()-ROW(Tasks[[#Headers],[ID]])</f>
        <v>140</v>
      </c>
      <c r="BL145" s="41" t="n">
        <f aca="false">IF(OR(Tasks[[#This Row],[Task Name]]="",Tasks[[#This Row],[_Level]]&lt;=1),0,IFERROR(LOOKUP(2,1/(Tasks[[#Headers],[_Level]]:Tasks[[#This Row],[_Level]]=Tasks[[#This Row],[_Level]]-1),ROW(Tasks[[#Headers],[_Level]]:Tasks[[#This Row],[_Level]])),0))</f>
        <v>0</v>
      </c>
      <c r="BM145" s="41" t="n">
        <f aca="false">IFERROR(N(INDEX(Tasks[_Level],Tasks[[#This Row],[_Row]]+1)),0)</f>
        <v>0</v>
      </c>
      <c r="BN145" s="102" t="b">
        <f aca="false">AND(Tasks[[#This Row],[Task Name]]&lt;&gt;"",Tasks[[#This Row],[_NextLevel]]&gt;Tasks[[#This Row],[_Level]])</f>
        <v>0</v>
      </c>
      <c r="BO145" s="41" t="n">
        <f aca="false">IF(Tasks[[#This Row],[_IsSummary]],COUNTIF(Tasks[WBS],Tasks[[#This Row],[WBS]]&amp;".*"),0)</f>
        <v>0</v>
      </c>
      <c r="BP145" s="41" t="n">
        <f aca="false">IF(AND(Tasks[[#This Row],[Task Name]]&lt;&gt;"",NOT(Tasks[[#This Row],[_IsSummary]])),1,0)</f>
        <v>0</v>
      </c>
      <c r="BQ145" s="41" t="n">
        <f aca="false">IF(N(Tasks[[#This Row],[Pred1 UID]])=0,0,IFERROR(MATCH(Tasks[[#This Row],[Pred1 UID]],Tasks[UID],0),-1))</f>
        <v>0</v>
      </c>
      <c r="BR145" s="41" t="n">
        <f aca="false">IF(N(Tasks[[#This Row],[Pred2 UID]])=0,0,IFERROR(MATCH(Tasks[[#This Row],[Pred2 UID]],Tasks[UID],0),-1))</f>
        <v>0</v>
      </c>
      <c r="BS14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5" s="103" t="str">
        <f aca="false">IF(NOT(Tasks[[#This Row],[_IsLeaf]]=1),"",IF(N(Tasks[[#This Row],[Duration]])&lt;=0,Tasks[[#This Row],[_LeafCalcStart]],WORKDAY.INTL(Tasks[[#This Row],[_LeafCalcStart]],Tasks[[#This Row],[Duration]]-1,WorkWeek,Holidays)))</f>
        <v/>
      </c>
      <c r="BU14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5" s="41" t="n">
        <f aca="false">IF(NOT(Tasks[[#This Row],[_IsLeaf]]=1),0,IF(N(Tasks[[#This Row],[Actual Finish]])&gt;0,1,MIN(1,N(Tasks[[#This Row],[% Complete]]))))</f>
        <v>0</v>
      </c>
      <c r="BX145" s="41" t="n">
        <f aca="false">IF(OR(NOT(Tasks[[#This Row],[_IsLeaf]]=1),Tasks[[#This Row],[Resource]]=""),0,N(Tasks[[#This Row],[Duration]])*HoursPerDay*IF(Tasks[[#This Row],[Units]]="",DefaultUnits,Tasks[[#This Row],[Units]]))</f>
        <v>0</v>
      </c>
      <c r="BY145" s="41" t="n">
        <f aca="false">IF(Tasks[[#This Row],[_LeafWork]]=0,0,Tasks[[#This Row],[_LeafWork]]*IFERROR(INDEX(res_Rate,MATCH(Tasks[[#This Row],[Resource]],res_Name,0)),0))</f>
        <v>0</v>
      </c>
      <c r="BZ1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5" s="41" t="n">
        <f aca="false">IF(NOT(Tasks[[#This Row],[_IsLeaf]]=1),0,MAX(_xlfn.MAXIFS(Tasks[_Row],Tasks[Pred1 UID],Tasks[[#This Row],[UID]]),_xlfn.MAXIFS(Tasks[_Row],Tasks[Pred2 UID],Tasks[[#This Row],[UID]])))</f>
        <v>0</v>
      </c>
      <c r="CE14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5" s="103" t="str">
        <f aca="false">IF(NOT(Tasks[[#This Row],[_IsLeaf]]=1),"",MIN(ProjectFinish,IF(N(Tasks[[#This Row],[Deadline]])&gt;0,Tasks[[#This Row],[Deadline]],2958465),Tasks[[#This Row],[_SuccessorFinishLimit]]))</f>
        <v/>
      </c>
      <c r="CG145" s="103" t="str">
        <f aca="false">IF(NOT(Tasks[[#This Row],[_IsLeaf]]=1),"",IF(N(Tasks[[#This Row],[Duration]])&lt;=0,Tasks[[#This Row],[_LeafLateFinish]],WORKDAY.INTL(Tasks[[#This Row],[_LeafLateFinish]],-(Tasks[[#This Row],[Duration]]-1),WorkWeek,Holidays)))</f>
        <v/>
      </c>
      <c r="CH1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5" s="102" t="b">
        <f aca="false">AND(Tasks[[#This Row],[_IsLeaf]]=1,Tasks[[#This Row],[_LeafProgress]]&lt;1,N(Tasks[[#This Row],[_LeafTotalSlack]])&lt;=CriticalSlackDays)</f>
        <v>0</v>
      </c>
      <c r="CJ145" s="103" t="str">
        <f aca="false">IF(Tasks[[#This Row],[Task Name]]="","",IF(Tasks[[#This Row],[_IsSummary]],MIN(INDEX(Tasks[_LeafCalcStart],Tasks[[#This Row],[_Row]]+1):INDEX(Tasks[_LeafCalcStart],Tasks[[#This Row],[_Row]]+Tasks[[#This Row],[_Descendants]])),Tasks[[#This Row],[_LeafCalcStart]]))</f>
        <v/>
      </c>
      <c r="CK145" s="103" t="str">
        <f aca="false">IF(Tasks[[#This Row],[Task Name]]="","",IF(Tasks[[#This Row],[_IsSummary]],MAX(INDEX(Tasks[_LeafCalcFinish],Tasks[[#This Row],[_Row]]+1):INDEX(Tasks[_LeafCalcFinish],Tasks[[#This Row],[_Row]]+Tasks[[#This Row],[_Descendants]])),Tasks[[#This Row],[_LeafCalcFinish]]))</f>
        <v/>
      </c>
      <c r="CL1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5" s="41" t="n">
        <f aca="false">IF(AND(Tasks[[#This Row],[_IsLeaf]]=1,Tasks[[#This Row],[_LeafWork]]&gt;0),NETWORKDAYS.INTL(ProjectStart,Tasks[[#This Row],[_LeafFcstStart]],WorkWeek,Holidays),0)</f>
        <v>0</v>
      </c>
      <c r="CS145" s="41" t="n">
        <f aca="false">IF(AND(Tasks[[#This Row],[_IsLeaf]]=1,Tasks[[#This Row],[_LeafWork]]&gt;0),MAX(Tasks[[#This Row],[_StartWorkday]],NETWORKDAYS.INTL(ProjectStart,Tasks[[#This Row],[_LeafFcstFinish]],WorkWeek,Holidays)),0)</f>
        <v>0</v>
      </c>
      <c r="CT145" s="41" t="n">
        <f aca="false">IF(AND(Tasks[[#This Row],[_IsLeaf]]=1,Tasks[[#This Row],[_LeafWork]]&gt;0),Tasks[[#This Row],[_LeafWork]]/(Tasks[[#This Row],[_FinishWorkday]]-Tasks[[#This Row],[_StartWorkday]]+1),0)</f>
        <v>0</v>
      </c>
      <c r="CU145" s="41" t="n">
        <f aca="false">Tasks[[#This Row],[_WorkPerWorkday]]*(Tasks[[#This Row],[_StartWorkday]]-1)</f>
        <v>-0</v>
      </c>
      <c r="CV145" s="41" t="n">
        <f aca="false">IF(Tasks[[#This Row],[_IsLeaf]]=1,MAX(N(Tasks[[#This Row],[Duration]]),0.1),0)</f>
        <v>0</v>
      </c>
      <c r="CW145" s="41" t="n">
        <f aca="false">Tasks[[#This Row],[_WeightDur]]*Tasks[[#This Row],[_LeafProgress]]</f>
        <v>0</v>
      </c>
      <c r="CX1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5" s="41" t="str">
        <f aca="false">IF(Tasks[[#This Row],[Task Name]]="","",Tasks[[#This Row],[_Pred1UIDText]]&amp;IF(AND(Tasks[[#This Row],[_Pred1UIDText]]&lt;&gt;"",Tasks[[#This Row],[_Pred2UIDText]]&lt;&gt;""),",","")&amp;Tasks[[#This Row],[_Pred2UIDText]])</f>
        <v/>
      </c>
      <c r="DC145" s="41" t="str">
        <f aca="false">IF(AND(Tasks[[#This Row],[_IsLeaf]]=1,N(Tasks[[#This Row],[Duration]])=0,Tasks[[#This Row],[_LeafProgress]]&lt;1),Tasks[[#This Row],[_LeafFcstFinish]]+Tasks[[#This Row],[_Row]]/100000,"")</f>
        <v/>
      </c>
      <c r="DD1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5" s="41" t="n">
        <f aca="false">IF(NOT(Tasks[[#This Row],[_IsLeaf]]=1),0,IF(Tasks[[#This Row],[Baseline Cost]]="",Tasks[[#This Row],[_LeafCost]],N(Tasks[[#This Row],[Baseline Cost]])))</f>
        <v>0</v>
      </c>
      <c r="DF145" s="41" t="n">
        <f aca="false">Tasks[[#This Row],[_LeafBudget]]*Tasks[[#This Row],[_PlannedPct]]</f>
        <v>0</v>
      </c>
      <c r="DG145" s="41" t="n">
        <f aca="false">Tasks[[#This Row],[_LeafBudget]]*Tasks[[#This Row],[_LeafProgress]]</f>
        <v>0</v>
      </c>
      <c r="DH145" s="41" t="n">
        <f aca="false">IF(NOT(Tasks[[#This Row],[_IsLeaf]]=1),0,IF(Tasks[[#This Row],[Actual Cost]]="",Tasks[[#This Row],[_LeafCost]]*Tasks[[#This Row],[_LeafProgress]],N(Tasks[[#This Row],[Actual Cost]])))</f>
        <v>0</v>
      </c>
      <c r="DI145" s="41" t="str">
        <f aca="false">IF(Tasks[[#This Row],[Task Name]]="","",LEFT(Tasks[[#This Row],[WBS]],FIND(".",Tasks[[#This Row],[WBS]]&amp;".")-1))</f>
        <v/>
      </c>
      <c r="DJ145" s="41" t="str">
        <f aca="false">IF(AND(Tasks[[#This Row],[Task Name]]&lt;&gt;"",Tasks[[#This Row],[_Level]]=1),Tasks[[#This Row],[_Row]],"")</f>
        <v/>
      </c>
      <c r="DK145" s="41" t="str">
        <f aca="false">IF(AND(Tasks[[#This Row],[_IsLeaf]]=1,N(Tasks[[#This Row],[Duration]])=0),Tasks[[#This Row],[Planned Finish]]+Tasks[[#This Row],[_Row]]/100000,"")</f>
        <v/>
      </c>
      <c r="DL145" s="41" t="str">
        <f aca="false">IF(AND(Tasks[[#This Row],[_IsLeaf]]=1,Tasks[[#This Row],[_LeafProgress]]&lt;1,OR(N(Tasks[[#This Row],[Finish Var]])&gt;0,Tasks[[#This Row],[Status]]="Late Start")),MAX(0,Tasks[[#This Row],[Finish Var]])+1-Tasks[[#This Row],[_Row]]/1000000,"")</f>
        <v/>
      </c>
      <c r="DM145" s="41" t="str">
        <f aca="false">IF(AND(Tasks[[#This Row],[_IsLeaf]]=1,N(Tasks[[#This Row],[Actual Start]])=0,Tasks[[#This Row],[_LeafFcstStart]]&gt;=StatusDate,Tasks[[#This Row],[_LeafFcstStart]]&lt;=LookaheadEnd),Tasks[[#This Row],[_LeafFcstStart]]+Tasks[[#This Row],[_Row]]/100000,"")</f>
        <v/>
      </c>
      <c r="DN145" s="41" t="str">
        <f aca="false">IF(AND(Tasks[[#This Row],[_IsLeaf]]=1,Tasks[[#This Row],[_LeafProgress]]&lt;1,Tasks[[#This Row],[_LeafFcstFinish]]&gt;=StatusDate,Tasks[[#This Row],[_LeafFcstFinish]]&lt;=LookaheadEnd),Tasks[[#This Row],[_LeafFcstFinish]]+Tasks[[#This Row],[_Row]]/100000,"")</f>
        <v/>
      </c>
      <c r="DO145" s="41" t="str">
        <f aca="false">IF(Tasks[[#This Row],[_LeafCritical]],Tasks[[#This Row],[_LeafFcstStart]]+Tasks[[#This Row],[_Row]]/100000,"")</f>
        <v/>
      </c>
      <c r="DP145" s="41" t="n">
        <f aca="false">Tasks[[#This Row],[_LeafWork]]*Tasks[[#This Row],[_LeafProgress]]</f>
        <v>0</v>
      </c>
      <c r="DQ145" s="103" t="str">
        <f aca="false">IF(AND(Tasks[[#This Row],[_IsLeaf]]=1,Tasks[[#This Row],[_LeafProgress]]&gt;=1),IF(N(Tasks[[#This Row],[Actual Finish]])&gt;0,Tasks[[#This Row],[Actual Finish]],Tasks[[#This Row],[_LeafFcstFinish]]),"")</f>
        <v/>
      </c>
      <c r="DR145" s="41" t="n">
        <f aca="false">IF(Tasks[[#This Row],[_IsLeaf]]=1,N(Tasks[[#This Row],[Story Points]]),0)</f>
        <v>0</v>
      </c>
      <c r="DS145" s="41" t="str">
        <f aca="false">IF(AND(Tasks[[#This Row],[_IsLeaf]]=1,CurrentSprint&lt;&gt;"",Tasks[[#This Row],[Sprint]]=CurrentSprint),Tasks[[#This Row],[_Row]],"")</f>
        <v/>
      </c>
    </row>
    <row r="146" customFormat="false" ht="15" hidden="false" customHeight="false" outlineLevel="0" collapsed="false">
      <c r="A146" s="28" t="str">
        <f aca="false">IF(Tasks[[#This Row],[Task Name]]="","",COUNTA(Tasks[[#Headers],[Task Name]]:Tasks[[#This Row],[Task Name]])-1)</f>
        <v/>
      </c>
      <c r="B146" s="29" t="n">
        <v>141</v>
      </c>
      <c r="C1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29"/>
      <c r="E146" s="30"/>
      <c r="F146" s="29"/>
      <c r="G146" s="29"/>
      <c r="H146" s="29"/>
      <c r="I146" s="29"/>
      <c r="J146" s="29"/>
      <c r="K146" s="29"/>
      <c r="L146" s="29"/>
      <c r="M146" s="29"/>
      <c r="N146" s="77"/>
      <c r="O146" s="77"/>
      <c r="P146" s="25" t="str">
        <f aca="false">IF(Tasks[[#This Row],[Task Name]]="","",IF(N(Tasks[[#This Row],[Baseline Start]])&gt;0,Tasks[[#This Row],[Baseline Start]],Tasks[[#This Row],[_CalcStart]]))</f>
        <v/>
      </c>
      <c r="Q146" s="25" t="str">
        <f aca="false">IF(Tasks[[#This Row],[Task Name]]="","",IF(N(Tasks[[#This Row],[Baseline Finish]])&gt;0,Tasks[[#This Row],[Baseline Finish]],Tasks[[#This Row],[_CalcFinish]]))</f>
        <v/>
      </c>
      <c r="R146" s="77"/>
      <c r="S146" s="77"/>
      <c r="T146" s="25" t="str">
        <f aca="false">IF(Tasks[[#This Row],[Task Name]]="","",IF(Tasks[[#This Row],[_IsSummary]],MIN(INDEX(Tasks[_LeafFcstStart],Tasks[[#This Row],[_Row]]+1):INDEX(Tasks[_LeafFcstStart],Tasks[[#This Row],[_Row]]+Tasks[[#This Row],[_Descendants]])),Tasks[[#This Row],[_LeafFcstStart]]))</f>
        <v/>
      </c>
      <c r="U146" s="25" t="str">
        <f aca="false">IF(Tasks[[#This Row],[Task Name]]="","",IF(Tasks[[#This Row],[_IsSummary]],MAX(INDEX(Tasks[_LeafFcstFinish],Tasks[[#This Row],[_Row]]+1):INDEX(Tasks[_LeafFcstFinish],Tasks[[#This Row],[_Row]]+Tasks[[#This Row],[_Descendants]])),Tasks[[#This Row],[_LeafFcstFinish]]))</f>
        <v/>
      </c>
      <c r="V14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6" s="25" t="str">
        <f aca="false">IF(Tasks[[#This Row],[Task Name]]="","",IF(Tasks[[#This Row],[_IsSummary]],MIN(INDEX(Tasks[_LeafLateStart],Tasks[[#This Row],[_Row]]+1):INDEX(Tasks[_LeafLateStart],Tasks[[#This Row],[_Row]]+Tasks[[#This Row],[_Descendants]])),Tasks[[#This Row],[_LeafLateStart]]))</f>
        <v/>
      </c>
      <c r="Y146" s="25" t="str">
        <f aca="false">IF(Tasks[[#This Row],[Task Name]]="","",IF(Tasks[[#This Row],[_IsSummary]],MAX(INDEX(Tasks[_LeafLateFinish],Tasks[[#This Row],[_Row]]+1):INDEX(Tasks[_LeafLateFinish],Tasks[[#This Row],[_Row]]+Tasks[[#This Row],[_Descendants]])),Tasks[[#This Row],[_LeafLateFinish]]))</f>
        <v/>
      </c>
      <c r="Z146" s="43" t="str">
        <f aca="false">IF(Tasks[[#This Row],[Task Name]]="","",IF(Tasks[[#This Row],[_IsSummary]],MIN(INDEX(Tasks[_LeafTotalSlack],Tasks[[#This Row],[_Row]]+1):INDEX(Tasks[_LeafTotalSlack],Tasks[[#This Row],[_Row]]+Tasks[[#This Row],[_Descendants]])),Tasks[[#This Row],[_LeafTotalSlack]]))</f>
        <v/>
      </c>
      <c r="AA1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6" s="28" t="str">
        <f aca="false">IF(Tasks[[#This Row],[Task Name]]="","",IF(IF(Tasks[[#This Row],[_IsSummary]],COUNTIF(INDEX(Tasks[_LeafCritical],Tasks[[#This Row],[_Row]]+1):INDEX(Tasks[_LeafCritical],Tasks[[#This Row],[_Row]]+Tasks[[#This Row],[_Descendants]]),TRUE())&gt;0,Tasks[[#This Row],[_LeafCritical]]),"Yes",""))</f>
        <v/>
      </c>
      <c r="AC1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6" s="24" t="str">
        <f aca="false">IF(Tasks[[#This Row],[Task Name]]="","",TRIM(IF(Tasks[[#This Row],[_Pred1Problem]]&lt;&gt;"","Pred 1: "&amp;Tasks[[#This Row],[_Pred1Problem]]&amp;". ","")&amp;IF(Tasks[[#This Row],[_Pred2Problem]]&lt;&gt;"","Pred 2: "&amp;Tasks[[#This Row],[_Pred2Problem]]&amp;".","")))</f>
        <v/>
      </c>
      <c r="AE146" s="91"/>
      <c r="AF14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6" s="28" t="str">
        <f aca="false">IF(Tasks[[#This Row],[Task Name]]="","",IF(Tasks[[#This Row],[Progress]]&gt;=1,"Complete",IF(OR(N(Tasks[[#This Row],[Actual Start]])&gt;0,Tasks[[#This Row],[Progress]]&gt;0),IF(Tasks[[#This Row],[Finish Var]]&gt;0,"Behind","In Progress"),IF(Tasks[[#This Row],[Planned Start]]&lt;StatusDate,"Late Start","Not Started"))))</f>
        <v/>
      </c>
      <c r="AH146" s="30"/>
      <c r="AI146" s="91"/>
      <c r="AJ14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6" s="98" t="str">
        <f aca="false">IF(Tasks[[#This Row],[Task Name]]="","",IF(Tasks[[#This Row],[_IsSummary]],SUM(INDEX(Tasks[_LeafWork],Tasks[[#This Row],[_Row]]+1):INDEX(Tasks[_LeafWork],Tasks[[#This Row],[_Row]]+Tasks[[#This Row],[_Descendants]])),Tasks[[#This Row],[_LeafWork]]))</f>
        <v/>
      </c>
      <c r="AL146" s="99" t="str">
        <f aca="false">IF(Tasks[[#This Row],[Task Name]]="","",IF(Tasks[[#This Row],[_IsSummary]],SUM(INDEX(Tasks[_LeafCost],Tasks[[#This Row],[_Row]]+1):INDEX(Tasks[_LeafCost],Tasks[[#This Row],[_Row]]+Tasks[[#This Row],[_Descendants]])),Tasks[[#This Row],[_LeafCost]]))</f>
        <v/>
      </c>
      <c r="AM146" s="100"/>
      <c r="AN146" s="29"/>
      <c r="AO1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6" s="85"/>
      <c r="AQ146" s="24" t="str">
        <f aca="false">IF(Tasks[[#This Row],[Task Name]]="","",Tasks[[#This Row],[_Pred1IDText]]&amp;IF(AND(Tasks[[#This Row],[_Pred1IDText]]&lt;&gt;"",Tasks[[#This Row],[_Pred2IDText]]&lt;&gt;""),",","")&amp;Tasks[[#This Row],[_Pred2IDText]])</f>
        <v/>
      </c>
      <c r="AR146" s="30"/>
      <c r="AS146" s="25" t="str">
        <f aca="false">IF(Tasks[[#This Row],[Task Name]]="","",Tasks[[#This Row],[Forecast Start]])</f>
        <v/>
      </c>
      <c r="AT146" s="25" t="str">
        <f aca="false">IF(Tasks[[#This Row],[Task Name]]="","",Tasks[[#This Row],[Forecast Finish]])</f>
        <v/>
      </c>
      <c r="AU146" s="28" t="str">
        <f aca="false">IF(Tasks[[#This Row],[Task Name]]="","",IF(Tasks[[#This Row],[_IsSummary]],NETWORKDAYS.INTL(Tasks[[#This Row],[Forecast Start]],Tasks[[#This Row],[Forecast Finish]],WorkWeek,Holidays),N(Tasks[[#This Row],[Duration]])))</f>
        <v/>
      </c>
      <c r="AV146" s="98" t="str">
        <f aca="false">IF(Tasks[[#This Row],[Task Name]]="","",Tasks[[#This Row],[Work]])</f>
        <v/>
      </c>
      <c r="AW146" s="99" t="str">
        <f aca="false">IF(Tasks[[#This Row],[Task Name]]="","",Tasks[[#This Row],[Cost]])</f>
        <v/>
      </c>
      <c r="AX146" s="77"/>
      <c r="AY146" s="77"/>
      <c r="AZ146" s="29"/>
      <c r="BA146" s="101"/>
      <c r="BB146" s="100"/>
      <c r="BC146" s="28" t="str">
        <f aca="false">IF(OR(Tasks[[#This Row],[Task Name]]="",Tasks[[#This Row],[Baseline Duration]]=""),"",Tasks[[#This Row],[BL Source Duration]]-N(Tasks[[#This Row],[Baseline Duration]]))</f>
        <v/>
      </c>
      <c r="BD146" s="98" t="str">
        <f aca="false">IF(OR(Tasks[[#This Row],[Task Name]]="",Tasks[[#This Row],[Baseline Work]]=""),"",Tasks[[#This Row],[Work]]-N(Tasks[[#This Row],[Baseline Work]]))</f>
        <v/>
      </c>
      <c r="BE146" s="99" t="str">
        <f aca="false">IF(OR(Tasks[[#This Row],[Task Name]]="",Tasks[[#This Row],[Baseline Cost]]=""),"",Tasks[[#This Row],[Cost]]-N(Tasks[[#This Row],[Baseline Cost]]))</f>
        <v/>
      </c>
      <c r="BF146" s="99" t="str">
        <f aca="false">IF(Tasks[[#This Row],[Task Name]]="","",IF(Tasks[[#This Row],[_IsSummary]],SUM(INDEX(Tasks[_LeafBudget],Tasks[[#This Row],[_Row]]+1):INDEX(Tasks[_LeafBudget],Tasks[[#This Row],[_Row]]+Tasks[[#This Row],[_Descendants]])),Tasks[[#This Row],[_LeafBudget]]))</f>
        <v/>
      </c>
      <c r="BG146" s="99" t="str">
        <f aca="false">IF(Tasks[[#This Row],[Task Name]]="","",IF(Tasks[[#This Row],[_IsSummary]],SUM(INDEX(Tasks[_LeafPV],Tasks[[#This Row],[_Row]]+1):INDEX(Tasks[_LeafPV],Tasks[[#This Row],[_Row]]+Tasks[[#This Row],[_Descendants]])),Tasks[[#This Row],[_LeafPV]]))</f>
        <v/>
      </c>
      <c r="BH146" s="99" t="str">
        <f aca="false">IF(Tasks[[#This Row],[Task Name]]="","",IF(Tasks[[#This Row],[_IsSummary]],SUM(INDEX(Tasks[_LeafEV],Tasks[[#This Row],[_Row]]+1):INDEX(Tasks[_LeafEV],Tasks[[#This Row],[_Row]]+Tasks[[#This Row],[_Descendants]])),Tasks[[#This Row],[_LeafEV]]))</f>
        <v/>
      </c>
      <c r="BI146" s="99" t="str">
        <f aca="false">IF(Tasks[[#This Row],[Task Name]]="","",IF(Tasks[[#This Row],[_IsSummary]],SUM(INDEX(Tasks[_LeafAC],Tasks[[#This Row],[_Row]]+1):INDEX(Tasks[_LeafAC],Tasks[[#This Row],[_Row]]+Tasks[[#This Row],[_Descendants]])),Tasks[[#This Row],[_LeafAC]]))</f>
        <v/>
      </c>
      <c r="BJ146" s="41" t="str">
        <f aca="false">IF(Tasks[[#This Row],[Task Name]]="","",MAX(1,N(Tasks[[#This Row],[Level]])))</f>
        <v/>
      </c>
      <c r="BK146" s="41" t="n">
        <f aca="false">ROW()-ROW(Tasks[[#Headers],[ID]])</f>
        <v>141</v>
      </c>
      <c r="BL146" s="41" t="n">
        <f aca="false">IF(OR(Tasks[[#This Row],[Task Name]]="",Tasks[[#This Row],[_Level]]&lt;=1),0,IFERROR(LOOKUP(2,1/(Tasks[[#Headers],[_Level]]:Tasks[[#This Row],[_Level]]=Tasks[[#This Row],[_Level]]-1),ROW(Tasks[[#Headers],[_Level]]:Tasks[[#This Row],[_Level]])),0))</f>
        <v>0</v>
      </c>
      <c r="BM146" s="41" t="n">
        <f aca="false">IFERROR(N(INDEX(Tasks[_Level],Tasks[[#This Row],[_Row]]+1)),0)</f>
        <v>0</v>
      </c>
      <c r="BN146" s="102" t="b">
        <f aca="false">AND(Tasks[[#This Row],[Task Name]]&lt;&gt;"",Tasks[[#This Row],[_NextLevel]]&gt;Tasks[[#This Row],[_Level]])</f>
        <v>0</v>
      </c>
      <c r="BO146" s="41" t="n">
        <f aca="false">IF(Tasks[[#This Row],[_IsSummary]],COUNTIF(Tasks[WBS],Tasks[[#This Row],[WBS]]&amp;".*"),0)</f>
        <v>0</v>
      </c>
      <c r="BP146" s="41" t="n">
        <f aca="false">IF(AND(Tasks[[#This Row],[Task Name]]&lt;&gt;"",NOT(Tasks[[#This Row],[_IsSummary]])),1,0)</f>
        <v>0</v>
      </c>
      <c r="BQ146" s="41" t="n">
        <f aca="false">IF(N(Tasks[[#This Row],[Pred1 UID]])=0,0,IFERROR(MATCH(Tasks[[#This Row],[Pred1 UID]],Tasks[UID],0),-1))</f>
        <v>0</v>
      </c>
      <c r="BR146" s="41" t="n">
        <f aca="false">IF(N(Tasks[[#This Row],[Pred2 UID]])=0,0,IFERROR(MATCH(Tasks[[#This Row],[Pred2 UID]],Tasks[UID],0),-1))</f>
        <v>0</v>
      </c>
      <c r="BS14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6" s="103" t="str">
        <f aca="false">IF(NOT(Tasks[[#This Row],[_IsLeaf]]=1),"",IF(N(Tasks[[#This Row],[Duration]])&lt;=0,Tasks[[#This Row],[_LeafCalcStart]],WORKDAY.INTL(Tasks[[#This Row],[_LeafCalcStart]],Tasks[[#This Row],[Duration]]-1,WorkWeek,Holidays)))</f>
        <v/>
      </c>
      <c r="BU14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6" s="41" t="n">
        <f aca="false">IF(NOT(Tasks[[#This Row],[_IsLeaf]]=1),0,IF(N(Tasks[[#This Row],[Actual Finish]])&gt;0,1,MIN(1,N(Tasks[[#This Row],[% Complete]]))))</f>
        <v>0</v>
      </c>
      <c r="BX146" s="41" t="n">
        <f aca="false">IF(OR(NOT(Tasks[[#This Row],[_IsLeaf]]=1),Tasks[[#This Row],[Resource]]=""),0,N(Tasks[[#This Row],[Duration]])*HoursPerDay*IF(Tasks[[#This Row],[Units]]="",DefaultUnits,Tasks[[#This Row],[Units]]))</f>
        <v>0</v>
      </c>
      <c r="BY146" s="41" t="n">
        <f aca="false">IF(Tasks[[#This Row],[_LeafWork]]=0,0,Tasks[[#This Row],[_LeafWork]]*IFERROR(INDEX(res_Rate,MATCH(Tasks[[#This Row],[Resource]],res_Name,0)),0))</f>
        <v>0</v>
      </c>
      <c r="BZ1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6" s="41" t="n">
        <f aca="false">IF(NOT(Tasks[[#This Row],[_IsLeaf]]=1),0,MAX(_xlfn.MAXIFS(Tasks[_Row],Tasks[Pred1 UID],Tasks[[#This Row],[UID]]),_xlfn.MAXIFS(Tasks[_Row],Tasks[Pred2 UID],Tasks[[#This Row],[UID]])))</f>
        <v>0</v>
      </c>
      <c r="CE14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6" s="103" t="str">
        <f aca="false">IF(NOT(Tasks[[#This Row],[_IsLeaf]]=1),"",MIN(ProjectFinish,IF(N(Tasks[[#This Row],[Deadline]])&gt;0,Tasks[[#This Row],[Deadline]],2958465),Tasks[[#This Row],[_SuccessorFinishLimit]]))</f>
        <v/>
      </c>
      <c r="CG146" s="103" t="str">
        <f aca="false">IF(NOT(Tasks[[#This Row],[_IsLeaf]]=1),"",IF(N(Tasks[[#This Row],[Duration]])&lt;=0,Tasks[[#This Row],[_LeafLateFinish]],WORKDAY.INTL(Tasks[[#This Row],[_LeafLateFinish]],-(Tasks[[#This Row],[Duration]]-1),WorkWeek,Holidays)))</f>
        <v/>
      </c>
      <c r="CH1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6" s="102" t="b">
        <f aca="false">AND(Tasks[[#This Row],[_IsLeaf]]=1,Tasks[[#This Row],[_LeafProgress]]&lt;1,N(Tasks[[#This Row],[_LeafTotalSlack]])&lt;=CriticalSlackDays)</f>
        <v>0</v>
      </c>
      <c r="CJ146" s="103" t="str">
        <f aca="false">IF(Tasks[[#This Row],[Task Name]]="","",IF(Tasks[[#This Row],[_IsSummary]],MIN(INDEX(Tasks[_LeafCalcStart],Tasks[[#This Row],[_Row]]+1):INDEX(Tasks[_LeafCalcStart],Tasks[[#This Row],[_Row]]+Tasks[[#This Row],[_Descendants]])),Tasks[[#This Row],[_LeafCalcStart]]))</f>
        <v/>
      </c>
      <c r="CK146" s="103" t="str">
        <f aca="false">IF(Tasks[[#This Row],[Task Name]]="","",IF(Tasks[[#This Row],[_IsSummary]],MAX(INDEX(Tasks[_LeafCalcFinish],Tasks[[#This Row],[_Row]]+1):INDEX(Tasks[_LeafCalcFinish],Tasks[[#This Row],[_Row]]+Tasks[[#This Row],[_Descendants]])),Tasks[[#This Row],[_LeafCalcFinish]]))</f>
        <v/>
      </c>
      <c r="CL1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6" s="41" t="n">
        <f aca="false">IF(AND(Tasks[[#This Row],[_IsLeaf]]=1,Tasks[[#This Row],[_LeafWork]]&gt;0),NETWORKDAYS.INTL(ProjectStart,Tasks[[#This Row],[_LeafFcstStart]],WorkWeek,Holidays),0)</f>
        <v>0</v>
      </c>
      <c r="CS146" s="41" t="n">
        <f aca="false">IF(AND(Tasks[[#This Row],[_IsLeaf]]=1,Tasks[[#This Row],[_LeafWork]]&gt;0),MAX(Tasks[[#This Row],[_StartWorkday]],NETWORKDAYS.INTL(ProjectStart,Tasks[[#This Row],[_LeafFcstFinish]],WorkWeek,Holidays)),0)</f>
        <v>0</v>
      </c>
      <c r="CT146" s="41" t="n">
        <f aca="false">IF(AND(Tasks[[#This Row],[_IsLeaf]]=1,Tasks[[#This Row],[_LeafWork]]&gt;0),Tasks[[#This Row],[_LeafWork]]/(Tasks[[#This Row],[_FinishWorkday]]-Tasks[[#This Row],[_StartWorkday]]+1),0)</f>
        <v>0</v>
      </c>
      <c r="CU146" s="41" t="n">
        <f aca="false">Tasks[[#This Row],[_WorkPerWorkday]]*(Tasks[[#This Row],[_StartWorkday]]-1)</f>
        <v>-0</v>
      </c>
      <c r="CV146" s="41" t="n">
        <f aca="false">IF(Tasks[[#This Row],[_IsLeaf]]=1,MAX(N(Tasks[[#This Row],[Duration]]),0.1),0)</f>
        <v>0</v>
      </c>
      <c r="CW146" s="41" t="n">
        <f aca="false">Tasks[[#This Row],[_WeightDur]]*Tasks[[#This Row],[_LeafProgress]]</f>
        <v>0</v>
      </c>
      <c r="CX1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6" s="41" t="str">
        <f aca="false">IF(Tasks[[#This Row],[Task Name]]="","",Tasks[[#This Row],[_Pred1UIDText]]&amp;IF(AND(Tasks[[#This Row],[_Pred1UIDText]]&lt;&gt;"",Tasks[[#This Row],[_Pred2UIDText]]&lt;&gt;""),",","")&amp;Tasks[[#This Row],[_Pred2UIDText]])</f>
        <v/>
      </c>
      <c r="DC146" s="41" t="str">
        <f aca="false">IF(AND(Tasks[[#This Row],[_IsLeaf]]=1,N(Tasks[[#This Row],[Duration]])=0,Tasks[[#This Row],[_LeafProgress]]&lt;1),Tasks[[#This Row],[_LeafFcstFinish]]+Tasks[[#This Row],[_Row]]/100000,"")</f>
        <v/>
      </c>
      <c r="DD1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6" s="41" t="n">
        <f aca="false">IF(NOT(Tasks[[#This Row],[_IsLeaf]]=1),0,IF(Tasks[[#This Row],[Baseline Cost]]="",Tasks[[#This Row],[_LeafCost]],N(Tasks[[#This Row],[Baseline Cost]])))</f>
        <v>0</v>
      </c>
      <c r="DF146" s="41" t="n">
        <f aca="false">Tasks[[#This Row],[_LeafBudget]]*Tasks[[#This Row],[_PlannedPct]]</f>
        <v>0</v>
      </c>
      <c r="DG146" s="41" t="n">
        <f aca="false">Tasks[[#This Row],[_LeafBudget]]*Tasks[[#This Row],[_LeafProgress]]</f>
        <v>0</v>
      </c>
      <c r="DH146" s="41" t="n">
        <f aca="false">IF(NOT(Tasks[[#This Row],[_IsLeaf]]=1),0,IF(Tasks[[#This Row],[Actual Cost]]="",Tasks[[#This Row],[_LeafCost]]*Tasks[[#This Row],[_LeafProgress]],N(Tasks[[#This Row],[Actual Cost]])))</f>
        <v>0</v>
      </c>
      <c r="DI146" s="41" t="str">
        <f aca="false">IF(Tasks[[#This Row],[Task Name]]="","",LEFT(Tasks[[#This Row],[WBS]],FIND(".",Tasks[[#This Row],[WBS]]&amp;".")-1))</f>
        <v/>
      </c>
      <c r="DJ146" s="41" t="str">
        <f aca="false">IF(AND(Tasks[[#This Row],[Task Name]]&lt;&gt;"",Tasks[[#This Row],[_Level]]=1),Tasks[[#This Row],[_Row]],"")</f>
        <v/>
      </c>
      <c r="DK146" s="41" t="str">
        <f aca="false">IF(AND(Tasks[[#This Row],[_IsLeaf]]=1,N(Tasks[[#This Row],[Duration]])=0),Tasks[[#This Row],[Planned Finish]]+Tasks[[#This Row],[_Row]]/100000,"")</f>
        <v/>
      </c>
      <c r="DL146" s="41" t="str">
        <f aca="false">IF(AND(Tasks[[#This Row],[_IsLeaf]]=1,Tasks[[#This Row],[_LeafProgress]]&lt;1,OR(N(Tasks[[#This Row],[Finish Var]])&gt;0,Tasks[[#This Row],[Status]]="Late Start")),MAX(0,Tasks[[#This Row],[Finish Var]])+1-Tasks[[#This Row],[_Row]]/1000000,"")</f>
        <v/>
      </c>
      <c r="DM146" s="41" t="str">
        <f aca="false">IF(AND(Tasks[[#This Row],[_IsLeaf]]=1,N(Tasks[[#This Row],[Actual Start]])=0,Tasks[[#This Row],[_LeafFcstStart]]&gt;=StatusDate,Tasks[[#This Row],[_LeafFcstStart]]&lt;=LookaheadEnd),Tasks[[#This Row],[_LeafFcstStart]]+Tasks[[#This Row],[_Row]]/100000,"")</f>
        <v/>
      </c>
      <c r="DN146" s="41" t="str">
        <f aca="false">IF(AND(Tasks[[#This Row],[_IsLeaf]]=1,Tasks[[#This Row],[_LeafProgress]]&lt;1,Tasks[[#This Row],[_LeafFcstFinish]]&gt;=StatusDate,Tasks[[#This Row],[_LeafFcstFinish]]&lt;=LookaheadEnd),Tasks[[#This Row],[_LeafFcstFinish]]+Tasks[[#This Row],[_Row]]/100000,"")</f>
        <v/>
      </c>
      <c r="DO146" s="41" t="str">
        <f aca="false">IF(Tasks[[#This Row],[_LeafCritical]],Tasks[[#This Row],[_LeafFcstStart]]+Tasks[[#This Row],[_Row]]/100000,"")</f>
        <v/>
      </c>
      <c r="DP146" s="41" t="n">
        <f aca="false">Tasks[[#This Row],[_LeafWork]]*Tasks[[#This Row],[_LeafProgress]]</f>
        <v>0</v>
      </c>
      <c r="DQ146" s="103" t="str">
        <f aca="false">IF(AND(Tasks[[#This Row],[_IsLeaf]]=1,Tasks[[#This Row],[_LeafProgress]]&gt;=1),IF(N(Tasks[[#This Row],[Actual Finish]])&gt;0,Tasks[[#This Row],[Actual Finish]],Tasks[[#This Row],[_LeafFcstFinish]]),"")</f>
        <v/>
      </c>
      <c r="DR146" s="41" t="n">
        <f aca="false">IF(Tasks[[#This Row],[_IsLeaf]]=1,N(Tasks[[#This Row],[Story Points]]),0)</f>
        <v>0</v>
      </c>
      <c r="DS146" s="41" t="str">
        <f aca="false">IF(AND(Tasks[[#This Row],[_IsLeaf]]=1,CurrentSprint&lt;&gt;"",Tasks[[#This Row],[Sprint]]=CurrentSprint),Tasks[[#This Row],[_Row]],"")</f>
        <v/>
      </c>
    </row>
    <row r="147" customFormat="false" ht="15" hidden="false" customHeight="false" outlineLevel="0" collapsed="false">
      <c r="A147" s="28" t="str">
        <f aca="false">IF(Tasks[[#This Row],[Task Name]]="","",COUNTA(Tasks[[#Headers],[Task Name]]:Tasks[[#This Row],[Task Name]])-1)</f>
        <v/>
      </c>
      <c r="B147" s="29" t="n">
        <v>142</v>
      </c>
      <c r="C1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29"/>
      <c r="E147" s="30"/>
      <c r="F147" s="29"/>
      <c r="G147" s="29"/>
      <c r="H147" s="29"/>
      <c r="I147" s="29"/>
      <c r="J147" s="29"/>
      <c r="K147" s="29"/>
      <c r="L147" s="29"/>
      <c r="M147" s="29"/>
      <c r="N147" s="77"/>
      <c r="O147" s="77"/>
      <c r="P147" s="25" t="str">
        <f aca="false">IF(Tasks[[#This Row],[Task Name]]="","",IF(N(Tasks[[#This Row],[Baseline Start]])&gt;0,Tasks[[#This Row],[Baseline Start]],Tasks[[#This Row],[_CalcStart]]))</f>
        <v/>
      </c>
      <c r="Q147" s="25" t="str">
        <f aca="false">IF(Tasks[[#This Row],[Task Name]]="","",IF(N(Tasks[[#This Row],[Baseline Finish]])&gt;0,Tasks[[#This Row],[Baseline Finish]],Tasks[[#This Row],[_CalcFinish]]))</f>
        <v/>
      </c>
      <c r="R147" s="77"/>
      <c r="S147" s="77"/>
      <c r="T147" s="25" t="str">
        <f aca="false">IF(Tasks[[#This Row],[Task Name]]="","",IF(Tasks[[#This Row],[_IsSummary]],MIN(INDEX(Tasks[_LeafFcstStart],Tasks[[#This Row],[_Row]]+1):INDEX(Tasks[_LeafFcstStart],Tasks[[#This Row],[_Row]]+Tasks[[#This Row],[_Descendants]])),Tasks[[#This Row],[_LeafFcstStart]]))</f>
        <v/>
      </c>
      <c r="U147" s="25" t="str">
        <f aca="false">IF(Tasks[[#This Row],[Task Name]]="","",IF(Tasks[[#This Row],[_IsSummary]],MAX(INDEX(Tasks[_LeafFcstFinish],Tasks[[#This Row],[_Row]]+1):INDEX(Tasks[_LeafFcstFinish],Tasks[[#This Row],[_Row]]+Tasks[[#This Row],[_Descendants]])),Tasks[[#This Row],[_LeafFcstFinish]]))</f>
        <v/>
      </c>
      <c r="V14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7" s="25" t="str">
        <f aca="false">IF(Tasks[[#This Row],[Task Name]]="","",IF(Tasks[[#This Row],[_IsSummary]],MIN(INDEX(Tasks[_LeafLateStart],Tasks[[#This Row],[_Row]]+1):INDEX(Tasks[_LeafLateStart],Tasks[[#This Row],[_Row]]+Tasks[[#This Row],[_Descendants]])),Tasks[[#This Row],[_LeafLateStart]]))</f>
        <v/>
      </c>
      <c r="Y147" s="25" t="str">
        <f aca="false">IF(Tasks[[#This Row],[Task Name]]="","",IF(Tasks[[#This Row],[_IsSummary]],MAX(INDEX(Tasks[_LeafLateFinish],Tasks[[#This Row],[_Row]]+1):INDEX(Tasks[_LeafLateFinish],Tasks[[#This Row],[_Row]]+Tasks[[#This Row],[_Descendants]])),Tasks[[#This Row],[_LeafLateFinish]]))</f>
        <v/>
      </c>
      <c r="Z147" s="43" t="str">
        <f aca="false">IF(Tasks[[#This Row],[Task Name]]="","",IF(Tasks[[#This Row],[_IsSummary]],MIN(INDEX(Tasks[_LeafTotalSlack],Tasks[[#This Row],[_Row]]+1):INDEX(Tasks[_LeafTotalSlack],Tasks[[#This Row],[_Row]]+Tasks[[#This Row],[_Descendants]])),Tasks[[#This Row],[_LeafTotalSlack]]))</f>
        <v/>
      </c>
      <c r="AA1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7" s="28" t="str">
        <f aca="false">IF(Tasks[[#This Row],[Task Name]]="","",IF(IF(Tasks[[#This Row],[_IsSummary]],COUNTIF(INDEX(Tasks[_LeafCritical],Tasks[[#This Row],[_Row]]+1):INDEX(Tasks[_LeafCritical],Tasks[[#This Row],[_Row]]+Tasks[[#This Row],[_Descendants]]),TRUE())&gt;0,Tasks[[#This Row],[_LeafCritical]]),"Yes",""))</f>
        <v/>
      </c>
      <c r="AC1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7" s="24" t="str">
        <f aca="false">IF(Tasks[[#This Row],[Task Name]]="","",TRIM(IF(Tasks[[#This Row],[_Pred1Problem]]&lt;&gt;"","Pred 1: "&amp;Tasks[[#This Row],[_Pred1Problem]]&amp;". ","")&amp;IF(Tasks[[#This Row],[_Pred2Problem]]&lt;&gt;"","Pred 2: "&amp;Tasks[[#This Row],[_Pred2Problem]]&amp;".","")))</f>
        <v/>
      </c>
      <c r="AE147" s="91"/>
      <c r="AF14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7" s="28" t="str">
        <f aca="false">IF(Tasks[[#This Row],[Task Name]]="","",IF(Tasks[[#This Row],[Progress]]&gt;=1,"Complete",IF(OR(N(Tasks[[#This Row],[Actual Start]])&gt;0,Tasks[[#This Row],[Progress]]&gt;0),IF(Tasks[[#This Row],[Finish Var]]&gt;0,"Behind","In Progress"),IF(Tasks[[#This Row],[Planned Start]]&lt;StatusDate,"Late Start","Not Started"))))</f>
        <v/>
      </c>
      <c r="AH147" s="30"/>
      <c r="AI147" s="91"/>
      <c r="AJ14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7" s="98" t="str">
        <f aca="false">IF(Tasks[[#This Row],[Task Name]]="","",IF(Tasks[[#This Row],[_IsSummary]],SUM(INDEX(Tasks[_LeafWork],Tasks[[#This Row],[_Row]]+1):INDEX(Tasks[_LeafWork],Tasks[[#This Row],[_Row]]+Tasks[[#This Row],[_Descendants]])),Tasks[[#This Row],[_LeafWork]]))</f>
        <v/>
      </c>
      <c r="AL147" s="99" t="str">
        <f aca="false">IF(Tasks[[#This Row],[Task Name]]="","",IF(Tasks[[#This Row],[_IsSummary]],SUM(INDEX(Tasks[_LeafCost],Tasks[[#This Row],[_Row]]+1):INDEX(Tasks[_LeafCost],Tasks[[#This Row],[_Row]]+Tasks[[#This Row],[_Descendants]])),Tasks[[#This Row],[_LeafCost]]))</f>
        <v/>
      </c>
      <c r="AM147" s="100"/>
      <c r="AN147" s="29"/>
      <c r="AO1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7" s="85"/>
      <c r="AQ147" s="24" t="str">
        <f aca="false">IF(Tasks[[#This Row],[Task Name]]="","",Tasks[[#This Row],[_Pred1IDText]]&amp;IF(AND(Tasks[[#This Row],[_Pred1IDText]]&lt;&gt;"",Tasks[[#This Row],[_Pred2IDText]]&lt;&gt;""),",","")&amp;Tasks[[#This Row],[_Pred2IDText]])</f>
        <v/>
      </c>
      <c r="AR147" s="30"/>
      <c r="AS147" s="25" t="str">
        <f aca="false">IF(Tasks[[#This Row],[Task Name]]="","",Tasks[[#This Row],[Forecast Start]])</f>
        <v/>
      </c>
      <c r="AT147" s="25" t="str">
        <f aca="false">IF(Tasks[[#This Row],[Task Name]]="","",Tasks[[#This Row],[Forecast Finish]])</f>
        <v/>
      </c>
      <c r="AU147" s="28" t="str">
        <f aca="false">IF(Tasks[[#This Row],[Task Name]]="","",IF(Tasks[[#This Row],[_IsSummary]],NETWORKDAYS.INTL(Tasks[[#This Row],[Forecast Start]],Tasks[[#This Row],[Forecast Finish]],WorkWeek,Holidays),N(Tasks[[#This Row],[Duration]])))</f>
        <v/>
      </c>
      <c r="AV147" s="98" t="str">
        <f aca="false">IF(Tasks[[#This Row],[Task Name]]="","",Tasks[[#This Row],[Work]])</f>
        <v/>
      </c>
      <c r="AW147" s="99" t="str">
        <f aca="false">IF(Tasks[[#This Row],[Task Name]]="","",Tasks[[#This Row],[Cost]])</f>
        <v/>
      </c>
      <c r="AX147" s="77"/>
      <c r="AY147" s="77"/>
      <c r="AZ147" s="29"/>
      <c r="BA147" s="101"/>
      <c r="BB147" s="100"/>
      <c r="BC147" s="28" t="str">
        <f aca="false">IF(OR(Tasks[[#This Row],[Task Name]]="",Tasks[[#This Row],[Baseline Duration]]=""),"",Tasks[[#This Row],[BL Source Duration]]-N(Tasks[[#This Row],[Baseline Duration]]))</f>
        <v/>
      </c>
      <c r="BD147" s="98" t="str">
        <f aca="false">IF(OR(Tasks[[#This Row],[Task Name]]="",Tasks[[#This Row],[Baseline Work]]=""),"",Tasks[[#This Row],[Work]]-N(Tasks[[#This Row],[Baseline Work]]))</f>
        <v/>
      </c>
      <c r="BE147" s="99" t="str">
        <f aca="false">IF(OR(Tasks[[#This Row],[Task Name]]="",Tasks[[#This Row],[Baseline Cost]]=""),"",Tasks[[#This Row],[Cost]]-N(Tasks[[#This Row],[Baseline Cost]]))</f>
        <v/>
      </c>
      <c r="BF147" s="99" t="str">
        <f aca="false">IF(Tasks[[#This Row],[Task Name]]="","",IF(Tasks[[#This Row],[_IsSummary]],SUM(INDEX(Tasks[_LeafBudget],Tasks[[#This Row],[_Row]]+1):INDEX(Tasks[_LeafBudget],Tasks[[#This Row],[_Row]]+Tasks[[#This Row],[_Descendants]])),Tasks[[#This Row],[_LeafBudget]]))</f>
        <v/>
      </c>
      <c r="BG147" s="99" t="str">
        <f aca="false">IF(Tasks[[#This Row],[Task Name]]="","",IF(Tasks[[#This Row],[_IsSummary]],SUM(INDEX(Tasks[_LeafPV],Tasks[[#This Row],[_Row]]+1):INDEX(Tasks[_LeafPV],Tasks[[#This Row],[_Row]]+Tasks[[#This Row],[_Descendants]])),Tasks[[#This Row],[_LeafPV]]))</f>
        <v/>
      </c>
      <c r="BH147" s="99" t="str">
        <f aca="false">IF(Tasks[[#This Row],[Task Name]]="","",IF(Tasks[[#This Row],[_IsSummary]],SUM(INDEX(Tasks[_LeafEV],Tasks[[#This Row],[_Row]]+1):INDEX(Tasks[_LeafEV],Tasks[[#This Row],[_Row]]+Tasks[[#This Row],[_Descendants]])),Tasks[[#This Row],[_LeafEV]]))</f>
        <v/>
      </c>
      <c r="BI147" s="99" t="str">
        <f aca="false">IF(Tasks[[#This Row],[Task Name]]="","",IF(Tasks[[#This Row],[_IsSummary]],SUM(INDEX(Tasks[_LeafAC],Tasks[[#This Row],[_Row]]+1):INDEX(Tasks[_LeafAC],Tasks[[#This Row],[_Row]]+Tasks[[#This Row],[_Descendants]])),Tasks[[#This Row],[_LeafAC]]))</f>
        <v/>
      </c>
      <c r="BJ147" s="41" t="str">
        <f aca="false">IF(Tasks[[#This Row],[Task Name]]="","",MAX(1,N(Tasks[[#This Row],[Level]])))</f>
        <v/>
      </c>
      <c r="BK147" s="41" t="n">
        <f aca="false">ROW()-ROW(Tasks[[#Headers],[ID]])</f>
        <v>142</v>
      </c>
      <c r="BL147" s="41" t="n">
        <f aca="false">IF(OR(Tasks[[#This Row],[Task Name]]="",Tasks[[#This Row],[_Level]]&lt;=1),0,IFERROR(LOOKUP(2,1/(Tasks[[#Headers],[_Level]]:Tasks[[#This Row],[_Level]]=Tasks[[#This Row],[_Level]]-1),ROW(Tasks[[#Headers],[_Level]]:Tasks[[#This Row],[_Level]])),0))</f>
        <v>0</v>
      </c>
      <c r="BM147" s="41" t="n">
        <f aca="false">IFERROR(N(INDEX(Tasks[_Level],Tasks[[#This Row],[_Row]]+1)),0)</f>
        <v>0</v>
      </c>
      <c r="BN147" s="102" t="b">
        <f aca="false">AND(Tasks[[#This Row],[Task Name]]&lt;&gt;"",Tasks[[#This Row],[_NextLevel]]&gt;Tasks[[#This Row],[_Level]])</f>
        <v>0</v>
      </c>
      <c r="BO147" s="41" t="n">
        <f aca="false">IF(Tasks[[#This Row],[_IsSummary]],COUNTIF(Tasks[WBS],Tasks[[#This Row],[WBS]]&amp;".*"),0)</f>
        <v>0</v>
      </c>
      <c r="BP147" s="41" t="n">
        <f aca="false">IF(AND(Tasks[[#This Row],[Task Name]]&lt;&gt;"",NOT(Tasks[[#This Row],[_IsSummary]])),1,0)</f>
        <v>0</v>
      </c>
      <c r="BQ147" s="41" t="n">
        <f aca="false">IF(N(Tasks[[#This Row],[Pred1 UID]])=0,0,IFERROR(MATCH(Tasks[[#This Row],[Pred1 UID]],Tasks[UID],0),-1))</f>
        <v>0</v>
      </c>
      <c r="BR147" s="41" t="n">
        <f aca="false">IF(N(Tasks[[#This Row],[Pred2 UID]])=0,0,IFERROR(MATCH(Tasks[[#This Row],[Pred2 UID]],Tasks[UID],0),-1))</f>
        <v>0</v>
      </c>
      <c r="BS14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7" s="103" t="str">
        <f aca="false">IF(NOT(Tasks[[#This Row],[_IsLeaf]]=1),"",IF(N(Tasks[[#This Row],[Duration]])&lt;=0,Tasks[[#This Row],[_LeafCalcStart]],WORKDAY.INTL(Tasks[[#This Row],[_LeafCalcStart]],Tasks[[#This Row],[Duration]]-1,WorkWeek,Holidays)))</f>
        <v/>
      </c>
      <c r="BU14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7" s="41" t="n">
        <f aca="false">IF(NOT(Tasks[[#This Row],[_IsLeaf]]=1),0,IF(N(Tasks[[#This Row],[Actual Finish]])&gt;0,1,MIN(1,N(Tasks[[#This Row],[% Complete]]))))</f>
        <v>0</v>
      </c>
      <c r="BX147" s="41" t="n">
        <f aca="false">IF(OR(NOT(Tasks[[#This Row],[_IsLeaf]]=1),Tasks[[#This Row],[Resource]]=""),0,N(Tasks[[#This Row],[Duration]])*HoursPerDay*IF(Tasks[[#This Row],[Units]]="",DefaultUnits,Tasks[[#This Row],[Units]]))</f>
        <v>0</v>
      </c>
      <c r="BY147" s="41" t="n">
        <f aca="false">IF(Tasks[[#This Row],[_LeafWork]]=0,0,Tasks[[#This Row],[_LeafWork]]*IFERROR(INDEX(res_Rate,MATCH(Tasks[[#This Row],[Resource]],res_Name,0)),0))</f>
        <v>0</v>
      </c>
      <c r="BZ1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7" s="41" t="n">
        <f aca="false">IF(NOT(Tasks[[#This Row],[_IsLeaf]]=1),0,MAX(_xlfn.MAXIFS(Tasks[_Row],Tasks[Pred1 UID],Tasks[[#This Row],[UID]]),_xlfn.MAXIFS(Tasks[_Row],Tasks[Pred2 UID],Tasks[[#This Row],[UID]])))</f>
        <v>0</v>
      </c>
      <c r="CE14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7" s="103" t="str">
        <f aca="false">IF(NOT(Tasks[[#This Row],[_IsLeaf]]=1),"",MIN(ProjectFinish,IF(N(Tasks[[#This Row],[Deadline]])&gt;0,Tasks[[#This Row],[Deadline]],2958465),Tasks[[#This Row],[_SuccessorFinishLimit]]))</f>
        <v/>
      </c>
      <c r="CG147" s="103" t="str">
        <f aca="false">IF(NOT(Tasks[[#This Row],[_IsLeaf]]=1),"",IF(N(Tasks[[#This Row],[Duration]])&lt;=0,Tasks[[#This Row],[_LeafLateFinish]],WORKDAY.INTL(Tasks[[#This Row],[_LeafLateFinish]],-(Tasks[[#This Row],[Duration]]-1),WorkWeek,Holidays)))</f>
        <v/>
      </c>
      <c r="CH1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7" s="102" t="b">
        <f aca="false">AND(Tasks[[#This Row],[_IsLeaf]]=1,Tasks[[#This Row],[_LeafProgress]]&lt;1,N(Tasks[[#This Row],[_LeafTotalSlack]])&lt;=CriticalSlackDays)</f>
        <v>0</v>
      </c>
      <c r="CJ147" s="103" t="str">
        <f aca="false">IF(Tasks[[#This Row],[Task Name]]="","",IF(Tasks[[#This Row],[_IsSummary]],MIN(INDEX(Tasks[_LeafCalcStart],Tasks[[#This Row],[_Row]]+1):INDEX(Tasks[_LeafCalcStart],Tasks[[#This Row],[_Row]]+Tasks[[#This Row],[_Descendants]])),Tasks[[#This Row],[_LeafCalcStart]]))</f>
        <v/>
      </c>
      <c r="CK147" s="103" t="str">
        <f aca="false">IF(Tasks[[#This Row],[Task Name]]="","",IF(Tasks[[#This Row],[_IsSummary]],MAX(INDEX(Tasks[_LeafCalcFinish],Tasks[[#This Row],[_Row]]+1):INDEX(Tasks[_LeafCalcFinish],Tasks[[#This Row],[_Row]]+Tasks[[#This Row],[_Descendants]])),Tasks[[#This Row],[_LeafCalcFinish]]))</f>
        <v/>
      </c>
      <c r="CL1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7" s="41" t="n">
        <f aca="false">IF(AND(Tasks[[#This Row],[_IsLeaf]]=1,Tasks[[#This Row],[_LeafWork]]&gt;0),NETWORKDAYS.INTL(ProjectStart,Tasks[[#This Row],[_LeafFcstStart]],WorkWeek,Holidays),0)</f>
        <v>0</v>
      </c>
      <c r="CS147" s="41" t="n">
        <f aca="false">IF(AND(Tasks[[#This Row],[_IsLeaf]]=1,Tasks[[#This Row],[_LeafWork]]&gt;0),MAX(Tasks[[#This Row],[_StartWorkday]],NETWORKDAYS.INTL(ProjectStart,Tasks[[#This Row],[_LeafFcstFinish]],WorkWeek,Holidays)),0)</f>
        <v>0</v>
      </c>
      <c r="CT147" s="41" t="n">
        <f aca="false">IF(AND(Tasks[[#This Row],[_IsLeaf]]=1,Tasks[[#This Row],[_LeafWork]]&gt;0),Tasks[[#This Row],[_LeafWork]]/(Tasks[[#This Row],[_FinishWorkday]]-Tasks[[#This Row],[_StartWorkday]]+1),0)</f>
        <v>0</v>
      </c>
      <c r="CU147" s="41" t="n">
        <f aca="false">Tasks[[#This Row],[_WorkPerWorkday]]*(Tasks[[#This Row],[_StartWorkday]]-1)</f>
        <v>-0</v>
      </c>
      <c r="CV147" s="41" t="n">
        <f aca="false">IF(Tasks[[#This Row],[_IsLeaf]]=1,MAX(N(Tasks[[#This Row],[Duration]]),0.1),0)</f>
        <v>0</v>
      </c>
      <c r="CW147" s="41" t="n">
        <f aca="false">Tasks[[#This Row],[_WeightDur]]*Tasks[[#This Row],[_LeafProgress]]</f>
        <v>0</v>
      </c>
      <c r="CX1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7" s="41" t="str">
        <f aca="false">IF(Tasks[[#This Row],[Task Name]]="","",Tasks[[#This Row],[_Pred1UIDText]]&amp;IF(AND(Tasks[[#This Row],[_Pred1UIDText]]&lt;&gt;"",Tasks[[#This Row],[_Pred2UIDText]]&lt;&gt;""),",","")&amp;Tasks[[#This Row],[_Pred2UIDText]])</f>
        <v/>
      </c>
      <c r="DC147" s="41" t="str">
        <f aca="false">IF(AND(Tasks[[#This Row],[_IsLeaf]]=1,N(Tasks[[#This Row],[Duration]])=0,Tasks[[#This Row],[_LeafProgress]]&lt;1),Tasks[[#This Row],[_LeafFcstFinish]]+Tasks[[#This Row],[_Row]]/100000,"")</f>
        <v/>
      </c>
      <c r="DD1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7" s="41" t="n">
        <f aca="false">IF(NOT(Tasks[[#This Row],[_IsLeaf]]=1),0,IF(Tasks[[#This Row],[Baseline Cost]]="",Tasks[[#This Row],[_LeafCost]],N(Tasks[[#This Row],[Baseline Cost]])))</f>
        <v>0</v>
      </c>
      <c r="DF147" s="41" t="n">
        <f aca="false">Tasks[[#This Row],[_LeafBudget]]*Tasks[[#This Row],[_PlannedPct]]</f>
        <v>0</v>
      </c>
      <c r="DG147" s="41" t="n">
        <f aca="false">Tasks[[#This Row],[_LeafBudget]]*Tasks[[#This Row],[_LeafProgress]]</f>
        <v>0</v>
      </c>
      <c r="DH147" s="41" t="n">
        <f aca="false">IF(NOT(Tasks[[#This Row],[_IsLeaf]]=1),0,IF(Tasks[[#This Row],[Actual Cost]]="",Tasks[[#This Row],[_LeafCost]]*Tasks[[#This Row],[_LeafProgress]],N(Tasks[[#This Row],[Actual Cost]])))</f>
        <v>0</v>
      </c>
      <c r="DI147" s="41" t="str">
        <f aca="false">IF(Tasks[[#This Row],[Task Name]]="","",LEFT(Tasks[[#This Row],[WBS]],FIND(".",Tasks[[#This Row],[WBS]]&amp;".")-1))</f>
        <v/>
      </c>
      <c r="DJ147" s="41" t="str">
        <f aca="false">IF(AND(Tasks[[#This Row],[Task Name]]&lt;&gt;"",Tasks[[#This Row],[_Level]]=1),Tasks[[#This Row],[_Row]],"")</f>
        <v/>
      </c>
      <c r="DK147" s="41" t="str">
        <f aca="false">IF(AND(Tasks[[#This Row],[_IsLeaf]]=1,N(Tasks[[#This Row],[Duration]])=0),Tasks[[#This Row],[Planned Finish]]+Tasks[[#This Row],[_Row]]/100000,"")</f>
        <v/>
      </c>
      <c r="DL147" s="41" t="str">
        <f aca="false">IF(AND(Tasks[[#This Row],[_IsLeaf]]=1,Tasks[[#This Row],[_LeafProgress]]&lt;1,OR(N(Tasks[[#This Row],[Finish Var]])&gt;0,Tasks[[#This Row],[Status]]="Late Start")),MAX(0,Tasks[[#This Row],[Finish Var]])+1-Tasks[[#This Row],[_Row]]/1000000,"")</f>
        <v/>
      </c>
      <c r="DM147" s="41" t="str">
        <f aca="false">IF(AND(Tasks[[#This Row],[_IsLeaf]]=1,N(Tasks[[#This Row],[Actual Start]])=0,Tasks[[#This Row],[_LeafFcstStart]]&gt;=StatusDate,Tasks[[#This Row],[_LeafFcstStart]]&lt;=LookaheadEnd),Tasks[[#This Row],[_LeafFcstStart]]+Tasks[[#This Row],[_Row]]/100000,"")</f>
        <v/>
      </c>
      <c r="DN147" s="41" t="str">
        <f aca="false">IF(AND(Tasks[[#This Row],[_IsLeaf]]=1,Tasks[[#This Row],[_LeafProgress]]&lt;1,Tasks[[#This Row],[_LeafFcstFinish]]&gt;=StatusDate,Tasks[[#This Row],[_LeafFcstFinish]]&lt;=LookaheadEnd),Tasks[[#This Row],[_LeafFcstFinish]]+Tasks[[#This Row],[_Row]]/100000,"")</f>
        <v/>
      </c>
      <c r="DO147" s="41" t="str">
        <f aca="false">IF(Tasks[[#This Row],[_LeafCritical]],Tasks[[#This Row],[_LeafFcstStart]]+Tasks[[#This Row],[_Row]]/100000,"")</f>
        <v/>
      </c>
      <c r="DP147" s="41" t="n">
        <f aca="false">Tasks[[#This Row],[_LeafWork]]*Tasks[[#This Row],[_LeafProgress]]</f>
        <v>0</v>
      </c>
      <c r="DQ147" s="103" t="str">
        <f aca="false">IF(AND(Tasks[[#This Row],[_IsLeaf]]=1,Tasks[[#This Row],[_LeafProgress]]&gt;=1),IF(N(Tasks[[#This Row],[Actual Finish]])&gt;0,Tasks[[#This Row],[Actual Finish]],Tasks[[#This Row],[_LeafFcstFinish]]),"")</f>
        <v/>
      </c>
      <c r="DR147" s="41" t="n">
        <f aca="false">IF(Tasks[[#This Row],[_IsLeaf]]=1,N(Tasks[[#This Row],[Story Points]]),0)</f>
        <v>0</v>
      </c>
      <c r="DS147" s="41" t="str">
        <f aca="false">IF(AND(Tasks[[#This Row],[_IsLeaf]]=1,CurrentSprint&lt;&gt;"",Tasks[[#This Row],[Sprint]]=CurrentSprint),Tasks[[#This Row],[_Row]],"")</f>
        <v/>
      </c>
    </row>
    <row r="148" customFormat="false" ht="15" hidden="false" customHeight="false" outlineLevel="0" collapsed="false">
      <c r="A148" s="28" t="str">
        <f aca="false">IF(Tasks[[#This Row],[Task Name]]="","",COUNTA(Tasks[[#Headers],[Task Name]]:Tasks[[#This Row],[Task Name]])-1)</f>
        <v/>
      </c>
      <c r="B148" s="29" t="n">
        <v>143</v>
      </c>
      <c r="C1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29"/>
      <c r="E148" s="30"/>
      <c r="F148" s="29"/>
      <c r="G148" s="29"/>
      <c r="H148" s="29"/>
      <c r="I148" s="29"/>
      <c r="J148" s="29"/>
      <c r="K148" s="29"/>
      <c r="L148" s="29"/>
      <c r="M148" s="29"/>
      <c r="N148" s="77"/>
      <c r="O148" s="77"/>
      <c r="P148" s="25" t="str">
        <f aca="false">IF(Tasks[[#This Row],[Task Name]]="","",IF(N(Tasks[[#This Row],[Baseline Start]])&gt;0,Tasks[[#This Row],[Baseline Start]],Tasks[[#This Row],[_CalcStart]]))</f>
        <v/>
      </c>
      <c r="Q148" s="25" t="str">
        <f aca="false">IF(Tasks[[#This Row],[Task Name]]="","",IF(N(Tasks[[#This Row],[Baseline Finish]])&gt;0,Tasks[[#This Row],[Baseline Finish]],Tasks[[#This Row],[_CalcFinish]]))</f>
        <v/>
      </c>
      <c r="R148" s="77"/>
      <c r="S148" s="77"/>
      <c r="T148" s="25" t="str">
        <f aca="false">IF(Tasks[[#This Row],[Task Name]]="","",IF(Tasks[[#This Row],[_IsSummary]],MIN(INDEX(Tasks[_LeafFcstStart],Tasks[[#This Row],[_Row]]+1):INDEX(Tasks[_LeafFcstStart],Tasks[[#This Row],[_Row]]+Tasks[[#This Row],[_Descendants]])),Tasks[[#This Row],[_LeafFcstStart]]))</f>
        <v/>
      </c>
      <c r="U148" s="25" t="str">
        <f aca="false">IF(Tasks[[#This Row],[Task Name]]="","",IF(Tasks[[#This Row],[_IsSummary]],MAX(INDEX(Tasks[_LeafFcstFinish],Tasks[[#This Row],[_Row]]+1):INDEX(Tasks[_LeafFcstFinish],Tasks[[#This Row],[_Row]]+Tasks[[#This Row],[_Descendants]])),Tasks[[#This Row],[_LeafFcstFinish]]))</f>
        <v/>
      </c>
      <c r="V14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8" s="25" t="str">
        <f aca="false">IF(Tasks[[#This Row],[Task Name]]="","",IF(Tasks[[#This Row],[_IsSummary]],MIN(INDEX(Tasks[_LeafLateStart],Tasks[[#This Row],[_Row]]+1):INDEX(Tasks[_LeafLateStart],Tasks[[#This Row],[_Row]]+Tasks[[#This Row],[_Descendants]])),Tasks[[#This Row],[_LeafLateStart]]))</f>
        <v/>
      </c>
      <c r="Y148" s="25" t="str">
        <f aca="false">IF(Tasks[[#This Row],[Task Name]]="","",IF(Tasks[[#This Row],[_IsSummary]],MAX(INDEX(Tasks[_LeafLateFinish],Tasks[[#This Row],[_Row]]+1):INDEX(Tasks[_LeafLateFinish],Tasks[[#This Row],[_Row]]+Tasks[[#This Row],[_Descendants]])),Tasks[[#This Row],[_LeafLateFinish]]))</f>
        <v/>
      </c>
      <c r="Z148" s="43" t="str">
        <f aca="false">IF(Tasks[[#This Row],[Task Name]]="","",IF(Tasks[[#This Row],[_IsSummary]],MIN(INDEX(Tasks[_LeafTotalSlack],Tasks[[#This Row],[_Row]]+1):INDEX(Tasks[_LeafTotalSlack],Tasks[[#This Row],[_Row]]+Tasks[[#This Row],[_Descendants]])),Tasks[[#This Row],[_LeafTotalSlack]]))</f>
        <v/>
      </c>
      <c r="AA1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8" s="28" t="str">
        <f aca="false">IF(Tasks[[#This Row],[Task Name]]="","",IF(IF(Tasks[[#This Row],[_IsSummary]],COUNTIF(INDEX(Tasks[_LeafCritical],Tasks[[#This Row],[_Row]]+1):INDEX(Tasks[_LeafCritical],Tasks[[#This Row],[_Row]]+Tasks[[#This Row],[_Descendants]]),TRUE())&gt;0,Tasks[[#This Row],[_LeafCritical]]),"Yes",""))</f>
        <v/>
      </c>
      <c r="AC1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8" s="24" t="str">
        <f aca="false">IF(Tasks[[#This Row],[Task Name]]="","",TRIM(IF(Tasks[[#This Row],[_Pred1Problem]]&lt;&gt;"","Pred 1: "&amp;Tasks[[#This Row],[_Pred1Problem]]&amp;". ","")&amp;IF(Tasks[[#This Row],[_Pred2Problem]]&lt;&gt;"","Pred 2: "&amp;Tasks[[#This Row],[_Pred2Problem]]&amp;".","")))</f>
        <v/>
      </c>
      <c r="AE148" s="91"/>
      <c r="AF14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8" s="28" t="str">
        <f aca="false">IF(Tasks[[#This Row],[Task Name]]="","",IF(Tasks[[#This Row],[Progress]]&gt;=1,"Complete",IF(OR(N(Tasks[[#This Row],[Actual Start]])&gt;0,Tasks[[#This Row],[Progress]]&gt;0),IF(Tasks[[#This Row],[Finish Var]]&gt;0,"Behind","In Progress"),IF(Tasks[[#This Row],[Planned Start]]&lt;StatusDate,"Late Start","Not Started"))))</f>
        <v/>
      </c>
      <c r="AH148" s="30"/>
      <c r="AI148" s="91"/>
      <c r="AJ14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8" s="98" t="str">
        <f aca="false">IF(Tasks[[#This Row],[Task Name]]="","",IF(Tasks[[#This Row],[_IsSummary]],SUM(INDEX(Tasks[_LeafWork],Tasks[[#This Row],[_Row]]+1):INDEX(Tasks[_LeafWork],Tasks[[#This Row],[_Row]]+Tasks[[#This Row],[_Descendants]])),Tasks[[#This Row],[_LeafWork]]))</f>
        <v/>
      </c>
      <c r="AL148" s="99" t="str">
        <f aca="false">IF(Tasks[[#This Row],[Task Name]]="","",IF(Tasks[[#This Row],[_IsSummary]],SUM(INDEX(Tasks[_LeafCost],Tasks[[#This Row],[_Row]]+1):INDEX(Tasks[_LeafCost],Tasks[[#This Row],[_Row]]+Tasks[[#This Row],[_Descendants]])),Tasks[[#This Row],[_LeafCost]]))</f>
        <v/>
      </c>
      <c r="AM148" s="100"/>
      <c r="AN148" s="29"/>
      <c r="AO1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8" s="85"/>
      <c r="AQ148" s="24" t="str">
        <f aca="false">IF(Tasks[[#This Row],[Task Name]]="","",Tasks[[#This Row],[_Pred1IDText]]&amp;IF(AND(Tasks[[#This Row],[_Pred1IDText]]&lt;&gt;"",Tasks[[#This Row],[_Pred2IDText]]&lt;&gt;""),",","")&amp;Tasks[[#This Row],[_Pred2IDText]])</f>
        <v/>
      </c>
      <c r="AR148" s="30"/>
      <c r="AS148" s="25" t="str">
        <f aca="false">IF(Tasks[[#This Row],[Task Name]]="","",Tasks[[#This Row],[Forecast Start]])</f>
        <v/>
      </c>
      <c r="AT148" s="25" t="str">
        <f aca="false">IF(Tasks[[#This Row],[Task Name]]="","",Tasks[[#This Row],[Forecast Finish]])</f>
        <v/>
      </c>
      <c r="AU148" s="28" t="str">
        <f aca="false">IF(Tasks[[#This Row],[Task Name]]="","",IF(Tasks[[#This Row],[_IsSummary]],NETWORKDAYS.INTL(Tasks[[#This Row],[Forecast Start]],Tasks[[#This Row],[Forecast Finish]],WorkWeek,Holidays),N(Tasks[[#This Row],[Duration]])))</f>
        <v/>
      </c>
      <c r="AV148" s="98" t="str">
        <f aca="false">IF(Tasks[[#This Row],[Task Name]]="","",Tasks[[#This Row],[Work]])</f>
        <v/>
      </c>
      <c r="AW148" s="99" t="str">
        <f aca="false">IF(Tasks[[#This Row],[Task Name]]="","",Tasks[[#This Row],[Cost]])</f>
        <v/>
      </c>
      <c r="AX148" s="77"/>
      <c r="AY148" s="77"/>
      <c r="AZ148" s="29"/>
      <c r="BA148" s="101"/>
      <c r="BB148" s="100"/>
      <c r="BC148" s="28" t="str">
        <f aca="false">IF(OR(Tasks[[#This Row],[Task Name]]="",Tasks[[#This Row],[Baseline Duration]]=""),"",Tasks[[#This Row],[BL Source Duration]]-N(Tasks[[#This Row],[Baseline Duration]]))</f>
        <v/>
      </c>
      <c r="BD148" s="98" t="str">
        <f aca="false">IF(OR(Tasks[[#This Row],[Task Name]]="",Tasks[[#This Row],[Baseline Work]]=""),"",Tasks[[#This Row],[Work]]-N(Tasks[[#This Row],[Baseline Work]]))</f>
        <v/>
      </c>
      <c r="BE148" s="99" t="str">
        <f aca="false">IF(OR(Tasks[[#This Row],[Task Name]]="",Tasks[[#This Row],[Baseline Cost]]=""),"",Tasks[[#This Row],[Cost]]-N(Tasks[[#This Row],[Baseline Cost]]))</f>
        <v/>
      </c>
      <c r="BF148" s="99" t="str">
        <f aca="false">IF(Tasks[[#This Row],[Task Name]]="","",IF(Tasks[[#This Row],[_IsSummary]],SUM(INDEX(Tasks[_LeafBudget],Tasks[[#This Row],[_Row]]+1):INDEX(Tasks[_LeafBudget],Tasks[[#This Row],[_Row]]+Tasks[[#This Row],[_Descendants]])),Tasks[[#This Row],[_LeafBudget]]))</f>
        <v/>
      </c>
      <c r="BG148" s="99" t="str">
        <f aca="false">IF(Tasks[[#This Row],[Task Name]]="","",IF(Tasks[[#This Row],[_IsSummary]],SUM(INDEX(Tasks[_LeafPV],Tasks[[#This Row],[_Row]]+1):INDEX(Tasks[_LeafPV],Tasks[[#This Row],[_Row]]+Tasks[[#This Row],[_Descendants]])),Tasks[[#This Row],[_LeafPV]]))</f>
        <v/>
      </c>
      <c r="BH148" s="99" t="str">
        <f aca="false">IF(Tasks[[#This Row],[Task Name]]="","",IF(Tasks[[#This Row],[_IsSummary]],SUM(INDEX(Tasks[_LeafEV],Tasks[[#This Row],[_Row]]+1):INDEX(Tasks[_LeafEV],Tasks[[#This Row],[_Row]]+Tasks[[#This Row],[_Descendants]])),Tasks[[#This Row],[_LeafEV]]))</f>
        <v/>
      </c>
      <c r="BI148" s="99" t="str">
        <f aca="false">IF(Tasks[[#This Row],[Task Name]]="","",IF(Tasks[[#This Row],[_IsSummary]],SUM(INDEX(Tasks[_LeafAC],Tasks[[#This Row],[_Row]]+1):INDEX(Tasks[_LeafAC],Tasks[[#This Row],[_Row]]+Tasks[[#This Row],[_Descendants]])),Tasks[[#This Row],[_LeafAC]]))</f>
        <v/>
      </c>
      <c r="BJ148" s="41" t="str">
        <f aca="false">IF(Tasks[[#This Row],[Task Name]]="","",MAX(1,N(Tasks[[#This Row],[Level]])))</f>
        <v/>
      </c>
      <c r="BK148" s="41" t="n">
        <f aca="false">ROW()-ROW(Tasks[[#Headers],[ID]])</f>
        <v>143</v>
      </c>
      <c r="BL148" s="41" t="n">
        <f aca="false">IF(OR(Tasks[[#This Row],[Task Name]]="",Tasks[[#This Row],[_Level]]&lt;=1),0,IFERROR(LOOKUP(2,1/(Tasks[[#Headers],[_Level]]:Tasks[[#This Row],[_Level]]=Tasks[[#This Row],[_Level]]-1),ROW(Tasks[[#Headers],[_Level]]:Tasks[[#This Row],[_Level]])),0))</f>
        <v>0</v>
      </c>
      <c r="BM148" s="41" t="n">
        <f aca="false">IFERROR(N(INDEX(Tasks[_Level],Tasks[[#This Row],[_Row]]+1)),0)</f>
        <v>0</v>
      </c>
      <c r="BN148" s="102" t="b">
        <f aca="false">AND(Tasks[[#This Row],[Task Name]]&lt;&gt;"",Tasks[[#This Row],[_NextLevel]]&gt;Tasks[[#This Row],[_Level]])</f>
        <v>0</v>
      </c>
      <c r="BO148" s="41" t="n">
        <f aca="false">IF(Tasks[[#This Row],[_IsSummary]],COUNTIF(Tasks[WBS],Tasks[[#This Row],[WBS]]&amp;".*"),0)</f>
        <v>0</v>
      </c>
      <c r="BP148" s="41" t="n">
        <f aca="false">IF(AND(Tasks[[#This Row],[Task Name]]&lt;&gt;"",NOT(Tasks[[#This Row],[_IsSummary]])),1,0)</f>
        <v>0</v>
      </c>
      <c r="BQ148" s="41" t="n">
        <f aca="false">IF(N(Tasks[[#This Row],[Pred1 UID]])=0,0,IFERROR(MATCH(Tasks[[#This Row],[Pred1 UID]],Tasks[UID],0),-1))</f>
        <v>0</v>
      </c>
      <c r="BR148" s="41" t="n">
        <f aca="false">IF(N(Tasks[[#This Row],[Pred2 UID]])=0,0,IFERROR(MATCH(Tasks[[#This Row],[Pred2 UID]],Tasks[UID],0),-1))</f>
        <v>0</v>
      </c>
      <c r="BS14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8" s="103" t="str">
        <f aca="false">IF(NOT(Tasks[[#This Row],[_IsLeaf]]=1),"",IF(N(Tasks[[#This Row],[Duration]])&lt;=0,Tasks[[#This Row],[_LeafCalcStart]],WORKDAY.INTL(Tasks[[#This Row],[_LeafCalcStart]],Tasks[[#This Row],[Duration]]-1,WorkWeek,Holidays)))</f>
        <v/>
      </c>
      <c r="BU14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8" s="41" t="n">
        <f aca="false">IF(NOT(Tasks[[#This Row],[_IsLeaf]]=1),0,IF(N(Tasks[[#This Row],[Actual Finish]])&gt;0,1,MIN(1,N(Tasks[[#This Row],[% Complete]]))))</f>
        <v>0</v>
      </c>
      <c r="BX148" s="41" t="n">
        <f aca="false">IF(OR(NOT(Tasks[[#This Row],[_IsLeaf]]=1),Tasks[[#This Row],[Resource]]=""),0,N(Tasks[[#This Row],[Duration]])*HoursPerDay*IF(Tasks[[#This Row],[Units]]="",DefaultUnits,Tasks[[#This Row],[Units]]))</f>
        <v>0</v>
      </c>
      <c r="BY148" s="41" t="n">
        <f aca="false">IF(Tasks[[#This Row],[_LeafWork]]=0,0,Tasks[[#This Row],[_LeafWork]]*IFERROR(INDEX(res_Rate,MATCH(Tasks[[#This Row],[Resource]],res_Name,0)),0))</f>
        <v>0</v>
      </c>
      <c r="BZ1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8" s="41" t="n">
        <f aca="false">IF(NOT(Tasks[[#This Row],[_IsLeaf]]=1),0,MAX(_xlfn.MAXIFS(Tasks[_Row],Tasks[Pred1 UID],Tasks[[#This Row],[UID]]),_xlfn.MAXIFS(Tasks[_Row],Tasks[Pred2 UID],Tasks[[#This Row],[UID]])))</f>
        <v>0</v>
      </c>
      <c r="CE14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8" s="103" t="str">
        <f aca="false">IF(NOT(Tasks[[#This Row],[_IsLeaf]]=1),"",MIN(ProjectFinish,IF(N(Tasks[[#This Row],[Deadline]])&gt;0,Tasks[[#This Row],[Deadline]],2958465),Tasks[[#This Row],[_SuccessorFinishLimit]]))</f>
        <v/>
      </c>
      <c r="CG148" s="103" t="str">
        <f aca="false">IF(NOT(Tasks[[#This Row],[_IsLeaf]]=1),"",IF(N(Tasks[[#This Row],[Duration]])&lt;=0,Tasks[[#This Row],[_LeafLateFinish]],WORKDAY.INTL(Tasks[[#This Row],[_LeafLateFinish]],-(Tasks[[#This Row],[Duration]]-1),WorkWeek,Holidays)))</f>
        <v/>
      </c>
      <c r="CH1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8" s="102" t="b">
        <f aca="false">AND(Tasks[[#This Row],[_IsLeaf]]=1,Tasks[[#This Row],[_LeafProgress]]&lt;1,N(Tasks[[#This Row],[_LeafTotalSlack]])&lt;=CriticalSlackDays)</f>
        <v>0</v>
      </c>
      <c r="CJ148" s="103" t="str">
        <f aca="false">IF(Tasks[[#This Row],[Task Name]]="","",IF(Tasks[[#This Row],[_IsSummary]],MIN(INDEX(Tasks[_LeafCalcStart],Tasks[[#This Row],[_Row]]+1):INDEX(Tasks[_LeafCalcStart],Tasks[[#This Row],[_Row]]+Tasks[[#This Row],[_Descendants]])),Tasks[[#This Row],[_LeafCalcStart]]))</f>
        <v/>
      </c>
      <c r="CK148" s="103" t="str">
        <f aca="false">IF(Tasks[[#This Row],[Task Name]]="","",IF(Tasks[[#This Row],[_IsSummary]],MAX(INDEX(Tasks[_LeafCalcFinish],Tasks[[#This Row],[_Row]]+1):INDEX(Tasks[_LeafCalcFinish],Tasks[[#This Row],[_Row]]+Tasks[[#This Row],[_Descendants]])),Tasks[[#This Row],[_LeafCalcFinish]]))</f>
        <v/>
      </c>
      <c r="CL1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8" s="41" t="n">
        <f aca="false">IF(AND(Tasks[[#This Row],[_IsLeaf]]=1,Tasks[[#This Row],[_LeafWork]]&gt;0),NETWORKDAYS.INTL(ProjectStart,Tasks[[#This Row],[_LeafFcstStart]],WorkWeek,Holidays),0)</f>
        <v>0</v>
      </c>
      <c r="CS148" s="41" t="n">
        <f aca="false">IF(AND(Tasks[[#This Row],[_IsLeaf]]=1,Tasks[[#This Row],[_LeafWork]]&gt;0),MAX(Tasks[[#This Row],[_StartWorkday]],NETWORKDAYS.INTL(ProjectStart,Tasks[[#This Row],[_LeafFcstFinish]],WorkWeek,Holidays)),0)</f>
        <v>0</v>
      </c>
      <c r="CT148" s="41" t="n">
        <f aca="false">IF(AND(Tasks[[#This Row],[_IsLeaf]]=1,Tasks[[#This Row],[_LeafWork]]&gt;0),Tasks[[#This Row],[_LeafWork]]/(Tasks[[#This Row],[_FinishWorkday]]-Tasks[[#This Row],[_StartWorkday]]+1),0)</f>
        <v>0</v>
      </c>
      <c r="CU148" s="41" t="n">
        <f aca="false">Tasks[[#This Row],[_WorkPerWorkday]]*(Tasks[[#This Row],[_StartWorkday]]-1)</f>
        <v>-0</v>
      </c>
      <c r="CV148" s="41" t="n">
        <f aca="false">IF(Tasks[[#This Row],[_IsLeaf]]=1,MAX(N(Tasks[[#This Row],[Duration]]),0.1),0)</f>
        <v>0</v>
      </c>
      <c r="CW148" s="41" t="n">
        <f aca="false">Tasks[[#This Row],[_WeightDur]]*Tasks[[#This Row],[_LeafProgress]]</f>
        <v>0</v>
      </c>
      <c r="CX1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8" s="41" t="str">
        <f aca="false">IF(Tasks[[#This Row],[Task Name]]="","",Tasks[[#This Row],[_Pred1UIDText]]&amp;IF(AND(Tasks[[#This Row],[_Pred1UIDText]]&lt;&gt;"",Tasks[[#This Row],[_Pred2UIDText]]&lt;&gt;""),",","")&amp;Tasks[[#This Row],[_Pred2UIDText]])</f>
        <v/>
      </c>
      <c r="DC148" s="41" t="str">
        <f aca="false">IF(AND(Tasks[[#This Row],[_IsLeaf]]=1,N(Tasks[[#This Row],[Duration]])=0,Tasks[[#This Row],[_LeafProgress]]&lt;1),Tasks[[#This Row],[_LeafFcstFinish]]+Tasks[[#This Row],[_Row]]/100000,"")</f>
        <v/>
      </c>
      <c r="DD1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8" s="41" t="n">
        <f aca="false">IF(NOT(Tasks[[#This Row],[_IsLeaf]]=1),0,IF(Tasks[[#This Row],[Baseline Cost]]="",Tasks[[#This Row],[_LeafCost]],N(Tasks[[#This Row],[Baseline Cost]])))</f>
        <v>0</v>
      </c>
      <c r="DF148" s="41" t="n">
        <f aca="false">Tasks[[#This Row],[_LeafBudget]]*Tasks[[#This Row],[_PlannedPct]]</f>
        <v>0</v>
      </c>
      <c r="DG148" s="41" t="n">
        <f aca="false">Tasks[[#This Row],[_LeafBudget]]*Tasks[[#This Row],[_LeafProgress]]</f>
        <v>0</v>
      </c>
      <c r="DH148" s="41" t="n">
        <f aca="false">IF(NOT(Tasks[[#This Row],[_IsLeaf]]=1),0,IF(Tasks[[#This Row],[Actual Cost]]="",Tasks[[#This Row],[_LeafCost]]*Tasks[[#This Row],[_LeafProgress]],N(Tasks[[#This Row],[Actual Cost]])))</f>
        <v>0</v>
      </c>
      <c r="DI148" s="41" t="str">
        <f aca="false">IF(Tasks[[#This Row],[Task Name]]="","",LEFT(Tasks[[#This Row],[WBS]],FIND(".",Tasks[[#This Row],[WBS]]&amp;".")-1))</f>
        <v/>
      </c>
      <c r="DJ148" s="41" t="str">
        <f aca="false">IF(AND(Tasks[[#This Row],[Task Name]]&lt;&gt;"",Tasks[[#This Row],[_Level]]=1),Tasks[[#This Row],[_Row]],"")</f>
        <v/>
      </c>
      <c r="DK148" s="41" t="str">
        <f aca="false">IF(AND(Tasks[[#This Row],[_IsLeaf]]=1,N(Tasks[[#This Row],[Duration]])=0),Tasks[[#This Row],[Planned Finish]]+Tasks[[#This Row],[_Row]]/100000,"")</f>
        <v/>
      </c>
      <c r="DL148" s="41" t="str">
        <f aca="false">IF(AND(Tasks[[#This Row],[_IsLeaf]]=1,Tasks[[#This Row],[_LeafProgress]]&lt;1,OR(N(Tasks[[#This Row],[Finish Var]])&gt;0,Tasks[[#This Row],[Status]]="Late Start")),MAX(0,Tasks[[#This Row],[Finish Var]])+1-Tasks[[#This Row],[_Row]]/1000000,"")</f>
        <v/>
      </c>
      <c r="DM148" s="41" t="str">
        <f aca="false">IF(AND(Tasks[[#This Row],[_IsLeaf]]=1,N(Tasks[[#This Row],[Actual Start]])=0,Tasks[[#This Row],[_LeafFcstStart]]&gt;=StatusDate,Tasks[[#This Row],[_LeafFcstStart]]&lt;=LookaheadEnd),Tasks[[#This Row],[_LeafFcstStart]]+Tasks[[#This Row],[_Row]]/100000,"")</f>
        <v/>
      </c>
      <c r="DN148" s="41" t="str">
        <f aca="false">IF(AND(Tasks[[#This Row],[_IsLeaf]]=1,Tasks[[#This Row],[_LeafProgress]]&lt;1,Tasks[[#This Row],[_LeafFcstFinish]]&gt;=StatusDate,Tasks[[#This Row],[_LeafFcstFinish]]&lt;=LookaheadEnd),Tasks[[#This Row],[_LeafFcstFinish]]+Tasks[[#This Row],[_Row]]/100000,"")</f>
        <v/>
      </c>
      <c r="DO148" s="41" t="str">
        <f aca="false">IF(Tasks[[#This Row],[_LeafCritical]],Tasks[[#This Row],[_LeafFcstStart]]+Tasks[[#This Row],[_Row]]/100000,"")</f>
        <v/>
      </c>
      <c r="DP148" s="41" t="n">
        <f aca="false">Tasks[[#This Row],[_LeafWork]]*Tasks[[#This Row],[_LeafProgress]]</f>
        <v>0</v>
      </c>
      <c r="DQ148" s="103" t="str">
        <f aca="false">IF(AND(Tasks[[#This Row],[_IsLeaf]]=1,Tasks[[#This Row],[_LeafProgress]]&gt;=1),IF(N(Tasks[[#This Row],[Actual Finish]])&gt;0,Tasks[[#This Row],[Actual Finish]],Tasks[[#This Row],[_LeafFcstFinish]]),"")</f>
        <v/>
      </c>
      <c r="DR148" s="41" t="n">
        <f aca="false">IF(Tasks[[#This Row],[_IsLeaf]]=1,N(Tasks[[#This Row],[Story Points]]),0)</f>
        <v>0</v>
      </c>
      <c r="DS148" s="41" t="str">
        <f aca="false">IF(AND(Tasks[[#This Row],[_IsLeaf]]=1,CurrentSprint&lt;&gt;"",Tasks[[#This Row],[Sprint]]=CurrentSprint),Tasks[[#This Row],[_Row]],"")</f>
        <v/>
      </c>
    </row>
    <row r="149" customFormat="false" ht="15" hidden="false" customHeight="false" outlineLevel="0" collapsed="false">
      <c r="A149" s="28" t="str">
        <f aca="false">IF(Tasks[[#This Row],[Task Name]]="","",COUNTA(Tasks[[#Headers],[Task Name]]:Tasks[[#This Row],[Task Name]])-1)</f>
        <v/>
      </c>
      <c r="B149" s="29" t="n">
        <v>144</v>
      </c>
      <c r="C1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29"/>
      <c r="E149" s="30"/>
      <c r="F149" s="29"/>
      <c r="G149" s="29"/>
      <c r="H149" s="29"/>
      <c r="I149" s="29"/>
      <c r="J149" s="29"/>
      <c r="K149" s="29"/>
      <c r="L149" s="29"/>
      <c r="M149" s="29"/>
      <c r="N149" s="77"/>
      <c r="O149" s="77"/>
      <c r="P149" s="25" t="str">
        <f aca="false">IF(Tasks[[#This Row],[Task Name]]="","",IF(N(Tasks[[#This Row],[Baseline Start]])&gt;0,Tasks[[#This Row],[Baseline Start]],Tasks[[#This Row],[_CalcStart]]))</f>
        <v/>
      </c>
      <c r="Q149" s="25" t="str">
        <f aca="false">IF(Tasks[[#This Row],[Task Name]]="","",IF(N(Tasks[[#This Row],[Baseline Finish]])&gt;0,Tasks[[#This Row],[Baseline Finish]],Tasks[[#This Row],[_CalcFinish]]))</f>
        <v/>
      </c>
      <c r="R149" s="77"/>
      <c r="S149" s="77"/>
      <c r="T149" s="25" t="str">
        <f aca="false">IF(Tasks[[#This Row],[Task Name]]="","",IF(Tasks[[#This Row],[_IsSummary]],MIN(INDEX(Tasks[_LeafFcstStart],Tasks[[#This Row],[_Row]]+1):INDEX(Tasks[_LeafFcstStart],Tasks[[#This Row],[_Row]]+Tasks[[#This Row],[_Descendants]])),Tasks[[#This Row],[_LeafFcstStart]]))</f>
        <v/>
      </c>
      <c r="U149" s="25" t="str">
        <f aca="false">IF(Tasks[[#This Row],[Task Name]]="","",IF(Tasks[[#This Row],[_IsSummary]],MAX(INDEX(Tasks[_LeafFcstFinish],Tasks[[#This Row],[_Row]]+1):INDEX(Tasks[_LeafFcstFinish],Tasks[[#This Row],[_Row]]+Tasks[[#This Row],[_Descendants]])),Tasks[[#This Row],[_LeafFcstFinish]]))</f>
        <v/>
      </c>
      <c r="V14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4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9" s="25" t="str">
        <f aca="false">IF(Tasks[[#This Row],[Task Name]]="","",IF(Tasks[[#This Row],[_IsSummary]],MIN(INDEX(Tasks[_LeafLateStart],Tasks[[#This Row],[_Row]]+1):INDEX(Tasks[_LeafLateStart],Tasks[[#This Row],[_Row]]+Tasks[[#This Row],[_Descendants]])),Tasks[[#This Row],[_LeafLateStart]]))</f>
        <v/>
      </c>
      <c r="Y149" s="25" t="str">
        <f aca="false">IF(Tasks[[#This Row],[Task Name]]="","",IF(Tasks[[#This Row],[_IsSummary]],MAX(INDEX(Tasks[_LeafLateFinish],Tasks[[#This Row],[_Row]]+1):INDEX(Tasks[_LeafLateFinish],Tasks[[#This Row],[_Row]]+Tasks[[#This Row],[_Descendants]])),Tasks[[#This Row],[_LeafLateFinish]]))</f>
        <v/>
      </c>
      <c r="Z149" s="43" t="str">
        <f aca="false">IF(Tasks[[#This Row],[Task Name]]="","",IF(Tasks[[#This Row],[_IsSummary]],MIN(INDEX(Tasks[_LeafTotalSlack],Tasks[[#This Row],[_Row]]+1):INDEX(Tasks[_LeafTotalSlack],Tasks[[#This Row],[_Row]]+Tasks[[#This Row],[_Descendants]])),Tasks[[#This Row],[_LeafTotalSlack]]))</f>
        <v/>
      </c>
      <c r="AA1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9" s="28" t="str">
        <f aca="false">IF(Tasks[[#This Row],[Task Name]]="","",IF(IF(Tasks[[#This Row],[_IsSummary]],COUNTIF(INDEX(Tasks[_LeafCritical],Tasks[[#This Row],[_Row]]+1):INDEX(Tasks[_LeafCritical],Tasks[[#This Row],[_Row]]+Tasks[[#This Row],[_Descendants]]),TRUE())&gt;0,Tasks[[#This Row],[_LeafCritical]]),"Yes",""))</f>
        <v/>
      </c>
      <c r="AC1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9" s="24" t="str">
        <f aca="false">IF(Tasks[[#This Row],[Task Name]]="","",TRIM(IF(Tasks[[#This Row],[_Pred1Problem]]&lt;&gt;"","Pred 1: "&amp;Tasks[[#This Row],[_Pred1Problem]]&amp;". ","")&amp;IF(Tasks[[#This Row],[_Pred2Problem]]&lt;&gt;"","Pred 2: "&amp;Tasks[[#This Row],[_Pred2Problem]]&amp;".","")))</f>
        <v/>
      </c>
      <c r="AE149" s="91"/>
      <c r="AF14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9" s="28" t="str">
        <f aca="false">IF(Tasks[[#This Row],[Task Name]]="","",IF(Tasks[[#This Row],[Progress]]&gt;=1,"Complete",IF(OR(N(Tasks[[#This Row],[Actual Start]])&gt;0,Tasks[[#This Row],[Progress]]&gt;0),IF(Tasks[[#This Row],[Finish Var]]&gt;0,"Behind","In Progress"),IF(Tasks[[#This Row],[Planned Start]]&lt;StatusDate,"Late Start","Not Started"))))</f>
        <v/>
      </c>
      <c r="AH149" s="30"/>
      <c r="AI149" s="91"/>
      <c r="AJ14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9" s="98" t="str">
        <f aca="false">IF(Tasks[[#This Row],[Task Name]]="","",IF(Tasks[[#This Row],[_IsSummary]],SUM(INDEX(Tasks[_LeafWork],Tasks[[#This Row],[_Row]]+1):INDEX(Tasks[_LeafWork],Tasks[[#This Row],[_Row]]+Tasks[[#This Row],[_Descendants]])),Tasks[[#This Row],[_LeafWork]]))</f>
        <v/>
      </c>
      <c r="AL149" s="99" t="str">
        <f aca="false">IF(Tasks[[#This Row],[Task Name]]="","",IF(Tasks[[#This Row],[_IsSummary]],SUM(INDEX(Tasks[_LeafCost],Tasks[[#This Row],[_Row]]+1):INDEX(Tasks[_LeafCost],Tasks[[#This Row],[_Row]]+Tasks[[#This Row],[_Descendants]])),Tasks[[#This Row],[_LeafCost]]))</f>
        <v/>
      </c>
      <c r="AM149" s="100"/>
      <c r="AN149" s="29"/>
      <c r="AO1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9" s="85"/>
      <c r="AQ149" s="24" t="str">
        <f aca="false">IF(Tasks[[#This Row],[Task Name]]="","",Tasks[[#This Row],[_Pred1IDText]]&amp;IF(AND(Tasks[[#This Row],[_Pred1IDText]]&lt;&gt;"",Tasks[[#This Row],[_Pred2IDText]]&lt;&gt;""),",","")&amp;Tasks[[#This Row],[_Pred2IDText]])</f>
        <v/>
      </c>
      <c r="AR149" s="30"/>
      <c r="AS149" s="25" t="str">
        <f aca="false">IF(Tasks[[#This Row],[Task Name]]="","",Tasks[[#This Row],[Forecast Start]])</f>
        <v/>
      </c>
      <c r="AT149" s="25" t="str">
        <f aca="false">IF(Tasks[[#This Row],[Task Name]]="","",Tasks[[#This Row],[Forecast Finish]])</f>
        <v/>
      </c>
      <c r="AU149" s="28" t="str">
        <f aca="false">IF(Tasks[[#This Row],[Task Name]]="","",IF(Tasks[[#This Row],[_IsSummary]],NETWORKDAYS.INTL(Tasks[[#This Row],[Forecast Start]],Tasks[[#This Row],[Forecast Finish]],WorkWeek,Holidays),N(Tasks[[#This Row],[Duration]])))</f>
        <v/>
      </c>
      <c r="AV149" s="98" t="str">
        <f aca="false">IF(Tasks[[#This Row],[Task Name]]="","",Tasks[[#This Row],[Work]])</f>
        <v/>
      </c>
      <c r="AW149" s="99" t="str">
        <f aca="false">IF(Tasks[[#This Row],[Task Name]]="","",Tasks[[#This Row],[Cost]])</f>
        <v/>
      </c>
      <c r="AX149" s="77"/>
      <c r="AY149" s="77"/>
      <c r="AZ149" s="29"/>
      <c r="BA149" s="101"/>
      <c r="BB149" s="100"/>
      <c r="BC149" s="28" t="str">
        <f aca="false">IF(OR(Tasks[[#This Row],[Task Name]]="",Tasks[[#This Row],[Baseline Duration]]=""),"",Tasks[[#This Row],[BL Source Duration]]-N(Tasks[[#This Row],[Baseline Duration]]))</f>
        <v/>
      </c>
      <c r="BD149" s="98" t="str">
        <f aca="false">IF(OR(Tasks[[#This Row],[Task Name]]="",Tasks[[#This Row],[Baseline Work]]=""),"",Tasks[[#This Row],[Work]]-N(Tasks[[#This Row],[Baseline Work]]))</f>
        <v/>
      </c>
      <c r="BE149" s="99" t="str">
        <f aca="false">IF(OR(Tasks[[#This Row],[Task Name]]="",Tasks[[#This Row],[Baseline Cost]]=""),"",Tasks[[#This Row],[Cost]]-N(Tasks[[#This Row],[Baseline Cost]]))</f>
        <v/>
      </c>
      <c r="BF149" s="99" t="str">
        <f aca="false">IF(Tasks[[#This Row],[Task Name]]="","",IF(Tasks[[#This Row],[_IsSummary]],SUM(INDEX(Tasks[_LeafBudget],Tasks[[#This Row],[_Row]]+1):INDEX(Tasks[_LeafBudget],Tasks[[#This Row],[_Row]]+Tasks[[#This Row],[_Descendants]])),Tasks[[#This Row],[_LeafBudget]]))</f>
        <v/>
      </c>
      <c r="BG149" s="99" t="str">
        <f aca="false">IF(Tasks[[#This Row],[Task Name]]="","",IF(Tasks[[#This Row],[_IsSummary]],SUM(INDEX(Tasks[_LeafPV],Tasks[[#This Row],[_Row]]+1):INDEX(Tasks[_LeafPV],Tasks[[#This Row],[_Row]]+Tasks[[#This Row],[_Descendants]])),Tasks[[#This Row],[_LeafPV]]))</f>
        <v/>
      </c>
      <c r="BH149" s="99" t="str">
        <f aca="false">IF(Tasks[[#This Row],[Task Name]]="","",IF(Tasks[[#This Row],[_IsSummary]],SUM(INDEX(Tasks[_LeafEV],Tasks[[#This Row],[_Row]]+1):INDEX(Tasks[_LeafEV],Tasks[[#This Row],[_Row]]+Tasks[[#This Row],[_Descendants]])),Tasks[[#This Row],[_LeafEV]]))</f>
        <v/>
      </c>
      <c r="BI149" s="99" t="str">
        <f aca="false">IF(Tasks[[#This Row],[Task Name]]="","",IF(Tasks[[#This Row],[_IsSummary]],SUM(INDEX(Tasks[_LeafAC],Tasks[[#This Row],[_Row]]+1):INDEX(Tasks[_LeafAC],Tasks[[#This Row],[_Row]]+Tasks[[#This Row],[_Descendants]])),Tasks[[#This Row],[_LeafAC]]))</f>
        <v/>
      </c>
      <c r="BJ149" s="41" t="str">
        <f aca="false">IF(Tasks[[#This Row],[Task Name]]="","",MAX(1,N(Tasks[[#This Row],[Level]])))</f>
        <v/>
      </c>
      <c r="BK149" s="41" t="n">
        <f aca="false">ROW()-ROW(Tasks[[#Headers],[ID]])</f>
        <v>144</v>
      </c>
      <c r="BL149" s="41" t="n">
        <f aca="false">IF(OR(Tasks[[#This Row],[Task Name]]="",Tasks[[#This Row],[_Level]]&lt;=1),0,IFERROR(LOOKUP(2,1/(Tasks[[#Headers],[_Level]]:Tasks[[#This Row],[_Level]]=Tasks[[#This Row],[_Level]]-1),ROW(Tasks[[#Headers],[_Level]]:Tasks[[#This Row],[_Level]])),0))</f>
        <v>0</v>
      </c>
      <c r="BM149" s="41" t="n">
        <f aca="false">IFERROR(N(INDEX(Tasks[_Level],Tasks[[#This Row],[_Row]]+1)),0)</f>
        <v>0</v>
      </c>
      <c r="BN149" s="102" t="b">
        <f aca="false">AND(Tasks[[#This Row],[Task Name]]&lt;&gt;"",Tasks[[#This Row],[_NextLevel]]&gt;Tasks[[#This Row],[_Level]])</f>
        <v>0</v>
      </c>
      <c r="BO149" s="41" t="n">
        <f aca="false">IF(Tasks[[#This Row],[_IsSummary]],COUNTIF(Tasks[WBS],Tasks[[#This Row],[WBS]]&amp;".*"),0)</f>
        <v>0</v>
      </c>
      <c r="BP149" s="41" t="n">
        <f aca="false">IF(AND(Tasks[[#This Row],[Task Name]]&lt;&gt;"",NOT(Tasks[[#This Row],[_IsSummary]])),1,0)</f>
        <v>0</v>
      </c>
      <c r="BQ149" s="41" t="n">
        <f aca="false">IF(N(Tasks[[#This Row],[Pred1 UID]])=0,0,IFERROR(MATCH(Tasks[[#This Row],[Pred1 UID]],Tasks[UID],0),-1))</f>
        <v>0</v>
      </c>
      <c r="BR149" s="41" t="n">
        <f aca="false">IF(N(Tasks[[#This Row],[Pred2 UID]])=0,0,IFERROR(MATCH(Tasks[[#This Row],[Pred2 UID]],Tasks[UID],0),-1))</f>
        <v>0</v>
      </c>
      <c r="BS14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9" s="103" t="str">
        <f aca="false">IF(NOT(Tasks[[#This Row],[_IsLeaf]]=1),"",IF(N(Tasks[[#This Row],[Duration]])&lt;=0,Tasks[[#This Row],[_LeafCalcStart]],WORKDAY.INTL(Tasks[[#This Row],[_LeafCalcStart]],Tasks[[#This Row],[Duration]]-1,WorkWeek,Holidays)))</f>
        <v/>
      </c>
      <c r="BU14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9" s="41" t="n">
        <f aca="false">IF(NOT(Tasks[[#This Row],[_IsLeaf]]=1),0,IF(N(Tasks[[#This Row],[Actual Finish]])&gt;0,1,MIN(1,N(Tasks[[#This Row],[% Complete]]))))</f>
        <v>0</v>
      </c>
      <c r="BX149" s="41" t="n">
        <f aca="false">IF(OR(NOT(Tasks[[#This Row],[_IsLeaf]]=1),Tasks[[#This Row],[Resource]]=""),0,N(Tasks[[#This Row],[Duration]])*HoursPerDay*IF(Tasks[[#This Row],[Units]]="",DefaultUnits,Tasks[[#This Row],[Units]]))</f>
        <v>0</v>
      </c>
      <c r="BY149" s="41" t="n">
        <f aca="false">IF(Tasks[[#This Row],[_LeafWork]]=0,0,Tasks[[#This Row],[_LeafWork]]*IFERROR(INDEX(res_Rate,MATCH(Tasks[[#This Row],[Resource]],res_Name,0)),0))</f>
        <v>0</v>
      </c>
      <c r="BZ1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9" s="41" t="n">
        <f aca="false">IF(NOT(Tasks[[#This Row],[_IsLeaf]]=1),0,MAX(_xlfn.MAXIFS(Tasks[_Row],Tasks[Pred1 UID],Tasks[[#This Row],[UID]]),_xlfn.MAXIFS(Tasks[_Row],Tasks[Pred2 UID],Tasks[[#This Row],[UID]])))</f>
        <v>0</v>
      </c>
      <c r="CE14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9" s="103" t="str">
        <f aca="false">IF(NOT(Tasks[[#This Row],[_IsLeaf]]=1),"",MIN(ProjectFinish,IF(N(Tasks[[#This Row],[Deadline]])&gt;0,Tasks[[#This Row],[Deadline]],2958465),Tasks[[#This Row],[_SuccessorFinishLimit]]))</f>
        <v/>
      </c>
      <c r="CG149" s="103" t="str">
        <f aca="false">IF(NOT(Tasks[[#This Row],[_IsLeaf]]=1),"",IF(N(Tasks[[#This Row],[Duration]])&lt;=0,Tasks[[#This Row],[_LeafLateFinish]],WORKDAY.INTL(Tasks[[#This Row],[_LeafLateFinish]],-(Tasks[[#This Row],[Duration]]-1),WorkWeek,Holidays)))</f>
        <v/>
      </c>
      <c r="CH1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9" s="102" t="b">
        <f aca="false">AND(Tasks[[#This Row],[_IsLeaf]]=1,Tasks[[#This Row],[_LeafProgress]]&lt;1,N(Tasks[[#This Row],[_LeafTotalSlack]])&lt;=CriticalSlackDays)</f>
        <v>0</v>
      </c>
      <c r="CJ149" s="103" t="str">
        <f aca="false">IF(Tasks[[#This Row],[Task Name]]="","",IF(Tasks[[#This Row],[_IsSummary]],MIN(INDEX(Tasks[_LeafCalcStart],Tasks[[#This Row],[_Row]]+1):INDEX(Tasks[_LeafCalcStart],Tasks[[#This Row],[_Row]]+Tasks[[#This Row],[_Descendants]])),Tasks[[#This Row],[_LeafCalcStart]]))</f>
        <v/>
      </c>
      <c r="CK149" s="103" t="str">
        <f aca="false">IF(Tasks[[#This Row],[Task Name]]="","",IF(Tasks[[#This Row],[_IsSummary]],MAX(INDEX(Tasks[_LeafCalcFinish],Tasks[[#This Row],[_Row]]+1):INDEX(Tasks[_LeafCalcFinish],Tasks[[#This Row],[_Row]]+Tasks[[#This Row],[_Descendants]])),Tasks[[#This Row],[_LeafCalcFinish]]))</f>
        <v/>
      </c>
      <c r="CL1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9" s="41" t="n">
        <f aca="false">IF(AND(Tasks[[#This Row],[_IsLeaf]]=1,Tasks[[#This Row],[_LeafWork]]&gt;0),NETWORKDAYS.INTL(ProjectStart,Tasks[[#This Row],[_LeafFcstStart]],WorkWeek,Holidays),0)</f>
        <v>0</v>
      </c>
      <c r="CS149" s="41" t="n">
        <f aca="false">IF(AND(Tasks[[#This Row],[_IsLeaf]]=1,Tasks[[#This Row],[_LeafWork]]&gt;0),MAX(Tasks[[#This Row],[_StartWorkday]],NETWORKDAYS.INTL(ProjectStart,Tasks[[#This Row],[_LeafFcstFinish]],WorkWeek,Holidays)),0)</f>
        <v>0</v>
      </c>
      <c r="CT149" s="41" t="n">
        <f aca="false">IF(AND(Tasks[[#This Row],[_IsLeaf]]=1,Tasks[[#This Row],[_LeafWork]]&gt;0),Tasks[[#This Row],[_LeafWork]]/(Tasks[[#This Row],[_FinishWorkday]]-Tasks[[#This Row],[_StartWorkday]]+1),0)</f>
        <v>0</v>
      </c>
      <c r="CU149" s="41" t="n">
        <f aca="false">Tasks[[#This Row],[_WorkPerWorkday]]*(Tasks[[#This Row],[_StartWorkday]]-1)</f>
        <v>-0</v>
      </c>
      <c r="CV149" s="41" t="n">
        <f aca="false">IF(Tasks[[#This Row],[_IsLeaf]]=1,MAX(N(Tasks[[#This Row],[Duration]]),0.1),0)</f>
        <v>0</v>
      </c>
      <c r="CW149" s="41" t="n">
        <f aca="false">Tasks[[#This Row],[_WeightDur]]*Tasks[[#This Row],[_LeafProgress]]</f>
        <v>0</v>
      </c>
      <c r="CX1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9" s="41" t="str">
        <f aca="false">IF(Tasks[[#This Row],[Task Name]]="","",Tasks[[#This Row],[_Pred1UIDText]]&amp;IF(AND(Tasks[[#This Row],[_Pred1UIDText]]&lt;&gt;"",Tasks[[#This Row],[_Pred2UIDText]]&lt;&gt;""),",","")&amp;Tasks[[#This Row],[_Pred2UIDText]])</f>
        <v/>
      </c>
      <c r="DC149" s="41" t="str">
        <f aca="false">IF(AND(Tasks[[#This Row],[_IsLeaf]]=1,N(Tasks[[#This Row],[Duration]])=0,Tasks[[#This Row],[_LeafProgress]]&lt;1),Tasks[[#This Row],[_LeafFcstFinish]]+Tasks[[#This Row],[_Row]]/100000,"")</f>
        <v/>
      </c>
      <c r="DD1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9" s="41" t="n">
        <f aca="false">IF(NOT(Tasks[[#This Row],[_IsLeaf]]=1),0,IF(Tasks[[#This Row],[Baseline Cost]]="",Tasks[[#This Row],[_LeafCost]],N(Tasks[[#This Row],[Baseline Cost]])))</f>
        <v>0</v>
      </c>
      <c r="DF149" s="41" t="n">
        <f aca="false">Tasks[[#This Row],[_LeafBudget]]*Tasks[[#This Row],[_PlannedPct]]</f>
        <v>0</v>
      </c>
      <c r="DG149" s="41" t="n">
        <f aca="false">Tasks[[#This Row],[_LeafBudget]]*Tasks[[#This Row],[_LeafProgress]]</f>
        <v>0</v>
      </c>
      <c r="DH149" s="41" t="n">
        <f aca="false">IF(NOT(Tasks[[#This Row],[_IsLeaf]]=1),0,IF(Tasks[[#This Row],[Actual Cost]]="",Tasks[[#This Row],[_LeafCost]]*Tasks[[#This Row],[_LeafProgress]],N(Tasks[[#This Row],[Actual Cost]])))</f>
        <v>0</v>
      </c>
      <c r="DI149" s="41" t="str">
        <f aca="false">IF(Tasks[[#This Row],[Task Name]]="","",LEFT(Tasks[[#This Row],[WBS]],FIND(".",Tasks[[#This Row],[WBS]]&amp;".")-1))</f>
        <v/>
      </c>
      <c r="DJ149" s="41" t="str">
        <f aca="false">IF(AND(Tasks[[#This Row],[Task Name]]&lt;&gt;"",Tasks[[#This Row],[_Level]]=1),Tasks[[#This Row],[_Row]],"")</f>
        <v/>
      </c>
      <c r="DK149" s="41" t="str">
        <f aca="false">IF(AND(Tasks[[#This Row],[_IsLeaf]]=1,N(Tasks[[#This Row],[Duration]])=0),Tasks[[#This Row],[Planned Finish]]+Tasks[[#This Row],[_Row]]/100000,"")</f>
        <v/>
      </c>
      <c r="DL149" s="41" t="str">
        <f aca="false">IF(AND(Tasks[[#This Row],[_IsLeaf]]=1,Tasks[[#This Row],[_LeafProgress]]&lt;1,OR(N(Tasks[[#This Row],[Finish Var]])&gt;0,Tasks[[#This Row],[Status]]="Late Start")),MAX(0,Tasks[[#This Row],[Finish Var]])+1-Tasks[[#This Row],[_Row]]/1000000,"")</f>
        <v/>
      </c>
      <c r="DM149" s="41" t="str">
        <f aca="false">IF(AND(Tasks[[#This Row],[_IsLeaf]]=1,N(Tasks[[#This Row],[Actual Start]])=0,Tasks[[#This Row],[_LeafFcstStart]]&gt;=StatusDate,Tasks[[#This Row],[_LeafFcstStart]]&lt;=LookaheadEnd),Tasks[[#This Row],[_LeafFcstStart]]+Tasks[[#This Row],[_Row]]/100000,"")</f>
        <v/>
      </c>
      <c r="DN149" s="41" t="str">
        <f aca="false">IF(AND(Tasks[[#This Row],[_IsLeaf]]=1,Tasks[[#This Row],[_LeafProgress]]&lt;1,Tasks[[#This Row],[_LeafFcstFinish]]&gt;=StatusDate,Tasks[[#This Row],[_LeafFcstFinish]]&lt;=LookaheadEnd),Tasks[[#This Row],[_LeafFcstFinish]]+Tasks[[#This Row],[_Row]]/100000,"")</f>
        <v/>
      </c>
      <c r="DO149" s="41" t="str">
        <f aca="false">IF(Tasks[[#This Row],[_LeafCritical]],Tasks[[#This Row],[_LeafFcstStart]]+Tasks[[#This Row],[_Row]]/100000,"")</f>
        <v/>
      </c>
      <c r="DP149" s="41" t="n">
        <f aca="false">Tasks[[#This Row],[_LeafWork]]*Tasks[[#This Row],[_LeafProgress]]</f>
        <v>0</v>
      </c>
      <c r="DQ149" s="103" t="str">
        <f aca="false">IF(AND(Tasks[[#This Row],[_IsLeaf]]=1,Tasks[[#This Row],[_LeafProgress]]&gt;=1),IF(N(Tasks[[#This Row],[Actual Finish]])&gt;0,Tasks[[#This Row],[Actual Finish]],Tasks[[#This Row],[_LeafFcstFinish]]),"")</f>
        <v/>
      </c>
      <c r="DR149" s="41" t="n">
        <f aca="false">IF(Tasks[[#This Row],[_IsLeaf]]=1,N(Tasks[[#This Row],[Story Points]]),0)</f>
        <v>0</v>
      </c>
      <c r="DS149" s="41" t="str">
        <f aca="false">IF(AND(Tasks[[#This Row],[_IsLeaf]]=1,CurrentSprint&lt;&gt;"",Tasks[[#This Row],[Sprint]]=CurrentSprint),Tasks[[#This Row],[_Row]],"")</f>
        <v/>
      </c>
    </row>
    <row r="150" customFormat="false" ht="15" hidden="false" customHeight="false" outlineLevel="0" collapsed="false">
      <c r="A150" s="28" t="str">
        <f aca="false">IF(Tasks[[#This Row],[Task Name]]="","",COUNTA(Tasks[[#Headers],[Task Name]]:Tasks[[#This Row],[Task Name]])-1)</f>
        <v/>
      </c>
      <c r="B150" s="29" t="n">
        <v>145</v>
      </c>
      <c r="C1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29"/>
      <c r="E150" s="30"/>
      <c r="F150" s="29"/>
      <c r="G150" s="29"/>
      <c r="H150" s="29"/>
      <c r="I150" s="29"/>
      <c r="J150" s="29"/>
      <c r="K150" s="29"/>
      <c r="L150" s="29"/>
      <c r="M150" s="29"/>
      <c r="N150" s="77"/>
      <c r="O150" s="77"/>
      <c r="P150" s="25" t="str">
        <f aca="false">IF(Tasks[[#This Row],[Task Name]]="","",IF(N(Tasks[[#This Row],[Baseline Start]])&gt;0,Tasks[[#This Row],[Baseline Start]],Tasks[[#This Row],[_CalcStart]]))</f>
        <v/>
      </c>
      <c r="Q150" s="25" t="str">
        <f aca="false">IF(Tasks[[#This Row],[Task Name]]="","",IF(N(Tasks[[#This Row],[Baseline Finish]])&gt;0,Tasks[[#This Row],[Baseline Finish]],Tasks[[#This Row],[_CalcFinish]]))</f>
        <v/>
      </c>
      <c r="R150" s="77"/>
      <c r="S150" s="77"/>
      <c r="T150" s="25" t="str">
        <f aca="false">IF(Tasks[[#This Row],[Task Name]]="","",IF(Tasks[[#This Row],[_IsSummary]],MIN(INDEX(Tasks[_LeafFcstStart],Tasks[[#This Row],[_Row]]+1):INDEX(Tasks[_LeafFcstStart],Tasks[[#This Row],[_Row]]+Tasks[[#This Row],[_Descendants]])),Tasks[[#This Row],[_LeafFcstStart]]))</f>
        <v/>
      </c>
      <c r="U150" s="25" t="str">
        <f aca="false">IF(Tasks[[#This Row],[Task Name]]="","",IF(Tasks[[#This Row],[_IsSummary]],MAX(INDEX(Tasks[_LeafFcstFinish],Tasks[[#This Row],[_Row]]+1):INDEX(Tasks[_LeafFcstFinish],Tasks[[#This Row],[_Row]]+Tasks[[#This Row],[_Descendants]])),Tasks[[#This Row],[_LeafFcstFinish]]))</f>
        <v/>
      </c>
      <c r="V15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0" s="25" t="str">
        <f aca="false">IF(Tasks[[#This Row],[Task Name]]="","",IF(Tasks[[#This Row],[_IsSummary]],MIN(INDEX(Tasks[_LeafLateStart],Tasks[[#This Row],[_Row]]+1):INDEX(Tasks[_LeafLateStart],Tasks[[#This Row],[_Row]]+Tasks[[#This Row],[_Descendants]])),Tasks[[#This Row],[_LeafLateStart]]))</f>
        <v/>
      </c>
      <c r="Y150" s="25" t="str">
        <f aca="false">IF(Tasks[[#This Row],[Task Name]]="","",IF(Tasks[[#This Row],[_IsSummary]],MAX(INDEX(Tasks[_LeafLateFinish],Tasks[[#This Row],[_Row]]+1):INDEX(Tasks[_LeafLateFinish],Tasks[[#This Row],[_Row]]+Tasks[[#This Row],[_Descendants]])),Tasks[[#This Row],[_LeafLateFinish]]))</f>
        <v/>
      </c>
      <c r="Z150" s="43" t="str">
        <f aca="false">IF(Tasks[[#This Row],[Task Name]]="","",IF(Tasks[[#This Row],[_IsSummary]],MIN(INDEX(Tasks[_LeafTotalSlack],Tasks[[#This Row],[_Row]]+1):INDEX(Tasks[_LeafTotalSlack],Tasks[[#This Row],[_Row]]+Tasks[[#This Row],[_Descendants]])),Tasks[[#This Row],[_LeafTotalSlack]]))</f>
        <v/>
      </c>
      <c r="AA1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0" s="28" t="str">
        <f aca="false">IF(Tasks[[#This Row],[Task Name]]="","",IF(IF(Tasks[[#This Row],[_IsSummary]],COUNTIF(INDEX(Tasks[_LeafCritical],Tasks[[#This Row],[_Row]]+1):INDEX(Tasks[_LeafCritical],Tasks[[#This Row],[_Row]]+Tasks[[#This Row],[_Descendants]]),TRUE())&gt;0,Tasks[[#This Row],[_LeafCritical]]),"Yes",""))</f>
        <v/>
      </c>
      <c r="AC1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0" s="24" t="str">
        <f aca="false">IF(Tasks[[#This Row],[Task Name]]="","",TRIM(IF(Tasks[[#This Row],[_Pred1Problem]]&lt;&gt;"","Pred 1: "&amp;Tasks[[#This Row],[_Pred1Problem]]&amp;". ","")&amp;IF(Tasks[[#This Row],[_Pred2Problem]]&lt;&gt;"","Pred 2: "&amp;Tasks[[#This Row],[_Pred2Problem]]&amp;".","")))</f>
        <v/>
      </c>
      <c r="AE150" s="91"/>
      <c r="AF15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0" s="28" t="str">
        <f aca="false">IF(Tasks[[#This Row],[Task Name]]="","",IF(Tasks[[#This Row],[Progress]]&gt;=1,"Complete",IF(OR(N(Tasks[[#This Row],[Actual Start]])&gt;0,Tasks[[#This Row],[Progress]]&gt;0),IF(Tasks[[#This Row],[Finish Var]]&gt;0,"Behind","In Progress"),IF(Tasks[[#This Row],[Planned Start]]&lt;StatusDate,"Late Start","Not Started"))))</f>
        <v/>
      </c>
      <c r="AH150" s="30"/>
      <c r="AI150" s="91"/>
      <c r="AJ15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0" s="98" t="str">
        <f aca="false">IF(Tasks[[#This Row],[Task Name]]="","",IF(Tasks[[#This Row],[_IsSummary]],SUM(INDEX(Tasks[_LeafWork],Tasks[[#This Row],[_Row]]+1):INDEX(Tasks[_LeafWork],Tasks[[#This Row],[_Row]]+Tasks[[#This Row],[_Descendants]])),Tasks[[#This Row],[_LeafWork]]))</f>
        <v/>
      </c>
      <c r="AL150" s="99" t="str">
        <f aca="false">IF(Tasks[[#This Row],[Task Name]]="","",IF(Tasks[[#This Row],[_IsSummary]],SUM(INDEX(Tasks[_LeafCost],Tasks[[#This Row],[_Row]]+1):INDEX(Tasks[_LeafCost],Tasks[[#This Row],[_Row]]+Tasks[[#This Row],[_Descendants]])),Tasks[[#This Row],[_LeafCost]]))</f>
        <v/>
      </c>
      <c r="AM150" s="100"/>
      <c r="AN150" s="29"/>
      <c r="AO1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0" s="85"/>
      <c r="AQ150" s="24" t="str">
        <f aca="false">IF(Tasks[[#This Row],[Task Name]]="","",Tasks[[#This Row],[_Pred1IDText]]&amp;IF(AND(Tasks[[#This Row],[_Pred1IDText]]&lt;&gt;"",Tasks[[#This Row],[_Pred2IDText]]&lt;&gt;""),",","")&amp;Tasks[[#This Row],[_Pred2IDText]])</f>
        <v/>
      </c>
      <c r="AR150" s="30"/>
      <c r="AS150" s="25" t="str">
        <f aca="false">IF(Tasks[[#This Row],[Task Name]]="","",Tasks[[#This Row],[Forecast Start]])</f>
        <v/>
      </c>
      <c r="AT150" s="25" t="str">
        <f aca="false">IF(Tasks[[#This Row],[Task Name]]="","",Tasks[[#This Row],[Forecast Finish]])</f>
        <v/>
      </c>
      <c r="AU150" s="28" t="str">
        <f aca="false">IF(Tasks[[#This Row],[Task Name]]="","",IF(Tasks[[#This Row],[_IsSummary]],NETWORKDAYS.INTL(Tasks[[#This Row],[Forecast Start]],Tasks[[#This Row],[Forecast Finish]],WorkWeek,Holidays),N(Tasks[[#This Row],[Duration]])))</f>
        <v/>
      </c>
      <c r="AV150" s="98" t="str">
        <f aca="false">IF(Tasks[[#This Row],[Task Name]]="","",Tasks[[#This Row],[Work]])</f>
        <v/>
      </c>
      <c r="AW150" s="99" t="str">
        <f aca="false">IF(Tasks[[#This Row],[Task Name]]="","",Tasks[[#This Row],[Cost]])</f>
        <v/>
      </c>
      <c r="AX150" s="77"/>
      <c r="AY150" s="77"/>
      <c r="AZ150" s="29"/>
      <c r="BA150" s="101"/>
      <c r="BB150" s="100"/>
      <c r="BC150" s="28" t="str">
        <f aca="false">IF(OR(Tasks[[#This Row],[Task Name]]="",Tasks[[#This Row],[Baseline Duration]]=""),"",Tasks[[#This Row],[BL Source Duration]]-N(Tasks[[#This Row],[Baseline Duration]]))</f>
        <v/>
      </c>
      <c r="BD150" s="98" t="str">
        <f aca="false">IF(OR(Tasks[[#This Row],[Task Name]]="",Tasks[[#This Row],[Baseline Work]]=""),"",Tasks[[#This Row],[Work]]-N(Tasks[[#This Row],[Baseline Work]]))</f>
        <v/>
      </c>
      <c r="BE150" s="99" t="str">
        <f aca="false">IF(OR(Tasks[[#This Row],[Task Name]]="",Tasks[[#This Row],[Baseline Cost]]=""),"",Tasks[[#This Row],[Cost]]-N(Tasks[[#This Row],[Baseline Cost]]))</f>
        <v/>
      </c>
      <c r="BF150" s="99" t="str">
        <f aca="false">IF(Tasks[[#This Row],[Task Name]]="","",IF(Tasks[[#This Row],[_IsSummary]],SUM(INDEX(Tasks[_LeafBudget],Tasks[[#This Row],[_Row]]+1):INDEX(Tasks[_LeafBudget],Tasks[[#This Row],[_Row]]+Tasks[[#This Row],[_Descendants]])),Tasks[[#This Row],[_LeafBudget]]))</f>
        <v/>
      </c>
      <c r="BG150" s="99" t="str">
        <f aca="false">IF(Tasks[[#This Row],[Task Name]]="","",IF(Tasks[[#This Row],[_IsSummary]],SUM(INDEX(Tasks[_LeafPV],Tasks[[#This Row],[_Row]]+1):INDEX(Tasks[_LeafPV],Tasks[[#This Row],[_Row]]+Tasks[[#This Row],[_Descendants]])),Tasks[[#This Row],[_LeafPV]]))</f>
        <v/>
      </c>
      <c r="BH150" s="99" t="str">
        <f aca="false">IF(Tasks[[#This Row],[Task Name]]="","",IF(Tasks[[#This Row],[_IsSummary]],SUM(INDEX(Tasks[_LeafEV],Tasks[[#This Row],[_Row]]+1):INDEX(Tasks[_LeafEV],Tasks[[#This Row],[_Row]]+Tasks[[#This Row],[_Descendants]])),Tasks[[#This Row],[_LeafEV]]))</f>
        <v/>
      </c>
      <c r="BI150" s="99" t="str">
        <f aca="false">IF(Tasks[[#This Row],[Task Name]]="","",IF(Tasks[[#This Row],[_IsSummary]],SUM(INDEX(Tasks[_LeafAC],Tasks[[#This Row],[_Row]]+1):INDEX(Tasks[_LeafAC],Tasks[[#This Row],[_Row]]+Tasks[[#This Row],[_Descendants]])),Tasks[[#This Row],[_LeafAC]]))</f>
        <v/>
      </c>
      <c r="BJ150" s="41" t="str">
        <f aca="false">IF(Tasks[[#This Row],[Task Name]]="","",MAX(1,N(Tasks[[#This Row],[Level]])))</f>
        <v/>
      </c>
      <c r="BK150" s="41" t="n">
        <f aca="false">ROW()-ROW(Tasks[[#Headers],[ID]])</f>
        <v>145</v>
      </c>
      <c r="BL150" s="41" t="n">
        <f aca="false">IF(OR(Tasks[[#This Row],[Task Name]]="",Tasks[[#This Row],[_Level]]&lt;=1),0,IFERROR(LOOKUP(2,1/(Tasks[[#Headers],[_Level]]:Tasks[[#This Row],[_Level]]=Tasks[[#This Row],[_Level]]-1),ROW(Tasks[[#Headers],[_Level]]:Tasks[[#This Row],[_Level]])),0))</f>
        <v>0</v>
      </c>
      <c r="BM150" s="41" t="n">
        <f aca="false">IFERROR(N(INDEX(Tasks[_Level],Tasks[[#This Row],[_Row]]+1)),0)</f>
        <v>0</v>
      </c>
      <c r="BN150" s="102" t="b">
        <f aca="false">AND(Tasks[[#This Row],[Task Name]]&lt;&gt;"",Tasks[[#This Row],[_NextLevel]]&gt;Tasks[[#This Row],[_Level]])</f>
        <v>0</v>
      </c>
      <c r="BO150" s="41" t="n">
        <f aca="false">IF(Tasks[[#This Row],[_IsSummary]],COUNTIF(Tasks[WBS],Tasks[[#This Row],[WBS]]&amp;".*"),0)</f>
        <v>0</v>
      </c>
      <c r="BP150" s="41" t="n">
        <f aca="false">IF(AND(Tasks[[#This Row],[Task Name]]&lt;&gt;"",NOT(Tasks[[#This Row],[_IsSummary]])),1,0)</f>
        <v>0</v>
      </c>
      <c r="BQ150" s="41" t="n">
        <f aca="false">IF(N(Tasks[[#This Row],[Pred1 UID]])=0,0,IFERROR(MATCH(Tasks[[#This Row],[Pred1 UID]],Tasks[UID],0),-1))</f>
        <v>0</v>
      </c>
      <c r="BR150" s="41" t="n">
        <f aca="false">IF(N(Tasks[[#This Row],[Pred2 UID]])=0,0,IFERROR(MATCH(Tasks[[#This Row],[Pred2 UID]],Tasks[UID],0),-1))</f>
        <v>0</v>
      </c>
      <c r="BS15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0" s="103" t="str">
        <f aca="false">IF(NOT(Tasks[[#This Row],[_IsLeaf]]=1),"",IF(N(Tasks[[#This Row],[Duration]])&lt;=0,Tasks[[#This Row],[_LeafCalcStart]],WORKDAY.INTL(Tasks[[#This Row],[_LeafCalcStart]],Tasks[[#This Row],[Duration]]-1,WorkWeek,Holidays)))</f>
        <v/>
      </c>
      <c r="BU15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0" s="41" t="n">
        <f aca="false">IF(NOT(Tasks[[#This Row],[_IsLeaf]]=1),0,IF(N(Tasks[[#This Row],[Actual Finish]])&gt;0,1,MIN(1,N(Tasks[[#This Row],[% Complete]]))))</f>
        <v>0</v>
      </c>
      <c r="BX150" s="41" t="n">
        <f aca="false">IF(OR(NOT(Tasks[[#This Row],[_IsLeaf]]=1),Tasks[[#This Row],[Resource]]=""),0,N(Tasks[[#This Row],[Duration]])*HoursPerDay*IF(Tasks[[#This Row],[Units]]="",DefaultUnits,Tasks[[#This Row],[Units]]))</f>
        <v>0</v>
      </c>
      <c r="BY150" s="41" t="n">
        <f aca="false">IF(Tasks[[#This Row],[_LeafWork]]=0,0,Tasks[[#This Row],[_LeafWork]]*IFERROR(INDEX(res_Rate,MATCH(Tasks[[#This Row],[Resource]],res_Name,0)),0))</f>
        <v>0</v>
      </c>
      <c r="BZ1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0" s="41" t="n">
        <f aca="false">IF(NOT(Tasks[[#This Row],[_IsLeaf]]=1),0,MAX(_xlfn.MAXIFS(Tasks[_Row],Tasks[Pred1 UID],Tasks[[#This Row],[UID]]),_xlfn.MAXIFS(Tasks[_Row],Tasks[Pred2 UID],Tasks[[#This Row],[UID]])))</f>
        <v>0</v>
      </c>
      <c r="CE15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0" s="103" t="str">
        <f aca="false">IF(NOT(Tasks[[#This Row],[_IsLeaf]]=1),"",MIN(ProjectFinish,IF(N(Tasks[[#This Row],[Deadline]])&gt;0,Tasks[[#This Row],[Deadline]],2958465),Tasks[[#This Row],[_SuccessorFinishLimit]]))</f>
        <v/>
      </c>
      <c r="CG150" s="103" t="str">
        <f aca="false">IF(NOT(Tasks[[#This Row],[_IsLeaf]]=1),"",IF(N(Tasks[[#This Row],[Duration]])&lt;=0,Tasks[[#This Row],[_LeafLateFinish]],WORKDAY.INTL(Tasks[[#This Row],[_LeafLateFinish]],-(Tasks[[#This Row],[Duration]]-1),WorkWeek,Holidays)))</f>
        <v/>
      </c>
      <c r="CH1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0" s="102" t="b">
        <f aca="false">AND(Tasks[[#This Row],[_IsLeaf]]=1,Tasks[[#This Row],[_LeafProgress]]&lt;1,N(Tasks[[#This Row],[_LeafTotalSlack]])&lt;=CriticalSlackDays)</f>
        <v>0</v>
      </c>
      <c r="CJ150" s="103" t="str">
        <f aca="false">IF(Tasks[[#This Row],[Task Name]]="","",IF(Tasks[[#This Row],[_IsSummary]],MIN(INDEX(Tasks[_LeafCalcStart],Tasks[[#This Row],[_Row]]+1):INDEX(Tasks[_LeafCalcStart],Tasks[[#This Row],[_Row]]+Tasks[[#This Row],[_Descendants]])),Tasks[[#This Row],[_LeafCalcStart]]))</f>
        <v/>
      </c>
      <c r="CK150" s="103" t="str">
        <f aca="false">IF(Tasks[[#This Row],[Task Name]]="","",IF(Tasks[[#This Row],[_IsSummary]],MAX(INDEX(Tasks[_LeafCalcFinish],Tasks[[#This Row],[_Row]]+1):INDEX(Tasks[_LeafCalcFinish],Tasks[[#This Row],[_Row]]+Tasks[[#This Row],[_Descendants]])),Tasks[[#This Row],[_LeafCalcFinish]]))</f>
        <v/>
      </c>
      <c r="CL1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0" s="41" t="n">
        <f aca="false">IF(AND(Tasks[[#This Row],[_IsLeaf]]=1,Tasks[[#This Row],[_LeafWork]]&gt;0),NETWORKDAYS.INTL(ProjectStart,Tasks[[#This Row],[_LeafFcstStart]],WorkWeek,Holidays),0)</f>
        <v>0</v>
      </c>
      <c r="CS150" s="41" t="n">
        <f aca="false">IF(AND(Tasks[[#This Row],[_IsLeaf]]=1,Tasks[[#This Row],[_LeafWork]]&gt;0),MAX(Tasks[[#This Row],[_StartWorkday]],NETWORKDAYS.INTL(ProjectStart,Tasks[[#This Row],[_LeafFcstFinish]],WorkWeek,Holidays)),0)</f>
        <v>0</v>
      </c>
      <c r="CT150" s="41" t="n">
        <f aca="false">IF(AND(Tasks[[#This Row],[_IsLeaf]]=1,Tasks[[#This Row],[_LeafWork]]&gt;0),Tasks[[#This Row],[_LeafWork]]/(Tasks[[#This Row],[_FinishWorkday]]-Tasks[[#This Row],[_StartWorkday]]+1),0)</f>
        <v>0</v>
      </c>
      <c r="CU150" s="41" t="n">
        <f aca="false">Tasks[[#This Row],[_WorkPerWorkday]]*(Tasks[[#This Row],[_StartWorkday]]-1)</f>
        <v>-0</v>
      </c>
      <c r="CV150" s="41" t="n">
        <f aca="false">IF(Tasks[[#This Row],[_IsLeaf]]=1,MAX(N(Tasks[[#This Row],[Duration]]),0.1),0)</f>
        <v>0</v>
      </c>
      <c r="CW150" s="41" t="n">
        <f aca="false">Tasks[[#This Row],[_WeightDur]]*Tasks[[#This Row],[_LeafProgress]]</f>
        <v>0</v>
      </c>
      <c r="CX1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0" s="41" t="str">
        <f aca="false">IF(Tasks[[#This Row],[Task Name]]="","",Tasks[[#This Row],[_Pred1UIDText]]&amp;IF(AND(Tasks[[#This Row],[_Pred1UIDText]]&lt;&gt;"",Tasks[[#This Row],[_Pred2UIDText]]&lt;&gt;""),",","")&amp;Tasks[[#This Row],[_Pred2UIDText]])</f>
        <v/>
      </c>
      <c r="DC150" s="41" t="str">
        <f aca="false">IF(AND(Tasks[[#This Row],[_IsLeaf]]=1,N(Tasks[[#This Row],[Duration]])=0,Tasks[[#This Row],[_LeafProgress]]&lt;1),Tasks[[#This Row],[_LeafFcstFinish]]+Tasks[[#This Row],[_Row]]/100000,"")</f>
        <v/>
      </c>
      <c r="DD1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0" s="41" t="n">
        <f aca="false">IF(NOT(Tasks[[#This Row],[_IsLeaf]]=1),0,IF(Tasks[[#This Row],[Baseline Cost]]="",Tasks[[#This Row],[_LeafCost]],N(Tasks[[#This Row],[Baseline Cost]])))</f>
        <v>0</v>
      </c>
      <c r="DF150" s="41" t="n">
        <f aca="false">Tasks[[#This Row],[_LeafBudget]]*Tasks[[#This Row],[_PlannedPct]]</f>
        <v>0</v>
      </c>
      <c r="DG150" s="41" t="n">
        <f aca="false">Tasks[[#This Row],[_LeafBudget]]*Tasks[[#This Row],[_LeafProgress]]</f>
        <v>0</v>
      </c>
      <c r="DH150" s="41" t="n">
        <f aca="false">IF(NOT(Tasks[[#This Row],[_IsLeaf]]=1),0,IF(Tasks[[#This Row],[Actual Cost]]="",Tasks[[#This Row],[_LeafCost]]*Tasks[[#This Row],[_LeafProgress]],N(Tasks[[#This Row],[Actual Cost]])))</f>
        <v>0</v>
      </c>
      <c r="DI150" s="41" t="str">
        <f aca="false">IF(Tasks[[#This Row],[Task Name]]="","",LEFT(Tasks[[#This Row],[WBS]],FIND(".",Tasks[[#This Row],[WBS]]&amp;".")-1))</f>
        <v/>
      </c>
      <c r="DJ150" s="41" t="str">
        <f aca="false">IF(AND(Tasks[[#This Row],[Task Name]]&lt;&gt;"",Tasks[[#This Row],[_Level]]=1),Tasks[[#This Row],[_Row]],"")</f>
        <v/>
      </c>
      <c r="DK150" s="41" t="str">
        <f aca="false">IF(AND(Tasks[[#This Row],[_IsLeaf]]=1,N(Tasks[[#This Row],[Duration]])=0),Tasks[[#This Row],[Planned Finish]]+Tasks[[#This Row],[_Row]]/100000,"")</f>
        <v/>
      </c>
      <c r="DL150" s="41" t="str">
        <f aca="false">IF(AND(Tasks[[#This Row],[_IsLeaf]]=1,Tasks[[#This Row],[_LeafProgress]]&lt;1,OR(N(Tasks[[#This Row],[Finish Var]])&gt;0,Tasks[[#This Row],[Status]]="Late Start")),MAX(0,Tasks[[#This Row],[Finish Var]])+1-Tasks[[#This Row],[_Row]]/1000000,"")</f>
        <v/>
      </c>
      <c r="DM150" s="41" t="str">
        <f aca="false">IF(AND(Tasks[[#This Row],[_IsLeaf]]=1,N(Tasks[[#This Row],[Actual Start]])=0,Tasks[[#This Row],[_LeafFcstStart]]&gt;=StatusDate,Tasks[[#This Row],[_LeafFcstStart]]&lt;=LookaheadEnd),Tasks[[#This Row],[_LeafFcstStart]]+Tasks[[#This Row],[_Row]]/100000,"")</f>
        <v/>
      </c>
      <c r="DN150" s="41" t="str">
        <f aca="false">IF(AND(Tasks[[#This Row],[_IsLeaf]]=1,Tasks[[#This Row],[_LeafProgress]]&lt;1,Tasks[[#This Row],[_LeafFcstFinish]]&gt;=StatusDate,Tasks[[#This Row],[_LeafFcstFinish]]&lt;=LookaheadEnd),Tasks[[#This Row],[_LeafFcstFinish]]+Tasks[[#This Row],[_Row]]/100000,"")</f>
        <v/>
      </c>
      <c r="DO150" s="41" t="str">
        <f aca="false">IF(Tasks[[#This Row],[_LeafCritical]],Tasks[[#This Row],[_LeafFcstStart]]+Tasks[[#This Row],[_Row]]/100000,"")</f>
        <v/>
      </c>
      <c r="DP150" s="41" t="n">
        <f aca="false">Tasks[[#This Row],[_LeafWork]]*Tasks[[#This Row],[_LeafProgress]]</f>
        <v>0</v>
      </c>
      <c r="DQ150" s="103" t="str">
        <f aca="false">IF(AND(Tasks[[#This Row],[_IsLeaf]]=1,Tasks[[#This Row],[_LeafProgress]]&gt;=1),IF(N(Tasks[[#This Row],[Actual Finish]])&gt;0,Tasks[[#This Row],[Actual Finish]],Tasks[[#This Row],[_LeafFcstFinish]]),"")</f>
        <v/>
      </c>
      <c r="DR150" s="41" t="n">
        <f aca="false">IF(Tasks[[#This Row],[_IsLeaf]]=1,N(Tasks[[#This Row],[Story Points]]),0)</f>
        <v>0</v>
      </c>
      <c r="DS150" s="41" t="str">
        <f aca="false">IF(AND(Tasks[[#This Row],[_IsLeaf]]=1,CurrentSprint&lt;&gt;"",Tasks[[#This Row],[Sprint]]=CurrentSprint),Tasks[[#This Row],[_Row]],"")</f>
        <v/>
      </c>
    </row>
    <row r="151" customFormat="false" ht="15" hidden="false" customHeight="false" outlineLevel="0" collapsed="false">
      <c r="A151" s="28" t="str">
        <f aca="false">IF(Tasks[[#This Row],[Task Name]]="","",COUNTA(Tasks[[#Headers],[Task Name]]:Tasks[[#This Row],[Task Name]])-1)</f>
        <v/>
      </c>
      <c r="B151" s="29" t="n">
        <v>146</v>
      </c>
      <c r="C1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29"/>
      <c r="E151" s="30"/>
      <c r="F151" s="29"/>
      <c r="G151" s="29"/>
      <c r="H151" s="29"/>
      <c r="I151" s="29"/>
      <c r="J151" s="29"/>
      <c r="K151" s="29"/>
      <c r="L151" s="29"/>
      <c r="M151" s="29"/>
      <c r="N151" s="77"/>
      <c r="O151" s="77"/>
      <c r="P151" s="25" t="str">
        <f aca="false">IF(Tasks[[#This Row],[Task Name]]="","",IF(N(Tasks[[#This Row],[Baseline Start]])&gt;0,Tasks[[#This Row],[Baseline Start]],Tasks[[#This Row],[_CalcStart]]))</f>
        <v/>
      </c>
      <c r="Q151" s="25" t="str">
        <f aca="false">IF(Tasks[[#This Row],[Task Name]]="","",IF(N(Tasks[[#This Row],[Baseline Finish]])&gt;0,Tasks[[#This Row],[Baseline Finish]],Tasks[[#This Row],[_CalcFinish]]))</f>
        <v/>
      </c>
      <c r="R151" s="77"/>
      <c r="S151" s="77"/>
      <c r="T151" s="25" t="str">
        <f aca="false">IF(Tasks[[#This Row],[Task Name]]="","",IF(Tasks[[#This Row],[_IsSummary]],MIN(INDEX(Tasks[_LeafFcstStart],Tasks[[#This Row],[_Row]]+1):INDEX(Tasks[_LeafFcstStart],Tasks[[#This Row],[_Row]]+Tasks[[#This Row],[_Descendants]])),Tasks[[#This Row],[_LeafFcstStart]]))</f>
        <v/>
      </c>
      <c r="U151" s="25" t="str">
        <f aca="false">IF(Tasks[[#This Row],[Task Name]]="","",IF(Tasks[[#This Row],[_IsSummary]],MAX(INDEX(Tasks[_LeafFcstFinish],Tasks[[#This Row],[_Row]]+1):INDEX(Tasks[_LeafFcstFinish],Tasks[[#This Row],[_Row]]+Tasks[[#This Row],[_Descendants]])),Tasks[[#This Row],[_LeafFcstFinish]]))</f>
        <v/>
      </c>
      <c r="V15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1" s="25" t="str">
        <f aca="false">IF(Tasks[[#This Row],[Task Name]]="","",IF(Tasks[[#This Row],[_IsSummary]],MIN(INDEX(Tasks[_LeafLateStart],Tasks[[#This Row],[_Row]]+1):INDEX(Tasks[_LeafLateStart],Tasks[[#This Row],[_Row]]+Tasks[[#This Row],[_Descendants]])),Tasks[[#This Row],[_LeafLateStart]]))</f>
        <v/>
      </c>
      <c r="Y151" s="25" t="str">
        <f aca="false">IF(Tasks[[#This Row],[Task Name]]="","",IF(Tasks[[#This Row],[_IsSummary]],MAX(INDEX(Tasks[_LeafLateFinish],Tasks[[#This Row],[_Row]]+1):INDEX(Tasks[_LeafLateFinish],Tasks[[#This Row],[_Row]]+Tasks[[#This Row],[_Descendants]])),Tasks[[#This Row],[_LeafLateFinish]]))</f>
        <v/>
      </c>
      <c r="Z151" s="43" t="str">
        <f aca="false">IF(Tasks[[#This Row],[Task Name]]="","",IF(Tasks[[#This Row],[_IsSummary]],MIN(INDEX(Tasks[_LeafTotalSlack],Tasks[[#This Row],[_Row]]+1):INDEX(Tasks[_LeafTotalSlack],Tasks[[#This Row],[_Row]]+Tasks[[#This Row],[_Descendants]])),Tasks[[#This Row],[_LeafTotalSlack]]))</f>
        <v/>
      </c>
      <c r="AA1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1" s="28" t="str">
        <f aca="false">IF(Tasks[[#This Row],[Task Name]]="","",IF(IF(Tasks[[#This Row],[_IsSummary]],COUNTIF(INDEX(Tasks[_LeafCritical],Tasks[[#This Row],[_Row]]+1):INDEX(Tasks[_LeafCritical],Tasks[[#This Row],[_Row]]+Tasks[[#This Row],[_Descendants]]),TRUE())&gt;0,Tasks[[#This Row],[_LeafCritical]]),"Yes",""))</f>
        <v/>
      </c>
      <c r="AC1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1" s="24" t="str">
        <f aca="false">IF(Tasks[[#This Row],[Task Name]]="","",TRIM(IF(Tasks[[#This Row],[_Pred1Problem]]&lt;&gt;"","Pred 1: "&amp;Tasks[[#This Row],[_Pred1Problem]]&amp;". ","")&amp;IF(Tasks[[#This Row],[_Pred2Problem]]&lt;&gt;"","Pred 2: "&amp;Tasks[[#This Row],[_Pred2Problem]]&amp;".","")))</f>
        <v/>
      </c>
      <c r="AE151" s="91"/>
      <c r="AF15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1" s="28" t="str">
        <f aca="false">IF(Tasks[[#This Row],[Task Name]]="","",IF(Tasks[[#This Row],[Progress]]&gt;=1,"Complete",IF(OR(N(Tasks[[#This Row],[Actual Start]])&gt;0,Tasks[[#This Row],[Progress]]&gt;0),IF(Tasks[[#This Row],[Finish Var]]&gt;0,"Behind","In Progress"),IF(Tasks[[#This Row],[Planned Start]]&lt;StatusDate,"Late Start","Not Started"))))</f>
        <v/>
      </c>
      <c r="AH151" s="30"/>
      <c r="AI151" s="91"/>
      <c r="AJ15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1" s="98" t="str">
        <f aca="false">IF(Tasks[[#This Row],[Task Name]]="","",IF(Tasks[[#This Row],[_IsSummary]],SUM(INDEX(Tasks[_LeafWork],Tasks[[#This Row],[_Row]]+1):INDEX(Tasks[_LeafWork],Tasks[[#This Row],[_Row]]+Tasks[[#This Row],[_Descendants]])),Tasks[[#This Row],[_LeafWork]]))</f>
        <v/>
      </c>
      <c r="AL151" s="99" t="str">
        <f aca="false">IF(Tasks[[#This Row],[Task Name]]="","",IF(Tasks[[#This Row],[_IsSummary]],SUM(INDEX(Tasks[_LeafCost],Tasks[[#This Row],[_Row]]+1):INDEX(Tasks[_LeafCost],Tasks[[#This Row],[_Row]]+Tasks[[#This Row],[_Descendants]])),Tasks[[#This Row],[_LeafCost]]))</f>
        <v/>
      </c>
      <c r="AM151" s="100"/>
      <c r="AN151" s="29"/>
      <c r="AO1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1" s="85"/>
      <c r="AQ151" s="24" t="str">
        <f aca="false">IF(Tasks[[#This Row],[Task Name]]="","",Tasks[[#This Row],[_Pred1IDText]]&amp;IF(AND(Tasks[[#This Row],[_Pred1IDText]]&lt;&gt;"",Tasks[[#This Row],[_Pred2IDText]]&lt;&gt;""),",","")&amp;Tasks[[#This Row],[_Pred2IDText]])</f>
        <v/>
      </c>
      <c r="AR151" s="30"/>
      <c r="AS151" s="25" t="str">
        <f aca="false">IF(Tasks[[#This Row],[Task Name]]="","",Tasks[[#This Row],[Forecast Start]])</f>
        <v/>
      </c>
      <c r="AT151" s="25" t="str">
        <f aca="false">IF(Tasks[[#This Row],[Task Name]]="","",Tasks[[#This Row],[Forecast Finish]])</f>
        <v/>
      </c>
      <c r="AU151" s="28" t="str">
        <f aca="false">IF(Tasks[[#This Row],[Task Name]]="","",IF(Tasks[[#This Row],[_IsSummary]],NETWORKDAYS.INTL(Tasks[[#This Row],[Forecast Start]],Tasks[[#This Row],[Forecast Finish]],WorkWeek,Holidays),N(Tasks[[#This Row],[Duration]])))</f>
        <v/>
      </c>
      <c r="AV151" s="98" t="str">
        <f aca="false">IF(Tasks[[#This Row],[Task Name]]="","",Tasks[[#This Row],[Work]])</f>
        <v/>
      </c>
      <c r="AW151" s="99" t="str">
        <f aca="false">IF(Tasks[[#This Row],[Task Name]]="","",Tasks[[#This Row],[Cost]])</f>
        <v/>
      </c>
      <c r="AX151" s="77"/>
      <c r="AY151" s="77"/>
      <c r="AZ151" s="29"/>
      <c r="BA151" s="101"/>
      <c r="BB151" s="100"/>
      <c r="BC151" s="28" t="str">
        <f aca="false">IF(OR(Tasks[[#This Row],[Task Name]]="",Tasks[[#This Row],[Baseline Duration]]=""),"",Tasks[[#This Row],[BL Source Duration]]-N(Tasks[[#This Row],[Baseline Duration]]))</f>
        <v/>
      </c>
      <c r="BD151" s="98" t="str">
        <f aca="false">IF(OR(Tasks[[#This Row],[Task Name]]="",Tasks[[#This Row],[Baseline Work]]=""),"",Tasks[[#This Row],[Work]]-N(Tasks[[#This Row],[Baseline Work]]))</f>
        <v/>
      </c>
      <c r="BE151" s="99" t="str">
        <f aca="false">IF(OR(Tasks[[#This Row],[Task Name]]="",Tasks[[#This Row],[Baseline Cost]]=""),"",Tasks[[#This Row],[Cost]]-N(Tasks[[#This Row],[Baseline Cost]]))</f>
        <v/>
      </c>
      <c r="BF151" s="99" t="str">
        <f aca="false">IF(Tasks[[#This Row],[Task Name]]="","",IF(Tasks[[#This Row],[_IsSummary]],SUM(INDEX(Tasks[_LeafBudget],Tasks[[#This Row],[_Row]]+1):INDEX(Tasks[_LeafBudget],Tasks[[#This Row],[_Row]]+Tasks[[#This Row],[_Descendants]])),Tasks[[#This Row],[_LeafBudget]]))</f>
        <v/>
      </c>
      <c r="BG151" s="99" t="str">
        <f aca="false">IF(Tasks[[#This Row],[Task Name]]="","",IF(Tasks[[#This Row],[_IsSummary]],SUM(INDEX(Tasks[_LeafPV],Tasks[[#This Row],[_Row]]+1):INDEX(Tasks[_LeafPV],Tasks[[#This Row],[_Row]]+Tasks[[#This Row],[_Descendants]])),Tasks[[#This Row],[_LeafPV]]))</f>
        <v/>
      </c>
      <c r="BH151" s="99" t="str">
        <f aca="false">IF(Tasks[[#This Row],[Task Name]]="","",IF(Tasks[[#This Row],[_IsSummary]],SUM(INDEX(Tasks[_LeafEV],Tasks[[#This Row],[_Row]]+1):INDEX(Tasks[_LeafEV],Tasks[[#This Row],[_Row]]+Tasks[[#This Row],[_Descendants]])),Tasks[[#This Row],[_LeafEV]]))</f>
        <v/>
      </c>
      <c r="BI151" s="99" t="str">
        <f aca="false">IF(Tasks[[#This Row],[Task Name]]="","",IF(Tasks[[#This Row],[_IsSummary]],SUM(INDEX(Tasks[_LeafAC],Tasks[[#This Row],[_Row]]+1):INDEX(Tasks[_LeafAC],Tasks[[#This Row],[_Row]]+Tasks[[#This Row],[_Descendants]])),Tasks[[#This Row],[_LeafAC]]))</f>
        <v/>
      </c>
      <c r="BJ151" s="41" t="str">
        <f aca="false">IF(Tasks[[#This Row],[Task Name]]="","",MAX(1,N(Tasks[[#This Row],[Level]])))</f>
        <v/>
      </c>
      <c r="BK151" s="41" t="n">
        <f aca="false">ROW()-ROW(Tasks[[#Headers],[ID]])</f>
        <v>146</v>
      </c>
      <c r="BL151" s="41" t="n">
        <f aca="false">IF(OR(Tasks[[#This Row],[Task Name]]="",Tasks[[#This Row],[_Level]]&lt;=1),0,IFERROR(LOOKUP(2,1/(Tasks[[#Headers],[_Level]]:Tasks[[#This Row],[_Level]]=Tasks[[#This Row],[_Level]]-1),ROW(Tasks[[#Headers],[_Level]]:Tasks[[#This Row],[_Level]])),0))</f>
        <v>0</v>
      </c>
      <c r="BM151" s="41" t="n">
        <f aca="false">IFERROR(N(INDEX(Tasks[_Level],Tasks[[#This Row],[_Row]]+1)),0)</f>
        <v>0</v>
      </c>
      <c r="BN151" s="102" t="b">
        <f aca="false">AND(Tasks[[#This Row],[Task Name]]&lt;&gt;"",Tasks[[#This Row],[_NextLevel]]&gt;Tasks[[#This Row],[_Level]])</f>
        <v>0</v>
      </c>
      <c r="BO151" s="41" t="n">
        <f aca="false">IF(Tasks[[#This Row],[_IsSummary]],COUNTIF(Tasks[WBS],Tasks[[#This Row],[WBS]]&amp;".*"),0)</f>
        <v>0</v>
      </c>
      <c r="BP151" s="41" t="n">
        <f aca="false">IF(AND(Tasks[[#This Row],[Task Name]]&lt;&gt;"",NOT(Tasks[[#This Row],[_IsSummary]])),1,0)</f>
        <v>0</v>
      </c>
      <c r="BQ151" s="41" t="n">
        <f aca="false">IF(N(Tasks[[#This Row],[Pred1 UID]])=0,0,IFERROR(MATCH(Tasks[[#This Row],[Pred1 UID]],Tasks[UID],0),-1))</f>
        <v>0</v>
      </c>
      <c r="BR151" s="41" t="n">
        <f aca="false">IF(N(Tasks[[#This Row],[Pred2 UID]])=0,0,IFERROR(MATCH(Tasks[[#This Row],[Pred2 UID]],Tasks[UID],0),-1))</f>
        <v>0</v>
      </c>
      <c r="BS15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1" s="103" t="str">
        <f aca="false">IF(NOT(Tasks[[#This Row],[_IsLeaf]]=1),"",IF(N(Tasks[[#This Row],[Duration]])&lt;=0,Tasks[[#This Row],[_LeafCalcStart]],WORKDAY.INTL(Tasks[[#This Row],[_LeafCalcStart]],Tasks[[#This Row],[Duration]]-1,WorkWeek,Holidays)))</f>
        <v/>
      </c>
      <c r="BU15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1" s="41" t="n">
        <f aca="false">IF(NOT(Tasks[[#This Row],[_IsLeaf]]=1),0,IF(N(Tasks[[#This Row],[Actual Finish]])&gt;0,1,MIN(1,N(Tasks[[#This Row],[% Complete]]))))</f>
        <v>0</v>
      </c>
      <c r="BX151" s="41" t="n">
        <f aca="false">IF(OR(NOT(Tasks[[#This Row],[_IsLeaf]]=1),Tasks[[#This Row],[Resource]]=""),0,N(Tasks[[#This Row],[Duration]])*HoursPerDay*IF(Tasks[[#This Row],[Units]]="",DefaultUnits,Tasks[[#This Row],[Units]]))</f>
        <v>0</v>
      </c>
      <c r="BY151" s="41" t="n">
        <f aca="false">IF(Tasks[[#This Row],[_LeafWork]]=0,0,Tasks[[#This Row],[_LeafWork]]*IFERROR(INDEX(res_Rate,MATCH(Tasks[[#This Row],[Resource]],res_Name,0)),0))</f>
        <v>0</v>
      </c>
      <c r="BZ1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1" s="41" t="n">
        <f aca="false">IF(NOT(Tasks[[#This Row],[_IsLeaf]]=1),0,MAX(_xlfn.MAXIFS(Tasks[_Row],Tasks[Pred1 UID],Tasks[[#This Row],[UID]]),_xlfn.MAXIFS(Tasks[_Row],Tasks[Pred2 UID],Tasks[[#This Row],[UID]])))</f>
        <v>0</v>
      </c>
      <c r="CE15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1" s="103" t="str">
        <f aca="false">IF(NOT(Tasks[[#This Row],[_IsLeaf]]=1),"",MIN(ProjectFinish,IF(N(Tasks[[#This Row],[Deadline]])&gt;0,Tasks[[#This Row],[Deadline]],2958465),Tasks[[#This Row],[_SuccessorFinishLimit]]))</f>
        <v/>
      </c>
      <c r="CG151" s="103" t="str">
        <f aca="false">IF(NOT(Tasks[[#This Row],[_IsLeaf]]=1),"",IF(N(Tasks[[#This Row],[Duration]])&lt;=0,Tasks[[#This Row],[_LeafLateFinish]],WORKDAY.INTL(Tasks[[#This Row],[_LeafLateFinish]],-(Tasks[[#This Row],[Duration]]-1),WorkWeek,Holidays)))</f>
        <v/>
      </c>
      <c r="CH1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1" s="102" t="b">
        <f aca="false">AND(Tasks[[#This Row],[_IsLeaf]]=1,Tasks[[#This Row],[_LeafProgress]]&lt;1,N(Tasks[[#This Row],[_LeafTotalSlack]])&lt;=CriticalSlackDays)</f>
        <v>0</v>
      </c>
      <c r="CJ151" s="103" t="str">
        <f aca="false">IF(Tasks[[#This Row],[Task Name]]="","",IF(Tasks[[#This Row],[_IsSummary]],MIN(INDEX(Tasks[_LeafCalcStart],Tasks[[#This Row],[_Row]]+1):INDEX(Tasks[_LeafCalcStart],Tasks[[#This Row],[_Row]]+Tasks[[#This Row],[_Descendants]])),Tasks[[#This Row],[_LeafCalcStart]]))</f>
        <v/>
      </c>
      <c r="CK151" s="103" t="str">
        <f aca="false">IF(Tasks[[#This Row],[Task Name]]="","",IF(Tasks[[#This Row],[_IsSummary]],MAX(INDEX(Tasks[_LeafCalcFinish],Tasks[[#This Row],[_Row]]+1):INDEX(Tasks[_LeafCalcFinish],Tasks[[#This Row],[_Row]]+Tasks[[#This Row],[_Descendants]])),Tasks[[#This Row],[_LeafCalcFinish]]))</f>
        <v/>
      </c>
      <c r="CL1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1" s="41" t="n">
        <f aca="false">IF(AND(Tasks[[#This Row],[_IsLeaf]]=1,Tasks[[#This Row],[_LeafWork]]&gt;0),NETWORKDAYS.INTL(ProjectStart,Tasks[[#This Row],[_LeafFcstStart]],WorkWeek,Holidays),0)</f>
        <v>0</v>
      </c>
      <c r="CS151" s="41" t="n">
        <f aca="false">IF(AND(Tasks[[#This Row],[_IsLeaf]]=1,Tasks[[#This Row],[_LeafWork]]&gt;0),MAX(Tasks[[#This Row],[_StartWorkday]],NETWORKDAYS.INTL(ProjectStart,Tasks[[#This Row],[_LeafFcstFinish]],WorkWeek,Holidays)),0)</f>
        <v>0</v>
      </c>
      <c r="CT151" s="41" t="n">
        <f aca="false">IF(AND(Tasks[[#This Row],[_IsLeaf]]=1,Tasks[[#This Row],[_LeafWork]]&gt;0),Tasks[[#This Row],[_LeafWork]]/(Tasks[[#This Row],[_FinishWorkday]]-Tasks[[#This Row],[_StartWorkday]]+1),0)</f>
        <v>0</v>
      </c>
      <c r="CU151" s="41" t="n">
        <f aca="false">Tasks[[#This Row],[_WorkPerWorkday]]*(Tasks[[#This Row],[_StartWorkday]]-1)</f>
        <v>-0</v>
      </c>
      <c r="CV151" s="41" t="n">
        <f aca="false">IF(Tasks[[#This Row],[_IsLeaf]]=1,MAX(N(Tasks[[#This Row],[Duration]]),0.1),0)</f>
        <v>0</v>
      </c>
      <c r="CW151" s="41" t="n">
        <f aca="false">Tasks[[#This Row],[_WeightDur]]*Tasks[[#This Row],[_LeafProgress]]</f>
        <v>0</v>
      </c>
      <c r="CX1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1" s="41" t="str">
        <f aca="false">IF(Tasks[[#This Row],[Task Name]]="","",Tasks[[#This Row],[_Pred1UIDText]]&amp;IF(AND(Tasks[[#This Row],[_Pred1UIDText]]&lt;&gt;"",Tasks[[#This Row],[_Pred2UIDText]]&lt;&gt;""),",","")&amp;Tasks[[#This Row],[_Pred2UIDText]])</f>
        <v/>
      </c>
      <c r="DC151" s="41" t="str">
        <f aca="false">IF(AND(Tasks[[#This Row],[_IsLeaf]]=1,N(Tasks[[#This Row],[Duration]])=0,Tasks[[#This Row],[_LeafProgress]]&lt;1),Tasks[[#This Row],[_LeafFcstFinish]]+Tasks[[#This Row],[_Row]]/100000,"")</f>
        <v/>
      </c>
      <c r="DD1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1" s="41" t="n">
        <f aca="false">IF(NOT(Tasks[[#This Row],[_IsLeaf]]=1),0,IF(Tasks[[#This Row],[Baseline Cost]]="",Tasks[[#This Row],[_LeafCost]],N(Tasks[[#This Row],[Baseline Cost]])))</f>
        <v>0</v>
      </c>
      <c r="DF151" s="41" t="n">
        <f aca="false">Tasks[[#This Row],[_LeafBudget]]*Tasks[[#This Row],[_PlannedPct]]</f>
        <v>0</v>
      </c>
      <c r="DG151" s="41" t="n">
        <f aca="false">Tasks[[#This Row],[_LeafBudget]]*Tasks[[#This Row],[_LeafProgress]]</f>
        <v>0</v>
      </c>
      <c r="DH151" s="41" t="n">
        <f aca="false">IF(NOT(Tasks[[#This Row],[_IsLeaf]]=1),0,IF(Tasks[[#This Row],[Actual Cost]]="",Tasks[[#This Row],[_LeafCost]]*Tasks[[#This Row],[_LeafProgress]],N(Tasks[[#This Row],[Actual Cost]])))</f>
        <v>0</v>
      </c>
      <c r="DI151" s="41" t="str">
        <f aca="false">IF(Tasks[[#This Row],[Task Name]]="","",LEFT(Tasks[[#This Row],[WBS]],FIND(".",Tasks[[#This Row],[WBS]]&amp;".")-1))</f>
        <v/>
      </c>
      <c r="DJ151" s="41" t="str">
        <f aca="false">IF(AND(Tasks[[#This Row],[Task Name]]&lt;&gt;"",Tasks[[#This Row],[_Level]]=1),Tasks[[#This Row],[_Row]],"")</f>
        <v/>
      </c>
      <c r="DK151" s="41" t="str">
        <f aca="false">IF(AND(Tasks[[#This Row],[_IsLeaf]]=1,N(Tasks[[#This Row],[Duration]])=0),Tasks[[#This Row],[Planned Finish]]+Tasks[[#This Row],[_Row]]/100000,"")</f>
        <v/>
      </c>
      <c r="DL151" s="41" t="str">
        <f aca="false">IF(AND(Tasks[[#This Row],[_IsLeaf]]=1,Tasks[[#This Row],[_LeafProgress]]&lt;1,OR(N(Tasks[[#This Row],[Finish Var]])&gt;0,Tasks[[#This Row],[Status]]="Late Start")),MAX(0,Tasks[[#This Row],[Finish Var]])+1-Tasks[[#This Row],[_Row]]/1000000,"")</f>
        <v/>
      </c>
      <c r="DM151" s="41" t="str">
        <f aca="false">IF(AND(Tasks[[#This Row],[_IsLeaf]]=1,N(Tasks[[#This Row],[Actual Start]])=0,Tasks[[#This Row],[_LeafFcstStart]]&gt;=StatusDate,Tasks[[#This Row],[_LeafFcstStart]]&lt;=LookaheadEnd),Tasks[[#This Row],[_LeafFcstStart]]+Tasks[[#This Row],[_Row]]/100000,"")</f>
        <v/>
      </c>
      <c r="DN151" s="41" t="str">
        <f aca="false">IF(AND(Tasks[[#This Row],[_IsLeaf]]=1,Tasks[[#This Row],[_LeafProgress]]&lt;1,Tasks[[#This Row],[_LeafFcstFinish]]&gt;=StatusDate,Tasks[[#This Row],[_LeafFcstFinish]]&lt;=LookaheadEnd),Tasks[[#This Row],[_LeafFcstFinish]]+Tasks[[#This Row],[_Row]]/100000,"")</f>
        <v/>
      </c>
      <c r="DO151" s="41" t="str">
        <f aca="false">IF(Tasks[[#This Row],[_LeafCritical]],Tasks[[#This Row],[_LeafFcstStart]]+Tasks[[#This Row],[_Row]]/100000,"")</f>
        <v/>
      </c>
      <c r="DP151" s="41" t="n">
        <f aca="false">Tasks[[#This Row],[_LeafWork]]*Tasks[[#This Row],[_LeafProgress]]</f>
        <v>0</v>
      </c>
      <c r="DQ151" s="103" t="str">
        <f aca="false">IF(AND(Tasks[[#This Row],[_IsLeaf]]=1,Tasks[[#This Row],[_LeafProgress]]&gt;=1),IF(N(Tasks[[#This Row],[Actual Finish]])&gt;0,Tasks[[#This Row],[Actual Finish]],Tasks[[#This Row],[_LeafFcstFinish]]),"")</f>
        <v/>
      </c>
      <c r="DR151" s="41" t="n">
        <f aca="false">IF(Tasks[[#This Row],[_IsLeaf]]=1,N(Tasks[[#This Row],[Story Points]]),0)</f>
        <v>0</v>
      </c>
      <c r="DS151" s="41" t="str">
        <f aca="false">IF(AND(Tasks[[#This Row],[_IsLeaf]]=1,CurrentSprint&lt;&gt;"",Tasks[[#This Row],[Sprint]]=CurrentSprint),Tasks[[#This Row],[_Row]],"")</f>
        <v/>
      </c>
    </row>
    <row r="152" customFormat="false" ht="15" hidden="false" customHeight="false" outlineLevel="0" collapsed="false">
      <c r="A152" s="28" t="str">
        <f aca="false">IF(Tasks[[#This Row],[Task Name]]="","",COUNTA(Tasks[[#Headers],[Task Name]]:Tasks[[#This Row],[Task Name]])-1)</f>
        <v/>
      </c>
      <c r="B152" s="29" t="n">
        <v>147</v>
      </c>
      <c r="C1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29"/>
      <c r="E152" s="30"/>
      <c r="F152" s="29"/>
      <c r="G152" s="29"/>
      <c r="H152" s="29"/>
      <c r="I152" s="29"/>
      <c r="J152" s="29"/>
      <c r="K152" s="29"/>
      <c r="L152" s="29"/>
      <c r="M152" s="29"/>
      <c r="N152" s="77"/>
      <c r="O152" s="77"/>
      <c r="P152" s="25" t="str">
        <f aca="false">IF(Tasks[[#This Row],[Task Name]]="","",IF(N(Tasks[[#This Row],[Baseline Start]])&gt;0,Tasks[[#This Row],[Baseline Start]],Tasks[[#This Row],[_CalcStart]]))</f>
        <v/>
      </c>
      <c r="Q152" s="25" t="str">
        <f aca="false">IF(Tasks[[#This Row],[Task Name]]="","",IF(N(Tasks[[#This Row],[Baseline Finish]])&gt;0,Tasks[[#This Row],[Baseline Finish]],Tasks[[#This Row],[_CalcFinish]]))</f>
        <v/>
      </c>
      <c r="R152" s="77"/>
      <c r="S152" s="77"/>
      <c r="T152" s="25" t="str">
        <f aca="false">IF(Tasks[[#This Row],[Task Name]]="","",IF(Tasks[[#This Row],[_IsSummary]],MIN(INDEX(Tasks[_LeafFcstStart],Tasks[[#This Row],[_Row]]+1):INDEX(Tasks[_LeafFcstStart],Tasks[[#This Row],[_Row]]+Tasks[[#This Row],[_Descendants]])),Tasks[[#This Row],[_LeafFcstStart]]))</f>
        <v/>
      </c>
      <c r="U152" s="25" t="str">
        <f aca="false">IF(Tasks[[#This Row],[Task Name]]="","",IF(Tasks[[#This Row],[_IsSummary]],MAX(INDEX(Tasks[_LeafFcstFinish],Tasks[[#This Row],[_Row]]+1):INDEX(Tasks[_LeafFcstFinish],Tasks[[#This Row],[_Row]]+Tasks[[#This Row],[_Descendants]])),Tasks[[#This Row],[_LeafFcstFinish]]))</f>
        <v/>
      </c>
      <c r="V15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2" s="25" t="str">
        <f aca="false">IF(Tasks[[#This Row],[Task Name]]="","",IF(Tasks[[#This Row],[_IsSummary]],MIN(INDEX(Tasks[_LeafLateStart],Tasks[[#This Row],[_Row]]+1):INDEX(Tasks[_LeafLateStart],Tasks[[#This Row],[_Row]]+Tasks[[#This Row],[_Descendants]])),Tasks[[#This Row],[_LeafLateStart]]))</f>
        <v/>
      </c>
      <c r="Y152" s="25" t="str">
        <f aca="false">IF(Tasks[[#This Row],[Task Name]]="","",IF(Tasks[[#This Row],[_IsSummary]],MAX(INDEX(Tasks[_LeafLateFinish],Tasks[[#This Row],[_Row]]+1):INDEX(Tasks[_LeafLateFinish],Tasks[[#This Row],[_Row]]+Tasks[[#This Row],[_Descendants]])),Tasks[[#This Row],[_LeafLateFinish]]))</f>
        <v/>
      </c>
      <c r="Z152" s="43" t="str">
        <f aca="false">IF(Tasks[[#This Row],[Task Name]]="","",IF(Tasks[[#This Row],[_IsSummary]],MIN(INDEX(Tasks[_LeafTotalSlack],Tasks[[#This Row],[_Row]]+1):INDEX(Tasks[_LeafTotalSlack],Tasks[[#This Row],[_Row]]+Tasks[[#This Row],[_Descendants]])),Tasks[[#This Row],[_LeafTotalSlack]]))</f>
        <v/>
      </c>
      <c r="AA1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2" s="28" t="str">
        <f aca="false">IF(Tasks[[#This Row],[Task Name]]="","",IF(IF(Tasks[[#This Row],[_IsSummary]],COUNTIF(INDEX(Tasks[_LeafCritical],Tasks[[#This Row],[_Row]]+1):INDEX(Tasks[_LeafCritical],Tasks[[#This Row],[_Row]]+Tasks[[#This Row],[_Descendants]]),TRUE())&gt;0,Tasks[[#This Row],[_LeafCritical]]),"Yes",""))</f>
        <v/>
      </c>
      <c r="AC1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2" s="24" t="str">
        <f aca="false">IF(Tasks[[#This Row],[Task Name]]="","",TRIM(IF(Tasks[[#This Row],[_Pred1Problem]]&lt;&gt;"","Pred 1: "&amp;Tasks[[#This Row],[_Pred1Problem]]&amp;". ","")&amp;IF(Tasks[[#This Row],[_Pred2Problem]]&lt;&gt;"","Pred 2: "&amp;Tasks[[#This Row],[_Pred2Problem]]&amp;".","")))</f>
        <v/>
      </c>
      <c r="AE152" s="91"/>
      <c r="AF15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2" s="28" t="str">
        <f aca="false">IF(Tasks[[#This Row],[Task Name]]="","",IF(Tasks[[#This Row],[Progress]]&gt;=1,"Complete",IF(OR(N(Tasks[[#This Row],[Actual Start]])&gt;0,Tasks[[#This Row],[Progress]]&gt;0),IF(Tasks[[#This Row],[Finish Var]]&gt;0,"Behind","In Progress"),IF(Tasks[[#This Row],[Planned Start]]&lt;StatusDate,"Late Start","Not Started"))))</f>
        <v/>
      </c>
      <c r="AH152" s="30"/>
      <c r="AI152" s="91"/>
      <c r="AJ15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2" s="98" t="str">
        <f aca="false">IF(Tasks[[#This Row],[Task Name]]="","",IF(Tasks[[#This Row],[_IsSummary]],SUM(INDEX(Tasks[_LeafWork],Tasks[[#This Row],[_Row]]+1):INDEX(Tasks[_LeafWork],Tasks[[#This Row],[_Row]]+Tasks[[#This Row],[_Descendants]])),Tasks[[#This Row],[_LeafWork]]))</f>
        <v/>
      </c>
      <c r="AL152" s="99" t="str">
        <f aca="false">IF(Tasks[[#This Row],[Task Name]]="","",IF(Tasks[[#This Row],[_IsSummary]],SUM(INDEX(Tasks[_LeafCost],Tasks[[#This Row],[_Row]]+1):INDEX(Tasks[_LeafCost],Tasks[[#This Row],[_Row]]+Tasks[[#This Row],[_Descendants]])),Tasks[[#This Row],[_LeafCost]]))</f>
        <v/>
      </c>
      <c r="AM152" s="100"/>
      <c r="AN152" s="29"/>
      <c r="AO1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2" s="85"/>
      <c r="AQ152" s="24" t="str">
        <f aca="false">IF(Tasks[[#This Row],[Task Name]]="","",Tasks[[#This Row],[_Pred1IDText]]&amp;IF(AND(Tasks[[#This Row],[_Pred1IDText]]&lt;&gt;"",Tasks[[#This Row],[_Pred2IDText]]&lt;&gt;""),",","")&amp;Tasks[[#This Row],[_Pred2IDText]])</f>
        <v/>
      </c>
      <c r="AR152" s="30"/>
      <c r="AS152" s="25" t="str">
        <f aca="false">IF(Tasks[[#This Row],[Task Name]]="","",Tasks[[#This Row],[Forecast Start]])</f>
        <v/>
      </c>
      <c r="AT152" s="25" t="str">
        <f aca="false">IF(Tasks[[#This Row],[Task Name]]="","",Tasks[[#This Row],[Forecast Finish]])</f>
        <v/>
      </c>
      <c r="AU152" s="28" t="str">
        <f aca="false">IF(Tasks[[#This Row],[Task Name]]="","",IF(Tasks[[#This Row],[_IsSummary]],NETWORKDAYS.INTL(Tasks[[#This Row],[Forecast Start]],Tasks[[#This Row],[Forecast Finish]],WorkWeek,Holidays),N(Tasks[[#This Row],[Duration]])))</f>
        <v/>
      </c>
      <c r="AV152" s="98" t="str">
        <f aca="false">IF(Tasks[[#This Row],[Task Name]]="","",Tasks[[#This Row],[Work]])</f>
        <v/>
      </c>
      <c r="AW152" s="99" t="str">
        <f aca="false">IF(Tasks[[#This Row],[Task Name]]="","",Tasks[[#This Row],[Cost]])</f>
        <v/>
      </c>
      <c r="AX152" s="77"/>
      <c r="AY152" s="77"/>
      <c r="AZ152" s="29"/>
      <c r="BA152" s="101"/>
      <c r="BB152" s="100"/>
      <c r="BC152" s="28" t="str">
        <f aca="false">IF(OR(Tasks[[#This Row],[Task Name]]="",Tasks[[#This Row],[Baseline Duration]]=""),"",Tasks[[#This Row],[BL Source Duration]]-N(Tasks[[#This Row],[Baseline Duration]]))</f>
        <v/>
      </c>
      <c r="BD152" s="98" t="str">
        <f aca="false">IF(OR(Tasks[[#This Row],[Task Name]]="",Tasks[[#This Row],[Baseline Work]]=""),"",Tasks[[#This Row],[Work]]-N(Tasks[[#This Row],[Baseline Work]]))</f>
        <v/>
      </c>
      <c r="BE152" s="99" t="str">
        <f aca="false">IF(OR(Tasks[[#This Row],[Task Name]]="",Tasks[[#This Row],[Baseline Cost]]=""),"",Tasks[[#This Row],[Cost]]-N(Tasks[[#This Row],[Baseline Cost]]))</f>
        <v/>
      </c>
      <c r="BF152" s="99" t="str">
        <f aca="false">IF(Tasks[[#This Row],[Task Name]]="","",IF(Tasks[[#This Row],[_IsSummary]],SUM(INDEX(Tasks[_LeafBudget],Tasks[[#This Row],[_Row]]+1):INDEX(Tasks[_LeafBudget],Tasks[[#This Row],[_Row]]+Tasks[[#This Row],[_Descendants]])),Tasks[[#This Row],[_LeafBudget]]))</f>
        <v/>
      </c>
      <c r="BG152" s="99" t="str">
        <f aca="false">IF(Tasks[[#This Row],[Task Name]]="","",IF(Tasks[[#This Row],[_IsSummary]],SUM(INDEX(Tasks[_LeafPV],Tasks[[#This Row],[_Row]]+1):INDEX(Tasks[_LeafPV],Tasks[[#This Row],[_Row]]+Tasks[[#This Row],[_Descendants]])),Tasks[[#This Row],[_LeafPV]]))</f>
        <v/>
      </c>
      <c r="BH152" s="99" t="str">
        <f aca="false">IF(Tasks[[#This Row],[Task Name]]="","",IF(Tasks[[#This Row],[_IsSummary]],SUM(INDEX(Tasks[_LeafEV],Tasks[[#This Row],[_Row]]+1):INDEX(Tasks[_LeafEV],Tasks[[#This Row],[_Row]]+Tasks[[#This Row],[_Descendants]])),Tasks[[#This Row],[_LeafEV]]))</f>
        <v/>
      </c>
      <c r="BI152" s="99" t="str">
        <f aca="false">IF(Tasks[[#This Row],[Task Name]]="","",IF(Tasks[[#This Row],[_IsSummary]],SUM(INDEX(Tasks[_LeafAC],Tasks[[#This Row],[_Row]]+1):INDEX(Tasks[_LeafAC],Tasks[[#This Row],[_Row]]+Tasks[[#This Row],[_Descendants]])),Tasks[[#This Row],[_LeafAC]]))</f>
        <v/>
      </c>
      <c r="BJ152" s="41" t="str">
        <f aca="false">IF(Tasks[[#This Row],[Task Name]]="","",MAX(1,N(Tasks[[#This Row],[Level]])))</f>
        <v/>
      </c>
      <c r="BK152" s="41" t="n">
        <f aca="false">ROW()-ROW(Tasks[[#Headers],[ID]])</f>
        <v>147</v>
      </c>
      <c r="BL152" s="41" t="n">
        <f aca="false">IF(OR(Tasks[[#This Row],[Task Name]]="",Tasks[[#This Row],[_Level]]&lt;=1),0,IFERROR(LOOKUP(2,1/(Tasks[[#Headers],[_Level]]:Tasks[[#This Row],[_Level]]=Tasks[[#This Row],[_Level]]-1),ROW(Tasks[[#Headers],[_Level]]:Tasks[[#This Row],[_Level]])),0))</f>
        <v>0</v>
      </c>
      <c r="BM152" s="41" t="n">
        <f aca="false">IFERROR(N(INDEX(Tasks[_Level],Tasks[[#This Row],[_Row]]+1)),0)</f>
        <v>0</v>
      </c>
      <c r="BN152" s="102" t="b">
        <f aca="false">AND(Tasks[[#This Row],[Task Name]]&lt;&gt;"",Tasks[[#This Row],[_NextLevel]]&gt;Tasks[[#This Row],[_Level]])</f>
        <v>0</v>
      </c>
      <c r="BO152" s="41" t="n">
        <f aca="false">IF(Tasks[[#This Row],[_IsSummary]],COUNTIF(Tasks[WBS],Tasks[[#This Row],[WBS]]&amp;".*"),0)</f>
        <v>0</v>
      </c>
      <c r="BP152" s="41" t="n">
        <f aca="false">IF(AND(Tasks[[#This Row],[Task Name]]&lt;&gt;"",NOT(Tasks[[#This Row],[_IsSummary]])),1,0)</f>
        <v>0</v>
      </c>
      <c r="BQ152" s="41" t="n">
        <f aca="false">IF(N(Tasks[[#This Row],[Pred1 UID]])=0,0,IFERROR(MATCH(Tasks[[#This Row],[Pred1 UID]],Tasks[UID],0),-1))</f>
        <v>0</v>
      </c>
      <c r="BR152" s="41" t="n">
        <f aca="false">IF(N(Tasks[[#This Row],[Pred2 UID]])=0,0,IFERROR(MATCH(Tasks[[#This Row],[Pred2 UID]],Tasks[UID],0),-1))</f>
        <v>0</v>
      </c>
      <c r="BS15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2" s="103" t="str">
        <f aca="false">IF(NOT(Tasks[[#This Row],[_IsLeaf]]=1),"",IF(N(Tasks[[#This Row],[Duration]])&lt;=0,Tasks[[#This Row],[_LeafCalcStart]],WORKDAY.INTL(Tasks[[#This Row],[_LeafCalcStart]],Tasks[[#This Row],[Duration]]-1,WorkWeek,Holidays)))</f>
        <v/>
      </c>
      <c r="BU15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2" s="41" t="n">
        <f aca="false">IF(NOT(Tasks[[#This Row],[_IsLeaf]]=1),0,IF(N(Tasks[[#This Row],[Actual Finish]])&gt;0,1,MIN(1,N(Tasks[[#This Row],[% Complete]]))))</f>
        <v>0</v>
      </c>
      <c r="BX152" s="41" t="n">
        <f aca="false">IF(OR(NOT(Tasks[[#This Row],[_IsLeaf]]=1),Tasks[[#This Row],[Resource]]=""),0,N(Tasks[[#This Row],[Duration]])*HoursPerDay*IF(Tasks[[#This Row],[Units]]="",DefaultUnits,Tasks[[#This Row],[Units]]))</f>
        <v>0</v>
      </c>
      <c r="BY152" s="41" t="n">
        <f aca="false">IF(Tasks[[#This Row],[_LeafWork]]=0,0,Tasks[[#This Row],[_LeafWork]]*IFERROR(INDEX(res_Rate,MATCH(Tasks[[#This Row],[Resource]],res_Name,0)),0))</f>
        <v>0</v>
      </c>
      <c r="BZ1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2" s="41" t="n">
        <f aca="false">IF(NOT(Tasks[[#This Row],[_IsLeaf]]=1),0,MAX(_xlfn.MAXIFS(Tasks[_Row],Tasks[Pred1 UID],Tasks[[#This Row],[UID]]),_xlfn.MAXIFS(Tasks[_Row],Tasks[Pred2 UID],Tasks[[#This Row],[UID]])))</f>
        <v>0</v>
      </c>
      <c r="CE15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2" s="103" t="str">
        <f aca="false">IF(NOT(Tasks[[#This Row],[_IsLeaf]]=1),"",MIN(ProjectFinish,IF(N(Tasks[[#This Row],[Deadline]])&gt;0,Tasks[[#This Row],[Deadline]],2958465),Tasks[[#This Row],[_SuccessorFinishLimit]]))</f>
        <v/>
      </c>
      <c r="CG152" s="103" t="str">
        <f aca="false">IF(NOT(Tasks[[#This Row],[_IsLeaf]]=1),"",IF(N(Tasks[[#This Row],[Duration]])&lt;=0,Tasks[[#This Row],[_LeafLateFinish]],WORKDAY.INTL(Tasks[[#This Row],[_LeafLateFinish]],-(Tasks[[#This Row],[Duration]]-1),WorkWeek,Holidays)))</f>
        <v/>
      </c>
      <c r="CH1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2" s="102" t="b">
        <f aca="false">AND(Tasks[[#This Row],[_IsLeaf]]=1,Tasks[[#This Row],[_LeafProgress]]&lt;1,N(Tasks[[#This Row],[_LeafTotalSlack]])&lt;=CriticalSlackDays)</f>
        <v>0</v>
      </c>
      <c r="CJ152" s="103" t="str">
        <f aca="false">IF(Tasks[[#This Row],[Task Name]]="","",IF(Tasks[[#This Row],[_IsSummary]],MIN(INDEX(Tasks[_LeafCalcStart],Tasks[[#This Row],[_Row]]+1):INDEX(Tasks[_LeafCalcStart],Tasks[[#This Row],[_Row]]+Tasks[[#This Row],[_Descendants]])),Tasks[[#This Row],[_LeafCalcStart]]))</f>
        <v/>
      </c>
      <c r="CK152" s="103" t="str">
        <f aca="false">IF(Tasks[[#This Row],[Task Name]]="","",IF(Tasks[[#This Row],[_IsSummary]],MAX(INDEX(Tasks[_LeafCalcFinish],Tasks[[#This Row],[_Row]]+1):INDEX(Tasks[_LeafCalcFinish],Tasks[[#This Row],[_Row]]+Tasks[[#This Row],[_Descendants]])),Tasks[[#This Row],[_LeafCalcFinish]]))</f>
        <v/>
      </c>
      <c r="CL1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2" s="41" t="n">
        <f aca="false">IF(AND(Tasks[[#This Row],[_IsLeaf]]=1,Tasks[[#This Row],[_LeafWork]]&gt;0),NETWORKDAYS.INTL(ProjectStart,Tasks[[#This Row],[_LeafFcstStart]],WorkWeek,Holidays),0)</f>
        <v>0</v>
      </c>
      <c r="CS152" s="41" t="n">
        <f aca="false">IF(AND(Tasks[[#This Row],[_IsLeaf]]=1,Tasks[[#This Row],[_LeafWork]]&gt;0),MAX(Tasks[[#This Row],[_StartWorkday]],NETWORKDAYS.INTL(ProjectStart,Tasks[[#This Row],[_LeafFcstFinish]],WorkWeek,Holidays)),0)</f>
        <v>0</v>
      </c>
      <c r="CT152" s="41" t="n">
        <f aca="false">IF(AND(Tasks[[#This Row],[_IsLeaf]]=1,Tasks[[#This Row],[_LeafWork]]&gt;0),Tasks[[#This Row],[_LeafWork]]/(Tasks[[#This Row],[_FinishWorkday]]-Tasks[[#This Row],[_StartWorkday]]+1),0)</f>
        <v>0</v>
      </c>
      <c r="CU152" s="41" t="n">
        <f aca="false">Tasks[[#This Row],[_WorkPerWorkday]]*(Tasks[[#This Row],[_StartWorkday]]-1)</f>
        <v>-0</v>
      </c>
      <c r="CV152" s="41" t="n">
        <f aca="false">IF(Tasks[[#This Row],[_IsLeaf]]=1,MAX(N(Tasks[[#This Row],[Duration]]),0.1),0)</f>
        <v>0</v>
      </c>
      <c r="CW152" s="41" t="n">
        <f aca="false">Tasks[[#This Row],[_WeightDur]]*Tasks[[#This Row],[_LeafProgress]]</f>
        <v>0</v>
      </c>
      <c r="CX1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2" s="41" t="str">
        <f aca="false">IF(Tasks[[#This Row],[Task Name]]="","",Tasks[[#This Row],[_Pred1UIDText]]&amp;IF(AND(Tasks[[#This Row],[_Pred1UIDText]]&lt;&gt;"",Tasks[[#This Row],[_Pred2UIDText]]&lt;&gt;""),",","")&amp;Tasks[[#This Row],[_Pred2UIDText]])</f>
        <v/>
      </c>
      <c r="DC152" s="41" t="str">
        <f aca="false">IF(AND(Tasks[[#This Row],[_IsLeaf]]=1,N(Tasks[[#This Row],[Duration]])=0,Tasks[[#This Row],[_LeafProgress]]&lt;1),Tasks[[#This Row],[_LeafFcstFinish]]+Tasks[[#This Row],[_Row]]/100000,"")</f>
        <v/>
      </c>
      <c r="DD1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2" s="41" t="n">
        <f aca="false">IF(NOT(Tasks[[#This Row],[_IsLeaf]]=1),0,IF(Tasks[[#This Row],[Baseline Cost]]="",Tasks[[#This Row],[_LeafCost]],N(Tasks[[#This Row],[Baseline Cost]])))</f>
        <v>0</v>
      </c>
      <c r="DF152" s="41" t="n">
        <f aca="false">Tasks[[#This Row],[_LeafBudget]]*Tasks[[#This Row],[_PlannedPct]]</f>
        <v>0</v>
      </c>
      <c r="DG152" s="41" t="n">
        <f aca="false">Tasks[[#This Row],[_LeafBudget]]*Tasks[[#This Row],[_LeafProgress]]</f>
        <v>0</v>
      </c>
      <c r="DH152" s="41" t="n">
        <f aca="false">IF(NOT(Tasks[[#This Row],[_IsLeaf]]=1),0,IF(Tasks[[#This Row],[Actual Cost]]="",Tasks[[#This Row],[_LeafCost]]*Tasks[[#This Row],[_LeafProgress]],N(Tasks[[#This Row],[Actual Cost]])))</f>
        <v>0</v>
      </c>
      <c r="DI152" s="41" t="str">
        <f aca="false">IF(Tasks[[#This Row],[Task Name]]="","",LEFT(Tasks[[#This Row],[WBS]],FIND(".",Tasks[[#This Row],[WBS]]&amp;".")-1))</f>
        <v/>
      </c>
      <c r="DJ152" s="41" t="str">
        <f aca="false">IF(AND(Tasks[[#This Row],[Task Name]]&lt;&gt;"",Tasks[[#This Row],[_Level]]=1),Tasks[[#This Row],[_Row]],"")</f>
        <v/>
      </c>
      <c r="DK152" s="41" t="str">
        <f aca="false">IF(AND(Tasks[[#This Row],[_IsLeaf]]=1,N(Tasks[[#This Row],[Duration]])=0),Tasks[[#This Row],[Planned Finish]]+Tasks[[#This Row],[_Row]]/100000,"")</f>
        <v/>
      </c>
      <c r="DL152" s="41" t="str">
        <f aca="false">IF(AND(Tasks[[#This Row],[_IsLeaf]]=1,Tasks[[#This Row],[_LeafProgress]]&lt;1,OR(N(Tasks[[#This Row],[Finish Var]])&gt;0,Tasks[[#This Row],[Status]]="Late Start")),MAX(0,Tasks[[#This Row],[Finish Var]])+1-Tasks[[#This Row],[_Row]]/1000000,"")</f>
        <v/>
      </c>
      <c r="DM152" s="41" t="str">
        <f aca="false">IF(AND(Tasks[[#This Row],[_IsLeaf]]=1,N(Tasks[[#This Row],[Actual Start]])=0,Tasks[[#This Row],[_LeafFcstStart]]&gt;=StatusDate,Tasks[[#This Row],[_LeafFcstStart]]&lt;=LookaheadEnd),Tasks[[#This Row],[_LeafFcstStart]]+Tasks[[#This Row],[_Row]]/100000,"")</f>
        <v/>
      </c>
      <c r="DN152" s="41" t="str">
        <f aca="false">IF(AND(Tasks[[#This Row],[_IsLeaf]]=1,Tasks[[#This Row],[_LeafProgress]]&lt;1,Tasks[[#This Row],[_LeafFcstFinish]]&gt;=StatusDate,Tasks[[#This Row],[_LeafFcstFinish]]&lt;=LookaheadEnd),Tasks[[#This Row],[_LeafFcstFinish]]+Tasks[[#This Row],[_Row]]/100000,"")</f>
        <v/>
      </c>
      <c r="DO152" s="41" t="str">
        <f aca="false">IF(Tasks[[#This Row],[_LeafCritical]],Tasks[[#This Row],[_LeafFcstStart]]+Tasks[[#This Row],[_Row]]/100000,"")</f>
        <v/>
      </c>
      <c r="DP152" s="41" t="n">
        <f aca="false">Tasks[[#This Row],[_LeafWork]]*Tasks[[#This Row],[_LeafProgress]]</f>
        <v>0</v>
      </c>
      <c r="DQ152" s="103" t="str">
        <f aca="false">IF(AND(Tasks[[#This Row],[_IsLeaf]]=1,Tasks[[#This Row],[_LeafProgress]]&gt;=1),IF(N(Tasks[[#This Row],[Actual Finish]])&gt;0,Tasks[[#This Row],[Actual Finish]],Tasks[[#This Row],[_LeafFcstFinish]]),"")</f>
        <v/>
      </c>
      <c r="DR152" s="41" t="n">
        <f aca="false">IF(Tasks[[#This Row],[_IsLeaf]]=1,N(Tasks[[#This Row],[Story Points]]),0)</f>
        <v>0</v>
      </c>
      <c r="DS152" s="41" t="str">
        <f aca="false">IF(AND(Tasks[[#This Row],[_IsLeaf]]=1,CurrentSprint&lt;&gt;"",Tasks[[#This Row],[Sprint]]=CurrentSprint),Tasks[[#This Row],[_Row]],"")</f>
        <v/>
      </c>
    </row>
    <row r="153" customFormat="false" ht="15" hidden="false" customHeight="false" outlineLevel="0" collapsed="false">
      <c r="A153" s="28" t="str">
        <f aca="false">IF(Tasks[[#This Row],[Task Name]]="","",COUNTA(Tasks[[#Headers],[Task Name]]:Tasks[[#This Row],[Task Name]])-1)</f>
        <v/>
      </c>
      <c r="B153" s="29" t="n">
        <v>148</v>
      </c>
      <c r="C1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29"/>
      <c r="E153" s="30"/>
      <c r="F153" s="29"/>
      <c r="G153" s="29"/>
      <c r="H153" s="29"/>
      <c r="I153" s="29"/>
      <c r="J153" s="29"/>
      <c r="K153" s="29"/>
      <c r="L153" s="29"/>
      <c r="M153" s="29"/>
      <c r="N153" s="77"/>
      <c r="O153" s="77"/>
      <c r="P153" s="25" t="str">
        <f aca="false">IF(Tasks[[#This Row],[Task Name]]="","",IF(N(Tasks[[#This Row],[Baseline Start]])&gt;0,Tasks[[#This Row],[Baseline Start]],Tasks[[#This Row],[_CalcStart]]))</f>
        <v/>
      </c>
      <c r="Q153" s="25" t="str">
        <f aca="false">IF(Tasks[[#This Row],[Task Name]]="","",IF(N(Tasks[[#This Row],[Baseline Finish]])&gt;0,Tasks[[#This Row],[Baseline Finish]],Tasks[[#This Row],[_CalcFinish]]))</f>
        <v/>
      </c>
      <c r="R153" s="77"/>
      <c r="S153" s="77"/>
      <c r="T153" s="25" t="str">
        <f aca="false">IF(Tasks[[#This Row],[Task Name]]="","",IF(Tasks[[#This Row],[_IsSummary]],MIN(INDEX(Tasks[_LeafFcstStart],Tasks[[#This Row],[_Row]]+1):INDEX(Tasks[_LeafFcstStart],Tasks[[#This Row],[_Row]]+Tasks[[#This Row],[_Descendants]])),Tasks[[#This Row],[_LeafFcstStart]]))</f>
        <v/>
      </c>
      <c r="U153" s="25" t="str">
        <f aca="false">IF(Tasks[[#This Row],[Task Name]]="","",IF(Tasks[[#This Row],[_IsSummary]],MAX(INDEX(Tasks[_LeafFcstFinish],Tasks[[#This Row],[_Row]]+1):INDEX(Tasks[_LeafFcstFinish],Tasks[[#This Row],[_Row]]+Tasks[[#This Row],[_Descendants]])),Tasks[[#This Row],[_LeafFcstFinish]]))</f>
        <v/>
      </c>
      <c r="V15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3" s="25" t="str">
        <f aca="false">IF(Tasks[[#This Row],[Task Name]]="","",IF(Tasks[[#This Row],[_IsSummary]],MIN(INDEX(Tasks[_LeafLateStart],Tasks[[#This Row],[_Row]]+1):INDEX(Tasks[_LeafLateStart],Tasks[[#This Row],[_Row]]+Tasks[[#This Row],[_Descendants]])),Tasks[[#This Row],[_LeafLateStart]]))</f>
        <v/>
      </c>
      <c r="Y153" s="25" t="str">
        <f aca="false">IF(Tasks[[#This Row],[Task Name]]="","",IF(Tasks[[#This Row],[_IsSummary]],MAX(INDEX(Tasks[_LeafLateFinish],Tasks[[#This Row],[_Row]]+1):INDEX(Tasks[_LeafLateFinish],Tasks[[#This Row],[_Row]]+Tasks[[#This Row],[_Descendants]])),Tasks[[#This Row],[_LeafLateFinish]]))</f>
        <v/>
      </c>
      <c r="Z153" s="43" t="str">
        <f aca="false">IF(Tasks[[#This Row],[Task Name]]="","",IF(Tasks[[#This Row],[_IsSummary]],MIN(INDEX(Tasks[_LeafTotalSlack],Tasks[[#This Row],[_Row]]+1):INDEX(Tasks[_LeafTotalSlack],Tasks[[#This Row],[_Row]]+Tasks[[#This Row],[_Descendants]])),Tasks[[#This Row],[_LeafTotalSlack]]))</f>
        <v/>
      </c>
      <c r="AA1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3" s="28" t="str">
        <f aca="false">IF(Tasks[[#This Row],[Task Name]]="","",IF(IF(Tasks[[#This Row],[_IsSummary]],COUNTIF(INDEX(Tasks[_LeafCritical],Tasks[[#This Row],[_Row]]+1):INDEX(Tasks[_LeafCritical],Tasks[[#This Row],[_Row]]+Tasks[[#This Row],[_Descendants]]),TRUE())&gt;0,Tasks[[#This Row],[_LeafCritical]]),"Yes",""))</f>
        <v/>
      </c>
      <c r="AC1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3" s="24" t="str">
        <f aca="false">IF(Tasks[[#This Row],[Task Name]]="","",TRIM(IF(Tasks[[#This Row],[_Pred1Problem]]&lt;&gt;"","Pred 1: "&amp;Tasks[[#This Row],[_Pred1Problem]]&amp;". ","")&amp;IF(Tasks[[#This Row],[_Pred2Problem]]&lt;&gt;"","Pred 2: "&amp;Tasks[[#This Row],[_Pred2Problem]]&amp;".","")))</f>
        <v/>
      </c>
      <c r="AE153" s="91"/>
      <c r="AF15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3" s="28" t="str">
        <f aca="false">IF(Tasks[[#This Row],[Task Name]]="","",IF(Tasks[[#This Row],[Progress]]&gt;=1,"Complete",IF(OR(N(Tasks[[#This Row],[Actual Start]])&gt;0,Tasks[[#This Row],[Progress]]&gt;0),IF(Tasks[[#This Row],[Finish Var]]&gt;0,"Behind","In Progress"),IF(Tasks[[#This Row],[Planned Start]]&lt;StatusDate,"Late Start","Not Started"))))</f>
        <v/>
      </c>
      <c r="AH153" s="30"/>
      <c r="AI153" s="91"/>
      <c r="AJ15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3" s="98" t="str">
        <f aca="false">IF(Tasks[[#This Row],[Task Name]]="","",IF(Tasks[[#This Row],[_IsSummary]],SUM(INDEX(Tasks[_LeafWork],Tasks[[#This Row],[_Row]]+1):INDEX(Tasks[_LeafWork],Tasks[[#This Row],[_Row]]+Tasks[[#This Row],[_Descendants]])),Tasks[[#This Row],[_LeafWork]]))</f>
        <v/>
      </c>
      <c r="AL153" s="99" t="str">
        <f aca="false">IF(Tasks[[#This Row],[Task Name]]="","",IF(Tasks[[#This Row],[_IsSummary]],SUM(INDEX(Tasks[_LeafCost],Tasks[[#This Row],[_Row]]+1):INDEX(Tasks[_LeafCost],Tasks[[#This Row],[_Row]]+Tasks[[#This Row],[_Descendants]])),Tasks[[#This Row],[_LeafCost]]))</f>
        <v/>
      </c>
      <c r="AM153" s="100"/>
      <c r="AN153" s="29"/>
      <c r="AO1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3" s="85"/>
      <c r="AQ153" s="24" t="str">
        <f aca="false">IF(Tasks[[#This Row],[Task Name]]="","",Tasks[[#This Row],[_Pred1IDText]]&amp;IF(AND(Tasks[[#This Row],[_Pred1IDText]]&lt;&gt;"",Tasks[[#This Row],[_Pred2IDText]]&lt;&gt;""),",","")&amp;Tasks[[#This Row],[_Pred2IDText]])</f>
        <v/>
      </c>
      <c r="AR153" s="30"/>
      <c r="AS153" s="25" t="str">
        <f aca="false">IF(Tasks[[#This Row],[Task Name]]="","",Tasks[[#This Row],[Forecast Start]])</f>
        <v/>
      </c>
      <c r="AT153" s="25" t="str">
        <f aca="false">IF(Tasks[[#This Row],[Task Name]]="","",Tasks[[#This Row],[Forecast Finish]])</f>
        <v/>
      </c>
      <c r="AU153" s="28" t="str">
        <f aca="false">IF(Tasks[[#This Row],[Task Name]]="","",IF(Tasks[[#This Row],[_IsSummary]],NETWORKDAYS.INTL(Tasks[[#This Row],[Forecast Start]],Tasks[[#This Row],[Forecast Finish]],WorkWeek,Holidays),N(Tasks[[#This Row],[Duration]])))</f>
        <v/>
      </c>
      <c r="AV153" s="98" t="str">
        <f aca="false">IF(Tasks[[#This Row],[Task Name]]="","",Tasks[[#This Row],[Work]])</f>
        <v/>
      </c>
      <c r="AW153" s="99" t="str">
        <f aca="false">IF(Tasks[[#This Row],[Task Name]]="","",Tasks[[#This Row],[Cost]])</f>
        <v/>
      </c>
      <c r="AX153" s="77"/>
      <c r="AY153" s="77"/>
      <c r="AZ153" s="29"/>
      <c r="BA153" s="101"/>
      <c r="BB153" s="100"/>
      <c r="BC153" s="28" t="str">
        <f aca="false">IF(OR(Tasks[[#This Row],[Task Name]]="",Tasks[[#This Row],[Baseline Duration]]=""),"",Tasks[[#This Row],[BL Source Duration]]-N(Tasks[[#This Row],[Baseline Duration]]))</f>
        <v/>
      </c>
      <c r="BD153" s="98" t="str">
        <f aca="false">IF(OR(Tasks[[#This Row],[Task Name]]="",Tasks[[#This Row],[Baseline Work]]=""),"",Tasks[[#This Row],[Work]]-N(Tasks[[#This Row],[Baseline Work]]))</f>
        <v/>
      </c>
      <c r="BE153" s="99" t="str">
        <f aca="false">IF(OR(Tasks[[#This Row],[Task Name]]="",Tasks[[#This Row],[Baseline Cost]]=""),"",Tasks[[#This Row],[Cost]]-N(Tasks[[#This Row],[Baseline Cost]]))</f>
        <v/>
      </c>
      <c r="BF153" s="99" t="str">
        <f aca="false">IF(Tasks[[#This Row],[Task Name]]="","",IF(Tasks[[#This Row],[_IsSummary]],SUM(INDEX(Tasks[_LeafBudget],Tasks[[#This Row],[_Row]]+1):INDEX(Tasks[_LeafBudget],Tasks[[#This Row],[_Row]]+Tasks[[#This Row],[_Descendants]])),Tasks[[#This Row],[_LeafBudget]]))</f>
        <v/>
      </c>
      <c r="BG153" s="99" t="str">
        <f aca="false">IF(Tasks[[#This Row],[Task Name]]="","",IF(Tasks[[#This Row],[_IsSummary]],SUM(INDEX(Tasks[_LeafPV],Tasks[[#This Row],[_Row]]+1):INDEX(Tasks[_LeafPV],Tasks[[#This Row],[_Row]]+Tasks[[#This Row],[_Descendants]])),Tasks[[#This Row],[_LeafPV]]))</f>
        <v/>
      </c>
      <c r="BH153" s="99" t="str">
        <f aca="false">IF(Tasks[[#This Row],[Task Name]]="","",IF(Tasks[[#This Row],[_IsSummary]],SUM(INDEX(Tasks[_LeafEV],Tasks[[#This Row],[_Row]]+1):INDEX(Tasks[_LeafEV],Tasks[[#This Row],[_Row]]+Tasks[[#This Row],[_Descendants]])),Tasks[[#This Row],[_LeafEV]]))</f>
        <v/>
      </c>
      <c r="BI153" s="99" t="str">
        <f aca="false">IF(Tasks[[#This Row],[Task Name]]="","",IF(Tasks[[#This Row],[_IsSummary]],SUM(INDEX(Tasks[_LeafAC],Tasks[[#This Row],[_Row]]+1):INDEX(Tasks[_LeafAC],Tasks[[#This Row],[_Row]]+Tasks[[#This Row],[_Descendants]])),Tasks[[#This Row],[_LeafAC]]))</f>
        <v/>
      </c>
      <c r="BJ153" s="41" t="str">
        <f aca="false">IF(Tasks[[#This Row],[Task Name]]="","",MAX(1,N(Tasks[[#This Row],[Level]])))</f>
        <v/>
      </c>
      <c r="BK153" s="41" t="n">
        <f aca="false">ROW()-ROW(Tasks[[#Headers],[ID]])</f>
        <v>148</v>
      </c>
      <c r="BL153" s="41" t="n">
        <f aca="false">IF(OR(Tasks[[#This Row],[Task Name]]="",Tasks[[#This Row],[_Level]]&lt;=1),0,IFERROR(LOOKUP(2,1/(Tasks[[#Headers],[_Level]]:Tasks[[#This Row],[_Level]]=Tasks[[#This Row],[_Level]]-1),ROW(Tasks[[#Headers],[_Level]]:Tasks[[#This Row],[_Level]])),0))</f>
        <v>0</v>
      </c>
      <c r="BM153" s="41" t="n">
        <f aca="false">IFERROR(N(INDEX(Tasks[_Level],Tasks[[#This Row],[_Row]]+1)),0)</f>
        <v>0</v>
      </c>
      <c r="BN153" s="102" t="b">
        <f aca="false">AND(Tasks[[#This Row],[Task Name]]&lt;&gt;"",Tasks[[#This Row],[_NextLevel]]&gt;Tasks[[#This Row],[_Level]])</f>
        <v>0</v>
      </c>
      <c r="BO153" s="41" t="n">
        <f aca="false">IF(Tasks[[#This Row],[_IsSummary]],COUNTIF(Tasks[WBS],Tasks[[#This Row],[WBS]]&amp;".*"),0)</f>
        <v>0</v>
      </c>
      <c r="BP153" s="41" t="n">
        <f aca="false">IF(AND(Tasks[[#This Row],[Task Name]]&lt;&gt;"",NOT(Tasks[[#This Row],[_IsSummary]])),1,0)</f>
        <v>0</v>
      </c>
      <c r="BQ153" s="41" t="n">
        <f aca="false">IF(N(Tasks[[#This Row],[Pred1 UID]])=0,0,IFERROR(MATCH(Tasks[[#This Row],[Pred1 UID]],Tasks[UID],0),-1))</f>
        <v>0</v>
      </c>
      <c r="BR153" s="41" t="n">
        <f aca="false">IF(N(Tasks[[#This Row],[Pred2 UID]])=0,0,IFERROR(MATCH(Tasks[[#This Row],[Pred2 UID]],Tasks[UID],0),-1))</f>
        <v>0</v>
      </c>
      <c r="BS15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3" s="103" t="str">
        <f aca="false">IF(NOT(Tasks[[#This Row],[_IsLeaf]]=1),"",IF(N(Tasks[[#This Row],[Duration]])&lt;=0,Tasks[[#This Row],[_LeafCalcStart]],WORKDAY.INTL(Tasks[[#This Row],[_LeafCalcStart]],Tasks[[#This Row],[Duration]]-1,WorkWeek,Holidays)))</f>
        <v/>
      </c>
      <c r="BU15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3" s="41" t="n">
        <f aca="false">IF(NOT(Tasks[[#This Row],[_IsLeaf]]=1),0,IF(N(Tasks[[#This Row],[Actual Finish]])&gt;0,1,MIN(1,N(Tasks[[#This Row],[% Complete]]))))</f>
        <v>0</v>
      </c>
      <c r="BX153" s="41" t="n">
        <f aca="false">IF(OR(NOT(Tasks[[#This Row],[_IsLeaf]]=1),Tasks[[#This Row],[Resource]]=""),0,N(Tasks[[#This Row],[Duration]])*HoursPerDay*IF(Tasks[[#This Row],[Units]]="",DefaultUnits,Tasks[[#This Row],[Units]]))</f>
        <v>0</v>
      </c>
      <c r="BY153" s="41" t="n">
        <f aca="false">IF(Tasks[[#This Row],[_LeafWork]]=0,0,Tasks[[#This Row],[_LeafWork]]*IFERROR(INDEX(res_Rate,MATCH(Tasks[[#This Row],[Resource]],res_Name,0)),0))</f>
        <v>0</v>
      </c>
      <c r="BZ1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3" s="41" t="n">
        <f aca="false">IF(NOT(Tasks[[#This Row],[_IsLeaf]]=1),0,MAX(_xlfn.MAXIFS(Tasks[_Row],Tasks[Pred1 UID],Tasks[[#This Row],[UID]]),_xlfn.MAXIFS(Tasks[_Row],Tasks[Pred2 UID],Tasks[[#This Row],[UID]])))</f>
        <v>0</v>
      </c>
      <c r="CE15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3" s="103" t="str">
        <f aca="false">IF(NOT(Tasks[[#This Row],[_IsLeaf]]=1),"",MIN(ProjectFinish,IF(N(Tasks[[#This Row],[Deadline]])&gt;0,Tasks[[#This Row],[Deadline]],2958465),Tasks[[#This Row],[_SuccessorFinishLimit]]))</f>
        <v/>
      </c>
      <c r="CG153" s="103" t="str">
        <f aca="false">IF(NOT(Tasks[[#This Row],[_IsLeaf]]=1),"",IF(N(Tasks[[#This Row],[Duration]])&lt;=0,Tasks[[#This Row],[_LeafLateFinish]],WORKDAY.INTL(Tasks[[#This Row],[_LeafLateFinish]],-(Tasks[[#This Row],[Duration]]-1),WorkWeek,Holidays)))</f>
        <v/>
      </c>
      <c r="CH1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3" s="102" t="b">
        <f aca="false">AND(Tasks[[#This Row],[_IsLeaf]]=1,Tasks[[#This Row],[_LeafProgress]]&lt;1,N(Tasks[[#This Row],[_LeafTotalSlack]])&lt;=CriticalSlackDays)</f>
        <v>0</v>
      </c>
      <c r="CJ153" s="103" t="str">
        <f aca="false">IF(Tasks[[#This Row],[Task Name]]="","",IF(Tasks[[#This Row],[_IsSummary]],MIN(INDEX(Tasks[_LeafCalcStart],Tasks[[#This Row],[_Row]]+1):INDEX(Tasks[_LeafCalcStart],Tasks[[#This Row],[_Row]]+Tasks[[#This Row],[_Descendants]])),Tasks[[#This Row],[_LeafCalcStart]]))</f>
        <v/>
      </c>
      <c r="CK153" s="103" t="str">
        <f aca="false">IF(Tasks[[#This Row],[Task Name]]="","",IF(Tasks[[#This Row],[_IsSummary]],MAX(INDEX(Tasks[_LeafCalcFinish],Tasks[[#This Row],[_Row]]+1):INDEX(Tasks[_LeafCalcFinish],Tasks[[#This Row],[_Row]]+Tasks[[#This Row],[_Descendants]])),Tasks[[#This Row],[_LeafCalcFinish]]))</f>
        <v/>
      </c>
      <c r="CL1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3" s="41" t="n">
        <f aca="false">IF(AND(Tasks[[#This Row],[_IsLeaf]]=1,Tasks[[#This Row],[_LeafWork]]&gt;0),NETWORKDAYS.INTL(ProjectStart,Tasks[[#This Row],[_LeafFcstStart]],WorkWeek,Holidays),0)</f>
        <v>0</v>
      </c>
      <c r="CS153" s="41" t="n">
        <f aca="false">IF(AND(Tasks[[#This Row],[_IsLeaf]]=1,Tasks[[#This Row],[_LeafWork]]&gt;0),MAX(Tasks[[#This Row],[_StartWorkday]],NETWORKDAYS.INTL(ProjectStart,Tasks[[#This Row],[_LeafFcstFinish]],WorkWeek,Holidays)),0)</f>
        <v>0</v>
      </c>
      <c r="CT153" s="41" t="n">
        <f aca="false">IF(AND(Tasks[[#This Row],[_IsLeaf]]=1,Tasks[[#This Row],[_LeafWork]]&gt;0),Tasks[[#This Row],[_LeafWork]]/(Tasks[[#This Row],[_FinishWorkday]]-Tasks[[#This Row],[_StartWorkday]]+1),0)</f>
        <v>0</v>
      </c>
      <c r="CU153" s="41" t="n">
        <f aca="false">Tasks[[#This Row],[_WorkPerWorkday]]*(Tasks[[#This Row],[_StartWorkday]]-1)</f>
        <v>-0</v>
      </c>
      <c r="CV153" s="41" t="n">
        <f aca="false">IF(Tasks[[#This Row],[_IsLeaf]]=1,MAX(N(Tasks[[#This Row],[Duration]]),0.1),0)</f>
        <v>0</v>
      </c>
      <c r="CW153" s="41" t="n">
        <f aca="false">Tasks[[#This Row],[_WeightDur]]*Tasks[[#This Row],[_LeafProgress]]</f>
        <v>0</v>
      </c>
      <c r="CX1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3" s="41" t="str">
        <f aca="false">IF(Tasks[[#This Row],[Task Name]]="","",Tasks[[#This Row],[_Pred1UIDText]]&amp;IF(AND(Tasks[[#This Row],[_Pred1UIDText]]&lt;&gt;"",Tasks[[#This Row],[_Pred2UIDText]]&lt;&gt;""),",","")&amp;Tasks[[#This Row],[_Pred2UIDText]])</f>
        <v/>
      </c>
      <c r="DC153" s="41" t="str">
        <f aca="false">IF(AND(Tasks[[#This Row],[_IsLeaf]]=1,N(Tasks[[#This Row],[Duration]])=0,Tasks[[#This Row],[_LeafProgress]]&lt;1),Tasks[[#This Row],[_LeafFcstFinish]]+Tasks[[#This Row],[_Row]]/100000,"")</f>
        <v/>
      </c>
      <c r="DD1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3" s="41" t="n">
        <f aca="false">IF(NOT(Tasks[[#This Row],[_IsLeaf]]=1),0,IF(Tasks[[#This Row],[Baseline Cost]]="",Tasks[[#This Row],[_LeafCost]],N(Tasks[[#This Row],[Baseline Cost]])))</f>
        <v>0</v>
      </c>
      <c r="DF153" s="41" t="n">
        <f aca="false">Tasks[[#This Row],[_LeafBudget]]*Tasks[[#This Row],[_PlannedPct]]</f>
        <v>0</v>
      </c>
      <c r="DG153" s="41" t="n">
        <f aca="false">Tasks[[#This Row],[_LeafBudget]]*Tasks[[#This Row],[_LeafProgress]]</f>
        <v>0</v>
      </c>
      <c r="DH153" s="41" t="n">
        <f aca="false">IF(NOT(Tasks[[#This Row],[_IsLeaf]]=1),0,IF(Tasks[[#This Row],[Actual Cost]]="",Tasks[[#This Row],[_LeafCost]]*Tasks[[#This Row],[_LeafProgress]],N(Tasks[[#This Row],[Actual Cost]])))</f>
        <v>0</v>
      </c>
      <c r="DI153" s="41" t="str">
        <f aca="false">IF(Tasks[[#This Row],[Task Name]]="","",LEFT(Tasks[[#This Row],[WBS]],FIND(".",Tasks[[#This Row],[WBS]]&amp;".")-1))</f>
        <v/>
      </c>
      <c r="DJ153" s="41" t="str">
        <f aca="false">IF(AND(Tasks[[#This Row],[Task Name]]&lt;&gt;"",Tasks[[#This Row],[_Level]]=1),Tasks[[#This Row],[_Row]],"")</f>
        <v/>
      </c>
      <c r="DK153" s="41" t="str">
        <f aca="false">IF(AND(Tasks[[#This Row],[_IsLeaf]]=1,N(Tasks[[#This Row],[Duration]])=0),Tasks[[#This Row],[Planned Finish]]+Tasks[[#This Row],[_Row]]/100000,"")</f>
        <v/>
      </c>
      <c r="DL153" s="41" t="str">
        <f aca="false">IF(AND(Tasks[[#This Row],[_IsLeaf]]=1,Tasks[[#This Row],[_LeafProgress]]&lt;1,OR(N(Tasks[[#This Row],[Finish Var]])&gt;0,Tasks[[#This Row],[Status]]="Late Start")),MAX(0,Tasks[[#This Row],[Finish Var]])+1-Tasks[[#This Row],[_Row]]/1000000,"")</f>
        <v/>
      </c>
      <c r="DM153" s="41" t="str">
        <f aca="false">IF(AND(Tasks[[#This Row],[_IsLeaf]]=1,N(Tasks[[#This Row],[Actual Start]])=0,Tasks[[#This Row],[_LeafFcstStart]]&gt;=StatusDate,Tasks[[#This Row],[_LeafFcstStart]]&lt;=LookaheadEnd),Tasks[[#This Row],[_LeafFcstStart]]+Tasks[[#This Row],[_Row]]/100000,"")</f>
        <v/>
      </c>
      <c r="DN153" s="41" t="str">
        <f aca="false">IF(AND(Tasks[[#This Row],[_IsLeaf]]=1,Tasks[[#This Row],[_LeafProgress]]&lt;1,Tasks[[#This Row],[_LeafFcstFinish]]&gt;=StatusDate,Tasks[[#This Row],[_LeafFcstFinish]]&lt;=LookaheadEnd),Tasks[[#This Row],[_LeafFcstFinish]]+Tasks[[#This Row],[_Row]]/100000,"")</f>
        <v/>
      </c>
      <c r="DO153" s="41" t="str">
        <f aca="false">IF(Tasks[[#This Row],[_LeafCritical]],Tasks[[#This Row],[_LeafFcstStart]]+Tasks[[#This Row],[_Row]]/100000,"")</f>
        <v/>
      </c>
      <c r="DP153" s="41" t="n">
        <f aca="false">Tasks[[#This Row],[_LeafWork]]*Tasks[[#This Row],[_LeafProgress]]</f>
        <v>0</v>
      </c>
      <c r="DQ153" s="103" t="str">
        <f aca="false">IF(AND(Tasks[[#This Row],[_IsLeaf]]=1,Tasks[[#This Row],[_LeafProgress]]&gt;=1),IF(N(Tasks[[#This Row],[Actual Finish]])&gt;0,Tasks[[#This Row],[Actual Finish]],Tasks[[#This Row],[_LeafFcstFinish]]),"")</f>
        <v/>
      </c>
      <c r="DR153" s="41" t="n">
        <f aca="false">IF(Tasks[[#This Row],[_IsLeaf]]=1,N(Tasks[[#This Row],[Story Points]]),0)</f>
        <v>0</v>
      </c>
      <c r="DS153" s="41" t="str">
        <f aca="false">IF(AND(Tasks[[#This Row],[_IsLeaf]]=1,CurrentSprint&lt;&gt;"",Tasks[[#This Row],[Sprint]]=CurrentSprint),Tasks[[#This Row],[_Row]],"")</f>
        <v/>
      </c>
    </row>
    <row r="154" customFormat="false" ht="15" hidden="false" customHeight="false" outlineLevel="0" collapsed="false">
      <c r="A154" s="28" t="str">
        <f aca="false">IF(Tasks[[#This Row],[Task Name]]="","",COUNTA(Tasks[[#Headers],[Task Name]]:Tasks[[#This Row],[Task Name]])-1)</f>
        <v/>
      </c>
      <c r="B154" s="29" t="n">
        <v>149</v>
      </c>
      <c r="C1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29"/>
      <c r="E154" s="30"/>
      <c r="F154" s="29"/>
      <c r="G154" s="29"/>
      <c r="H154" s="29"/>
      <c r="I154" s="29"/>
      <c r="J154" s="29"/>
      <c r="K154" s="29"/>
      <c r="L154" s="29"/>
      <c r="M154" s="29"/>
      <c r="N154" s="77"/>
      <c r="O154" s="77"/>
      <c r="P154" s="25" t="str">
        <f aca="false">IF(Tasks[[#This Row],[Task Name]]="","",IF(N(Tasks[[#This Row],[Baseline Start]])&gt;0,Tasks[[#This Row],[Baseline Start]],Tasks[[#This Row],[_CalcStart]]))</f>
        <v/>
      </c>
      <c r="Q154" s="25" t="str">
        <f aca="false">IF(Tasks[[#This Row],[Task Name]]="","",IF(N(Tasks[[#This Row],[Baseline Finish]])&gt;0,Tasks[[#This Row],[Baseline Finish]],Tasks[[#This Row],[_CalcFinish]]))</f>
        <v/>
      </c>
      <c r="R154" s="77"/>
      <c r="S154" s="77"/>
      <c r="T154" s="25" t="str">
        <f aca="false">IF(Tasks[[#This Row],[Task Name]]="","",IF(Tasks[[#This Row],[_IsSummary]],MIN(INDEX(Tasks[_LeafFcstStart],Tasks[[#This Row],[_Row]]+1):INDEX(Tasks[_LeafFcstStart],Tasks[[#This Row],[_Row]]+Tasks[[#This Row],[_Descendants]])),Tasks[[#This Row],[_LeafFcstStart]]))</f>
        <v/>
      </c>
      <c r="U154" s="25" t="str">
        <f aca="false">IF(Tasks[[#This Row],[Task Name]]="","",IF(Tasks[[#This Row],[_IsSummary]],MAX(INDEX(Tasks[_LeafFcstFinish],Tasks[[#This Row],[_Row]]+1):INDEX(Tasks[_LeafFcstFinish],Tasks[[#This Row],[_Row]]+Tasks[[#This Row],[_Descendants]])),Tasks[[#This Row],[_LeafFcstFinish]]))</f>
        <v/>
      </c>
      <c r="V15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4" s="25" t="str">
        <f aca="false">IF(Tasks[[#This Row],[Task Name]]="","",IF(Tasks[[#This Row],[_IsSummary]],MIN(INDEX(Tasks[_LeafLateStart],Tasks[[#This Row],[_Row]]+1):INDEX(Tasks[_LeafLateStart],Tasks[[#This Row],[_Row]]+Tasks[[#This Row],[_Descendants]])),Tasks[[#This Row],[_LeafLateStart]]))</f>
        <v/>
      </c>
      <c r="Y154" s="25" t="str">
        <f aca="false">IF(Tasks[[#This Row],[Task Name]]="","",IF(Tasks[[#This Row],[_IsSummary]],MAX(INDEX(Tasks[_LeafLateFinish],Tasks[[#This Row],[_Row]]+1):INDEX(Tasks[_LeafLateFinish],Tasks[[#This Row],[_Row]]+Tasks[[#This Row],[_Descendants]])),Tasks[[#This Row],[_LeafLateFinish]]))</f>
        <v/>
      </c>
      <c r="Z154" s="43" t="str">
        <f aca="false">IF(Tasks[[#This Row],[Task Name]]="","",IF(Tasks[[#This Row],[_IsSummary]],MIN(INDEX(Tasks[_LeafTotalSlack],Tasks[[#This Row],[_Row]]+1):INDEX(Tasks[_LeafTotalSlack],Tasks[[#This Row],[_Row]]+Tasks[[#This Row],[_Descendants]])),Tasks[[#This Row],[_LeafTotalSlack]]))</f>
        <v/>
      </c>
      <c r="AA1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4" s="28" t="str">
        <f aca="false">IF(Tasks[[#This Row],[Task Name]]="","",IF(IF(Tasks[[#This Row],[_IsSummary]],COUNTIF(INDEX(Tasks[_LeafCritical],Tasks[[#This Row],[_Row]]+1):INDEX(Tasks[_LeafCritical],Tasks[[#This Row],[_Row]]+Tasks[[#This Row],[_Descendants]]),TRUE())&gt;0,Tasks[[#This Row],[_LeafCritical]]),"Yes",""))</f>
        <v/>
      </c>
      <c r="AC1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4" s="24" t="str">
        <f aca="false">IF(Tasks[[#This Row],[Task Name]]="","",TRIM(IF(Tasks[[#This Row],[_Pred1Problem]]&lt;&gt;"","Pred 1: "&amp;Tasks[[#This Row],[_Pred1Problem]]&amp;". ","")&amp;IF(Tasks[[#This Row],[_Pred2Problem]]&lt;&gt;"","Pred 2: "&amp;Tasks[[#This Row],[_Pred2Problem]]&amp;".","")))</f>
        <v/>
      </c>
      <c r="AE154" s="91"/>
      <c r="AF15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4" s="28" t="str">
        <f aca="false">IF(Tasks[[#This Row],[Task Name]]="","",IF(Tasks[[#This Row],[Progress]]&gt;=1,"Complete",IF(OR(N(Tasks[[#This Row],[Actual Start]])&gt;0,Tasks[[#This Row],[Progress]]&gt;0),IF(Tasks[[#This Row],[Finish Var]]&gt;0,"Behind","In Progress"),IF(Tasks[[#This Row],[Planned Start]]&lt;StatusDate,"Late Start","Not Started"))))</f>
        <v/>
      </c>
      <c r="AH154" s="30"/>
      <c r="AI154" s="91"/>
      <c r="AJ15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4" s="98" t="str">
        <f aca="false">IF(Tasks[[#This Row],[Task Name]]="","",IF(Tasks[[#This Row],[_IsSummary]],SUM(INDEX(Tasks[_LeafWork],Tasks[[#This Row],[_Row]]+1):INDEX(Tasks[_LeafWork],Tasks[[#This Row],[_Row]]+Tasks[[#This Row],[_Descendants]])),Tasks[[#This Row],[_LeafWork]]))</f>
        <v/>
      </c>
      <c r="AL154" s="99" t="str">
        <f aca="false">IF(Tasks[[#This Row],[Task Name]]="","",IF(Tasks[[#This Row],[_IsSummary]],SUM(INDEX(Tasks[_LeafCost],Tasks[[#This Row],[_Row]]+1):INDEX(Tasks[_LeafCost],Tasks[[#This Row],[_Row]]+Tasks[[#This Row],[_Descendants]])),Tasks[[#This Row],[_LeafCost]]))</f>
        <v/>
      </c>
      <c r="AM154" s="100"/>
      <c r="AN154" s="29"/>
      <c r="AO1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4" s="85"/>
      <c r="AQ154" s="24" t="str">
        <f aca="false">IF(Tasks[[#This Row],[Task Name]]="","",Tasks[[#This Row],[_Pred1IDText]]&amp;IF(AND(Tasks[[#This Row],[_Pred1IDText]]&lt;&gt;"",Tasks[[#This Row],[_Pred2IDText]]&lt;&gt;""),",","")&amp;Tasks[[#This Row],[_Pred2IDText]])</f>
        <v/>
      </c>
      <c r="AR154" s="30"/>
      <c r="AS154" s="25" t="str">
        <f aca="false">IF(Tasks[[#This Row],[Task Name]]="","",Tasks[[#This Row],[Forecast Start]])</f>
        <v/>
      </c>
      <c r="AT154" s="25" t="str">
        <f aca="false">IF(Tasks[[#This Row],[Task Name]]="","",Tasks[[#This Row],[Forecast Finish]])</f>
        <v/>
      </c>
      <c r="AU154" s="28" t="str">
        <f aca="false">IF(Tasks[[#This Row],[Task Name]]="","",IF(Tasks[[#This Row],[_IsSummary]],NETWORKDAYS.INTL(Tasks[[#This Row],[Forecast Start]],Tasks[[#This Row],[Forecast Finish]],WorkWeek,Holidays),N(Tasks[[#This Row],[Duration]])))</f>
        <v/>
      </c>
      <c r="AV154" s="98" t="str">
        <f aca="false">IF(Tasks[[#This Row],[Task Name]]="","",Tasks[[#This Row],[Work]])</f>
        <v/>
      </c>
      <c r="AW154" s="99" t="str">
        <f aca="false">IF(Tasks[[#This Row],[Task Name]]="","",Tasks[[#This Row],[Cost]])</f>
        <v/>
      </c>
      <c r="AX154" s="77"/>
      <c r="AY154" s="77"/>
      <c r="AZ154" s="29"/>
      <c r="BA154" s="101"/>
      <c r="BB154" s="100"/>
      <c r="BC154" s="28" t="str">
        <f aca="false">IF(OR(Tasks[[#This Row],[Task Name]]="",Tasks[[#This Row],[Baseline Duration]]=""),"",Tasks[[#This Row],[BL Source Duration]]-N(Tasks[[#This Row],[Baseline Duration]]))</f>
        <v/>
      </c>
      <c r="BD154" s="98" t="str">
        <f aca="false">IF(OR(Tasks[[#This Row],[Task Name]]="",Tasks[[#This Row],[Baseline Work]]=""),"",Tasks[[#This Row],[Work]]-N(Tasks[[#This Row],[Baseline Work]]))</f>
        <v/>
      </c>
      <c r="BE154" s="99" t="str">
        <f aca="false">IF(OR(Tasks[[#This Row],[Task Name]]="",Tasks[[#This Row],[Baseline Cost]]=""),"",Tasks[[#This Row],[Cost]]-N(Tasks[[#This Row],[Baseline Cost]]))</f>
        <v/>
      </c>
      <c r="BF154" s="99" t="str">
        <f aca="false">IF(Tasks[[#This Row],[Task Name]]="","",IF(Tasks[[#This Row],[_IsSummary]],SUM(INDEX(Tasks[_LeafBudget],Tasks[[#This Row],[_Row]]+1):INDEX(Tasks[_LeafBudget],Tasks[[#This Row],[_Row]]+Tasks[[#This Row],[_Descendants]])),Tasks[[#This Row],[_LeafBudget]]))</f>
        <v/>
      </c>
      <c r="BG154" s="99" t="str">
        <f aca="false">IF(Tasks[[#This Row],[Task Name]]="","",IF(Tasks[[#This Row],[_IsSummary]],SUM(INDEX(Tasks[_LeafPV],Tasks[[#This Row],[_Row]]+1):INDEX(Tasks[_LeafPV],Tasks[[#This Row],[_Row]]+Tasks[[#This Row],[_Descendants]])),Tasks[[#This Row],[_LeafPV]]))</f>
        <v/>
      </c>
      <c r="BH154" s="99" t="str">
        <f aca="false">IF(Tasks[[#This Row],[Task Name]]="","",IF(Tasks[[#This Row],[_IsSummary]],SUM(INDEX(Tasks[_LeafEV],Tasks[[#This Row],[_Row]]+1):INDEX(Tasks[_LeafEV],Tasks[[#This Row],[_Row]]+Tasks[[#This Row],[_Descendants]])),Tasks[[#This Row],[_LeafEV]]))</f>
        <v/>
      </c>
      <c r="BI154" s="99" t="str">
        <f aca="false">IF(Tasks[[#This Row],[Task Name]]="","",IF(Tasks[[#This Row],[_IsSummary]],SUM(INDEX(Tasks[_LeafAC],Tasks[[#This Row],[_Row]]+1):INDEX(Tasks[_LeafAC],Tasks[[#This Row],[_Row]]+Tasks[[#This Row],[_Descendants]])),Tasks[[#This Row],[_LeafAC]]))</f>
        <v/>
      </c>
      <c r="BJ154" s="41" t="str">
        <f aca="false">IF(Tasks[[#This Row],[Task Name]]="","",MAX(1,N(Tasks[[#This Row],[Level]])))</f>
        <v/>
      </c>
      <c r="BK154" s="41" t="n">
        <f aca="false">ROW()-ROW(Tasks[[#Headers],[ID]])</f>
        <v>149</v>
      </c>
      <c r="BL154" s="41" t="n">
        <f aca="false">IF(OR(Tasks[[#This Row],[Task Name]]="",Tasks[[#This Row],[_Level]]&lt;=1),0,IFERROR(LOOKUP(2,1/(Tasks[[#Headers],[_Level]]:Tasks[[#This Row],[_Level]]=Tasks[[#This Row],[_Level]]-1),ROW(Tasks[[#Headers],[_Level]]:Tasks[[#This Row],[_Level]])),0))</f>
        <v>0</v>
      </c>
      <c r="BM154" s="41" t="n">
        <f aca="false">IFERROR(N(INDEX(Tasks[_Level],Tasks[[#This Row],[_Row]]+1)),0)</f>
        <v>0</v>
      </c>
      <c r="BN154" s="102" t="b">
        <f aca="false">AND(Tasks[[#This Row],[Task Name]]&lt;&gt;"",Tasks[[#This Row],[_NextLevel]]&gt;Tasks[[#This Row],[_Level]])</f>
        <v>0</v>
      </c>
      <c r="BO154" s="41" t="n">
        <f aca="false">IF(Tasks[[#This Row],[_IsSummary]],COUNTIF(Tasks[WBS],Tasks[[#This Row],[WBS]]&amp;".*"),0)</f>
        <v>0</v>
      </c>
      <c r="BP154" s="41" t="n">
        <f aca="false">IF(AND(Tasks[[#This Row],[Task Name]]&lt;&gt;"",NOT(Tasks[[#This Row],[_IsSummary]])),1,0)</f>
        <v>0</v>
      </c>
      <c r="BQ154" s="41" t="n">
        <f aca="false">IF(N(Tasks[[#This Row],[Pred1 UID]])=0,0,IFERROR(MATCH(Tasks[[#This Row],[Pred1 UID]],Tasks[UID],0),-1))</f>
        <v>0</v>
      </c>
      <c r="BR154" s="41" t="n">
        <f aca="false">IF(N(Tasks[[#This Row],[Pred2 UID]])=0,0,IFERROR(MATCH(Tasks[[#This Row],[Pred2 UID]],Tasks[UID],0),-1))</f>
        <v>0</v>
      </c>
      <c r="BS15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4" s="103" t="str">
        <f aca="false">IF(NOT(Tasks[[#This Row],[_IsLeaf]]=1),"",IF(N(Tasks[[#This Row],[Duration]])&lt;=0,Tasks[[#This Row],[_LeafCalcStart]],WORKDAY.INTL(Tasks[[#This Row],[_LeafCalcStart]],Tasks[[#This Row],[Duration]]-1,WorkWeek,Holidays)))</f>
        <v/>
      </c>
      <c r="BU15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4" s="41" t="n">
        <f aca="false">IF(NOT(Tasks[[#This Row],[_IsLeaf]]=1),0,IF(N(Tasks[[#This Row],[Actual Finish]])&gt;0,1,MIN(1,N(Tasks[[#This Row],[% Complete]]))))</f>
        <v>0</v>
      </c>
      <c r="BX154" s="41" t="n">
        <f aca="false">IF(OR(NOT(Tasks[[#This Row],[_IsLeaf]]=1),Tasks[[#This Row],[Resource]]=""),0,N(Tasks[[#This Row],[Duration]])*HoursPerDay*IF(Tasks[[#This Row],[Units]]="",DefaultUnits,Tasks[[#This Row],[Units]]))</f>
        <v>0</v>
      </c>
      <c r="BY154" s="41" t="n">
        <f aca="false">IF(Tasks[[#This Row],[_LeafWork]]=0,0,Tasks[[#This Row],[_LeafWork]]*IFERROR(INDEX(res_Rate,MATCH(Tasks[[#This Row],[Resource]],res_Name,0)),0))</f>
        <v>0</v>
      </c>
      <c r="BZ1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4" s="41" t="n">
        <f aca="false">IF(NOT(Tasks[[#This Row],[_IsLeaf]]=1),0,MAX(_xlfn.MAXIFS(Tasks[_Row],Tasks[Pred1 UID],Tasks[[#This Row],[UID]]),_xlfn.MAXIFS(Tasks[_Row],Tasks[Pred2 UID],Tasks[[#This Row],[UID]])))</f>
        <v>0</v>
      </c>
      <c r="CE15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4" s="103" t="str">
        <f aca="false">IF(NOT(Tasks[[#This Row],[_IsLeaf]]=1),"",MIN(ProjectFinish,IF(N(Tasks[[#This Row],[Deadline]])&gt;0,Tasks[[#This Row],[Deadline]],2958465),Tasks[[#This Row],[_SuccessorFinishLimit]]))</f>
        <v/>
      </c>
      <c r="CG154" s="103" t="str">
        <f aca="false">IF(NOT(Tasks[[#This Row],[_IsLeaf]]=1),"",IF(N(Tasks[[#This Row],[Duration]])&lt;=0,Tasks[[#This Row],[_LeafLateFinish]],WORKDAY.INTL(Tasks[[#This Row],[_LeafLateFinish]],-(Tasks[[#This Row],[Duration]]-1),WorkWeek,Holidays)))</f>
        <v/>
      </c>
      <c r="CH1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4" s="102" t="b">
        <f aca="false">AND(Tasks[[#This Row],[_IsLeaf]]=1,Tasks[[#This Row],[_LeafProgress]]&lt;1,N(Tasks[[#This Row],[_LeafTotalSlack]])&lt;=CriticalSlackDays)</f>
        <v>0</v>
      </c>
      <c r="CJ154" s="103" t="str">
        <f aca="false">IF(Tasks[[#This Row],[Task Name]]="","",IF(Tasks[[#This Row],[_IsSummary]],MIN(INDEX(Tasks[_LeafCalcStart],Tasks[[#This Row],[_Row]]+1):INDEX(Tasks[_LeafCalcStart],Tasks[[#This Row],[_Row]]+Tasks[[#This Row],[_Descendants]])),Tasks[[#This Row],[_LeafCalcStart]]))</f>
        <v/>
      </c>
      <c r="CK154" s="103" t="str">
        <f aca="false">IF(Tasks[[#This Row],[Task Name]]="","",IF(Tasks[[#This Row],[_IsSummary]],MAX(INDEX(Tasks[_LeafCalcFinish],Tasks[[#This Row],[_Row]]+1):INDEX(Tasks[_LeafCalcFinish],Tasks[[#This Row],[_Row]]+Tasks[[#This Row],[_Descendants]])),Tasks[[#This Row],[_LeafCalcFinish]]))</f>
        <v/>
      </c>
      <c r="CL1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4" s="41" t="n">
        <f aca="false">IF(AND(Tasks[[#This Row],[_IsLeaf]]=1,Tasks[[#This Row],[_LeafWork]]&gt;0),NETWORKDAYS.INTL(ProjectStart,Tasks[[#This Row],[_LeafFcstStart]],WorkWeek,Holidays),0)</f>
        <v>0</v>
      </c>
      <c r="CS154" s="41" t="n">
        <f aca="false">IF(AND(Tasks[[#This Row],[_IsLeaf]]=1,Tasks[[#This Row],[_LeafWork]]&gt;0),MAX(Tasks[[#This Row],[_StartWorkday]],NETWORKDAYS.INTL(ProjectStart,Tasks[[#This Row],[_LeafFcstFinish]],WorkWeek,Holidays)),0)</f>
        <v>0</v>
      </c>
      <c r="CT154" s="41" t="n">
        <f aca="false">IF(AND(Tasks[[#This Row],[_IsLeaf]]=1,Tasks[[#This Row],[_LeafWork]]&gt;0),Tasks[[#This Row],[_LeafWork]]/(Tasks[[#This Row],[_FinishWorkday]]-Tasks[[#This Row],[_StartWorkday]]+1),0)</f>
        <v>0</v>
      </c>
      <c r="CU154" s="41" t="n">
        <f aca="false">Tasks[[#This Row],[_WorkPerWorkday]]*(Tasks[[#This Row],[_StartWorkday]]-1)</f>
        <v>-0</v>
      </c>
      <c r="CV154" s="41" t="n">
        <f aca="false">IF(Tasks[[#This Row],[_IsLeaf]]=1,MAX(N(Tasks[[#This Row],[Duration]]),0.1),0)</f>
        <v>0</v>
      </c>
      <c r="CW154" s="41" t="n">
        <f aca="false">Tasks[[#This Row],[_WeightDur]]*Tasks[[#This Row],[_LeafProgress]]</f>
        <v>0</v>
      </c>
      <c r="CX1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4" s="41" t="str">
        <f aca="false">IF(Tasks[[#This Row],[Task Name]]="","",Tasks[[#This Row],[_Pred1UIDText]]&amp;IF(AND(Tasks[[#This Row],[_Pred1UIDText]]&lt;&gt;"",Tasks[[#This Row],[_Pred2UIDText]]&lt;&gt;""),",","")&amp;Tasks[[#This Row],[_Pred2UIDText]])</f>
        <v/>
      </c>
      <c r="DC154" s="41" t="str">
        <f aca="false">IF(AND(Tasks[[#This Row],[_IsLeaf]]=1,N(Tasks[[#This Row],[Duration]])=0,Tasks[[#This Row],[_LeafProgress]]&lt;1),Tasks[[#This Row],[_LeafFcstFinish]]+Tasks[[#This Row],[_Row]]/100000,"")</f>
        <v/>
      </c>
      <c r="DD1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4" s="41" t="n">
        <f aca="false">IF(NOT(Tasks[[#This Row],[_IsLeaf]]=1),0,IF(Tasks[[#This Row],[Baseline Cost]]="",Tasks[[#This Row],[_LeafCost]],N(Tasks[[#This Row],[Baseline Cost]])))</f>
        <v>0</v>
      </c>
      <c r="DF154" s="41" t="n">
        <f aca="false">Tasks[[#This Row],[_LeafBudget]]*Tasks[[#This Row],[_PlannedPct]]</f>
        <v>0</v>
      </c>
      <c r="DG154" s="41" t="n">
        <f aca="false">Tasks[[#This Row],[_LeafBudget]]*Tasks[[#This Row],[_LeafProgress]]</f>
        <v>0</v>
      </c>
      <c r="DH154" s="41" t="n">
        <f aca="false">IF(NOT(Tasks[[#This Row],[_IsLeaf]]=1),0,IF(Tasks[[#This Row],[Actual Cost]]="",Tasks[[#This Row],[_LeafCost]]*Tasks[[#This Row],[_LeafProgress]],N(Tasks[[#This Row],[Actual Cost]])))</f>
        <v>0</v>
      </c>
      <c r="DI154" s="41" t="str">
        <f aca="false">IF(Tasks[[#This Row],[Task Name]]="","",LEFT(Tasks[[#This Row],[WBS]],FIND(".",Tasks[[#This Row],[WBS]]&amp;".")-1))</f>
        <v/>
      </c>
      <c r="DJ154" s="41" t="str">
        <f aca="false">IF(AND(Tasks[[#This Row],[Task Name]]&lt;&gt;"",Tasks[[#This Row],[_Level]]=1),Tasks[[#This Row],[_Row]],"")</f>
        <v/>
      </c>
      <c r="DK154" s="41" t="str">
        <f aca="false">IF(AND(Tasks[[#This Row],[_IsLeaf]]=1,N(Tasks[[#This Row],[Duration]])=0),Tasks[[#This Row],[Planned Finish]]+Tasks[[#This Row],[_Row]]/100000,"")</f>
        <v/>
      </c>
      <c r="DL154" s="41" t="str">
        <f aca="false">IF(AND(Tasks[[#This Row],[_IsLeaf]]=1,Tasks[[#This Row],[_LeafProgress]]&lt;1,OR(N(Tasks[[#This Row],[Finish Var]])&gt;0,Tasks[[#This Row],[Status]]="Late Start")),MAX(0,Tasks[[#This Row],[Finish Var]])+1-Tasks[[#This Row],[_Row]]/1000000,"")</f>
        <v/>
      </c>
      <c r="DM154" s="41" t="str">
        <f aca="false">IF(AND(Tasks[[#This Row],[_IsLeaf]]=1,N(Tasks[[#This Row],[Actual Start]])=0,Tasks[[#This Row],[_LeafFcstStart]]&gt;=StatusDate,Tasks[[#This Row],[_LeafFcstStart]]&lt;=LookaheadEnd),Tasks[[#This Row],[_LeafFcstStart]]+Tasks[[#This Row],[_Row]]/100000,"")</f>
        <v/>
      </c>
      <c r="DN154" s="41" t="str">
        <f aca="false">IF(AND(Tasks[[#This Row],[_IsLeaf]]=1,Tasks[[#This Row],[_LeafProgress]]&lt;1,Tasks[[#This Row],[_LeafFcstFinish]]&gt;=StatusDate,Tasks[[#This Row],[_LeafFcstFinish]]&lt;=LookaheadEnd),Tasks[[#This Row],[_LeafFcstFinish]]+Tasks[[#This Row],[_Row]]/100000,"")</f>
        <v/>
      </c>
      <c r="DO154" s="41" t="str">
        <f aca="false">IF(Tasks[[#This Row],[_LeafCritical]],Tasks[[#This Row],[_LeafFcstStart]]+Tasks[[#This Row],[_Row]]/100000,"")</f>
        <v/>
      </c>
      <c r="DP154" s="41" t="n">
        <f aca="false">Tasks[[#This Row],[_LeafWork]]*Tasks[[#This Row],[_LeafProgress]]</f>
        <v>0</v>
      </c>
      <c r="DQ154" s="103" t="str">
        <f aca="false">IF(AND(Tasks[[#This Row],[_IsLeaf]]=1,Tasks[[#This Row],[_LeafProgress]]&gt;=1),IF(N(Tasks[[#This Row],[Actual Finish]])&gt;0,Tasks[[#This Row],[Actual Finish]],Tasks[[#This Row],[_LeafFcstFinish]]),"")</f>
        <v/>
      </c>
      <c r="DR154" s="41" t="n">
        <f aca="false">IF(Tasks[[#This Row],[_IsLeaf]]=1,N(Tasks[[#This Row],[Story Points]]),0)</f>
        <v>0</v>
      </c>
      <c r="DS154" s="41" t="str">
        <f aca="false">IF(AND(Tasks[[#This Row],[_IsLeaf]]=1,CurrentSprint&lt;&gt;"",Tasks[[#This Row],[Sprint]]=CurrentSprint),Tasks[[#This Row],[_Row]],"")</f>
        <v/>
      </c>
    </row>
    <row r="155" customFormat="false" ht="15" hidden="false" customHeight="false" outlineLevel="0" collapsed="false">
      <c r="A155" s="28" t="str">
        <f aca="false">IF(Tasks[[#This Row],[Task Name]]="","",COUNTA(Tasks[[#Headers],[Task Name]]:Tasks[[#This Row],[Task Name]])-1)</f>
        <v/>
      </c>
      <c r="B155" s="29" t="n">
        <v>150</v>
      </c>
      <c r="C1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29"/>
      <c r="E155" s="30"/>
      <c r="F155" s="29"/>
      <c r="G155" s="29"/>
      <c r="H155" s="29"/>
      <c r="I155" s="29"/>
      <c r="J155" s="29"/>
      <c r="K155" s="29"/>
      <c r="L155" s="29"/>
      <c r="M155" s="29"/>
      <c r="N155" s="77"/>
      <c r="O155" s="77"/>
      <c r="P155" s="25" t="str">
        <f aca="false">IF(Tasks[[#This Row],[Task Name]]="","",IF(N(Tasks[[#This Row],[Baseline Start]])&gt;0,Tasks[[#This Row],[Baseline Start]],Tasks[[#This Row],[_CalcStart]]))</f>
        <v/>
      </c>
      <c r="Q155" s="25" t="str">
        <f aca="false">IF(Tasks[[#This Row],[Task Name]]="","",IF(N(Tasks[[#This Row],[Baseline Finish]])&gt;0,Tasks[[#This Row],[Baseline Finish]],Tasks[[#This Row],[_CalcFinish]]))</f>
        <v/>
      </c>
      <c r="R155" s="77"/>
      <c r="S155" s="77"/>
      <c r="T155" s="25" t="str">
        <f aca="false">IF(Tasks[[#This Row],[Task Name]]="","",IF(Tasks[[#This Row],[_IsSummary]],MIN(INDEX(Tasks[_LeafFcstStart],Tasks[[#This Row],[_Row]]+1):INDEX(Tasks[_LeafFcstStart],Tasks[[#This Row],[_Row]]+Tasks[[#This Row],[_Descendants]])),Tasks[[#This Row],[_LeafFcstStart]]))</f>
        <v/>
      </c>
      <c r="U155" s="25" t="str">
        <f aca="false">IF(Tasks[[#This Row],[Task Name]]="","",IF(Tasks[[#This Row],[_IsSummary]],MAX(INDEX(Tasks[_LeafFcstFinish],Tasks[[#This Row],[_Row]]+1):INDEX(Tasks[_LeafFcstFinish],Tasks[[#This Row],[_Row]]+Tasks[[#This Row],[_Descendants]])),Tasks[[#This Row],[_LeafFcstFinish]]))</f>
        <v/>
      </c>
      <c r="V15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5" s="25" t="str">
        <f aca="false">IF(Tasks[[#This Row],[Task Name]]="","",IF(Tasks[[#This Row],[_IsSummary]],MIN(INDEX(Tasks[_LeafLateStart],Tasks[[#This Row],[_Row]]+1):INDEX(Tasks[_LeafLateStart],Tasks[[#This Row],[_Row]]+Tasks[[#This Row],[_Descendants]])),Tasks[[#This Row],[_LeafLateStart]]))</f>
        <v/>
      </c>
      <c r="Y155" s="25" t="str">
        <f aca="false">IF(Tasks[[#This Row],[Task Name]]="","",IF(Tasks[[#This Row],[_IsSummary]],MAX(INDEX(Tasks[_LeafLateFinish],Tasks[[#This Row],[_Row]]+1):INDEX(Tasks[_LeafLateFinish],Tasks[[#This Row],[_Row]]+Tasks[[#This Row],[_Descendants]])),Tasks[[#This Row],[_LeafLateFinish]]))</f>
        <v/>
      </c>
      <c r="Z155" s="43" t="str">
        <f aca="false">IF(Tasks[[#This Row],[Task Name]]="","",IF(Tasks[[#This Row],[_IsSummary]],MIN(INDEX(Tasks[_LeafTotalSlack],Tasks[[#This Row],[_Row]]+1):INDEX(Tasks[_LeafTotalSlack],Tasks[[#This Row],[_Row]]+Tasks[[#This Row],[_Descendants]])),Tasks[[#This Row],[_LeafTotalSlack]]))</f>
        <v/>
      </c>
      <c r="AA1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5" s="28" t="str">
        <f aca="false">IF(Tasks[[#This Row],[Task Name]]="","",IF(IF(Tasks[[#This Row],[_IsSummary]],COUNTIF(INDEX(Tasks[_LeafCritical],Tasks[[#This Row],[_Row]]+1):INDEX(Tasks[_LeafCritical],Tasks[[#This Row],[_Row]]+Tasks[[#This Row],[_Descendants]]),TRUE())&gt;0,Tasks[[#This Row],[_LeafCritical]]),"Yes",""))</f>
        <v/>
      </c>
      <c r="AC1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5" s="24" t="str">
        <f aca="false">IF(Tasks[[#This Row],[Task Name]]="","",TRIM(IF(Tasks[[#This Row],[_Pred1Problem]]&lt;&gt;"","Pred 1: "&amp;Tasks[[#This Row],[_Pred1Problem]]&amp;". ","")&amp;IF(Tasks[[#This Row],[_Pred2Problem]]&lt;&gt;"","Pred 2: "&amp;Tasks[[#This Row],[_Pred2Problem]]&amp;".","")))</f>
        <v/>
      </c>
      <c r="AE155" s="91"/>
      <c r="AF15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5" s="28" t="str">
        <f aca="false">IF(Tasks[[#This Row],[Task Name]]="","",IF(Tasks[[#This Row],[Progress]]&gt;=1,"Complete",IF(OR(N(Tasks[[#This Row],[Actual Start]])&gt;0,Tasks[[#This Row],[Progress]]&gt;0),IF(Tasks[[#This Row],[Finish Var]]&gt;0,"Behind","In Progress"),IF(Tasks[[#This Row],[Planned Start]]&lt;StatusDate,"Late Start","Not Started"))))</f>
        <v/>
      </c>
      <c r="AH155" s="30"/>
      <c r="AI155" s="91"/>
      <c r="AJ15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5" s="98" t="str">
        <f aca="false">IF(Tasks[[#This Row],[Task Name]]="","",IF(Tasks[[#This Row],[_IsSummary]],SUM(INDEX(Tasks[_LeafWork],Tasks[[#This Row],[_Row]]+1):INDEX(Tasks[_LeafWork],Tasks[[#This Row],[_Row]]+Tasks[[#This Row],[_Descendants]])),Tasks[[#This Row],[_LeafWork]]))</f>
        <v/>
      </c>
      <c r="AL155" s="99" t="str">
        <f aca="false">IF(Tasks[[#This Row],[Task Name]]="","",IF(Tasks[[#This Row],[_IsSummary]],SUM(INDEX(Tasks[_LeafCost],Tasks[[#This Row],[_Row]]+1):INDEX(Tasks[_LeafCost],Tasks[[#This Row],[_Row]]+Tasks[[#This Row],[_Descendants]])),Tasks[[#This Row],[_LeafCost]]))</f>
        <v/>
      </c>
      <c r="AM155" s="100"/>
      <c r="AN155" s="29"/>
      <c r="AO1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5" s="85"/>
      <c r="AQ155" s="24" t="str">
        <f aca="false">IF(Tasks[[#This Row],[Task Name]]="","",Tasks[[#This Row],[_Pred1IDText]]&amp;IF(AND(Tasks[[#This Row],[_Pred1IDText]]&lt;&gt;"",Tasks[[#This Row],[_Pred2IDText]]&lt;&gt;""),",","")&amp;Tasks[[#This Row],[_Pred2IDText]])</f>
        <v/>
      </c>
      <c r="AR155" s="30"/>
      <c r="AS155" s="25" t="str">
        <f aca="false">IF(Tasks[[#This Row],[Task Name]]="","",Tasks[[#This Row],[Forecast Start]])</f>
        <v/>
      </c>
      <c r="AT155" s="25" t="str">
        <f aca="false">IF(Tasks[[#This Row],[Task Name]]="","",Tasks[[#This Row],[Forecast Finish]])</f>
        <v/>
      </c>
      <c r="AU155" s="28" t="str">
        <f aca="false">IF(Tasks[[#This Row],[Task Name]]="","",IF(Tasks[[#This Row],[_IsSummary]],NETWORKDAYS.INTL(Tasks[[#This Row],[Forecast Start]],Tasks[[#This Row],[Forecast Finish]],WorkWeek,Holidays),N(Tasks[[#This Row],[Duration]])))</f>
        <v/>
      </c>
      <c r="AV155" s="98" t="str">
        <f aca="false">IF(Tasks[[#This Row],[Task Name]]="","",Tasks[[#This Row],[Work]])</f>
        <v/>
      </c>
      <c r="AW155" s="99" t="str">
        <f aca="false">IF(Tasks[[#This Row],[Task Name]]="","",Tasks[[#This Row],[Cost]])</f>
        <v/>
      </c>
      <c r="AX155" s="77"/>
      <c r="AY155" s="77"/>
      <c r="AZ155" s="29"/>
      <c r="BA155" s="101"/>
      <c r="BB155" s="100"/>
      <c r="BC155" s="28" t="str">
        <f aca="false">IF(OR(Tasks[[#This Row],[Task Name]]="",Tasks[[#This Row],[Baseline Duration]]=""),"",Tasks[[#This Row],[BL Source Duration]]-N(Tasks[[#This Row],[Baseline Duration]]))</f>
        <v/>
      </c>
      <c r="BD155" s="98" t="str">
        <f aca="false">IF(OR(Tasks[[#This Row],[Task Name]]="",Tasks[[#This Row],[Baseline Work]]=""),"",Tasks[[#This Row],[Work]]-N(Tasks[[#This Row],[Baseline Work]]))</f>
        <v/>
      </c>
      <c r="BE155" s="99" t="str">
        <f aca="false">IF(OR(Tasks[[#This Row],[Task Name]]="",Tasks[[#This Row],[Baseline Cost]]=""),"",Tasks[[#This Row],[Cost]]-N(Tasks[[#This Row],[Baseline Cost]]))</f>
        <v/>
      </c>
      <c r="BF155" s="99" t="str">
        <f aca="false">IF(Tasks[[#This Row],[Task Name]]="","",IF(Tasks[[#This Row],[_IsSummary]],SUM(INDEX(Tasks[_LeafBudget],Tasks[[#This Row],[_Row]]+1):INDEX(Tasks[_LeafBudget],Tasks[[#This Row],[_Row]]+Tasks[[#This Row],[_Descendants]])),Tasks[[#This Row],[_LeafBudget]]))</f>
        <v/>
      </c>
      <c r="BG155" s="99" t="str">
        <f aca="false">IF(Tasks[[#This Row],[Task Name]]="","",IF(Tasks[[#This Row],[_IsSummary]],SUM(INDEX(Tasks[_LeafPV],Tasks[[#This Row],[_Row]]+1):INDEX(Tasks[_LeafPV],Tasks[[#This Row],[_Row]]+Tasks[[#This Row],[_Descendants]])),Tasks[[#This Row],[_LeafPV]]))</f>
        <v/>
      </c>
      <c r="BH155" s="99" t="str">
        <f aca="false">IF(Tasks[[#This Row],[Task Name]]="","",IF(Tasks[[#This Row],[_IsSummary]],SUM(INDEX(Tasks[_LeafEV],Tasks[[#This Row],[_Row]]+1):INDEX(Tasks[_LeafEV],Tasks[[#This Row],[_Row]]+Tasks[[#This Row],[_Descendants]])),Tasks[[#This Row],[_LeafEV]]))</f>
        <v/>
      </c>
      <c r="BI155" s="99" t="str">
        <f aca="false">IF(Tasks[[#This Row],[Task Name]]="","",IF(Tasks[[#This Row],[_IsSummary]],SUM(INDEX(Tasks[_LeafAC],Tasks[[#This Row],[_Row]]+1):INDEX(Tasks[_LeafAC],Tasks[[#This Row],[_Row]]+Tasks[[#This Row],[_Descendants]])),Tasks[[#This Row],[_LeafAC]]))</f>
        <v/>
      </c>
      <c r="BJ155" s="41" t="str">
        <f aca="false">IF(Tasks[[#This Row],[Task Name]]="","",MAX(1,N(Tasks[[#This Row],[Level]])))</f>
        <v/>
      </c>
      <c r="BK155" s="41" t="n">
        <f aca="false">ROW()-ROW(Tasks[[#Headers],[ID]])</f>
        <v>150</v>
      </c>
      <c r="BL155" s="41" t="n">
        <f aca="false">IF(OR(Tasks[[#This Row],[Task Name]]="",Tasks[[#This Row],[_Level]]&lt;=1),0,IFERROR(LOOKUP(2,1/(Tasks[[#Headers],[_Level]]:Tasks[[#This Row],[_Level]]=Tasks[[#This Row],[_Level]]-1),ROW(Tasks[[#Headers],[_Level]]:Tasks[[#This Row],[_Level]])),0))</f>
        <v>0</v>
      </c>
      <c r="BM155" s="41" t="n">
        <f aca="false">IFERROR(N(INDEX(Tasks[_Level],Tasks[[#This Row],[_Row]]+1)),0)</f>
        <v>0</v>
      </c>
      <c r="BN155" s="102" t="b">
        <f aca="false">AND(Tasks[[#This Row],[Task Name]]&lt;&gt;"",Tasks[[#This Row],[_NextLevel]]&gt;Tasks[[#This Row],[_Level]])</f>
        <v>0</v>
      </c>
      <c r="BO155" s="41" t="n">
        <f aca="false">IF(Tasks[[#This Row],[_IsSummary]],COUNTIF(Tasks[WBS],Tasks[[#This Row],[WBS]]&amp;".*"),0)</f>
        <v>0</v>
      </c>
      <c r="BP155" s="41" t="n">
        <f aca="false">IF(AND(Tasks[[#This Row],[Task Name]]&lt;&gt;"",NOT(Tasks[[#This Row],[_IsSummary]])),1,0)</f>
        <v>0</v>
      </c>
      <c r="BQ155" s="41" t="n">
        <f aca="false">IF(N(Tasks[[#This Row],[Pred1 UID]])=0,0,IFERROR(MATCH(Tasks[[#This Row],[Pred1 UID]],Tasks[UID],0),-1))</f>
        <v>0</v>
      </c>
      <c r="BR155" s="41" t="n">
        <f aca="false">IF(N(Tasks[[#This Row],[Pred2 UID]])=0,0,IFERROR(MATCH(Tasks[[#This Row],[Pred2 UID]],Tasks[UID],0),-1))</f>
        <v>0</v>
      </c>
      <c r="BS15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5" s="103" t="str">
        <f aca="false">IF(NOT(Tasks[[#This Row],[_IsLeaf]]=1),"",IF(N(Tasks[[#This Row],[Duration]])&lt;=0,Tasks[[#This Row],[_LeafCalcStart]],WORKDAY.INTL(Tasks[[#This Row],[_LeafCalcStart]],Tasks[[#This Row],[Duration]]-1,WorkWeek,Holidays)))</f>
        <v/>
      </c>
      <c r="BU15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5" s="41" t="n">
        <f aca="false">IF(NOT(Tasks[[#This Row],[_IsLeaf]]=1),0,IF(N(Tasks[[#This Row],[Actual Finish]])&gt;0,1,MIN(1,N(Tasks[[#This Row],[% Complete]]))))</f>
        <v>0</v>
      </c>
      <c r="BX155" s="41" t="n">
        <f aca="false">IF(OR(NOT(Tasks[[#This Row],[_IsLeaf]]=1),Tasks[[#This Row],[Resource]]=""),0,N(Tasks[[#This Row],[Duration]])*HoursPerDay*IF(Tasks[[#This Row],[Units]]="",DefaultUnits,Tasks[[#This Row],[Units]]))</f>
        <v>0</v>
      </c>
      <c r="BY155" s="41" t="n">
        <f aca="false">IF(Tasks[[#This Row],[_LeafWork]]=0,0,Tasks[[#This Row],[_LeafWork]]*IFERROR(INDEX(res_Rate,MATCH(Tasks[[#This Row],[Resource]],res_Name,0)),0))</f>
        <v>0</v>
      </c>
      <c r="BZ1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5" s="41" t="n">
        <f aca="false">IF(NOT(Tasks[[#This Row],[_IsLeaf]]=1),0,MAX(_xlfn.MAXIFS(Tasks[_Row],Tasks[Pred1 UID],Tasks[[#This Row],[UID]]),_xlfn.MAXIFS(Tasks[_Row],Tasks[Pred2 UID],Tasks[[#This Row],[UID]])))</f>
        <v>0</v>
      </c>
      <c r="CE15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5" s="103" t="str">
        <f aca="false">IF(NOT(Tasks[[#This Row],[_IsLeaf]]=1),"",MIN(ProjectFinish,IF(N(Tasks[[#This Row],[Deadline]])&gt;0,Tasks[[#This Row],[Deadline]],2958465),Tasks[[#This Row],[_SuccessorFinishLimit]]))</f>
        <v/>
      </c>
      <c r="CG155" s="103" t="str">
        <f aca="false">IF(NOT(Tasks[[#This Row],[_IsLeaf]]=1),"",IF(N(Tasks[[#This Row],[Duration]])&lt;=0,Tasks[[#This Row],[_LeafLateFinish]],WORKDAY.INTL(Tasks[[#This Row],[_LeafLateFinish]],-(Tasks[[#This Row],[Duration]]-1),WorkWeek,Holidays)))</f>
        <v/>
      </c>
      <c r="CH1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5" s="102" t="b">
        <f aca="false">AND(Tasks[[#This Row],[_IsLeaf]]=1,Tasks[[#This Row],[_LeafProgress]]&lt;1,N(Tasks[[#This Row],[_LeafTotalSlack]])&lt;=CriticalSlackDays)</f>
        <v>0</v>
      </c>
      <c r="CJ155" s="103" t="str">
        <f aca="false">IF(Tasks[[#This Row],[Task Name]]="","",IF(Tasks[[#This Row],[_IsSummary]],MIN(INDEX(Tasks[_LeafCalcStart],Tasks[[#This Row],[_Row]]+1):INDEX(Tasks[_LeafCalcStart],Tasks[[#This Row],[_Row]]+Tasks[[#This Row],[_Descendants]])),Tasks[[#This Row],[_LeafCalcStart]]))</f>
        <v/>
      </c>
      <c r="CK155" s="103" t="str">
        <f aca="false">IF(Tasks[[#This Row],[Task Name]]="","",IF(Tasks[[#This Row],[_IsSummary]],MAX(INDEX(Tasks[_LeafCalcFinish],Tasks[[#This Row],[_Row]]+1):INDEX(Tasks[_LeafCalcFinish],Tasks[[#This Row],[_Row]]+Tasks[[#This Row],[_Descendants]])),Tasks[[#This Row],[_LeafCalcFinish]]))</f>
        <v/>
      </c>
      <c r="CL1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5" s="41" t="n">
        <f aca="false">IF(AND(Tasks[[#This Row],[_IsLeaf]]=1,Tasks[[#This Row],[_LeafWork]]&gt;0),NETWORKDAYS.INTL(ProjectStart,Tasks[[#This Row],[_LeafFcstStart]],WorkWeek,Holidays),0)</f>
        <v>0</v>
      </c>
      <c r="CS155" s="41" t="n">
        <f aca="false">IF(AND(Tasks[[#This Row],[_IsLeaf]]=1,Tasks[[#This Row],[_LeafWork]]&gt;0),MAX(Tasks[[#This Row],[_StartWorkday]],NETWORKDAYS.INTL(ProjectStart,Tasks[[#This Row],[_LeafFcstFinish]],WorkWeek,Holidays)),0)</f>
        <v>0</v>
      </c>
      <c r="CT155" s="41" t="n">
        <f aca="false">IF(AND(Tasks[[#This Row],[_IsLeaf]]=1,Tasks[[#This Row],[_LeafWork]]&gt;0),Tasks[[#This Row],[_LeafWork]]/(Tasks[[#This Row],[_FinishWorkday]]-Tasks[[#This Row],[_StartWorkday]]+1),0)</f>
        <v>0</v>
      </c>
      <c r="CU155" s="41" t="n">
        <f aca="false">Tasks[[#This Row],[_WorkPerWorkday]]*(Tasks[[#This Row],[_StartWorkday]]-1)</f>
        <v>-0</v>
      </c>
      <c r="CV155" s="41" t="n">
        <f aca="false">IF(Tasks[[#This Row],[_IsLeaf]]=1,MAX(N(Tasks[[#This Row],[Duration]]),0.1),0)</f>
        <v>0</v>
      </c>
      <c r="CW155" s="41" t="n">
        <f aca="false">Tasks[[#This Row],[_WeightDur]]*Tasks[[#This Row],[_LeafProgress]]</f>
        <v>0</v>
      </c>
      <c r="CX1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5" s="41" t="str">
        <f aca="false">IF(Tasks[[#This Row],[Task Name]]="","",Tasks[[#This Row],[_Pred1UIDText]]&amp;IF(AND(Tasks[[#This Row],[_Pred1UIDText]]&lt;&gt;"",Tasks[[#This Row],[_Pred2UIDText]]&lt;&gt;""),",","")&amp;Tasks[[#This Row],[_Pred2UIDText]])</f>
        <v/>
      </c>
      <c r="DC155" s="41" t="str">
        <f aca="false">IF(AND(Tasks[[#This Row],[_IsLeaf]]=1,N(Tasks[[#This Row],[Duration]])=0,Tasks[[#This Row],[_LeafProgress]]&lt;1),Tasks[[#This Row],[_LeafFcstFinish]]+Tasks[[#This Row],[_Row]]/100000,"")</f>
        <v/>
      </c>
      <c r="DD1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5" s="41" t="n">
        <f aca="false">IF(NOT(Tasks[[#This Row],[_IsLeaf]]=1),0,IF(Tasks[[#This Row],[Baseline Cost]]="",Tasks[[#This Row],[_LeafCost]],N(Tasks[[#This Row],[Baseline Cost]])))</f>
        <v>0</v>
      </c>
      <c r="DF155" s="41" t="n">
        <f aca="false">Tasks[[#This Row],[_LeafBudget]]*Tasks[[#This Row],[_PlannedPct]]</f>
        <v>0</v>
      </c>
      <c r="DG155" s="41" t="n">
        <f aca="false">Tasks[[#This Row],[_LeafBudget]]*Tasks[[#This Row],[_LeafProgress]]</f>
        <v>0</v>
      </c>
      <c r="DH155" s="41" t="n">
        <f aca="false">IF(NOT(Tasks[[#This Row],[_IsLeaf]]=1),0,IF(Tasks[[#This Row],[Actual Cost]]="",Tasks[[#This Row],[_LeafCost]]*Tasks[[#This Row],[_LeafProgress]],N(Tasks[[#This Row],[Actual Cost]])))</f>
        <v>0</v>
      </c>
      <c r="DI155" s="41" t="str">
        <f aca="false">IF(Tasks[[#This Row],[Task Name]]="","",LEFT(Tasks[[#This Row],[WBS]],FIND(".",Tasks[[#This Row],[WBS]]&amp;".")-1))</f>
        <v/>
      </c>
      <c r="DJ155" s="41" t="str">
        <f aca="false">IF(AND(Tasks[[#This Row],[Task Name]]&lt;&gt;"",Tasks[[#This Row],[_Level]]=1),Tasks[[#This Row],[_Row]],"")</f>
        <v/>
      </c>
      <c r="DK155" s="41" t="str">
        <f aca="false">IF(AND(Tasks[[#This Row],[_IsLeaf]]=1,N(Tasks[[#This Row],[Duration]])=0),Tasks[[#This Row],[Planned Finish]]+Tasks[[#This Row],[_Row]]/100000,"")</f>
        <v/>
      </c>
      <c r="DL155" s="41" t="str">
        <f aca="false">IF(AND(Tasks[[#This Row],[_IsLeaf]]=1,Tasks[[#This Row],[_LeafProgress]]&lt;1,OR(N(Tasks[[#This Row],[Finish Var]])&gt;0,Tasks[[#This Row],[Status]]="Late Start")),MAX(0,Tasks[[#This Row],[Finish Var]])+1-Tasks[[#This Row],[_Row]]/1000000,"")</f>
        <v/>
      </c>
      <c r="DM155" s="41" t="str">
        <f aca="false">IF(AND(Tasks[[#This Row],[_IsLeaf]]=1,N(Tasks[[#This Row],[Actual Start]])=0,Tasks[[#This Row],[_LeafFcstStart]]&gt;=StatusDate,Tasks[[#This Row],[_LeafFcstStart]]&lt;=LookaheadEnd),Tasks[[#This Row],[_LeafFcstStart]]+Tasks[[#This Row],[_Row]]/100000,"")</f>
        <v/>
      </c>
      <c r="DN155" s="41" t="str">
        <f aca="false">IF(AND(Tasks[[#This Row],[_IsLeaf]]=1,Tasks[[#This Row],[_LeafProgress]]&lt;1,Tasks[[#This Row],[_LeafFcstFinish]]&gt;=StatusDate,Tasks[[#This Row],[_LeafFcstFinish]]&lt;=LookaheadEnd),Tasks[[#This Row],[_LeafFcstFinish]]+Tasks[[#This Row],[_Row]]/100000,"")</f>
        <v/>
      </c>
      <c r="DO155" s="41" t="str">
        <f aca="false">IF(Tasks[[#This Row],[_LeafCritical]],Tasks[[#This Row],[_LeafFcstStart]]+Tasks[[#This Row],[_Row]]/100000,"")</f>
        <v/>
      </c>
      <c r="DP155" s="41" t="n">
        <f aca="false">Tasks[[#This Row],[_LeafWork]]*Tasks[[#This Row],[_LeafProgress]]</f>
        <v>0</v>
      </c>
      <c r="DQ155" s="103" t="str">
        <f aca="false">IF(AND(Tasks[[#This Row],[_IsLeaf]]=1,Tasks[[#This Row],[_LeafProgress]]&gt;=1),IF(N(Tasks[[#This Row],[Actual Finish]])&gt;0,Tasks[[#This Row],[Actual Finish]],Tasks[[#This Row],[_LeafFcstFinish]]),"")</f>
        <v/>
      </c>
      <c r="DR155" s="41" t="n">
        <f aca="false">IF(Tasks[[#This Row],[_IsLeaf]]=1,N(Tasks[[#This Row],[Story Points]]),0)</f>
        <v>0</v>
      </c>
      <c r="DS155" s="41" t="str">
        <f aca="false">IF(AND(Tasks[[#This Row],[_IsLeaf]]=1,CurrentSprint&lt;&gt;"",Tasks[[#This Row],[Sprint]]=CurrentSprint),Tasks[[#This Row],[_Row]],"")</f>
        <v/>
      </c>
    </row>
    <row r="156" customFormat="false" ht="15" hidden="false" customHeight="false" outlineLevel="0" collapsed="false">
      <c r="A156" s="28" t="str">
        <f aca="false">IF(Tasks[[#This Row],[Task Name]]="","",COUNTA(Tasks[[#Headers],[Task Name]]:Tasks[[#This Row],[Task Name]])-1)</f>
        <v/>
      </c>
      <c r="B156" s="29" t="n">
        <v>151</v>
      </c>
      <c r="C1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29"/>
      <c r="E156" s="30"/>
      <c r="F156" s="29"/>
      <c r="G156" s="29"/>
      <c r="H156" s="29"/>
      <c r="I156" s="29"/>
      <c r="J156" s="29"/>
      <c r="K156" s="29"/>
      <c r="L156" s="29"/>
      <c r="M156" s="29"/>
      <c r="N156" s="77"/>
      <c r="O156" s="77"/>
      <c r="P156" s="25" t="str">
        <f aca="false">IF(Tasks[[#This Row],[Task Name]]="","",IF(N(Tasks[[#This Row],[Baseline Start]])&gt;0,Tasks[[#This Row],[Baseline Start]],Tasks[[#This Row],[_CalcStart]]))</f>
        <v/>
      </c>
      <c r="Q156" s="25" t="str">
        <f aca="false">IF(Tasks[[#This Row],[Task Name]]="","",IF(N(Tasks[[#This Row],[Baseline Finish]])&gt;0,Tasks[[#This Row],[Baseline Finish]],Tasks[[#This Row],[_CalcFinish]]))</f>
        <v/>
      </c>
      <c r="R156" s="77"/>
      <c r="S156" s="77"/>
      <c r="T156" s="25" t="str">
        <f aca="false">IF(Tasks[[#This Row],[Task Name]]="","",IF(Tasks[[#This Row],[_IsSummary]],MIN(INDEX(Tasks[_LeafFcstStart],Tasks[[#This Row],[_Row]]+1):INDEX(Tasks[_LeafFcstStart],Tasks[[#This Row],[_Row]]+Tasks[[#This Row],[_Descendants]])),Tasks[[#This Row],[_LeafFcstStart]]))</f>
        <v/>
      </c>
      <c r="U156" s="25" t="str">
        <f aca="false">IF(Tasks[[#This Row],[Task Name]]="","",IF(Tasks[[#This Row],[_IsSummary]],MAX(INDEX(Tasks[_LeafFcstFinish],Tasks[[#This Row],[_Row]]+1):INDEX(Tasks[_LeafFcstFinish],Tasks[[#This Row],[_Row]]+Tasks[[#This Row],[_Descendants]])),Tasks[[#This Row],[_LeafFcstFinish]]))</f>
        <v/>
      </c>
      <c r="V15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6" s="25" t="str">
        <f aca="false">IF(Tasks[[#This Row],[Task Name]]="","",IF(Tasks[[#This Row],[_IsSummary]],MIN(INDEX(Tasks[_LeafLateStart],Tasks[[#This Row],[_Row]]+1):INDEX(Tasks[_LeafLateStart],Tasks[[#This Row],[_Row]]+Tasks[[#This Row],[_Descendants]])),Tasks[[#This Row],[_LeafLateStart]]))</f>
        <v/>
      </c>
      <c r="Y156" s="25" t="str">
        <f aca="false">IF(Tasks[[#This Row],[Task Name]]="","",IF(Tasks[[#This Row],[_IsSummary]],MAX(INDEX(Tasks[_LeafLateFinish],Tasks[[#This Row],[_Row]]+1):INDEX(Tasks[_LeafLateFinish],Tasks[[#This Row],[_Row]]+Tasks[[#This Row],[_Descendants]])),Tasks[[#This Row],[_LeafLateFinish]]))</f>
        <v/>
      </c>
      <c r="Z156" s="43" t="str">
        <f aca="false">IF(Tasks[[#This Row],[Task Name]]="","",IF(Tasks[[#This Row],[_IsSummary]],MIN(INDEX(Tasks[_LeafTotalSlack],Tasks[[#This Row],[_Row]]+1):INDEX(Tasks[_LeafTotalSlack],Tasks[[#This Row],[_Row]]+Tasks[[#This Row],[_Descendants]])),Tasks[[#This Row],[_LeafTotalSlack]]))</f>
        <v/>
      </c>
      <c r="AA1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6" s="28" t="str">
        <f aca="false">IF(Tasks[[#This Row],[Task Name]]="","",IF(IF(Tasks[[#This Row],[_IsSummary]],COUNTIF(INDEX(Tasks[_LeafCritical],Tasks[[#This Row],[_Row]]+1):INDEX(Tasks[_LeafCritical],Tasks[[#This Row],[_Row]]+Tasks[[#This Row],[_Descendants]]),TRUE())&gt;0,Tasks[[#This Row],[_LeafCritical]]),"Yes",""))</f>
        <v/>
      </c>
      <c r="AC1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6" s="24" t="str">
        <f aca="false">IF(Tasks[[#This Row],[Task Name]]="","",TRIM(IF(Tasks[[#This Row],[_Pred1Problem]]&lt;&gt;"","Pred 1: "&amp;Tasks[[#This Row],[_Pred1Problem]]&amp;". ","")&amp;IF(Tasks[[#This Row],[_Pred2Problem]]&lt;&gt;"","Pred 2: "&amp;Tasks[[#This Row],[_Pred2Problem]]&amp;".","")))</f>
        <v/>
      </c>
      <c r="AE156" s="91"/>
      <c r="AF15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6" s="28" t="str">
        <f aca="false">IF(Tasks[[#This Row],[Task Name]]="","",IF(Tasks[[#This Row],[Progress]]&gt;=1,"Complete",IF(OR(N(Tasks[[#This Row],[Actual Start]])&gt;0,Tasks[[#This Row],[Progress]]&gt;0),IF(Tasks[[#This Row],[Finish Var]]&gt;0,"Behind","In Progress"),IF(Tasks[[#This Row],[Planned Start]]&lt;StatusDate,"Late Start","Not Started"))))</f>
        <v/>
      </c>
      <c r="AH156" s="30"/>
      <c r="AI156" s="91"/>
      <c r="AJ15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6" s="98" t="str">
        <f aca="false">IF(Tasks[[#This Row],[Task Name]]="","",IF(Tasks[[#This Row],[_IsSummary]],SUM(INDEX(Tasks[_LeafWork],Tasks[[#This Row],[_Row]]+1):INDEX(Tasks[_LeafWork],Tasks[[#This Row],[_Row]]+Tasks[[#This Row],[_Descendants]])),Tasks[[#This Row],[_LeafWork]]))</f>
        <v/>
      </c>
      <c r="AL156" s="99" t="str">
        <f aca="false">IF(Tasks[[#This Row],[Task Name]]="","",IF(Tasks[[#This Row],[_IsSummary]],SUM(INDEX(Tasks[_LeafCost],Tasks[[#This Row],[_Row]]+1):INDEX(Tasks[_LeafCost],Tasks[[#This Row],[_Row]]+Tasks[[#This Row],[_Descendants]])),Tasks[[#This Row],[_LeafCost]]))</f>
        <v/>
      </c>
      <c r="AM156" s="100"/>
      <c r="AN156" s="29"/>
      <c r="AO1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6" s="85"/>
      <c r="AQ156" s="24" t="str">
        <f aca="false">IF(Tasks[[#This Row],[Task Name]]="","",Tasks[[#This Row],[_Pred1IDText]]&amp;IF(AND(Tasks[[#This Row],[_Pred1IDText]]&lt;&gt;"",Tasks[[#This Row],[_Pred2IDText]]&lt;&gt;""),",","")&amp;Tasks[[#This Row],[_Pred2IDText]])</f>
        <v/>
      </c>
      <c r="AR156" s="30"/>
      <c r="AS156" s="25" t="str">
        <f aca="false">IF(Tasks[[#This Row],[Task Name]]="","",Tasks[[#This Row],[Forecast Start]])</f>
        <v/>
      </c>
      <c r="AT156" s="25" t="str">
        <f aca="false">IF(Tasks[[#This Row],[Task Name]]="","",Tasks[[#This Row],[Forecast Finish]])</f>
        <v/>
      </c>
      <c r="AU156" s="28" t="str">
        <f aca="false">IF(Tasks[[#This Row],[Task Name]]="","",IF(Tasks[[#This Row],[_IsSummary]],NETWORKDAYS.INTL(Tasks[[#This Row],[Forecast Start]],Tasks[[#This Row],[Forecast Finish]],WorkWeek,Holidays),N(Tasks[[#This Row],[Duration]])))</f>
        <v/>
      </c>
      <c r="AV156" s="98" t="str">
        <f aca="false">IF(Tasks[[#This Row],[Task Name]]="","",Tasks[[#This Row],[Work]])</f>
        <v/>
      </c>
      <c r="AW156" s="99" t="str">
        <f aca="false">IF(Tasks[[#This Row],[Task Name]]="","",Tasks[[#This Row],[Cost]])</f>
        <v/>
      </c>
      <c r="AX156" s="77"/>
      <c r="AY156" s="77"/>
      <c r="AZ156" s="29"/>
      <c r="BA156" s="101"/>
      <c r="BB156" s="100"/>
      <c r="BC156" s="28" t="str">
        <f aca="false">IF(OR(Tasks[[#This Row],[Task Name]]="",Tasks[[#This Row],[Baseline Duration]]=""),"",Tasks[[#This Row],[BL Source Duration]]-N(Tasks[[#This Row],[Baseline Duration]]))</f>
        <v/>
      </c>
      <c r="BD156" s="98" t="str">
        <f aca="false">IF(OR(Tasks[[#This Row],[Task Name]]="",Tasks[[#This Row],[Baseline Work]]=""),"",Tasks[[#This Row],[Work]]-N(Tasks[[#This Row],[Baseline Work]]))</f>
        <v/>
      </c>
      <c r="BE156" s="99" t="str">
        <f aca="false">IF(OR(Tasks[[#This Row],[Task Name]]="",Tasks[[#This Row],[Baseline Cost]]=""),"",Tasks[[#This Row],[Cost]]-N(Tasks[[#This Row],[Baseline Cost]]))</f>
        <v/>
      </c>
      <c r="BF156" s="99" t="str">
        <f aca="false">IF(Tasks[[#This Row],[Task Name]]="","",IF(Tasks[[#This Row],[_IsSummary]],SUM(INDEX(Tasks[_LeafBudget],Tasks[[#This Row],[_Row]]+1):INDEX(Tasks[_LeafBudget],Tasks[[#This Row],[_Row]]+Tasks[[#This Row],[_Descendants]])),Tasks[[#This Row],[_LeafBudget]]))</f>
        <v/>
      </c>
      <c r="BG156" s="99" t="str">
        <f aca="false">IF(Tasks[[#This Row],[Task Name]]="","",IF(Tasks[[#This Row],[_IsSummary]],SUM(INDEX(Tasks[_LeafPV],Tasks[[#This Row],[_Row]]+1):INDEX(Tasks[_LeafPV],Tasks[[#This Row],[_Row]]+Tasks[[#This Row],[_Descendants]])),Tasks[[#This Row],[_LeafPV]]))</f>
        <v/>
      </c>
      <c r="BH156" s="99" t="str">
        <f aca="false">IF(Tasks[[#This Row],[Task Name]]="","",IF(Tasks[[#This Row],[_IsSummary]],SUM(INDEX(Tasks[_LeafEV],Tasks[[#This Row],[_Row]]+1):INDEX(Tasks[_LeafEV],Tasks[[#This Row],[_Row]]+Tasks[[#This Row],[_Descendants]])),Tasks[[#This Row],[_LeafEV]]))</f>
        <v/>
      </c>
      <c r="BI156" s="99" t="str">
        <f aca="false">IF(Tasks[[#This Row],[Task Name]]="","",IF(Tasks[[#This Row],[_IsSummary]],SUM(INDEX(Tasks[_LeafAC],Tasks[[#This Row],[_Row]]+1):INDEX(Tasks[_LeafAC],Tasks[[#This Row],[_Row]]+Tasks[[#This Row],[_Descendants]])),Tasks[[#This Row],[_LeafAC]]))</f>
        <v/>
      </c>
      <c r="BJ156" s="41" t="str">
        <f aca="false">IF(Tasks[[#This Row],[Task Name]]="","",MAX(1,N(Tasks[[#This Row],[Level]])))</f>
        <v/>
      </c>
      <c r="BK156" s="41" t="n">
        <f aca="false">ROW()-ROW(Tasks[[#Headers],[ID]])</f>
        <v>151</v>
      </c>
      <c r="BL156" s="41" t="n">
        <f aca="false">IF(OR(Tasks[[#This Row],[Task Name]]="",Tasks[[#This Row],[_Level]]&lt;=1),0,IFERROR(LOOKUP(2,1/(Tasks[[#Headers],[_Level]]:Tasks[[#This Row],[_Level]]=Tasks[[#This Row],[_Level]]-1),ROW(Tasks[[#Headers],[_Level]]:Tasks[[#This Row],[_Level]])),0))</f>
        <v>0</v>
      </c>
      <c r="BM156" s="41" t="n">
        <f aca="false">IFERROR(N(INDEX(Tasks[_Level],Tasks[[#This Row],[_Row]]+1)),0)</f>
        <v>0</v>
      </c>
      <c r="BN156" s="102" t="b">
        <f aca="false">AND(Tasks[[#This Row],[Task Name]]&lt;&gt;"",Tasks[[#This Row],[_NextLevel]]&gt;Tasks[[#This Row],[_Level]])</f>
        <v>0</v>
      </c>
      <c r="BO156" s="41" t="n">
        <f aca="false">IF(Tasks[[#This Row],[_IsSummary]],COUNTIF(Tasks[WBS],Tasks[[#This Row],[WBS]]&amp;".*"),0)</f>
        <v>0</v>
      </c>
      <c r="BP156" s="41" t="n">
        <f aca="false">IF(AND(Tasks[[#This Row],[Task Name]]&lt;&gt;"",NOT(Tasks[[#This Row],[_IsSummary]])),1,0)</f>
        <v>0</v>
      </c>
      <c r="BQ156" s="41" t="n">
        <f aca="false">IF(N(Tasks[[#This Row],[Pred1 UID]])=0,0,IFERROR(MATCH(Tasks[[#This Row],[Pred1 UID]],Tasks[UID],0),-1))</f>
        <v>0</v>
      </c>
      <c r="BR156" s="41" t="n">
        <f aca="false">IF(N(Tasks[[#This Row],[Pred2 UID]])=0,0,IFERROR(MATCH(Tasks[[#This Row],[Pred2 UID]],Tasks[UID],0),-1))</f>
        <v>0</v>
      </c>
      <c r="BS15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6" s="103" t="str">
        <f aca="false">IF(NOT(Tasks[[#This Row],[_IsLeaf]]=1),"",IF(N(Tasks[[#This Row],[Duration]])&lt;=0,Tasks[[#This Row],[_LeafCalcStart]],WORKDAY.INTL(Tasks[[#This Row],[_LeafCalcStart]],Tasks[[#This Row],[Duration]]-1,WorkWeek,Holidays)))</f>
        <v/>
      </c>
      <c r="BU15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6" s="41" t="n">
        <f aca="false">IF(NOT(Tasks[[#This Row],[_IsLeaf]]=1),0,IF(N(Tasks[[#This Row],[Actual Finish]])&gt;0,1,MIN(1,N(Tasks[[#This Row],[% Complete]]))))</f>
        <v>0</v>
      </c>
      <c r="BX156" s="41" t="n">
        <f aca="false">IF(OR(NOT(Tasks[[#This Row],[_IsLeaf]]=1),Tasks[[#This Row],[Resource]]=""),0,N(Tasks[[#This Row],[Duration]])*HoursPerDay*IF(Tasks[[#This Row],[Units]]="",DefaultUnits,Tasks[[#This Row],[Units]]))</f>
        <v>0</v>
      </c>
      <c r="BY156" s="41" t="n">
        <f aca="false">IF(Tasks[[#This Row],[_LeafWork]]=0,0,Tasks[[#This Row],[_LeafWork]]*IFERROR(INDEX(res_Rate,MATCH(Tasks[[#This Row],[Resource]],res_Name,0)),0))</f>
        <v>0</v>
      </c>
      <c r="BZ1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6" s="41" t="n">
        <f aca="false">IF(NOT(Tasks[[#This Row],[_IsLeaf]]=1),0,MAX(_xlfn.MAXIFS(Tasks[_Row],Tasks[Pred1 UID],Tasks[[#This Row],[UID]]),_xlfn.MAXIFS(Tasks[_Row],Tasks[Pred2 UID],Tasks[[#This Row],[UID]])))</f>
        <v>0</v>
      </c>
      <c r="CE15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6" s="103" t="str">
        <f aca="false">IF(NOT(Tasks[[#This Row],[_IsLeaf]]=1),"",MIN(ProjectFinish,IF(N(Tasks[[#This Row],[Deadline]])&gt;0,Tasks[[#This Row],[Deadline]],2958465),Tasks[[#This Row],[_SuccessorFinishLimit]]))</f>
        <v/>
      </c>
      <c r="CG156" s="103" t="str">
        <f aca="false">IF(NOT(Tasks[[#This Row],[_IsLeaf]]=1),"",IF(N(Tasks[[#This Row],[Duration]])&lt;=0,Tasks[[#This Row],[_LeafLateFinish]],WORKDAY.INTL(Tasks[[#This Row],[_LeafLateFinish]],-(Tasks[[#This Row],[Duration]]-1),WorkWeek,Holidays)))</f>
        <v/>
      </c>
      <c r="CH1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6" s="102" t="b">
        <f aca="false">AND(Tasks[[#This Row],[_IsLeaf]]=1,Tasks[[#This Row],[_LeafProgress]]&lt;1,N(Tasks[[#This Row],[_LeafTotalSlack]])&lt;=CriticalSlackDays)</f>
        <v>0</v>
      </c>
      <c r="CJ156" s="103" t="str">
        <f aca="false">IF(Tasks[[#This Row],[Task Name]]="","",IF(Tasks[[#This Row],[_IsSummary]],MIN(INDEX(Tasks[_LeafCalcStart],Tasks[[#This Row],[_Row]]+1):INDEX(Tasks[_LeafCalcStart],Tasks[[#This Row],[_Row]]+Tasks[[#This Row],[_Descendants]])),Tasks[[#This Row],[_LeafCalcStart]]))</f>
        <v/>
      </c>
      <c r="CK156" s="103" t="str">
        <f aca="false">IF(Tasks[[#This Row],[Task Name]]="","",IF(Tasks[[#This Row],[_IsSummary]],MAX(INDEX(Tasks[_LeafCalcFinish],Tasks[[#This Row],[_Row]]+1):INDEX(Tasks[_LeafCalcFinish],Tasks[[#This Row],[_Row]]+Tasks[[#This Row],[_Descendants]])),Tasks[[#This Row],[_LeafCalcFinish]]))</f>
        <v/>
      </c>
      <c r="CL1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6" s="41" t="n">
        <f aca="false">IF(AND(Tasks[[#This Row],[_IsLeaf]]=1,Tasks[[#This Row],[_LeafWork]]&gt;0),NETWORKDAYS.INTL(ProjectStart,Tasks[[#This Row],[_LeafFcstStart]],WorkWeek,Holidays),0)</f>
        <v>0</v>
      </c>
      <c r="CS156" s="41" t="n">
        <f aca="false">IF(AND(Tasks[[#This Row],[_IsLeaf]]=1,Tasks[[#This Row],[_LeafWork]]&gt;0),MAX(Tasks[[#This Row],[_StartWorkday]],NETWORKDAYS.INTL(ProjectStart,Tasks[[#This Row],[_LeafFcstFinish]],WorkWeek,Holidays)),0)</f>
        <v>0</v>
      </c>
      <c r="CT156" s="41" t="n">
        <f aca="false">IF(AND(Tasks[[#This Row],[_IsLeaf]]=1,Tasks[[#This Row],[_LeafWork]]&gt;0),Tasks[[#This Row],[_LeafWork]]/(Tasks[[#This Row],[_FinishWorkday]]-Tasks[[#This Row],[_StartWorkday]]+1),0)</f>
        <v>0</v>
      </c>
      <c r="CU156" s="41" t="n">
        <f aca="false">Tasks[[#This Row],[_WorkPerWorkday]]*(Tasks[[#This Row],[_StartWorkday]]-1)</f>
        <v>-0</v>
      </c>
      <c r="CV156" s="41" t="n">
        <f aca="false">IF(Tasks[[#This Row],[_IsLeaf]]=1,MAX(N(Tasks[[#This Row],[Duration]]),0.1),0)</f>
        <v>0</v>
      </c>
      <c r="CW156" s="41" t="n">
        <f aca="false">Tasks[[#This Row],[_WeightDur]]*Tasks[[#This Row],[_LeafProgress]]</f>
        <v>0</v>
      </c>
      <c r="CX1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6" s="41" t="str">
        <f aca="false">IF(Tasks[[#This Row],[Task Name]]="","",Tasks[[#This Row],[_Pred1UIDText]]&amp;IF(AND(Tasks[[#This Row],[_Pred1UIDText]]&lt;&gt;"",Tasks[[#This Row],[_Pred2UIDText]]&lt;&gt;""),",","")&amp;Tasks[[#This Row],[_Pred2UIDText]])</f>
        <v/>
      </c>
      <c r="DC156" s="41" t="str">
        <f aca="false">IF(AND(Tasks[[#This Row],[_IsLeaf]]=1,N(Tasks[[#This Row],[Duration]])=0,Tasks[[#This Row],[_LeafProgress]]&lt;1),Tasks[[#This Row],[_LeafFcstFinish]]+Tasks[[#This Row],[_Row]]/100000,"")</f>
        <v/>
      </c>
      <c r="DD1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6" s="41" t="n">
        <f aca="false">IF(NOT(Tasks[[#This Row],[_IsLeaf]]=1),0,IF(Tasks[[#This Row],[Baseline Cost]]="",Tasks[[#This Row],[_LeafCost]],N(Tasks[[#This Row],[Baseline Cost]])))</f>
        <v>0</v>
      </c>
      <c r="DF156" s="41" t="n">
        <f aca="false">Tasks[[#This Row],[_LeafBudget]]*Tasks[[#This Row],[_PlannedPct]]</f>
        <v>0</v>
      </c>
      <c r="DG156" s="41" t="n">
        <f aca="false">Tasks[[#This Row],[_LeafBudget]]*Tasks[[#This Row],[_LeafProgress]]</f>
        <v>0</v>
      </c>
      <c r="DH156" s="41" t="n">
        <f aca="false">IF(NOT(Tasks[[#This Row],[_IsLeaf]]=1),0,IF(Tasks[[#This Row],[Actual Cost]]="",Tasks[[#This Row],[_LeafCost]]*Tasks[[#This Row],[_LeafProgress]],N(Tasks[[#This Row],[Actual Cost]])))</f>
        <v>0</v>
      </c>
      <c r="DI156" s="41" t="str">
        <f aca="false">IF(Tasks[[#This Row],[Task Name]]="","",LEFT(Tasks[[#This Row],[WBS]],FIND(".",Tasks[[#This Row],[WBS]]&amp;".")-1))</f>
        <v/>
      </c>
      <c r="DJ156" s="41" t="str">
        <f aca="false">IF(AND(Tasks[[#This Row],[Task Name]]&lt;&gt;"",Tasks[[#This Row],[_Level]]=1),Tasks[[#This Row],[_Row]],"")</f>
        <v/>
      </c>
      <c r="DK156" s="41" t="str">
        <f aca="false">IF(AND(Tasks[[#This Row],[_IsLeaf]]=1,N(Tasks[[#This Row],[Duration]])=0),Tasks[[#This Row],[Planned Finish]]+Tasks[[#This Row],[_Row]]/100000,"")</f>
        <v/>
      </c>
      <c r="DL156" s="41" t="str">
        <f aca="false">IF(AND(Tasks[[#This Row],[_IsLeaf]]=1,Tasks[[#This Row],[_LeafProgress]]&lt;1,OR(N(Tasks[[#This Row],[Finish Var]])&gt;0,Tasks[[#This Row],[Status]]="Late Start")),MAX(0,Tasks[[#This Row],[Finish Var]])+1-Tasks[[#This Row],[_Row]]/1000000,"")</f>
        <v/>
      </c>
      <c r="DM156" s="41" t="str">
        <f aca="false">IF(AND(Tasks[[#This Row],[_IsLeaf]]=1,N(Tasks[[#This Row],[Actual Start]])=0,Tasks[[#This Row],[_LeafFcstStart]]&gt;=StatusDate,Tasks[[#This Row],[_LeafFcstStart]]&lt;=LookaheadEnd),Tasks[[#This Row],[_LeafFcstStart]]+Tasks[[#This Row],[_Row]]/100000,"")</f>
        <v/>
      </c>
      <c r="DN156" s="41" t="str">
        <f aca="false">IF(AND(Tasks[[#This Row],[_IsLeaf]]=1,Tasks[[#This Row],[_LeafProgress]]&lt;1,Tasks[[#This Row],[_LeafFcstFinish]]&gt;=StatusDate,Tasks[[#This Row],[_LeafFcstFinish]]&lt;=LookaheadEnd),Tasks[[#This Row],[_LeafFcstFinish]]+Tasks[[#This Row],[_Row]]/100000,"")</f>
        <v/>
      </c>
      <c r="DO156" s="41" t="str">
        <f aca="false">IF(Tasks[[#This Row],[_LeafCritical]],Tasks[[#This Row],[_LeafFcstStart]]+Tasks[[#This Row],[_Row]]/100000,"")</f>
        <v/>
      </c>
      <c r="DP156" s="41" t="n">
        <f aca="false">Tasks[[#This Row],[_LeafWork]]*Tasks[[#This Row],[_LeafProgress]]</f>
        <v>0</v>
      </c>
      <c r="DQ156" s="103" t="str">
        <f aca="false">IF(AND(Tasks[[#This Row],[_IsLeaf]]=1,Tasks[[#This Row],[_LeafProgress]]&gt;=1),IF(N(Tasks[[#This Row],[Actual Finish]])&gt;0,Tasks[[#This Row],[Actual Finish]],Tasks[[#This Row],[_LeafFcstFinish]]),"")</f>
        <v/>
      </c>
      <c r="DR156" s="41" t="n">
        <f aca="false">IF(Tasks[[#This Row],[_IsLeaf]]=1,N(Tasks[[#This Row],[Story Points]]),0)</f>
        <v>0</v>
      </c>
      <c r="DS156" s="41" t="str">
        <f aca="false">IF(AND(Tasks[[#This Row],[_IsLeaf]]=1,CurrentSprint&lt;&gt;"",Tasks[[#This Row],[Sprint]]=CurrentSprint),Tasks[[#This Row],[_Row]],"")</f>
        <v/>
      </c>
    </row>
    <row r="157" customFormat="false" ht="15" hidden="false" customHeight="false" outlineLevel="0" collapsed="false">
      <c r="A157" s="28" t="str">
        <f aca="false">IF(Tasks[[#This Row],[Task Name]]="","",COUNTA(Tasks[[#Headers],[Task Name]]:Tasks[[#This Row],[Task Name]])-1)</f>
        <v/>
      </c>
      <c r="B157" s="29" t="n">
        <v>152</v>
      </c>
      <c r="C1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29"/>
      <c r="E157" s="30"/>
      <c r="F157" s="29"/>
      <c r="G157" s="29"/>
      <c r="H157" s="29"/>
      <c r="I157" s="29"/>
      <c r="J157" s="29"/>
      <c r="K157" s="29"/>
      <c r="L157" s="29"/>
      <c r="M157" s="29"/>
      <c r="N157" s="77"/>
      <c r="O157" s="77"/>
      <c r="P157" s="25" t="str">
        <f aca="false">IF(Tasks[[#This Row],[Task Name]]="","",IF(N(Tasks[[#This Row],[Baseline Start]])&gt;0,Tasks[[#This Row],[Baseline Start]],Tasks[[#This Row],[_CalcStart]]))</f>
        <v/>
      </c>
      <c r="Q157" s="25" t="str">
        <f aca="false">IF(Tasks[[#This Row],[Task Name]]="","",IF(N(Tasks[[#This Row],[Baseline Finish]])&gt;0,Tasks[[#This Row],[Baseline Finish]],Tasks[[#This Row],[_CalcFinish]]))</f>
        <v/>
      </c>
      <c r="R157" s="77"/>
      <c r="S157" s="77"/>
      <c r="T157" s="25" t="str">
        <f aca="false">IF(Tasks[[#This Row],[Task Name]]="","",IF(Tasks[[#This Row],[_IsSummary]],MIN(INDEX(Tasks[_LeafFcstStart],Tasks[[#This Row],[_Row]]+1):INDEX(Tasks[_LeafFcstStart],Tasks[[#This Row],[_Row]]+Tasks[[#This Row],[_Descendants]])),Tasks[[#This Row],[_LeafFcstStart]]))</f>
        <v/>
      </c>
      <c r="U157" s="25" t="str">
        <f aca="false">IF(Tasks[[#This Row],[Task Name]]="","",IF(Tasks[[#This Row],[_IsSummary]],MAX(INDEX(Tasks[_LeafFcstFinish],Tasks[[#This Row],[_Row]]+1):INDEX(Tasks[_LeafFcstFinish],Tasks[[#This Row],[_Row]]+Tasks[[#This Row],[_Descendants]])),Tasks[[#This Row],[_LeafFcstFinish]]))</f>
        <v/>
      </c>
      <c r="V15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7" s="25" t="str">
        <f aca="false">IF(Tasks[[#This Row],[Task Name]]="","",IF(Tasks[[#This Row],[_IsSummary]],MIN(INDEX(Tasks[_LeafLateStart],Tasks[[#This Row],[_Row]]+1):INDEX(Tasks[_LeafLateStart],Tasks[[#This Row],[_Row]]+Tasks[[#This Row],[_Descendants]])),Tasks[[#This Row],[_LeafLateStart]]))</f>
        <v/>
      </c>
      <c r="Y157" s="25" t="str">
        <f aca="false">IF(Tasks[[#This Row],[Task Name]]="","",IF(Tasks[[#This Row],[_IsSummary]],MAX(INDEX(Tasks[_LeafLateFinish],Tasks[[#This Row],[_Row]]+1):INDEX(Tasks[_LeafLateFinish],Tasks[[#This Row],[_Row]]+Tasks[[#This Row],[_Descendants]])),Tasks[[#This Row],[_LeafLateFinish]]))</f>
        <v/>
      </c>
      <c r="Z157" s="43" t="str">
        <f aca="false">IF(Tasks[[#This Row],[Task Name]]="","",IF(Tasks[[#This Row],[_IsSummary]],MIN(INDEX(Tasks[_LeafTotalSlack],Tasks[[#This Row],[_Row]]+1):INDEX(Tasks[_LeafTotalSlack],Tasks[[#This Row],[_Row]]+Tasks[[#This Row],[_Descendants]])),Tasks[[#This Row],[_LeafTotalSlack]]))</f>
        <v/>
      </c>
      <c r="AA1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7" s="28" t="str">
        <f aca="false">IF(Tasks[[#This Row],[Task Name]]="","",IF(IF(Tasks[[#This Row],[_IsSummary]],COUNTIF(INDEX(Tasks[_LeafCritical],Tasks[[#This Row],[_Row]]+1):INDEX(Tasks[_LeafCritical],Tasks[[#This Row],[_Row]]+Tasks[[#This Row],[_Descendants]]),TRUE())&gt;0,Tasks[[#This Row],[_LeafCritical]]),"Yes",""))</f>
        <v/>
      </c>
      <c r="AC1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7" s="24" t="str">
        <f aca="false">IF(Tasks[[#This Row],[Task Name]]="","",TRIM(IF(Tasks[[#This Row],[_Pred1Problem]]&lt;&gt;"","Pred 1: "&amp;Tasks[[#This Row],[_Pred1Problem]]&amp;". ","")&amp;IF(Tasks[[#This Row],[_Pred2Problem]]&lt;&gt;"","Pred 2: "&amp;Tasks[[#This Row],[_Pred2Problem]]&amp;".","")))</f>
        <v/>
      </c>
      <c r="AE157" s="91"/>
      <c r="AF15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7" s="28" t="str">
        <f aca="false">IF(Tasks[[#This Row],[Task Name]]="","",IF(Tasks[[#This Row],[Progress]]&gt;=1,"Complete",IF(OR(N(Tasks[[#This Row],[Actual Start]])&gt;0,Tasks[[#This Row],[Progress]]&gt;0),IF(Tasks[[#This Row],[Finish Var]]&gt;0,"Behind","In Progress"),IF(Tasks[[#This Row],[Planned Start]]&lt;StatusDate,"Late Start","Not Started"))))</f>
        <v/>
      </c>
      <c r="AH157" s="30"/>
      <c r="AI157" s="91"/>
      <c r="AJ15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7" s="98" t="str">
        <f aca="false">IF(Tasks[[#This Row],[Task Name]]="","",IF(Tasks[[#This Row],[_IsSummary]],SUM(INDEX(Tasks[_LeafWork],Tasks[[#This Row],[_Row]]+1):INDEX(Tasks[_LeafWork],Tasks[[#This Row],[_Row]]+Tasks[[#This Row],[_Descendants]])),Tasks[[#This Row],[_LeafWork]]))</f>
        <v/>
      </c>
      <c r="AL157" s="99" t="str">
        <f aca="false">IF(Tasks[[#This Row],[Task Name]]="","",IF(Tasks[[#This Row],[_IsSummary]],SUM(INDEX(Tasks[_LeafCost],Tasks[[#This Row],[_Row]]+1):INDEX(Tasks[_LeafCost],Tasks[[#This Row],[_Row]]+Tasks[[#This Row],[_Descendants]])),Tasks[[#This Row],[_LeafCost]]))</f>
        <v/>
      </c>
      <c r="AM157" s="100"/>
      <c r="AN157" s="29"/>
      <c r="AO1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7" s="85"/>
      <c r="AQ157" s="24" t="str">
        <f aca="false">IF(Tasks[[#This Row],[Task Name]]="","",Tasks[[#This Row],[_Pred1IDText]]&amp;IF(AND(Tasks[[#This Row],[_Pred1IDText]]&lt;&gt;"",Tasks[[#This Row],[_Pred2IDText]]&lt;&gt;""),",","")&amp;Tasks[[#This Row],[_Pred2IDText]])</f>
        <v/>
      </c>
      <c r="AR157" s="30"/>
      <c r="AS157" s="25" t="str">
        <f aca="false">IF(Tasks[[#This Row],[Task Name]]="","",Tasks[[#This Row],[Forecast Start]])</f>
        <v/>
      </c>
      <c r="AT157" s="25" t="str">
        <f aca="false">IF(Tasks[[#This Row],[Task Name]]="","",Tasks[[#This Row],[Forecast Finish]])</f>
        <v/>
      </c>
      <c r="AU157" s="28" t="str">
        <f aca="false">IF(Tasks[[#This Row],[Task Name]]="","",IF(Tasks[[#This Row],[_IsSummary]],NETWORKDAYS.INTL(Tasks[[#This Row],[Forecast Start]],Tasks[[#This Row],[Forecast Finish]],WorkWeek,Holidays),N(Tasks[[#This Row],[Duration]])))</f>
        <v/>
      </c>
      <c r="AV157" s="98" t="str">
        <f aca="false">IF(Tasks[[#This Row],[Task Name]]="","",Tasks[[#This Row],[Work]])</f>
        <v/>
      </c>
      <c r="AW157" s="99" t="str">
        <f aca="false">IF(Tasks[[#This Row],[Task Name]]="","",Tasks[[#This Row],[Cost]])</f>
        <v/>
      </c>
      <c r="AX157" s="77"/>
      <c r="AY157" s="77"/>
      <c r="AZ157" s="29"/>
      <c r="BA157" s="101"/>
      <c r="BB157" s="100"/>
      <c r="BC157" s="28" t="str">
        <f aca="false">IF(OR(Tasks[[#This Row],[Task Name]]="",Tasks[[#This Row],[Baseline Duration]]=""),"",Tasks[[#This Row],[BL Source Duration]]-N(Tasks[[#This Row],[Baseline Duration]]))</f>
        <v/>
      </c>
      <c r="BD157" s="98" t="str">
        <f aca="false">IF(OR(Tasks[[#This Row],[Task Name]]="",Tasks[[#This Row],[Baseline Work]]=""),"",Tasks[[#This Row],[Work]]-N(Tasks[[#This Row],[Baseline Work]]))</f>
        <v/>
      </c>
      <c r="BE157" s="99" t="str">
        <f aca="false">IF(OR(Tasks[[#This Row],[Task Name]]="",Tasks[[#This Row],[Baseline Cost]]=""),"",Tasks[[#This Row],[Cost]]-N(Tasks[[#This Row],[Baseline Cost]]))</f>
        <v/>
      </c>
      <c r="BF157" s="99" t="str">
        <f aca="false">IF(Tasks[[#This Row],[Task Name]]="","",IF(Tasks[[#This Row],[_IsSummary]],SUM(INDEX(Tasks[_LeafBudget],Tasks[[#This Row],[_Row]]+1):INDEX(Tasks[_LeafBudget],Tasks[[#This Row],[_Row]]+Tasks[[#This Row],[_Descendants]])),Tasks[[#This Row],[_LeafBudget]]))</f>
        <v/>
      </c>
      <c r="BG157" s="99" t="str">
        <f aca="false">IF(Tasks[[#This Row],[Task Name]]="","",IF(Tasks[[#This Row],[_IsSummary]],SUM(INDEX(Tasks[_LeafPV],Tasks[[#This Row],[_Row]]+1):INDEX(Tasks[_LeafPV],Tasks[[#This Row],[_Row]]+Tasks[[#This Row],[_Descendants]])),Tasks[[#This Row],[_LeafPV]]))</f>
        <v/>
      </c>
      <c r="BH157" s="99" t="str">
        <f aca="false">IF(Tasks[[#This Row],[Task Name]]="","",IF(Tasks[[#This Row],[_IsSummary]],SUM(INDEX(Tasks[_LeafEV],Tasks[[#This Row],[_Row]]+1):INDEX(Tasks[_LeafEV],Tasks[[#This Row],[_Row]]+Tasks[[#This Row],[_Descendants]])),Tasks[[#This Row],[_LeafEV]]))</f>
        <v/>
      </c>
      <c r="BI157" s="99" t="str">
        <f aca="false">IF(Tasks[[#This Row],[Task Name]]="","",IF(Tasks[[#This Row],[_IsSummary]],SUM(INDEX(Tasks[_LeafAC],Tasks[[#This Row],[_Row]]+1):INDEX(Tasks[_LeafAC],Tasks[[#This Row],[_Row]]+Tasks[[#This Row],[_Descendants]])),Tasks[[#This Row],[_LeafAC]]))</f>
        <v/>
      </c>
      <c r="BJ157" s="41" t="str">
        <f aca="false">IF(Tasks[[#This Row],[Task Name]]="","",MAX(1,N(Tasks[[#This Row],[Level]])))</f>
        <v/>
      </c>
      <c r="BK157" s="41" t="n">
        <f aca="false">ROW()-ROW(Tasks[[#Headers],[ID]])</f>
        <v>152</v>
      </c>
      <c r="BL157" s="41" t="n">
        <f aca="false">IF(OR(Tasks[[#This Row],[Task Name]]="",Tasks[[#This Row],[_Level]]&lt;=1),0,IFERROR(LOOKUP(2,1/(Tasks[[#Headers],[_Level]]:Tasks[[#This Row],[_Level]]=Tasks[[#This Row],[_Level]]-1),ROW(Tasks[[#Headers],[_Level]]:Tasks[[#This Row],[_Level]])),0))</f>
        <v>0</v>
      </c>
      <c r="BM157" s="41" t="n">
        <f aca="false">IFERROR(N(INDEX(Tasks[_Level],Tasks[[#This Row],[_Row]]+1)),0)</f>
        <v>0</v>
      </c>
      <c r="BN157" s="102" t="b">
        <f aca="false">AND(Tasks[[#This Row],[Task Name]]&lt;&gt;"",Tasks[[#This Row],[_NextLevel]]&gt;Tasks[[#This Row],[_Level]])</f>
        <v>0</v>
      </c>
      <c r="BO157" s="41" t="n">
        <f aca="false">IF(Tasks[[#This Row],[_IsSummary]],COUNTIF(Tasks[WBS],Tasks[[#This Row],[WBS]]&amp;".*"),0)</f>
        <v>0</v>
      </c>
      <c r="BP157" s="41" t="n">
        <f aca="false">IF(AND(Tasks[[#This Row],[Task Name]]&lt;&gt;"",NOT(Tasks[[#This Row],[_IsSummary]])),1,0)</f>
        <v>0</v>
      </c>
      <c r="BQ157" s="41" t="n">
        <f aca="false">IF(N(Tasks[[#This Row],[Pred1 UID]])=0,0,IFERROR(MATCH(Tasks[[#This Row],[Pred1 UID]],Tasks[UID],0),-1))</f>
        <v>0</v>
      </c>
      <c r="BR157" s="41" t="n">
        <f aca="false">IF(N(Tasks[[#This Row],[Pred2 UID]])=0,0,IFERROR(MATCH(Tasks[[#This Row],[Pred2 UID]],Tasks[UID],0),-1))</f>
        <v>0</v>
      </c>
      <c r="BS15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7" s="103" t="str">
        <f aca="false">IF(NOT(Tasks[[#This Row],[_IsLeaf]]=1),"",IF(N(Tasks[[#This Row],[Duration]])&lt;=0,Tasks[[#This Row],[_LeafCalcStart]],WORKDAY.INTL(Tasks[[#This Row],[_LeafCalcStart]],Tasks[[#This Row],[Duration]]-1,WorkWeek,Holidays)))</f>
        <v/>
      </c>
      <c r="BU15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7" s="41" t="n">
        <f aca="false">IF(NOT(Tasks[[#This Row],[_IsLeaf]]=1),0,IF(N(Tasks[[#This Row],[Actual Finish]])&gt;0,1,MIN(1,N(Tasks[[#This Row],[% Complete]]))))</f>
        <v>0</v>
      </c>
      <c r="BX157" s="41" t="n">
        <f aca="false">IF(OR(NOT(Tasks[[#This Row],[_IsLeaf]]=1),Tasks[[#This Row],[Resource]]=""),0,N(Tasks[[#This Row],[Duration]])*HoursPerDay*IF(Tasks[[#This Row],[Units]]="",DefaultUnits,Tasks[[#This Row],[Units]]))</f>
        <v>0</v>
      </c>
      <c r="BY157" s="41" t="n">
        <f aca="false">IF(Tasks[[#This Row],[_LeafWork]]=0,0,Tasks[[#This Row],[_LeafWork]]*IFERROR(INDEX(res_Rate,MATCH(Tasks[[#This Row],[Resource]],res_Name,0)),0))</f>
        <v>0</v>
      </c>
      <c r="BZ1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7" s="41" t="n">
        <f aca="false">IF(NOT(Tasks[[#This Row],[_IsLeaf]]=1),0,MAX(_xlfn.MAXIFS(Tasks[_Row],Tasks[Pred1 UID],Tasks[[#This Row],[UID]]),_xlfn.MAXIFS(Tasks[_Row],Tasks[Pred2 UID],Tasks[[#This Row],[UID]])))</f>
        <v>0</v>
      </c>
      <c r="CE15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7" s="103" t="str">
        <f aca="false">IF(NOT(Tasks[[#This Row],[_IsLeaf]]=1),"",MIN(ProjectFinish,IF(N(Tasks[[#This Row],[Deadline]])&gt;0,Tasks[[#This Row],[Deadline]],2958465),Tasks[[#This Row],[_SuccessorFinishLimit]]))</f>
        <v/>
      </c>
      <c r="CG157" s="103" t="str">
        <f aca="false">IF(NOT(Tasks[[#This Row],[_IsLeaf]]=1),"",IF(N(Tasks[[#This Row],[Duration]])&lt;=0,Tasks[[#This Row],[_LeafLateFinish]],WORKDAY.INTL(Tasks[[#This Row],[_LeafLateFinish]],-(Tasks[[#This Row],[Duration]]-1),WorkWeek,Holidays)))</f>
        <v/>
      </c>
      <c r="CH1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7" s="102" t="b">
        <f aca="false">AND(Tasks[[#This Row],[_IsLeaf]]=1,Tasks[[#This Row],[_LeafProgress]]&lt;1,N(Tasks[[#This Row],[_LeafTotalSlack]])&lt;=CriticalSlackDays)</f>
        <v>0</v>
      </c>
      <c r="CJ157" s="103" t="str">
        <f aca="false">IF(Tasks[[#This Row],[Task Name]]="","",IF(Tasks[[#This Row],[_IsSummary]],MIN(INDEX(Tasks[_LeafCalcStart],Tasks[[#This Row],[_Row]]+1):INDEX(Tasks[_LeafCalcStart],Tasks[[#This Row],[_Row]]+Tasks[[#This Row],[_Descendants]])),Tasks[[#This Row],[_LeafCalcStart]]))</f>
        <v/>
      </c>
      <c r="CK157" s="103" t="str">
        <f aca="false">IF(Tasks[[#This Row],[Task Name]]="","",IF(Tasks[[#This Row],[_IsSummary]],MAX(INDEX(Tasks[_LeafCalcFinish],Tasks[[#This Row],[_Row]]+1):INDEX(Tasks[_LeafCalcFinish],Tasks[[#This Row],[_Row]]+Tasks[[#This Row],[_Descendants]])),Tasks[[#This Row],[_LeafCalcFinish]]))</f>
        <v/>
      </c>
      <c r="CL1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7" s="41" t="n">
        <f aca="false">IF(AND(Tasks[[#This Row],[_IsLeaf]]=1,Tasks[[#This Row],[_LeafWork]]&gt;0),NETWORKDAYS.INTL(ProjectStart,Tasks[[#This Row],[_LeafFcstStart]],WorkWeek,Holidays),0)</f>
        <v>0</v>
      </c>
      <c r="CS157" s="41" t="n">
        <f aca="false">IF(AND(Tasks[[#This Row],[_IsLeaf]]=1,Tasks[[#This Row],[_LeafWork]]&gt;0),MAX(Tasks[[#This Row],[_StartWorkday]],NETWORKDAYS.INTL(ProjectStart,Tasks[[#This Row],[_LeafFcstFinish]],WorkWeek,Holidays)),0)</f>
        <v>0</v>
      </c>
      <c r="CT157" s="41" t="n">
        <f aca="false">IF(AND(Tasks[[#This Row],[_IsLeaf]]=1,Tasks[[#This Row],[_LeafWork]]&gt;0),Tasks[[#This Row],[_LeafWork]]/(Tasks[[#This Row],[_FinishWorkday]]-Tasks[[#This Row],[_StartWorkday]]+1),0)</f>
        <v>0</v>
      </c>
      <c r="CU157" s="41" t="n">
        <f aca="false">Tasks[[#This Row],[_WorkPerWorkday]]*(Tasks[[#This Row],[_StartWorkday]]-1)</f>
        <v>-0</v>
      </c>
      <c r="CV157" s="41" t="n">
        <f aca="false">IF(Tasks[[#This Row],[_IsLeaf]]=1,MAX(N(Tasks[[#This Row],[Duration]]),0.1),0)</f>
        <v>0</v>
      </c>
      <c r="CW157" s="41" t="n">
        <f aca="false">Tasks[[#This Row],[_WeightDur]]*Tasks[[#This Row],[_LeafProgress]]</f>
        <v>0</v>
      </c>
      <c r="CX1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7" s="41" t="str">
        <f aca="false">IF(Tasks[[#This Row],[Task Name]]="","",Tasks[[#This Row],[_Pred1UIDText]]&amp;IF(AND(Tasks[[#This Row],[_Pred1UIDText]]&lt;&gt;"",Tasks[[#This Row],[_Pred2UIDText]]&lt;&gt;""),",","")&amp;Tasks[[#This Row],[_Pred2UIDText]])</f>
        <v/>
      </c>
      <c r="DC157" s="41" t="str">
        <f aca="false">IF(AND(Tasks[[#This Row],[_IsLeaf]]=1,N(Tasks[[#This Row],[Duration]])=0,Tasks[[#This Row],[_LeafProgress]]&lt;1),Tasks[[#This Row],[_LeafFcstFinish]]+Tasks[[#This Row],[_Row]]/100000,"")</f>
        <v/>
      </c>
      <c r="DD1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7" s="41" t="n">
        <f aca="false">IF(NOT(Tasks[[#This Row],[_IsLeaf]]=1),0,IF(Tasks[[#This Row],[Baseline Cost]]="",Tasks[[#This Row],[_LeafCost]],N(Tasks[[#This Row],[Baseline Cost]])))</f>
        <v>0</v>
      </c>
      <c r="DF157" s="41" t="n">
        <f aca="false">Tasks[[#This Row],[_LeafBudget]]*Tasks[[#This Row],[_PlannedPct]]</f>
        <v>0</v>
      </c>
      <c r="DG157" s="41" t="n">
        <f aca="false">Tasks[[#This Row],[_LeafBudget]]*Tasks[[#This Row],[_LeafProgress]]</f>
        <v>0</v>
      </c>
      <c r="DH157" s="41" t="n">
        <f aca="false">IF(NOT(Tasks[[#This Row],[_IsLeaf]]=1),0,IF(Tasks[[#This Row],[Actual Cost]]="",Tasks[[#This Row],[_LeafCost]]*Tasks[[#This Row],[_LeafProgress]],N(Tasks[[#This Row],[Actual Cost]])))</f>
        <v>0</v>
      </c>
      <c r="DI157" s="41" t="str">
        <f aca="false">IF(Tasks[[#This Row],[Task Name]]="","",LEFT(Tasks[[#This Row],[WBS]],FIND(".",Tasks[[#This Row],[WBS]]&amp;".")-1))</f>
        <v/>
      </c>
      <c r="DJ157" s="41" t="str">
        <f aca="false">IF(AND(Tasks[[#This Row],[Task Name]]&lt;&gt;"",Tasks[[#This Row],[_Level]]=1),Tasks[[#This Row],[_Row]],"")</f>
        <v/>
      </c>
      <c r="DK157" s="41" t="str">
        <f aca="false">IF(AND(Tasks[[#This Row],[_IsLeaf]]=1,N(Tasks[[#This Row],[Duration]])=0),Tasks[[#This Row],[Planned Finish]]+Tasks[[#This Row],[_Row]]/100000,"")</f>
        <v/>
      </c>
      <c r="DL157" s="41" t="str">
        <f aca="false">IF(AND(Tasks[[#This Row],[_IsLeaf]]=1,Tasks[[#This Row],[_LeafProgress]]&lt;1,OR(N(Tasks[[#This Row],[Finish Var]])&gt;0,Tasks[[#This Row],[Status]]="Late Start")),MAX(0,Tasks[[#This Row],[Finish Var]])+1-Tasks[[#This Row],[_Row]]/1000000,"")</f>
        <v/>
      </c>
      <c r="DM157" s="41" t="str">
        <f aca="false">IF(AND(Tasks[[#This Row],[_IsLeaf]]=1,N(Tasks[[#This Row],[Actual Start]])=0,Tasks[[#This Row],[_LeafFcstStart]]&gt;=StatusDate,Tasks[[#This Row],[_LeafFcstStart]]&lt;=LookaheadEnd),Tasks[[#This Row],[_LeafFcstStart]]+Tasks[[#This Row],[_Row]]/100000,"")</f>
        <v/>
      </c>
      <c r="DN157" s="41" t="str">
        <f aca="false">IF(AND(Tasks[[#This Row],[_IsLeaf]]=1,Tasks[[#This Row],[_LeafProgress]]&lt;1,Tasks[[#This Row],[_LeafFcstFinish]]&gt;=StatusDate,Tasks[[#This Row],[_LeafFcstFinish]]&lt;=LookaheadEnd),Tasks[[#This Row],[_LeafFcstFinish]]+Tasks[[#This Row],[_Row]]/100000,"")</f>
        <v/>
      </c>
      <c r="DO157" s="41" t="str">
        <f aca="false">IF(Tasks[[#This Row],[_LeafCritical]],Tasks[[#This Row],[_LeafFcstStart]]+Tasks[[#This Row],[_Row]]/100000,"")</f>
        <v/>
      </c>
      <c r="DP157" s="41" t="n">
        <f aca="false">Tasks[[#This Row],[_LeafWork]]*Tasks[[#This Row],[_LeafProgress]]</f>
        <v>0</v>
      </c>
      <c r="DQ157" s="103" t="str">
        <f aca="false">IF(AND(Tasks[[#This Row],[_IsLeaf]]=1,Tasks[[#This Row],[_LeafProgress]]&gt;=1),IF(N(Tasks[[#This Row],[Actual Finish]])&gt;0,Tasks[[#This Row],[Actual Finish]],Tasks[[#This Row],[_LeafFcstFinish]]),"")</f>
        <v/>
      </c>
      <c r="DR157" s="41" t="n">
        <f aca="false">IF(Tasks[[#This Row],[_IsLeaf]]=1,N(Tasks[[#This Row],[Story Points]]),0)</f>
        <v>0</v>
      </c>
      <c r="DS157" s="41" t="str">
        <f aca="false">IF(AND(Tasks[[#This Row],[_IsLeaf]]=1,CurrentSprint&lt;&gt;"",Tasks[[#This Row],[Sprint]]=CurrentSprint),Tasks[[#This Row],[_Row]],"")</f>
        <v/>
      </c>
    </row>
    <row r="158" customFormat="false" ht="15" hidden="false" customHeight="false" outlineLevel="0" collapsed="false">
      <c r="A158" s="28" t="str">
        <f aca="false">IF(Tasks[[#This Row],[Task Name]]="","",COUNTA(Tasks[[#Headers],[Task Name]]:Tasks[[#This Row],[Task Name]])-1)</f>
        <v/>
      </c>
      <c r="B158" s="29" t="n">
        <v>153</v>
      </c>
      <c r="C1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29"/>
      <c r="E158" s="30"/>
      <c r="F158" s="29"/>
      <c r="G158" s="29"/>
      <c r="H158" s="29"/>
      <c r="I158" s="29"/>
      <c r="J158" s="29"/>
      <c r="K158" s="29"/>
      <c r="L158" s="29"/>
      <c r="M158" s="29"/>
      <c r="N158" s="77"/>
      <c r="O158" s="77"/>
      <c r="P158" s="25" t="str">
        <f aca="false">IF(Tasks[[#This Row],[Task Name]]="","",IF(N(Tasks[[#This Row],[Baseline Start]])&gt;0,Tasks[[#This Row],[Baseline Start]],Tasks[[#This Row],[_CalcStart]]))</f>
        <v/>
      </c>
      <c r="Q158" s="25" t="str">
        <f aca="false">IF(Tasks[[#This Row],[Task Name]]="","",IF(N(Tasks[[#This Row],[Baseline Finish]])&gt;0,Tasks[[#This Row],[Baseline Finish]],Tasks[[#This Row],[_CalcFinish]]))</f>
        <v/>
      </c>
      <c r="R158" s="77"/>
      <c r="S158" s="77"/>
      <c r="T158" s="25" t="str">
        <f aca="false">IF(Tasks[[#This Row],[Task Name]]="","",IF(Tasks[[#This Row],[_IsSummary]],MIN(INDEX(Tasks[_LeafFcstStart],Tasks[[#This Row],[_Row]]+1):INDEX(Tasks[_LeafFcstStart],Tasks[[#This Row],[_Row]]+Tasks[[#This Row],[_Descendants]])),Tasks[[#This Row],[_LeafFcstStart]]))</f>
        <v/>
      </c>
      <c r="U158" s="25" t="str">
        <f aca="false">IF(Tasks[[#This Row],[Task Name]]="","",IF(Tasks[[#This Row],[_IsSummary]],MAX(INDEX(Tasks[_LeafFcstFinish],Tasks[[#This Row],[_Row]]+1):INDEX(Tasks[_LeafFcstFinish],Tasks[[#This Row],[_Row]]+Tasks[[#This Row],[_Descendants]])),Tasks[[#This Row],[_LeafFcstFinish]]))</f>
        <v/>
      </c>
      <c r="V15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8" s="25" t="str">
        <f aca="false">IF(Tasks[[#This Row],[Task Name]]="","",IF(Tasks[[#This Row],[_IsSummary]],MIN(INDEX(Tasks[_LeafLateStart],Tasks[[#This Row],[_Row]]+1):INDEX(Tasks[_LeafLateStart],Tasks[[#This Row],[_Row]]+Tasks[[#This Row],[_Descendants]])),Tasks[[#This Row],[_LeafLateStart]]))</f>
        <v/>
      </c>
      <c r="Y158" s="25" t="str">
        <f aca="false">IF(Tasks[[#This Row],[Task Name]]="","",IF(Tasks[[#This Row],[_IsSummary]],MAX(INDEX(Tasks[_LeafLateFinish],Tasks[[#This Row],[_Row]]+1):INDEX(Tasks[_LeafLateFinish],Tasks[[#This Row],[_Row]]+Tasks[[#This Row],[_Descendants]])),Tasks[[#This Row],[_LeafLateFinish]]))</f>
        <v/>
      </c>
      <c r="Z158" s="43" t="str">
        <f aca="false">IF(Tasks[[#This Row],[Task Name]]="","",IF(Tasks[[#This Row],[_IsSummary]],MIN(INDEX(Tasks[_LeafTotalSlack],Tasks[[#This Row],[_Row]]+1):INDEX(Tasks[_LeafTotalSlack],Tasks[[#This Row],[_Row]]+Tasks[[#This Row],[_Descendants]])),Tasks[[#This Row],[_LeafTotalSlack]]))</f>
        <v/>
      </c>
      <c r="AA1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8" s="28" t="str">
        <f aca="false">IF(Tasks[[#This Row],[Task Name]]="","",IF(IF(Tasks[[#This Row],[_IsSummary]],COUNTIF(INDEX(Tasks[_LeafCritical],Tasks[[#This Row],[_Row]]+1):INDEX(Tasks[_LeafCritical],Tasks[[#This Row],[_Row]]+Tasks[[#This Row],[_Descendants]]),TRUE())&gt;0,Tasks[[#This Row],[_LeafCritical]]),"Yes",""))</f>
        <v/>
      </c>
      <c r="AC1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8" s="24" t="str">
        <f aca="false">IF(Tasks[[#This Row],[Task Name]]="","",TRIM(IF(Tasks[[#This Row],[_Pred1Problem]]&lt;&gt;"","Pred 1: "&amp;Tasks[[#This Row],[_Pred1Problem]]&amp;". ","")&amp;IF(Tasks[[#This Row],[_Pred2Problem]]&lt;&gt;"","Pred 2: "&amp;Tasks[[#This Row],[_Pred2Problem]]&amp;".","")))</f>
        <v/>
      </c>
      <c r="AE158" s="91"/>
      <c r="AF15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8" s="28" t="str">
        <f aca="false">IF(Tasks[[#This Row],[Task Name]]="","",IF(Tasks[[#This Row],[Progress]]&gt;=1,"Complete",IF(OR(N(Tasks[[#This Row],[Actual Start]])&gt;0,Tasks[[#This Row],[Progress]]&gt;0),IF(Tasks[[#This Row],[Finish Var]]&gt;0,"Behind","In Progress"),IF(Tasks[[#This Row],[Planned Start]]&lt;StatusDate,"Late Start","Not Started"))))</f>
        <v/>
      </c>
      <c r="AH158" s="30"/>
      <c r="AI158" s="91"/>
      <c r="AJ15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8" s="98" t="str">
        <f aca="false">IF(Tasks[[#This Row],[Task Name]]="","",IF(Tasks[[#This Row],[_IsSummary]],SUM(INDEX(Tasks[_LeafWork],Tasks[[#This Row],[_Row]]+1):INDEX(Tasks[_LeafWork],Tasks[[#This Row],[_Row]]+Tasks[[#This Row],[_Descendants]])),Tasks[[#This Row],[_LeafWork]]))</f>
        <v/>
      </c>
      <c r="AL158" s="99" t="str">
        <f aca="false">IF(Tasks[[#This Row],[Task Name]]="","",IF(Tasks[[#This Row],[_IsSummary]],SUM(INDEX(Tasks[_LeafCost],Tasks[[#This Row],[_Row]]+1):INDEX(Tasks[_LeafCost],Tasks[[#This Row],[_Row]]+Tasks[[#This Row],[_Descendants]])),Tasks[[#This Row],[_LeafCost]]))</f>
        <v/>
      </c>
      <c r="AM158" s="100"/>
      <c r="AN158" s="29"/>
      <c r="AO1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8" s="85"/>
      <c r="AQ158" s="24" t="str">
        <f aca="false">IF(Tasks[[#This Row],[Task Name]]="","",Tasks[[#This Row],[_Pred1IDText]]&amp;IF(AND(Tasks[[#This Row],[_Pred1IDText]]&lt;&gt;"",Tasks[[#This Row],[_Pred2IDText]]&lt;&gt;""),",","")&amp;Tasks[[#This Row],[_Pred2IDText]])</f>
        <v/>
      </c>
      <c r="AR158" s="30"/>
      <c r="AS158" s="25" t="str">
        <f aca="false">IF(Tasks[[#This Row],[Task Name]]="","",Tasks[[#This Row],[Forecast Start]])</f>
        <v/>
      </c>
      <c r="AT158" s="25" t="str">
        <f aca="false">IF(Tasks[[#This Row],[Task Name]]="","",Tasks[[#This Row],[Forecast Finish]])</f>
        <v/>
      </c>
      <c r="AU158" s="28" t="str">
        <f aca="false">IF(Tasks[[#This Row],[Task Name]]="","",IF(Tasks[[#This Row],[_IsSummary]],NETWORKDAYS.INTL(Tasks[[#This Row],[Forecast Start]],Tasks[[#This Row],[Forecast Finish]],WorkWeek,Holidays),N(Tasks[[#This Row],[Duration]])))</f>
        <v/>
      </c>
      <c r="AV158" s="98" t="str">
        <f aca="false">IF(Tasks[[#This Row],[Task Name]]="","",Tasks[[#This Row],[Work]])</f>
        <v/>
      </c>
      <c r="AW158" s="99" t="str">
        <f aca="false">IF(Tasks[[#This Row],[Task Name]]="","",Tasks[[#This Row],[Cost]])</f>
        <v/>
      </c>
      <c r="AX158" s="77"/>
      <c r="AY158" s="77"/>
      <c r="AZ158" s="29"/>
      <c r="BA158" s="101"/>
      <c r="BB158" s="100"/>
      <c r="BC158" s="28" t="str">
        <f aca="false">IF(OR(Tasks[[#This Row],[Task Name]]="",Tasks[[#This Row],[Baseline Duration]]=""),"",Tasks[[#This Row],[BL Source Duration]]-N(Tasks[[#This Row],[Baseline Duration]]))</f>
        <v/>
      </c>
      <c r="BD158" s="98" t="str">
        <f aca="false">IF(OR(Tasks[[#This Row],[Task Name]]="",Tasks[[#This Row],[Baseline Work]]=""),"",Tasks[[#This Row],[Work]]-N(Tasks[[#This Row],[Baseline Work]]))</f>
        <v/>
      </c>
      <c r="BE158" s="99" t="str">
        <f aca="false">IF(OR(Tasks[[#This Row],[Task Name]]="",Tasks[[#This Row],[Baseline Cost]]=""),"",Tasks[[#This Row],[Cost]]-N(Tasks[[#This Row],[Baseline Cost]]))</f>
        <v/>
      </c>
      <c r="BF158" s="99" t="str">
        <f aca="false">IF(Tasks[[#This Row],[Task Name]]="","",IF(Tasks[[#This Row],[_IsSummary]],SUM(INDEX(Tasks[_LeafBudget],Tasks[[#This Row],[_Row]]+1):INDEX(Tasks[_LeafBudget],Tasks[[#This Row],[_Row]]+Tasks[[#This Row],[_Descendants]])),Tasks[[#This Row],[_LeafBudget]]))</f>
        <v/>
      </c>
      <c r="BG158" s="99" t="str">
        <f aca="false">IF(Tasks[[#This Row],[Task Name]]="","",IF(Tasks[[#This Row],[_IsSummary]],SUM(INDEX(Tasks[_LeafPV],Tasks[[#This Row],[_Row]]+1):INDEX(Tasks[_LeafPV],Tasks[[#This Row],[_Row]]+Tasks[[#This Row],[_Descendants]])),Tasks[[#This Row],[_LeafPV]]))</f>
        <v/>
      </c>
      <c r="BH158" s="99" t="str">
        <f aca="false">IF(Tasks[[#This Row],[Task Name]]="","",IF(Tasks[[#This Row],[_IsSummary]],SUM(INDEX(Tasks[_LeafEV],Tasks[[#This Row],[_Row]]+1):INDEX(Tasks[_LeafEV],Tasks[[#This Row],[_Row]]+Tasks[[#This Row],[_Descendants]])),Tasks[[#This Row],[_LeafEV]]))</f>
        <v/>
      </c>
      <c r="BI158" s="99" t="str">
        <f aca="false">IF(Tasks[[#This Row],[Task Name]]="","",IF(Tasks[[#This Row],[_IsSummary]],SUM(INDEX(Tasks[_LeafAC],Tasks[[#This Row],[_Row]]+1):INDEX(Tasks[_LeafAC],Tasks[[#This Row],[_Row]]+Tasks[[#This Row],[_Descendants]])),Tasks[[#This Row],[_LeafAC]]))</f>
        <v/>
      </c>
      <c r="BJ158" s="41" t="str">
        <f aca="false">IF(Tasks[[#This Row],[Task Name]]="","",MAX(1,N(Tasks[[#This Row],[Level]])))</f>
        <v/>
      </c>
      <c r="BK158" s="41" t="n">
        <f aca="false">ROW()-ROW(Tasks[[#Headers],[ID]])</f>
        <v>153</v>
      </c>
      <c r="BL158" s="41" t="n">
        <f aca="false">IF(OR(Tasks[[#This Row],[Task Name]]="",Tasks[[#This Row],[_Level]]&lt;=1),0,IFERROR(LOOKUP(2,1/(Tasks[[#Headers],[_Level]]:Tasks[[#This Row],[_Level]]=Tasks[[#This Row],[_Level]]-1),ROW(Tasks[[#Headers],[_Level]]:Tasks[[#This Row],[_Level]])),0))</f>
        <v>0</v>
      </c>
      <c r="BM158" s="41" t="n">
        <f aca="false">IFERROR(N(INDEX(Tasks[_Level],Tasks[[#This Row],[_Row]]+1)),0)</f>
        <v>0</v>
      </c>
      <c r="BN158" s="102" t="b">
        <f aca="false">AND(Tasks[[#This Row],[Task Name]]&lt;&gt;"",Tasks[[#This Row],[_NextLevel]]&gt;Tasks[[#This Row],[_Level]])</f>
        <v>0</v>
      </c>
      <c r="BO158" s="41" t="n">
        <f aca="false">IF(Tasks[[#This Row],[_IsSummary]],COUNTIF(Tasks[WBS],Tasks[[#This Row],[WBS]]&amp;".*"),0)</f>
        <v>0</v>
      </c>
      <c r="BP158" s="41" t="n">
        <f aca="false">IF(AND(Tasks[[#This Row],[Task Name]]&lt;&gt;"",NOT(Tasks[[#This Row],[_IsSummary]])),1,0)</f>
        <v>0</v>
      </c>
      <c r="BQ158" s="41" t="n">
        <f aca="false">IF(N(Tasks[[#This Row],[Pred1 UID]])=0,0,IFERROR(MATCH(Tasks[[#This Row],[Pred1 UID]],Tasks[UID],0),-1))</f>
        <v>0</v>
      </c>
      <c r="BR158" s="41" t="n">
        <f aca="false">IF(N(Tasks[[#This Row],[Pred2 UID]])=0,0,IFERROR(MATCH(Tasks[[#This Row],[Pred2 UID]],Tasks[UID],0),-1))</f>
        <v>0</v>
      </c>
      <c r="BS15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8" s="103" t="str">
        <f aca="false">IF(NOT(Tasks[[#This Row],[_IsLeaf]]=1),"",IF(N(Tasks[[#This Row],[Duration]])&lt;=0,Tasks[[#This Row],[_LeafCalcStart]],WORKDAY.INTL(Tasks[[#This Row],[_LeafCalcStart]],Tasks[[#This Row],[Duration]]-1,WorkWeek,Holidays)))</f>
        <v/>
      </c>
      <c r="BU15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8" s="41" t="n">
        <f aca="false">IF(NOT(Tasks[[#This Row],[_IsLeaf]]=1),0,IF(N(Tasks[[#This Row],[Actual Finish]])&gt;0,1,MIN(1,N(Tasks[[#This Row],[% Complete]]))))</f>
        <v>0</v>
      </c>
      <c r="BX158" s="41" t="n">
        <f aca="false">IF(OR(NOT(Tasks[[#This Row],[_IsLeaf]]=1),Tasks[[#This Row],[Resource]]=""),0,N(Tasks[[#This Row],[Duration]])*HoursPerDay*IF(Tasks[[#This Row],[Units]]="",DefaultUnits,Tasks[[#This Row],[Units]]))</f>
        <v>0</v>
      </c>
      <c r="BY158" s="41" t="n">
        <f aca="false">IF(Tasks[[#This Row],[_LeafWork]]=0,0,Tasks[[#This Row],[_LeafWork]]*IFERROR(INDEX(res_Rate,MATCH(Tasks[[#This Row],[Resource]],res_Name,0)),0))</f>
        <v>0</v>
      </c>
      <c r="BZ1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8" s="41" t="n">
        <f aca="false">IF(NOT(Tasks[[#This Row],[_IsLeaf]]=1),0,MAX(_xlfn.MAXIFS(Tasks[_Row],Tasks[Pred1 UID],Tasks[[#This Row],[UID]]),_xlfn.MAXIFS(Tasks[_Row],Tasks[Pred2 UID],Tasks[[#This Row],[UID]])))</f>
        <v>0</v>
      </c>
      <c r="CE15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8" s="103" t="str">
        <f aca="false">IF(NOT(Tasks[[#This Row],[_IsLeaf]]=1),"",MIN(ProjectFinish,IF(N(Tasks[[#This Row],[Deadline]])&gt;0,Tasks[[#This Row],[Deadline]],2958465),Tasks[[#This Row],[_SuccessorFinishLimit]]))</f>
        <v/>
      </c>
      <c r="CG158" s="103" t="str">
        <f aca="false">IF(NOT(Tasks[[#This Row],[_IsLeaf]]=1),"",IF(N(Tasks[[#This Row],[Duration]])&lt;=0,Tasks[[#This Row],[_LeafLateFinish]],WORKDAY.INTL(Tasks[[#This Row],[_LeafLateFinish]],-(Tasks[[#This Row],[Duration]]-1),WorkWeek,Holidays)))</f>
        <v/>
      </c>
      <c r="CH1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8" s="102" t="b">
        <f aca="false">AND(Tasks[[#This Row],[_IsLeaf]]=1,Tasks[[#This Row],[_LeafProgress]]&lt;1,N(Tasks[[#This Row],[_LeafTotalSlack]])&lt;=CriticalSlackDays)</f>
        <v>0</v>
      </c>
      <c r="CJ158" s="103" t="str">
        <f aca="false">IF(Tasks[[#This Row],[Task Name]]="","",IF(Tasks[[#This Row],[_IsSummary]],MIN(INDEX(Tasks[_LeafCalcStart],Tasks[[#This Row],[_Row]]+1):INDEX(Tasks[_LeafCalcStart],Tasks[[#This Row],[_Row]]+Tasks[[#This Row],[_Descendants]])),Tasks[[#This Row],[_LeafCalcStart]]))</f>
        <v/>
      </c>
      <c r="CK158" s="103" t="str">
        <f aca="false">IF(Tasks[[#This Row],[Task Name]]="","",IF(Tasks[[#This Row],[_IsSummary]],MAX(INDEX(Tasks[_LeafCalcFinish],Tasks[[#This Row],[_Row]]+1):INDEX(Tasks[_LeafCalcFinish],Tasks[[#This Row],[_Row]]+Tasks[[#This Row],[_Descendants]])),Tasks[[#This Row],[_LeafCalcFinish]]))</f>
        <v/>
      </c>
      <c r="CL1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8" s="41" t="n">
        <f aca="false">IF(AND(Tasks[[#This Row],[_IsLeaf]]=1,Tasks[[#This Row],[_LeafWork]]&gt;0),NETWORKDAYS.INTL(ProjectStart,Tasks[[#This Row],[_LeafFcstStart]],WorkWeek,Holidays),0)</f>
        <v>0</v>
      </c>
      <c r="CS158" s="41" t="n">
        <f aca="false">IF(AND(Tasks[[#This Row],[_IsLeaf]]=1,Tasks[[#This Row],[_LeafWork]]&gt;0),MAX(Tasks[[#This Row],[_StartWorkday]],NETWORKDAYS.INTL(ProjectStart,Tasks[[#This Row],[_LeafFcstFinish]],WorkWeek,Holidays)),0)</f>
        <v>0</v>
      </c>
      <c r="CT158" s="41" t="n">
        <f aca="false">IF(AND(Tasks[[#This Row],[_IsLeaf]]=1,Tasks[[#This Row],[_LeafWork]]&gt;0),Tasks[[#This Row],[_LeafWork]]/(Tasks[[#This Row],[_FinishWorkday]]-Tasks[[#This Row],[_StartWorkday]]+1),0)</f>
        <v>0</v>
      </c>
      <c r="CU158" s="41" t="n">
        <f aca="false">Tasks[[#This Row],[_WorkPerWorkday]]*(Tasks[[#This Row],[_StartWorkday]]-1)</f>
        <v>-0</v>
      </c>
      <c r="CV158" s="41" t="n">
        <f aca="false">IF(Tasks[[#This Row],[_IsLeaf]]=1,MAX(N(Tasks[[#This Row],[Duration]]),0.1),0)</f>
        <v>0</v>
      </c>
      <c r="CW158" s="41" t="n">
        <f aca="false">Tasks[[#This Row],[_WeightDur]]*Tasks[[#This Row],[_LeafProgress]]</f>
        <v>0</v>
      </c>
      <c r="CX1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8" s="41" t="str">
        <f aca="false">IF(Tasks[[#This Row],[Task Name]]="","",Tasks[[#This Row],[_Pred1UIDText]]&amp;IF(AND(Tasks[[#This Row],[_Pred1UIDText]]&lt;&gt;"",Tasks[[#This Row],[_Pred2UIDText]]&lt;&gt;""),",","")&amp;Tasks[[#This Row],[_Pred2UIDText]])</f>
        <v/>
      </c>
      <c r="DC158" s="41" t="str">
        <f aca="false">IF(AND(Tasks[[#This Row],[_IsLeaf]]=1,N(Tasks[[#This Row],[Duration]])=0,Tasks[[#This Row],[_LeafProgress]]&lt;1),Tasks[[#This Row],[_LeafFcstFinish]]+Tasks[[#This Row],[_Row]]/100000,"")</f>
        <v/>
      </c>
      <c r="DD1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8" s="41" t="n">
        <f aca="false">IF(NOT(Tasks[[#This Row],[_IsLeaf]]=1),0,IF(Tasks[[#This Row],[Baseline Cost]]="",Tasks[[#This Row],[_LeafCost]],N(Tasks[[#This Row],[Baseline Cost]])))</f>
        <v>0</v>
      </c>
      <c r="DF158" s="41" t="n">
        <f aca="false">Tasks[[#This Row],[_LeafBudget]]*Tasks[[#This Row],[_PlannedPct]]</f>
        <v>0</v>
      </c>
      <c r="DG158" s="41" t="n">
        <f aca="false">Tasks[[#This Row],[_LeafBudget]]*Tasks[[#This Row],[_LeafProgress]]</f>
        <v>0</v>
      </c>
      <c r="DH158" s="41" t="n">
        <f aca="false">IF(NOT(Tasks[[#This Row],[_IsLeaf]]=1),0,IF(Tasks[[#This Row],[Actual Cost]]="",Tasks[[#This Row],[_LeafCost]]*Tasks[[#This Row],[_LeafProgress]],N(Tasks[[#This Row],[Actual Cost]])))</f>
        <v>0</v>
      </c>
      <c r="DI158" s="41" t="str">
        <f aca="false">IF(Tasks[[#This Row],[Task Name]]="","",LEFT(Tasks[[#This Row],[WBS]],FIND(".",Tasks[[#This Row],[WBS]]&amp;".")-1))</f>
        <v/>
      </c>
      <c r="DJ158" s="41" t="str">
        <f aca="false">IF(AND(Tasks[[#This Row],[Task Name]]&lt;&gt;"",Tasks[[#This Row],[_Level]]=1),Tasks[[#This Row],[_Row]],"")</f>
        <v/>
      </c>
      <c r="DK158" s="41" t="str">
        <f aca="false">IF(AND(Tasks[[#This Row],[_IsLeaf]]=1,N(Tasks[[#This Row],[Duration]])=0),Tasks[[#This Row],[Planned Finish]]+Tasks[[#This Row],[_Row]]/100000,"")</f>
        <v/>
      </c>
      <c r="DL158" s="41" t="str">
        <f aca="false">IF(AND(Tasks[[#This Row],[_IsLeaf]]=1,Tasks[[#This Row],[_LeafProgress]]&lt;1,OR(N(Tasks[[#This Row],[Finish Var]])&gt;0,Tasks[[#This Row],[Status]]="Late Start")),MAX(0,Tasks[[#This Row],[Finish Var]])+1-Tasks[[#This Row],[_Row]]/1000000,"")</f>
        <v/>
      </c>
      <c r="DM158" s="41" t="str">
        <f aca="false">IF(AND(Tasks[[#This Row],[_IsLeaf]]=1,N(Tasks[[#This Row],[Actual Start]])=0,Tasks[[#This Row],[_LeafFcstStart]]&gt;=StatusDate,Tasks[[#This Row],[_LeafFcstStart]]&lt;=LookaheadEnd),Tasks[[#This Row],[_LeafFcstStart]]+Tasks[[#This Row],[_Row]]/100000,"")</f>
        <v/>
      </c>
      <c r="DN158" s="41" t="str">
        <f aca="false">IF(AND(Tasks[[#This Row],[_IsLeaf]]=1,Tasks[[#This Row],[_LeafProgress]]&lt;1,Tasks[[#This Row],[_LeafFcstFinish]]&gt;=StatusDate,Tasks[[#This Row],[_LeafFcstFinish]]&lt;=LookaheadEnd),Tasks[[#This Row],[_LeafFcstFinish]]+Tasks[[#This Row],[_Row]]/100000,"")</f>
        <v/>
      </c>
      <c r="DO158" s="41" t="str">
        <f aca="false">IF(Tasks[[#This Row],[_LeafCritical]],Tasks[[#This Row],[_LeafFcstStart]]+Tasks[[#This Row],[_Row]]/100000,"")</f>
        <v/>
      </c>
      <c r="DP158" s="41" t="n">
        <f aca="false">Tasks[[#This Row],[_LeafWork]]*Tasks[[#This Row],[_LeafProgress]]</f>
        <v>0</v>
      </c>
      <c r="DQ158" s="103" t="str">
        <f aca="false">IF(AND(Tasks[[#This Row],[_IsLeaf]]=1,Tasks[[#This Row],[_LeafProgress]]&gt;=1),IF(N(Tasks[[#This Row],[Actual Finish]])&gt;0,Tasks[[#This Row],[Actual Finish]],Tasks[[#This Row],[_LeafFcstFinish]]),"")</f>
        <v/>
      </c>
      <c r="DR158" s="41" t="n">
        <f aca="false">IF(Tasks[[#This Row],[_IsLeaf]]=1,N(Tasks[[#This Row],[Story Points]]),0)</f>
        <v>0</v>
      </c>
      <c r="DS158" s="41" t="str">
        <f aca="false">IF(AND(Tasks[[#This Row],[_IsLeaf]]=1,CurrentSprint&lt;&gt;"",Tasks[[#This Row],[Sprint]]=CurrentSprint),Tasks[[#This Row],[_Row]],"")</f>
        <v/>
      </c>
    </row>
    <row r="159" customFormat="false" ht="15" hidden="false" customHeight="false" outlineLevel="0" collapsed="false">
      <c r="A159" s="28" t="str">
        <f aca="false">IF(Tasks[[#This Row],[Task Name]]="","",COUNTA(Tasks[[#Headers],[Task Name]]:Tasks[[#This Row],[Task Name]])-1)</f>
        <v/>
      </c>
      <c r="B159" s="29" t="n">
        <v>154</v>
      </c>
      <c r="C1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29"/>
      <c r="E159" s="30"/>
      <c r="F159" s="29"/>
      <c r="G159" s="29"/>
      <c r="H159" s="29"/>
      <c r="I159" s="29"/>
      <c r="J159" s="29"/>
      <c r="K159" s="29"/>
      <c r="L159" s="29"/>
      <c r="M159" s="29"/>
      <c r="N159" s="77"/>
      <c r="O159" s="77"/>
      <c r="P159" s="25" t="str">
        <f aca="false">IF(Tasks[[#This Row],[Task Name]]="","",IF(N(Tasks[[#This Row],[Baseline Start]])&gt;0,Tasks[[#This Row],[Baseline Start]],Tasks[[#This Row],[_CalcStart]]))</f>
        <v/>
      </c>
      <c r="Q159" s="25" t="str">
        <f aca="false">IF(Tasks[[#This Row],[Task Name]]="","",IF(N(Tasks[[#This Row],[Baseline Finish]])&gt;0,Tasks[[#This Row],[Baseline Finish]],Tasks[[#This Row],[_CalcFinish]]))</f>
        <v/>
      </c>
      <c r="R159" s="77"/>
      <c r="S159" s="77"/>
      <c r="T159" s="25" t="str">
        <f aca="false">IF(Tasks[[#This Row],[Task Name]]="","",IF(Tasks[[#This Row],[_IsSummary]],MIN(INDEX(Tasks[_LeafFcstStart],Tasks[[#This Row],[_Row]]+1):INDEX(Tasks[_LeafFcstStart],Tasks[[#This Row],[_Row]]+Tasks[[#This Row],[_Descendants]])),Tasks[[#This Row],[_LeafFcstStart]]))</f>
        <v/>
      </c>
      <c r="U159" s="25" t="str">
        <f aca="false">IF(Tasks[[#This Row],[Task Name]]="","",IF(Tasks[[#This Row],[_IsSummary]],MAX(INDEX(Tasks[_LeafFcstFinish],Tasks[[#This Row],[_Row]]+1):INDEX(Tasks[_LeafFcstFinish],Tasks[[#This Row],[_Row]]+Tasks[[#This Row],[_Descendants]])),Tasks[[#This Row],[_LeafFcstFinish]]))</f>
        <v/>
      </c>
      <c r="V15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5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9" s="25" t="str">
        <f aca="false">IF(Tasks[[#This Row],[Task Name]]="","",IF(Tasks[[#This Row],[_IsSummary]],MIN(INDEX(Tasks[_LeafLateStart],Tasks[[#This Row],[_Row]]+1):INDEX(Tasks[_LeafLateStart],Tasks[[#This Row],[_Row]]+Tasks[[#This Row],[_Descendants]])),Tasks[[#This Row],[_LeafLateStart]]))</f>
        <v/>
      </c>
      <c r="Y159" s="25" t="str">
        <f aca="false">IF(Tasks[[#This Row],[Task Name]]="","",IF(Tasks[[#This Row],[_IsSummary]],MAX(INDEX(Tasks[_LeafLateFinish],Tasks[[#This Row],[_Row]]+1):INDEX(Tasks[_LeafLateFinish],Tasks[[#This Row],[_Row]]+Tasks[[#This Row],[_Descendants]])),Tasks[[#This Row],[_LeafLateFinish]]))</f>
        <v/>
      </c>
      <c r="Z159" s="43" t="str">
        <f aca="false">IF(Tasks[[#This Row],[Task Name]]="","",IF(Tasks[[#This Row],[_IsSummary]],MIN(INDEX(Tasks[_LeafTotalSlack],Tasks[[#This Row],[_Row]]+1):INDEX(Tasks[_LeafTotalSlack],Tasks[[#This Row],[_Row]]+Tasks[[#This Row],[_Descendants]])),Tasks[[#This Row],[_LeafTotalSlack]]))</f>
        <v/>
      </c>
      <c r="AA1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9" s="28" t="str">
        <f aca="false">IF(Tasks[[#This Row],[Task Name]]="","",IF(IF(Tasks[[#This Row],[_IsSummary]],COUNTIF(INDEX(Tasks[_LeafCritical],Tasks[[#This Row],[_Row]]+1):INDEX(Tasks[_LeafCritical],Tasks[[#This Row],[_Row]]+Tasks[[#This Row],[_Descendants]]),TRUE())&gt;0,Tasks[[#This Row],[_LeafCritical]]),"Yes",""))</f>
        <v/>
      </c>
      <c r="AC1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9" s="24" t="str">
        <f aca="false">IF(Tasks[[#This Row],[Task Name]]="","",TRIM(IF(Tasks[[#This Row],[_Pred1Problem]]&lt;&gt;"","Pred 1: "&amp;Tasks[[#This Row],[_Pred1Problem]]&amp;". ","")&amp;IF(Tasks[[#This Row],[_Pred2Problem]]&lt;&gt;"","Pred 2: "&amp;Tasks[[#This Row],[_Pred2Problem]]&amp;".","")))</f>
        <v/>
      </c>
      <c r="AE159" s="91"/>
      <c r="AF15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9" s="28" t="str">
        <f aca="false">IF(Tasks[[#This Row],[Task Name]]="","",IF(Tasks[[#This Row],[Progress]]&gt;=1,"Complete",IF(OR(N(Tasks[[#This Row],[Actual Start]])&gt;0,Tasks[[#This Row],[Progress]]&gt;0),IF(Tasks[[#This Row],[Finish Var]]&gt;0,"Behind","In Progress"),IF(Tasks[[#This Row],[Planned Start]]&lt;StatusDate,"Late Start","Not Started"))))</f>
        <v/>
      </c>
      <c r="AH159" s="30"/>
      <c r="AI159" s="91"/>
      <c r="AJ15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9" s="98" t="str">
        <f aca="false">IF(Tasks[[#This Row],[Task Name]]="","",IF(Tasks[[#This Row],[_IsSummary]],SUM(INDEX(Tasks[_LeafWork],Tasks[[#This Row],[_Row]]+1):INDEX(Tasks[_LeafWork],Tasks[[#This Row],[_Row]]+Tasks[[#This Row],[_Descendants]])),Tasks[[#This Row],[_LeafWork]]))</f>
        <v/>
      </c>
      <c r="AL159" s="99" t="str">
        <f aca="false">IF(Tasks[[#This Row],[Task Name]]="","",IF(Tasks[[#This Row],[_IsSummary]],SUM(INDEX(Tasks[_LeafCost],Tasks[[#This Row],[_Row]]+1):INDEX(Tasks[_LeafCost],Tasks[[#This Row],[_Row]]+Tasks[[#This Row],[_Descendants]])),Tasks[[#This Row],[_LeafCost]]))</f>
        <v/>
      </c>
      <c r="AM159" s="100"/>
      <c r="AN159" s="29"/>
      <c r="AO1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9" s="85"/>
      <c r="AQ159" s="24" t="str">
        <f aca="false">IF(Tasks[[#This Row],[Task Name]]="","",Tasks[[#This Row],[_Pred1IDText]]&amp;IF(AND(Tasks[[#This Row],[_Pred1IDText]]&lt;&gt;"",Tasks[[#This Row],[_Pred2IDText]]&lt;&gt;""),",","")&amp;Tasks[[#This Row],[_Pred2IDText]])</f>
        <v/>
      </c>
      <c r="AR159" s="30"/>
      <c r="AS159" s="25" t="str">
        <f aca="false">IF(Tasks[[#This Row],[Task Name]]="","",Tasks[[#This Row],[Forecast Start]])</f>
        <v/>
      </c>
      <c r="AT159" s="25" t="str">
        <f aca="false">IF(Tasks[[#This Row],[Task Name]]="","",Tasks[[#This Row],[Forecast Finish]])</f>
        <v/>
      </c>
      <c r="AU159" s="28" t="str">
        <f aca="false">IF(Tasks[[#This Row],[Task Name]]="","",IF(Tasks[[#This Row],[_IsSummary]],NETWORKDAYS.INTL(Tasks[[#This Row],[Forecast Start]],Tasks[[#This Row],[Forecast Finish]],WorkWeek,Holidays),N(Tasks[[#This Row],[Duration]])))</f>
        <v/>
      </c>
      <c r="AV159" s="98" t="str">
        <f aca="false">IF(Tasks[[#This Row],[Task Name]]="","",Tasks[[#This Row],[Work]])</f>
        <v/>
      </c>
      <c r="AW159" s="99" t="str">
        <f aca="false">IF(Tasks[[#This Row],[Task Name]]="","",Tasks[[#This Row],[Cost]])</f>
        <v/>
      </c>
      <c r="AX159" s="77"/>
      <c r="AY159" s="77"/>
      <c r="AZ159" s="29"/>
      <c r="BA159" s="101"/>
      <c r="BB159" s="100"/>
      <c r="BC159" s="28" t="str">
        <f aca="false">IF(OR(Tasks[[#This Row],[Task Name]]="",Tasks[[#This Row],[Baseline Duration]]=""),"",Tasks[[#This Row],[BL Source Duration]]-N(Tasks[[#This Row],[Baseline Duration]]))</f>
        <v/>
      </c>
      <c r="BD159" s="98" t="str">
        <f aca="false">IF(OR(Tasks[[#This Row],[Task Name]]="",Tasks[[#This Row],[Baseline Work]]=""),"",Tasks[[#This Row],[Work]]-N(Tasks[[#This Row],[Baseline Work]]))</f>
        <v/>
      </c>
      <c r="BE159" s="99" t="str">
        <f aca="false">IF(OR(Tasks[[#This Row],[Task Name]]="",Tasks[[#This Row],[Baseline Cost]]=""),"",Tasks[[#This Row],[Cost]]-N(Tasks[[#This Row],[Baseline Cost]]))</f>
        <v/>
      </c>
      <c r="BF159" s="99" t="str">
        <f aca="false">IF(Tasks[[#This Row],[Task Name]]="","",IF(Tasks[[#This Row],[_IsSummary]],SUM(INDEX(Tasks[_LeafBudget],Tasks[[#This Row],[_Row]]+1):INDEX(Tasks[_LeafBudget],Tasks[[#This Row],[_Row]]+Tasks[[#This Row],[_Descendants]])),Tasks[[#This Row],[_LeafBudget]]))</f>
        <v/>
      </c>
      <c r="BG159" s="99" t="str">
        <f aca="false">IF(Tasks[[#This Row],[Task Name]]="","",IF(Tasks[[#This Row],[_IsSummary]],SUM(INDEX(Tasks[_LeafPV],Tasks[[#This Row],[_Row]]+1):INDEX(Tasks[_LeafPV],Tasks[[#This Row],[_Row]]+Tasks[[#This Row],[_Descendants]])),Tasks[[#This Row],[_LeafPV]]))</f>
        <v/>
      </c>
      <c r="BH159" s="99" t="str">
        <f aca="false">IF(Tasks[[#This Row],[Task Name]]="","",IF(Tasks[[#This Row],[_IsSummary]],SUM(INDEX(Tasks[_LeafEV],Tasks[[#This Row],[_Row]]+1):INDEX(Tasks[_LeafEV],Tasks[[#This Row],[_Row]]+Tasks[[#This Row],[_Descendants]])),Tasks[[#This Row],[_LeafEV]]))</f>
        <v/>
      </c>
      <c r="BI159" s="99" t="str">
        <f aca="false">IF(Tasks[[#This Row],[Task Name]]="","",IF(Tasks[[#This Row],[_IsSummary]],SUM(INDEX(Tasks[_LeafAC],Tasks[[#This Row],[_Row]]+1):INDEX(Tasks[_LeafAC],Tasks[[#This Row],[_Row]]+Tasks[[#This Row],[_Descendants]])),Tasks[[#This Row],[_LeafAC]]))</f>
        <v/>
      </c>
      <c r="BJ159" s="41" t="str">
        <f aca="false">IF(Tasks[[#This Row],[Task Name]]="","",MAX(1,N(Tasks[[#This Row],[Level]])))</f>
        <v/>
      </c>
      <c r="BK159" s="41" t="n">
        <f aca="false">ROW()-ROW(Tasks[[#Headers],[ID]])</f>
        <v>154</v>
      </c>
      <c r="BL159" s="41" t="n">
        <f aca="false">IF(OR(Tasks[[#This Row],[Task Name]]="",Tasks[[#This Row],[_Level]]&lt;=1),0,IFERROR(LOOKUP(2,1/(Tasks[[#Headers],[_Level]]:Tasks[[#This Row],[_Level]]=Tasks[[#This Row],[_Level]]-1),ROW(Tasks[[#Headers],[_Level]]:Tasks[[#This Row],[_Level]])),0))</f>
        <v>0</v>
      </c>
      <c r="BM159" s="41" t="n">
        <f aca="false">IFERROR(N(INDEX(Tasks[_Level],Tasks[[#This Row],[_Row]]+1)),0)</f>
        <v>0</v>
      </c>
      <c r="BN159" s="102" t="b">
        <f aca="false">AND(Tasks[[#This Row],[Task Name]]&lt;&gt;"",Tasks[[#This Row],[_NextLevel]]&gt;Tasks[[#This Row],[_Level]])</f>
        <v>0</v>
      </c>
      <c r="BO159" s="41" t="n">
        <f aca="false">IF(Tasks[[#This Row],[_IsSummary]],COUNTIF(Tasks[WBS],Tasks[[#This Row],[WBS]]&amp;".*"),0)</f>
        <v>0</v>
      </c>
      <c r="BP159" s="41" t="n">
        <f aca="false">IF(AND(Tasks[[#This Row],[Task Name]]&lt;&gt;"",NOT(Tasks[[#This Row],[_IsSummary]])),1,0)</f>
        <v>0</v>
      </c>
      <c r="BQ159" s="41" t="n">
        <f aca="false">IF(N(Tasks[[#This Row],[Pred1 UID]])=0,0,IFERROR(MATCH(Tasks[[#This Row],[Pred1 UID]],Tasks[UID],0),-1))</f>
        <v>0</v>
      </c>
      <c r="BR159" s="41" t="n">
        <f aca="false">IF(N(Tasks[[#This Row],[Pred2 UID]])=0,0,IFERROR(MATCH(Tasks[[#This Row],[Pred2 UID]],Tasks[UID],0),-1))</f>
        <v>0</v>
      </c>
      <c r="BS15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9" s="103" t="str">
        <f aca="false">IF(NOT(Tasks[[#This Row],[_IsLeaf]]=1),"",IF(N(Tasks[[#This Row],[Duration]])&lt;=0,Tasks[[#This Row],[_LeafCalcStart]],WORKDAY.INTL(Tasks[[#This Row],[_LeafCalcStart]],Tasks[[#This Row],[Duration]]-1,WorkWeek,Holidays)))</f>
        <v/>
      </c>
      <c r="BU15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9" s="41" t="n">
        <f aca="false">IF(NOT(Tasks[[#This Row],[_IsLeaf]]=1),0,IF(N(Tasks[[#This Row],[Actual Finish]])&gt;0,1,MIN(1,N(Tasks[[#This Row],[% Complete]]))))</f>
        <v>0</v>
      </c>
      <c r="BX159" s="41" t="n">
        <f aca="false">IF(OR(NOT(Tasks[[#This Row],[_IsLeaf]]=1),Tasks[[#This Row],[Resource]]=""),0,N(Tasks[[#This Row],[Duration]])*HoursPerDay*IF(Tasks[[#This Row],[Units]]="",DefaultUnits,Tasks[[#This Row],[Units]]))</f>
        <v>0</v>
      </c>
      <c r="BY159" s="41" t="n">
        <f aca="false">IF(Tasks[[#This Row],[_LeafWork]]=0,0,Tasks[[#This Row],[_LeafWork]]*IFERROR(INDEX(res_Rate,MATCH(Tasks[[#This Row],[Resource]],res_Name,0)),0))</f>
        <v>0</v>
      </c>
      <c r="BZ1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9" s="41" t="n">
        <f aca="false">IF(NOT(Tasks[[#This Row],[_IsLeaf]]=1),0,MAX(_xlfn.MAXIFS(Tasks[_Row],Tasks[Pred1 UID],Tasks[[#This Row],[UID]]),_xlfn.MAXIFS(Tasks[_Row],Tasks[Pred2 UID],Tasks[[#This Row],[UID]])))</f>
        <v>0</v>
      </c>
      <c r="CE15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9" s="103" t="str">
        <f aca="false">IF(NOT(Tasks[[#This Row],[_IsLeaf]]=1),"",MIN(ProjectFinish,IF(N(Tasks[[#This Row],[Deadline]])&gt;0,Tasks[[#This Row],[Deadline]],2958465),Tasks[[#This Row],[_SuccessorFinishLimit]]))</f>
        <v/>
      </c>
      <c r="CG159" s="103" t="str">
        <f aca="false">IF(NOT(Tasks[[#This Row],[_IsLeaf]]=1),"",IF(N(Tasks[[#This Row],[Duration]])&lt;=0,Tasks[[#This Row],[_LeafLateFinish]],WORKDAY.INTL(Tasks[[#This Row],[_LeafLateFinish]],-(Tasks[[#This Row],[Duration]]-1),WorkWeek,Holidays)))</f>
        <v/>
      </c>
      <c r="CH1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9" s="102" t="b">
        <f aca="false">AND(Tasks[[#This Row],[_IsLeaf]]=1,Tasks[[#This Row],[_LeafProgress]]&lt;1,N(Tasks[[#This Row],[_LeafTotalSlack]])&lt;=CriticalSlackDays)</f>
        <v>0</v>
      </c>
      <c r="CJ159" s="103" t="str">
        <f aca="false">IF(Tasks[[#This Row],[Task Name]]="","",IF(Tasks[[#This Row],[_IsSummary]],MIN(INDEX(Tasks[_LeafCalcStart],Tasks[[#This Row],[_Row]]+1):INDEX(Tasks[_LeafCalcStart],Tasks[[#This Row],[_Row]]+Tasks[[#This Row],[_Descendants]])),Tasks[[#This Row],[_LeafCalcStart]]))</f>
        <v/>
      </c>
      <c r="CK159" s="103" t="str">
        <f aca="false">IF(Tasks[[#This Row],[Task Name]]="","",IF(Tasks[[#This Row],[_IsSummary]],MAX(INDEX(Tasks[_LeafCalcFinish],Tasks[[#This Row],[_Row]]+1):INDEX(Tasks[_LeafCalcFinish],Tasks[[#This Row],[_Row]]+Tasks[[#This Row],[_Descendants]])),Tasks[[#This Row],[_LeafCalcFinish]]))</f>
        <v/>
      </c>
      <c r="CL1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9" s="41" t="n">
        <f aca="false">IF(AND(Tasks[[#This Row],[_IsLeaf]]=1,Tasks[[#This Row],[_LeafWork]]&gt;0),NETWORKDAYS.INTL(ProjectStart,Tasks[[#This Row],[_LeafFcstStart]],WorkWeek,Holidays),0)</f>
        <v>0</v>
      </c>
      <c r="CS159" s="41" t="n">
        <f aca="false">IF(AND(Tasks[[#This Row],[_IsLeaf]]=1,Tasks[[#This Row],[_LeafWork]]&gt;0),MAX(Tasks[[#This Row],[_StartWorkday]],NETWORKDAYS.INTL(ProjectStart,Tasks[[#This Row],[_LeafFcstFinish]],WorkWeek,Holidays)),0)</f>
        <v>0</v>
      </c>
      <c r="CT159" s="41" t="n">
        <f aca="false">IF(AND(Tasks[[#This Row],[_IsLeaf]]=1,Tasks[[#This Row],[_LeafWork]]&gt;0),Tasks[[#This Row],[_LeafWork]]/(Tasks[[#This Row],[_FinishWorkday]]-Tasks[[#This Row],[_StartWorkday]]+1),0)</f>
        <v>0</v>
      </c>
      <c r="CU159" s="41" t="n">
        <f aca="false">Tasks[[#This Row],[_WorkPerWorkday]]*(Tasks[[#This Row],[_StartWorkday]]-1)</f>
        <v>-0</v>
      </c>
      <c r="CV159" s="41" t="n">
        <f aca="false">IF(Tasks[[#This Row],[_IsLeaf]]=1,MAX(N(Tasks[[#This Row],[Duration]]),0.1),0)</f>
        <v>0</v>
      </c>
      <c r="CW159" s="41" t="n">
        <f aca="false">Tasks[[#This Row],[_WeightDur]]*Tasks[[#This Row],[_LeafProgress]]</f>
        <v>0</v>
      </c>
      <c r="CX1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9" s="41" t="str">
        <f aca="false">IF(Tasks[[#This Row],[Task Name]]="","",Tasks[[#This Row],[_Pred1UIDText]]&amp;IF(AND(Tasks[[#This Row],[_Pred1UIDText]]&lt;&gt;"",Tasks[[#This Row],[_Pred2UIDText]]&lt;&gt;""),",","")&amp;Tasks[[#This Row],[_Pred2UIDText]])</f>
        <v/>
      </c>
      <c r="DC159" s="41" t="str">
        <f aca="false">IF(AND(Tasks[[#This Row],[_IsLeaf]]=1,N(Tasks[[#This Row],[Duration]])=0,Tasks[[#This Row],[_LeafProgress]]&lt;1),Tasks[[#This Row],[_LeafFcstFinish]]+Tasks[[#This Row],[_Row]]/100000,"")</f>
        <v/>
      </c>
      <c r="DD1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9" s="41" t="n">
        <f aca="false">IF(NOT(Tasks[[#This Row],[_IsLeaf]]=1),0,IF(Tasks[[#This Row],[Baseline Cost]]="",Tasks[[#This Row],[_LeafCost]],N(Tasks[[#This Row],[Baseline Cost]])))</f>
        <v>0</v>
      </c>
      <c r="DF159" s="41" t="n">
        <f aca="false">Tasks[[#This Row],[_LeafBudget]]*Tasks[[#This Row],[_PlannedPct]]</f>
        <v>0</v>
      </c>
      <c r="DG159" s="41" t="n">
        <f aca="false">Tasks[[#This Row],[_LeafBudget]]*Tasks[[#This Row],[_LeafProgress]]</f>
        <v>0</v>
      </c>
      <c r="DH159" s="41" t="n">
        <f aca="false">IF(NOT(Tasks[[#This Row],[_IsLeaf]]=1),0,IF(Tasks[[#This Row],[Actual Cost]]="",Tasks[[#This Row],[_LeafCost]]*Tasks[[#This Row],[_LeafProgress]],N(Tasks[[#This Row],[Actual Cost]])))</f>
        <v>0</v>
      </c>
      <c r="DI159" s="41" t="str">
        <f aca="false">IF(Tasks[[#This Row],[Task Name]]="","",LEFT(Tasks[[#This Row],[WBS]],FIND(".",Tasks[[#This Row],[WBS]]&amp;".")-1))</f>
        <v/>
      </c>
      <c r="DJ159" s="41" t="str">
        <f aca="false">IF(AND(Tasks[[#This Row],[Task Name]]&lt;&gt;"",Tasks[[#This Row],[_Level]]=1),Tasks[[#This Row],[_Row]],"")</f>
        <v/>
      </c>
      <c r="DK159" s="41" t="str">
        <f aca="false">IF(AND(Tasks[[#This Row],[_IsLeaf]]=1,N(Tasks[[#This Row],[Duration]])=0),Tasks[[#This Row],[Planned Finish]]+Tasks[[#This Row],[_Row]]/100000,"")</f>
        <v/>
      </c>
      <c r="DL159" s="41" t="str">
        <f aca="false">IF(AND(Tasks[[#This Row],[_IsLeaf]]=1,Tasks[[#This Row],[_LeafProgress]]&lt;1,OR(N(Tasks[[#This Row],[Finish Var]])&gt;0,Tasks[[#This Row],[Status]]="Late Start")),MAX(0,Tasks[[#This Row],[Finish Var]])+1-Tasks[[#This Row],[_Row]]/1000000,"")</f>
        <v/>
      </c>
      <c r="DM159" s="41" t="str">
        <f aca="false">IF(AND(Tasks[[#This Row],[_IsLeaf]]=1,N(Tasks[[#This Row],[Actual Start]])=0,Tasks[[#This Row],[_LeafFcstStart]]&gt;=StatusDate,Tasks[[#This Row],[_LeafFcstStart]]&lt;=LookaheadEnd),Tasks[[#This Row],[_LeafFcstStart]]+Tasks[[#This Row],[_Row]]/100000,"")</f>
        <v/>
      </c>
      <c r="DN159" s="41" t="str">
        <f aca="false">IF(AND(Tasks[[#This Row],[_IsLeaf]]=1,Tasks[[#This Row],[_LeafProgress]]&lt;1,Tasks[[#This Row],[_LeafFcstFinish]]&gt;=StatusDate,Tasks[[#This Row],[_LeafFcstFinish]]&lt;=LookaheadEnd),Tasks[[#This Row],[_LeafFcstFinish]]+Tasks[[#This Row],[_Row]]/100000,"")</f>
        <v/>
      </c>
      <c r="DO159" s="41" t="str">
        <f aca="false">IF(Tasks[[#This Row],[_LeafCritical]],Tasks[[#This Row],[_LeafFcstStart]]+Tasks[[#This Row],[_Row]]/100000,"")</f>
        <v/>
      </c>
      <c r="DP159" s="41" t="n">
        <f aca="false">Tasks[[#This Row],[_LeafWork]]*Tasks[[#This Row],[_LeafProgress]]</f>
        <v>0</v>
      </c>
      <c r="DQ159" s="103" t="str">
        <f aca="false">IF(AND(Tasks[[#This Row],[_IsLeaf]]=1,Tasks[[#This Row],[_LeafProgress]]&gt;=1),IF(N(Tasks[[#This Row],[Actual Finish]])&gt;0,Tasks[[#This Row],[Actual Finish]],Tasks[[#This Row],[_LeafFcstFinish]]),"")</f>
        <v/>
      </c>
      <c r="DR159" s="41" t="n">
        <f aca="false">IF(Tasks[[#This Row],[_IsLeaf]]=1,N(Tasks[[#This Row],[Story Points]]),0)</f>
        <v>0</v>
      </c>
      <c r="DS159" s="41" t="str">
        <f aca="false">IF(AND(Tasks[[#This Row],[_IsLeaf]]=1,CurrentSprint&lt;&gt;"",Tasks[[#This Row],[Sprint]]=CurrentSprint),Tasks[[#This Row],[_Row]],"")</f>
        <v/>
      </c>
    </row>
    <row r="160" customFormat="false" ht="15" hidden="false" customHeight="false" outlineLevel="0" collapsed="false">
      <c r="A160" s="28" t="str">
        <f aca="false">IF(Tasks[[#This Row],[Task Name]]="","",COUNTA(Tasks[[#Headers],[Task Name]]:Tasks[[#This Row],[Task Name]])-1)</f>
        <v/>
      </c>
      <c r="B160" s="29" t="n">
        <v>155</v>
      </c>
      <c r="C1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29"/>
      <c r="E160" s="30"/>
      <c r="F160" s="29"/>
      <c r="G160" s="29"/>
      <c r="H160" s="29"/>
      <c r="I160" s="29"/>
      <c r="J160" s="29"/>
      <c r="K160" s="29"/>
      <c r="L160" s="29"/>
      <c r="M160" s="29"/>
      <c r="N160" s="77"/>
      <c r="O160" s="77"/>
      <c r="P160" s="25" t="str">
        <f aca="false">IF(Tasks[[#This Row],[Task Name]]="","",IF(N(Tasks[[#This Row],[Baseline Start]])&gt;0,Tasks[[#This Row],[Baseline Start]],Tasks[[#This Row],[_CalcStart]]))</f>
        <v/>
      </c>
      <c r="Q160" s="25" t="str">
        <f aca="false">IF(Tasks[[#This Row],[Task Name]]="","",IF(N(Tasks[[#This Row],[Baseline Finish]])&gt;0,Tasks[[#This Row],[Baseline Finish]],Tasks[[#This Row],[_CalcFinish]]))</f>
        <v/>
      </c>
      <c r="R160" s="77"/>
      <c r="S160" s="77"/>
      <c r="T160" s="25" t="str">
        <f aca="false">IF(Tasks[[#This Row],[Task Name]]="","",IF(Tasks[[#This Row],[_IsSummary]],MIN(INDEX(Tasks[_LeafFcstStart],Tasks[[#This Row],[_Row]]+1):INDEX(Tasks[_LeafFcstStart],Tasks[[#This Row],[_Row]]+Tasks[[#This Row],[_Descendants]])),Tasks[[#This Row],[_LeafFcstStart]]))</f>
        <v/>
      </c>
      <c r="U160" s="25" t="str">
        <f aca="false">IF(Tasks[[#This Row],[Task Name]]="","",IF(Tasks[[#This Row],[_IsSummary]],MAX(INDEX(Tasks[_LeafFcstFinish],Tasks[[#This Row],[_Row]]+1):INDEX(Tasks[_LeafFcstFinish],Tasks[[#This Row],[_Row]]+Tasks[[#This Row],[_Descendants]])),Tasks[[#This Row],[_LeafFcstFinish]]))</f>
        <v/>
      </c>
      <c r="V16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0" s="25" t="str">
        <f aca="false">IF(Tasks[[#This Row],[Task Name]]="","",IF(Tasks[[#This Row],[_IsSummary]],MIN(INDEX(Tasks[_LeafLateStart],Tasks[[#This Row],[_Row]]+1):INDEX(Tasks[_LeafLateStart],Tasks[[#This Row],[_Row]]+Tasks[[#This Row],[_Descendants]])),Tasks[[#This Row],[_LeafLateStart]]))</f>
        <v/>
      </c>
      <c r="Y160" s="25" t="str">
        <f aca="false">IF(Tasks[[#This Row],[Task Name]]="","",IF(Tasks[[#This Row],[_IsSummary]],MAX(INDEX(Tasks[_LeafLateFinish],Tasks[[#This Row],[_Row]]+1):INDEX(Tasks[_LeafLateFinish],Tasks[[#This Row],[_Row]]+Tasks[[#This Row],[_Descendants]])),Tasks[[#This Row],[_LeafLateFinish]]))</f>
        <v/>
      </c>
      <c r="Z160" s="43" t="str">
        <f aca="false">IF(Tasks[[#This Row],[Task Name]]="","",IF(Tasks[[#This Row],[_IsSummary]],MIN(INDEX(Tasks[_LeafTotalSlack],Tasks[[#This Row],[_Row]]+1):INDEX(Tasks[_LeafTotalSlack],Tasks[[#This Row],[_Row]]+Tasks[[#This Row],[_Descendants]])),Tasks[[#This Row],[_LeafTotalSlack]]))</f>
        <v/>
      </c>
      <c r="AA1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0" s="28" t="str">
        <f aca="false">IF(Tasks[[#This Row],[Task Name]]="","",IF(IF(Tasks[[#This Row],[_IsSummary]],COUNTIF(INDEX(Tasks[_LeafCritical],Tasks[[#This Row],[_Row]]+1):INDEX(Tasks[_LeafCritical],Tasks[[#This Row],[_Row]]+Tasks[[#This Row],[_Descendants]]),TRUE())&gt;0,Tasks[[#This Row],[_LeafCritical]]),"Yes",""))</f>
        <v/>
      </c>
      <c r="AC1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0" s="24" t="str">
        <f aca="false">IF(Tasks[[#This Row],[Task Name]]="","",TRIM(IF(Tasks[[#This Row],[_Pred1Problem]]&lt;&gt;"","Pred 1: "&amp;Tasks[[#This Row],[_Pred1Problem]]&amp;". ","")&amp;IF(Tasks[[#This Row],[_Pred2Problem]]&lt;&gt;"","Pred 2: "&amp;Tasks[[#This Row],[_Pred2Problem]]&amp;".","")))</f>
        <v/>
      </c>
      <c r="AE160" s="91"/>
      <c r="AF16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0" s="28" t="str">
        <f aca="false">IF(Tasks[[#This Row],[Task Name]]="","",IF(Tasks[[#This Row],[Progress]]&gt;=1,"Complete",IF(OR(N(Tasks[[#This Row],[Actual Start]])&gt;0,Tasks[[#This Row],[Progress]]&gt;0),IF(Tasks[[#This Row],[Finish Var]]&gt;0,"Behind","In Progress"),IF(Tasks[[#This Row],[Planned Start]]&lt;StatusDate,"Late Start","Not Started"))))</f>
        <v/>
      </c>
      <c r="AH160" s="30"/>
      <c r="AI160" s="91"/>
      <c r="AJ16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0" s="98" t="str">
        <f aca="false">IF(Tasks[[#This Row],[Task Name]]="","",IF(Tasks[[#This Row],[_IsSummary]],SUM(INDEX(Tasks[_LeafWork],Tasks[[#This Row],[_Row]]+1):INDEX(Tasks[_LeafWork],Tasks[[#This Row],[_Row]]+Tasks[[#This Row],[_Descendants]])),Tasks[[#This Row],[_LeafWork]]))</f>
        <v/>
      </c>
      <c r="AL160" s="99" t="str">
        <f aca="false">IF(Tasks[[#This Row],[Task Name]]="","",IF(Tasks[[#This Row],[_IsSummary]],SUM(INDEX(Tasks[_LeafCost],Tasks[[#This Row],[_Row]]+1):INDEX(Tasks[_LeafCost],Tasks[[#This Row],[_Row]]+Tasks[[#This Row],[_Descendants]])),Tasks[[#This Row],[_LeafCost]]))</f>
        <v/>
      </c>
      <c r="AM160" s="100"/>
      <c r="AN160" s="29"/>
      <c r="AO1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0" s="85"/>
      <c r="AQ160" s="24" t="str">
        <f aca="false">IF(Tasks[[#This Row],[Task Name]]="","",Tasks[[#This Row],[_Pred1IDText]]&amp;IF(AND(Tasks[[#This Row],[_Pred1IDText]]&lt;&gt;"",Tasks[[#This Row],[_Pred2IDText]]&lt;&gt;""),",","")&amp;Tasks[[#This Row],[_Pred2IDText]])</f>
        <v/>
      </c>
      <c r="AR160" s="30"/>
      <c r="AS160" s="25" t="str">
        <f aca="false">IF(Tasks[[#This Row],[Task Name]]="","",Tasks[[#This Row],[Forecast Start]])</f>
        <v/>
      </c>
      <c r="AT160" s="25" t="str">
        <f aca="false">IF(Tasks[[#This Row],[Task Name]]="","",Tasks[[#This Row],[Forecast Finish]])</f>
        <v/>
      </c>
      <c r="AU160" s="28" t="str">
        <f aca="false">IF(Tasks[[#This Row],[Task Name]]="","",IF(Tasks[[#This Row],[_IsSummary]],NETWORKDAYS.INTL(Tasks[[#This Row],[Forecast Start]],Tasks[[#This Row],[Forecast Finish]],WorkWeek,Holidays),N(Tasks[[#This Row],[Duration]])))</f>
        <v/>
      </c>
      <c r="AV160" s="98" t="str">
        <f aca="false">IF(Tasks[[#This Row],[Task Name]]="","",Tasks[[#This Row],[Work]])</f>
        <v/>
      </c>
      <c r="AW160" s="99" t="str">
        <f aca="false">IF(Tasks[[#This Row],[Task Name]]="","",Tasks[[#This Row],[Cost]])</f>
        <v/>
      </c>
      <c r="AX160" s="77"/>
      <c r="AY160" s="77"/>
      <c r="AZ160" s="29"/>
      <c r="BA160" s="101"/>
      <c r="BB160" s="100"/>
      <c r="BC160" s="28" t="str">
        <f aca="false">IF(OR(Tasks[[#This Row],[Task Name]]="",Tasks[[#This Row],[Baseline Duration]]=""),"",Tasks[[#This Row],[BL Source Duration]]-N(Tasks[[#This Row],[Baseline Duration]]))</f>
        <v/>
      </c>
      <c r="BD160" s="98" t="str">
        <f aca="false">IF(OR(Tasks[[#This Row],[Task Name]]="",Tasks[[#This Row],[Baseline Work]]=""),"",Tasks[[#This Row],[Work]]-N(Tasks[[#This Row],[Baseline Work]]))</f>
        <v/>
      </c>
      <c r="BE160" s="99" t="str">
        <f aca="false">IF(OR(Tasks[[#This Row],[Task Name]]="",Tasks[[#This Row],[Baseline Cost]]=""),"",Tasks[[#This Row],[Cost]]-N(Tasks[[#This Row],[Baseline Cost]]))</f>
        <v/>
      </c>
      <c r="BF160" s="99" t="str">
        <f aca="false">IF(Tasks[[#This Row],[Task Name]]="","",IF(Tasks[[#This Row],[_IsSummary]],SUM(INDEX(Tasks[_LeafBudget],Tasks[[#This Row],[_Row]]+1):INDEX(Tasks[_LeafBudget],Tasks[[#This Row],[_Row]]+Tasks[[#This Row],[_Descendants]])),Tasks[[#This Row],[_LeafBudget]]))</f>
        <v/>
      </c>
      <c r="BG160" s="99" t="str">
        <f aca="false">IF(Tasks[[#This Row],[Task Name]]="","",IF(Tasks[[#This Row],[_IsSummary]],SUM(INDEX(Tasks[_LeafPV],Tasks[[#This Row],[_Row]]+1):INDEX(Tasks[_LeafPV],Tasks[[#This Row],[_Row]]+Tasks[[#This Row],[_Descendants]])),Tasks[[#This Row],[_LeafPV]]))</f>
        <v/>
      </c>
      <c r="BH160" s="99" t="str">
        <f aca="false">IF(Tasks[[#This Row],[Task Name]]="","",IF(Tasks[[#This Row],[_IsSummary]],SUM(INDEX(Tasks[_LeafEV],Tasks[[#This Row],[_Row]]+1):INDEX(Tasks[_LeafEV],Tasks[[#This Row],[_Row]]+Tasks[[#This Row],[_Descendants]])),Tasks[[#This Row],[_LeafEV]]))</f>
        <v/>
      </c>
      <c r="BI160" s="99" t="str">
        <f aca="false">IF(Tasks[[#This Row],[Task Name]]="","",IF(Tasks[[#This Row],[_IsSummary]],SUM(INDEX(Tasks[_LeafAC],Tasks[[#This Row],[_Row]]+1):INDEX(Tasks[_LeafAC],Tasks[[#This Row],[_Row]]+Tasks[[#This Row],[_Descendants]])),Tasks[[#This Row],[_LeafAC]]))</f>
        <v/>
      </c>
      <c r="BJ160" s="41" t="str">
        <f aca="false">IF(Tasks[[#This Row],[Task Name]]="","",MAX(1,N(Tasks[[#This Row],[Level]])))</f>
        <v/>
      </c>
      <c r="BK160" s="41" t="n">
        <f aca="false">ROW()-ROW(Tasks[[#Headers],[ID]])</f>
        <v>155</v>
      </c>
      <c r="BL160" s="41" t="n">
        <f aca="false">IF(OR(Tasks[[#This Row],[Task Name]]="",Tasks[[#This Row],[_Level]]&lt;=1),0,IFERROR(LOOKUP(2,1/(Tasks[[#Headers],[_Level]]:Tasks[[#This Row],[_Level]]=Tasks[[#This Row],[_Level]]-1),ROW(Tasks[[#Headers],[_Level]]:Tasks[[#This Row],[_Level]])),0))</f>
        <v>0</v>
      </c>
      <c r="BM160" s="41" t="n">
        <f aca="false">IFERROR(N(INDEX(Tasks[_Level],Tasks[[#This Row],[_Row]]+1)),0)</f>
        <v>0</v>
      </c>
      <c r="BN160" s="102" t="b">
        <f aca="false">AND(Tasks[[#This Row],[Task Name]]&lt;&gt;"",Tasks[[#This Row],[_NextLevel]]&gt;Tasks[[#This Row],[_Level]])</f>
        <v>0</v>
      </c>
      <c r="BO160" s="41" t="n">
        <f aca="false">IF(Tasks[[#This Row],[_IsSummary]],COUNTIF(Tasks[WBS],Tasks[[#This Row],[WBS]]&amp;".*"),0)</f>
        <v>0</v>
      </c>
      <c r="BP160" s="41" t="n">
        <f aca="false">IF(AND(Tasks[[#This Row],[Task Name]]&lt;&gt;"",NOT(Tasks[[#This Row],[_IsSummary]])),1,0)</f>
        <v>0</v>
      </c>
      <c r="BQ160" s="41" t="n">
        <f aca="false">IF(N(Tasks[[#This Row],[Pred1 UID]])=0,0,IFERROR(MATCH(Tasks[[#This Row],[Pred1 UID]],Tasks[UID],0),-1))</f>
        <v>0</v>
      </c>
      <c r="BR160" s="41" t="n">
        <f aca="false">IF(N(Tasks[[#This Row],[Pred2 UID]])=0,0,IFERROR(MATCH(Tasks[[#This Row],[Pred2 UID]],Tasks[UID],0),-1))</f>
        <v>0</v>
      </c>
      <c r="BS16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0" s="103" t="str">
        <f aca="false">IF(NOT(Tasks[[#This Row],[_IsLeaf]]=1),"",IF(N(Tasks[[#This Row],[Duration]])&lt;=0,Tasks[[#This Row],[_LeafCalcStart]],WORKDAY.INTL(Tasks[[#This Row],[_LeafCalcStart]],Tasks[[#This Row],[Duration]]-1,WorkWeek,Holidays)))</f>
        <v/>
      </c>
      <c r="BU16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0" s="41" t="n">
        <f aca="false">IF(NOT(Tasks[[#This Row],[_IsLeaf]]=1),0,IF(N(Tasks[[#This Row],[Actual Finish]])&gt;0,1,MIN(1,N(Tasks[[#This Row],[% Complete]]))))</f>
        <v>0</v>
      </c>
      <c r="BX160" s="41" t="n">
        <f aca="false">IF(OR(NOT(Tasks[[#This Row],[_IsLeaf]]=1),Tasks[[#This Row],[Resource]]=""),0,N(Tasks[[#This Row],[Duration]])*HoursPerDay*IF(Tasks[[#This Row],[Units]]="",DefaultUnits,Tasks[[#This Row],[Units]]))</f>
        <v>0</v>
      </c>
      <c r="BY160" s="41" t="n">
        <f aca="false">IF(Tasks[[#This Row],[_LeafWork]]=0,0,Tasks[[#This Row],[_LeafWork]]*IFERROR(INDEX(res_Rate,MATCH(Tasks[[#This Row],[Resource]],res_Name,0)),0))</f>
        <v>0</v>
      </c>
      <c r="BZ1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0" s="41" t="n">
        <f aca="false">IF(NOT(Tasks[[#This Row],[_IsLeaf]]=1),0,MAX(_xlfn.MAXIFS(Tasks[_Row],Tasks[Pred1 UID],Tasks[[#This Row],[UID]]),_xlfn.MAXIFS(Tasks[_Row],Tasks[Pred2 UID],Tasks[[#This Row],[UID]])))</f>
        <v>0</v>
      </c>
      <c r="CE16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0" s="103" t="str">
        <f aca="false">IF(NOT(Tasks[[#This Row],[_IsLeaf]]=1),"",MIN(ProjectFinish,IF(N(Tasks[[#This Row],[Deadline]])&gt;0,Tasks[[#This Row],[Deadline]],2958465),Tasks[[#This Row],[_SuccessorFinishLimit]]))</f>
        <v/>
      </c>
      <c r="CG160" s="103" t="str">
        <f aca="false">IF(NOT(Tasks[[#This Row],[_IsLeaf]]=1),"",IF(N(Tasks[[#This Row],[Duration]])&lt;=0,Tasks[[#This Row],[_LeafLateFinish]],WORKDAY.INTL(Tasks[[#This Row],[_LeafLateFinish]],-(Tasks[[#This Row],[Duration]]-1),WorkWeek,Holidays)))</f>
        <v/>
      </c>
      <c r="CH1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0" s="102" t="b">
        <f aca="false">AND(Tasks[[#This Row],[_IsLeaf]]=1,Tasks[[#This Row],[_LeafProgress]]&lt;1,N(Tasks[[#This Row],[_LeafTotalSlack]])&lt;=CriticalSlackDays)</f>
        <v>0</v>
      </c>
      <c r="CJ160" s="103" t="str">
        <f aca="false">IF(Tasks[[#This Row],[Task Name]]="","",IF(Tasks[[#This Row],[_IsSummary]],MIN(INDEX(Tasks[_LeafCalcStart],Tasks[[#This Row],[_Row]]+1):INDEX(Tasks[_LeafCalcStart],Tasks[[#This Row],[_Row]]+Tasks[[#This Row],[_Descendants]])),Tasks[[#This Row],[_LeafCalcStart]]))</f>
        <v/>
      </c>
      <c r="CK160" s="103" t="str">
        <f aca="false">IF(Tasks[[#This Row],[Task Name]]="","",IF(Tasks[[#This Row],[_IsSummary]],MAX(INDEX(Tasks[_LeafCalcFinish],Tasks[[#This Row],[_Row]]+1):INDEX(Tasks[_LeafCalcFinish],Tasks[[#This Row],[_Row]]+Tasks[[#This Row],[_Descendants]])),Tasks[[#This Row],[_LeafCalcFinish]]))</f>
        <v/>
      </c>
      <c r="CL1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0" s="41" t="n">
        <f aca="false">IF(AND(Tasks[[#This Row],[_IsLeaf]]=1,Tasks[[#This Row],[_LeafWork]]&gt;0),NETWORKDAYS.INTL(ProjectStart,Tasks[[#This Row],[_LeafFcstStart]],WorkWeek,Holidays),0)</f>
        <v>0</v>
      </c>
      <c r="CS160" s="41" t="n">
        <f aca="false">IF(AND(Tasks[[#This Row],[_IsLeaf]]=1,Tasks[[#This Row],[_LeafWork]]&gt;0),MAX(Tasks[[#This Row],[_StartWorkday]],NETWORKDAYS.INTL(ProjectStart,Tasks[[#This Row],[_LeafFcstFinish]],WorkWeek,Holidays)),0)</f>
        <v>0</v>
      </c>
      <c r="CT160" s="41" t="n">
        <f aca="false">IF(AND(Tasks[[#This Row],[_IsLeaf]]=1,Tasks[[#This Row],[_LeafWork]]&gt;0),Tasks[[#This Row],[_LeafWork]]/(Tasks[[#This Row],[_FinishWorkday]]-Tasks[[#This Row],[_StartWorkday]]+1),0)</f>
        <v>0</v>
      </c>
      <c r="CU160" s="41" t="n">
        <f aca="false">Tasks[[#This Row],[_WorkPerWorkday]]*(Tasks[[#This Row],[_StartWorkday]]-1)</f>
        <v>-0</v>
      </c>
      <c r="CV160" s="41" t="n">
        <f aca="false">IF(Tasks[[#This Row],[_IsLeaf]]=1,MAX(N(Tasks[[#This Row],[Duration]]),0.1),0)</f>
        <v>0</v>
      </c>
      <c r="CW160" s="41" t="n">
        <f aca="false">Tasks[[#This Row],[_WeightDur]]*Tasks[[#This Row],[_LeafProgress]]</f>
        <v>0</v>
      </c>
      <c r="CX1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0" s="41" t="str">
        <f aca="false">IF(Tasks[[#This Row],[Task Name]]="","",Tasks[[#This Row],[_Pred1UIDText]]&amp;IF(AND(Tasks[[#This Row],[_Pred1UIDText]]&lt;&gt;"",Tasks[[#This Row],[_Pred2UIDText]]&lt;&gt;""),",","")&amp;Tasks[[#This Row],[_Pred2UIDText]])</f>
        <v/>
      </c>
      <c r="DC160" s="41" t="str">
        <f aca="false">IF(AND(Tasks[[#This Row],[_IsLeaf]]=1,N(Tasks[[#This Row],[Duration]])=0,Tasks[[#This Row],[_LeafProgress]]&lt;1),Tasks[[#This Row],[_LeafFcstFinish]]+Tasks[[#This Row],[_Row]]/100000,"")</f>
        <v/>
      </c>
      <c r="DD1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0" s="41" t="n">
        <f aca="false">IF(NOT(Tasks[[#This Row],[_IsLeaf]]=1),0,IF(Tasks[[#This Row],[Baseline Cost]]="",Tasks[[#This Row],[_LeafCost]],N(Tasks[[#This Row],[Baseline Cost]])))</f>
        <v>0</v>
      </c>
      <c r="DF160" s="41" t="n">
        <f aca="false">Tasks[[#This Row],[_LeafBudget]]*Tasks[[#This Row],[_PlannedPct]]</f>
        <v>0</v>
      </c>
      <c r="DG160" s="41" t="n">
        <f aca="false">Tasks[[#This Row],[_LeafBudget]]*Tasks[[#This Row],[_LeafProgress]]</f>
        <v>0</v>
      </c>
      <c r="DH160" s="41" t="n">
        <f aca="false">IF(NOT(Tasks[[#This Row],[_IsLeaf]]=1),0,IF(Tasks[[#This Row],[Actual Cost]]="",Tasks[[#This Row],[_LeafCost]]*Tasks[[#This Row],[_LeafProgress]],N(Tasks[[#This Row],[Actual Cost]])))</f>
        <v>0</v>
      </c>
      <c r="DI160" s="41" t="str">
        <f aca="false">IF(Tasks[[#This Row],[Task Name]]="","",LEFT(Tasks[[#This Row],[WBS]],FIND(".",Tasks[[#This Row],[WBS]]&amp;".")-1))</f>
        <v/>
      </c>
      <c r="DJ160" s="41" t="str">
        <f aca="false">IF(AND(Tasks[[#This Row],[Task Name]]&lt;&gt;"",Tasks[[#This Row],[_Level]]=1),Tasks[[#This Row],[_Row]],"")</f>
        <v/>
      </c>
      <c r="DK160" s="41" t="str">
        <f aca="false">IF(AND(Tasks[[#This Row],[_IsLeaf]]=1,N(Tasks[[#This Row],[Duration]])=0),Tasks[[#This Row],[Planned Finish]]+Tasks[[#This Row],[_Row]]/100000,"")</f>
        <v/>
      </c>
      <c r="DL160" s="41" t="str">
        <f aca="false">IF(AND(Tasks[[#This Row],[_IsLeaf]]=1,Tasks[[#This Row],[_LeafProgress]]&lt;1,OR(N(Tasks[[#This Row],[Finish Var]])&gt;0,Tasks[[#This Row],[Status]]="Late Start")),MAX(0,Tasks[[#This Row],[Finish Var]])+1-Tasks[[#This Row],[_Row]]/1000000,"")</f>
        <v/>
      </c>
      <c r="DM160" s="41" t="str">
        <f aca="false">IF(AND(Tasks[[#This Row],[_IsLeaf]]=1,N(Tasks[[#This Row],[Actual Start]])=0,Tasks[[#This Row],[_LeafFcstStart]]&gt;=StatusDate,Tasks[[#This Row],[_LeafFcstStart]]&lt;=LookaheadEnd),Tasks[[#This Row],[_LeafFcstStart]]+Tasks[[#This Row],[_Row]]/100000,"")</f>
        <v/>
      </c>
      <c r="DN160" s="41" t="str">
        <f aca="false">IF(AND(Tasks[[#This Row],[_IsLeaf]]=1,Tasks[[#This Row],[_LeafProgress]]&lt;1,Tasks[[#This Row],[_LeafFcstFinish]]&gt;=StatusDate,Tasks[[#This Row],[_LeafFcstFinish]]&lt;=LookaheadEnd),Tasks[[#This Row],[_LeafFcstFinish]]+Tasks[[#This Row],[_Row]]/100000,"")</f>
        <v/>
      </c>
      <c r="DO160" s="41" t="str">
        <f aca="false">IF(Tasks[[#This Row],[_LeafCritical]],Tasks[[#This Row],[_LeafFcstStart]]+Tasks[[#This Row],[_Row]]/100000,"")</f>
        <v/>
      </c>
      <c r="DP160" s="41" t="n">
        <f aca="false">Tasks[[#This Row],[_LeafWork]]*Tasks[[#This Row],[_LeafProgress]]</f>
        <v>0</v>
      </c>
      <c r="DQ160" s="103" t="str">
        <f aca="false">IF(AND(Tasks[[#This Row],[_IsLeaf]]=1,Tasks[[#This Row],[_LeafProgress]]&gt;=1),IF(N(Tasks[[#This Row],[Actual Finish]])&gt;0,Tasks[[#This Row],[Actual Finish]],Tasks[[#This Row],[_LeafFcstFinish]]),"")</f>
        <v/>
      </c>
      <c r="DR160" s="41" t="n">
        <f aca="false">IF(Tasks[[#This Row],[_IsLeaf]]=1,N(Tasks[[#This Row],[Story Points]]),0)</f>
        <v>0</v>
      </c>
      <c r="DS160" s="41" t="str">
        <f aca="false">IF(AND(Tasks[[#This Row],[_IsLeaf]]=1,CurrentSprint&lt;&gt;"",Tasks[[#This Row],[Sprint]]=CurrentSprint),Tasks[[#This Row],[_Row]],"")</f>
        <v/>
      </c>
    </row>
    <row r="161" customFormat="false" ht="15" hidden="false" customHeight="false" outlineLevel="0" collapsed="false">
      <c r="A161" s="28" t="str">
        <f aca="false">IF(Tasks[[#This Row],[Task Name]]="","",COUNTA(Tasks[[#Headers],[Task Name]]:Tasks[[#This Row],[Task Name]])-1)</f>
        <v/>
      </c>
      <c r="B161" s="29" t="n">
        <v>156</v>
      </c>
      <c r="C1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29"/>
      <c r="E161" s="30"/>
      <c r="F161" s="29"/>
      <c r="G161" s="29"/>
      <c r="H161" s="29"/>
      <c r="I161" s="29"/>
      <c r="J161" s="29"/>
      <c r="K161" s="29"/>
      <c r="L161" s="29"/>
      <c r="M161" s="29"/>
      <c r="N161" s="77"/>
      <c r="O161" s="77"/>
      <c r="P161" s="25" t="str">
        <f aca="false">IF(Tasks[[#This Row],[Task Name]]="","",IF(N(Tasks[[#This Row],[Baseline Start]])&gt;0,Tasks[[#This Row],[Baseline Start]],Tasks[[#This Row],[_CalcStart]]))</f>
        <v/>
      </c>
      <c r="Q161" s="25" t="str">
        <f aca="false">IF(Tasks[[#This Row],[Task Name]]="","",IF(N(Tasks[[#This Row],[Baseline Finish]])&gt;0,Tasks[[#This Row],[Baseline Finish]],Tasks[[#This Row],[_CalcFinish]]))</f>
        <v/>
      </c>
      <c r="R161" s="77"/>
      <c r="S161" s="77"/>
      <c r="T161" s="25" t="str">
        <f aca="false">IF(Tasks[[#This Row],[Task Name]]="","",IF(Tasks[[#This Row],[_IsSummary]],MIN(INDEX(Tasks[_LeafFcstStart],Tasks[[#This Row],[_Row]]+1):INDEX(Tasks[_LeafFcstStart],Tasks[[#This Row],[_Row]]+Tasks[[#This Row],[_Descendants]])),Tasks[[#This Row],[_LeafFcstStart]]))</f>
        <v/>
      </c>
      <c r="U161" s="25" t="str">
        <f aca="false">IF(Tasks[[#This Row],[Task Name]]="","",IF(Tasks[[#This Row],[_IsSummary]],MAX(INDEX(Tasks[_LeafFcstFinish],Tasks[[#This Row],[_Row]]+1):INDEX(Tasks[_LeafFcstFinish],Tasks[[#This Row],[_Row]]+Tasks[[#This Row],[_Descendants]])),Tasks[[#This Row],[_LeafFcstFinish]]))</f>
        <v/>
      </c>
      <c r="V16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1" s="25" t="str">
        <f aca="false">IF(Tasks[[#This Row],[Task Name]]="","",IF(Tasks[[#This Row],[_IsSummary]],MIN(INDEX(Tasks[_LeafLateStart],Tasks[[#This Row],[_Row]]+1):INDEX(Tasks[_LeafLateStart],Tasks[[#This Row],[_Row]]+Tasks[[#This Row],[_Descendants]])),Tasks[[#This Row],[_LeafLateStart]]))</f>
        <v/>
      </c>
      <c r="Y161" s="25" t="str">
        <f aca="false">IF(Tasks[[#This Row],[Task Name]]="","",IF(Tasks[[#This Row],[_IsSummary]],MAX(INDEX(Tasks[_LeafLateFinish],Tasks[[#This Row],[_Row]]+1):INDEX(Tasks[_LeafLateFinish],Tasks[[#This Row],[_Row]]+Tasks[[#This Row],[_Descendants]])),Tasks[[#This Row],[_LeafLateFinish]]))</f>
        <v/>
      </c>
      <c r="Z161" s="43" t="str">
        <f aca="false">IF(Tasks[[#This Row],[Task Name]]="","",IF(Tasks[[#This Row],[_IsSummary]],MIN(INDEX(Tasks[_LeafTotalSlack],Tasks[[#This Row],[_Row]]+1):INDEX(Tasks[_LeafTotalSlack],Tasks[[#This Row],[_Row]]+Tasks[[#This Row],[_Descendants]])),Tasks[[#This Row],[_LeafTotalSlack]]))</f>
        <v/>
      </c>
      <c r="AA1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1" s="28" t="str">
        <f aca="false">IF(Tasks[[#This Row],[Task Name]]="","",IF(IF(Tasks[[#This Row],[_IsSummary]],COUNTIF(INDEX(Tasks[_LeafCritical],Tasks[[#This Row],[_Row]]+1):INDEX(Tasks[_LeafCritical],Tasks[[#This Row],[_Row]]+Tasks[[#This Row],[_Descendants]]),TRUE())&gt;0,Tasks[[#This Row],[_LeafCritical]]),"Yes",""))</f>
        <v/>
      </c>
      <c r="AC1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1" s="24" t="str">
        <f aca="false">IF(Tasks[[#This Row],[Task Name]]="","",TRIM(IF(Tasks[[#This Row],[_Pred1Problem]]&lt;&gt;"","Pred 1: "&amp;Tasks[[#This Row],[_Pred1Problem]]&amp;". ","")&amp;IF(Tasks[[#This Row],[_Pred2Problem]]&lt;&gt;"","Pred 2: "&amp;Tasks[[#This Row],[_Pred2Problem]]&amp;".","")))</f>
        <v/>
      </c>
      <c r="AE161" s="91"/>
      <c r="AF16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1" s="28" t="str">
        <f aca="false">IF(Tasks[[#This Row],[Task Name]]="","",IF(Tasks[[#This Row],[Progress]]&gt;=1,"Complete",IF(OR(N(Tasks[[#This Row],[Actual Start]])&gt;0,Tasks[[#This Row],[Progress]]&gt;0),IF(Tasks[[#This Row],[Finish Var]]&gt;0,"Behind","In Progress"),IF(Tasks[[#This Row],[Planned Start]]&lt;StatusDate,"Late Start","Not Started"))))</f>
        <v/>
      </c>
      <c r="AH161" s="30"/>
      <c r="AI161" s="91"/>
      <c r="AJ16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1" s="98" t="str">
        <f aca="false">IF(Tasks[[#This Row],[Task Name]]="","",IF(Tasks[[#This Row],[_IsSummary]],SUM(INDEX(Tasks[_LeafWork],Tasks[[#This Row],[_Row]]+1):INDEX(Tasks[_LeafWork],Tasks[[#This Row],[_Row]]+Tasks[[#This Row],[_Descendants]])),Tasks[[#This Row],[_LeafWork]]))</f>
        <v/>
      </c>
      <c r="AL161" s="99" t="str">
        <f aca="false">IF(Tasks[[#This Row],[Task Name]]="","",IF(Tasks[[#This Row],[_IsSummary]],SUM(INDEX(Tasks[_LeafCost],Tasks[[#This Row],[_Row]]+1):INDEX(Tasks[_LeafCost],Tasks[[#This Row],[_Row]]+Tasks[[#This Row],[_Descendants]])),Tasks[[#This Row],[_LeafCost]]))</f>
        <v/>
      </c>
      <c r="AM161" s="100"/>
      <c r="AN161" s="29"/>
      <c r="AO1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1" s="85"/>
      <c r="AQ161" s="24" t="str">
        <f aca="false">IF(Tasks[[#This Row],[Task Name]]="","",Tasks[[#This Row],[_Pred1IDText]]&amp;IF(AND(Tasks[[#This Row],[_Pred1IDText]]&lt;&gt;"",Tasks[[#This Row],[_Pred2IDText]]&lt;&gt;""),",","")&amp;Tasks[[#This Row],[_Pred2IDText]])</f>
        <v/>
      </c>
      <c r="AR161" s="30"/>
      <c r="AS161" s="25" t="str">
        <f aca="false">IF(Tasks[[#This Row],[Task Name]]="","",Tasks[[#This Row],[Forecast Start]])</f>
        <v/>
      </c>
      <c r="AT161" s="25" t="str">
        <f aca="false">IF(Tasks[[#This Row],[Task Name]]="","",Tasks[[#This Row],[Forecast Finish]])</f>
        <v/>
      </c>
      <c r="AU161" s="28" t="str">
        <f aca="false">IF(Tasks[[#This Row],[Task Name]]="","",IF(Tasks[[#This Row],[_IsSummary]],NETWORKDAYS.INTL(Tasks[[#This Row],[Forecast Start]],Tasks[[#This Row],[Forecast Finish]],WorkWeek,Holidays),N(Tasks[[#This Row],[Duration]])))</f>
        <v/>
      </c>
      <c r="AV161" s="98" t="str">
        <f aca="false">IF(Tasks[[#This Row],[Task Name]]="","",Tasks[[#This Row],[Work]])</f>
        <v/>
      </c>
      <c r="AW161" s="99" t="str">
        <f aca="false">IF(Tasks[[#This Row],[Task Name]]="","",Tasks[[#This Row],[Cost]])</f>
        <v/>
      </c>
      <c r="AX161" s="77"/>
      <c r="AY161" s="77"/>
      <c r="AZ161" s="29"/>
      <c r="BA161" s="101"/>
      <c r="BB161" s="100"/>
      <c r="BC161" s="28" t="str">
        <f aca="false">IF(OR(Tasks[[#This Row],[Task Name]]="",Tasks[[#This Row],[Baseline Duration]]=""),"",Tasks[[#This Row],[BL Source Duration]]-N(Tasks[[#This Row],[Baseline Duration]]))</f>
        <v/>
      </c>
      <c r="BD161" s="98" t="str">
        <f aca="false">IF(OR(Tasks[[#This Row],[Task Name]]="",Tasks[[#This Row],[Baseline Work]]=""),"",Tasks[[#This Row],[Work]]-N(Tasks[[#This Row],[Baseline Work]]))</f>
        <v/>
      </c>
      <c r="BE161" s="99" t="str">
        <f aca="false">IF(OR(Tasks[[#This Row],[Task Name]]="",Tasks[[#This Row],[Baseline Cost]]=""),"",Tasks[[#This Row],[Cost]]-N(Tasks[[#This Row],[Baseline Cost]]))</f>
        <v/>
      </c>
      <c r="BF161" s="99" t="str">
        <f aca="false">IF(Tasks[[#This Row],[Task Name]]="","",IF(Tasks[[#This Row],[_IsSummary]],SUM(INDEX(Tasks[_LeafBudget],Tasks[[#This Row],[_Row]]+1):INDEX(Tasks[_LeafBudget],Tasks[[#This Row],[_Row]]+Tasks[[#This Row],[_Descendants]])),Tasks[[#This Row],[_LeafBudget]]))</f>
        <v/>
      </c>
      <c r="BG161" s="99" t="str">
        <f aca="false">IF(Tasks[[#This Row],[Task Name]]="","",IF(Tasks[[#This Row],[_IsSummary]],SUM(INDEX(Tasks[_LeafPV],Tasks[[#This Row],[_Row]]+1):INDEX(Tasks[_LeafPV],Tasks[[#This Row],[_Row]]+Tasks[[#This Row],[_Descendants]])),Tasks[[#This Row],[_LeafPV]]))</f>
        <v/>
      </c>
      <c r="BH161" s="99" t="str">
        <f aca="false">IF(Tasks[[#This Row],[Task Name]]="","",IF(Tasks[[#This Row],[_IsSummary]],SUM(INDEX(Tasks[_LeafEV],Tasks[[#This Row],[_Row]]+1):INDEX(Tasks[_LeafEV],Tasks[[#This Row],[_Row]]+Tasks[[#This Row],[_Descendants]])),Tasks[[#This Row],[_LeafEV]]))</f>
        <v/>
      </c>
      <c r="BI161" s="99" t="str">
        <f aca="false">IF(Tasks[[#This Row],[Task Name]]="","",IF(Tasks[[#This Row],[_IsSummary]],SUM(INDEX(Tasks[_LeafAC],Tasks[[#This Row],[_Row]]+1):INDEX(Tasks[_LeafAC],Tasks[[#This Row],[_Row]]+Tasks[[#This Row],[_Descendants]])),Tasks[[#This Row],[_LeafAC]]))</f>
        <v/>
      </c>
      <c r="BJ161" s="41" t="str">
        <f aca="false">IF(Tasks[[#This Row],[Task Name]]="","",MAX(1,N(Tasks[[#This Row],[Level]])))</f>
        <v/>
      </c>
      <c r="BK161" s="41" t="n">
        <f aca="false">ROW()-ROW(Tasks[[#Headers],[ID]])</f>
        <v>156</v>
      </c>
      <c r="BL161" s="41" t="n">
        <f aca="false">IF(OR(Tasks[[#This Row],[Task Name]]="",Tasks[[#This Row],[_Level]]&lt;=1),0,IFERROR(LOOKUP(2,1/(Tasks[[#Headers],[_Level]]:Tasks[[#This Row],[_Level]]=Tasks[[#This Row],[_Level]]-1),ROW(Tasks[[#Headers],[_Level]]:Tasks[[#This Row],[_Level]])),0))</f>
        <v>0</v>
      </c>
      <c r="BM161" s="41" t="n">
        <f aca="false">IFERROR(N(INDEX(Tasks[_Level],Tasks[[#This Row],[_Row]]+1)),0)</f>
        <v>0</v>
      </c>
      <c r="BN161" s="102" t="b">
        <f aca="false">AND(Tasks[[#This Row],[Task Name]]&lt;&gt;"",Tasks[[#This Row],[_NextLevel]]&gt;Tasks[[#This Row],[_Level]])</f>
        <v>0</v>
      </c>
      <c r="BO161" s="41" t="n">
        <f aca="false">IF(Tasks[[#This Row],[_IsSummary]],COUNTIF(Tasks[WBS],Tasks[[#This Row],[WBS]]&amp;".*"),0)</f>
        <v>0</v>
      </c>
      <c r="BP161" s="41" t="n">
        <f aca="false">IF(AND(Tasks[[#This Row],[Task Name]]&lt;&gt;"",NOT(Tasks[[#This Row],[_IsSummary]])),1,0)</f>
        <v>0</v>
      </c>
      <c r="BQ161" s="41" t="n">
        <f aca="false">IF(N(Tasks[[#This Row],[Pred1 UID]])=0,0,IFERROR(MATCH(Tasks[[#This Row],[Pred1 UID]],Tasks[UID],0),-1))</f>
        <v>0</v>
      </c>
      <c r="BR161" s="41" t="n">
        <f aca="false">IF(N(Tasks[[#This Row],[Pred2 UID]])=0,0,IFERROR(MATCH(Tasks[[#This Row],[Pred2 UID]],Tasks[UID],0),-1))</f>
        <v>0</v>
      </c>
      <c r="BS16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1" s="103" t="str">
        <f aca="false">IF(NOT(Tasks[[#This Row],[_IsLeaf]]=1),"",IF(N(Tasks[[#This Row],[Duration]])&lt;=0,Tasks[[#This Row],[_LeafCalcStart]],WORKDAY.INTL(Tasks[[#This Row],[_LeafCalcStart]],Tasks[[#This Row],[Duration]]-1,WorkWeek,Holidays)))</f>
        <v/>
      </c>
      <c r="BU16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1" s="41" t="n">
        <f aca="false">IF(NOT(Tasks[[#This Row],[_IsLeaf]]=1),0,IF(N(Tasks[[#This Row],[Actual Finish]])&gt;0,1,MIN(1,N(Tasks[[#This Row],[% Complete]]))))</f>
        <v>0</v>
      </c>
      <c r="BX161" s="41" t="n">
        <f aca="false">IF(OR(NOT(Tasks[[#This Row],[_IsLeaf]]=1),Tasks[[#This Row],[Resource]]=""),0,N(Tasks[[#This Row],[Duration]])*HoursPerDay*IF(Tasks[[#This Row],[Units]]="",DefaultUnits,Tasks[[#This Row],[Units]]))</f>
        <v>0</v>
      </c>
      <c r="BY161" s="41" t="n">
        <f aca="false">IF(Tasks[[#This Row],[_LeafWork]]=0,0,Tasks[[#This Row],[_LeafWork]]*IFERROR(INDEX(res_Rate,MATCH(Tasks[[#This Row],[Resource]],res_Name,0)),0))</f>
        <v>0</v>
      </c>
      <c r="BZ1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1" s="41" t="n">
        <f aca="false">IF(NOT(Tasks[[#This Row],[_IsLeaf]]=1),0,MAX(_xlfn.MAXIFS(Tasks[_Row],Tasks[Pred1 UID],Tasks[[#This Row],[UID]]),_xlfn.MAXIFS(Tasks[_Row],Tasks[Pred2 UID],Tasks[[#This Row],[UID]])))</f>
        <v>0</v>
      </c>
      <c r="CE16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1" s="103" t="str">
        <f aca="false">IF(NOT(Tasks[[#This Row],[_IsLeaf]]=1),"",MIN(ProjectFinish,IF(N(Tasks[[#This Row],[Deadline]])&gt;0,Tasks[[#This Row],[Deadline]],2958465),Tasks[[#This Row],[_SuccessorFinishLimit]]))</f>
        <v/>
      </c>
      <c r="CG161" s="103" t="str">
        <f aca="false">IF(NOT(Tasks[[#This Row],[_IsLeaf]]=1),"",IF(N(Tasks[[#This Row],[Duration]])&lt;=0,Tasks[[#This Row],[_LeafLateFinish]],WORKDAY.INTL(Tasks[[#This Row],[_LeafLateFinish]],-(Tasks[[#This Row],[Duration]]-1),WorkWeek,Holidays)))</f>
        <v/>
      </c>
      <c r="CH1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1" s="102" t="b">
        <f aca="false">AND(Tasks[[#This Row],[_IsLeaf]]=1,Tasks[[#This Row],[_LeafProgress]]&lt;1,N(Tasks[[#This Row],[_LeafTotalSlack]])&lt;=CriticalSlackDays)</f>
        <v>0</v>
      </c>
      <c r="CJ161" s="103" t="str">
        <f aca="false">IF(Tasks[[#This Row],[Task Name]]="","",IF(Tasks[[#This Row],[_IsSummary]],MIN(INDEX(Tasks[_LeafCalcStart],Tasks[[#This Row],[_Row]]+1):INDEX(Tasks[_LeafCalcStart],Tasks[[#This Row],[_Row]]+Tasks[[#This Row],[_Descendants]])),Tasks[[#This Row],[_LeafCalcStart]]))</f>
        <v/>
      </c>
      <c r="CK161" s="103" t="str">
        <f aca="false">IF(Tasks[[#This Row],[Task Name]]="","",IF(Tasks[[#This Row],[_IsSummary]],MAX(INDEX(Tasks[_LeafCalcFinish],Tasks[[#This Row],[_Row]]+1):INDEX(Tasks[_LeafCalcFinish],Tasks[[#This Row],[_Row]]+Tasks[[#This Row],[_Descendants]])),Tasks[[#This Row],[_LeafCalcFinish]]))</f>
        <v/>
      </c>
      <c r="CL1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1" s="41" t="n">
        <f aca="false">IF(AND(Tasks[[#This Row],[_IsLeaf]]=1,Tasks[[#This Row],[_LeafWork]]&gt;0),NETWORKDAYS.INTL(ProjectStart,Tasks[[#This Row],[_LeafFcstStart]],WorkWeek,Holidays),0)</f>
        <v>0</v>
      </c>
      <c r="CS161" s="41" t="n">
        <f aca="false">IF(AND(Tasks[[#This Row],[_IsLeaf]]=1,Tasks[[#This Row],[_LeafWork]]&gt;0),MAX(Tasks[[#This Row],[_StartWorkday]],NETWORKDAYS.INTL(ProjectStart,Tasks[[#This Row],[_LeafFcstFinish]],WorkWeek,Holidays)),0)</f>
        <v>0</v>
      </c>
      <c r="CT161" s="41" t="n">
        <f aca="false">IF(AND(Tasks[[#This Row],[_IsLeaf]]=1,Tasks[[#This Row],[_LeafWork]]&gt;0),Tasks[[#This Row],[_LeafWork]]/(Tasks[[#This Row],[_FinishWorkday]]-Tasks[[#This Row],[_StartWorkday]]+1),0)</f>
        <v>0</v>
      </c>
      <c r="CU161" s="41" t="n">
        <f aca="false">Tasks[[#This Row],[_WorkPerWorkday]]*(Tasks[[#This Row],[_StartWorkday]]-1)</f>
        <v>-0</v>
      </c>
      <c r="CV161" s="41" t="n">
        <f aca="false">IF(Tasks[[#This Row],[_IsLeaf]]=1,MAX(N(Tasks[[#This Row],[Duration]]),0.1),0)</f>
        <v>0</v>
      </c>
      <c r="CW161" s="41" t="n">
        <f aca="false">Tasks[[#This Row],[_WeightDur]]*Tasks[[#This Row],[_LeafProgress]]</f>
        <v>0</v>
      </c>
      <c r="CX1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1" s="41" t="str">
        <f aca="false">IF(Tasks[[#This Row],[Task Name]]="","",Tasks[[#This Row],[_Pred1UIDText]]&amp;IF(AND(Tasks[[#This Row],[_Pred1UIDText]]&lt;&gt;"",Tasks[[#This Row],[_Pred2UIDText]]&lt;&gt;""),",","")&amp;Tasks[[#This Row],[_Pred2UIDText]])</f>
        <v/>
      </c>
      <c r="DC161" s="41" t="str">
        <f aca="false">IF(AND(Tasks[[#This Row],[_IsLeaf]]=1,N(Tasks[[#This Row],[Duration]])=0,Tasks[[#This Row],[_LeafProgress]]&lt;1),Tasks[[#This Row],[_LeafFcstFinish]]+Tasks[[#This Row],[_Row]]/100000,"")</f>
        <v/>
      </c>
      <c r="DD1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1" s="41" t="n">
        <f aca="false">IF(NOT(Tasks[[#This Row],[_IsLeaf]]=1),0,IF(Tasks[[#This Row],[Baseline Cost]]="",Tasks[[#This Row],[_LeafCost]],N(Tasks[[#This Row],[Baseline Cost]])))</f>
        <v>0</v>
      </c>
      <c r="DF161" s="41" t="n">
        <f aca="false">Tasks[[#This Row],[_LeafBudget]]*Tasks[[#This Row],[_PlannedPct]]</f>
        <v>0</v>
      </c>
      <c r="DG161" s="41" t="n">
        <f aca="false">Tasks[[#This Row],[_LeafBudget]]*Tasks[[#This Row],[_LeafProgress]]</f>
        <v>0</v>
      </c>
      <c r="DH161" s="41" t="n">
        <f aca="false">IF(NOT(Tasks[[#This Row],[_IsLeaf]]=1),0,IF(Tasks[[#This Row],[Actual Cost]]="",Tasks[[#This Row],[_LeafCost]]*Tasks[[#This Row],[_LeafProgress]],N(Tasks[[#This Row],[Actual Cost]])))</f>
        <v>0</v>
      </c>
      <c r="DI161" s="41" t="str">
        <f aca="false">IF(Tasks[[#This Row],[Task Name]]="","",LEFT(Tasks[[#This Row],[WBS]],FIND(".",Tasks[[#This Row],[WBS]]&amp;".")-1))</f>
        <v/>
      </c>
      <c r="DJ161" s="41" t="str">
        <f aca="false">IF(AND(Tasks[[#This Row],[Task Name]]&lt;&gt;"",Tasks[[#This Row],[_Level]]=1),Tasks[[#This Row],[_Row]],"")</f>
        <v/>
      </c>
      <c r="DK161" s="41" t="str">
        <f aca="false">IF(AND(Tasks[[#This Row],[_IsLeaf]]=1,N(Tasks[[#This Row],[Duration]])=0),Tasks[[#This Row],[Planned Finish]]+Tasks[[#This Row],[_Row]]/100000,"")</f>
        <v/>
      </c>
      <c r="DL161" s="41" t="str">
        <f aca="false">IF(AND(Tasks[[#This Row],[_IsLeaf]]=1,Tasks[[#This Row],[_LeafProgress]]&lt;1,OR(N(Tasks[[#This Row],[Finish Var]])&gt;0,Tasks[[#This Row],[Status]]="Late Start")),MAX(0,Tasks[[#This Row],[Finish Var]])+1-Tasks[[#This Row],[_Row]]/1000000,"")</f>
        <v/>
      </c>
      <c r="DM161" s="41" t="str">
        <f aca="false">IF(AND(Tasks[[#This Row],[_IsLeaf]]=1,N(Tasks[[#This Row],[Actual Start]])=0,Tasks[[#This Row],[_LeafFcstStart]]&gt;=StatusDate,Tasks[[#This Row],[_LeafFcstStart]]&lt;=LookaheadEnd),Tasks[[#This Row],[_LeafFcstStart]]+Tasks[[#This Row],[_Row]]/100000,"")</f>
        <v/>
      </c>
      <c r="DN161" s="41" t="str">
        <f aca="false">IF(AND(Tasks[[#This Row],[_IsLeaf]]=1,Tasks[[#This Row],[_LeafProgress]]&lt;1,Tasks[[#This Row],[_LeafFcstFinish]]&gt;=StatusDate,Tasks[[#This Row],[_LeafFcstFinish]]&lt;=LookaheadEnd),Tasks[[#This Row],[_LeafFcstFinish]]+Tasks[[#This Row],[_Row]]/100000,"")</f>
        <v/>
      </c>
      <c r="DO161" s="41" t="str">
        <f aca="false">IF(Tasks[[#This Row],[_LeafCritical]],Tasks[[#This Row],[_LeafFcstStart]]+Tasks[[#This Row],[_Row]]/100000,"")</f>
        <v/>
      </c>
      <c r="DP161" s="41" t="n">
        <f aca="false">Tasks[[#This Row],[_LeafWork]]*Tasks[[#This Row],[_LeafProgress]]</f>
        <v>0</v>
      </c>
      <c r="DQ161" s="103" t="str">
        <f aca="false">IF(AND(Tasks[[#This Row],[_IsLeaf]]=1,Tasks[[#This Row],[_LeafProgress]]&gt;=1),IF(N(Tasks[[#This Row],[Actual Finish]])&gt;0,Tasks[[#This Row],[Actual Finish]],Tasks[[#This Row],[_LeafFcstFinish]]),"")</f>
        <v/>
      </c>
      <c r="DR161" s="41" t="n">
        <f aca="false">IF(Tasks[[#This Row],[_IsLeaf]]=1,N(Tasks[[#This Row],[Story Points]]),0)</f>
        <v>0</v>
      </c>
      <c r="DS161" s="41" t="str">
        <f aca="false">IF(AND(Tasks[[#This Row],[_IsLeaf]]=1,CurrentSprint&lt;&gt;"",Tasks[[#This Row],[Sprint]]=CurrentSprint),Tasks[[#This Row],[_Row]],"")</f>
        <v/>
      </c>
    </row>
    <row r="162" customFormat="false" ht="15" hidden="false" customHeight="false" outlineLevel="0" collapsed="false">
      <c r="A162" s="28" t="str">
        <f aca="false">IF(Tasks[[#This Row],[Task Name]]="","",COUNTA(Tasks[[#Headers],[Task Name]]:Tasks[[#This Row],[Task Name]])-1)</f>
        <v/>
      </c>
      <c r="B162" s="29" t="n">
        <v>157</v>
      </c>
      <c r="C1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29"/>
      <c r="E162" s="30"/>
      <c r="F162" s="29"/>
      <c r="G162" s="29"/>
      <c r="H162" s="29"/>
      <c r="I162" s="29"/>
      <c r="J162" s="29"/>
      <c r="K162" s="29"/>
      <c r="L162" s="29"/>
      <c r="M162" s="29"/>
      <c r="N162" s="77"/>
      <c r="O162" s="77"/>
      <c r="P162" s="25" t="str">
        <f aca="false">IF(Tasks[[#This Row],[Task Name]]="","",IF(N(Tasks[[#This Row],[Baseline Start]])&gt;0,Tasks[[#This Row],[Baseline Start]],Tasks[[#This Row],[_CalcStart]]))</f>
        <v/>
      </c>
      <c r="Q162" s="25" t="str">
        <f aca="false">IF(Tasks[[#This Row],[Task Name]]="","",IF(N(Tasks[[#This Row],[Baseline Finish]])&gt;0,Tasks[[#This Row],[Baseline Finish]],Tasks[[#This Row],[_CalcFinish]]))</f>
        <v/>
      </c>
      <c r="R162" s="77"/>
      <c r="S162" s="77"/>
      <c r="T162" s="25" t="str">
        <f aca="false">IF(Tasks[[#This Row],[Task Name]]="","",IF(Tasks[[#This Row],[_IsSummary]],MIN(INDEX(Tasks[_LeafFcstStart],Tasks[[#This Row],[_Row]]+1):INDEX(Tasks[_LeafFcstStart],Tasks[[#This Row],[_Row]]+Tasks[[#This Row],[_Descendants]])),Tasks[[#This Row],[_LeafFcstStart]]))</f>
        <v/>
      </c>
      <c r="U162" s="25" t="str">
        <f aca="false">IF(Tasks[[#This Row],[Task Name]]="","",IF(Tasks[[#This Row],[_IsSummary]],MAX(INDEX(Tasks[_LeafFcstFinish],Tasks[[#This Row],[_Row]]+1):INDEX(Tasks[_LeafFcstFinish],Tasks[[#This Row],[_Row]]+Tasks[[#This Row],[_Descendants]])),Tasks[[#This Row],[_LeafFcstFinish]]))</f>
        <v/>
      </c>
      <c r="V16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2" s="25" t="str">
        <f aca="false">IF(Tasks[[#This Row],[Task Name]]="","",IF(Tasks[[#This Row],[_IsSummary]],MIN(INDEX(Tasks[_LeafLateStart],Tasks[[#This Row],[_Row]]+1):INDEX(Tasks[_LeafLateStart],Tasks[[#This Row],[_Row]]+Tasks[[#This Row],[_Descendants]])),Tasks[[#This Row],[_LeafLateStart]]))</f>
        <v/>
      </c>
      <c r="Y162" s="25" t="str">
        <f aca="false">IF(Tasks[[#This Row],[Task Name]]="","",IF(Tasks[[#This Row],[_IsSummary]],MAX(INDEX(Tasks[_LeafLateFinish],Tasks[[#This Row],[_Row]]+1):INDEX(Tasks[_LeafLateFinish],Tasks[[#This Row],[_Row]]+Tasks[[#This Row],[_Descendants]])),Tasks[[#This Row],[_LeafLateFinish]]))</f>
        <v/>
      </c>
      <c r="Z162" s="43" t="str">
        <f aca="false">IF(Tasks[[#This Row],[Task Name]]="","",IF(Tasks[[#This Row],[_IsSummary]],MIN(INDEX(Tasks[_LeafTotalSlack],Tasks[[#This Row],[_Row]]+1):INDEX(Tasks[_LeafTotalSlack],Tasks[[#This Row],[_Row]]+Tasks[[#This Row],[_Descendants]])),Tasks[[#This Row],[_LeafTotalSlack]]))</f>
        <v/>
      </c>
      <c r="AA1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2" s="28" t="str">
        <f aca="false">IF(Tasks[[#This Row],[Task Name]]="","",IF(IF(Tasks[[#This Row],[_IsSummary]],COUNTIF(INDEX(Tasks[_LeafCritical],Tasks[[#This Row],[_Row]]+1):INDEX(Tasks[_LeafCritical],Tasks[[#This Row],[_Row]]+Tasks[[#This Row],[_Descendants]]),TRUE())&gt;0,Tasks[[#This Row],[_LeafCritical]]),"Yes",""))</f>
        <v/>
      </c>
      <c r="AC1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2" s="24" t="str">
        <f aca="false">IF(Tasks[[#This Row],[Task Name]]="","",TRIM(IF(Tasks[[#This Row],[_Pred1Problem]]&lt;&gt;"","Pred 1: "&amp;Tasks[[#This Row],[_Pred1Problem]]&amp;". ","")&amp;IF(Tasks[[#This Row],[_Pred2Problem]]&lt;&gt;"","Pred 2: "&amp;Tasks[[#This Row],[_Pred2Problem]]&amp;".","")))</f>
        <v/>
      </c>
      <c r="AE162" s="91"/>
      <c r="AF16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2" s="28" t="str">
        <f aca="false">IF(Tasks[[#This Row],[Task Name]]="","",IF(Tasks[[#This Row],[Progress]]&gt;=1,"Complete",IF(OR(N(Tasks[[#This Row],[Actual Start]])&gt;0,Tasks[[#This Row],[Progress]]&gt;0),IF(Tasks[[#This Row],[Finish Var]]&gt;0,"Behind","In Progress"),IF(Tasks[[#This Row],[Planned Start]]&lt;StatusDate,"Late Start","Not Started"))))</f>
        <v/>
      </c>
      <c r="AH162" s="30"/>
      <c r="AI162" s="91"/>
      <c r="AJ16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2" s="98" t="str">
        <f aca="false">IF(Tasks[[#This Row],[Task Name]]="","",IF(Tasks[[#This Row],[_IsSummary]],SUM(INDEX(Tasks[_LeafWork],Tasks[[#This Row],[_Row]]+1):INDEX(Tasks[_LeafWork],Tasks[[#This Row],[_Row]]+Tasks[[#This Row],[_Descendants]])),Tasks[[#This Row],[_LeafWork]]))</f>
        <v/>
      </c>
      <c r="AL162" s="99" t="str">
        <f aca="false">IF(Tasks[[#This Row],[Task Name]]="","",IF(Tasks[[#This Row],[_IsSummary]],SUM(INDEX(Tasks[_LeafCost],Tasks[[#This Row],[_Row]]+1):INDEX(Tasks[_LeafCost],Tasks[[#This Row],[_Row]]+Tasks[[#This Row],[_Descendants]])),Tasks[[#This Row],[_LeafCost]]))</f>
        <v/>
      </c>
      <c r="AM162" s="100"/>
      <c r="AN162" s="29"/>
      <c r="AO1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2" s="85"/>
      <c r="AQ162" s="24" t="str">
        <f aca="false">IF(Tasks[[#This Row],[Task Name]]="","",Tasks[[#This Row],[_Pred1IDText]]&amp;IF(AND(Tasks[[#This Row],[_Pred1IDText]]&lt;&gt;"",Tasks[[#This Row],[_Pred2IDText]]&lt;&gt;""),",","")&amp;Tasks[[#This Row],[_Pred2IDText]])</f>
        <v/>
      </c>
      <c r="AR162" s="30"/>
      <c r="AS162" s="25" t="str">
        <f aca="false">IF(Tasks[[#This Row],[Task Name]]="","",Tasks[[#This Row],[Forecast Start]])</f>
        <v/>
      </c>
      <c r="AT162" s="25" t="str">
        <f aca="false">IF(Tasks[[#This Row],[Task Name]]="","",Tasks[[#This Row],[Forecast Finish]])</f>
        <v/>
      </c>
      <c r="AU162" s="28" t="str">
        <f aca="false">IF(Tasks[[#This Row],[Task Name]]="","",IF(Tasks[[#This Row],[_IsSummary]],NETWORKDAYS.INTL(Tasks[[#This Row],[Forecast Start]],Tasks[[#This Row],[Forecast Finish]],WorkWeek,Holidays),N(Tasks[[#This Row],[Duration]])))</f>
        <v/>
      </c>
      <c r="AV162" s="98" t="str">
        <f aca="false">IF(Tasks[[#This Row],[Task Name]]="","",Tasks[[#This Row],[Work]])</f>
        <v/>
      </c>
      <c r="AW162" s="99" t="str">
        <f aca="false">IF(Tasks[[#This Row],[Task Name]]="","",Tasks[[#This Row],[Cost]])</f>
        <v/>
      </c>
      <c r="AX162" s="77"/>
      <c r="AY162" s="77"/>
      <c r="AZ162" s="29"/>
      <c r="BA162" s="101"/>
      <c r="BB162" s="100"/>
      <c r="BC162" s="28" t="str">
        <f aca="false">IF(OR(Tasks[[#This Row],[Task Name]]="",Tasks[[#This Row],[Baseline Duration]]=""),"",Tasks[[#This Row],[BL Source Duration]]-N(Tasks[[#This Row],[Baseline Duration]]))</f>
        <v/>
      </c>
      <c r="BD162" s="98" t="str">
        <f aca="false">IF(OR(Tasks[[#This Row],[Task Name]]="",Tasks[[#This Row],[Baseline Work]]=""),"",Tasks[[#This Row],[Work]]-N(Tasks[[#This Row],[Baseline Work]]))</f>
        <v/>
      </c>
      <c r="BE162" s="99" t="str">
        <f aca="false">IF(OR(Tasks[[#This Row],[Task Name]]="",Tasks[[#This Row],[Baseline Cost]]=""),"",Tasks[[#This Row],[Cost]]-N(Tasks[[#This Row],[Baseline Cost]]))</f>
        <v/>
      </c>
      <c r="BF162" s="99" t="str">
        <f aca="false">IF(Tasks[[#This Row],[Task Name]]="","",IF(Tasks[[#This Row],[_IsSummary]],SUM(INDEX(Tasks[_LeafBudget],Tasks[[#This Row],[_Row]]+1):INDEX(Tasks[_LeafBudget],Tasks[[#This Row],[_Row]]+Tasks[[#This Row],[_Descendants]])),Tasks[[#This Row],[_LeafBudget]]))</f>
        <v/>
      </c>
      <c r="BG162" s="99" t="str">
        <f aca="false">IF(Tasks[[#This Row],[Task Name]]="","",IF(Tasks[[#This Row],[_IsSummary]],SUM(INDEX(Tasks[_LeafPV],Tasks[[#This Row],[_Row]]+1):INDEX(Tasks[_LeafPV],Tasks[[#This Row],[_Row]]+Tasks[[#This Row],[_Descendants]])),Tasks[[#This Row],[_LeafPV]]))</f>
        <v/>
      </c>
      <c r="BH162" s="99" t="str">
        <f aca="false">IF(Tasks[[#This Row],[Task Name]]="","",IF(Tasks[[#This Row],[_IsSummary]],SUM(INDEX(Tasks[_LeafEV],Tasks[[#This Row],[_Row]]+1):INDEX(Tasks[_LeafEV],Tasks[[#This Row],[_Row]]+Tasks[[#This Row],[_Descendants]])),Tasks[[#This Row],[_LeafEV]]))</f>
        <v/>
      </c>
      <c r="BI162" s="99" t="str">
        <f aca="false">IF(Tasks[[#This Row],[Task Name]]="","",IF(Tasks[[#This Row],[_IsSummary]],SUM(INDEX(Tasks[_LeafAC],Tasks[[#This Row],[_Row]]+1):INDEX(Tasks[_LeafAC],Tasks[[#This Row],[_Row]]+Tasks[[#This Row],[_Descendants]])),Tasks[[#This Row],[_LeafAC]]))</f>
        <v/>
      </c>
      <c r="BJ162" s="41" t="str">
        <f aca="false">IF(Tasks[[#This Row],[Task Name]]="","",MAX(1,N(Tasks[[#This Row],[Level]])))</f>
        <v/>
      </c>
      <c r="BK162" s="41" t="n">
        <f aca="false">ROW()-ROW(Tasks[[#Headers],[ID]])</f>
        <v>157</v>
      </c>
      <c r="BL162" s="41" t="n">
        <f aca="false">IF(OR(Tasks[[#This Row],[Task Name]]="",Tasks[[#This Row],[_Level]]&lt;=1),0,IFERROR(LOOKUP(2,1/(Tasks[[#Headers],[_Level]]:Tasks[[#This Row],[_Level]]=Tasks[[#This Row],[_Level]]-1),ROW(Tasks[[#Headers],[_Level]]:Tasks[[#This Row],[_Level]])),0))</f>
        <v>0</v>
      </c>
      <c r="BM162" s="41" t="n">
        <f aca="false">IFERROR(N(INDEX(Tasks[_Level],Tasks[[#This Row],[_Row]]+1)),0)</f>
        <v>0</v>
      </c>
      <c r="BN162" s="102" t="b">
        <f aca="false">AND(Tasks[[#This Row],[Task Name]]&lt;&gt;"",Tasks[[#This Row],[_NextLevel]]&gt;Tasks[[#This Row],[_Level]])</f>
        <v>0</v>
      </c>
      <c r="BO162" s="41" t="n">
        <f aca="false">IF(Tasks[[#This Row],[_IsSummary]],COUNTIF(Tasks[WBS],Tasks[[#This Row],[WBS]]&amp;".*"),0)</f>
        <v>0</v>
      </c>
      <c r="BP162" s="41" t="n">
        <f aca="false">IF(AND(Tasks[[#This Row],[Task Name]]&lt;&gt;"",NOT(Tasks[[#This Row],[_IsSummary]])),1,0)</f>
        <v>0</v>
      </c>
      <c r="BQ162" s="41" t="n">
        <f aca="false">IF(N(Tasks[[#This Row],[Pred1 UID]])=0,0,IFERROR(MATCH(Tasks[[#This Row],[Pred1 UID]],Tasks[UID],0),-1))</f>
        <v>0</v>
      </c>
      <c r="BR162" s="41" t="n">
        <f aca="false">IF(N(Tasks[[#This Row],[Pred2 UID]])=0,0,IFERROR(MATCH(Tasks[[#This Row],[Pred2 UID]],Tasks[UID],0),-1))</f>
        <v>0</v>
      </c>
      <c r="BS16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2" s="103" t="str">
        <f aca="false">IF(NOT(Tasks[[#This Row],[_IsLeaf]]=1),"",IF(N(Tasks[[#This Row],[Duration]])&lt;=0,Tasks[[#This Row],[_LeafCalcStart]],WORKDAY.INTL(Tasks[[#This Row],[_LeafCalcStart]],Tasks[[#This Row],[Duration]]-1,WorkWeek,Holidays)))</f>
        <v/>
      </c>
      <c r="BU16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2" s="41" t="n">
        <f aca="false">IF(NOT(Tasks[[#This Row],[_IsLeaf]]=1),0,IF(N(Tasks[[#This Row],[Actual Finish]])&gt;0,1,MIN(1,N(Tasks[[#This Row],[% Complete]]))))</f>
        <v>0</v>
      </c>
      <c r="BX162" s="41" t="n">
        <f aca="false">IF(OR(NOT(Tasks[[#This Row],[_IsLeaf]]=1),Tasks[[#This Row],[Resource]]=""),0,N(Tasks[[#This Row],[Duration]])*HoursPerDay*IF(Tasks[[#This Row],[Units]]="",DefaultUnits,Tasks[[#This Row],[Units]]))</f>
        <v>0</v>
      </c>
      <c r="BY162" s="41" t="n">
        <f aca="false">IF(Tasks[[#This Row],[_LeafWork]]=0,0,Tasks[[#This Row],[_LeafWork]]*IFERROR(INDEX(res_Rate,MATCH(Tasks[[#This Row],[Resource]],res_Name,0)),0))</f>
        <v>0</v>
      </c>
      <c r="BZ1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2" s="41" t="n">
        <f aca="false">IF(NOT(Tasks[[#This Row],[_IsLeaf]]=1),0,MAX(_xlfn.MAXIFS(Tasks[_Row],Tasks[Pred1 UID],Tasks[[#This Row],[UID]]),_xlfn.MAXIFS(Tasks[_Row],Tasks[Pred2 UID],Tasks[[#This Row],[UID]])))</f>
        <v>0</v>
      </c>
      <c r="CE16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2" s="103" t="str">
        <f aca="false">IF(NOT(Tasks[[#This Row],[_IsLeaf]]=1),"",MIN(ProjectFinish,IF(N(Tasks[[#This Row],[Deadline]])&gt;0,Tasks[[#This Row],[Deadline]],2958465),Tasks[[#This Row],[_SuccessorFinishLimit]]))</f>
        <v/>
      </c>
      <c r="CG162" s="103" t="str">
        <f aca="false">IF(NOT(Tasks[[#This Row],[_IsLeaf]]=1),"",IF(N(Tasks[[#This Row],[Duration]])&lt;=0,Tasks[[#This Row],[_LeafLateFinish]],WORKDAY.INTL(Tasks[[#This Row],[_LeafLateFinish]],-(Tasks[[#This Row],[Duration]]-1),WorkWeek,Holidays)))</f>
        <v/>
      </c>
      <c r="CH1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2" s="102" t="b">
        <f aca="false">AND(Tasks[[#This Row],[_IsLeaf]]=1,Tasks[[#This Row],[_LeafProgress]]&lt;1,N(Tasks[[#This Row],[_LeafTotalSlack]])&lt;=CriticalSlackDays)</f>
        <v>0</v>
      </c>
      <c r="CJ162" s="103" t="str">
        <f aca="false">IF(Tasks[[#This Row],[Task Name]]="","",IF(Tasks[[#This Row],[_IsSummary]],MIN(INDEX(Tasks[_LeafCalcStart],Tasks[[#This Row],[_Row]]+1):INDEX(Tasks[_LeafCalcStart],Tasks[[#This Row],[_Row]]+Tasks[[#This Row],[_Descendants]])),Tasks[[#This Row],[_LeafCalcStart]]))</f>
        <v/>
      </c>
      <c r="CK162" s="103" t="str">
        <f aca="false">IF(Tasks[[#This Row],[Task Name]]="","",IF(Tasks[[#This Row],[_IsSummary]],MAX(INDEX(Tasks[_LeafCalcFinish],Tasks[[#This Row],[_Row]]+1):INDEX(Tasks[_LeafCalcFinish],Tasks[[#This Row],[_Row]]+Tasks[[#This Row],[_Descendants]])),Tasks[[#This Row],[_LeafCalcFinish]]))</f>
        <v/>
      </c>
      <c r="CL1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2" s="41" t="n">
        <f aca="false">IF(AND(Tasks[[#This Row],[_IsLeaf]]=1,Tasks[[#This Row],[_LeafWork]]&gt;0),NETWORKDAYS.INTL(ProjectStart,Tasks[[#This Row],[_LeafFcstStart]],WorkWeek,Holidays),0)</f>
        <v>0</v>
      </c>
      <c r="CS162" s="41" t="n">
        <f aca="false">IF(AND(Tasks[[#This Row],[_IsLeaf]]=1,Tasks[[#This Row],[_LeafWork]]&gt;0),MAX(Tasks[[#This Row],[_StartWorkday]],NETWORKDAYS.INTL(ProjectStart,Tasks[[#This Row],[_LeafFcstFinish]],WorkWeek,Holidays)),0)</f>
        <v>0</v>
      </c>
      <c r="CT162" s="41" t="n">
        <f aca="false">IF(AND(Tasks[[#This Row],[_IsLeaf]]=1,Tasks[[#This Row],[_LeafWork]]&gt;0),Tasks[[#This Row],[_LeafWork]]/(Tasks[[#This Row],[_FinishWorkday]]-Tasks[[#This Row],[_StartWorkday]]+1),0)</f>
        <v>0</v>
      </c>
      <c r="CU162" s="41" t="n">
        <f aca="false">Tasks[[#This Row],[_WorkPerWorkday]]*(Tasks[[#This Row],[_StartWorkday]]-1)</f>
        <v>-0</v>
      </c>
      <c r="CV162" s="41" t="n">
        <f aca="false">IF(Tasks[[#This Row],[_IsLeaf]]=1,MAX(N(Tasks[[#This Row],[Duration]]),0.1),0)</f>
        <v>0</v>
      </c>
      <c r="CW162" s="41" t="n">
        <f aca="false">Tasks[[#This Row],[_WeightDur]]*Tasks[[#This Row],[_LeafProgress]]</f>
        <v>0</v>
      </c>
      <c r="CX1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2" s="41" t="str">
        <f aca="false">IF(Tasks[[#This Row],[Task Name]]="","",Tasks[[#This Row],[_Pred1UIDText]]&amp;IF(AND(Tasks[[#This Row],[_Pred1UIDText]]&lt;&gt;"",Tasks[[#This Row],[_Pred2UIDText]]&lt;&gt;""),",","")&amp;Tasks[[#This Row],[_Pred2UIDText]])</f>
        <v/>
      </c>
      <c r="DC162" s="41" t="str">
        <f aca="false">IF(AND(Tasks[[#This Row],[_IsLeaf]]=1,N(Tasks[[#This Row],[Duration]])=0,Tasks[[#This Row],[_LeafProgress]]&lt;1),Tasks[[#This Row],[_LeafFcstFinish]]+Tasks[[#This Row],[_Row]]/100000,"")</f>
        <v/>
      </c>
      <c r="DD1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2" s="41" t="n">
        <f aca="false">IF(NOT(Tasks[[#This Row],[_IsLeaf]]=1),0,IF(Tasks[[#This Row],[Baseline Cost]]="",Tasks[[#This Row],[_LeafCost]],N(Tasks[[#This Row],[Baseline Cost]])))</f>
        <v>0</v>
      </c>
      <c r="DF162" s="41" t="n">
        <f aca="false">Tasks[[#This Row],[_LeafBudget]]*Tasks[[#This Row],[_PlannedPct]]</f>
        <v>0</v>
      </c>
      <c r="DG162" s="41" t="n">
        <f aca="false">Tasks[[#This Row],[_LeafBudget]]*Tasks[[#This Row],[_LeafProgress]]</f>
        <v>0</v>
      </c>
      <c r="DH162" s="41" t="n">
        <f aca="false">IF(NOT(Tasks[[#This Row],[_IsLeaf]]=1),0,IF(Tasks[[#This Row],[Actual Cost]]="",Tasks[[#This Row],[_LeafCost]]*Tasks[[#This Row],[_LeafProgress]],N(Tasks[[#This Row],[Actual Cost]])))</f>
        <v>0</v>
      </c>
      <c r="DI162" s="41" t="str">
        <f aca="false">IF(Tasks[[#This Row],[Task Name]]="","",LEFT(Tasks[[#This Row],[WBS]],FIND(".",Tasks[[#This Row],[WBS]]&amp;".")-1))</f>
        <v/>
      </c>
      <c r="DJ162" s="41" t="str">
        <f aca="false">IF(AND(Tasks[[#This Row],[Task Name]]&lt;&gt;"",Tasks[[#This Row],[_Level]]=1),Tasks[[#This Row],[_Row]],"")</f>
        <v/>
      </c>
      <c r="DK162" s="41" t="str">
        <f aca="false">IF(AND(Tasks[[#This Row],[_IsLeaf]]=1,N(Tasks[[#This Row],[Duration]])=0),Tasks[[#This Row],[Planned Finish]]+Tasks[[#This Row],[_Row]]/100000,"")</f>
        <v/>
      </c>
      <c r="DL162" s="41" t="str">
        <f aca="false">IF(AND(Tasks[[#This Row],[_IsLeaf]]=1,Tasks[[#This Row],[_LeafProgress]]&lt;1,OR(N(Tasks[[#This Row],[Finish Var]])&gt;0,Tasks[[#This Row],[Status]]="Late Start")),MAX(0,Tasks[[#This Row],[Finish Var]])+1-Tasks[[#This Row],[_Row]]/1000000,"")</f>
        <v/>
      </c>
      <c r="DM162" s="41" t="str">
        <f aca="false">IF(AND(Tasks[[#This Row],[_IsLeaf]]=1,N(Tasks[[#This Row],[Actual Start]])=0,Tasks[[#This Row],[_LeafFcstStart]]&gt;=StatusDate,Tasks[[#This Row],[_LeafFcstStart]]&lt;=LookaheadEnd),Tasks[[#This Row],[_LeafFcstStart]]+Tasks[[#This Row],[_Row]]/100000,"")</f>
        <v/>
      </c>
      <c r="DN162" s="41" t="str">
        <f aca="false">IF(AND(Tasks[[#This Row],[_IsLeaf]]=1,Tasks[[#This Row],[_LeafProgress]]&lt;1,Tasks[[#This Row],[_LeafFcstFinish]]&gt;=StatusDate,Tasks[[#This Row],[_LeafFcstFinish]]&lt;=LookaheadEnd),Tasks[[#This Row],[_LeafFcstFinish]]+Tasks[[#This Row],[_Row]]/100000,"")</f>
        <v/>
      </c>
      <c r="DO162" s="41" t="str">
        <f aca="false">IF(Tasks[[#This Row],[_LeafCritical]],Tasks[[#This Row],[_LeafFcstStart]]+Tasks[[#This Row],[_Row]]/100000,"")</f>
        <v/>
      </c>
      <c r="DP162" s="41" t="n">
        <f aca="false">Tasks[[#This Row],[_LeafWork]]*Tasks[[#This Row],[_LeafProgress]]</f>
        <v>0</v>
      </c>
      <c r="DQ162" s="103" t="str">
        <f aca="false">IF(AND(Tasks[[#This Row],[_IsLeaf]]=1,Tasks[[#This Row],[_LeafProgress]]&gt;=1),IF(N(Tasks[[#This Row],[Actual Finish]])&gt;0,Tasks[[#This Row],[Actual Finish]],Tasks[[#This Row],[_LeafFcstFinish]]),"")</f>
        <v/>
      </c>
      <c r="DR162" s="41" t="n">
        <f aca="false">IF(Tasks[[#This Row],[_IsLeaf]]=1,N(Tasks[[#This Row],[Story Points]]),0)</f>
        <v>0</v>
      </c>
      <c r="DS162" s="41" t="str">
        <f aca="false">IF(AND(Tasks[[#This Row],[_IsLeaf]]=1,CurrentSprint&lt;&gt;"",Tasks[[#This Row],[Sprint]]=CurrentSprint),Tasks[[#This Row],[_Row]],"")</f>
        <v/>
      </c>
    </row>
    <row r="163" customFormat="false" ht="15" hidden="false" customHeight="false" outlineLevel="0" collapsed="false">
      <c r="A163" s="28" t="str">
        <f aca="false">IF(Tasks[[#This Row],[Task Name]]="","",COUNTA(Tasks[[#Headers],[Task Name]]:Tasks[[#This Row],[Task Name]])-1)</f>
        <v/>
      </c>
      <c r="B163" s="29" t="n">
        <v>158</v>
      </c>
      <c r="C1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29"/>
      <c r="E163" s="30"/>
      <c r="F163" s="29"/>
      <c r="G163" s="29"/>
      <c r="H163" s="29"/>
      <c r="I163" s="29"/>
      <c r="J163" s="29"/>
      <c r="K163" s="29"/>
      <c r="L163" s="29"/>
      <c r="M163" s="29"/>
      <c r="N163" s="77"/>
      <c r="O163" s="77"/>
      <c r="P163" s="25" t="str">
        <f aca="false">IF(Tasks[[#This Row],[Task Name]]="","",IF(N(Tasks[[#This Row],[Baseline Start]])&gt;0,Tasks[[#This Row],[Baseline Start]],Tasks[[#This Row],[_CalcStart]]))</f>
        <v/>
      </c>
      <c r="Q163" s="25" t="str">
        <f aca="false">IF(Tasks[[#This Row],[Task Name]]="","",IF(N(Tasks[[#This Row],[Baseline Finish]])&gt;0,Tasks[[#This Row],[Baseline Finish]],Tasks[[#This Row],[_CalcFinish]]))</f>
        <v/>
      </c>
      <c r="R163" s="77"/>
      <c r="S163" s="77"/>
      <c r="T163" s="25" t="str">
        <f aca="false">IF(Tasks[[#This Row],[Task Name]]="","",IF(Tasks[[#This Row],[_IsSummary]],MIN(INDEX(Tasks[_LeafFcstStart],Tasks[[#This Row],[_Row]]+1):INDEX(Tasks[_LeafFcstStart],Tasks[[#This Row],[_Row]]+Tasks[[#This Row],[_Descendants]])),Tasks[[#This Row],[_LeafFcstStart]]))</f>
        <v/>
      </c>
      <c r="U163" s="25" t="str">
        <f aca="false">IF(Tasks[[#This Row],[Task Name]]="","",IF(Tasks[[#This Row],[_IsSummary]],MAX(INDEX(Tasks[_LeafFcstFinish],Tasks[[#This Row],[_Row]]+1):INDEX(Tasks[_LeafFcstFinish],Tasks[[#This Row],[_Row]]+Tasks[[#This Row],[_Descendants]])),Tasks[[#This Row],[_LeafFcstFinish]]))</f>
        <v/>
      </c>
      <c r="V16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3" s="25" t="str">
        <f aca="false">IF(Tasks[[#This Row],[Task Name]]="","",IF(Tasks[[#This Row],[_IsSummary]],MIN(INDEX(Tasks[_LeafLateStart],Tasks[[#This Row],[_Row]]+1):INDEX(Tasks[_LeafLateStart],Tasks[[#This Row],[_Row]]+Tasks[[#This Row],[_Descendants]])),Tasks[[#This Row],[_LeafLateStart]]))</f>
        <v/>
      </c>
      <c r="Y163" s="25" t="str">
        <f aca="false">IF(Tasks[[#This Row],[Task Name]]="","",IF(Tasks[[#This Row],[_IsSummary]],MAX(INDEX(Tasks[_LeafLateFinish],Tasks[[#This Row],[_Row]]+1):INDEX(Tasks[_LeafLateFinish],Tasks[[#This Row],[_Row]]+Tasks[[#This Row],[_Descendants]])),Tasks[[#This Row],[_LeafLateFinish]]))</f>
        <v/>
      </c>
      <c r="Z163" s="43" t="str">
        <f aca="false">IF(Tasks[[#This Row],[Task Name]]="","",IF(Tasks[[#This Row],[_IsSummary]],MIN(INDEX(Tasks[_LeafTotalSlack],Tasks[[#This Row],[_Row]]+1):INDEX(Tasks[_LeafTotalSlack],Tasks[[#This Row],[_Row]]+Tasks[[#This Row],[_Descendants]])),Tasks[[#This Row],[_LeafTotalSlack]]))</f>
        <v/>
      </c>
      <c r="AA1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3" s="28" t="str">
        <f aca="false">IF(Tasks[[#This Row],[Task Name]]="","",IF(IF(Tasks[[#This Row],[_IsSummary]],COUNTIF(INDEX(Tasks[_LeafCritical],Tasks[[#This Row],[_Row]]+1):INDEX(Tasks[_LeafCritical],Tasks[[#This Row],[_Row]]+Tasks[[#This Row],[_Descendants]]),TRUE())&gt;0,Tasks[[#This Row],[_LeafCritical]]),"Yes",""))</f>
        <v/>
      </c>
      <c r="AC1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3" s="24" t="str">
        <f aca="false">IF(Tasks[[#This Row],[Task Name]]="","",TRIM(IF(Tasks[[#This Row],[_Pred1Problem]]&lt;&gt;"","Pred 1: "&amp;Tasks[[#This Row],[_Pred1Problem]]&amp;". ","")&amp;IF(Tasks[[#This Row],[_Pred2Problem]]&lt;&gt;"","Pred 2: "&amp;Tasks[[#This Row],[_Pred2Problem]]&amp;".","")))</f>
        <v/>
      </c>
      <c r="AE163" s="91"/>
      <c r="AF16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3" s="28" t="str">
        <f aca="false">IF(Tasks[[#This Row],[Task Name]]="","",IF(Tasks[[#This Row],[Progress]]&gt;=1,"Complete",IF(OR(N(Tasks[[#This Row],[Actual Start]])&gt;0,Tasks[[#This Row],[Progress]]&gt;0),IF(Tasks[[#This Row],[Finish Var]]&gt;0,"Behind","In Progress"),IF(Tasks[[#This Row],[Planned Start]]&lt;StatusDate,"Late Start","Not Started"))))</f>
        <v/>
      </c>
      <c r="AH163" s="30"/>
      <c r="AI163" s="91"/>
      <c r="AJ16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3" s="98" t="str">
        <f aca="false">IF(Tasks[[#This Row],[Task Name]]="","",IF(Tasks[[#This Row],[_IsSummary]],SUM(INDEX(Tasks[_LeafWork],Tasks[[#This Row],[_Row]]+1):INDEX(Tasks[_LeafWork],Tasks[[#This Row],[_Row]]+Tasks[[#This Row],[_Descendants]])),Tasks[[#This Row],[_LeafWork]]))</f>
        <v/>
      </c>
      <c r="AL163" s="99" t="str">
        <f aca="false">IF(Tasks[[#This Row],[Task Name]]="","",IF(Tasks[[#This Row],[_IsSummary]],SUM(INDEX(Tasks[_LeafCost],Tasks[[#This Row],[_Row]]+1):INDEX(Tasks[_LeafCost],Tasks[[#This Row],[_Row]]+Tasks[[#This Row],[_Descendants]])),Tasks[[#This Row],[_LeafCost]]))</f>
        <v/>
      </c>
      <c r="AM163" s="100"/>
      <c r="AN163" s="29"/>
      <c r="AO1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3" s="85"/>
      <c r="AQ163" s="24" t="str">
        <f aca="false">IF(Tasks[[#This Row],[Task Name]]="","",Tasks[[#This Row],[_Pred1IDText]]&amp;IF(AND(Tasks[[#This Row],[_Pred1IDText]]&lt;&gt;"",Tasks[[#This Row],[_Pred2IDText]]&lt;&gt;""),",","")&amp;Tasks[[#This Row],[_Pred2IDText]])</f>
        <v/>
      </c>
      <c r="AR163" s="30"/>
      <c r="AS163" s="25" t="str">
        <f aca="false">IF(Tasks[[#This Row],[Task Name]]="","",Tasks[[#This Row],[Forecast Start]])</f>
        <v/>
      </c>
      <c r="AT163" s="25" t="str">
        <f aca="false">IF(Tasks[[#This Row],[Task Name]]="","",Tasks[[#This Row],[Forecast Finish]])</f>
        <v/>
      </c>
      <c r="AU163" s="28" t="str">
        <f aca="false">IF(Tasks[[#This Row],[Task Name]]="","",IF(Tasks[[#This Row],[_IsSummary]],NETWORKDAYS.INTL(Tasks[[#This Row],[Forecast Start]],Tasks[[#This Row],[Forecast Finish]],WorkWeek,Holidays),N(Tasks[[#This Row],[Duration]])))</f>
        <v/>
      </c>
      <c r="AV163" s="98" t="str">
        <f aca="false">IF(Tasks[[#This Row],[Task Name]]="","",Tasks[[#This Row],[Work]])</f>
        <v/>
      </c>
      <c r="AW163" s="99" t="str">
        <f aca="false">IF(Tasks[[#This Row],[Task Name]]="","",Tasks[[#This Row],[Cost]])</f>
        <v/>
      </c>
      <c r="AX163" s="77"/>
      <c r="AY163" s="77"/>
      <c r="AZ163" s="29"/>
      <c r="BA163" s="101"/>
      <c r="BB163" s="100"/>
      <c r="BC163" s="28" t="str">
        <f aca="false">IF(OR(Tasks[[#This Row],[Task Name]]="",Tasks[[#This Row],[Baseline Duration]]=""),"",Tasks[[#This Row],[BL Source Duration]]-N(Tasks[[#This Row],[Baseline Duration]]))</f>
        <v/>
      </c>
      <c r="BD163" s="98" t="str">
        <f aca="false">IF(OR(Tasks[[#This Row],[Task Name]]="",Tasks[[#This Row],[Baseline Work]]=""),"",Tasks[[#This Row],[Work]]-N(Tasks[[#This Row],[Baseline Work]]))</f>
        <v/>
      </c>
      <c r="BE163" s="99" t="str">
        <f aca="false">IF(OR(Tasks[[#This Row],[Task Name]]="",Tasks[[#This Row],[Baseline Cost]]=""),"",Tasks[[#This Row],[Cost]]-N(Tasks[[#This Row],[Baseline Cost]]))</f>
        <v/>
      </c>
      <c r="BF163" s="99" t="str">
        <f aca="false">IF(Tasks[[#This Row],[Task Name]]="","",IF(Tasks[[#This Row],[_IsSummary]],SUM(INDEX(Tasks[_LeafBudget],Tasks[[#This Row],[_Row]]+1):INDEX(Tasks[_LeafBudget],Tasks[[#This Row],[_Row]]+Tasks[[#This Row],[_Descendants]])),Tasks[[#This Row],[_LeafBudget]]))</f>
        <v/>
      </c>
      <c r="BG163" s="99" t="str">
        <f aca="false">IF(Tasks[[#This Row],[Task Name]]="","",IF(Tasks[[#This Row],[_IsSummary]],SUM(INDEX(Tasks[_LeafPV],Tasks[[#This Row],[_Row]]+1):INDEX(Tasks[_LeafPV],Tasks[[#This Row],[_Row]]+Tasks[[#This Row],[_Descendants]])),Tasks[[#This Row],[_LeafPV]]))</f>
        <v/>
      </c>
      <c r="BH163" s="99" t="str">
        <f aca="false">IF(Tasks[[#This Row],[Task Name]]="","",IF(Tasks[[#This Row],[_IsSummary]],SUM(INDEX(Tasks[_LeafEV],Tasks[[#This Row],[_Row]]+1):INDEX(Tasks[_LeafEV],Tasks[[#This Row],[_Row]]+Tasks[[#This Row],[_Descendants]])),Tasks[[#This Row],[_LeafEV]]))</f>
        <v/>
      </c>
      <c r="BI163" s="99" t="str">
        <f aca="false">IF(Tasks[[#This Row],[Task Name]]="","",IF(Tasks[[#This Row],[_IsSummary]],SUM(INDEX(Tasks[_LeafAC],Tasks[[#This Row],[_Row]]+1):INDEX(Tasks[_LeafAC],Tasks[[#This Row],[_Row]]+Tasks[[#This Row],[_Descendants]])),Tasks[[#This Row],[_LeafAC]]))</f>
        <v/>
      </c>
      <c r="BJ163" s="41" t="str">
        <f aca="false">IF(Tasks[[#This Row],[Task Name]]="","",MAX(1,N(Tasks[[#This Row],[Level]])))</f>
        <v/>
      </c>
      <c r="BK163" s="41" t="n">
        <f aca="false">ROW()-ROW(Tasks[[#Headers],[ID]])</f>
        <v>158</v>
      </c>
      <c r="BL163" s="41" t="n">
        <f aca="false">IF(OR(Tasks[[#This Row],[Task Name]]="",Tasks[[#This Row],[_Level]]&lt;=1),0,IFERROR(LOOKUP(2,1/(Tasks[[#Headers],[_Level]]:Tasks[[#This Row],[_Level]]=Tasks[[#This Row],[_Level]]-1),ROW(Tasks[[#Headers],[_Level]]:Tasks[[#This Row],[_Level]])),0))</f>
        <v>0</v>
      </c>
      <c r="BM163" s="41" t="n">
        <f aca="false">IFERROR(N(INDEX(Tasks[_Level],Tasks[[#This Row],[_Row]]+1)),0)</f>
        <v>0</v>
      </c>
      <c r="BN163" s="102" t="b">
        <f aca="false">AND(Tasks[[#This Row],[Task Name]]&lt;&gt;"",Tasks[[#This Row],[_NextLevel]]&gt;Tasks[[#This Row],[_Level]])</f>
        <v>0</v>
      </c>
      <c r="BO163" s="41" t="n">
        <f aca="false">IF(Tasks[[#This Row],[_IsSummary]],COUNTIF(Tasks[WBS],Tasks[[#This Row],[WBS]]&amp;".*"),0)</f>
        <v>0</v>
      </c>
      <c r="BP163" s="41" t="n">
        <f aca="false">IF(AND(Tasks[[#This Row],[Task Name]]&lt;&gt;"",NOT(Tasks[[#This Row],[_IsSummary]])),1,0)</f>
        <v>0</v>
      </c>
      <c r="BQ163" s="41" t="n">
        <f aca="false">IF(N(Tasks[[#This Row],[Pred1 UID]])=0,0,IFERROR(MATCH(Tasks[[#This Row],[Pred1 UID]],Tasks[UID],0),-1))</f>
        <v>0</v>
      </c>
      <c r="BR163" s="41" t="n">
        <f aca="false">IF(N(Tasks[[#This Row],[Pred2 UID]])=0,0,IFERROR(MATCH(Tasks[[#This Row],[Pred2 UID]],Tasks[UID],0),-1))</f>
        <v>0</v>
      </c>
      <c r="BS16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3" s="103" t="str">
        <f aca="false">IF(NOT(Tasks[[#This Row],[_IsLeaf]]=1),"",IF(N(Tasks[[#This Row],[Duration]])&lt;=0,Tasks[[#This Row],[_LeafCalcStart]],WORKDAY.INTL(Tasks[[#This Row],[_LeafCalcStart]],Tasks[[#This Row],[Duration]]-1,WorkWeek,Holidays)))</f>
        <v/>
      </c>
      <c r="BU16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3" s="41" t="n">
        <f aca="false">IF(NOT(Tasks[[#This Row],[_IsLeaf]]=1),0,IF(N(Tasks[[#This Row],[Actual Finish]])&gt;0,1,MIN(1,N(Tasks[[#This Row],[% Complete]]))))</f>
        <v>0</v>
      </c>
      <c r="BX163" s="41" t="n">
        <f aca="false">IF(OR(NOT(Tasks[[#This Row],[_IsLeaf]]=1),Tasks[[#This Row],[Resource]]=""),0,N(Tasks[[#This Row],[Duration]])*HoursPerDay*IF(Tasks[[#This Row],[Units]]="",DefaultUnits,Tasks[[#This Row],[Units]]))</f>
        <v>0</v>
      </c>
      <c r="BY163" s="41" t="n">
        <f aca="false">IF(Tasks[[#This Row],[_LeafWork]]=0,0,Tasks[[#This Row],[_LeafWork]]*IFERROR(INDEX(res_Rate,MATCH(Tasks[[#This Row],[Resource]],res_Name,0)),0))</f>
        <v>0</v>
      </c>
      <c r="BZ1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3" s="41" t="n">
        <f aca="false">IF(NOT(Tasks[[#This Row],[_IsLeaf]]=1),0,MAX(_xlfn.MAXIFS(Tasks[_Row],Tasks[Pred1 UID],Tasks[[#This Row],[UID]]),_xlfn.MAXIFS(Tasks[_Row],Tasks[Pred2 UID],Tasks[[#This Row],[UID]])))</f>
        <v>0</v>
      </c>
      <c r="CE16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3" s="103" t="str">
        <f aca="false">IF(NOT(Tasks[[#This Row],[_IsLeaf]]=1),"",MIN(ProjectFinish,IF(N(Tasks[[#This Row],[Deadline]])&gt;0,Tasks[[#This Row],[Deadline]],2958465),Tasks[[#This Row],[_SuccessorFinishLimit]]))</f>
        <v/>
      </c>
      <c r="CG163" s="103" t="str">
        <f aca="false">IF(NOT(Tasks[[#This Row],[_IsLeaf]]=1),"",IF(N(Tasks[[#This Row],[Duration]])&lt;=0,Tasks[[#This Row],[_LeafLateFinish]],WORKDAY.INTL(Tasks[[#This Row],[_LeafLateFinish]],-(Tasks[[#This Row],[Duration]]-1),WorkWeek,Holidays)))</f>
        <v/>
      </c>
      <c r="CH1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3" s="102" t="b">
        <f aca="false">AND(Tasks[[#This Row],[_IsLeaf]]=1,Tasks[[#This Row],[_LeafProgress]]&lt;1,N(Tasks[[#This Row],[_LeafTotalSlack]])&lt;=CriticalSlackDays)</f>
        <v>0</v>
      </c>
      <c r="CJ163" s="103" t="str">
        <f aca="false">IF(Tasks[[#This Row],[Task Name]]="","",IF(Tasks[[#This Row],[_IsSummary]],MIN(INDEX(Tasks[_LeafCalcStart],Tasks[[#This Row],[_Row]]+1):INDEX(Tasks[_LeafCalcStart],Tasks[[#This Row],[_Row]]+Tasks[[#This Row],[_Descendants]])),Tasks[[#This Row],[_LeafCalcStart]]))</f>
        <v/>
      </c>
      <c r="CK163" s="103" t="str">
        <f aca="false">IF(Tasks[[#This Row],[Task Name]]="","",IF(Tasks[[#This Row],[_IsSummary]],MAX(INDEX(Tasks[_LeafCalcFinish],Tasks[[#This Row],[_Row]]+1):INDEX(Tasks[_LeafCalcFinish],Tasks[[#This Row],[_Row]]+Tasks[[#This Row],[_Descendants]])),Tasks[[#This Row],[_LeafCalcFinish]]))</f>
        <v/>
      </c>
      <c r="CL1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3" s="41" t="n">
        <f aca="false">IF(AND(Tasks[[#This Row],[_IsLeaf]]=1,Tasks[[#This Row],[_LeafWork]]&gt;0),NETWORKDAYS.INTL(ProjectStart,Tasks[[#This Row],[_LeafFcstStart]],WorkWeek,Holidays),0)</f>
        <v>0</v>
      </c>
      <c r="CS163" s="41" t="n">
        <f aca="false">IF(AND(Tasks[[#This Row],[_IsLeaf]]=1,Tasks[[#This Row],[_LeafWork]]&gt;0),MAX(Tasks[[#This Row],[_StartWorkday]],NETWORKDAYS.INTL(ProjectStart,Tasks[[#This Row],[_LeafFcstFinish]],WorkWeek,Holidays)),0)</f>
        <v>0</v>
      </c>
      <c r="CT163" s="41" t="n">
        <f aca="false">IF(AND(Tasks[[#This Row],[_IsLeaf]]=1,Tasks[[#This Row],[_LeafWork]]&gt;0),Tasks[[#This Row],[_LeafWork]]/(Tasks[[#This Row],[_FinishWorkday]]-Tasks[[#This Row],[_StartWorkday]]+1),0)</f>
        <v>0</v>
      </c>
      <c r="CU163" s="41" t="n">
        <f aca="false">Tasks[[#This Row],[_WorkPerWorkday]]*(Tasks[[#This Row],[_StartWorkday]]-1)</f>
        <v>-0</v>
      </c>
      <c r="CV163" s="41" t="n">
        <f aca="false">IF(Tasks[[#This Row],[_IsLeaf]]=1,MAX(N(Tasks[[#This Row],[Duration]]),0.1),0)</f>
        <v>0</v>
      </c>
      <c r="CW163" s="41" t="n">
        <f aca="false">Tasks[[#This Row],[_WeightDur]]*Tasks[[#This Row],[_LeafProgress]]</f>
        <v>0</v>
      </c>
      <c r="CX1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3" s="41" t="str">
        <f aca="false">IF(Tasks[[#This Row],[Task Name]]="","",Tasks[[#This Row],[_Pred1UIDText]]&amp;IF(AND(Tasks[[#This Row],[_Pred1UIDText]]&lt;&gt;"",Tasks[[#This Row],[_Pred2UIDText]]&lt;&gt;""),",","")&amp;Tasks[[#This Row],[_Pred2UIDText]])</f>
        <v/>
      </c>
      <c r="DC163" s="41" t="str">
        <f aca="false">IF(AND(Tasks[[#This Row],[_IsLeaf]]=1,N(Tasks[[#This Row],[Duration]])=0,Tasks[[#This Row],[_LeafProgress]]&lt;1),Tasks[[#This Row],[_LeafFcstFinish]]+Tasks[[#This Row],[_Row]]/100000,"")</f>
        <v/>
      </c>
      <c r="DD1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3" s="41" t="n">
        <f aca="false">IF(NOT(Tasks[[#This Row],[_IsLeaf]]=1),0,IF(Tasks[[#This Row],[Baseline Cost]]="",Tasks[[#This Row],[_LeafCost]],N(Tasks[[#This Row],[Baseline Cost]])))</f>
        <v>0</v>
      </c>
      <c r="DF163" s="41" t="n">
        <f aca="false">Tasks[[#This Row],[_LeafBudget]]*Tasks[[#This Row],[_PlannedPct]]</f>
        <v>0</v>
      </c>
      <c r="DG163" s="41" t="n">
        <f aca="false">Tasks[[#This Row],[_LeafBudget]]*Tasks[[#This Row],[_LeafProgress]]</f>
        <v>0</v>
      </c>
      <c r="DH163" s="41" t="n">
        <f aca="false">IF(NOT(Tasks[[#This Row],[_IsLeaf]]=1),0,IF(Tasks[[#This Row],[Actual Cost]]="",Tasks[[#This Row],[_LeafCost]]*Tasks[[#This Row],[_LeafProgress]],N(Tasks[[#This Row],[Actual Cost]])))</f>
        <v>0</v>
      </c>
      <c r="DI163" s="41" t="str">
        <f aca="false">IF(Tasks[[#This Row],[Task Name]]="","",LEFT(Tasks[[#This Row],[WBS]],FIND(".",Tasks[[#This Row],[WBS]]&amp;".")-1))</f>
        <v/>
      </c>
      <c r="DJ163" s="41" t="str">
        <f aca="false">IF(AND(Tasks[[#This Row],[Task Name]]&lt;&gt;"",Tasks[[#This Row],[_Level]]=1),Tasks[[#This Row],[_Row]],"")</f>
        <v/>
      </c>
      <c r="DK163" s="41" t="str">
        <f aca="false">IF(AND(Tasks[[#This Row],[_IsLeaf]]=1,N(Tasks[[#This Row],[Duration]])=0),Tasks[[#This Row],[Planned Finish]]+Tasks[[#This Row],[_Row]]/100000,"")</f>
        <v/>
      </c>
      <c r="DL163" s="41" t="str">
        <f aca="false">IF(AND(Tasks[[#This Row],[_IsLeaf]]=1,Tasks[[#This Row],[_LeafProgress]]&lt;1,OR(N(Tasks[[#This Row],[Finish Var]])&gt;0,Tasks[[#This Row],[Status]]="Late Start")),MAX(0,Tasks[[#This Row],[Finish Var]])+1-Tasks[[#This Row],[_Row]]/1000000,"")</f>
        <v/>
      </c>
      <c r="DM163" s="41" t="str">
        <f aca="false">IF(AND(Tasks[[#This Row],[_IsLeaf]]=1,N(Tasks[[#This Row],[Actual Start]])=0,Tasks[[#This Row],[_LeafFcstStart]]&gt;=StatusDate,Tasks[[#This Row],[_LeafFcstStart]]&lt;=LookaheadEnd),Tasks[[#This Row],[_LeafFcstStart]]+Tasks[[#This Row],[_Row]]/100000,"")</f>
        <v/>
      </c>
      <c r="DN163" s="41" t="str">
        <f aca="false">IF(AND(Tasks[[#This Row],[_IsLeaf]]=1,Tasks[[#This Row],[_LeafProgress]]&lt;1,Tasks[[#This Row],[_LeafFcstFinish]]&gt;=StatusDate,Tasks[[#This Row],[_LeafFcstFinish]]&lt;=LookaheadEnd),Tasks[[#This Row],[_LeafFcstFinish]]+Tasks[[#This Row],[_Row]]/100000,"")</f>
        <v/>
      </c>
      <c r="DO163" s="41" t="str">
        <f aca="false">IF(Tasks[[#This Row],[_LeafCritical]],Tasks[[#This Row],[_LeafFcstStart]]+Tasks[[#This Row],[_Row]]/100000,"")</f>
        <v/>
      </c>
      <c r="DP163" s="41" t="n">
        <f aca="false">Tasks[[#This Row],[_LeafWork]]*Tasks[[#This Row],[_LeafProgress]]</f>
        <v>0</v>
      </c>
      <c r="DQ163" s="103" t="str">
        <f aca="false">IF(AND(Tasks[[#This Row],[_IsLeaf]]=1,Tasks[[#This Row],[_LeafProgress]]&gt;=1),IF(N(Tasks[[#This Row],[Actual Finish]])&gt;0,Tasks[[#This Row],[Actual Finish]],Tasks[[#This Row],[_LeafFcstFinish]]),"")</f>
        <v/>
      </c>
      <c r="DR163" s="41" t="n">
        <f aca="false">IF(Tasks[[#This Row],[_IsLeaf]]=1,N(Tasks[[#This Row],[Story Points]]),0)</f>
        <v>0</v>
      </c>
      <c r="DS163" s="41" t="str">
        <f aca="false">IF(AND(Tasks[[#This Row],[_IsLeaf]]=1,CurrentSprint&lt;&gt;"",Tasks[[#This Row],[Sprint]]=CurrentSprint),Tasks[[#This Row],[_Row]],"")</f>
        <v/>
      </c>
    </row>
    <row r="164" customFormat="false" ht="15" hidden="false" customHeight="false" outlineLevel="0" collapsed="false">
      <c r="A164" s="28" t="str">
        <f aca="false">IF(Tasks[[#This Row],[Task Name]]="","",COUNTA(Tasks[[#Headers],[Task Name]]:Tasks[[#This Row],[Task Name]])-1)</f>
        <v/>
      </c>
      <c r="B164" s="29" t="n">
        <v>159</v>
      </c>
      <c r="C1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29"/>
      <c r="E164" s="30"/>
      <c r="F164" s="29"/>
      <c r="G164" s="29"/>
      <c r="H164" s="29"/>
      <c r="I164" s="29"/>
      <c r="J164" s="29"/>
      <c r="K164" s="29"/>
      <c r="L164" s="29"/>
      <c r="M164" s="29"/>
      <c r="N164" s="77"/>
      <c r="O164" s="77"/>
      <c r="P164" s="25" t="str">
        <f aca="false">IF(Tasks[[#This Row],[Task Name]]="","",IF(N(Tasks[[#This Row],[Baseline Start]])&gt;0,Tasks[[#This Row],[Baseline Start]],Tasks[[#This Row],[_CalcStart]]))</f>
        <v/>
      </c>
      <c r="Q164" s="25" t="str">
        <f aca="false">IF(Tasks[[#This Row],[Task Name]]="","",IF(N(Tasks[[#This Row],[Baseline Finish]])&gt;0,Tasks[[#This Row],[Baseline Finish]],Tasks[[#This Row],[_CalcFinish]]))</f>
        <v/>
      </c>
      <c r="R164" s="77"/>
      <c r="S164" s="77"/>
      <c r="T164" s="25" t="str">
        <f aca="false">IF(Tasks[[#This Row],[Task Name]]="","",IF(Tasks[[#This Row],[_IsSummary]],MIN(INDEX(Tasks[_LeafFcstStart],Tasks[[#This Row],[_Row]]+1):INDEX(Tasks[_LeafFcstStart],Tasks[[#This Row],[_Row]]+Tasks[[#This Row],[_Descendants]])),Tasks[[#This Row],[_LeafFcstStart]]))</f>
        <v/>
      </c>
      <c r="U164" s="25" t="str">
        <f aca="false">IF(Tasks[[#This Row],[Task Name]]="","",IF(Tasks[[#This Row],[_IsSummary]],MAX(INDEX(Tasks[_LeafFcstFinish],Tasks[[#This Row],[_Row]]+1):INDEX(Tasks[_LeafFcstFinish],Tasks[[#This Row],[_Row]]+Tasks[[#This Row],[_Descendants]])),Tasks[[#This Row],[_LeafFcstFinish]]))</f>
        <v/>
      </c>
      <c r="V16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4" s="25" t="str">
        <f aca="false">IF(Tasks[[#This Row],[Task Name]]="","",IF(Tasks[[#This Row],[_IsSummary]],MIN(INDEX(Tasks[_LeafLateStart],Tasks[[#This Row],[_Row]]+1):INDEX(Tasks[_LeafLateStart],Tasks[[#This Row],[_Row]]+Tasks[[#This Row],[_Descendants]])),Tasks[[#This Row],[_LeafLateStart]]))</f>
        <v/>
      </c>
      <c r="Y164" s="25" t="str">
        <f aca="false">IF(Tasks[[#This Row],[Task Name]]="","",IF(Tasks[[#This Row],[_IsSummary]],MAX(INDEX(Tasks[_LeafLateFinish],Tasks[[#This Row],[_Row]]+1):INDEX(Tasks[_LeafLateFinish],Tasks[[#This Row],[_Row]]+Tasks[[#This Row],[_Descendants]])),Tasks[[#This Row],[_LeafLateFinish]]))</f>
        <v/>
      </c>
      <c r="Z164" s="43" t="str">
        <f aca="false">IF(Tasks[[#This Row],[Task Name]]="","",IF(Tasks[[#This Row],[_IsSummary]],MIN(INDEX(Tasks[_LeafTotalSlack],Tasks[[#This Row],[_Row]]+1):INDEX(Tasks[_LeafTotalSlack],Tasks[[#This Row],[_Row]]+Tasks[[#This Row],[_Descendants]])),Tasks[[#This Row],[_LeafTotalSlack]]))</f>
        <v/>
      </c>
      <c r="AA1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4" s="28" t="str">
        <f aca="false">IF(Tasks[[#This Row],[Task Name]]="","",IF(IF(Tasks[[#This Row],[_IsSummary]],COUNTIF(INDEX(Tasks[_LeafCritical],Tasks[[#This Row],[_Row]]+1):INDEX(Tasks[_LeafCritical],Tasks[[#This Row],[_Row]]+Tasks[[#This Row],[_Descendants]]),TRUE())&gt;0,Tasks[[#This Row],[_LeafCritical]]),"Yes",""))</f>
        <v/>
      </c>
      <c r="AC1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4" s="24" t="str">
        <f aca="false">IF(Tasks[[#This Row],[Task Name]]="","",TRIM(IF(Tasks[[#This Row],[_Pred1Problem]]&lt;&gt;"","Pred 1: "&amp;Tasks[[#This Row],[_Pred1Problem]]&amp;". ","")&amp;IF(Tasks[[#This Row],[_Pred2Problem]]&lt;&gt;"","Pred 2: "&amp;Tasks[[#This Row],[_Pred2Problem]]&amp;".","")))</f>
        <v/>
      </c>
      <c r="AE164" s="91"/>
      <c r="AF16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4" s="28" t="str">
        <f aca="false">IF(Tasks[[#This Row],[Task Name]]="","",IF(Tasks[[#This Row],[Progress]]&gt;=1,"Complete",IF(OR(N(Tasks[[#This Row],[Actual Start]])&gt;0,Tasks[[#This Row],[Progress]]&gt;0),IF(Tasks[[#This Row],[Finish Var]]&gt;0,"Behind","In Progress"),IF(Tasks[[#This Row],[Planned Start]]&lt;StatusDate,"Late Start","Not Started"))))</f>
        <v/>
      </c>
      <c r="AH164" s="30"/>
      <c r="AI164" s="91"/>
      <c r="AJ16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4" s="98" t="str">
        <f aca="false">IF(Tasks[[#This Row],[Task Name]]="","",IF(Tasks[[#This Row],[_IsSummary]],SUM(INDEX(Tasks[_LeafWork],Tasks[[#This Row],[_Row]]+1):INDEX(Tasks[_LeafWork],Tasks[[#This Row],[_Row]]+Tasks[[#This Row],[_Descendants]])),Tasks[[#This Row],[_LeafWork]]))</f>
        <v/>
      </c>
      <c r="AL164" s="99" t="str">
        <f aca="false">IF(Tasks[[#This Row],[Task Name]]="","",IF(Tasks[[#This Row],[_IsSummary]],SUM(INDEX(Tasks[_LeafCost],Tasks[[#This Row],[_Row]]+1):INDEX(Tasks[_LeafCost],Tasks[[#This Row],[_Row]]+Tasks[[#This Row],[_Descendants]])),Tasks[[#This Row],[_LeafCost]]))</f>
        <v/>
      </c>
      <c r="AM164" s="100"/>
      <c r="AN164" s="29"/>
      <c r="AO1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4" s="85"/>
      <c r="AQ164" s="24" t="str">
        <f aca="false">IF(Tasks[[#This Row],[Task Name]]="","",Tasks[[#This Row],[_Pred1IDText]]&amp;IF(AND(Tasks[[#This Row],[_Pred1IDText]]&lt;&gt;"",Tasks[[#This Row],[_Pred2IDText]]&lt;&gt;""),",","")&amp;Tasks[[#This Row],[_Pred2IDText]])</f>
        <v/>
      </c>
      <c r="AR164" s="30"/>
      <c r="AS164" s="25" t="str">
        <f aca="false">IF(Tasks[[#This Row],[Task Name]]="","",Tasks[[#This Row],[Forecast Start]])</f>
        <v/>
      </c>
      <c r="AT164" s="25" t="str">
        <f aca="false">IF(Tasks[[#This Row],[Task Name]]="","",Tasks[[#This Row],[Forecast Finish]])</f>
        <v/>
      </c>
      <c r="AU164" s="28" t="str">
        <f aca="false">IF(Tasks[[#This Row],[Task Name]]="","",IF(Tasks[[#This Row],[_IsSummary]],NETWORKDAYS.INTL(Tasks[[#This Row],[Forecast Start]],Tasks[[#This Row],[Forecast Finish]],WorkWeek,Holidays),N(Tasks[[#This Row],[Duration]])))</f>
        <v/>
      </c>
      <c r="AV164" s="98" t="str">
        <f aca="false">IF(Tasks[[#This Row],[Task Name]]="","",Tasks[[#This Row],[Work]])</f>
        <v/>
      </c>
      <c r="AW164" s="99" t="str">
        <f aca="false">IF(Tasks[[#This Row],[Task Name]]="","",Tasks[[#This Row],[Cost]])</f>
        <v/>
      </c>
      <c r="AX164" s="77"/>
      <c r="AY164" s="77"/>
      <c r="AZ164" s="29"/>
      <c r="BA164" s="101"/>
      <c r="BB164" s="100"/>
      <c r="BC164" s="28" t="str">
        <f aca="false">IF(OR(Tasks[[#This Row],[Task Name]]="",Tasks[[#This Row],[Baseline Duration]]=""),"",Tasks[[#This Row],[BL Source Duration]]-N(Tasks[[#This Row],[Baseline Duration]]))</f>
        <v/>
      </c>
      <c r="BD164" s="98" t="str">
        <f aca="false">IF(OR(Tasks[[#This Row],[Task Name]]="",Tasks[[#This Row],[Baseline Work]]=""),"",Tasks[[#This Row],[Work]]-N(Tasks[[#This Row],[Baseline Work]]))</f>
        <v/>
      </c>
      <c r="BE164" s="99" t="str">
        <f aca="false">IF(OR(Tasks[[#This Row],[Task Name]]="",Tasks[[#This Row],[Baseline Cost]]=""),"",Tasks[[#This Row],[Cost]]-N(Tasks[[#This Row],[Baseline Cost]]))</f>
        <v/>
      </c>
      <c r="BF164" s="99" t="str">
        <f aca="false">IF(Tasks[[#This Row],[Task Name]]="","",IF(Tasks[[#This Row],[_IsSummary]],SUM(INDEX(Tasks[_LeafBudget],Tasks[[#This Row],[_Row]]+1):INDEX(Tasks[_LeafBudget],Tasks[[#This Row],[_Row]]+Tasks[[#This Row],[_Descendants]])),Tasks[[#This Row],[_LeafBudget]]))</f>
        <v/>
      </c>
      <c r="BG164" s="99" t="str">
        <f aca="false">IF(Tasks[[#This Row],[Task Name]]="","",IF(Tasks[[#This Row],[_IsSummary]],SUM(INDEX(Tasks[_LeafPV],Tasks[[#This Row],[_Row]]+1):INDEX(Tasks[_LeafPV],Tasks[[#This Row],[_Row]]+Tasks[[#This Row],[_Descendants]])),Tasks[[#This Row],[_LeafPV]]))</f>
        <v/>
      </c>
      <c r="BH164" s="99" t="str">
        <f aca="false">IF(Tasks[[#This Row],[Task Name]]="","",IF(Tasks[[#This Row],[_IsSummary]],SUM(INDEX(Tasks[_LeafEV],Tasks[[#This Row],[_Row]]+1):INDEX(Tasks[_LeafEV],Tasks[[#This Row],[_Row]]+Tasks[[#This Row],[_Descendants]])),Tasks[[#This Row],[_LeafEV]]))</f>
        <v/>
      </c>
      <c r="BI164" s="99" t="str">
        <f aca="false">IF(Tasks[[#This Row],[Task Name]]="","",IF(Tasks[[#This Row],[_IsSummary]],SUM(INDEX(Tasks[_LeafAC],Tasks[[#This Row],[_Row]]+1):INDEX(Tasks[_LeafAC],Tasks[[#This Row],[_Row]]+Tasks[[#This Row],[_Descendants]])),Tasks[[#This Row],[_LeafAC]]))</f>
        <v/>
      </c>
      <c r="BJ164" s="41" t="str">
        <f aca="false">IF(Tasks[[#This Row],[Task Name]]="","",MAX(1,N(Tasks[[#This Row],[Level]])))</f>
        <v/>
      </c>
      <c r="BK164" s="41" t="n">
        <f aca="false">ROW()-ROW(Tasks[[#Headers],[ID]])</f>
        <v>159</v>
      </c>
      <c r="BL164" s="41" t="n">
        <f aca="false">IF(OR(Tasks[[#This Row],[Task Name]]="",Tasks[[#This Row],[_Level]]&lt;=1),0,IFERROR(LOOKUP(2,1/(Tasks[[#Headers],[_Level]]:Tasks[[#This Row],[_Level]]=Tasks[[#This Row],[_Level]]-1),ROW(Tasks[[#Headers],[_Level]]:Tasks[[#This Row],[_Level]])),0))</f>
        <v>0</v>
      </c>
      <c r="BM164" s="41" t="n">
        <f aca="false">IFERROR(N(INDEX(Tasks[_Level],Tasks[[#This Row],[_Row]]+1)),0)</f>
        <v>0</v>
      </c>
      <c r="BN164" s="102" t="b">
        <f aca="false">AND(Tasks[[#This Row],[Task Name]]&lt;&gt;"",Tasks[[#This Row],[_NextLevel]]&gt;Tasks[[#This Row],[_Level]])</f>
        <v>0</v>
      </c>
      <c r="BO164" s="41" t="n">
        <f aca="false">IF(Tasks[[#This Row],[_IsSummary]],COUNTIF(Tasks[WBS],Tasks[[#This Row],[WBS]]&amp;".*"),0)</f>
        <v>0</v>
      </c>
      <c r="BP164" s="41" t="n">
        <f aca="false">IF(AND(Tasks[[#This Row],[Task Name]]&lt;&gt;"",NOT(Tasks[[#This Row],[_IsSummary]])),1,0)</f>
        <v>0</v>
      </c>
      <c r="BQ164" s="41" t="n">
        <f aca="false">IF(N(Tasks[[#This Row],[Pred1 UID]])=0,0,IFERROR(MATCH(Tasks[[#This Row],[Pred1 UID]],Tasks[UID],0),-1))</f>
        <v>0</v>
      </c>
      <c r="BR164" s="41" t="n">
        <f aca="false">IF(N(Tasks[[#This Row],[Pred2 UID]])=0,0,IFERROR(MATCH(Tasks[[#This Row],[Pred2 UID]],Tasks[UID],0),-1))</f>
        <v>0</v>
      </c>
      <c r="BS16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4" s="103" t="str">
        <f aca="false">IF(NOT(Tasks[[#This Row],[_IsLeaf]]=1),"",IF(N(Tasks[[#This Row],[Duration]])&lt;=0,Tasks[[#This Row],[_LeafCalcStart]],WORKDAY.INTL(Tasks[[#This Row],[_LeafCalcStart]],Tasks[[#This Row],[Duration]]-1,WorkWeek,Holidays)))</f>
        <v/>
      </c>
      <c r="BU16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4" s="41" t="n">
        <f aca="false">IF(NOT(Tasks[[#This Row],[_IsLeaf]]=1),0,IF(N(Tasks[[#This Row],[Actual Finish]])&gt;0,1,MIN(1,N(Tasks[[#This Row],[% Complete]]))))</f>
        <v>0</v>
      </c>
      <c r="BX164" s="41" t="n">
        <f aca="false">IF(OR(NOT(Tasks[[#This Row],[_IsLeaf]]=1),Tasks[[#This Row],[Resource]]=""),0,N(Tasks[[#This Row],[Duration]])*HoursPerDay*IF(Tasks[[#This Row],[Units]]="",DefaultUnits,Tasks[[#This Row],[Units]]))</f>
        <v>0</v>
      </c>
      <c r="BY164" s="41" t="n">
        <f aca="false">IF(Tasks[[#This Row],[_LeafWork]]=0,0,Tasks[[#This Row],[_LeafWork]]*IFERROR(INDEX(res_Rate,MATCH(Tasks[[#This Row],[Resource]],res_Name,0)),0))</f>
        <v>0</v>
      </c>
      <c r="BZ1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4" s="41" t="n">
        <f aca="false">IF(NOT(Tasks[[#This Row],[_IsLeaf]]=1),0,MAX(_xlfn.MAXIFS(Tasks[_Row],Tasks[Pred1 UID],Tasks[[#This Row],[UID]]),_xlfn.MAXIFS(Tasks[_Row],Tasks[Pred2 UID],Tasks[[#This Row],[UID]])))</f>
        <v>0</v>
      </c>
      <c r="CE16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4" s="103" t="str">
        <f aca="false">IF(NOT(Tasks[[#This Row],[_IsLeaf]]=1),"",MIN(ProjectFinish,IF(N(Tasks[[#This Row],[Deadline]])&gt;0,Tasks[[#This Row],[Deadline]],2958465),Tasks[[#This Row],[_SuccessorFinishLimit]]))</f>
        <v/>
      </c>
      <c r="CG164" s="103" t="str">
        <f aca="false">IF(NOT(Tasks[[#This Row],[_IsLeaf]]=1),"",IF(N(Tasks[[#This Row],[Duration]])&lt;=0,Tasks[[#This Row],[_LeafLateFinish]],WORKDAY.INTL(Tasks[[#This Row],[_LeafLateFinish]],-(Tasks[[#This Row],[Duration]]-1),WorkWeek,Holidays)))</f>
        <v/>
      </c>
      <c r="CH1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4" s="102" t="b">
        <f aca="false">AND(Tasks[[#This Row],[_IsLeaf]]=1,Tasks[[#This Row],[_LeafProgress]]&lt;1,N(Tasks[[#This Row],[_LeafTotalSlack]])&lt;=CriticalSlackDays)</f>
        <v>0</v>
      </c>
      <c r="CJ164" s="103" t="str">
        <f aca="false">IF(Tasks[[#This Row],[Task Name]]="","",IF(Tasks[[#This Row],[_IsSummary]],MIN(INDEX(Tasks[_LeafCalcStart],Tasks[[#This Row],[_Row]]+1):INDEX(Tasks[_LeafCalcStart],Tasks[[#This Row],[_Row]]+Tasks[[#This Row],[_Descendants]])),Tasks[[#This Row],[_LeafCalcStart]]))</f>
        <v/>
      </c>
      <c r="CK164" s="103" t="str">
        <f aca="false">IF(Tasks[[#This Row],[Task Name]]="","",IF(Tasks[[#This Row],[_IsSummary]],MAX(INDEX(Tasks[_LeafCalcFinish],Tasks[[#This Row],[_Row]]+1):INDEX(Tasks[_LeafCalcFinish],Tasks[[#This Row],[_Row]]+Tasks[[#This Row],[_Descendants]])),Tasks[[#This Row],[_LeafCalcFinish]]))</f>
        <v/>
      </c>
      <c r="CL1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4" s="41" t="n">
        <f aca="false">IF(AND(Tasks[[#This Row],[_IsLeaf]]=1,Tasks[[#This Row],[_LeafWork]]&gt;0),NETWORKDAYS.INTL(ProjectStart,Tasks[[#This Row],[_LeafFcstStart]],WorkWeek,Holidays),0)</f>
        <v>0</v>
      </c>
      <c r="CS164" s="41" t="n">
        <f aca="false">IF(AND(Tasks[[#This Row],[_IsLeaf]]=1,Tasks[[#This Row],[_LeafWork]]&gt;0),MAX(Tasks[[#This Row],[_StartWorkday]],NETWORKDAYS.INTL(ProjectStart,Tasks[[#This Row],[_LeafFcstFinish]],WorkWeek,Holidays)),0)</f>
        <v>0</v>
      </c>
      <c r="CT164" s="41" t="n">
        <f aca="false">IF(AND(Tasks[[#This Row],[_IsLeaf]]=1,Tasks[[#This Row],[_LeafWork]]&gt;0),Tasks[[#This Row],[_LeafWork]]/(Tasks[[#This Row],[_FinishWorkday]]-Tasks[[#This Row],[_StartWorkday]]+1),0)</f>
        <v>0</v>
      </c>
      <c r="CU164" s="41" t="n">
        <f aca="false">Tasks[[#This Row],[_WorkPerWorkday]]*(Tasks[[#This Row],[_StartWorkday]]-1)</f>
        <v>-0</v>
      </c>
      <c r="CV164" s="41" t="n">
        <f aca="false">IF(Tasks[[#This Row],[_IsLeaf]]=1,MAX(N(Tasks[[#This Row],[Duration]]),0.1),0)</f>
        <v>0</v>
      </c>
      <c r="CW164" s="41" t="n">
        <f aca="false">Tasks[[#This Row],[_WeightDur]]*Tasks[[#This Row],[_LeafProgress]]</f>
        <v>0</v>
      </c>
      <c r="CX1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4" s="41" t="str">
        <f aca="false">IF(Tasks[[#This Row],[Task Name]]="","",Tasks[[#This Row],[_Pred1UIDText]]&amp;IF(AND(Tasks[[#This Row],[_Pred1UIDText]]&lt;&gt;"",Tasks[[#This Row],[_Pred2UIDText]]&lt;&gt;""),",","")&amp;Tasks[[#This Row],[_Pred2UIDText]])</f>
        <v/>
      </c>
      <c r="DC164" s="41" t="str">
        <f aca="false">IF(AND(Tasks[[#This Row],[_IsLeaf]]=1,N(Tasks[[#This Row],[Duration]])=0,Tasks[[#This Row],[_LeafProgress]]&lt;1),Tasks[[#This Row],[_LeafFcstFinish]]+Tasks[[#This Row],[_Row]]/100000,"")</f>
        <v/>
      </c>
      <c r="DD1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4" s="41" t="n">
        <f aca="false">IF(NOT(Tasks[[#This Row],[_IsLeaf]]=1),0,IF(Tasks[[#This Row],[Baseline Cost]]="",Tasks[[#This Row],[_LeafCost]],N(Tasks[[#This Row],[Baseline Cost]])))</f>
        <v>0</v>
      </c>
      <c r="DF164" s="41" t="n">
        <f aca="false">Tasks[[#This Row],[_LeafBudget]]*Tasks[[#This Row],[_PlannedPct]]</f>
        <v>0</v>
      </c>
      <c r="DG164" s="41" t="n">
        <f aca="false">Tasks[[#This Row],[_LeafBudget]]*Tasks[[#This Row],[_LeafProgress]]</f>
        <v>0</v>
      </c>
      <c r="DH164" s="41" t="n">
        <f aca="false">IF(NOT(Tasks[[#This Row],[_IsLeaf]]=1),0,IF(Tasks[[#This Row],[Actual Cost]]="",Tasks[[#This Row],[_LeafCost]]*Tasks[[#This Row],[_LeafProgress]],N(Tasks[[#This Row],[Actual Cost]])))</f>
        <v>0</v>
      </c>
      <c r="DI164" s="41" t="str">
        <f aca="false">IF(Tasks[[#This Row],[Task Name]]="","",LEFT(Tasks[[#This Row],[WBS]],FIND(".",Tasks[[#This Row],[WBS]]&amp;".")-1))</f>
        <v/>
      </c>
      <c r="DJ164" s="41" t="str">
        <f aca="false">IF(AND(Tasks[[#This Row],[Task Name]]&lt;&gt;"",Tasks[[#This Row],[_Level]]=1),Tasks[[#This Row],[_Row]],"")</f>
        <v/>
      </c>
      <c r="DK164" s="41" t="str">
        <f aca="false">IF(AND(Tasks[[#This Row],[_IsLeaf]]=1,N(Tasks[[#This Row],[Duration]])=0),Tasks[[#This Row],[Planned Finish]]+Tasks[[#This Row],[_Row]]/100000,"")</f>
        <v/>
      </c>
      <c r="DL164" s="41" t="str">
        <f aca="false">IF(AND(Tasks[[#This Row],[_IsLeaf]]=1,Tasks[[#This Row],[_LeafProgress]]&lt;1,OR(N(Tasks[[#This Row],[Finish Var]])&gt;0,Tasks[[#This Row],[Status]]="Late Start")),MAX(0,Tasks[[#This Row],[Finish Var]])+1-Tasks[[#This Row],[_Row]]/1000000,"")</f>
        <v/>
      </c>
      <c r="DM164" s="41" t="str">
        <f aca="false">IF(AND(Tasks[[#This Row],[_IsLeaf]]=1,N(Tasks[[#This Row],[Actual Start]])=0,Tasks[[#This Row],[_LeafFcstStart]]&gt;=StatusDate,Tasks[[#This Row],[_LeafFcstStart]]&lt;=LookaheadEnd),Tasks[[#This Row],[_LeafFcstStart]]+Tasks[[#This Row],[_Row]]/100000,"")</f>
        <v/>
      </c>
      <c r="DN164" s="41" t="str">
        <f aca="false">IF(AND(Tasks[[#This Row],[_IsLeaf]]=1,Tasks[[#This Row],[_LeafProgress]]&lt;1,Tasks[[#This Row],[_LeafFcstFinish]]&gt;=StatusDate,Tasks[[#This Row],[_LeafFcstFinish]]&lt;=LookaheadEnd),Tasks[[#This Row],[_LeafFcstFinish]]+Tasks[[#This Row],[_Row]]/100000,"")</f>
        <v/>
      </c>
      <c r="DO164" s="41" t="str">
        <f aca="false">IF(Tasks[[#This Row],[_LeafCritical]],Tasks[[#This Row],[_LeafFcstStart]]+Tasks[[#This Row],[_Row]]/100000,"")</f>
        <v/>
      </c>
      <c r="DP164" s="41" t="n">
        <f aca="false">Tasks[[#This Row],[_LeafWork]]*Tasks[[#This Row],[_LeafProgress]]</f>
        <v>0</v>
      </c>
      <c r="DQ164" s="103" t="str">
        <f aca="false">IF(AND(Tasks[[#This Row],[_IsLeaf]]=1,Tasks[[#This Row],[_LeafProgress]]&gt;=1),IF(N(Tasks[[#This Row],[Actual Finish]])&gt;0,Tasks[[#This Row],[Actual Finish]],Tasks[[#This Row],[_LeafFcstFinish]]),"")</f>
        <v/>
      </c>
      <c r="DR164" s="41" t="n">
        <f aca="false">IF(Tasks[[#This Row],[_IsLeaf]]=1,N(Tasks[[#This Row],[Story Points]]),0)</f>
        <v>0</v>
      </c>
      <c r="DS164" s="41" t="str">
        <f aca="false">IF(AND(Tasks[[#This Row],[_IsLeaf]]=1,CurrentSprint&lt;&gt;"",Tasks[[#This Row],[Sprint]]=CurrentSprint),Tasks[[#This Row],[_Row]],"")</f>
        <v/>
      </c>
    </row>
    <row r="165" customFormat="false" ht="15" hidden="false" customHeight="false" outlineLevel="0" collapsed="false">
      <c r="A165" s="28" t="str">
        <f aca="false">IF(Tasks[[#This Row],[Task Name]]="","",COUNTA(Tasks[[#Headers],[Task Name]]:Tasks[[#This Row],[Task Name]])-1)</f>
        <v/>
      </c>
      <c r="B165" s="29" t="n">
        <v>160</v>
      </c>
      <c r="C1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29"/>
      <c r="E165" s="30"/>
      <c r="F165" s="29"/>
      <c r="G165" s="29"/>
      <c r="H165" s="29"/>
      <c r="I165" s="29"/>
      <c r="J165" s="29"/>
      <c r="K165" s="29"/>
      <c r="L165" s="29"/>
      <c r="M165" s="29"/>
      <c r="N165" s="77"/>
      <c r="O165" s="77"/>
      <c r="P165" s="25" t="str">
        <f aca="false">IF(Tasks[[#This Row],[Task Name]]="","",IF(N(Tasks[[#This Row],[Baseline Start]])&gt;0,Tasks[[#This Row],[Baseline Start]],Tasks[[#This Row],[_CalcStart]]))</f>
        <v/>
      </c>
      <c r="Q165" s="25" t="str">
        <f aca="false">IF(Tasks[[#This Row],[Task Name]]="","",IF(N(Tasks[[#This Row],[Baseline Finish]])&gt;0,Tasks[[#This Row],[Baseline Finish]],Tasks[[#This Row],[_CalcFinish]]))</f>
        <v/>
      </c>
      <c r="R165" s="77"/>
      <c r="S165" s="77"/>
      <c r="T165" s="25" t="str">
        <f aca="false">IF(Tasks[[#This Row],[Task Name]]="","",IF(Tasks[[#This Row],[_IsSummary]],MIN(INDEX(Tasks[_LeafFcstStart],Tasks[[#This Row],[_Row]]+1):INDEX(Tasks[_LeafFcstStart],Tasks[[#This Row],[_Row]]+Tasks[[#This Row],[_Descendants]])),Tasks[[#This Row],[_LeafFcstStart]]))</f>
        <v/>
      </c>
      <c r="U165" s="25" t="str">
        <f aca="false">IF(Tasks[[#This Row],[Task Name]]="","",IF(Tasks[[#This Row],[_IsSummary]],MAX(INDEX(Tasks[_LeafFcstFinish],Tasks[[#This Row],[_Row]]+1):INDEX(Tasks[_LeafFcstFinish],Tasks[[#This Row],[_Row]]+Tasks[[#This Row],[_Descendants]])),Tasks[[#This Row],[_LeafFcstFinish]]))</f>
        <v/>
      </c>
      <c r="V16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5" s="25" t="str">
        <f aca="false">IF(Tasks[[#This Row],[Task Name]]="","",IF(Tasks[[#This Row],[_IsSummary]],MIN(INDEX(Tasks[_LeafLateStart],Tasks[[#This Row],[_Row]]+1):INDEX(Tasks[_LeafLateStart],Tasks[[#This Row],[_Row]]+Tasks[[#This Row],[_Descendants]])),Tasks[[#This Row],[_LeafLateStart]]))</f>
        <v/>
      </c>
      <c r="Y165" s="25" t="str">
        <f aca="false">IF(Tasks[[#This Row],[Task Name]]="","",IF(Tasks[[#This Row],[_IsSummary]],MAX(INDEX(Tasks[_LeafLateFinish],Tasks[[#This Row],[_Row]]+1):INDEX(Tasks[_LeafLateFinish],Tasks[[#This Row],[_Row]]+Tasks[[#This Row],[_Descendants]])),Tasks[[#This Row],[_LeafLateFinish]]))</f>
        <v/>
      </c>
      <c r="Z165" s="43" t="str">
        <f aca="false">IF(Tasks[[#This Row],[Task Name]]="","",IF(Tasks[[#This Row],[_IsSummary]],MIN(INDEX(Tasks[_LeafTotalSlack],Tasks[[#This Row],[_Row]]+1):INDEX(Tasks[_LeafTotalSlack],Tasks[[#This Row],[_Row]]+Tasks[[#This Row],[_Descendants]])),Tasks[[#This Row],[_LeafTotalSlack]]))</f>
        <v/>
      </c>
      <c r="AA1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5" s="28" t="str">
        <f aca="false">IF(Tasks[[#This Row],[Task Name]]="","",IF(IF(Tasks[[#This Row],[_IsSummary]],COUNTIF(INDEX(Tasks[_LeafCritical],Tasks[[#This Row],[_Row]]+1):INDEX(Tasks[_LeafCritical],Tasks[[#This Row],[_Row]]+Tasks[[#This Row],[_Descendants]]),TRUE())&gt;0,Tasks[[#This Row],[_LeafCritical]]),"Yes",""))</f>
        <v/>
      </c>
      <c r="AC1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5" s="24" t="str">
        <f aca="false">IF(Tasks[[#This Row],[Task Name]]="","",TRIM(IF(Tasks[[#This Row],[_Pred1Problem]]&lt;&gt;"","Pred 1: "&amp;Tasks[[#This Row],[_Pred1Problem]]&amp;". ","")&amp;IF(Tasks[[#This Row],[_Pred2Problem]]&lt;&gt;"","Pred 2: "&amp;Tasks[[#This Row],[_Pred2Problem]]&amp;".","")))</f>
        <v/>
      </c>
      <c r="AE165" s="91"/>
      <c r="AF16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5" s="28" t="str">
        <f aca="false">IF(Tasks[[#This Row],[Task Name]]="","",IF(Tasks[[#This Row],[Progress]]&gt;=1,"Complete",IF(OR(N(Tasks[[#This Row],[Actual Start]])&gt;0,Tasks[[#This Row],[Progress]]&gt;0),IF(Tasks[[#This Row],[Finish Var]]&gt;0,"Behind","In Progress"),IF(Tasks[[#This Row],[Planned Start]]&lt;StatusDate,"Late Start","Not Started"))))</f>
        <v/>
      </c>
      <c r="AH165" s="30"/>
      <c r="AI165" s="91"/>
      <c r="AJ16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5" s="98" t="str">
        <f aca="false">IF(Tasks[[#This Row],[Task Name]]="","",IF(Tasks[[#This Row],[_IsSummary]],SUM(INDEX(Tasks[_LeafWork],Tasks[[#This Row],[_Row]]+1):INDEX(Tasks[_LeafWork],Tasks[[#This Row],[_Row]]+Tasks[[#This Row],[_Descendants]])),Tasks[[#This Row],[_LeafWork]]))</f>
        <v/>
      </c>
      <c r="AL165" s="99" t="str">
        <f aca="false">IF(Tasks[[#This Row],[Task Name]]="","",IF(Tasks[[#This Row],[_IsSummary]],SUM(INDEX(Tasks[_LeafCost],Tasks[[#This Row],[_Row]]+1):INDEX(Tasks[_LeafCost],Tasks[[#This Row],[_Row]]+Tasks[[#This Row],[_Descendants]])),Tasks[[#This Row],[_LeafCost]]))</f>
        <v/>
      </c>
      <c r="AM165" s="100"/>
      <c r="AN165" s="29"/>
      <c r="AO1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5" s="85"/>
      <c r="AQ165" s="24" t="str">
        <f aca="false">IF(Tasks[[#This Row],[Task Name]]="","",Tasks[[#This Row],[_Pred1IDText]]&amp;IF(AND(Tasks[[#This Row],[_Pred1IDText]]&lt;&gt;"",Tasks[[#This Row],[_Pred2IDText]]&lt;&gt;""),",","")&amp;Tasks[[#This Row],[_Pred2IDText]])</f>
        <v/>
      </c>
      <c r="AR165" s="30"/>
      <c r="AS165" s="25" t="str">
        <f aca="false">IF(Tasks[[#This Row],[Task Name]]="","",Tasks[[#This Row],[Forecast Start]])</f>
        <v/>
      </c>
      <c r="AT165" s="25" t="str">
        <f aca="false">IF(Tasks[[#This Row],[Task Name]]="","",Tasks[[#This Row],[Forecast Finish]])</f>
        <v/>
      </c>
      <c r="AU165" s="28" t="str">
        <f aca="false">IF(Tasks[[#This Row],[Task Name]]="","",IF(Tasks[[#This Row],[_IsSummary]],NETWORKDAYS.INTL(Tasks[[#This Row],[Forecast Start]],Tasks[[#This Row],[Forecast Finish]],WorkWeek,Holidays),N(Tasks[[#This Row],[Duration]])))</f>
        <v/>
      </c>
      <c r="AV165" s="98" t="str">
        <f aca="false">IF(Tasks[[#This Row],[Task Name]]="","",Tasks[[#This Row],[Work]])</f>
        <v/>
      </c>
      <c r="AW165" s="99" t="str">
        <f aca="false">IF(Tasks[[#This Row],[Task Name]]="","",Tasks[[#This Row],[Cost]])</f>
        <v/>
      </c>
      <c r="AX165" s="77"/>
      <c r="AY165" s="77"/>
      <c r="AZ165" s="29"/>
      <c r="BA165" s="101"/>
      <c r="BB165" s="100"/>
      <c r="BC165" s="28" t="str">
        <f aca="false">IF(OR(Tasks[[#This Row],[Task Name]]="",Tasks[[#This Row],[Baseline Duration]]=""),"",Tasks[[#This Row],[BL Source Duration]]-N(Tasks[[#This Row],[Baseline Duration]]))</f>
        <v/>
      </c>
      <c r="BD165" s="98" t="str">
        <f aca="false">IF(OR(Tasks[[#This Row],[Task Name]]="",Tasks[[#This Row],[Baseline Work]]=""),"",Tasks[[#This Row],[Work]]-N(Tasks[[#This Row],[Baseline Work]]))</f>
        <v/>
      </c>
      <c r="BE165" s="99" t="str">
        <f aca="false">IF(OR(Tasks[[#This Row],[Task Name]]="",Tasks[[#This Row],[Baseline Cost]]=""),"",Tasks[[#This Row],[Cost]]-N(Tasks[[#This Row],[Baseline Cost]]))</f>
        <v/>
      </c>
      <c r="BF165" s="99" t="str">
        <f aca="false">IF(Tasks[[#This Row],[Task Name]]="","",IF(Tasks[[#This Row],[_IsSummary]],SUM(INDEX(Tasks[_LeafBudget],Tasks[[#This Row],[_Row]]+1):INDEX(Tasks[_LeafBudget],Tasks[[#This Row],[_Row]]+Tasks[[#This Row],[_Descendants]])),Tasks[[#This Row],[_LeafBudget]]))</f>
        <v/>
      </c>
      <c r="BG165" s="99" t="str">
        <f aca="false">IF(Tasks[[#This Row],[Task Name]]="","",IF(Tasks[[#This Row],[_IsSummary]],SUM(INDEX(Tasks[_LeafPV],Tasks[[#This Row],[_Row]]+1):INDEX(Tasks[_LeafPV],Tasks[[#This Row],[_Row]]+Tasks[[#This Row],[_Descendants]])),Tasks[[#This Row],[_LeafPV]]))</f>
        <v/>
      </c>
      <c r="BH165" s="99" t="str">
        <f aca="false">IF(Tasks[[#This Row],[Task Name]]="","",IF(Tasks[[#This Row],[_IsSummary]],SUM(INDEX(Tasks[_LeafEV],Tasks[[#This Row],[_Row]]+1):INDEX(Tasks[_LeafEV],Tasks[[#This Row],[_Row]]+Tasks[[#This Row],[_Descendants]])),Tasks[[#This Row],[_LeafEV]]))</f>
        <v/>
      </c>
      <c r="BI165" s="99" t="str">
        <f aca="false">IF(Tasks[[#This Row],[Task Name]]="","",IF(Tasks[[#This Row],[_IsSummary]],SUM(INDEX(Tasks[_LeafAC],Tasks[[#This Row],[_Row]]+1):INDEX(Tasks[_LeafAC],Tasks[[#This Row],[_Row]]+Tasks[[#This Row],[_Descendants]])),Tasks[[#This Row],[_LeafAC]]))</f>
        <v/>
      </c>
      <c r="BJ165" s="41" t="str">
        <f aca="false">IF(Tasks[[#This Row],[Task Name]]="","",MAX(1,N(Tasks[[#This Row],[Level]])))</f>
        <v/>
      </c>
      <c r="BK165" s="41" t="n">
        <f aca="false">ROW()-ROW(Tasks[[#Headers],[ID]])</f>
        <v>160</v>
      </c>
      <c r="BL165" s="41" t="n">
        <f aca="false">IF(OR(Tasks[[#This Row],[Task Name]]="",Tasks[[#This Row],[_Level]]&lt;=1),0,IFERROR(LOOKUP(2,1/(Tasks[[#Headers],[_Level]]:Tasks[[#This Row],[_Level]]=Tasks[[#This Row],[_Level]]-1),ROW(Tasks[[#Headers],[_Level]]:Tasks[[#This Row],[_Level]])),0))</f>
        <v>0</v>
      </c>
      <c r="BM165" s="41" t="n">
        <f aca="false">IFERROR(N(INDEX(Tasks[_Level],Tasks[[#This Row],[_Row]]+1)),0)</f>
        <v>0</v>
      </c>
      <c r="BN165" s="102" t="b">
        <f aca="false">AND(Tasks[[#This Row],[Task Name]]&lt;&gt;"",Tasks[[#This Row],[_NextLevel]]&gt;Tasks[[#This Row],[_Level]])</f>
        <v>0</v>
      </c>
      <c r="BO165" s="41" t="n">
        <f aca="false">IF(Tasks[[#This Row],[_IsSummary]],COUNTIF(Tasks[WBS],Tasks[[#This Row],[WBS]]&amp;".*"),0)</f>
        <v>0</v>
      </c>
      <c r="BP165" s="41" t="n">
        <f aca="false">IF(AND(Tasks[[#This Row],[Task Name]]&lt;&gt;"",NOT(Tasks[[#This Row],[_IsSummary]])),1,0)</f>
        <v>0</v>
      </c>
      <c r="BQ165" s="41" t="n">
        <f aca="false">IF(N(Tasks[[#This Row],[Pred1 UID]])=0,0,IFERROR(MATCH(Tasks[[#This Row],[Pred1 UID]],Tasks[UID],0),-1))</f>
        <v>0</v>
      </c>
      <c r="BR165" s="41" t="n">
        <f aca="false">IF(N(Tasks[[#This Row],[Pred2 UID]])=0,0,IFERROR(MATCH(Tasks[[#This Row],[Pred2 UID]],Tasks[UID],0),-1))</f>
        <v>0</v>
      </c>
      <c r="BS16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5" s="103" t="str">
        <f aca="false">IF(NOT(Tasks[[#This Row],[_IsLeaf]]=1),"",IF(N(Tasks[[#This Row],[Duration]])&lt;=0,Tasks[[#This Row],[_LeafCalcStart]],WORKDAY.INTL(Tasks[[#This Row],[_LeafCalcStart]],Tasks[[#This Row],[Duration]]-1,WorkWeek,Holidays)))</f>
        <v/>
      </c>
      <c r="BU16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5" s="41" t="n">
        <f aca="false">IF(NOT(Tasks[[#This Row],[_IsLeaf]]=1),0,IF(N(Tasks[[#This Row],[Actual Finish]])&gt;0,1,MIN(1,N(Tasks[[#This Row],[% Complete]]))))</f>
        <v>0</v>
      </c>
      <c r="BX165" s="41" t="n">
        <f aca="false">IF(OR(NOT(Tasks[[#This Row],[_IsLeaf]]=1),Tasks[[#This Row],[Resource]]=""),0,N(Tasks[[#This Row],[Duration]])*HoursPerDay*IF(Tasks[[#This Row],[Units]]="",DefaultUnits,Tasks[[#This Row],[Units]]))</f>
        <v>0</v>
      </c>
      <c r="BY165" s="41" t="n">
        <f aca="false">IF(Tasks[[#This Row],[_LeafWork]]=0,0,Tasks[[#This Row],[_LeafWork]]*IFERROR(INDEX(res_Rate,MATCH(Tasks[[#This Row],[Resource]],res_Name,0)),0))</f>
        <v>0</v>
      </c>
      <c r="BZ1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5" s="41" t="n">
        <f aca="false">IF(NOT(Tasks[[#This Row],[_IsLeaf]]=1),0,MAX(_xlfn.MAXIFS(Tasks[_Row],Tasks[Pred1 UID],Tasks[[#This Row],[UID]]),_xlfn.MAXIFS(Tasks[_Row],Tasks[Pred2 UID],Tasks[[#This Row],[UID]])))</f>
        <v>0</v>
      </c>
      <c r="CE16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5" s="103" t="str">
        <f aca="false">IF(NOT(Tasks[[#This Row],[_IsLeaf]]=1),"",MIN(ProjectFinish,IF(N(Tasks[[#This Row],[Deadline]])&gt;0,Tasks[[#This Row],[Deadline]],2958465),Tasks[[#This Row],[_SuccessorFinishLimit]]))</f>
        <v/>
      </c>
      <c r="CG165" s="103" t="str">
        <f aca="false">IF(NOT(Tasks[[#This Row],[_IsLeaf]]=1),"",IF(N(Tasks[[#This Row],[Duration]])&lt;=0,Tasks[[#This Row],[_LeafLateFinish]],WORKDAY.INTL(Tasks[[#This Row],[_LeafLateFinish]],-(Tasks[[#This Row],[Duration]]-1),WorkWeek,Holidays)))</f>
        <v/>
      </c>
      <c r="CH1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5" s="102" t="b">
        <f aca="false">AND(Tasks[[#This Row],[_IsLeaf]]=1,Tasks[[#This Row],[_LeafProgress]]&lt;1,N(Tasks[[#This Row],[_LeafTotalSlack]])&lt;=CriticalSlackDays)</f>
        <v>0</v>
      </c>
      <c r="CJ165" s="103" t="str">
        <f aca="false">IF(Tasks[[#This Row],[Task Name]]="","",IF(Tasks[[#This Row],[_IsSummary]],MIN(INDEX(Tasks[_LeafCalcStart],Tasks[[#This Row],[_Row]]+1):INDEX(Tasks[_LeafCalcStart],Tasks[[#This Row],[_Row]]+Tasks[[#This Row],[_Descendants]])),Tasks[[#This Row],[_LeafCalcStart]]))</f>
        <v/>
      </c>
      <c r="CK165" s="103" t="str">
        <f aca="false">IF(Tasks[[#This Row],[Task Name]]="","",IF(Tasks[[#This Row],[_IsSummary]],MAX(INDEX(Tasks[_LeafCalcFinish],Tasks[[#This Row],[_Row]]+1):INDEX(Tasks[_LeafCalcFinish],Tasks[[#This Row],[_Row]]+Tasks[[#This Row],[_Descendants]])),Tasks[[#This Row],[_LeafCalcFinish]]))</f>
        <v/>
      </c>
      <c r="CL1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5" s="41" t="n">
        <f aca="false">IF(AND(Tasks[[#This Row],[_IsLeaf]]=1,Tasks[[#This Row],[_LeafWork]]&gt;0),NETWORKDAYS.INTL(ProjectStart,Tasks[[#This Row],[_LeafFcstStart]],WorkWeek,Holidays),0)</f>
        <v>0</v>
      </c>
      <c r="CS165" s="41" t="n">
        <f aca="false">IF(AND(Tasks[[#This Row],[_IsLeaf]]=1,Tasks[[#This Row],[_LeafWork]]&gt;0),MAX(Tasks[[#This Row],[_StartWorkday]],NETWORKDAYS.INTL(ProjectStart,Tasks[[#This Row],[_LeafFcstFinish]],WorkWeek,Holidays)),0)</f>
        <v>0</v>
      </c>
      <c r="CT165" s="41" t="n">
        <f aca="false">IF(AND(Tasks[[#This Row],[_IsLeaf]]=1,Tasks[[#This Row],[_LeafWork]]&gt;0),Tasks[[#This Row],[_LeafWork]]/(Tasks[[#This Row],[_FinishWorkday]]-Tasks[[#This Row],[_StartWorkday]]+1),0)</f>
        <v>0</v>
      </c>
      <c r="CU165" s="41" t="n">
        <f aca="false">Tasks[[#This Row],[_WorkPerWorkday]]*(Tasks[[#This Row],[_StartWorkday]]-1)</f>
        <v>-0</v>
      </c>
      <c r="CV165" s="41" t="n">
        <f aca="false">IF(Tasks[[#This Row],[_IsLeaf]]=1,MAX(N(Tasks[[#This Row],[Duration]]),0.1),0)</f>
        <v>0</v>
      </c>
      <c r="CW165" s="41" t="n">
        <f aca="false">Tasks[[#This Row],[_WeightDur]]*Tasks[[#This Row],[_LeafProgress]]</f>
        <v>0</v>
      </c>
      <c r="CX1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5" s="41" t="str">
        <f aca="false">IF(Tasks[[#This Row],[Task Name]]="","",Tasks[[#This Row],[_Pred1UIDText]]&amp;IF(AND(Tasks[[#This Row],[_Pred1UIDText]]&lt;&gt;"",Tasks[[#This Row],[_Pred2UIDText]]&lt;&gt;""),",","")&amp;Tasks[[#This Row],[_Pred2UIDText]])</f>
        <v/>
      </c>
      <c r="DC165" s="41" t="str">
        <f aca="false">IF(AND(Tasks[[#This Row],[_IsLeaf]]=1,N(Tasks[[#This Row],[Duration]])=0,Tasks[[#This Row],[_LeafProgress]]&lt;1),Tasks[[#This Row],[_LeafFcstFinish]]+Tasks[[#This Row],[_Row]]/100000,"")</f>
        <v/>
      </c>
      <c r="DD1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5" s="41" t="n">
        <f aca="false">IF(NOT(Tasks[[#This Row],[_IsLeaf]]=1),0,IF(Tasks[[#This Row],[Baseline Cost]]="",Tasks[[#This Row],[_LeafCost]],N(Tasks[[#This Row],[Baseline Cost]])))</f>
        <v>0</v>
      </c>
      <c r="DF165" s="41" t="n">
        <f aca="false">Tasks[[#This Row],[_LeafBudget]]*Tasks[[#This Row],[_PlannedPct]]</f>
        <v>0</v>
      </c>
      <c r="DG165" s="41" t="n">
        <f aca="false">Tasks[[#This Row],[_LeafBudget]]*Tasks[[#This Row],[_LeafProgress]]</f>
        <v>0</v>
      </c>
      <c r="DH165" s="41" t="n">
        <f aca="false">IF(NOT(Tasks[[#This Row],[_IsLeaf]]=1),0,IF(Tasks[[#This Row],[Actual Cost]]="",Tasks[[#This Row],[_LeafCost]]*Tasks[[#This Row],[_LeafProgress]],N(Tasks[[#This Row],[Actual Cost]])))</f>
        <v>0</v>
      </c>
      <c r="DI165" s="41" t="str">
        <f aca="false">IF(Tasks[[#This Row],[Task Name]]="","",LEFT(Tasks[[#This Row],[WBS]],FIND(".",Tasks[[#This Row],[WBS]]&amp;".")-1))</f>
        <v/>
      </c>
      <c r="DJ165" s="41" t="str">
        <f aca="false">IF(AND(Tasks[[#This Row],[Task Name]]&lt;&gt;"",Tasks[[#This Row],[_Level]]=1),Tasks[[#This Row],[_Row]],"")</f>
        <v/>
      </c>
      <c r="DK165" s="41" t="str">
        <f aca="false">IF(AND(Tasks[[#This Row],[_IsLeaf]]=1,N(Tasks[[#This Row],[Duration]])=0),Tasks[[#This Row],[Planned Finish]]+Tasks[[#This Row],[_Row]]/100000,"")</f>
        <v/>
      </c>
      <c r="DL165" s="41" t="str">
        <f aca="false">IF(AND(Tasks[[#This Row],[_IsLeaf]]=1,Tasks[[#This Row],[_LeafProgress]]&lt;1,OR(N(Tasks[[#This Row],[Finish Var]])&gt;0,Tasks[[#This Row],[Status]]="Late Start")),MAX(0,Tasks[[#This Row],[Finish Var]])+1-Tasks[[#This Row],[_Row]]/1000000,"")</f>
        <v/>
      </c>
      <c r="DM165" s="41" t="str">
        <f aca="false">IF(AND(Tasks[[#This Row],[_IsLeaf]]=1,N(Tasks[[#This Row],[Actual Start]])=0,Tasks[[#This Row],[_LeafFcstStart]]&gt;=StatusDate,Tasks[[#This Row],[_LeafFcstStart]]&lt;=LookaheadEnd),Tasks[[#This Row],[_LeafFcstStart]]+Tasks[[#This Row],[_Row]]/100000,"")</f>
        <v/>
      </c>
      <c r="DN165" s="41" t="str">
        <f aca="false">IF(AND(Tasks[[#This Row],[_IsLeaf]]=1,Tasks[[#This Row],[_LeafProgress]]&lt;1,Tasks[[#This Row],[_LeafFcstFinish]]&gt;=StatusDate,Tasks[[#This Row],[_LeafFcstFinish]]&lt;=LookaheadEnd),Tasks[[#This Row],[_LeafFcstFinish]]+Tasks[[#This Row],[_Row]]/100000,"")</f>
        <v/>
      </c>
      <c r="DO165" s="41" t="str">
        <f aca="false">IF(Tasks[[#This Row],[_LeafCritical]],Tasks[[#This Row],[_LeafFcstStart]]+Tasks[[#This Row],[_Row]]/100000,"")</f>
        <v/>
      </c>
      <c r="DP165" s="41" t="n">
        <f aca="false">Tasks[[#This Row],[_LeafWork]]*Tasks[[#This Row],[_LeafProgress]]</f>
        <v>0</v>
      </c>
      <c r="DQ165" s="103" t="str">
        <f aca="false">IF(AND(Tasks[[#This Row],[_IsLeaf]]=1,Tasks[[#This Row],[_LeafProgress]]&gt;=1),IF(N(Tasks[[#This Row],[Actual Finish]])&gt;0,Tasks[[#This Row],[Actual Finish]],Tasks[[#This Row],[_LeafFcstFinish]]),"")</f>
        <v/>
      </c>
      <c r="DR165" s="41" t="n">
        <f aca="false">IF(Tasks[[#This Row],[_IsLeaf]]=1,N(Tasks[[#This Row],[Story Points]]),0)</f>
        <v>0</v>
      </c>
      <c r="DS165" s="41" t="str">
        <f aca="false">IF(AND(Tasks[[#This Row],[_IsLeaf]]=1,CurrentSprint&lt;&gt;"",Tasks[[#This Row],[Sprint]]=CurrentSprint),Tasks[[#This Row],[_Row]],"")</f>
        <v/>
      </c>
    </row>
    <row r="166" customFormat="false" ht="15" hidden="false" customHeight="false" outlineLevel="0" collapsed="false">
      <c r="A166" s="28" t="str">
        <f aca="false">IF(Tasks[[#This Row],[Task Name]]="","",COUNTA(Tasks[[#Headers],[Task Name]]:Tasks[[#This Row],[Task Name]])-1)</f>
        <v/>
      </c>
      <c r="B166" s="29" t="n">
        <v>161</v>
      </c>
      <c r="C1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29"/>
      <c r="E166" s="30"/>
      <c r="F166" s="29"/>
      <c r="G166" s="29"/>
      <c r="H166" s="29"/>
      <c r="I166" s="29"/>
      <c r="J166" s="29"/>
      <c r="K166" s="29"/>
      <c r="L166" s="29"/>
      <c r="M166" s="29"/>
      <c r="N166" s="77"/>
      <c r="O166" s="77"/>
      <c r="P166" s="25" t="str">
        <f aca="false">IF(Tasks[[#This Row],[Task Name]]="","",IF(N(Tasks[[#This Row],[Baseline Start]])&gt;0,Tasks[[#This Row],[Baseline Start]],Tasks[[#This Row],[_CalcStart]]))</f>
        <v/>
      </c>
      <c r="Q166" s="25" t="str">
        <f aca="false">IF(Tasks[[#This Row],[Task Name]]="","",IF(N(Tasks[[#This Row],[Baseline Finish]])&gt;0,Tasks[[#This Row],[Baseline Finish]],Tasks[[#This Row],[_CalcFinish]]))</f>
        <v/>
      </c>
      <c r="R166" s="77"/>
      <c r="S166" s="77"/>
      <c r="T166" s="25" t="str">
        <f aca="false">IF(Tasks[[#This Row],[Task Name]]="","",IF(Tasks[[#This Row],[_IsSummary]],MIN(INDEX(Tasks[_LeafFcstStart],Tasks[[#This Row],[_Row]]+1):INDEX(Tasks[_LeafFcstStart],Tasks[[#This Row],[_Row]]+Tasks[[#This Row],[_Descendants]])),Tasks[[#This Row],[_LeafFcstStart]]))</f>
        <v/>
      </c>
      <c r="U166" s="25" t="str">
        <f aca="false">IF(Tasks[[#This Row],[Task Name]]="","",IF(Tasks[[#This Row],[_IsSummary]],MAX(INDEX(Tasks[_LeafFcstFinish],Tasks[[#This Row],[_Row]]+1):INDEX(Tasks[_LeafFcstFinish],Tasks[[#This Row],[_Row]]+Tasks[[#This Row],[_Descendants]])),Tasks[[#This Row],[_LeafFcstFinish]]))</f>
        <v/>
      </c>
      <c r="V16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6" s="25" t="str">
        <f aca="false">IF(Tasks[[#This Row],[Task Name]]="","",IF(Tasks[[#This Row],[_IsSummary]],MIN(INDEX(Tasks[_LeafLateStart],Tasks[[#This Row],[_Row]]+1):INDEX(Tasks[_LeafLateStart],Tasks[[#This Row],[_Row]]+Tasks[[#This Row],[_Descendants]])),Tasks[[#This Row],[_LeafLateStart]]))</f>
        <v/>
      </c>
      <c r="Y166" s="25" t="str">
        <f aca="false">IF(Tasks[[#This Row],[Task Name]]="","",IF(Tasks[[#This Row],[_IsSummary]],MAX(INDEX(Tasks[_LeafLateFinish],Tasks[[#This Row],[_Row]]+1):INDEX(Tasks[_LeafLateFinish],Tasks[[#This Row],[_Row]]+Tasks[[#This Row],[_Descendants]])),Tasks[[#This Row],[_LeafLateFinish]]))</f>
        <v/>
      </c>
      <c r="Z166" s="43" t="str">
        <f aca="false">IF(Tasks[[#This Row],[Task Name]]="","",IF(Tasks[[#This Row],[_IsSummary]],MIN(INDEX(Tasks[_LeafTotalSlack],Tasks[[#This Row],[_Row]]+1):INDEX(Tasks[_LeafTotalSlack],Tasks[[#This Row],[_Row]]+Tasks[[#This Row],[_Descendants]])),Tasks[[#This Row],[_LeafTotalSlack]]))</f>
        <v/>
      </c>
      <c r="AA1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6" s="28" t="str">
        <f aca="false">IF(Tasks[[#This Row],[Task Name]]="","",IF(IF(Tasks[[#This Row],[_IsSummary]],COUNTIF(INDEX(Tasks[_LeafCritical],Tasks[[#This Row],[_Row]]+1):INDEX(Tasks[_LeafCritical],Tasks[[#This Row],[_Row]]+Tasks[[#This Row],[_Descendants]]),TRUE())&gt;0,Tasks[[#This Row],[_LeafCritical]]),"Yes",""))</f>
        <v/>
      </c>
      <c r="AC1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6" s="24" t="str">
        <f aca="false">IF(Tasks[[#This Row],[Task Name]]="","",TRIM(IF(Tasks[[#This Row],[_Pred1Problem]]&lt;&gt;"","Pred 1: "&amp;Tasks[[#This Row],[_Pred1Problem]]&amp;". ","")&amp;IF(Tasks[[#This Row],[_Pred2Problem]]&lt;&gt;"","Pred 2: "&amp;Tasks[[#This Row],[_Pred2Problem]]&amp;".","")))</f>
        <v/>
      </c>
      <c r="AE166" s="91"/>
      <c r="AF16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6" s="28" t="str">
        <f aca="false">IF(Tasks[[#This Row],[Task Name]]="","",IF(Tasks[[#This Row],[Progress]]&gt;=1,"Complete",IF(OR(N(Tasks[[#This Row],[Actual Start]])&gt;0,Tasks[[#This Row],[Progress]]&gt;0),IF(Tasks[[#This Row],[Finish Var]]&gt;0,"Behind","In Progress"),IF(Tasks[[#This Row],[Planned Start]]&lt;StatusDate,"Late Start","Not Started"))))</f>
        <v/>
      </c>
      <c r="AH166" s="30"/>
      <c r="AI166" s="91"/>
      <c r="AJ16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6" s="98" t="str">
        <f aca="false">IF(Tasks[[#This Row],[Task Name]]="","",IF(Tasks[[#This Row],[_IsSummary]],SUM(INDEX(Tasks[_LeafWork],Tasks[[#This Row],[_Row]]+1):INDEX(Tasks[_LeafWork],Tasks[[#This Row],[_Row]]+Tasks[[#This Row],[_Descendants]])),Tasks[[#This Row],[_LeafWork]]))</f>
        <v/>
      </c>
      <c r="AL166" s="99" t="str">
        <f aca="false">IF(Tasks[[#This Row],[Task Name]]="","",IF(Tasks[[#This Row],[_IsSummary]],SUM(INDEX(Tasks[_LeafCost],Tasks[[#This Row],[_Row]]+1):INDEX(Tasks[_LeafCost],Tasks[[#This Row],[_Row]]+Tasks[[#This Row],[_Descendants]])),Tasks[[#This Row],[_LeafCost]]))</f>
        <v/>
      </c>
      <c r="AM166" s="100"/>
      <c r="AN166" s="29"/>
      <c r="AO1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6" s="85"/>
      <c r="AQ166" s="24" t="str">
        <f aca="false">IF(Tasks[[#This Row],[Task Name]]="","",Tasks[[#This Row],[_Pred1IDText]]&amp;IF(AND(Tasks[[#This Row],[_Pred1IDText]]&lt;&gt;"",Tasks[[#This Row],[_Pred2IDText]]&lt;&gt;""),",","")&amp;Tasks[[#This Row],[_Pred2IDText]])</f>
        <v/>
      </c>
      <c r="AR166" s="30"/>
      <c r="AS166" s="25" t="str">
        <f aca="false">IF(Tasks[[#This Row],[Task Name]]="","",Tasks[[#This Row],[Forecast Start]])</f>
        <v/>
      </c>
      <c r="AT166" s="25" t="str">
        <f aca="false">IF(Tasks[[#This Row],[Task Name]]="","",Tasks[[#This Row],[Forecast Finish]])</f>
        <v/>
      </c>
      <c r="AU166" s="28" t="str">
        <f aca="false">IF(Tasks[[#This Row],[Task Name]]="","",IF(Tasks[[#This Row],[_IsSummary]],NETWORKDAYS.INTL(Tasks[[#This Row],[Forecast Start]],Tasks[[#This Row],[Forecast Finish]],WorkWeek,Holidays),N(Tasks[[#This Row],[Duration]])))</f>
        <v/>
      </c>
      <c r="AV166" s="98" t="str">
        <f aca="false">IF(Tasks[[#This Row],[Task Name]]="","",Tasks[[#This Row],[Work]])</f>
        <v/>
      </c>
      <c r="AW166" s="99" t="str">
        <f aca="false">IF(Tasks[[#This Row],[Task Name]]="","",Tasks[[#This Row],[Cost]])</f>
        <v/>
      </c>
      <c r="AX166" s="77"/>
      <c r="AY166" s="77"/>
      <c r="AZ166" s="29"/>
      <c r="BA166" s="101"/>
      <c r="BB166" s="100"/>
      <c r="BC166" s="28" t="str">
        <f aca="false">IF(OR(Tasks[[#This Row],[Task Name]]="",Tasks[[#This Row],[Baseline Duration]]=""),"",Tasks[[#This Row],[BL Source Duration]]-N(Tasks[[#This Row],[Baseline Duration]]))</f>
        <v/>
      </c>
      <c r="BD166" s="98" t="str">
        <f aca="false">IF(OR(Tasks[[#This Row],[Task Name]]="",Tasks[[#This Row],[Baseline Work]]=""),"",Tasks[[#This Row],[Work]]-N(Tasks[[#This Row],[Baseline Work]]))</f>
        <v/>
      </c>
      <c r="BE166" s="99" t="str">
        <f aca="false">IF(OR(Tasks[[#This Row],[Task Name]]="",Tasks[[#This Row],[Baseline Cost]]=""),"",Tasks[[#This Row],[Cost]]-N(Tasks[[#This Row],[Baseline Cost]]))</f>
        <v/>
      </c>
      <c r="BF166" s="99" t="str">
        <f aca="false">IF(Tasks[[#This Row],[Task Name]]="","",IF(Tasks[[#This Row],[_IsSummary]],SUM(INDEX(Tasks[_LeafBudget],Tasks[[#This Row],[_Row]]+1):INDEX(Tasks[_LeafBudget],Tasks[[#This Row],[_Row]]+Tasks[[#This Row],[_Descendants]])),Tasks[[#This Row],[_LeafBudget]]))</f>
        <v/>
      </c>
      <c r="BG166" s="99" t="str">
        <f aca="false">IF(Tasks[[#This Row],[Task Name]]="","",IF(Tasks[[#This Row],[_IsSummary]],SUM(INDEX(Tasks[_LeafPV],Tasks[[#This Row],[_Row]]+1):INDEX(Tasks[_LeafPV],Tasks[[#This Row],[_Row]]+Tasks[[#This Row],[_Descendants]])),Tasks[[#This Row],[_LeafPV]]))</f>
        <v/>
      </c>
      <c r="BH166" s="99" t="str">
        <f aca="false">IF(Tasks[[#This Row],[Task Name]]="","",IF(Tasks[[#This Row],[_IsSummary]],SUM(INDEX(Tasks[_LeafEV],Tasks[[#This Row],[_Row]]+1):INDEX(Tasks[_LeafEV],Tasks[[#This Row],[_Row]]+Tasks[[#This Row],[_Descendants]])),Tasks[[#This Row],[_LeafEV]]))</f>
        <v/>
      </c>
      <c r="BI166" s="99" t="str">
        <f aca="false">IF(Tasks[[#This Row],[Task Name]]="","",IF(Tasks[[#This Row],[_IsSummary]],SUM(INDEX(Tasks[_LeafAC],Tasks[[#This Row],[_Row]]+1):INDEX(Tasks[_LeafAC],Tasks[[#This Row],[_Row]]+Tasks[[#This Row],[_Descendants]])),Tasks[[#This Row],[_LeafAC]]))</f>
        <v/>
      </c>
      <c r="BJ166" s="41" t="str">
        <f aca="false">IF(Tasks[[#This Row],[Task Name]]="","",MAX(1,N(Tasks[[#This Row],[Level]])))</f>
        <v/>
      </c>
      <c r="BK166" s="41" t="n">
        <f aca="false">ROW()-ROW(Tasks[[#Headers],[ID]])</f>
        <v>161</v>
      </c>
      <c r="BL166" s="41" t="n">
        <f aca="false">IF(OR(Tasks[[#This Row],[Task Name]]="",Tasks[[#This Row],[_Level]]&lt;=1),0,IFERROR(LOOKUP(2,1/(Tasks[[#Headers],[_Level]]:Tasks[[#This Row],[_Level]]=Tasks[[#This Row],[_Level]]-1),ROW(Tasks[[#Headers],[_Level]]:Tasks[[#This Row],[_Level]])),0))</f>
        <v>0</v>
      </c>
      <c r="BM166" s="41" t="n">
        <f aca="false">IFERROR(N(INDEX(Tasks[_Level],Tasks[[#This Row],[_Row]]+1)),0)</f>
        <v>0</v>
      </c>
      <c r="BN166" s="102" t="b">
        <f aca="false">AND(Tasks[[#This Row],[Task Name]]&lt;&gt;"",Tasks[[#This Row],[_NextLevel]]&gt;Tasks[[#This Row],[_Level]])</f>
        <v>0</v>
      </c>
      <c r="BO166" s="41" t="n">
        <f aca="false">IF(Tasks[[#This Row],[_IsSummary]],COUNTIF(Tasks[WBS],Tasks[[#This Row],[WBS]]&amp;".*"),0)</f>
        <v>0</v>
      </c>
      <c r="BP166" s="41" t="n">
        <f aca="false">IF(AND(Tasks[[#This Row],[Task Name]]&lt;&gt;"",NOT(Tasks[[#This Row],[_IsSummary]])),1,0)</f>
        <v>0</v>
      </c>
      <c r="BQ166" s="41" t="n">
        <f aca="false">IF(N(Tasks[[#This Row],[Pred1 UID]])=0,0,IFERROR(MATCH(Tasks[[#This Row],[Pred1 UID]],Tasks[UID],0),-1))</f>
        <v>0</v>
      </c>
      <c r="BR166" s="41" t="n">
        <f aca="false">IF(N(Tasks[[#This Row],[Pred2 UID]])=0,0,IFERROR(MATCH(Tasks[[#This Row],[Pred2 UID]],Tasks[UID],0),-1))</f>
        <v>0</v>
      </c>
      <c r="BS16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6" s="103" t="str">
        <f aca="false">IF(NOT(Tasks[[#This Row],[_IsLeaf]]=1),"",IF(N(Tasks[[#This Row],[Duration]])&lt;=0,Tasks[[#This Row],[_LeafCalcStart]],WORKDAY.INTL(Tasks[[#This Row],[_LeafCalcStart]],Tasks[[#This Row],[Duration]]-1,WorkWeek,Holidays)))</f>
        <v/>
      </c>
      <c r="BU16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6" s="41" t="n">
        <f aca="false">IF(NOT(Tasks[[#This Row],[_IsLeaf]]=1),0,IF(N(Tasks[[#This Row],[Actual Finish]])&gt;0,1,MIN(1,N(Tasks[[#This Row],[% Complete]]))))</f>
        <v>0</v>
      </c>
      <c r="BX166" s="41" t="n">
        <f aca="false">IF(OR(NOT(Tasks[[#This Row],[_IsLeaf]]=1),Tasks[[#This Row],[Resource]]=""),0,N(Tasks[[#This Row],[Duration]])*HoursPerDay*IF(Tasks[[#This Row],[Units]]="",DefaultUnits,Tasks[[#This Row],[Units]]))</f>
        <v>0</v>
      </c>
      <c r="BY166" s="41" t="n">
        <f aca="false">IF(Tasks[[#This Row],[_LeafWork]]=0,0,Tasks[[#This Row],[_LeafWork]]*IFERROR(INDEX(res_Rate,MATCH(Tasks[[#This Row],[Resource]],res_Name,0)),0))</f>
        <v>0</v>
      </c>
      <c r="BZ1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6" s="41" t="n">
        <f aca="false">IF(NOT(Tasks[[#This Row],[_IsLeaf]]=1),0,MAX(_xlfn.MAXIFS(Tasks[_Row],Tasks[Pred1 UID],Tasks[[#This Row],[UID]]),_xlfn.MAXIFS(Tasks[_Row],Tasks[Pred2 UID],Tasks[[#This Row],[UID]])))</f>
        <v>0</v>
      </c>
      <c r="CE16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6" s="103" t="str">
        <f aca="false">IF(NOT(Tasks[[#This Row],[_IsLeaf]]=1),"",MIN(ProjectFinish,IF(N(Tasks[[#This Row],[Deadline]])&gt;0,Tasks[[#This Row],[Deadline]],2958465),Tasks[[#This Row],[_SuccessorFinishLimit]]))</f>
        <v/>
      </c>
      <c r="CG166" s="103" t="str">
        <f aca="false">IF(NOT(Tasks[[#This Row],[_IsLeaf]]=1),"",IF(N(Tasks[[#This Row],[Duration]])&lt;=0,Tasks[[#This Row],[_LeafLateFinish]],WORKDAY.INTL(Tasks[[#This Row],[_LeafLateFinish]],-(Tasks[[#This Row],[Duration]]-1),WorkWeek,Holidays)))</f>
        <v/>
      </c>
      <c r="CH1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6" s="102" t="b">
        <f aca="false">AND(Tasks[[#This Row],[_IsLeaf]]=1,Tasks[[#This Row],[_LeafProgress]]&lt;1,N(Tasks[[#This Row],[_LeafTotalSlack]])&lt;=CriticalSlackDays)</f>
        <v>0</v>
      </c>
      <c r="CJ166" s="103" t="str">
        <f aca="false">IF(Tasks[[#This Row],[Task Name]]="","",IF(Tasks[[#This Row],[_IsSummary]],MIN(INDEX(Tasks[_LeafCalcStart],Tasks[[#This Row],[_Row]]+1):INDEX(Tasks[_LeafCalcStart],Tasks[[#This Row],[_Row]]+Tasks[[#This Row],[_Descendants]])),Tasks[[#This Row],[_LeafCalcStart]]))</f>
        <v/>
      </c>
      <c r="CK166" s="103" t="str">
        <f aca="false">IF(Tasks[[#This Row],[Task Name]]="","",IF(Tasks[[#This Row],[_IsSummary]],MAX(INDEX(Tasks[_LeafCalcFinish],Tasks[[#This Row],[_Row]]+1):INDEX(Tasks[_LeafCalcFinish],Tasks[[#This Row],[_Row]]+Tasks[[#This Row],[_Descendants]])),Tasks[[#This Row],[_LeafCalcFinish]]))</f>
        <v/>
      </c>
      <c r="CL1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6" s="41" t="n">
        <f aca="false">IF(AND(Tasks[[#This Row],[_IsLeaf]]=1,Tasks[[#This Row],[_LeafWork]]&gt;0),NETWORKDAYS.INTL(ProjectStart,Tasks[[#This Row],[_LeafFcstStart]],WorkWeek,Holidays),0)</f>
        <v>0</v>
      </c>
      <c r="CS166" s="41" t="n">
        <f aca="false">IF(AND(Tasks[[#This Row],[_IsLeaf]]=1,Tasks[[#This Row],[_LeafWork]]&gt;0),MAX(Tasks[[#This Row],[_StartWorkday]],NETWORKDAYS.INTL(ProjectStart,Tasks[[#This Row],[_LeafFcstFinish]],WorkWeek,Holidays)),0)</f>
        <v>0</v>
      </c>
      <c r="CT166" s="41" t="n">
        <f aca="false">IF(AND(Tasks[[#This Row],[_IsLeaf]]=1,Tasks[[#This Row],[_LeafWork]]&gt;0),Tasks[[#This Row],[_LeafWork]]/(Tasks[[#This Row],[_FinishWorkday]]-Tasks[[#This Row],[_StartWorkday]]+1),0)</f>
        <v>0</v>
      </c>
      <c r="CU166" s="41" t="n">
        <f aca="false">Tasks[[#This Row],[_WorkPerWorkday]]*(Tasks[[#This Row],[_StartWorkday]]-1)</f>
        <v>-0</v>
      </c>
      <c r="CV166" s="41" t="n">
        <f aca="false">IF(Tasks[[#This Row],[_IsLeaf]]=1,MAX(N(Tasks[[#This Row],[Duration]]),0.1),0)</f>
        <v>0</v>
      </c>
      <c r="CW166" s="41" t="n">
        <f aca="false">Tasks[[#This Row],[_WeightDur]]*Tasks[[#This Row],[_LeafProgress]]</f>
        <v>0</v>
      </c>
      <c r="CX1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6" s="41" t="str">
        <f aca="false">IF(Tasks[[#This Row],[Task Name]]="","",Tasks[[#This Row],[_Pred1UIDText]]&amp;IF(AND(Tasks[[#This Row],[_Pred1UIDText]]&lt;&gt;"",Tasks[[#This Row],[_Pred2UIDText]]&lt;&gt;""),",","")&amp;Tasks[[#This Row],[_Pred2UIDText]])</f>
        <v/>
      </c>
      <c r="DC166" s="41" t="str">
        <f aca="false">IF(AND(Tasks[[#This Row],[_IsLeaf]]=1,N(Tasks[[#This Row],[Duration]])=0,Tasks[[#This Row],[_LeafProgress]]&lt;1),Tasks[[#This Row],[_LeafFcstFinish]]+Tasks[[#This Row],[_Row]]/100000,"")</f>
        <v/>
      </c>
      <c r="DD1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6" s="41" t="n">
        <f aca="false">IF(NOT(Tasks[[#This Row],[_IsLeaf]]=1),0,IF(Tasks[[#This Row],[Baseline Cost]]="",Tasks[[#This Row],[_LeafCost]],N(Tasks[[#This Row],[Baseline Cost]])))</f>
        <v>0</v>
      </c>
      <c r="DF166" s="41" t="n">
        <f aca="false">Tasks[[#This Row],[_LeafBudget]]*Tasks[[#This Row],[_PlannedPct]]</f>
        <v>0</v>
      </c>
      <c r="DG166" s="41" t="n">
        <f aca="false">Tasks[[#This Row],[_LeafBudget]]*Tasks[[#This Row],[_LeafProgress]]</f>
        <v>0</v>
      </c>
      <c r="DH166" s="41" t="n">
        <f aca="false">IF(NOT(Tasks[[#This Row],[_IsLeaf]]=1),0,IF(Tasks[[#This Row],[Actual Cost]]="",Tasks[[#This Row],[_LeafCost]]*Tasks[[#This Row],[_LeafProgress]],N(Tasks[[#This Row],[Actual Cost]])))</f>
        <v>0</v>
      </c>
      <c r="DI166" s="41" t="str">
        <f aca="false">IF(Tasks[[#This Row],[Task Name]]="","",LEFT(Tasks[[#This Row],[WBS]],FIND(".",Tasks[[#This Row],[WBS]]&amp;".")-1))</f>
        <v/>
      </c>
      <c r="DJ166" s="41" t="str">
        <f aca="false">IF(AND(Tasks[[#This Row],[Task Name]]&lt;&gt;"",Tasks[[#This Row],[_Level]]=1),Tasks[[#This Row],[_Row]],"")</f>
        <v/>
      </c>
      <c r="DK166" s="41" t="str">
        <f aca="false">IF(AND(Tasks[[#This Row],[_IsLeaf]]=1,N(Tasks[[#This Row],[Duration]])=0),Tasks[[#This Row],[Planned Finish]]+Tasks[[#This Row],[_Row]]/100000,"")</f>
        <v/>
      </c>
      <c r="DL166" s="41" t="str">
        <f aca="false">IF(AND(Tasks[[#This Row],[_IsLeaf]]=1,Tasks[[#This Row],[_LeafProgress]]&lt;1,OR(N(Tasks[[#This Row],[Finish Var]])&gt;0,Tasks[[#This Row],[Status]]="Late Start")),MAX(0,Tasks[[#This Row],[Finish Var]])+1-Tasks[[#This Row],[_Row]]/1000000,"")</f>
        <v/>
      </c>
      <c r="DM166" s="41" t="str">
        <f aca="false">IF(AND(Tasks[[#This Row],[_IsLeaf]]=1,N(Tasks[[#This Row],[Actual Start]])=0,Tasks[[#This Row],[_LeafFcstStart]]&gt;=StatusDate,Tasks[[#This Row],[_LeafFcstStart]]&lt;=LookaheadEnd),Tasks[[#This Row],[_LeafFcstStart]]+Tasks[[#This Row],[_Row]]/100000,"")</f>
        <v/>
      </c>
      <c r="DN166" s="41" t="str">
        <f aca="false">IF(AND(Tasks[[#This Row],[_IsLeaf]]=1,Tasks[[#This Row],[_LeafProgress]]&lt;1,Tasks[[#This Row],[_LeafFcstFinish]]&gt;=StatusDate,Tasks[[#This Row],[_LeafFcstFinish]]&lt;=LookaheadEnd),Tasks[[#This Row],[_LeafFcstFinish]]+Tasks[[#This Row],[_Row]]/100000,"")</f>
        <v/>
      </c>
      <c r="DO166" s="41" t="str">
        <f aca="false">IF(Tasks[[#This Row],[_LeafCritical]],Tasks[[#This Row],[_LeafFcstStart]]+Tasks[[#This Row],[_Row]]/100000,"")</f>
        <v/>
      </c>
      <c r="DP166" s="41" t="n">
        <f aca="false">Tasks[[#This Row],[_LeafWork]]*Tasks[[#This Row],[_LeafProgress]]</f>
        <v>0</v>
      </c>
      <c r="DQ166" s="103" t="str">
        <f aca="false">IF(AND(Tasks[[#This Row],[_IsLeaf]]=1,Tasks[[#This Row],[_LeafProgress]]&gt;=1),IF(N(Tasks[[#This Row],[Actual Finish]])&gt;0,Tasks[[#This Row],[Actual Finish]],Tasks[[#This Row],[_LeafFcstFinish]]),"")</f>
        <v/>
      </c>
      <c r="DR166" s="41" t="n">
        <f aca="false">IF(Tasks[[#This Row],[_IsLeaf]]=1,N(Tasks[[#This Row],[Story Points]]),0)</f>
        <v>0</v>
      </c>
      <c r="DS166" s="41" t="str">
        <f aca="false">IF(AND(Tasks[[#This Row],[_IsLeaf]]=1,CurrentSprint&lt;&gt;"",Tasks[[#This Row],[Sprint]]=CurrentSprint),Tasks[[#This Row],[_Row]],"")</f>
        <v/>
      </c>
    </row>
    <row r="167" customFormat="false" ht="15" hidden="false" customHeight="false" outlineLevel="0" collapsed="false">
      <c r="A167" s="28" t="str">
        <f aca="false">IF(Tasks[[#This Row],[Task Name]]="","",COUNTA(Tasks[[#Headers],[Task Name]]:Tasks[[#This Row],[Task Name]])-1)</f>
        <v/>
      </c>
      <c r="B167" s="29" t="n">
        <v>162</v>
      </c>
      <c r="C1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29"/>
      <c r="E167" s="30"/>
      <c r="F167" s="29"/>
      <c r="G167" s="29"/>
      <c r="H167" s="29"/>
      <c r="I167" s="29"/>
      <c r="J167" s="29"/>
      <c r="K167" s="29"/>
      <c r="L167" s="29"/>
      <c r="M167" s="29"/>
      <c r="N167" s="77"/>
      <c r="O167" s="77"/>
      <c r="P167" s="25" t="str">
        <f aca="false">IF(Tasks[[#This Row],[Task Name]]="","",IF(N(Tasks[[#This Row],[Baseline Start]])&gt;0,Tasks[[#This Row],[Baseline Start]],Tasks[[#This Row],[_CalcStart]]))</f>
        <v/>
      </c>
      <c r="Q167" s="25" t="str">
        <f aca="false">IF(Tasks[[#This Row],[Task Name]]="","",IF(N(Tasks[[#This Row],[Baseline Finish]])&gt;0,Tasks[[#This Row],[Baseline Finish]],Tasks[[#This Row],[_CalcFinish]]))</f>
        <v/>
      </c>
      <c r="R167" s="77"/>
      <c r="S167" s="77"/>
      <c r="T167" s="25" t="str">
        <f aca="false">IF(Tasks[[#This Row],[Task Name]]="","",IF(Tasks[[#This Row],[_IsSummary]],MIN(INDEX(Tasks[_LeafFcstStart],Tasks[[#This Row],[_Row]]+1):INDEX(Tasks[_LeafFcstStart],Tasks[[#This Row],[_Row]]+Tasks[[#This Row],[_Descendants]])),Tasks[[#This Row],[_LeafFcstStart]]))</f>
        <v/>
      </c>
      <c r="U167" s="25" t="str">
        <f aca="false">IF(Tasks[[#This Row],[Task Name]]="","",IF(Tasks[[#This Row],[_IsSummary]],MAX(INDEX(Tasks[_LeafFcstFinish],Tasks[[#This Row],[_Row]]+1):INDEX(Tasks[_LeafFcstFinish],Tasks[[#This Row],[_Row]]+Tasks[[#This Row],[_Descendants]])),Tasks[[#This Row],[_LeafFcstFinish]]))</f>
        <v/>
      </c>
      <c r="V16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7" s="25" t="str">
        <f aca="false">IF(Tasks[[#This Row],[Task Name]]="","",IF(Tasks[[#This Row],[_IsSummary]],MIN(INDEX(Tasks[_LeafLateStart],Tasks[[#This Row],[_Row]]+1):INDEX(Tasks[_LeafLateStart],Tasks[[#This Row],[_Row]]+Tasks[[#This Row],[_Descendants]])),Tasks[[#This Row],[_LeafLateStart]]))</f>
        <v/>
      </c>
      <c r="Y167" s="25" t="str">
        <f aca="false">IF(Tasks[[#This Row],[Task Name]]="","",IF(Tasks[[#This Row],[_IsSummary]],MAX(INDEX(Tasks[_LeafLateFinish],Tasks[[#This Row],[_Row]]+1):INDEX(Tasks[_LeafLateFinish],Tasks[[#This Row],[_Row]]+Tasks[[#This Row],[_Descendants]])),Tasks[[#This Row],[_LeafLateFinish]]))</f>
        <v/>
      </c>
      <c r="Z167" s="43" t="str">
        <f aca="false">IF(Tasks[[#This Row],[Task Name]]="","",IF(Tasks[[#This Row],[_IsSummary]],MIN(INDEX(Tasks[_LeafTotalSlack],Tasks[[#This Row],[_Row]]+1):INDEX(Tasks[_LeafTotalSlack],Tasks[[#This Row],[_Row]]+Tasks[[#This Row],[_Descendants]])),Tasks[[#This Row],[_LeafTotalSlack]]))</f>
        <v/>
      </c>
      <c r="AA1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7" s="28" t="str">
        <f aca="false">IF(Tasks[[#This Row],[Task Name]]="","",IF(IF(Tasks[[#This Row],[_IsSummary]],COUNTIF(INDEX(Tasks[_LeafCritical],Tasks[[#This Row],[_Row]]+1):INDEX(Tasks[_LeafCritical],Tasks[[#This Row],[_Row]]+Tasks[[#This Row],[_Descendants]]),TRUE())&gt;0,Tasks[[#This Row],[_LeafCritical]]),"Yes",""))</f>
        <v/>
      </c>
      <c r="AC1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7" s="24" t="str">
        <f aca="false">IF(Tasks[[#This Row],[Task Name]]="","",TRIM(IF(Tasks[[#This Row],[_Pred1Problem]]&lt;&gt;"","Pred 1: "&amp;Tasks[[#This Row],[_Pred1Problem]]&amp;". ","")&amp;IF(Tasks[[#This Row],[_Pred2Problem]]&lt;&gt;"","Pred 2: "&amp;Tasks[[#This Row],[_Pred2Problem]]&amp;".","")))</f>
        <v/>
      </c>
      <c r="AE167" s="91"/>
      <c r="AF16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7" s="28" t="str">
        <f aca="false">IF(Tasks[[#This Row],[Task Name]]="","",IF(Tasks[[#This Row],[Progress]]&gt;=1,"Complete",IF(OR(N(Tasks[[#This Row],[Actual Start]])&gt;0,Tasks[[#This Row],[Progress]]&gt;0),IF(Tasks[[#This Row],[Finish Var]]&gt;0,"Behind","In Progress"),IF(Tasks[[#This Row],[Planned Start]]&lt;StatusDate,"Late Start","Not Started"))))</f>
        <v/>
      </c>
      <c r="AH167" s="30"/>
      <c r="AI167" s="91"/>
      <c r="AJ16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7" s="98" t="str">
        <f aca="false">IF(Tasks[[#This Row],[Task Name]]="","",IF(Tasks[[#This Row],[_IsSummary]],SUM(INDEX(Tasks[_LeafWork],Tasks[[#This Row],[_Row]]+1):INDEX(Tasks[_LeafWork],Tasks[[#This Row],[_Row]]+Tasks[[#This Row],[_Descendants]])),Tasks[[#This Row],[_LeafWork]]))</f>
        <v/>
      </c>
      <c r="AL167" s="99" t="str">
        <f aca="false">IF(Tasks[[#This Row],[Task Name]]="","",IF(Tasks[[#This Row],[_IsSummary]],SUM(INDEX(Tasks[_LeafCost],Tasks[[#This Row],[_Row]]+1):INDEX(Tasks[_LeafCost],Tasks[[#This Row],[_Row]]+Tasks[[#This Row],[_Descendants]])),Tasks[[#This Row],[_LeafCost]]))</f>
        <v/>
      </c>
      <c r="AM167" s="100"/>
      <c r="AN167" s="29"/>
      <c r="AO1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7" s="85"/>
      <c r="AQ167" s="24" t="str">
        <f aca="false">IF(Tasks[[#This Row],[Task Name]]="","",Tasks[[#This Row],[_Pred1IDText]]&amp;IF(AND(Tasks[[#This Row],[_Pred1IDText]]&lt;&gt;"",Tasks[[#This Row],[_Pred2IDText]]&lt;&gt;""),",","")&amp;Tasks[[#This Row],[_Pred2IDText]])</f>
        <v/>
      </c>
      <c r="AR167" s="30"/>
      <c r="AS167" s="25" t="str">
        <f aca="false">IF(Tasks[[#This Row],[Task Name]]="","",Tasks[[#This Row],[Forecast Start]])</f>
        <v/>
      </c>
      <c r="AT167" s="25" t="str">
        <f aca="false">IF(Tasks[[#This Row],[Task Name]]="","",Tasks[[#This Row],[Forecast Finish]])</f>
        <v/>
      </c>
      <c r="AU167" s="28" t="str">
        <f aca="false">IF(Tasks[[#This Row],[Task Name]]="","",IF(Tasks[[#This Row],[_IsSummary]],NETWORKDAYS.INTL(Tasks[[#This Row],[Forecast Start]],Tasks[[#This Row],[Forecast Finish]],WorkWeek,Holidays),N(Tasks[[#This Row],[Duration]])))</f>
        <v/>
      </c>
      <c r="AV167" s="98" t="str">
        <f aca="false">IF(Tasks[[#This Row],[Task Name]]="","",Tasks[[#This Row],[Work]])</f>
        <v/>
      </c>
      <c r="AW167" s="99" t="str">
        <f aca="false">IF(Tasks[[#This Row],[Task Name]]="","",Tasks[[#This Row],[Cost]])</f>
        <v/>
      </c>
      <c r="AX167" s="77"/>
      <c r="AY167" s="77"/>
      <c r="AZ167" s="29"/>
      <c r="BA167" s="101"/>
      <c r="BB167" s="100"/>
      <c r="BC167" s="28" t="str">
        <f aca="false">IF(OR(Tasks[[#This Row],[Task Name]]="",Tasks[[#This Row],[Baseline Duration]]=""),"",Tasks[[#This Row],[BL Source Duration]]-N(Tasks[[#This Row],[Baseline Duration]]))</f>
        <v/>
      </c>
      <c r="BD167" s="98" t="str">
        <f aca="false">IF(OR(Tasks[[#This Row],[Task Name]]="",Tasks[[#This Row],[Baseline Work]]=""),"",Tasks[[#This Row],[Work]]-N(Tasks[[#This Row],[Baseline Work]]))</f>
        <v/>
      </c>
      <c r="BE167" s="99" t="str">
        <f aca="false">IF(OR(Tasks[[#This Row],[Task Name]]="",Tasks[[#This Row],[Baseline Cost]]=""),"",Tasks[[#This Row],[Cost]]-N(Tasks[[#This Row],[Baseline Cost]]))</f>
        <v/>
      </c>
      <c r="BF167" s="99" t="str">
        <f aca="false">IF(Tasks[[#This Row],[Task Name]]="","",IF(Tasks[[#This Row],[_IsSummary]],SUM(INDEX(Tasks[_LeafBudget],Tasks[[#This Row],[_Row]]+1):INDEX(Tasks[_LeafBudget],Tasks[[#This Row],[_Row]]+Tasks[[#This Row],[_Descendants]])),Tasks[[#This Row],[_LeafBudget]]))</f>
        <v/>
      </c>
      <c r="BG167" s="99" t="str">
        <f aca="false">IF(Tasks[[#This Row],[Task Name]]="","",IF(Tasks[[#This Row],[_IsSummary]],SUM(INDEX(Tasks[_LeafPV],Tasks[[#This Row],[_Row]]+1):INDEX(Tasks[_LeafPV],Tasks[[#This Row],[_Row]]+Tasks[[#This Row],[_Descendants]])),Tasks[[#This Row],[_LeafPV]]))</f>
        <v/>
      </c>
      <c r="BH167" s="99" t="str">
        <f aca="false">IF(Tasks[[#This Row],[Task Name]]="","",IF(Tasks[[#This Row],[_IsSummary]],SUM(INDEX(Tasks[_LeafEV],Tasks[[#This Row],[_Row]]+1):INDEX(Tasks[_LeafEV],Tasks[[#This Row],[_Row]]+Tasks[[#This Row],[_Descendants]])),Tasks[[#This Row],[_LeafEV]]))</f>
        <v/>
      </c>
      <c r="BI167" s="99" t="str">
        <f aca="false">IF(Tasks[[#This Row],[Task Name]]="","",IF(Tasks[[#This Row],[_IsSummary]],SUM(INDEX(Tasks[_LeafAC],Tasks[[#This Row],[_Row]]+1):INDEX(Tasks[_LeafAC],Tasks[[#This Row],[_Row]]+Tasks[[#This Row],[_Descendants]])),Tasks[[#This Row],[_LeafAC]]))</f>
        <v/>
      </c>
      <c r="BJ167" s="41" t="str">
        <f aca="false">IF(Tasks[[#This Row],[Task Name]]="","",MAX(1,N(Tasks[[#This Row],[Level]])))</f>
        <v/>
      </c>
      <c r="BK167" s="41" t="n">
        <f aca="false">ROW()-ROW(Tasks[[#Headers],[ID]])</f>
        <v>162</v>
      </c>
      <c r="BL167" s="41" t="n">
        <f aca="false">IF(OR(Tasks[[#This Row],[Task Name]]="",Tasks[[#This Row],[_Level]]&lt;=1),0,IFERROR(LOOKUP(2,1/(Tasks[[#Headers],[_Level]]:Tasks[[#This Row],[_Level]]=Tasks[[#This Row],[_Level]]-1),ROW(Tasks[[#Headers],[_Level]]:Tasks[[#This Row],[_Level]])),0))</f>
        <v>0</v>
      </c>
      <c r="BM167" s="41" t="n">
        <f aca="false">IFERROR(N(INDEX(Tasks[_Level],Tasks[[#This Row],[_Row]]+1)),0)</f>
        <v>0</v>
      </c>
      <c r="BN167" s="102" t="b">
        <f aca="false">AND(Tasks[[#This Row],[Task Name]]&lt;&gt;"",Tasks[[#This Row],[_NextLevel]]&gt;Tasks[[#This Row],[_Level]])</f>
        <v>0</v>
      </c>
      <c r="BO167" s="41" t="n">
        <f aca="false">IF(Tasks[[#This Row],[_IsSummary]],COUNTIF(Tasks[WBS],Tasks[[#This Row],[WBS]]&amp;".*"),0)</f>
        <v>0</v>
      </c>
      <c r="BP167" s="41" t="n">
        <f aca="false">IF(AND(Tasks[[#This Row],[Task Name]]&lt;&gt;"",NOT(Tasks[[#This Row],[_IsSummary]])),1,0)</f>
        <v>0</v>
      </c>
      <c r="BQ167" s="41" t="n">
        <f aca="false">IF(N(Tasks[[#This Row],[Pred1 UID]])=0,0,IFERROR(MATCH(Tasks[[#This Row],[Pred1 UID]],Tasks[UID],0),-1))</f>
        <v>0</v>
      </c>
      <c r="BR167" s="41" t="n">
        <f aca="false">IF(N(Tasks[[#This Row],[Pred2 UID]])=0,0,IFERROR(MATCH(Tasks[[#This Row],[Pred2 UID]],Tasks[UID],0),-1))</f>
        <v>0</v>
      </c>
      <c r="BS16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7" s="103" t="str">
        <f aca="false">IF(NOT(Tasks[[#This Row],[_IsLeaf]]=1),"",IF(N(Tasks[[#This Row],[Duration]])&lt;=0,Tasks[[#This Row],[_LeafCalcStart]],WORKDAY.INTL(Tasks[[#This Row],[_LeafCalcStart]],Tasks[[#This Row],[Duration]]-1,WorkWeek,Holidays)))</f>
        <v/>
      </c>
      <c r="BU16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7" s="41" t="n">
        <f aca="false">IF(NOT(Tasks[[#This Row],[_IsLeaf]]=1),0,IF(N(Tasks[[#This Row],[Actual Finish]])&gt;0,1,MIN(1,N(Tasks[[#This Row],[% Complete]]))))</f>
        <v>0</v>
      </c>
      <c r="BX167" s="41" t="n">
        <f aca="false">IF(OR(NOT(Tasks[[#This Row],[_IsLeaf]]=1),Tasks[[#This Row],[Resource]]=""),0,N(Tasks[[#This Row],[Duration]])*HoursPerDay*IF(Tasks[[#This Row],[Units]]="",DefaultUnits,Tasks[[#This Row],[Units]]))</f>
        <v>0</v>
      </c>
      <c r="BY167" s="41" t="n">
        <f aca="false">IF(Tasks[[#This Row],[_LeafWork]]=0,0,Tasks[[#This Row],[_LeafWork]]*IFERROR(INDEX(res_Rate,MATCH(Tasks[[#This Row],[Resource]],res_Name,0)),0))</f>
        <v>0</v>
      </c>
      <c r="BZ1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7" s="41" t="n">
        <f aca="false">IF(NOT(Tasks[[#This Row],[_IsLeaf]]=1),0,MAX(_xlfn.MAXIFS(Tasks[_Row],Tasks[Pred1 UID],Tasks[[#This Row],[UID]]),_xlfn.MAXIFS(Tasks[_Row],Tasks[Pred2 UID],Tasks[[#This Row],[UID]])))</f>
        <v>0</v>
      </c>
      <c r="CE16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7" s="103" t="str">
        <f aca="false">IF(NOT(Tasks[[#This Row],[_IsLeaf]]=1),"",MIN(ProjectFinish,IF(N(Tasks[[#This Row],[Deadline]])&gt;0,Tasks[[#This Row],[Deadline]],2958465),Tasks[[#This Row],[_SuccessorFinishLimit]]))</f>
        <v/>
      </c>
      <c r="CG167" s="103" t="str">
        <f aca="false">IF(NOT(Tasks[[#This Row],[_IsLeaf]]=1),"",IF(N(Tasks[[#This Row],[Duration]])&lt;=0,Tasks[[#This Row],[_LeafLateFinish]],WORKDAY.INTL(Tasks[[#This Row],[_LeafLateFinish]],-(Tasks[[#This Row],[Duration]]-1),WorkWeek,Holidays)))</f>
        <v/>
      </c>
      <c r="CH1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7" s="102" t="b">
        <f aca="false">AND(Tasks[[#This Row],[_IsLeaf]]=1,Tasks[[#This Row],[_LeafProgress]]&lt;1,N(Tasks[[#This Row],[_LeafTotalSlack]])&lt;=CriticalSlackDays)</f>
        <v>0</v>
      </c>
      <c r="CJ167" s="103" t="str">
        <f aca="false">IF(Tasks[[#This Row],[Task Name]]="","",IF(Tasks[[#This Row],[_IsSummary]],MIN(INDEX(Tasks[_LeafCalcStart],Tasks[[#This Row],[_Row]]+1):INDEX(Tasks[_LeafCalcStart],Tasks[[#This Row],[_Row]]+Tasks[[#This Row],[_Descendants]])),Tasks[[#This Row],[_LeafCalcStart]]))</f>
        <v/>
      </c>
      <c r="CK167" s="103" t="str">
        <f aca="false">IF(Tasks[[#This Row],[Task Name]]="","",IF(Tasks[[#This Row],[_IsSummary]],MAX(INDEX(Tasks[_LeafCalcFinish],Tasks[[#This Row],[_Row]]+1):INDEX(Tasks[_LeafCalcFinish],Tasks[[#This Row],[_Row]]+Tasks[[#This Row],[_Descendants]])),Tasks[[#This Row],[_LeafCalcFinish]]))</f>
        <v/>
      </c>
      <c r="CL1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7" s="41" t="n">
        <f aca="false">IF(AND(Tasks[[#This Row],[_IsLeaf]]=1,Tasks[[#This Row],[_LeafWork]]&gt;0),NETWORKDAYS.INTL(ProjectStart,Tasks[[#This Row],[_LeafFcstStart]],WorkWeek,Holidays),0)</f>
        <v>0</v>
      </c>
      <c r="CS167" s="41" t="n">
        <f aca="false">IF(AND(Tasks[[#This Row],[_IsLeaf]]=1,Tasks[[#This Row],[_LeafWork]]&gt;0),MAX(Tasks[[#This Row],[_StartWorkday]],NETWORKDAYS.INTL(ProjectStart,Tasks[[#This Row],[_LeafFcstFinish]],WorkWeek,Holidays)),0)</f>
        <v>0</v>
      </c>
      <c r="CT167" s="41" t="n">
        <f aca="false">IF(AND(Tasks[[#This Row],[_IsLeaf]]=1,Tasks[[#This Row],[_LeafWork]]&gt;0),Tasks[[#This Row],[_LeafWork]]/(Tasks[[#This Row],[_FinishWorkday]]-Tasks[[#This Row],[_StartWorkday]]+1),0)</f>
        <v>0</v>
      </c>
      <c r="CU167" s="41" t="n">
        <f aca="false">Tasks[[#This Row],[_WorkPerWorkday]]*(Tasks[[#This Row],[_StartWorkday]]-1)</f>
        <v>-0</v>
      </c>
      <c r="CV167" s="41" t="n">
        <f aca="false">IF(Tasks[[#This Row],[_IsLeaf]]=1,MAX(N(Tasks[[#This Row],[Duration]]),0.1),0)</f>
        <v>0</v>
      </c>
      <c r="CW167" s="41" t="n">
        <f aca="false">Tasks[[#This Row],[_WeightDur]]*Tasks[[#This Row],[_LeafProgress]]</f>
        <v>0</v>
      </c>
      <c r="CX1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7" s="41" t="str">
        <f aca="false">IF(Tasks[[#This Row],[Task Name]]="","",Tasks[[#This Row],[_Pred1UIDText]]&amp;IF(AND(Tasks[[#This Row],[_Pred1UIDText]]&lt;&gt;"",Tasks[[#This Row],[_Pred2UIDText]]&lt;&gt;""),",","")&amp;Tasks[[#This Row],[_Pred2UIDText]])</f>
        <v/>
      </c>
      <c r="DC167" s="41" t="str">
        <f aca="false">IF(AND(Tasks[[#This Row],[_IsLeaf]]=1,N(Tasks[[#This Row],[Duration]])=0,Tasks[[#This Row],[_LeafProgress]]&lt;1),Tasks[[#This Row],[_LeafFcstFinish]]+Tasks[[#This Row],[_Row]]/100000,"")</f>
        <v/>
      </c>
      <c r="DD1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7" s="41" t="n">
        <f aca="false">IF(NOT(Tasks[[#This Row],[_IsLeaf]]=1),0,IF(Tasks[[#This Row],[Baseline Cost]]="",Tasks[[#This Row],[_LeafCost]],N(Tasks[[#This Row],[Baseline Cost]])))</f>
        <v>0</v>
      </c>
      <c r="DF167" s="41" t="n">
        <f aca="false">Tasks[[#This Row],[_LeafBudget]]*Tasks[[#This Row],[_PlannedPct]]</f>
        <v>0</v>
      </c>
      <c r="DG167" s="41" t="n">
        <f aca="false">Tasks[[#This Row],[_LeafBudget]]*Tasks[[#This Row],[_LeafProgress]]</f>
        <v>0</v>
      </c>
      <c r="DH167" s="41" t="n">
        <f aca="false">IF(NOT(Tasks[[#This Row],[_IsLeaf]]=1),0,IF(Tasks[[#This Row],[Actual Cost]]="",Tasks[[#This Row],[_LeafCost]]*Tasks[[#This Row],[_LeafProgress]],N(Tasks[[#This Row],[Actual Cost]])))</f>
        <v>0</v>
      </c>
      <c r="DI167" s="41" t="str">
        <f aca="false">IF(Tasks[[#This Row],[Task Name]]="","",LEFT(Tasks[[#This Row],[WBS]],FIND(".",Tasks[[#This Row],[WBS]]&amp;".")-1))</f>
        <v/>
      </c>
      <c r="DJ167" s="41" t="str">
        <f aca="false">IF(AND(Tasks[[#This Row],[Task Name]]&lt;&gt;"",Tasks[[#This Row],[_Level]]=1),Tasks[[#This Row],[_Row]],"")</f>
        <v/>
      </c>
      <c r="DK167" s="41" t="str">
        <f aca="false">IF(AND(Tasks[[#This Row],[_IsLeaf]]=1,N(Tasks[[#This Row],[Duration]])=0),Tasks[[#This Row],[Planned Finish]]+Tasks[[#This Row],[_Row]]/100000,"")</f>
        <v/>
      </c>
      <c r="DL167" s="41" t="str">
        <f aca="false">IF(AND(Tasks[[#This Row],[_IsLeaf]]=1,Tasks[[#This Row],[_LeafProgress]]&lt;1,OR(N(Tasks[[#This Row],[Finish Var]])&gt;0,Tasks[[#This Row],[Status]]="Late Start")),MAX(0,Tasks[[#This Row],[Finish Var]])+1-Tasks[[#This Row],[_Row]]/1000000,"")</f>
        <v/>
      </c>
      <c r="DM167" s="41" t="str">
        <f aca="false">IF(AND(Tasks[[#This Row],[_IsLeaf]]=1,N(Tasks[[#This Row],[Actual Start]])=0,Tasks[[#This Row],[_LeafFcstStart]]&gt;=StatusDate,Tasks[[#This Row],[_LeafFcstStart]]&lt;=LookaheadEnd),Tasks[[#This Row],[_LeafFcstStart]]+Tasks[[#This Row],[_Row]]/100000,"")</f>
        <v/>
      </c>
      <c r="DN167" s="41" t="str">
        <f aca="false">IF(AND(Tasks[[#This Row],[_IsLeaf]]=1,Tasks[[#This Row],[_LeafProgress]]&lt;1,Tasks[[#This Row],[_LeafFcstFinish]]&gt;=StatusDate,Tasks[[#This Row],[_LeafFcstFinish]]&lt;=LookaheadEnd),Tasks[[#This Row],[_LeafFcstFinish]]+Tasks[[#This Row],[_Row]]/100000,"")</f>
        <v/>
      </c>
      <c r="DO167" s="41" t="str">
        <f aca="false">IF(Tasks[[#This Row],[_LeafCritical]],Tasks[[#This Row],[_LeafFcstStart]]+Tasks[[#This Row],[_Row]]/100000,"")</f>
        <v/>
      </c>
      <c r="DP167" s="41" t="n">
        <f aca="false">Tasks[[#This Row],[_LeafWork]]*Tasks[[#This Row],[_LeafProgress]]</f>
        <v>0</v>
      </c>
      <c r="DQ167" s="103" t="str">
        <f aca="false">IF(AND(Tasks[[#This Row],[_IsLeaf]]=1,Tasks[[#This Row],[_LeafProgress]]&gt;=1),IF(N(Tasks[[#This Row],[Actual Finish]])&gt;0,Tasks[[#This Row],[Actual Finish]],Tasks[[#This Row],[_LeafFcstFinish]]),"")</f>
        <v/>
      </c>
      <c r="DR167" s="41" t="n">
        <f aca="false">IF(Tasks[[#This Row],[_IsLeaf]]=1,N(Tasks[[#This Row],[Story Points]]),0)</f>
        <v>0</v>
      </c>
      <c r="DS167" s="41" t="str">
        <f aca="false">IF(AND(Tasks[[#This Row],[_IsLeaf]]=1,CurrentSprint&lt;&gt;"",Tasks[[#This Row],[Sprint]]=CurrentSprint),Tasks[[#This Row],[_Row]],"")</f>
        <v/>
      </c>
    </row>
    <row r="168" customFormat="false" ht="15" hidden="false" customHeight="false" outlineLevel="0" collapsed="false">
      <c r="A168" s="28" t="str">
        <f aca="false">IF(Tasks[[#This Row],[Task Name]]="","",COUNTA(Tasks[[#Headers],[Task Name]]:Tasks[[#This Row],[Task Name]])-1)</f>
        <v/>
      </c>
      <c r="B168" s="29" t="n">
        <v>163</v>
      </c>
      <c r="C1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29"/>
      <c r="E168" s="30"/>
      <c r="F168" s="29"/>
      <c r="G168" s="29"/>
      <c r="H168" s="29"/>
      <c r="I168" s="29"/>
      <c r="J168" s="29"/>
      <c r="K168" s="29"/>
      <c r="L168" s="29"/>
      <c r="M168" s="29"/>
      <c r="N168" s="77"/>
      <c r="O168" s="77"/>
      <c r="P168" s="25" t="str">
        <f aca="false">IF(Tasks[[#This Row],[Task Name]]="","",IF(N(Tasks[[#This Row],[Baseline Start]])&gt;0,Tasks[[#This Row],[Baseline Start]],Tasks[[#This Row],[_CalcStart]]))</f>
        <v/>
      </c>
      <c r="Q168" s="25" t="str">
        <f aca="false">IF(Tasks[[#This Row],[Task Name]]="","",IF(N(Tasks[[#This Row],[Baseline Finish]])&gt;0,Tasks[[#This Row],[Baseline Finish]],Tasks[[#This Row],[_CalcFinish]]))</f>
        <v/>
      </c>
      <c r="R168" s="77"/>
      <c r="S168" s="77"/>
      <c r="T168" s="25" t="str">
        <f aca="false">IF(Tasks[[#This Row],[Task Name]]="","",IF(Tasks[[#This Row],[_IsSummary]],MIN(INDEX(Tasks[_LeafFcstStart],Tasks[[#This Row],[_Row]]+1):INDEX(Tasks[_LeafFcstStart],Tasks[[#This Row],[_Row]]+Tasks[[#This Row],[_Descendants]])),Tasks[[#This Row],[_LeafFcstStart]]))</f>
        <v/>
      </c>
      <c r="U168" s="25" t="str">
        <f aca="false">IF(Tasks[[#This Row],[Task Name]]="","",IF(Tasks[[#This Row],[_IsSummary]],MAX(INDEX(Tasks[_LeafFcstFinish],Tasks[[#This Row],[_Row]]+1):INDEX(Tasks[_LeafFcstFinish],Tasks[[#This Row],[_Row]]+Tasks[[#This Row],[_Descendants]])),Tasks[[#This Row],[_LeafFcstFinish]]))</f>
        <v/>
      </c>
      <c r="V16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8" s="25" t="str">
        <f aca="false">IF(Tasks[[#This Row],[Task Name]]="","",IF(Tasks[[#This Row],[_IsSummary]],MIN(INDEX(Tasks[_LeafLateStart],Tasks[[#This Row],[_Row]]+1):INDEX(Tasks[_LeafLateStart],Tasks[[#This Row],[_Row]]+Tasks[[#This Row],[_Descendants]])),Tasks[[#This Row],[_LeafLateStart]]))</f>
        <v/>
      </c>
      <c r="Y168" s="25" t="str">
        <f aca="false">IF(Tasks[[#This Row],[Task Name]]="","",IF(Tasks[[#This Row],[_IsSummary]],MAX(INDEX(Tasks[_LeafLateFinish],Tasks[[#This Row],[_Row]]+1):INDEX(Tasks[_LeafLateFinish],Tasks[[#This Row],[_Row]]+Tasks[[#This Row],[_Descendants]])),Tasks[[#This Row],[_LeafLateFinish]]))</f>
        <v/>
      </c>
      <c r="Z168" s="43" t="str">
        <f aca="false">IF(Tasks[[#This Row],[Task Name]]="","",IF(Tasks[[#This Row],[_IsSummary]],MIN(INDEX(Tasks[_LeafTotalSlack],Tasks[[#This Row],[_Row]]+1):INDEX(Tasks[_LeafTotalSlack],Tasks[[#This Row],[_Row]]+Tasks[[#This Row],[_Descendants]])),Tasks[[#This Row],[_LeafTotalSlack]]))</f>
        <v/>
      </c>
      <c r="AA1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8" s="28" t="str">
        <f aca="false">IF(Tasks[[#This Row],[Task Name]]="","",IF(IF(Tasks[[#This Row],[_IsSummary]],COUNTIF(INDEX(Tasks[_LeafCritical],Tasks[[#This Row],[_Row]]+1):INDEX(Tasks[_LeafCritical],Tasks[[#This Row],[_Row]]+Tasks[[#This Row],[_Descendants]]),TRUE())&gt;0,Tasks[[#This Row],[_LeafCritical]]),"Yes",""))</f>
        <v/>
      </c>
      <c r="AC1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8" s="24" t="str">
        <f aca="false">IF(Tasks[[#This Row],[Task Name]]="","",TRIM(IF(Tasks[[#This Row],[_Pred1Problem]]&lt;&gt;"","Pred 1: "&amp;Tasks[[#This Row],[_Pred1Problem]]&amp;". ","")&amp;IF(Tasks[[#This Row],[_Pred2Problem]]&lt;&gt;"","Pred 2: "&amp;Tasks[[#This Row],[_Pred2Problem]]&amp;".","")))</f>
        <v/>
      </c>
      <c r="AE168" s="91"/>
      <c r="AF16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8" s="28" t="str">
        <f aca="false">IF(Tasks[[#This Row],[Task Name]]="","",IF(Tasks[[#This Row],[Progress]]&gt;=1,"Complete",IF(OR(N(Tasks[[#This Row],[Actual Start]])&gt;0,Tasks[[#This Row],[Progress]]&gt;0),IF(Tasks[[#This Row],[Finish Var]]&gt;0,"Behind","In Progress"),IF(Tasks[[#This Row],[Planned Start]]&lt;StatusDate,"Late Start","Not Started"))))</f>
        <v/>
      </c>
      <c r="AH168" s="30"/>
      <c r="AI168" s="91"/>
      <c r="AJ16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8" s="98" t="str">
        <f aca="false">IF(Tasks[[#This Row],[Task Name]]="","",IF(Tasks[[#This Row],[_IsSummary]],SUM(INDEX(Tasks[_LeafWork],Tasks[[#This Row],[_Row]]+1):INDEX(Tasks[_LeafWork],Tasks[[#This Row],[_Row]]+Tasks[[#This Row],[_Descendants]])),Tasks[[#This Row],[_LeafWork]]))</f>
        <v/>
      </c>
      <c r="AL168" s="99" t="str">
        <f aca="false">IF(Tasks[[#This Row],[Task Name]]="","",IF(Tasks[[#This Row],[_IsSummary]],SUM(INDEX(Tasks[_LeafCost],Tasks[[#This Row],[_Row]]+1):INDEX(Tasks[_LeafCost],Tasks[[#This Row],[_Row]]+Tasks[[#This Row],[_Descendants]])),Tasks[[#This Row],[_LeafCost]]))</f>
        <v/>
      </c>
      <c r="AM168" s="100"/>
      <c r="AN168" s="29"/>
      <c r="AO1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8" s="85"/>
      <c r="AQ168" s="24" t="str">
        <f aca="false">IF(Tasks[[#This Row],[Task Name]]="","",Tasks[[#This Row],[_Pred1IDText]]&amp;IF(AND(Tasks[[#This Row],[_Pred1IDText]]&lt;&gt;"",Tasks[[#This Row],[_Pred2IDText]]&lt;&gt;""),",","")&amp;Tasks[[#This Row],[_Pred2IDText]])</f>
        <v/>
      </c>
      <c r="AR168" s="30"/>
      <c r="AS168" s="25" t="str">
        <f aca="false">IF(Tasks[[#This Row],[Task Name]]="","",Tasks[[#This Row],[Forecast Start]])</f>
        <v/>
      </c>
      <c r="AT168" s="25" t="str">
        <f aca="false">IF(Tasks[[#This Row],[Task Name]]="","",Tasks[[#This Row],[Forecast Finish]])</f>
        <v/>
      </c>
      <c r="AU168" s="28" t="str">
        <f aca="false">IF(Tasks[[#This Row],[Task Name]]="","",IF(Tasks[[#This Row],[_IsSummary]],NETWORKDAYS.INTL(Tasks[[#This Row],[Forecast Start]],Tasks[[#This Row],[Forecast Finish]],WorkWeek,Holidays),N(Tasks[[#This Row],[Duration]])))</f>
        <v/>
      </c>
      <c r="AV168" s="98" t="str">
        <f aca="false">IF(Tasks[[#This Row],[Task Name]]="","",Tasks[[#This Row],[Work]])</f>
        <v/>
      </c>
      <c r="AW168" s="99" t="str">
        <f aca="false">IF(Tasks[[#This Row],[Task Name]]="","",Tasks[[#This Row],[Cost]])</f>
        <v/>
      </c>
      <c r="AX168" s="77"/>
      <c r="AY168" s="77"/>
      <c r="AZ168" s="29"/>
      <c r="BA168" s="101"/>
      <c r="BB168" s="100"/>
      <c r="BC168" s="28" t="str">
        <f aca="false">IF(OR(Tasks[[#This Row],[Task Name]]="",Tasks[[#This Row],[Baseline Duration]]=""),"",Tasks[[#This Row],[BL Source Duration]]-N(Tasks[[#This Row],[Baseline Duration]]))</f>
        <v/>
      </c>
      <c r="BD168" s="98" t="str">
        <f aca="false">IF(OR(Tasks[[#This Row],[Task Name]]="",Tasks[[#This Row],[Baseline Work]]=""),"",Tasks[[#This Row],[Work]]-N(Tasks[[#This Row],[Baseline Work]]))</f>
        <v/>
      </c>
      <c r="BE168" s="99" t="str">
        <f aca="false">IF(OR(Tasks[[#This Row],[Task Name]]="",Tasks[[#This Row],[Baseline Cost]]=""),"",Tasks[[#This Row],[Cost]]-N(Tasks[[#This Row],[Baseline Cost]]))</f>
        <v/>
      </c>
      <c r="BF168" s="99" t="str">
        <f aca="false">IF(Tasks[[#This Row],[Task Name]]="","",IF(Tasks[[#This Row],[_IsSummary]],SUM(INDEX(Tasks[_LeafBudget],Tasks[[#This Row],[_Row]]+1):INDEX(Tasks[_LeafBudget],Tasks[[#This Row],[_Row]]+Tasks[[#This Row],[_Descendants]])),Tasks[[#This Row],[_LeafBudget]]))</f>
        <v/>
      </c>
      <c r="BG168" s="99" t="str">
        <f aca="false">IF(Tasks[[#This Row],[Task Name]]="","",IF(Tasks[[#This Row],[_IsSummary]],SUM(INDEX(Tasks[_LeafPV],Tasks[[#This Row],[_Row]]+1):INDEX(Tasks[_LeafPV],Tasks[[#This Row],[_Row]]+Tasks[[#This Row],[_Descendants]])),Tasks[[#This Row],[_LeafPV]]))</f>
        <v/>
      </c>
      <c r="BH168" s="99" t="str">
        <f aca="false">IF(Tasks[[#This Row],[Task Name]]="","",IF(Tasks[[#This Row],[_IsSummary]],SUM(INDEX(Tasks[_LeafEV],Tasks[[#This Row],[_Row]]+1):INDEX(Tasks[_LeafEV],Tasks[[#This Row],[_Row]]+Tasks[[#This Row],[_Descendants]])),Tasks[[#This Row],[_LeafEV]]))</f>
        <v/>
      </c>
      <c r="BI168" s="99" t="str">
        <f aca="false">IF(Tasks[[#This Row],[Task Name]]="","",IF(Tasks[[#This Row],[_IsSummary]],SUM(INDEX(Tasks[_LeafAC],Tasks[[#This Row],[_Row]]+1):INDEX(Tasks[_LeafAC],Tasks[[#This Row],[_Row]]+Tasks[[#This Row],[_Descendants]])),Tasks[[#This Row],[_LeafAC]]))</f>
        <v/>
      </c>
      <c r="BJ168" s="41" t="str">
        <f aca="false">IF(Tasks[[#This Row],[Task Name]]="","",MAX(1,N(Tasks[[#This Row],[Level]])))</f>
        <v/>
      </c>
      <c r="BK168" s="41" t="n">
        <f aca="false">ROW()-ROW(Tasks[[#Headers],[ID]])</f>
        <v>163</v>
      </c>
      <c r="BL168" s="41" t="n">
        <f aca="false">IF(OR(Tasks[[#This Row],[Task Name]]="",Tasks[[#This Row],[_Level]]&lt;=1),0,IFERROR(LOOKUP(2,1/(Tasks[[#Headers],[_Level]]:Tasks[[#This Row],[_Level]]=Tasks[[#This Row],[_Level]]-1),ROW(Tasks[[#Headers],[_Level]]:Tasks[[#This Row],[_Level]])),0))</f>
        <v>0</v>
      </c>
      <c r="BM168" s="41" t="n">
        <f aca="false">IFERROR(N(INDEX(Tasks[_Level],Tasks[[#This Row],[_Row]]+1)),0)</f>
        <v>0</v>
      </c>
      <c r="BN168" s="102" t="b">
        <f aca="false">AND(Tasks[[#This Row],[Task Name]]&lt;&gt;"",Tasks[[#This Row],[_NextLevel]]&gt;Tasks[[#This Row],[_Level]])</f>
        <v>0</v>
      </c>
      <c r="BO168" s="41" t="n">
        <f aca="false">IF(Tasks[[#This Row],[_IsSummary]],COUNTIF(Tasks[WBS],Tasks[[#This Row],[WBS]]&amp;".*"),0)</f>
        <v>0</v>
      </c>
      <c r="BP168" s="41" t="n">
        <f aca="false">IF(AND(Tasks[[#This Row],[Task Name]]&lt;&gt;"",NOT(Tasks[[#This Row],[_IsSummary]])),1,0)</f>
        <v>0</v>
      </c>
      <c r="BQ168" s="41" t="n">
        <f aca="false">IF(N(Tasks[[#This Row],[Pred1 UID]])=0,0,IFERROR(MATCH(Tasks[[#This Row],[Pred1 UID]],Tasks[UID],0),-1))</f>
        <v>0</v>
      </c>
      <c r="BR168" s="41" t="n">
        <f aca="false">IF(N(Tasks[[#This Row],[Pred2 UID]])=0,0,IFERROR(MATCH(Tasks[[#This Row],[Pred2 UID]],Tasks[UID],0),-1))</f>
        <v>0</v>
      </c>
      <c r="BS16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8" s="103" t="str">
        <f aca="false">IF(NOT(Tasks[[#This Row],[_IsLeaf]]=1),"",IF(N(Tasks[[#This Row],[Duration]])&lt;=0,Tasks[[#This Row],[_LeafCalcStart]],WORKDAY.INTL(Tasks[[#This Row],[_LeafCalcStart]],Tasks[[#This Row],[Duration]]-1,WorkWeek,Holidays)))</f>
        <v/>
      </c>
      <c r="BU16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8" s="41" t="n">
        <f aca="false">IF(NOT(Tasks[[#This Row],[_IsLeaf]]=1),0,IF(N(Tasks[[#This Row],[Actual Finish]])&gt;0,1,MIN(1,N(Tasks[[#This Row],[% Complete]]))))</f>
        <v>0</v>
      </c>
      <c r="BX168" s="41" t="n">
        <f aca="false">IF(OR(NOT(Tasks[[#This Row],[_IsLeaf]]=1),Tasks[[#This Row],[Resource]]=""),0,N(Tasks[[#This Row],[Duration]])*HoursPerDay*IF(Tasks[[#This Row],[Units]]="",DefaultUnits,Tasks[[#This Row],[Units]]))</f>
        <v>0</v>
      </c>
      <c r="BY168" s="41" t="n">
        <f aca="false">IF(Tasks[[#This Row],[_LeafWork]]=0,0,Tasks[[#This Row],[_LeafWork]]*IFERROR(INDEX(res_Rate,MATCH(Tasks[[#This Row],[Resource]],res_Name,0)),0))</f>
        <v>0</v>
      </c>
      <c r="BZ1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8" s="41" t="n">
        <f aca="false">IF(NOT(Tasks[[#This Row],[_IsLeaf]]=1),0,MAX(_xlfn.MAXIFS(Tasks[_Row],Tasks[Pred1 UID],Tasks[[#This Row],[UID]]),_xlfn.MAXIFS(Tasks[_Row],Tasks[Pred2 UID],Tasks[[#This Row],[UID]])))</f>
        <v>0</v>
      </c>
      <c r="CE16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8" s="103" t="str">
        <f aca="false">IF(NOT(Tasks[[#This Row],[_IsLeaf]]=1),"",MIN(ProjectFinish,IF(N(Tasks[[#This Row],[Deadline]])&gt;0,Tasks[[#This Row],[Deadline]],2958465),Tasks[[#This Row],[_SuccessorFinishLimit]]))</f>
        <v/>
      </c>
      <c r="CG168" s="103" t="str">
        <f aca="false">IF(NOT(Tasks[[#This Row],[_IsLeaf]]=1),"",IF(N(Tasks[[#This Row],[Duration]])&lt;=0,Tasks[[#This Row],[_LeafLateFinish]],WORKDAY.INTL(Tasks[[#This Row],[_LeafLateFinish]],-(Tasks[[#This Row],[Duration]]-1),WorkWeek,Holidays)))</f>
        <v/>
      </c>
      <c r="CH1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8" s="102" t="b">
        <f aca="false">AND(Tasks[[#This Row],[_IsLeaf]]=1,Tasks[[#This Row],[_LeafProgress]]&lt;1,N(Tasks[[#This Row],[_LeafTotalSlack]])&lt;=CriticalSlackDays)</f>
        <v>0</v>
      </c>
      <c r="CJ168" s="103" t="str">
        <f aca="false">IF(Tasks[[#This Row],[Task Name]]="","",IF(Tasks[[#This Row],[_IsSummary]],MIN(INDEX(Tasks[_LeafCalcStart],Tasks[[#This Row],[_Row]]+1):INDEX(Tasks[_LeafCalcStart],Tasks[[#This Row],[_Row]]+Tasks[[#This Row],[_Descendants]])),Tasks[[#This Row],[_LeafCalcStart]]))</f>
        <v/>
      </c>
      <c r="CK168" s="103" t="str">
        <f aca="false">IF(Tasks[[#This Row],[Task Name]]="","",IF(Tasks[[#This Row],[_IsSummary]],MAX(INDEX(Tasks[_LeafCalcFinish],Tasks[[#This Row],[_Row]]+1):INDEX(Tasks[_LeafCalcFinish],Tasks[[#This Row],[_Row]]+Tasks[[#This Row],[_Descendants]])),Tasks[[#This Row],[_LeafCalcFinish]]))</f>
        <v/>
      </c>
      <c r="CL1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8" s="41" t="n">
        <f aca="false">IF(AND(Tasks[[#This Row],[_IsLeaf]]=1,Tasks[[#This Row],[_LeafWork]]&gt;0),NETWORKDAYS.INTL(ProjectStart,Tasks[[#This Row],[_LeafFcstStart]],WorkWeek,Holidays),0)</f>
        <v>0</v>
      </c>
      <c r="CS168" s="41" t="n">
        <f aca="false">IF(AND(Tasks[[#This Row],[_IsLeaf]]=1,Tasks[[#This Row],[_LeafWork]]&gt;0),MAX(Tasks[[#This Row],[_StartWorkday]],NETWORKDAYS.INTL(ProjectStart,Tasks[[#This Row],[_LeafFcstFinish]],WorkWeek,Holidays)),0)</f>
        <v>0</v>
      </c>
      <c r="CT168" s="41" t="n">
        <f aca="false">IF(AND(Tasks[[#This Row],[_IsLeaf]]=1,Tasks[[#This Row],[_LeafWork]]&gt;0),Tasks[[#This Row],[_LeafWork]]/(Tasks[[#This Row],[_FinishWorkday]]-Tasks[[#This Row],[_StartWorkday]]+1),0)</f>
        <v>0</v>
      </c>
      <c r="CU168" s="41" t="n">
        <f aca="false">Tasks[[#This Row],[_WorkPerWorkday]]*(Tasks[[#This Row],[_StartWorkday]]-1)</f>
        <v>-0</v>
      </c>
      <c r="CV168" s="41" t="n">
        <f aca="false">IF(Tasks[[#This Row],[_IsLeaf]]=1,MAX(N(Tasks[[#This Row],[Duration]]),0.1),0)</f>
        <v>0</v>
      </c>
      <c r="CW168" s="41" t="n">
        <f aca="false">Tasks[[#This Row],[_WeightDur]]*Tasks[[#This Row],[_LeafProgress]]</f>
        <v>0</v>
      </c>
      <c r="CX1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8" s="41" t="str">
        <f aca="false">IF(Tasks[[#This Row],[Task Name]]="","",Tasks[[#This Row],[_Pred1UIDText]]&amp;IF(AND(Tasks[[#This Row],[_Pred1UIDText]]&lt;&gt;"",Tasks[[#This Row],[_Pred2UIDText]]&lt;&gt;""),",","")&amp;Tasks[[#This Row],[_Pred2UIDText]])</f>
        <v/>
      </c>
      <c r="DC168" s="41" t="str">
        <f aca="false">IF(AND(Tasks[[#This Row],[_IsLeaf]]=1,N(Tasks[[#This Row],[Duration]])=0,Tasks[[#This Row],[_LeafProgress]]&lt;1),Tasks[[#This Row],[_LeafFcstFinish]]+Tasks[[#This Row],[_Row]]/100000,"")</f>
        <v/>
      </c>
      <c r="DD1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8" s="41" t="n">
        <f aca="false">IF(NOT(Tasks[[#This Row],[_IsLeaf]]=1),0,IF(Tasks[[#This Row],[Baseline Cost]]="",Tasks[[#This Row],[_LeafCost]],N(Tasks[[#This Row],[Baseline Cost]])))</f>
        <v>0</v>
      </c>
      <c r="DF168" s="41" t="n">
        <f aca="false">Tasks[[#This Row],[_LeafBudget]]*Tasks[[#This Row],[_PlannedPct]]</f>
        <v>0</v>
      </c>
      <c r="DG168" s="41" t="n">
        <f aca="false">Tasks[[#This Row],[_LeafBudget]]*Tasks[[#This Row],[_LeafProgress]]</f>
        <v>0</v>
      </c>
      <c r="DH168" s="41" t="n">
        <f aca="false">IF(NOT(Tasks[[#This Row],[_IsLeaf]]=1),0,IF(Tasks[[#This Row],[Actual Cost]]="",Tasks[[#This Row],[_LeafCost]]*Tasks[[#This Row],[_LeafProgress]],N(Tasks[[#This Row],[Actual Cost]])))</f>
        <v>0</v>
      </c>
      <c r="DI168" s="41" t="str">
        <f aca="false">IF(Tasks[[#This Row],[Task Name]]="","",LEFT(Tasks[[#This Row],[WBS]],FIND(".",Tasks[[#This Row],[WBS]]&amp;".")-1))</f>
        <v/>
      </c>
      <c r="DJ168" s="41" t="str">
        <f aca="false">IF(AND(Tasks[[#This Row],[Task Name]]&lt;&gt;"",Tasks[[#This Row],[_Level]]=1),Tasks[[#This Row],[_Row]],"")</f>
        <v/>
      </c>
      <c r="DK168" s="41" t="str">
        <f aca="false">IF(AND(Tasks[[#This Row],[_IsLeaf]]=1,N(Tasks[[#This Row],[Duration]])=0),Tasks[[#This Row],[Planned Finish]]+Tasks[[#This Row],[_Row]]/100000,"")</f>
        <v/>
      </c>
      <c r="DL168" s="41" t="str">
        <f aca="false">IF(AND(Tasks[[#This Row],[_IsLeaf]]=1,Tasks[[#This Row],[_LeafProgress]]&lt;1,OR(N(Tasks[[#This Row],[Finish Var]])&gt;0,Tasks[[#This Row],[Status]]="Late Start")),MAX(0,Tasks[[#This Row],[Finish Var]])+1-Tasks[[#This Row],[_Row]]/1000000,"")</f>
        <v/>
      </c>
      <c r="DM168" s="41" t="str">
        <f aca="false">IF(AND(Tasks[[#This Row],[_IsLeaf]]=1,N(Tasks[[#This Row],[Actual Start]])=0,Tasks[[#This Row],[_LeafFcstStart]]&gt;=StatusDate,Tasks[[#This Row],[_LeafFcstStart]]&lt;=LookaheadEnd),Tasks[[#This Row],[_LeafFcstStart]]+Tasks[[#This Row],[_Row]]/100000,"")</f>
        <v/>
      </c>
      <c r="DN168" s="41" t="str">
        <f aca="false">IF(AND(Tasks[[#This Row],[_IsLeaf]]=1,Tasks[[#This Row],[_LeafProgress]]&lt;1,Tasks[[#This Row],[_LeafFcstFinish]]&gt;=StatusDate,Tasks[[#This Row],[_LeafFcstFinish]]&lt;=LookaheadEnd),Tasks[[#This Row],[_LeafFcstFinish]]+Tasks[[#This Row],[_Row]]/100000,"")</f>
        <v/>
      </c>
      <c r="DO168" s="41" t="str">
        <f aca="false">IF(Tasks[[#This Row],[_LeafCritical]],Tasks[[#This Row],[_LeafFcstStart]]+Tasks[[#This Row],[_Row]]/100000,"")</f>
        <v/>
      </c>
      <c r="DP168" s="41" t="n">
        <f aca="false">Tasks[[#This Row],[_LeafWork]]*Tasks[[#This Row],[_LeafProgress]]</f>
        <v>0</v>
      </c>
      <c r="DQ168" s="103" t="str">
        <f aca="false">IF(AND(Tasks[[#This Row],[_IsLeaf]]=1,Tasks[[#This Row],[_LeafProgress]]&gt;=1),IF(N(Tasks[[#This Row],[Actual Finish]])&gt;0,Tasks[[#This Row],[Actual Finish]],Tasks[[#This Row],[_LeafFcstFinish]]),"")</f>
        <v/>
      </c>
      <c r="DR168" s="41" t="n">
        <f aca="false">IF(Tasks[[#This Row],[_IsLeaf]]=1,N(Tasks[[#This Row],[Story Points]]),0)</f>
        <v>0</v>
      </c>
      <c r="DS168" s="41" t="str">
        <f aca="false">IF(AND(Tasks[[#This Row],[_IsLeaf]]=1,CurrentSprint&lt;&gt;"",Tasks[[#This Row],[Sprint]]=CurrentSprint),Tasks[[#This Row],[_Row]],"")</f>
        <v/>
      </c>
    </row>
    <row r="169" customFormat="false" ht="15" hidden="false" customHeight="false" outlineLevel="0" collapsed="false">
      <c r="A169" s="28" t="str">
        <f aca="false">IF(Tasks[[#This Row],[Task Name]]="","",COUNTA(Tasks[[#Headers],[Task Name]]:Tasks[[#This Row],[Task Name]])-1)</f>
        <v/>
      </c>
      <c r="B169" s="29" t="n">
        <v>164</v>
      </c>
      <c r="C1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29"/>
      <c r="E169" s="30"/>
      <c r="F169" s="29"/>
      <c r="G169" s="29"/>
      <c r="H169" s="29"/>
      <c r="I169" s="29"/>
      <c r="J169" s="29"/>
      <c r="K169" s="29"/>
      <c r="L169" s="29"/>
      <c r="M169" s="29"/>
      <c r="N169" s="77"/>
      <c r="O169" s="77"/>
      <c r="P169" s="25" t="str">
        <f aca="false">IF(Tasks[[#This Row],[Task Name]]="","",IF(N(Tasks[[#This Row],[Baseline Start]])&gt;0,Tasks[[#This Row],[Baseline Start]],Tasks[[#This Row],[_CalcStart]]))</f>
        <v/>
      </c>
      <c r="Q169" s="25" t="str">
        <f aca="false">IF(Tasks[[#This Row],[Task Name]]="","",IF(N(Tasks[[#This Row],[Baseline Finish]])&gt;0,Tasks[[#This Row],[Baseline Finish]],Tasks[[#This Row],[_CalcFinish]]))</f>
        <v/>
      </c>
      <c r="R169" s="77"/>
      <c r="S169" s="77"/>
      <c r="T169" s="25" t="str">
        <f aca="false">IF(Tasks[[#This Row],[Task Name]]="","",IF(Tasks[[#This Row],[_IsSummary]],MIN(INDEX(Tasks[_LeafFcstStart],Tasks[[#This Row],[_Row]]+1):INDEX(Tasks[_LeafFcstStart],Tasks[[#This Row],[_Row]]+Tasks[[#This Row],[_Descendants]])),Tasks[[#This Row],[_LeafFcstStart]]))</f>
        <v/>
      </c>
      <c r="U169" s="25" t="str">
        <f aca="false">IF(Tasks[[#This Row],[Task Name]]="","",IF(Tasks[[#This Row],[_IsSummary]],MAX(INDEX(Tasks[_LeafFcstFinish],Tasks[[#This Row],[_Row]]+1):INDEX(Tasks[_LeafFcstFinish],Tasks[[#This Row],[_Row]]+Tasks[[#This Row],[_Descendants]])),Tasks[[#This Row],[_LeafFcstFinish]]))</f>
        <v/>
      </c>
      <c r="V16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6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9" s="25" t="str">
        <f aca="false">IF(Tasks[[#This Row],[Task Name]]="","",IF(Tasks[[#This Row],[_IsSummary]],MIN(INDEX(Tasks[_LeafLateStart],Tasks[[#This Row],[_Row]]+1):INDEX(Tasks[_LeafLateStart],Tasks[[#This Row],[_Row]]+Tasks[[#This Row],[_Descendants]])),Tasks[[#This Row],[_LeafLateStart]]))</f>
        <v/>
      </c>
      <c r="Y169" s="25" t="str">
        <f aca="false">IF(Tasks[[#This Row],[Task Name]]="","",IF(Tasks[[#This Row],[_IsSummary]],MAX(INDEX(Tasks[_LeafLateFinish],Tasks[[#This Row],[_Row]]+1):INDEX(Tasks[_LeafLateFinish],Tasks[[#This Row],[_Row]]+Tasks[[#This Row],[_Descendants]])),Tasks[[#This Row],[_LeafLateFinish]]))</f>
        <v/>
      </c>
      <c r="Z169" s="43" t="str">
        <f aca="false">IF(Tasks[[#This Row],[Task Name]]="","",IF(Tasks[[#This Row],[_IsSummary]],MIN(INDEX(Tasks[_LeafTotalSlack],Tasks[[#This Row],[_Row]]+1):INDEX(Tasks[_LeafTotalSlack],Tasks[[#This Row],[_Row]]+Tasks[[#This Row],[_Descendants]])),Tasks[[#This Row],[_LeafTotalSlack]]))</f>
        <v/>
      </c>
      <c r="AA1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9" s="28" t="str">
        <f aca="false">IF(Tasks[[#This Row],[Task Name]]="","",IF(IF(Tasks[[#This Row],[_IsSummary]],COUNTIF(INDEX(Tasks[_LeafCritical],Tasks[[#This Row],[_Row]]+1):INDEX(Tasks[_LeafCritical],Tasks[[#This Row],[_Row]]+Tasks[[#This Row],[_Descendants]]),TRUE())&gt;0,Tasks[[#This Row],[_LeafCritical]]),"Yes",""))</f>
        <v/>
      </c>
      <c r="AC1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9" s="24" t="str">
        <f aca="false">IF(Tasks[[#This Row],[Task Name]]="","",TRIM(IF(Tasks[[#This Row],[_Pred1Problem]]&lt;&gt;"","Pred 1: "&amp;Tasks[[#This Row],[_Pred1Problem]]&amp;". ","")&amp;IF(Tasks[[#This Row],[_Pred2Problem]]&lt;&gt;"","Pred 2: "&amp;Tasks[[#This Row],[_Pred2Problem]]&amp;".","")))</f>
        <v/>
      </c>
      <c r="AE169" s="91"/>
      <c r="AF16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9" s="28" t="str">
        <f aca="false">IF(Tasks[[#This Row],[Task Name]]="","",IF(Tasks[[#This Row],[Progress]]&gt;=1,"Complete",IF(OR(N(Tasks[[#This Row],[Actual Start]])&gt;0,Tasks[[#This Row],[Progress]]&gt;0),IF(Tasks[[#This Row],[Finish Var]]&gt;0,"Behind","In Progress"),IF(Tasks[[#This Row],[Planned Start]]&lt;StatusDate,"Late Start","Not Started"))))</f>
        <v/>
      </c>
      <c r="AH169" s="30"/>
      <c r="AI169" s="91"/>
      <c r="AJ16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9" s="98" t="str">
        <f aca="false">IF(Tasks[[#This Row],[Task Name]]="","",IF(Tasks[[#This Row],[_IsSummary]],SUM(INDEX(Tasks[_LeafWork],Tasks[[#This Row],[_Row]]+1):INDEX(Tasks[_LeafWork],Tasks[[#This Row],[_Row]]+Tasks[[#This Row],[_Descendants]])),Tasks[[#This Row],[_LeafWork]]))</f>
        <v/>
      </c>
      <c r="AL169" s="99" t="str">
        <f aca="false">IF(Tasks[[#This Row],[Task Name]]="","",IF(Tasks[[#This Row],[_IsSummary]],SUM(INDEX(Tasks[_LeafCost],Tasks[[#This Row],[_Row]]+1):INDEX(Tasks[_LeafCost],Tasks[[#This Row],[_Row]]+Tasks[[#This Row],[_Descendants]])),Tasks[[#This Row],[_LeafCost]]))</f>
        <v/>
      </c>
      <c r="AM169" s="100"/>
      <c r="AN169" s="29"/>
      <c r="AO1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9" s="85"/>
      <c r="AQ169" s="24" t="str">
        <f aca="false">IF(Tasks[[#This Row],[Task Name]]="","",Tasks[[#This Row],[_Pred1IDText]]&amp;IF(AND(Tasks[[#This Row],[_Pred1IDText]]&lt;&gt;"",Tasks[[#This Row],[_Pred2IDText]]&lt;&gt;""),",","")&amp;Tasks[[#This Row],[_Pred2IDText]])</f>
        <v/>
      </c>
      <c r="AR169" s="30"/>
      <c r="AS169" s="25" t="str">
        <f aca="false">IF(Tasks[[#This Row],[Task Name]]="","",Tasks[[#This Row],[Forecast Start]])</f>
        <v/>
      </c>
      <c r="AT169" s="25" t="str">
        <f aca="false">IF(Tasks[[#This Row],[Task Name]]="","",Tasks[[#This Row],[Forecast Finish]])</f>
        <v/>
      </c>
      <c r="AU169" s="28" t="str">
        <f aca="false">IF(Tasks[[#This Row],[Task Name]]="","",IF(Tasks[[#This Row],[_IsSummary]],NETWORKDAYS.INTL(Tasks[[#This Row],[Forecast Start]],Tasks[[#This Row],[Forecast Finish]],WorkWeek,Holidays),N(Tasks[[#This Row],[Duration]])))</f>
        <v/>
      </c>
      <c r="AV169" s="98" t="str">
        <f aca="false">IF(Tasks[[#This Row],[Task Name]]="","",Tasks[[#This Row],[Work]])</f>
        <v/>
      </c>
      <c r="AW169" s="99" t="str">
        <f aca="false">IF(Tasks[[#This Row],[Task Name]]="","",Tasks[[#This Row],[Cost]])</f>
        <v/>
      </c>
      <c r="AX169" s="77"/>
      <c r="AY169" s="77"/>
      <c r="AZ169" s="29"/>
      <c r="BA169" s="101"/>
      <c r="BB169" s="100"/>
      <c r="BC169" s="28" t="str">
        <f aca="false">IF(OR(Tasks[[#This Row],[Task Name]]="",Tasks[[#This Row],[Baseline Duration]]=""),"",Tasks[[#This Row],[BL Source Duration]]-N(Tasks[[#This Row],[Baseline Duration]]))</f>
        <v/>
      </c>
      <c r="BD169" s="98" t="str">
        <f aca="false">IF(OR(Tasks[[#This Row],[Task Name]]="",Tasks[[#This Row],[Baseline Work]]=""),"",Tasks[[#This Row],[Work]]-N(Tasks[[#This Row],[Baseline Work]]))</f>
        <v/>
      </c>
      <c r="BE169" s="99" t="str">
        <f aca="false">IF(OR(Tasks[[#This Row],[Task Name]]="",Tasks[[#This Row],[Baseline Cost]]=""),"",Tasks[[#This Row],[Cost]]-N(Tasks[[#This Row],[Baseline Cost]]))</f>
        <v/>
      </c>
      <c r="BF169" s="99" t="str">
        <f aca="false">IF(Tasks[[#This Row],[Task Name]]="","",IF(Tasks[[#This Row],[_IsSummary]],SUM(INDEX(Tasks[_LeafBudget],Tasks[[#This Row],[_Row]]+1):INDEX(Tasks[_LeafBudget],Tasks[[#This Row],[_Row]]+Tasks[[#This Row],[_Descendants]])),Tasks[[#This Row],[_LeafBudget]]))</f>
        <v/>
      </c>
      <c r="BG169" s="99" t="str">
        <f aca="false">IF(Tasks[[#This Row],[Task Name]]="","",IF(Tasks[[#This Row],[_IsSummary]],SUM(INDEX(Tasks[_LeafPV],Tasks[[#This Row],[_Row]]+1):INDEX(Tasks[_LeafPV],Tasks[[#This Row],[_Row]]+Tasks[[#This Row],[_Descendants]])),Tasks[[#This Row],[_LeafPV]]))</f>
        <v/>
      </c>
      <c r="BH169" s="99" t="str">
        <f aca="false">IF(Tasks[[#This Row],[Task Name]]="","",IF(Tasks[[#This Row],[_IsSummary]],SUM(INDEX(Tasks[_LeafEV],Tasks[[#This Row],[_Row]]+1):INDEX(Tasks[_LeafEV],Tasks[[#This Row],[_Row]]+Tasks[[#This Row],[_Descendants]])),Tasks[[#This Row],[_LeafEV]]))</f>
        <v/>
      </c>
      <c r="BI169" s="99" t="str">
        <f aca="false">IF(Tasks[[#This Row],[Task Name]]="","",IF(Tasks[[#This Row],[_IsSummary]],SUM(INDEX(Tasks[_LeafAC],Tasks[[#This Row],[_Row]]+1):INDEX(Tasks[_LeafAC],Tasks[[#This Row],[_Row]]+Tasks[[#This Row],[_Descendants]])),Tasks[[#This Row],[_LeafAC]]))</f>
        <v/>
      </c>
      <c r="BJ169" s="41" t="str">
        <f aca="false">IF(Tasks[[#This Row],[Task Name]]="","",MAX(1,N(Tasks[[#This Row],[Level]])))</f>
        <v/>
      </c>
      <c r="BK169" s="41" t="n">
        <f aca="false">ROW()-ROW(Tasks[[#Headers],[ID]])</f>
        <v>164</v>
      </c>
      <c r="BL169" s="41" t="n">
        <f aca="false">IF(OR(Tasks[[#This Row],[Task Name]]="",Tasks[[#This Row],[_Level]]&lt;=1),0,IFERROR(LOOKUP(2,1/(Tasks[[#Headers],[_Level]]:Tasks[[#This Row],[_Level]]=Tasks[[#This Row],[_Level]]-1),ROW(Tasks[[#Headers],[_Level]]:Tasks[[#This Row],[_Level]])),0))</f>
        <v>0</v>
      </c>
      <c r="BM169" s="41" t="n">
        <f aca="false">IFERROR(N(INDEX(Tasks[_Level],Tasks[[#This Row],[_Row]]+1)),0)</f>
        <v>0</v>
      </c>
      <c r="BN169" s="102" t="b">
        <f aca="false">AND(Tasks[[#This Row],[Task Name]]&lt;&gt;"",Tasks[[#This Row],[_NextLevel]]&gt;Tasks[[#This Row],[_Level]])</f>
        <v>0</v>
      </c>
      <c r="BO169" s="41" t="n">
        <f aca="false">IF(Tasks[[#This Row],[_IsSummary]],COUNTIF(Tasks[WBS],Tasks[[#This Row],[WBS]]&amp;".*"),0)</f>
        <v>0</v>
      </c>
      <c r="BP169" s="41" t="n">
        <f aca="false">IF(AND(Tasks[[#This Row],[Task Name]]&lt;&gt;"",NOT(Tasks[[#This Row],[_IsSummary]])),1,0)</f>
        <v>0</v>
      </c>
      <c r="BQ169" s="41" t="n">
        <f aca="false">IF(N(Tasks[[#This Row],[Pred1 UID]])=0,0,IFERROR(MATCH(Tasks[[#This Row],[Pred1 UID]],Tasks[UID],0),-1))</f>
        <v>0</v>
      </c>
      <c r="BR169" s="41" t="n">
        <f aca="false">IF(N(Tasks[[#This Row],[Pred2 UID]])=0,0,IFERROR(MATCH(Tasks[[#This Row],[Pred2 UID]],Tasks[UID],0),-1))</f>
        <v>0</v>
      </c>
      <c r="BS16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9" s="103" t="str">
        <f aca="false">IF(NOT(Tasks[[#This Row],[_IsLeaf]]=1),"",IF(N(Tasks[[#This Row],[Duration]])&lt;=0,Tasks[[#This Row],[_LeafCalcStart]],WORKDAY.INTL(Tasks[[#This Row],[_LeafCalcStart]],Tasks[[#This Row],[Duration]]-1,WorkWeek,Holidays)))</f>
        <v/>
      </c>
      <c r="BU16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9" s="41" t="n">
        <f aca="false">IF(NOT(Tasks[[#This Row],[_IsLeaf]]=1),0,IF(N(Tasks[[#This Row],[Actual Finish]])&gt;0,1,MIN(1,N(Tasks[[#This Row],[% Complete]]))))</f>
        <v>0</v>
      </c>
      <c r="BX169" s="41" t="n">
        <f aca="false">IF(OR(NOT(Tasks[[#This Row],[_IsLeaf]]=1),Tasks[[#This Row],[Resource]]=""),0,N(Tasks[[#This Row],[Duration]])*HoursPerDay*IF(Tasks[[#This Row],[Units]]="",DefaultUnits,Tasks[[#This Row],[Units]]))</f>
        <v>0</v>
      </c>
      <c r="BY169" s="41" t="n">
        <f aca="false">IF(Tasks[[#This Row],[_LeafWork]]=0,0,Tasks[[#This Row],[_LeafWork]]*IFERROR(INDEX(res_Rate,MATCH(Tasks[[#This Row],[Resource]],res_Name,0)),0))</f>
        <v>0</v>
      </c>
      <c r="BZ1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9" s="41" t="n">
        <f aca="false">IF(NOT(Tasks[[#This Row],[_IsLeaf]]=1),0,MAX(_xlfn.MAXIFS(Tasks[_Row],Tasks[Pred1 UID],Tasks[[#This Row],[UID]]),_xlfn.MAXIFS(Tasks[_Row],Tasks[Pred2 UID],Tasks[[#This Row],[UID]])))</f>
        <v>0</v>
      </c>
      <c r="CE16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9" s="103" t="str">
        <f aca="false">IF(NOT(Tasks[[#This Row],[_IsLeaf]]=1),"",MIN(ProjectFinish,IF(N(Tasks[[#This Row],[Deadline]])&gt;0,Tasks[[#This Row],[Deadline]],2958465),Tasks[[#This Row],[_SuccessorFinishLimit]]))</f>
        <v/>
      </c>
      <c r="CG169" s="103" t="str">
        <f aca="false">IF(NOT(Tasks[[#This Row],[_IsLeaf]]=1),"",IF(N(Tasks[[#This Row],[Duration]])&lt;=0,Tasks[[#This Row],[_LeafLateFinish]],WORKDAY.INTL(Tasks[[#This Row],[_LeafLateFinish]],-(Tasks[[#This Row],[Duration]]-1),WorkWeek,Holidays)))</f>
        <v/>
      </c>
      <c r="CH1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9" s="102" t="b">
        <f aca="false">AND(Tasks[[#This Row],[_IsLeaf]]=1,Tasks[[#This Row],[_LeafProgress]]&lt;1,N(Tasks[[#This Row],[_LeafTotalSlack]])&lt;=CriticalSlackDays)</f>
        <v>0</v>
      </c>
      <c r="CJ169" s="103" t="str">
        <f aca="false">IF(Tasks[[#This Row],[Task Name]]="","",IF(Tasks[[#This Row],[_IsSummary]],MIN(INDEX(Tasks[_LeafCalcStart],Tasks[[#This Row],[_Row]]+1):INDEX(Tasks[_LeafCalcStart],Tasks[[#This Row],[_Row]]+Tasks[[#This Row],[_Descendants]])),Tasks[[#This Row],[_LeafCalcStart]]))</f>
        <v/>
      </c>
      <c r="CK169" s="103" t="str">
        <f aca="false">IF(Tasks[[#This Row],[Task Name]]="","",IF(Tasks[[#This Row],[_IsSummary]],MAX(INDEX(Tasks[_LeafCalcFinish],Tasks[[#This Row],[_Row]]+1):INDEX(Tasks[_LeafCalcFinish],Tasks[[#This Row],[_Row]]+Tasks[[#This Row],[_Descendants]])),Tasks[[#This Row],[_LeafCalcFinish]]))</f>
        <v/>
      </c>
      <c r="CL1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9" s="41" t="n">
        <f aca="false">IF(AND(Tasks[[#This Row],[_IsLeaf]]=1,Tasks[[#This Row],[_LeafWork]]&gt;0),NETWORKDAYS.INTL(ProjectStart,Tasks[[#This Row],[_LeafFcstStart]],WorkWeek,Holidays),0)</f>
        <v>0</v>
      </c>
      <c r="CS169" s="41" t="n">
        <f aca="false">IF(AND(Tasks[[#This Row],[_IsLeaf]]=1,Tasks[[#This Row],[_LeafWork]]&gt;0),MAX(Tasks[[#This Row],[_StartWorkday]],NETWORKDAYS.INTL(ProjectStart,Tasks[[#This Row],[_LeafFcstFinish]],WorkWeek,Holidays)),0)</f>
        <v>0</v>
      </c>
      <c r="CT169" s="41" t="n">
        <f aca="false">IF(AND(Tasks[[#This Row],[_IsLeaf]]=1,Tasks[[#This Row],[_LeafWork]]&gt;0),Tasks[[#This Row],[_LeafWork]]/(Tasks[[#This Row],[_FinishWorkday]]-Tasks[[#This Row],[_StartWorkday]]+1),0)</f>
        <v>0</v>
      </c>
      <c r="CU169" s="41" t="n">
        <f aca="false">Tasks[[#This Row],[_WorkPerWorkday]]*(Tasks[[#This Row],[_StartWorkday]]-1)</f>
        <v>-0</v>
      </c>
      <c r="CV169" s="41" t="n">
        <f aca="false">IF(Tasks[[#This Row],[_IsLeaf]]=1,MAX(N(Tasks[[#This Row],[Duration]]),0.1),0)</f>
        <v>0</v>
      </c>
      <c r="CW169" s="41" t="n">
        <f aca="false">Tasks[[#This Row],[_WeightDur]]*Tasks[[#This Row],[_LeafProgress]]</f>
        <v>0</v>
      </c>
      <c r="CX1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9" s="41" t="str">
        <f aca="false">IF(Tasks[[#This Row],[Task Name]]="","",Tasks[[#This Row],[_Pred1UIDText]]&amp;IF(AND(Tasks[[#This Row],[_Pred1UIDText]]&lt;&gt;"",Tasks[[#This Row],[_Pred2UIDText]]&lt;&gt;""),",","")&amp;Tasks[[#This Row],[_Pred2UIDText]])</f>
        <v/>
      </c>
      <c r="DC169" s="41" t="str">
        <f aca="false">IF(AND(Tasks[[#This Row],[_IsLeaf]]=1,N(Tasks[[#This Row],[Duration]])=0,Tasks[[#This Row],[_LeafProgress]]&lt;1),Tasks[[#This Row],[_LeafFcstFinish]]+Tasks[[#This Row],[_Row]]/100000,"")</f>
        <v/>
      </c>
      <c r="DD1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9" s="41" t="n">
        <f aca="false">IF(NOT(Tasks[[#This Row],[_IsLeaf]]=1),0,IF(Tasks[[#This Row],[Baseline Cost]]="",Tasks[[#This Row],[_LeafCost]],N(Tasks[[#This Row],[Baseline Cost]])))</f>
        <v>0</v>
      </c>
      <c r="DF169" s="41" t="n">
        <f aca="false">Tasks[[#This Row],[_LeafBudget]]*Tasks[[#This Row],[_PlannedPct]]</f>
        <v>0</v>
      </c>
      <c r="DG169" s="41" t="n">
        <f aca="false">Tasks[[#This Row],[_LeafBudget]]*Tasks[[#This Row],[_LeafProgress]]</f>
        <v>0</v>
      </c>
      <c r="DH169" s="41" t="n">
        <f aca="false">IF(NOT(Tasks[[#This Row],[_IsLeaf]]=1),0,IF(Tasks[[#This Row],[Actual Cost]]="",Tasks[[#This Row],[_LeafCost]]*Tasks[[#This Row],[_LeafProgress]],N(Tasks[[#This Row],[Actual Cost]])))</f>
        <v>0</v>
      </c>
      <c r="DI169" s="41" t="str">
        <f aca="false">IF(Tasks[[#This Row],[Task Name]]="","",LEFT(Tasks[[#This Row],[WBS]],FIND(".",Tasks[[#This Row],[WBS]]&amp;".")-1))</f>
        <v/>
      </c>
      <c r="DJ169" s="41" t="str">
        <f aca="false">IF(AND(Tasks[[#This Row],[Task Name]]&lt;&gt;"",Tasks[[#This Row],[_Level]]=1),Tasks[[#This Row],[_Row]],"")</f>
        <v/>
      </c>
      <c r="DK169" s="41" t="str">
        <f aca="false">IF(AND(Tasks[[#This Row],[_IsLeaf]]=1,N(Tasks[[#This Row],[Duration]])=0),Tasks[[#This Row],[Planned Finish]]+Tasks[[#This Row],[_Row]]/100000,"")</f>
        <v/>
      </c>
      <c r="DL169" s="41" t="str">
        <f aca="false">IF(AND(Tasks[[#This Row],[_IsLeaf]]=1,Tasks[[#This Row],[_LeafProgress]]&lt;1,OR(N(Tasks[[#This Row],[Finish Var]])&gt;0,Tasks[[#This Row],[Status]]="Late Start")),MAX(0,Tasks[[#This Row],[Finish Var]])+1-Tasks[[#This Row],[_Row]]/1000000,"")</f>
        <v/>
      </c>
      <c r="DM169" s="41" t="str">
        <f aca="false">IF(AND(Tasks[[#This Row],[_IsLeaf]]=1,N(Tasks[[#This Row],[Actual Start]])=0,Tasks[[#This Row],[_LeafFcstStart]]&gt;=StatusDate,Tasks[[#This Row],[_LeafFcstStart]]&lt;=LookaheadEnd),Tasks[[#This Row],[_LeafFcstStart]]+Tasks[[#This Row],[_Row]]/100000,"")</f>
        <v/>
      </c>
      <c r="DN169" s="41" t="str">
        <f aca="false">IF(AND(Tasks[[#This Row],[_IsLeaf]]=1,Tasks[[#This Row],[_LeafProgress]]&lt;1,Tasks[[#This Row],[_LeafFcstFinish]]&gt;=StatusDate,Tasks[[#This Row],[_LeafFcstFinish]]&lt;=LookaheadEnd),Tasks[[#This Row],[_LeafFcstFinish]]+Tasks[[#This Row],[_Row]]/100000,"")</f>
        <v/>
      </c>
      <c r="DO169" s="41" t="str">
        <f aca="false">IF(Tasks[[#This Row],[_LeafCritical]],Tasks[[#This Row],[_LeafFcstStart]]+Tasks[[#This Row],[_Row]]/100000,"")</f>
        <v/>
      </c>
      <c r="DP169" s="41" t="n">
        <f aca="false">Tasks[[#This Row],[_LeafWork]]*Tasks[[#This Row],[_LeafProgress]]</f>
        <v>0</v>
      </c>
      <c r="DQ169" s="103" t="str">
        <f aca="false">IF(AND(Tasks[[#This Row],[_IsLeaf]]=1,Tasks[[#This Row],[_LeafProgress]]&gt;=1),IF(N(Tasks[[#This Row],[Actual Finish]])&gt;0,Tasks[[#This Row],[Actual Finish]],Tasks[[#This Row],[_LeafFcstFinish]]),"")</f>
        <v/>
      </c>
      <c r="DR169" s="41" t="n">
        <f aca="false">IF(Tasks[[#This Row],[_IsLeaf]]=1,N(Tasks[[#This Row],[Story Points]]),0)</f>
        <v>0</v>
      </c>
      <c r="DS169" s="41" t="str">
        <f aca="false">IF(AND(Tasks[[#This Row],[_IsLeaf]]=1,CurrentSprint&lt;&gt;"",Tasks[[#This Row],[Sprint]]=CurrentSprint),Tasks[[#This Row],[_Row]],"")</f>
        <v/>
      </c>
    </row>
    <row r="170" customFormat="false" ht="15" hidden="false" customHeight="false" outlineLevel="0" collapsed="false">
      <c r="A170" s="28" t="str">
        <f aca="false">IF(Tasks[[#This Row],[Task Name]]="","",COUNTA(Tasks[[#Headers],[Task Name]]:Tasks[[#This Row],[Task Name]])-1)</f>
        <v/>
      </c>
      <c r="B170" s="29" t="n">
        <v>165</v>
      </c>
      <c r="C1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29"/>
      <c r="E170" s="30"/>
      <c r="F170" s="29"/>
      <c r="G170" s="29"/>
      <c r="H170" s="29"/>
      <c r="I170" s="29"/>
      <c r="J170" s="29"/>
      <c r="K170" s="29"/>
      <c r="L170" s="29"/>
      <c r="M170" s="29"/>
      <c r="N170" s="77"/>
      <c r="O170" s="77"/>
      <c r="P170" s="25" t="str">
        <f aca="false">IF(Tasks[[#This Row],[Task Name]]="","",IF(N(Tasks[[#This Row],[Baseline Start]])&gt;0,Tasks[[#This Row],[Baseline Start]],Tasks[[#This Row],[_CalcStart]]))</f>
        <v/>
      </c>
      <c r="Q170" s="25" t="str">
        <f aca="false">IF(Tasks[[#This Row],[Task Name]]="","",IF(N(Tasks[[#This Row],[Baseline Finish]])&gt;0,Tasks[[#This Row],[Baseline Finish]],Tasks[[#This Row],[_CalcFinish]]))</f>
        <v/>
      </c>
      <c r="R170" s="77"/>
      <c r="S170" s="77"/>
      <c r="T170" s="25" t="str">
        <f aca="false">IF(Tasks[[#This Row],[Task Name]]="","",IF(Tasks[[#This Row],[_IsSummary]],MIN(INDEX(Tasks[_LeafFcstStart],Tasks[[#This Row],[_Row]]+1):INDEX(Tasks[_LeafFcstStart],Tasks[[#This Row],[_Row]]+Tasks[[#This Row],[_Descendants]])),Tasks[[#This Row],[_LeafFcstStart]]))</f>
        <v/>
      </c>
      <c r="U170" s="25" t="str">
        <f aca="false">IF(Tasks[[#This Row],[Task Name]]="","",IF(Tasks[[#This Row],[_IsSummary]],MAX(INDEX(Tasks[_LeafFcstFinish],Tasks[[#This Row],[_Row]]+1):INDEX(Tasks[_LeafFcstFinish],Tasks[[#This Row],[_Row]]+Tasks[[#This Row],[_Descendants]])),Tasks[[#This Row],[_LeafFcstFinish]]))</f>
        <v/>
      </c>
      <c r="V17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0" s="25" t="str">
        <f aca="false">IF(Tasks[[#This Row],[Task Name]]="","",IF(Tasks[[#This Row],[_IsSummary]],MIN(INDEX(Tasks[_LeafLateStart],Tasks[[#This Row],[_Row]]+1):INDEX(Tasks[_LeafLateStart],Tasks[[#This Row],[_Row]]+Tasks[[#This Row],[_Descendants]])),Tasks[[#This Row],[_LeafLateStart]]))</f>
        <v/>
      </c>
      <c r="Y170" s="25" t="str">
        <f aca="false">IF(Tasks[[#This Row],[Task Name]]="","",IF(Tasks[[#This Row],[_IsSummary]],MAX(INDEX(Tasks[_LeafLateFinish],Tasks[[#This Row],[_Row]]+1):INDEX(Tasks[_LeafLateFinish],Tasks[[#This Row],[_Row]]+Tasks[[#This Row],[_Descendants]])),Tasks[[#This Row],[_LeafLateFinish]]))</f>
        <v/>
      </c>
      <c r="Z170" s="43" t="str">
        <f aca="false">IF(Tasks[[#This Row],[Task Name]]="","",IF(Tasks[[#This Row],[_IsSummary]],MIN(INDEX(Tasks[_LeafTotalSlack],Tasks[[#This Row],[_Row]]+1):INDEX(Tasks[_LeafTotalSlack],Tasks[[#This Row],[_Row]]+Tasks[[#This Row],[_Descendants]])),Tasks[[#This Row],[_LeafTotalSlack]]))</f>
        <v/>
      </c>
      <c r="AA1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0" s="28" t="str">
        <f aca="false">IF(Tasks[[#This Row],[Task Name]]="","",IF(IF(Tasks[[#This Row],[_IsSummary]],COUNTIF(INDEX(Tasks[_LeafCritical],Tasks[[#This Row],[_Row]]+1):INDEX(Tasks[_LeafCritical],Tasks[[#This Row],[_Row]]+Tasks[[#This Row],[_Descendants]]),TRUE())&gt;0,Tasks[[#This Row],[_LeafCritical]]),"Yes",""))</f>
        <v/>
      </c>
      <c r="AC1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0" s="24" t="str">
        <f aca="false">IF(Tasks[[#This Row],[Task Name]]="","",TRIM(IF(Tasks[[#This Row],[_Pred1Problem]]&lt;&gt;"","Pred 1: "&amp;Tasks[[#This Row],[_Pred1Problem]]&amp;". ","")&amp;IF(Tasks[[#This Row],[_Pred2Problem]]&lt;&gt;"","Pred 2: "&amp;Tasks[[#This Row],[_Pred2Problem]]&amp;".","")))</f>
        <v/>
      </c>
      <c r="AE170" s="91"/>
      <c r="AF17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0" s="28" t="str">
        <f aca="false">IF(Tasks[[#This Row],[Task Name]]="","",IF(Tasks[[#This Row],[Progress]]&gt;=1,"Complete",IF(OR(N(Tasks[[#This Row],[Actual Start]])&gt;0,Tasks[[#This Row],[Progress]]&gt;0),IF(Tasks[[#This Row],[Finish Var]]&gt;0,"Behind","In Progress"),IF(Tasks[[#This Row],[Planned Start]]&lt;StatusDate,"Late Start","Not Started"))))</f>
        <v/>
      </c>
      <c r="AH170" s="30"/>
      <c r="AI170" s="91"/>
      <c r="AJ17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0" s="98" t="str">
        <f aca="false">IF(Tasks[[#This Row],[Task Name]]="","",IF(Tasks[[#This Row],[_IsSummary]],SUM(INDEX(Tasks[_LeafWork],Tasks[[#This Row],[_Row]]+1):INDEX(Tasks[_LeafWork],Tasks[[#This Row],[_Row]]+Tasks[[#This Row],[_Descendants]])),Tasks[[#This Row],[_LeafWork]]))</f>
        <v/>
      </c>
      <c r="AL170" s="99" t="str">
        <f aca="false">IF(Tasks[[#This Row],[Task Name]]="","",IF(Tasks[[#This Row],[_IsSummary]],SUM(INDEX(Tasks[_LeafCost],Tasks[[#This Row],[_Row]]+1):INDEX(Tasks[_LeafCost],Tasks[[#This Row],[_Row]]+Tasks[[#This Row],[_Descendants]])),Tasks[[#This Row],[_LeafCost]]))</f>
        <v/>
      </c>
      <c r="AM170" s="100"/>
      <c r="AN170" s="29"/>
      <c r="AO1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0" s="85"/>
      <c r="AQ170" s="24" t="str">
        <f aca="false">IF(Tasks[[#This Row],[Task Name]]="","",Tasks[[#This Row],[_Pred1IDText]]&amp;IF(AND(Tasks[[#This Row],[_Pred1IDText]]&lt;&gt;"",Tasks[[#This Row],[_Pred2IDText]]&lt;&gt;""),",","")&amp;Tasks[[#This Row],[_Pred2IDText]])</f>
        <v/>
      </c>
      <c r="AR170" s="30"/>
      <c r="AS170" s="25" t="str">
        <f aca="false">IF(Tasks[[#This Row],[Task Name]]="","",Tasks[[#This Row],[Forecast Start]])</f>
        <v/>
      </c>
      <c r="AT170" s="25" t="str">
        <f aca="false">IF(Tasks[[#This Row],[Task Name]]="","",Tasks[[#This Row],[Forecast Finish]])</f>
        <v/>
      </c>
      <c r="AU170" s="28" t="str">
        <f aca="false">IF(Tasks[[#This Row],[Task Name]]="","",IF(Tasks[[#This Row],[_IsSummary]],NETWORKDAYS.INTL(Tasks[[#This Row],[Forecast Start]],Tasks[[#This Row],[Forecast Finish]],WorkWeek,Holidays),N(Tasks[[#This Row],[Duration]])))</f>
        <v/>
      </c>
      <c r="AV170" s="98" t="str">
        <f aca="false">IF(Tasks[[#This Row],[Task Name]]="","",Tasks[[#This Row],[Work]])</f>
        <v/>
      </c>
      <c r="AW170" s="99" t="str">
        <f aca="false">IF(Tasks[[#This Row],[Task Name]]="","",Tasks[[#This Row],[Cost]])</f>
        <v/>
      </c>
      <c r="AX170" s="77"/>
      <c r="AY170" s="77"/>
      <c r="AZ170" s="29"/>
      <c r="BA170" s="101"/>
      <c r="BB170" s="100"/>
      <c r="BC170" s="28" t="str">
        <f aca="false">IF(OR(Tasks[[#This Row],[Task Name]]="",Tasks[[#This Row],[Baseline Duration]]=""),"",Tasks[[#This Row],[BL Source Duration]]-N(Tasks[[#This Row],[Baseline Duration]]))</f>
        <v/>
      </c>
      <c r="BD170" s="98" t="str">
        <f aca="false">IF(OR(Tasks[[#This Row],[Task Name]]="",Tasks[[#This Row],[Baseline Work]]=""),"",Tasks[[#This Row],[Work]]-N(Tasks[[#This Row],[Baseline Work]]))</f>
        <v/>
      </c>
      <c r="BE170" s="99" t="str">
        <f aca="false">IF(OR(Tasks[[#This Row],[Task Name]]="",Tasks[[#This Row],[Baseline Cost]]=""),"",Tasks[[#This Row],[Cost]]-N(Tasks[[#This Row],[Baseline Cost]]))</f>
        <v/>
      </c>
      <c r="BF170" s="99" t="str">
        <f aca="false">IF(Tasks[[#This Row],[Task Name]]="","",IF(Tasks[[#This Row],[_IsSummary]],SUM(INDEX(Tasks[_LeafBudget],Tasks[[#This Row],[_Row]]+1):INDEX(Tasks[_LeafBudget],Tasks[[#This Row],[_Row]]+Tasks[[#This Row],[_Descendants]])),Tasks[[#This Row],[_LeafBudget]]))</f>
        <v/>
      </c>
      <c r="BG170" s="99" t="str">
        <f aca="false">IF(Tasks[[#This Row],[Task Name]]="","",IF(Tasks[[#This Row],[_IsSummary]],SUM(INDEX(Tasks[_LeafPV],Tasks[[#This Row],[_Row]]+1):INDEX(Tasks[_LeafPV],Tasks[[#This Row],[_Row]]+Tasks[[#This Row],[_Descendants]])),Tasks[[#This Row],[_LeafPV]]))</f>
        <v/>
      </c>
      <c r="BH170" s="99" t="str">
        <f aca="false">IF(Tasks[[#This Row],[Task Name]]="","",IF(Tasks[[#This Row],[_IsSummary]],SUM(INDEX(Tasks[_LeafEV],Tasks[[#This Row],[_Row]]+1):INDEX(Tasks[_LeafEV],Tasks[[#This Row],[_Row]]+Tasks[[#This Row],[_Descendants]])),Tasks[[#This Row],[_LeafEV]]))</f>
        <v/>
      </c>
      <c r="BI170" s="99" t="str">
        <f aca="false">IF(Tasks[[#This Row],[Task Name]]="","",IF(Tasks[[#This Row],[_IsSummary]],SUM(INDEX(Tasks[_LeafAC],Tasks[[#This Row],[_Row]]+1):INDEX(Tasks[_LeafAC],Tasks[[#This Row],[_Row]]+Tasks[[#This Row],[_Descendants]])),Tasks[[#This Row],[_LeafAC]]))</f>
        <v/>
      </c>
      <c r="BJ170" s="41" t="str">
        <f aca="false">IF(Tasks[[#This Row],[Task Name]]="","",MAX(1,N(Tasks[[#This Row],[Level]])))</f>
        <v/>
      </c>
      <c r="BK170" s="41" t="n">
        <f aca="false">ROW()-ROW(Tasks[[#Headers],[ID]])</f>
        <v>165</v>
      </c>
      <c r="BL170" s="41" t="n">
        <f aca="false">IF(OR(Tasks[[#This Row],[Task Name]]="",Tasks[[#This Row],[_Level]]&lt;=1),0,IFERROR(LOOKUP(2,1/(Tasks[[#Headers],[_Level]]:Tasks[[#This Row],[_Level]]=Tasks[[#This Row],[_Level]]-1),ROW(Tasks[[#Headers],[_Level]]:Tasks[[#This Row],[_Level]])),0))</f>
        <v>0</v>
      </c>
      <c r="BM170" s="41" t="n">
        <f aca="false">IFERROR(N(INDEX(Tasks[_Level],Tasks[[#This Row],[_Row]]+1)),0)</f>
        <v>0</v>
      </c>
      <c r="BN170" s="102" t="b">
        <f aca="false">AND(Tasks[[#This Row],[Task Name]]&lt;&gt;"",Tasks[[#This Row],[_NextLevel]]&gt;Tasks[[#This Row],[_Level]])</f>
        <v>0</v>
      </c>
      <c r="BO170" s="41" t="n">
        <f aca="false">IF(Tasks[[#This Row],[_IsSummary]],COUNTIF(Tasks[WBS],Tasks[[#This Row],[WBS]]&amp;".*"),0)</f>
        <v>0</v>
      </c>
      <c r="BP170" s="41" t="n">
        <f aca="false">IF(AND(Tasks[[#This Row],[Task Name]]&lt;&gt;"",NOT(Tasks[[#This Row],[_IsSummary]])),1,0)</f>
        <v>0</v>
      </c>
      <c r="BQ170" s="41" t="n">
        <f aca="false">IF(N(Tasks[[#This Row],[Pred1 UID]])=0,0,IFERROR(MATCH(Tasks[[#This Row],[Pred1 UID]],Tasks[UID],0),-1))</f>
        <v>0</v>
      </c>
      <c r="BR170" s="41" t="n">
        <f aca="false">IF(N(Tasks[[#This Row],[Pred2 UID]])=0,0,IFERROR(MATCH(Tasks[[#This Row],[Pred2 UID]],Tasks[UID],0),-1))</f>
        <v>0</v>
      </c>
      <c r="BS17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0" s="103" t="str">
        <f aca="false">IF(NOT(Tasks[[#This Row],[_IsLeaf]]=1),"",IF(N(Tasks[[#This Row],[Duration]])&lt;=0,Tasks[[#This Row],[_LeafCalcStart]],WORKDAY.INTL(Tasks[[#This Row],[_LeafCalcStart]],Tasks[[#This Row],[Duration]]-1,WorkWeek,Holidays)))</f>
        <v/>
      </c>
      <c r="BU17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0" s="41" t="n">
        <f aca="false">IF(NOT(Tasks[[#This Row],[_IsLeaf]]=1),0,IF(N(Tasks[[#This Row],[Actual Finish]])&gt;0,1,MIN(1,N(Tasks[[#This Row],[% Complete]]))))</f>
        <v>0</v>
      </c>
      <c r="BX170" s="41" t="n">
        <f aca="false">IF(OR(NOT(Tasks[[#This Row],[_IsLeaf]]=1),Tasks[[#This Row],[Resource]]=""),0,N(Tasks[[#This Row],[Duration]])*HoursPerDay*IF(Tasks[[#This Row],[Units]]="",DefaultUnits,Tasks[[#This Row],[Units]]))</f>
        <v>0</v>
      </c>
      <c r="BY170" s="41" t="n">
        <f aca="false">IF(Tasks[[#This Row],[_LeafWork]]=0,0,Tasks[[#This Row],[_LeafWork]]*IFERROR(INDEX(res_Rate,MATCH(Tasks[[#This Row],[Resource]],res_Name,0)),0))</f>
        <v>0</v>
      </c>
      <c r="BZ1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0" s="41" t="n">
        <f aca="false">IF(NOT(Tasks[[#This Row],[_IsLeaf]]=1),0,MAX(_xlfn.MAXIFS(Tasks[_Row],Tasks[Pred1 UID],Tasks[[#This Row],[UID]]),_xlfn.MAXIFS(Tasks[_Row],Tasks[Pred2 UID],Tasks[[#This Row],[UID]])))</f>
        <v>0</v>
      </c>
      <c r="CE17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0" s="103" t="str">
        <f aca="false">IF(NOT(Tasks[[#This Row],[_IsLeaf]]=1),"",MIN(ProjectFinish,IF(N(Tasks[[#This Row],[Deadline]])&gt;0,Tasks[[#This Row],[Deadline]],2958465),Tasks[[#This Row],[_SuccessorFinishLimit]]))</f>
        <v/>
      </c>
      <c r="CG170" s="103" t="str">
        <f aca="false">IF(NOT(Tasks[[#This Row],[_IsLeaf]]=1),"",IF(N(Tasks[[#This Row],[Duration]])&lt;=0,Tasks[[#This Row],[_LeafLateFinish]],WORKDAY.INTL(Tasks[[#This Row],[_LeafLateFinish]],-(Tasks[[#This Row],[Duration]]-1),WorkWeek,Holidays)))</f>
        <v/>
      </c>
      <c r="CH1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0" s="102" t="b">
        <f aca="false">AND(Tasks[[#This Row],[_IsLeaf]]=1,Tasks[[#This Row],[_LeafProgress]]&lt;1,N(Tasks[[#This Row],[_LeafTotalSlack]])&lt;=CriticalSlackDays)</f>
        <v>0</v>
      </c>
      <c r="CJ170" s="103" t="str">
        <f aca="false">IF(Tasks[[#This Row],[Task Name]]="","",IF(Tasks[[#This Row],[_IsSummary]],MIN(INDEX(Tasks[_LeafCalcStart],Tasks[[#This Row],[_Row]]+1):INDEX(Tasks[_LeafCalcStart],Tasks[[#This Row],[_Row]]+Tasks[[#This Row],[_Descendants]])),Tasks[[#This Row],[_LeafCalcStart]]))</f>
        <v/>
      </c>
      <c r="CK170" s="103" t="str">
        <f aca="false">IF(Tasks[[#This Row],[Task Name]]="","",IF(Tasks[[#This Row],[_IsSummary]],MAX(INDEX(Tasks[_LeafCalcFinish],Tasks[[#This Row],[_Row]]+1):INDEX(Tasks[_LeafCalcFinish],Tasks[[#This Row],[_Row]]+Tasks[[#This Row],[_Descendants]])),Tasks[[#This Row],[_LeafCalcFinish]]))</f>
        <v/>
      </c>
      <c r="CL1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0" s="41" t="n">
        <f aca="false">IF(AND(Tasks[[#This Row],[_IsLeaf]]=1,Tasks[[#This Row],[_LeafWork]]&gt;0),NETWORKDAYS.INTL(ProjectStart,Tasks[[#This Row],[_LeafFcstStart]],WorkWeek,Holidays),0)</f>
        <v>0</v>
      </c>
      <c r="CS170" s="41" t="n">
        <f aca="false">IF(AND(Tasks[[#This Row],[_IsLeaf]]=1,Tasks[[#This Row],[_LeafWork]]&gt;0),MAX(Tasks[[#This Row],[_StartWorkday]],NETWORKDAYS.INTL(ProjectStart,Tasks[[#This Row],[_LeafFcstFinish]],WorkWeek,Holidays)),0)</f>
        <v>0</v>
      </c>
      <c r="CT170" s="41" t="n">
        <f aca="false">IF(AND(Tasks[[#This Row],[_IsLeaf]]=1,Tasks[[#This Row],[_LeafWork]]&gt;0),Tasks[[#This Row],[_LeafWork]]/(Tasks[[#This Row],[_FinishWorkday]]-Tasks[[#This Row],[_StartWorkday]]+1),0)</f>
        <v>0</v>
      </c>
      <c r="CU170" s="41" t="n">
        <f aca="false">Tasks[[#This Row],[_WorkPerWorkday]]*(Tasks[[#This Row],[_StartWorkday]]-1)</f>
        <v>-0</v>
      </c>
      <c r="CV170" s="41" t="n">
        <f aca="false">IF(Tasks[[#This Row],[_IsLeaf]]=1,MAX(N(Tasks[[#This Row],[Duration]]),0.1),0)</f>
        <v>0</v>
      </c>
      <c r="CW170" s="41" t="n">
        <f aca="false">Tasks[[#This Row],[_WeightDur]]*Tasks[[#This Row],[_LeafProgress]]</f>
        <v>0</v>
      </c>
      <c r="CX1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0" s="41" t="str">
        <f aca="false">IF(Tasks[[#This Row],[Task Name]]="","",Tasks[[#This Row],[_Pred1UIDText]]&amp;IF(AND(Tasks[[#This Row],[_Pred1UIDText]]&lt;&gt;"",Tasks[[#This Row],[_Pred2UIDText]]&lt;&gt;""),",","")&amp;Tasks[[#This Row],[_Pred2UIDText]])</f>
        <v/>
      </c>
      <c r="DC170" s="41" t="str">
        <f aca="false">IF(AND(Tasks[[#This Row],[_IsLeaf]]=1,N(Tasks[[#This Row],[Duration]])=0,Tasks[[#This Row],[_LeafProgress]]&lt;1),Tasks[[#This Row],[_LeafFcstFinish]]+Tasks[[#This Row],[_Row]]/100000,"")</f>
        <v/>
      </c>
      <c r="DD1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0" s="41" t="n">
        <f aca="false">IF(NOT(Tasks[[#This Row],[_IsLeaf]]=1),0,IF(Tasks[[#This Row],[Baseline Cost]]="",Tasks[[#This Row],[_LeafCost]],N(Tasks[[#This Row],[Baseline Cost]])))</f>
        <v>0</v>
      </c>
      <c r="DF170" s="41" t="n">
        <f aca="false">Tasks[[#This Row],[_LeafBudget]]*Tasks[[#This Row],[_PlannedPct]]</f>
        <v>0</v>
      </c>
      <c r="DG170" s="41" t="n">
        <f aca="false">Tasks[[#This Row],[_LeafBudget]]*Tasks[[#This Row],[_LeafProgress]]</f>
        <v>0</v>
      </c>
      <c r="DH170" s="41" t="n">
        <f aca="false">IF(NOT(Tasks[[#This Row],[_IsLeaf]]=1),0,IF(Tasks[[#This Row],[Actual Cost]]="",Tasks[[#This Row],[_LeafCost]]*Tasks[[#This Row],[_LeafProgress]],N(Tasks[[#This Row],[Actual Cost]])))</f>
        <v>0</v>
      </c>
      <c r="DI170" s="41" t="str">
        <f aca="false">IF(Tasks[[#This Row],[Task Name]]="","",LEFT(Tasks[[#This Row],[WBS]],FIND(".",Tasks[[#This Row],[WBS]]&amp;".")-1))</f>
        <v/>
      </c>
      <c r="DJ170" s="41" t="str">
        <f aca="false">IF(AND(Tasks[[#This Row],[Task Name]]&lt;&gt;"",Tasks[[#This Row],[_Level]]=1),Tasks[[#This Row],[_Row]],"")</f>
        <v/>
      </c>
      <c r="DK170" s="41" t="str">
        <f aca="false">IF(AND(Tasks[[#This Row],[_IsLeaf]]=1,N(Tasks[[#This Row],[Duration]])=0),Tasks[[#This Row],[Planned Finish]]+Tasks[[#This Row],[_Row]]/100000,"")</f>
        <v/>
      </c>
      <c r="DL170" s="41" t="str">
        <f aca="false">IF(AND(Tasks[[#This Row],[_IsLeaf]]=1,Tasks[[#This Row],[_LeafProgress]]&lt;1,OR(N(Tasks[[#This Row],[Finish Var]])&gt;0,Tasks[[#This Row],[Status]]="Late Start")),MAX(0,Tasks[[#This Row],[Finish Var]])+1-Tasks[[#This Row],[_Row]]/1000000,"")</f>
        <v/>
      </c>
      <c r="DM170" s="41" t="str">
        <f aca="false">IF(AND(Tasks[[#This Row],[_IsLeaf]]=1,N(Tasks[[#This Row],[Actual Start]])=0,Tasks[[#This Row],[_LeafFcstStart]]&gt;=StatusDate,Tasks[[#This Row],[_LeafFcstStart]]&lt;=LookaheadEnd),Tasks[[#This Row],[_LeafFcstStart]]+Tasks[[#This Row],[_Row]]/100000,"")</f>
        <v/>
      </c>
      <c r="DN170" s="41" t="str">
        <f aca="false">IF(AND(Tasks[[#This Row],[_IsLeaf]]=1,Tasks[[#This Row],[_LeafProgress]]&lt;1,Tasks[[#This Row],[_LeafFcstFinish]]&gt;=StatusDate,Tasks[[#This Row],[_LeafFcstFinish]]&lt;=LookaheadEnd),Tasks[[#This Row],[_LeafFcstFinish]]+Tasks[[#This Row],[_Row]]/100000,"")</f>
        <v/>
      </c>
      <c r="DO170" s="41" t="str">
        <f aca="false">IF(Tasks[[#This Row],[_LeafCritical]],Tasks[[#This Row],[_LeafFcstStart]]+Tasks[[#This Row],[_Row]]/100000,"")</f>
        <v/>
      </c>
      <c r="DP170" s="41" t="n">
        <f aca="false">Tasks[[#This Row],[_LeafWork]]*Tasks[[#This Row],[_LeafProgress]]</f>
        <v>0</v>
      </c>
      <c r="DQ170" s="103" t="str">
        <f aca="false">IF(AND(Tasks[[#This Row],[_IsLeaf]]=1,Tasks[[#This Row],[_LeafProgress]]&gt;=1),IF(N(Tasks[[#This Row],[Actual Finish]])&gt;0,Tasks[[#This Row],[Actual Finish]],Tasks[[#This Row],[_LeafFcstFinish]]),"")</f>
        <v/>
      </c>
      <c r="DR170" s="41" t="n">
        <f aca="false">IF(Tasks[[#This Row],[_IsLeaf]]=1,N(Tasks[[#This Row],[Story Points]]),0)</f>
        <v>0</v>
      </c>
      <c r="DS170" s="41" t="str">
        <f aca="false">IF(AND(Tasks[[#This Row],[_IsLeaf]]=1,CurrentSprint&lt;&gt;"",Tasks[[#This Row],[Sprint]]=CurrentSprint),Tasks[[#This Row],[_Row]],"")</f>
        <v/>
      </c>
    </row>
    <row r="171" customFormat="false" ht="15" hidden="false" customHeight="false" outlineLevel="0" collapsed="false">
      <c r="A171" s="28" t="str">
        <f aca="false">IF(Tasks[[#This Row],[Task Name]]="","",COUNTA(Tasks[[#Headers],[Task Name]]:Tasks[[#This Row],[Task Name]])-1)</f>
        <v/>
      </c>
      <c r="B171" s="29" t="n">
        <v>166</v>
      </c>
      <c r="C1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29"/>
      <c r="E171" s="30"/>
      <c r="F171" s="29"/>
      <c r="G171" s="29"/>
      <c r="H171" s="29"/>
      <c r="I171" s="29"/>
      <c r="J171" s="29"/>
      <c r="K171" s="29"/>
      <c r="L171" s="29"/>
      <c r="M171" s="29"/>
      <c r="N171" s="77"/>
      <c r="O171" s="77"/>
      <c r="P171" s="25" t="str">
        <f aca="false">IF(Tasks[[#This Row],[Task Name]]="","",IF(N(Tasks[[#This Row],[Baseline Start]])&gt;0,Tasks[[#This Row],[Baseline Start]],Tasks[[#This Row],[_CalcStart]]))</f>
        <v/>
      </c>
      <c r="Q171" s="25" t="str">
        <f aca="false">IF(Tasks[[#This Row],[Task Name]]="","",IF(N(Tasks[[#This Row],[Baseline Finish]])&gt;0,Tasks[[#This Row],[Baseline Finish]],Tasks[[#This Row],[_CalcFinish]]))</f>
        <v/>
      </c>
      <c r="R171" s="77"/>
      <c r="S171" s="77"/>
      <c r="T171" s="25" t="str">
        <f aca="false">IF(Tasks[[#This Row],[Task Name]]="","",IF(Tasks[[#This Row],[_IsSummary]],MIN(INDEX(Tasks[_LeafFcstStart],Tasks[[#This Row],[_Row]]+1):INDEX(Tasks[_LeafFcstStart],Tasks[[#This Row],[_Row]]+Tasks[[#This Row],[_Descendants]])),Tasks[[#This Row],[_LeafFcstStart]]))</f>
        <v/>
      </c>
      <c r="U171" s="25" t="str">
        <f aca="false">IF(Tasks[[#This Row],[Task Name]]="","",IF(Tasks[[#This Row],[_IsSummary]],MAX(INDEX(Tasks[_LeafFcstFinish],Tasks[[#This Row],[_Row]]+1):INDEX(Tasks[_LeafFcstFinish],Tasks[[#This Row],[_Row]]+Tasks[[#This Row],[_Descendants]])),Tasks[[#This Row],[_LeafFcstFinish]]))</f>
        <v/>
      </c>
      <c r="V17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1" s="25" t="str">
        <f aca="false">IF(Tasks[[#This Row],[Task Name]]="","",IF(Tasks[[#This Row],[_IsSummary]],MIN(INDEX(Tasks[_LeafLateStart],Tasks[[#This Row],[_Row]]+1):INDEX(Tasks[_LeafLateStart],Tasks[[#This Row],[_Row]]+Tasks[[#This Row],[_Descendants]])),Tasks[[#This Row],[_LeafLateStart]]))</f>
        <v/>
      </c>
      <c r="Y171" s="25" t="str">
        <f aca="false">IF(Tasks[[#This Row],[Task Name]]="","",IF(Tasks[[#This Row],[_IsSummary]],MAX(INDEX(Tasks[_LeafLateFinish],Tasks[[#This Row],[_Row]]+1):INDEX(Tasks[_LeafLateFinish],Tasks[[#This Row],[_Row]]+Tasks[[#This Row],[_Descendants]])),Tasks[[#This Row],[_LeafLateFinish]]))</f>
        <v/>
      </c>
      <c r="Z171" s="43" t="str">
        <f aca="false">IF(Tasks[[#This Row],[Task Name]]="","",IF(Tasks[[#This Row],[_IsSummary]],MIN(INDEX(Tasks[_LeafTotalSlack],Tasks[[#This Row],[_Row]]+1):INDEX(Tasks[_LeafTotalSlack],Tasks[[#This Row],[_Row]]+Tasks[[#This Row],[_Descendants]])),Tasks[[#This Row],[_LeafTotalSlack]]))</f>
        <v/>
      </c>
      <c r="AA1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1" s="28" t="str">
        <f aca="false">IF(Tasks[[#This Row],[Task Name]]="","",IF(IF(Tasks[[#This Row],[_IsSummary]],COUNTIF(INDEX(Tasks[_LeafCritical],Tasks[[#This Row],[_Row]]+1):INDEX(Tasks[_LeafCritical],Tasks[[#This Row],[_Row]]+Tasks[[#This Row],[_Descendants]]),TRUE())&gt;0,Tasks[[#This Row],[_LeafCritical]]),"Yes",""))</f>
        <v/>
      </c>
      <c r="AC1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1" s="24" t="str">
        <f aca="false">IF(Tasks[[#This Row],[Task Name]]="","",TRIM(IF(Tasks[[#This Row],[_Pred1Problem]]&lt;&gt;"","Pred 1: "&amp;Tasks[[#This Row],[_Pred1Problem]]&amp;". ","")&amp;IF(Tasks[[#This Row],[_Pred2Problem]]&lt;&gt;"","Pred 2: "&amp;Tasks[[#This Row],[_Pred2Problem]]&amp;".","")))</f>
        <v/>
      </c>
      <c r="AE171" s="91"/>
      <c r="AF17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1" s="28" t="str">
        <f aca="false">IF(Tasks[[#This Row],[Task Name]]="","",IF(Tasks[[#This Row],[Progress]]&gt;=1,"Complete",IF(OR(N(Tasks[[#This Row],[Actual Start]])&gt;0,Tasks[[#This Row],[Progress]]&gt;0),IF(Tasks[[#This Row],[Finish Var]]&gt;0,"Behind","In Progress"),IF(Tasks[[#This Row],[Planned Start]]&lt;StatusDate,"Late Start","Not Started"))))</f>
        <v/>
      </c>
      <c r="AH171" s="30"/>
      <c r="AI171" s="91"/>
      <c r="AJ17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1" s="98" t="str">
        <f aca="false">IF(Tasks[[#This Row],[Task Name]]="","",IF(Tasks[[#This Row],[_IsSummary]],SUM(INDEX(Tasks[_LeafWork],Tasks[[#This Row],[_Row]]+1):INDEX(Tasks[_LeafWork],Tasks[[#This Row],[_Row]]+Tasks[[#This Row],[_Descendants]])),Tasks[[#This Row],[_LeafWork]]))</f>
        <v/>
      </c>
      <c r="AL171" s="99" t="str">
        <f aca="false">IF(Tasks[[#This Row],[Task Name]]="","",IF(Tasks[[#This Row],[_IsSummary]],SUM(INDEX(Tasks[_LeafCost],Tasks[[#This Row],[_Row]]+1):INDEX(Tasks[_LeafCost],Tasks[[#This Row],[_Row]]+Tasks[[#This Row],[_Descendants]])),Tasks[[#This Row],[_LeafCost]]))</f>
        <v/>
      </c>
      <c r="AM171" s="100"/>
      <c r="AN171" s="29"/>
      <c r="AO1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1" s="85"/>
      <c r="AQ171" s="24" t="str">
        <f aca="false">IF(Tasks[[#This Row],[Task Name]]="","",Tasks[[#This Row],[_Pred1IDText]]&amp;IF(AND(Tasks[[#This Row],[_Pred1IDText]]&lt;&gt;"",Tasks[[#This Row],[_Pred2IDText]]&lt;&gt;""),",","")&amp;Tasks[[#This Row],[_Pred2IDText]])</f>
        <v/>
      </c>
      <c r="AR171" s="30"/>
      <c r="AS171" s="25" t="str">
        <f aca="false">IF(Tasks[[#This Row],[Task Name]]="","",Tasks[[#This Row],[Forecast Start]])</f>
        <v/>
      </c>
      <c r="AT171" s="25" t="str">
        <f aca="false">IF(Tasks[[#This Row],[Task Name]]="","",Tasks[[#This Row],[Forecast Finish]])</f>
        <v/>
      </c>
      <c r="AU171" s="28" t="str">
        <f aca="false">IF(Tasks[[#This Row],[Task Name]]="","",IF(Tasks[[#This Row],[_IsSummary]],NETWORKDAYS.INTL(Tasks[[#This Row],[Forecast Start]],Tasks[[#This Row],[Forecast Finish]],WorkWeek,Holidays),N(Tasks[[#This Row],[Duration]])))</f>
        <v/>
      </c>
      <c r="AV171" s="98" t="str">
        <f aca="false">IF(Tasks[[#This Row],[Task Name]]="","",Tasks[[#This Row],[Work]])</f>
        <v/>
      </c>
      <c r="AW171" s="99" t="str">
        <f aca="false">IF(Tasks[[#This Row],[Task Name]]="","",Tasks[[#This Row],[Cost]])</f>
        <v/>
      </c>
      <c r="AX171" s="77"/>
      <c r="AY171" s="77"/>
      <c r="AZ171" s="29"/>
      <c r="BA171" s="101"/>
      <c r="BB171" s="100"/>
      <c r="BC171" s="28" t="str">
        <f aca="false">IF(OR(Tasks[[#This Row],[Task Name]]="",Tasks[[#This Row],[Baseline Duration]]=""),"",Tasks[[#This Row],[BL Source Duration]]-N(Tasks[[#This Row],[Baseline Duration]]))</f>
        <v/>
      </c>
      <c r="BD171" s="98" t="str">
        <f aca="false">IF(OR(Tasks[[#This Row],[Task Name]]="",Tasks[[#This Row],[Baseline Work]]=""),"",Tasks[[#This Row],[Work]]-N(Tasks[[#This Row],[Baseline Work]]))</f>
        <v/>
      </c>
      <c r="BE171" s="99" t="str">
        <f aca="false">IF(OR(Tasks[[#This Row],[Task Name]]="",Tasks[[#This Row],[Baseline Cost]]=""),"",Tasks[[#This Row],[Cost]]-N(Tasks[[#This Row],[Baseline Cost]]))</f>
        <v/>
      </c>
      <c r="BF171" s="99" t="str">
        <f aca="false">IF(Tasks[[#This Row],[Task Name]]="","",IF(Tasks[[#This Row],[_IsSummary]],SUM(INDEX(Tasks[_LeafBudget],Tasks[[#This Row],[_Row]]+1):INDEX(Tasks[_LeafBudget],Tasks[[#This Row],[_Row]]+Tasks[[#This Row],[_Descendants]])),Tasks[[#This Row],[_LeafBudget]]))</f>
        <v/>
      </c>
      <c r="BG171" s="99" t="str">
        <f aca="false">IF(Tasks[[#This Row],[Task Name]]="","",IF(Tasks[[#This Row],[_IsSummary]],SUM(INDEX(Tasks[_LeafPV],Tasks[[#This Row],[_Row]]+1):INDEX(Tasks[_LeafPV],Tasks[[#This Row],[_Row]]+Tasks[[#This Row],[_Descendants]])),Tasks[[#This Row],[_LeafPV]]))</f>
        <v/>
      </c>
      <c r="BH171" s="99" t="str">
        <f aca="false">IF(Tasks[[#This Row],[Task Name]]="","",IF(Tasks[[#This Row],[_IsSummary]],SUM(INDEX(Tasks[_LeafEV],Tasks[[#This Row],[_Row]]+1):INDEX(Tasks[_LeafEV],Tasks[[#This Row],[_Row]]+Tasks[[#This Row],[_Descendants]])),Tasks[[#This Row],[_LeafEV]]))</f>
        <v/>
      </c>
      <c r="BI171" s="99" t="str">
        <f aca="false">IF(Tasks[[#This Row],[Task Name]]="","",IF(Tasks[[#This Row],[_IsSummary]],SUM(INDEX(Tasks[_LeafAC],Tasks[[#This Row],[_Row]]+1):INDEX(Tasks[_LeafAC],Tasks[[#This Row],[_Row]]+Tasks[[#This Row],[_Descendants]])),Tasks[[#This Row],[_LeafAC]]))</f>
        <v/>
      </c>
      <c r="BJ171" s="41" t="str">
        <f aca="false">IF(Tasks[[#This Row],[Task Name]]="","",MAX(1,N(Tasks[[#This Row],[Level]])))</f>
        <v/>
      </c>
      <c r="BK171" s="41" t="n">
        <f aca="false">ROW()-ROW(Tasks[[#Headers],[ID]])</f>
        <v>166</v>
      </c>
      <c r="BL171" s="41" t="n">
        <f aca="false">IF(OR(Tasks[[#This Row],[Task Name]]="",Tasks[[#This Row],[_Level]]&lt;=1),0,IFERROR(LOOKUP(2,1/(Tasks[[#Headers],[_Level]]:Tasks[[#This Row],[_Level]]=Tasks[[#This Row],[_Level]]-1),ROW(Tasks[[#Headers],[_Level]]:Tasks[[#This Row],[_Level]])),0))</f>
        <v>0</v>
      </c>
      <c r="BM171" s="41" t="n">
        <f aca="false">IFERROR(N(INDEX(Tasks[_Level],Tasks[[#This Row],[_Row]]+1)),0)</f>
        <v>0</v>
      </c>
      <c r="BN171" s="102" t="b">
        <f aca="false">AND(Tasks[[#This Row],[Task Name]]&lt;&gt;"",Tasks[[#This Row],[_NextLevel]]&gt;Tasks[[#This Row],[_Level]])</f>
        <v>0</v>
      </c>
      <c r="BO171" s="41" t="n">
        <f aca="false">IF(Tasks[[#This Row],[_IsSummary]],COUNTIF(Tasks[WBS],Tasks[[#This Row],[WBS]]&amp;".*"),0)</f>
        <v>0</v>
      </c>
      <c r="BP171" s="41" t="n">
        <f aca="false">IF(AND(Tasks[[#This Row],[Task Name]]&lt;&gt;"",NOT(Tasks[[#This Row],[_IsSummary]])),1,0)</f>
        <v>0</v>
      </c>
      <c r="BQ171" s="41" t="n">
        <f aca="false">IF(N(Tasks[[#This Row],[Pred1 UID]])=0,0,IFERROR(MATCH(Tasks[[#This Row],[Pred1 UID]],Tasks[UID],0),-1))</f>
        <v>0</v>
      </c>
      <c r="BR171" s="41" t="n">
        <f aca="false">IF(N(Tasks[[#This Row],[Pred2 UID]])=0,0,IFERROR(MATCH(Tasks[[#This Row],[Pred2 UID]],Tasks[UID],0),-1))</f>
        <v>0</v>
      </c>
      <c r="BS17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1" s="103" t="str">
        <f aca="false">IF(NOT(Tasks[[#This Row],[_IsLeaf]]=1),"",IF(N(Tasks[[#This Row],[Duration]])&lt;=0,Tasks[[#This Row],[_LeafCalcStart]],WORKDAY.INTL(Tasks[[#This Row],[_LeafCalcStart]],Tasks[[#This Row],[Duration]]-1,WorkWeek,Holidays)))</f>
        <v/>
      </c>
      <c r="BU17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1" s="41" t="n">
        <f aca="false">IF(NOT(Tasks[[#This Row],[_IsLeaf]]=1),0,IF(N(Tasks[[#This Row],[Actual Finish]])&gt;0,1,MIN(1,N(Tasks[[#This Row],[% Complete]]))))</f>
        <v>0</v>
      </c>
      <c r="BX171" s="41" t="n">
        <f aca="false">IF(OR(NOT(Tasks[[#This Row],[_IsLeaf]]=1),Tasks[[#This Row],[Resource]]=""),0,N(Tasks[[#This Row],[Duration]])*HoursPerDay*IF(Tasks[[#This Row],[Units]]="",DefaultUnits,Tasks[[#This Row],[Units]]))</f>
        <v>0</v>
      </c>
      <c r="BY171" s="41" t="n">
        <f aca="false">IF(Tasks[[#This Row],[_LeafWork]]=0,0,Tasks[[#This Row],[_LeafWork]]*IFERROR(INDEX(res_Rate,MATCH(Tasks[[#This Row],[Resource]],res_Name,0)),0))</f>
        <v>0</v>
      </c>
      <c r="BZ1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1" s="41" t="n">
        <f aca="false">IF(NOT(Tasks[[#This Row],[_IsLeaf]]=1),0,MAX(_xlfn.MAXIFS(Tasks[_Row],Tasks[Pred1 UID],Tasks[[#This Row],[UID]]),_xlfn.MAXIFS(Tasks[_Row],Tasks[Pred2 UID],Tasks[[#This Row],[UID]])))</f>
        <v>0</v>
      </c>
      <c r="CE17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1" s="103" t="str">
        <f aca="false">IF(NOT(Tasks[[#This Row],[_IsLeaf]]=1),"",MIN(ProjectFinish,IF(N(Tasks[[#This Row],[Deadline]])&gt;0,Tasks[[#This Row],[Deadline]],2958465),Tasks[[#This Row],[_SuccessorFinishLimit]]))</f>
        <v/>
      </c>
      <c r="CG171" s="103" t="str">
        <f aca="false">IF(NOT(Tasks[[#This Row],[_IsLeaf]]=1),"",IF(N(Tasks[[#This Row],[Duration]])&lt;=0,Tasks[[#This Row],[_LeafLateFinish]],WORKDAY.INTL(Tasks[[#This Row],[_LeafLateFinish]],-(Tasks[[#This Row],[Duration]]-1),WorkWeek,Holidays)))</f>
        <v/>
      </c>
      <c r="CH1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1" s="102" t="b">
        <f aca="false">AND(Tasks[[#This Row],[_IsLeaf]]=1,Tasks[[#This Row],[_LeafProgress]]&lt;1,N(Tasks[[#This Row],[_LeafTotalSlack]])&lt;=CriticalSlackDays)</f>
        <v>0</v>
      </c>
      <c r="CJ171" s="103" t="str">
        <f aca="false">IF(Tasks[[#This Row],[Task Name]]="","",IF(Tasks[[#This Row],[_IsSummary]],MIN(INDEX(Tasks[_LeafCalcStart],Tasks[[#This Row],[_Row]]+1):INDEX(Tasks[_LeafCalcStart],Tasks[[#This Row],[_Row]]+Tasks[[#This Row],[_Descendants]])),Tasks[[#This Row],[_LeafCalcStart]]))</f>
        <v/>
      </c>
      <c r="CK171" s="103" t="str">
        <f aca="false">IF(Tasks[[#This Row],[Task Name]]="","",IF(Tasks[[#This Row],[_IsSummary]],MAX(INDEX(Tasks[_LeafCalcFinish],Tasks[[#This Row],[_Row]]+1):INDEX(Tasks[_LeafCalcFinish],Tasks[[#This Row],[_Row]]+Tasks[[#This Row],[_Descendants]])),Tasks[[#This Row],[_LeafCalcFinish]]))</f>
        <v/>
      </c>
      <c r="CL1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1" s="41" t="n">
        <f aca="false">IF(AND(Tasks[[#This Row],[_IsLeaf]]=1,Tasks[[#This Row],[_LeafWork]]&gt;0),NETWORKDAYS.INTL(ProjectStart,Tasks[[#This Row],[_LeafFcstStart]],WorkWeek,Holidays),0)</f>
        <v>0</v>
      </c>
      <c r="CS171" s="41" t="n">
        <f aca="false">IF(AND(Tasks[[#This Row],[_IsLeaf]]=1,Tasks[[#This Row],[_LeafWork]]&gt;0),MAX(Tasks[[#This Row],[_StartWorkday]],NETWORKDAYS.INTL(ProjectStart,Tasks[[#This Row],[_LeafFcstFinish]],WorkWeek,Holidays)),0)</f>
        <v>0</v>
      </c>
      <c r="CT171" s="41" t="n">
        <f aca="false">IF(AND(Tasks[[#This Row],[_IsLeaf]]=1,Tasks[[#This Row],[_LeafWork]]&gt;0),Tasks[[#This Row],[_LeafWork]]/(Tasks[[#This Row],[_FinishWorkday]]-Tasks[[#This Row],[_StartWorkday]]+1),0)</f>
        <v>0</v>
      </c>
      <c r="CU171" s="41" t="n">
        <f aca="false">Tasks[[#This Row],[_WorkPerWorkday]]*(Tasks[[#This Row],[_StartWorkday]]-1)</f>
        <v>-0</v>
      </c>
      <c r="CV171" s="41" t="n">
        <f aca="false">IF(Tasks[[#This Row],[_IsLeaf]]=1,MAX(N(Tasks[[#This Row],[Duration]]),0.1),0)</f>
        <v>0</v>
      </c>
      <c r="CW171" s="41" t="n">
        <f aca="false">Tasks[[#This Row],[_WeightDur]]*Tasks[[#This Row],[_LeafProgress]]</f>
        <v>0</v>
      </c>
      <c r="CX1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1" s="41" t="str">
        <f aca="false">IF(Tasks[[#This Row],[Task Name]]="","",Tasks[[#This Row],[_Pred1UIDText]]&amp;IF(AND(Tasks[[#This Row],[_Pred1UIDText]]&lt;&gt;"",Tasks[[#This Row],[_Pred2UIDText]]&lt;&gt;""),",","")&amp;Tasks[[#This Row],[_Pred2UIDText]])</f>
        <v/>
      </c>
      <c r="DC171" s="41" t="str">
        <f aca="false">IF(AND(Tasks[[#This Row],[_IsLeaf]]=1,N(Tasks[[#This Row],[Duration]])=0,Tasks[[#This Row],[_LeafProgress]]&lt;1),Tasks[[#This Row],[_LeafFcstFinish]]+Tasks[[#This Row],[_Row]]/100000,"")</f>
        <v/>
      </c>
      <c r="DD1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1" s="41" t="n">
        <f aca="false">IF(NOT(Tasks[[#This Row],[_IsLeaf]]=1),0,IF(Tasks[[#This Row],[Baseline Cost]]="",Tasks[[#This Row],[_LeafCost]],N(Tasks[[#This Row],[Baseline Cost]])))</f>
        <v>0</v>
      </c>
      <c r="DF171" s="41" t="n">
        <f aca="false">Tasks[[#This Row],[_LeafBudget]]*Tasks[[#This Row],[_PlannedPct]]</f>
        <v>0</v>
      </c>
      <c r="DG171" s="41" t="n">
        <f aca="false">Tasks[[#This Row],[_LeafBudget]]*Tasks[[#This Row],[_LeafProgress]]</f>
        <v>0</v>
      </c>
      <c r="DH171" s="41" t="n">
        <f aca="false">IF(NOT(Tasks[[#This Row],[_IsLeaf]]=1),0,IF(Tasks[[#This Row],[Actual Cost]]="",Tasks[[#This Row],[_LeafCost]]*Tasks[[#This Row],[_LeafProgress]],N(Tasks[[#This Row],[Actual Cost]])))</f>
        <v>0</v>
      </c>
      <c r="DI171" s="41" t="str">
        <f aca="false">IF(Tasks[[#This Row],[Task Name]]="","",LEFT(Tasks[[#This Row],[WBS]],FIND(".",Tasks[[#This Row],[WBS]]&amp;".")-1))</f>
        <v/>
      </c>
      <c r="DJ171" s="41" t="str">
        <f aca="false">IF(AND(Tasks[[#This Row],[Task Name]]&lt;&gt;"",Tasks[[#This Row],[_Level]]=1),Tasks[[#This Row],[_Row]],"")</f>
        <v/>
      </c>
      <c r="DK171" s="41" t="str">
        <f aca="false">IF(AND(Tasks[[#This Row],[_IsLeaf]]=1,N(Tasks[[#This Row],[Duration]])=0),Tasks[[#This Row],[Planned Finish]]+Tasks[[#This Row],[_Row]]/100000,"")</f>
        <v/>
      </c>
      <c r="DL171" s="41" t="str">
        <f aca="false">IF(AND(Tasks[[#This Row],[_IsLeaf]]=1,Tasks[[#This Row],[_LeafProgress]]&lt;1,OR(N(Tasks[[#This Row],[Finish Var]])&gt;0,Tasks[[#This Row],[Status]]="Late Start")),MAX(0,Tasks[[#This Row],[Finish Var]])+1-Tasks[[#This Row],[_Row]]/1000000,"")</f>
        <v/>
      </c>
      <c r="DM171" s="41" t="str">
        <f aca="false">IF(AND(Tasks[[#This Row],[_IsLeaf]]=1,N(Tasks[[#This Row],[Actual Start]])=0,Tasks[[#This Row],[_LeafFcstStart]]&gt;=StatusDate,Tasks[[#This Row],[_LeafFcstStart]]&lt;=LookaheadEnd),Tasks[[#This Row],[_LeafFcstStart]]+Tasks[[#This Row],[_Row]]/100000,"")</f>
        <v/>
      </c>
      <c r="DN171" s="41" t="str">
        <f aca="false">IF(AND(Tasks[[#This Row],[_IsLeaf]]=1,Tasks[[#This Row],[_LeafProgress]]&lt;1,Tasks[[#This Row],[_LeafFcstFinish]]&gt;=StatusDate,Tasks[[#This Row],[_LeafFcstFinish]]&lt;=LookaheadEnd),Tasks[[#This Row],[_LeafFcstFinish]]+Tasks[[#This Row],[_Row]]/100000,"")</f>
        <v/>
      </c>
      <c r="DO171" s="41" t="str">
        <f aca="false">IF(Tasks[[#This Row],[_LeafCritical]],Tasks[[#This Row],[_LeafFcstStart]]+Tasks[[#This Row],[_Row]]/100000,"")</f>
        <v/>
      </c>
      <c r="DP171" s="41" t="n">
        <f aca="false">Tasks[[#This Row],[_LeafWork]]*Tasks[[#This Row],[_LeafProgress]]</f>
        <v>0</v>
      </c>
      <c r="DQ171" s="103" t="str">
        <f aca="false">IF(AND(Tasks[[#This Row],[_IsLeaf]]=1,Tasks[[#This Row],[_LeafProgress]]&gt;=1),IF(N(Tasks[[#This Row],[Actual Finish]])&gt;0,Tasks[[#This Row],[Actual Finish]],Tasks[[#This Row],[_LeafFcstFinish]]),"")</f>
        <v/>
      </c>
      <c r="DR171" s="41" t="n">
        <f aca="false">IF(Tasks[[#This Row],[_IsLeaf]]=1,N(Tasks[[#This Row],[Story Points]]),0)</f>
        <v>0</v>
      </c>
      <c r="DS171" s="41" t="str">
        <f aca="false">IF(AND(Tasks[[#This Row],[_IsLeaf]]=1,CurrentSprint&lt;&gt;"",Tasks[[#This Row],[Sprint]]=CurrentSprint),Tasks[[#This Row],[_Row]],"")</f>
        <v/>
      </c>
    </row>
    <row r="172" customFormat="false" ht="15" hidden="false" customHeight="false" outlineLevel="0" collapsed="false">
      <c r="A172" s="28" t="str">
        <f aca="false">IF(Tasks[[#This Row],[Task Name]]="","",COUNTA(Tasks[[#Headers],[Task Name]]:Tasks[[#This Row],[Task Name]])-1)</f>
        <v/>
      </c>
      <c r="B172" s="29" t="n">
        <v>167</v>
      </c>
      <c r="C1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29"/>
      <c r="E172" s="30"/>
      <c r="F172" s="29"/>
      <c r="G172" s="29"/>
      <c r="H172" s="29"/>
      <c r="I172" s="29"/>
      <c r="J172" s="29"/>
      <c r="K172" s="29"/>
      <c r="L172" s="29"/>
      <c r="M172" s="29"/>
      <c r="N172" s="77"/>
      <c r="O172" s="77"/>
      <c r="P172" s="25" t="str">
        <f aca="false">IF(Tasks[[#This Row],[Task Name]]="","",IF(N(Tasks[[#This Row],[Baseline Start]])&gt;0,Tasks[[#This Row],[Baseline Start]],Tasks[[#This Row],[_CalcStart]]))</f>
        <v/>
      </c>
      <c r="Q172" s="25" t="str">
        <f aca="false">IF(Tasks[[#This Row],[Task Name]]="","",IF(N(Tasks[[#This Row],[Baseline Finish]])&gt;0,Tasks[[#This Row],[Baseline Finish]],Tasks[[#This Row],[_CalcFinish]]))</f>
        <v/>
      </c>
      <c r="R172" s="77"/>
      <c r="S172" s="77"/>
      <c r="T172" s="25" t="str">
        <f aca="false">IF(Tasks[[#This Row],[Task Name]]="","",IF(Tasks[[#This Row],[_IsSummary]],MIN(INDEX(Tasks[_LeafFcstStart],Tasks[[#This Row],[_Row]]+1):INDEX(Tasks[_LeafFcstStart],Tasks[[#This Row],[_Row]]+Tasks[[#This Row],[_Descendants]])),Tasks[[#This Row],[_LeafFcstStart]]))</f>
        <v/>
      </c>
      <c r="U172" s="25" t="str">
        <f aca="false">IF(Tasks[[#This Row],[Task Name]]="","",IF(Tasks[[#This Row],[_IsSummary]],MAX(INDEX(Tasks[_LeafFcstFinish],Tasks[[#This Row],[_Row]]+1):INDEX(Tasks[_LeafFcstFinish],Tasks[[#This Row],[_Row]]+Tasks[[#This Row],[_Descendants]])),Tasks[[#This Row],[_LeafFcstFinish]]))</f>
        <v/>
      </c>
      <c r="V17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2" s="25" t="str">
        <f aca="false">IF(Tasks[[#This Row],[Task Name]]="","",IF(Tasks[[#This Row],[_IsSummary]],MIN(INDEX(Tasks[_LeafLateStart],Tasks[[#This Row],[_Row]]+1):INDEX(Tasks[_LeafLateStart],Tasks[[#This Row],[_Row]]+Tasks[[#This Row],[_Descendants]])),Tasks[[#This Row],[_LeafLateStart]]))</f>
        <v/>
      </c>
      <c r="Y172" s="25" t="str">
        <f aca="false">IF(Tasks[[#This Row],[Task Name]]="","",IF(Tasks[[#This Row],[_IsSummary]],MAX(INDEX(Tasks[_LeafLateFinish],Tasks[[#This Row],[_Row]]+1):INDEX(Tasks[_LeafLateFinish],Tasks[[#This Row],[_Row]]+Tasks[[#This Row],[_Descendants]])),Tasks[[#This Row],[_LeafLateFinish]]))</f>
        <v/>
      </c>
      <c r="Z172" s="43" t="str">
        <f aca="false">IF(Tasks[[#This Row],[Task Name]]="","",IF(Tasks[[#This Row],[_IsSummary]],MIN(INDEX(Tasks[_LeafTotalSlack],Tasks[[#This Row],[_Row]]+1):INDEX(Tasks[_LeafTotalSlack],Tasks[[#This Row],[_Row]]+Tasks[[#This Row],[_Descendants]])),Tasks[[#This Row],[_LeafTotalSlack]]))</f>
        <v/>
      </c>
      <c r="AA1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2" s="28" t="str">
        <f aca="false">IF(Tasks[[#This Row],[Task Name]]="","",IF(IF(Tasks[[#This Row],[_IsSummary]],COUNTIF(INDEX(Tasks[_LeafCritical],Tasks[[#This Row],[_Row]]+1):INDEX(Tasks[_LeafCritical],Tasks[[#This Row],[_Row]]+Tasks[[#This Row],[_Descendants]]),TRUE())&gt;0,Tasks[[#This Row],[_LeafCritical]]),"Yes",""))</f>
        <v/>
      </c>
      <c r="AC1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2" s="24" t="str">
        <f aca="false">IF(Tasks[[#This Row],[Task Name]]="","",TRIM(IF(Tasks[[#This Row],[_Pred1Problem]]&lt;&gt;"","Pred 1: "&amp;Tasks[[#This Row],[_Pred1Problem]]&amp;". ","")&amp;IF(Tasks[[#This Row],[_Pred2Problem]]&lt;&gt;"","Pred 2: "&amp;Tasks[[#This Row],[_Pred2Problem]]&amp;".","")))</f>
        <v/>
      </c>
      <c r="AE172" s="91"/>
      <c r="AF17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2" s="28" t="str">
        <f aca="false">IF(Tasks[[#This Row],[Task Name]]="","",IF(Tasks[[#This Row],[Progress]]&gt;=1,"Complete",IF(OR(N(Tasks[[#This Row],[Actual Start]])&gt;0,Tasks[[#This Row],[Progress]]&gt;0),IF(Tasks[[#This Row],[Finish Var]]&gt;0,"Behind","In Progress"),IF(Tasks[[#This Row],[Planned Start]]&lt;StatusDate,"Late Start","Not Started"))))</f>
        <v/>
      </c>
      <c r="AH172" s="30"/>
      <c r="AI172" s="91"/>
      <c r="AJ17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2" s="98" t="str">
        <f aca="false">IF(Tasks[[#This Row],[Task Name]]="","",IF(Tasks[[#This Row],[_IsSummary]],SUM(INDEX(Tasks[_LeafWork],Tasks[[#This Row],[_Row]]+1):INDEX(Tasks[_LeafWork],Tasks[[#This Row],[_Row]]+Tasks[[#This Row],[_Descendants]])),Tasks[[#This Row],[_LeafWork]]))</f>
        <v/>
      </c>
      <c r="AL172" s="99" t="str">
        <f aca="false">IF(Tasks[[#This Row],[Task Name]]="","",IF(Tasks[[#This Row],[_IsSummary]],SUM(INDEX(Tasks[_LeafCost],Tasks[[#This Row],[_Row]]+1):INDEX(Tasks[_LeafCost],Tasks[[#This Row],[_Row]]+Tasks[[#This Row],[_Descendants]])),Tasks[[#This Row],[_LeafCost]]))</f>
        <v/>
      </c>
      <c r="AM172" s="100"/>
      <c r="AN172" s="29"/>
      <c r="AO1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2" s="85"/>
      <c r="AQ172" s="24" t="str">
        <f aca="false">IF(Tasks[[#This Row],[Task Name]]="","",Tasks[[#This Row],[_Pred1IDText]]&amp;IF(AND(Tasks[[#This Row],[_Pred1IDText]]&lt;&gt;"",Tasks[[#This Row],[_Pred2IDText]]&lt;&gt;""),",","")&amp;Tasks[[#This Row],[_Pred2IDText]])</f>
        <v/>
      </c>
      <c r="AR172" s="30"/>
      <c r="AS172" s="25" t="str">
        <f aca="false">IF(Tasks[[#This Row],[Task Name]]="","",Tasks[[#This Row],[Forecast Start]])</f>
        <v/>
      </c>
      <c r="AT172" s="25" t="str">
        <f aca="false">IF(Tasks[[#This Row],[Task Name]]="","",Tasks[[#This Row],[Forecast Finish]])</f>
        <v/>
      </c>
      <c r="AU172" s="28" t="str">
        <f aca="false">IF(Tasks[[#This Row],[Task Name]]="","",IF(Tasks[[#This Row],[_IsSummary]],NETWORKDAYS.INTL(Tasks[[#This Row],[Forecast Start]],Tasks[[#This Row],[Forecast Finish]],WorkWeek,Holidays),N(Tasks[[#This Row],[Duration]])))</f>
        <v/>
      </c>
      <c r="AV172" s="98" t="str">
        <f aca="false">IF(Tasks[[#This Row],[Task Name]]="","",Tasks[[#This Row],[Work]])</f>
        <v/>
      </c>
      <c r="AW172" s="99" t="str">
        <f aca="false">IF(Tasks[[#This Row],[Task Name]]="","",Tasks[[#This Row],[Cost]])</f>
        <v/>
      </c>
      <c r="AX172" s="77"/>
      <c r="AY172" s="77"/>
      <c r="AZ172" s="29"/>
      <c r="BA172" s="101"/>
      <c r="BB172" s="100"/>
      <c r="BC172" s="28" t="str">
        <f aca="false">IF(OR(Tasks[[#This Row],[Task Name]]="",Tasks[[#This Row],[Baseline Duration]]=""),"",Tasks[[#This Row],[BL Source Duration]]-N(Tasks[[#This Row],[Baseline Duration]]))</f>
        <v/>
      </c>
      <c r="BD172" s="98" t="str">
        <f aca="false">IF(OR(Tasks[[#This Row],[Task Name]]="",Tasks[[#This Row],[Baseline Work]]=""),"",Tasks[[#This Row],[Work]]-N(Tasks[[#This Row],[Baseline Work]]))</f>
        <v/>
      </c>
      <c r="BE172" s="99" t="str">
        <f aca="false">IF(OR(Tasks[[#This Row],[Task Name]]="",Tasks[[#This Row],[Baseline Cost]]=""),"",Tasks[[#This Row],[Cost]]-N(Tasks[[#This Row],[Baseline Cost]]))</f>
        <v/>
      </c>
      <c r="BF172" s="99" t="str">
        <f aca="false">IF(Tasks[[#This Row],[Task Name]]="","",IF(Tasks[[#This Row],[_IsSummary]],SUM(INDEX(Tasks[_LeafBudget],Tasks[[#This Row],[_Row]]+1):INDEX(Tasks[_LeafBudget],Tasks[[#This Row],[_Row]]+Tasks[[#This Row],[_Descendants]])),Tasks[[#This Row],[_LeafBudget]]))</f>
        <v/>
      </c>
      <c r="BG172" s="99" t="str">
        <f aca="false">IF(Tasks[[#This Row],[Task Name]]="","",IF(Tasks[[#This Row],[_IsSummary]],SUM(INDEX(Tasks[_LeafPV],Tasks[[#This Row],[_Row]]+1):INDEX(Tasks[_LeafPV],Tasks[[#This Row],[_Row]]+Tasks[[#This Row],[_Descendants]])),Tasks[[#This Row],[_LeafPV]]))</f>
        <v/>
      </c>
      <c r="BH172" s="99" t="str">
        <f aca="false">IF(Tasks[[#This Row],[Task Name]]="","",IF(Tasks[[#This Row],[_IsSummary]],SUM(INDEX(Tasks[_LeafEV],Tasks[[#This Row],[_Row]]+1):INDEX(Tasks[_LeafEV],Tasks[[#This Row],[_Row]]+Tasks[[#This Row],[_Descendants]])),Tasks[[#This Row],[_LeafEV]]))</f>
        <v/>
      </c>
      <c r="BI172" s="99" t="str">
        <f aca="false">IF(Tasks[[#This Row],[Task Name]]="","",IF(Tasks[[#This Row],[_IsSummary]],SUM(INDEX(Tasks[_LeafAC],Tasks[[#This Row],[_Row]]+1):INDEX(Tasks[_LeafAC],Tasks[[#This Row],[_Row]]+Tasks[[#This Row],[_Descendants]])),Tasks[[#This Row],[_LeafAC]]))</f>
        <v/>
      </c>
      <c r="BJ172" s="41" t="str">
        <f aca="false">IF(Tasks[[#This Row],[Task Name]]="","",MAX(1,N(Tasks[[#This Row],[Level]])))</f>
        <v/>
      </c>
      <c r="BK172" s="41" t="n">
        <f aca="false">ROW()-ROW(Tasks[[#Headers],[ID]])</f>
        <v>167</v>
      </c>
      <c r="BL172" s="41" t="n">
        <f aca="false">IF(OR(Tasks[[#This Row],[Task Name]]="",Tasks[[#This Row],[_Level]]&lt;=1),0,IFERROR(LOOKUP(2,1/(Tasks[[#Headers],[_Level]]:Tasks[[#This Row],[_Level]]=Tasks[[#This Row],[_Level]]-1),ROW(Tasks[[#Headers],[_Level]]:Tasks[[#This Row],[_Level]])),0))</f>
        <v>0</v>
      </c>
      <c r="BM172" s="41" t="n">
        <f aca="false">IFERROR(N(INDEX(Tasks[_Level],Tasks[[#This Row],[_Row]]+1)),0)</f>
        <v>0</v>
      </c>
      <c r="BN172" s="102" t="b">
        <f aca="false">AND(Tasks[[#This Row],[Task Name]]&lt;&gt;"",Tasks[[#This Row],[_NextLevel]]&gt;Tasks[[#This Row],[_Level]])</f>
        <v>0</v>
      </c>
      <c r="BO172" s="41" t="n">
        <f aca="false">IF(Tasks[[#This Row],[_IsSummary]],COUNTIF(Tasks[WBS],Tasks[[#This Row],[WBS]]&amp;".*"),0)</f>
        <v>0</v>
      </c>
      <c r="BP172" s="41" t="n">
        <f aca="false">IF(AND(Tasks[[#This Row],[Task Name]]&lt;&gt;"",NOT(Tasks[[#This Row],[_IsSummary]])),1,0)</f>
        <v>0</v>
      </c>
      <c r="BQ172" s="41" t="n">
        <f aca="false">IF(N(Tasks[[#This Row],[Pred1 UID]])=0,0,IFERROR(MATCH(Tasks[[#This Row],[Pred1 UID]],Tasks[UID],0),-1))</f>
        <v>0</v>
      </c>
      <c r="BR172" s="41" t="n">
        <f aca="false">IF(N(Tasks[[#This Row],[Pred2 UID]])=0,0,IFERROR(MATCH(Tasks[[#This Row],[Pred2 UID]],Tasks[UID],0),-1))</f>
        <v>0</v>
      </c>
      <c r="BS17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2" s="103" t="str">
        <f aca="false">IF(NOT(Tasks[[#This Row],[_IsLeaf]]=1),"",IF(N(Tasks[[#This Row],[Duration]])&lt;=0,Tasks[[#This Row],[_LeafCalcStart]],WORKDAY.INTL(Tasks[[#This Row],[_LeafCalcStart]],Tasks[[#This Row],[Duration]]-1,WorkWeek,Holidays)))</f>
        <v/>
      </c>
      <c r="BU17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2" s="41" t="n">
        <f aca="false">IF(NOT(Tasks[[#This Row],[_IsLeaf]]=1),0,IF(N(Tasks[[#This Row],[Actual Finish]])&gt;0,1,MIN(1,N(Tasks[[#This Row],[% Complete]]))))</f>
        <v>0</v>
      </c>
      <c r="BX172" s="41" t="n">
        <f aca="false">IF(OR(NOT(Tasks[[#This Row],[_IsLeaf]]=1),Tasks[[#This Row],[Resource]]=""),0,N(Tasks[[#This Row],[Duration]])*HoursPerDay*IF(Tasks[[#This Row],[Units]]="",DefaultUnits,Tasks[[#This Row],[Units]]))</f>
        <v>0</v>
      </c>
      <c r="BY172" s="41" t="n">
        <f aca="false">IF(Tasks[[#This Row],[_LeafWork]]=0,0,Tasks[[#This Row],[_LeafWork]]*IFERROR(INDEX(res_Rate,MATCH(Tasks[[#This Row],[Resource]],res_Name,0)),0))</f>
        <v>0</v>
      </c>
      <c r="BZ1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2" s="41" t="n">
        <f aca="false">IF(NOT(Tasks[[#This Row],[_IsLeaf]]=1),0,MAX(_xlfn.MAXIFS(Tasks[_Row],Tasks[Pred1 UID],Tasks[[#This Row],[UID]]),_xlfn.MAXIFS(Tasks[_Row],Tasks[Pred2 UID],Tasks[[#This Row],[UID]])))</f>
        <v>0</v>
      </c>
      <c r="CE17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2" s="103" t="str">
        <f aca="false">IF(NOT(Tasks[[#This Row],[_IsLeaf]]=1),"",MIN(ProjectFinish,IF(N(Tasks[[#This Row],[Deadline]])&gt;0,Tasks[[#This Row],[Deadline]],2958465),Tasks[[#This Row],[_SuccessorFinishLimit]]))</f>
        <v/>
      </c>
      <c r="CG172" s="103" t="str">
        <f aca="false">IF(NOT(Tasks[[#This Row],[_IsLeaf]]=1),"",IF(N(Tasks[[#This Row],[Duration]])&lt;=0,Tasks[[#This Row],[_LeafLateFinish]],WORKDAY.INTL(Tasks[[#This Row],[_LeafLateFinish]],-(Tasks[[#This Row],[Duration]]-1),WorkWeek,Holidays)))</f>
        <v/>
      </c>
      <c r="CH1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2" s="102" t="b">
        <f aca="false">AND(Tasks[[#This Row],[_IsLeaf]]=1,Tasks[[#This Row],[_LeafProgress]]&lt;1,N(Tasks[[#This Row],[_LeafTotalSlack]])&lt;=CriticalSlackDays)</f>
        <v>0</v>
      </c>
      <c r="CJ172" s="103" t="str">
        <f aca="false">IF(Tasks[[#This Row],[Task Name]]="","",IF(Tasks[[#This Row],[_IsSummary]],MIN(INDEX(Tasks[_LeafCalcStart],Tasks[[#This Row],[_Row]]+1):INDEX(Tasks[_LeafCalcStart],Tasks[[#This Row],[_Row]]+Tasks[[#This Row],[_Descendants]])),Tasks[[#This Row],[_LeafCalcStart]]))</f>
        <v/>
      </c>
      <c r="CK172" s="103" t="str">
        <f aca="false">IF(Tasks[[#This Row],[Task Name]]="","",IF(Tasks[[#This Row],[_IsSummary]],MAX(INDEX(Tasks[_LeafCalcFinish],Tasks[[#This Row],[_Row]]+1):INDEX(Tasks[_LeafCalcFinish],Tasks[[#This Row],[_Row]]+Tasks[[#This Row],[_Descendants]])),Tasks[[#This Row],[_LeafCalcFinish]]))</f>
        <v/>
      </c>
      <c r="CL1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2" s="41" t="n">
        <f aca="false">IF(AND(Tasks[[#This Row],[_IsLeaf]]=1,Tasks[[#This Row],[_LeafWork]]&gt;0),NETWORKDAYS.INTL(ProjectStart,Tasks[[#This Row],[_LeafFcstStart]],WorkWeek,Holidays),0)</f>
        <v>0</v>
      </c>
      <c r="CS172" s="41" t="n">
        <f aca="false">IF(AND(Tasks[[#This Row],[_IsLeaf]]=1,Tasks[[#This Row],[_LeafWork]]&gt;0),MAX(Tasks[[#This Row],[_StartWorkday]],NETWORKDAYS.INTL(ProjectStart,Tasks[[#This Row],[_LeafFcstFinish]],WorkWeek,Holidays)),0)</f>
        <v>0</v>
      </c>
      <c r="CT172" s="41" t="n">
        <f aca="false">IF(AND(Tasks[[#This Row],[_IsLeaf]]=1,Tasks[[#This Row],[_LeafWork]]&gt;0),Tasks[[#This Row],[_LeafWork]]/(Tasks[[#This Row],[_FinishWorkday]]-Tasks[[#This Row],[_StartWorkday]]+1),0)</f>
        <v>0</v>
      </c>
      <c r="CU172" s="41" t="n">
        <f aca="false">Tasks[[#This Row],[_WorkPerWorkday]]*(Tasks[[#This Row],[_StartWorkday]]-1)</f>
        <v>-0</v>
      </c>
      <c r="CV172" s="41" t="n">
        <f aca="false">IF(Tasks[[#This Row],[_IsLeaf]]=1,MAX(N(Tasks[[#This Row],[Duration]]),0.1),0)</f>
        <v>0</v>
      </c>
      <c r="CW172" s="41" t="n">
        <f aca="false">Tasks[[#This Row],[_WeightDur]]*Tasks[[#This Row],[_LeafProgress]]</f>
        <v>0</v>
      </c>
      <c r="CX1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2" s="41" t="str">
        <f aca="false">IF(Tasks[[#This Row],[Task Name]]="","",Tasks[[#This Row],[_Pred1UIDText]]&amp;IF(AND(Tasks[[#This Row],[_Pred1UIDText]]&lt;&gt;"",Tasks[[#This Row],[_Pred2UIDText]]&lt;&gt;""),",","")&amp;Tasks[[#This Row],[_Pred2UIDText]])</f>
        <v/>
      </c>
      <c r="DC172" s="41" t="str">
        <f aca="false">IF(AND(Tasks[[#This Row],[_IsLeaf]]=1,N(Tasks[[#This Row],[Duration]])=0,Tasks[[#This Row],[_LeafProgress]]&lt;1),Tasks[[#This Row],[_LeafFcstFinish]]+Tasks[[#This Row],[_Row]]/100000,"")</f>
        <v/>
      </c>
      <c r="DD1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2" s="41" t="n">
        <f aca="false">IF(NOT(Tasks[[#This Row],[_IsLeaf]]=1),0,IF(Tasks[[#This Row],[Baseline Cost]]="",Tasks[[#This Row],[_LeafCost]],N(Tasks[[#This Row],[Baseline Cost]])))</f>
        <v>0</v>
      </c>
      <c r="DF172" s="41" t="n">
        <f aca="false">Tasks[[#This Row],[_LeafBudget]]*Tasks[[#This Row],[_PlannedPct]]</f>
        <v>0</v>
      </c>
      <c r="DG172" s="41" t="n">
        <f aca="false">Tasks[[#This Row],[_LeafBudget]]*Tasks[[#This Row],[_LeafProgress]]</f>
        <v>0</v>
      </c>
      <c r="DH172" s="41" t="n">
        <f aca="false">IF(NOT(Tasks[[#This Row],[_IsLeaf]]=1),0,IF(Tasks[[#This Row],[Actual Cost]]="",Tasks[[#This Row],[_LeafCost]]*Tasks[[#This Row],[_LeafProgress]],N(Tasks[[#This Row],[Actual Cost]])))</f>
        <v>0</v>
      </c>
      <c r="DI172" s="41" t="str">
        <f aca="false">IF(Tasks[[#This Row],[Task Name]]="","",LEFT(Tasks[[#This Row],[WBS]],FIND(".",Tasks[[#This Row],[WBS]]&amp;".")-1))</f>
        <v/>
      </c>
      <c r="DJ172" s="41" t="str">
        <f aca="false">IF(AND(Tasks[[#This Row],[Task Name]]&lt;&gt;"",Tasks[[#This Row],[_Level]]=1),Tasks[[#This Row],[_Row]],"")</f>
        <v/>
      </c>
      <c r="DK172" s="41" t="str">
        <f aca="false">IF(AND(Tasks[[#This Row],[_IsLeaf]]=1,N(Tasks[[#This Row],[Duration]])=0),Tasks[[#This Row],[Planned Finish]]+Tasks[[#This Row],[_Row]]/100000,"")</f>
        <v/>
      </c>
      <c r="DL172" s="41" t="str">
        <f aca="false">IF(AND(Tasks[[#This Row],[_IsLeaf]]=1,Tasks[[#This Row],[_LeafProgress]]&lt;1,OR(N(Tasks[[#This Row],[Finish Var]])&gt;0,Tasks[[#This Row],[Status]]="Late Start")),MAX(0,Tasks[[#This Row],[Finish Var]])+1-Tasks[[#This Row],[_Row]]/1000000,"")</f>
        <v/>
      </c>
      <c r="DM172" s="41" t="str">
        <f aca="false">IF(AND(Tasks[[#This Row],[_IsLeaf]]=1,N(Tasks[[#This Row],[Actual Start]])=0,Tasks[[#This Row],[_LeafFcstStart]]&gt;=StatusDate,Tasks[[#This Row],[_LeafFcstStart]]&lt;=LookaheadEnd),Tasks[[#This Row],[_LeafFcstStart]]+Tasks[[#This Row],[_Row]]/100000,"")</f>
        <v/>
      </c>
      <c r="DN172" s="41" t="str">
        <f aca="false">IF(AND(Tasks[[#This Row],[_IsLeaf]]=1,Tasks[[#This Row],[_LeafProgress]]&lt;1,Tasks[[#This Row],[_LeafFcstFinish]]&gt;=StatusDate,Tasks[[#This Row],[_LeafFcstFinish]]&lt;=LookaheadEnd),Tasks[[#This Row],[_LeafFcstFinish]]+Tasks[[#This Row],[_Row]]/100000,"")</f>
        <v/>
      </c>
      <c r="DO172" s="41" t="str">
        <f aca="false">IF(Tasks[[#This Row],[_LeafCritical]],Tasks[[#This Row],[_LeafFcstStart]]+Tasks[[#This Row],[_Row]]/100000,"")</f>
        <v/>
      </c>
      <c r="DP172" s="41" t="n">
        <f aca="false">Tasks[[#This Row],[_LeafWork]]*Tasks[[#This Row],[_LeafProgress]]</f>
        <v>0</v>
      </c>
      <c r="DQ172" s="103" t="str">
        <f aca="false">IF(AND(Tasks[[#This Row],[_IsLeaf]]=1,Tasks[[#This Row],[_LeafProgress]]&gt;=1),IF(N(Tasks[[#This Row],[Actual Finish]])&gt;0,Tasks[[#This Row],[Actual Finish]],Tasks[[#This Row],[_LeafFcstFinish]]),"")</f>
        <v/>
      </c>
      <c r="DR172" s="41" t="n">
        <f aca="false">IF(Tasks[[#This Row],[_IsLeaf]]=1,N(Tasks[[#This Row],[Story Points]]),0)</f>
        <v>0</v>
      </c>
      <c r="DS172" s="41" t="str">
        <f aca="false">IF(AND(Tasks[[#This Row],[_IsLeaf]]=1,CurrentSprint&lt;&gt;"",Tasks[[#This Row],[Sprint]]=CurrentSprint),Tasks[[#This Row],[_Row]],"")</f>
        <v/>
      </c>
    </row>
    <row r="173" customFormat="false" ht="15" hidden="false" customHeight="false" outlineLevel="0" collapsed="false">
      <c r="A173" s="28" t="str">
        <f aca="false">IF(Tasks[[#This Row],[Task Name]]="","",COUNTA(Tasks[[#Headers],[Task Name]]:Tasks[[#This Row],[Task Name]])-1)</f>
        <v/>
      </c>
      <c r="B173" s="29" t="n">
        <v>168</v>
      </c>
      <c r="C1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29"/>
      <c r="E173" s="30"/>
      <c r="F173" s="29"/>
      <c r="G173" s="29"/>
      <c r="H173" s="29"/>
      <c r="I173" s="29"/>
      <c r="J173" s="29"/>
      <c r="K173" s="29"/>
      <c r="L173" s="29"/>
      <c r="M173" s="29"/>
      <c r="N173" s="77"/>
      <c r="O173" s="77"/>
      <c r="P173" s="25" t="str">
        <f aca="false">IF(Tasks[[#This Row],[Task Name]]="","",IF(N(Tasks[[#This Row],[Baseline Start]])&gt;0,Tasks[[#This Row],[Baseline Start]],Tasks[[#This Row],[_CalcStart]]))</f>
        <v/>
      </c>
      <c r="Q173" s="25" t="str">
        <f aca="false">IF(Tasks[[#This Row],[Task Name]]="","",IF(N(Tasks[[#This Row],[Baseline Finish]])&gt;0,Tasks[[#This Row],[Baseline Finish]],Tasks[[#This Row],[_CalcFinish]]))</f>
        <v/>
      </c>
      <c r="R173" s="77"/>
      <c r="S173" s="77"/>
      <c r="T173" s="25" t="str">
        <f aca="false">IF(Tasks[[#This Row],[Task Name]]="","",IF(Tasks[[#This Row],[_IsSummary]],MIN(INDEX(Tasks[_LeafFcstStart],Tasks[[#This Row],[_Row]]+1):INDEX(Tasks[_LeafFcstStart],Tasks[[#This Row],[_Row]]+Tasks[[#This Row],[_Descendants]])),Tasks[[#This Row],[_LeafFcstStart]]))</f>
        <v/>
      </c>
      <c r="U173" s="25" t="str">
        <f aca="false">IF(Tasks[[#This Row],[Task Name]]="","",IF(Tasks[[#This Row],[_IsSummary]],MAX(INDEX(Tasks[_LeafFcstFinish],Tasks[[#This Row],[_Row]]+1):INDEX(Tasks[_LeafFcstFinish],Tasks[[#This Row],[_Row]]+Tasks[[#This Row],[_Descendants]])),Tasks[[#This Row],[_LeafFcstFinish]]))</f>
        <v/>
      </c>
      <c r="V17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3" s="25" t="str">
        <f aca="false">IF(Tasks[[#This Row],[Task Name]]="","",IF(Tasks[[#This Row],[_IsSummary]],MIN(INDEX(Tasks[_LeafLateStart],Tasks[[#This Row],[_Row]]+1):INDEX(Tasks[_LeafLateStart],Tasks[[#This Row],[_Row]]+Tasks[[#This Row],[_Descendants]])),Tasks[[#This Row],[_LeafLateStart]]))</f>
        <v/>
      </c>
      <c r="Y173" s="25" t="str">
        <f aca="false">IF(Tasks[[#This Row],[Task Name]]="","",IF(Tasks[[#This Row],[_IsSummary]],MAX(INDEX(Tasks[_LeafLateFinish],Tasks[[#This Row],[_Row]]+1):INDEX(Tasks[_LeafLateFinish],Tasks[[#This Row],[_Row]]+Tasks[[#This Row],[_Descendants]])),Tasks[[#This Row],[_LeafLateFinish]]))</f>
        <v/>
      </c>
      <c r="Z173" s="43" t="str">
        <f aca="false">IF(Tasks[[#This Row],[Task Name]]="","",IF(Tasks[[#This Row],[_IsSummary]],MIN(INDEX(Tasks[_LeafTotalSlack],Tasks[[#This Row],[_Row]]+1):INDEX(Tasks[_LeafTotalSlack],Tasks[[#This Row],[_Row]]+Tasks[[#This Row],[_Descendants]])),Tasks[[#This Row],[_LeafTotalSlack]]))</f>
        <v/>
      </c>
      <c r="AA1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3" s="28" t="str">
        <f aca="false">IF(Tasks[[#This Row],[Task Name]]="","",IF(IF(Tasks[[#This Row],[_IsSummary]],COUNTIF(INDEX(Tasks[_LeafCritical],Tasks[[#This Row],[_Row]]+1):INDEX(Tasks[_LeafCritical],Tasks[[#This Row],[_Row]]+Tasks[[#This Row],[_Descendants]]),TRUE())&gt;0,Tasks[[#This Row],[_LeafCritical]]),"Yes",""))</f>
        <v/>
      </c>
      <c r="AC1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3" s="24" t="str">
        <f aca="false">IF(Tasks[[#This Row],[Task Name]]="","",TRIM(IF(Tasks[[#This Row],[_Pred1Problem]]&lt;&gt;"","Pred 1: "&amp;Tasks[[#This Row],[_Pred1Problem]]&amp;". ","")&amp;IF(Tasks[[#This Row],[_Pred2Problem]]&lt;&gt;"","Pred 2: "&amp;Tasks[[#This Row],[_Pred2Problem]]&amp;".","")))</f>
        <v/>
      </c>
      <c r="AE173" s="91"/>
      <c r="AF17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3" s="28" t="str">
        <f aca="false">IF(Tasks[[#This Row],[Task Name]]="","",IF(Tasks[[#This Row],[Progress]]&gt;=1,"Complete",IF(OR(N(Tasks[[#This Row],[Actual Start]])&gt;0,Tasks[[#This Row],[Progress]]&gt;0),IF(Tasks[[#This Row],[Finish Var]]&gt;0,"Behind","In Progress"),IF(Tasks[[#This Row],[Planned Start]]&lt;StatusDate,"Late Start","Not Started"))))</f>
        <v/>
      </c>
      <c r="AH173" s="30"/>
      <c r="AI173" s="91"/>
      <c r="AJ17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3" s="98" t="str">
        <f aca="false">IF(Tasks[[#This Row],[Task Name]]="","",IF(Tasks[[#This Row],[_IsSummary]],SUM(INDEX(Tasks[_LeafWork],Tasks[[#This Row],[_Row]]+1):INDEX(Tasks[_LeafWork],Tasks[[#This Row],[_Row]]+Tasks[[#This Row],[_Descendants]])),Tasks[[#This Row],[_LeafWork]]))</f>
        <v/>
      </c>
      <c r="AL173" s="99" t="str">
        <f aca="false">IF(Tasks[[#This Row],[Task Name]]="","",IF(Tasks[[#This Row],[_IsSummary]],SUM(INDEX(Tasks[_LeafCost],Tasks[[#This Row],[_Row]]+1):INDEX(Tasks[_LeafCost],Tasks[[#This Row],[_Row]]+Tasks[[#This Row],[_Descendants]])),Tasks[[#This Row],[_LeafCost]]))</f>
        <v/>
      </c>
      <c r="AM173" s="100"/>
      <c r="AN173" s="29"/>
      <c r="AO1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3" s="85"/>
      <c r="AQ173" s="24" t="str">
        <f aca="false">IF(Tasks[[#This Row],[Task Name]]="","",Tasks[[#This Row],[_Pred1IDText]]&amp;IF(AND(Tasks[[#This Row],[_Pred1IDText]]&lt;&gt;"",Tasks[[#This Row],[_Pred2IDText]]&lt;&gt;""),",","")&amp;Tasks[[#This Row],[_Pred2IDText]])</f>
        <v/>
      </c>
      <c r="AR173" s="30"/>
      <c r="AS173" s="25" t="str">
        <f aca="false">IF(Tasks[[#This Row],[Task Name]]="","",Tasks[[#This Row],[Forecast Start]])</f>
        <v/>
      </c>
      <c r="AT173" s="25" t="str">
        <f aca="false">IF(Tasks[[#This Row],[Task Name]]="","",Tasks[[#This Row],[Forecast Finish]])</f>
        <v/>
      </c>
      <c r="AU173" s="28" t="str">
        <f aca="false">IF(Tasks[[#This Row],[Task Name]]="","",IF(Tasks[[#This Row],[_IsSummary]],NETWORKDAYS.INTL(Tasks[[#This Row],[Forecast Start]],Tasks[[#This Row],[Forecast Finish]],WorkWeek,Holidays),N(Tasks[[#This Row],[Duration]])))</f>
        <v/>
      </c>
      <c r="AV173" s="98" t="str">
        <f aca="false">IF(Tasks[[#This Row],[Task Name]]="","",Tasks[[#This Row],[Work]])</f>
        <v/>
      </c>
      <c r="AW173" s="99" t="str">
        <f aca="false">IF(Tasks[[#This Row],[Task Name]]="","",Tasks[[#This Row],[Cost]])</f>
        <v/>
      </c>
      <c r="AX173" s="77"/>
      <c r="AY173" s="77"/>
      <c r="AZ173" s="29"/>
      <c r="BA173" s="101"/>
      <c r="BB173" s="100"/>
      <c r="BC173" s="28" t="str">
        <f aca="false">IF(OR(Tasks[[#This Row],[Task Name]]="",Tasks[[#This Row],[Baseline Duration]]=""),"",Tasks[[#This Row],[BL Source Duration]]-N(Tasks[[#This Row],[Baseline Duration]]))</f>
        <v/>
      </c>
      <c r="BD173" s="98" t="str">
        <f aca="false">IF(OR(Tasks[[#This Row],[Task Name]]="",Tasks[[#This Row],[Baseline Work]]=""),"",Tasks[[#This Row],[Work]]-N(Tasks[[#This Row],[Baseline Work]]))</f>
        <v/>
      </c>
      <c r="BE173" s="99" t="str">
        <f aca="false">IF(OR(Tasks[[#This Row],[Task Name]]="",Tasks[[#This Row],[Baseline Cost]]=""),"",Tasks[[#This Row],[Cost]]-N(Tasks[[#This Row],[Baseline Cost]]))</f>
        <v/>
      </c>
      <c r="BF173" s="99" t="str">
        <f aca="false">IF(Tasks[[#This Row],[Task Name]]="","",IF(Tasks[[#This Row],[_IsSummary]],SUM(INDEX(Tasks[_LeafBudget],Tasks[[#This Row],[_Row]]+1):INDEX(Tasks[_LeafBudget],Tasks[[#This Row],[_Row]]+Tasks[[#This Row],[_Descendants]])),Tasks[[#This Row],[_LeafBudget]]))</f>
        <v/>
      </c>
      <c r="BG173" s="99" t="str">
        <f aca="false">IF(Tasks[[#This Row],[Task Name]]="","",IF(Tasks[[#This Row],[_IsSummary]],SUM(INDEX(Tasks[_LeafPV],Tasks[[#This Row],[_Row]]+1):INDEX(Tasks[_LeafPV],Tasks[[#This Row],[_Row]]+Tasks[[#This Row],[_Descendants]])),Tasks[[#This Row],[_LeafPV]]))</f>
        <v/>
      </c>
      <c r="BH173" s="99" t="str">
        <f aca="false">IF(Tasks[[#This Row],[Task Name]]="","",IF(Tasks[[#This Row],[_IsSummary]],SUM(INDEX(Tasks[_LeafEV],Tasks[[#This Row],[_Row]]+1):INDEX(Tasks[_LeafEV],Tasks[[#This Row],[_Row]]+Tasks[[#This Row],[_Descendants]])),Tasks[[#This Row],[_LeafEV]]))</f>
        <v/>
      </c>
      <c r="BI173" s="99" t="str">
        <f aca="false">IF(Tasks[[#This Row],[Task Name]]="","",IF(Tasks[[#This Row],[_IsSummary]],SUM(INDEX(Tasks[_LeafAC],Tasks[[#This Row],[_Row]]+1):INDEX(Tasks[_LeafAC],Tasks[[#This Row],[_Row]]+Tasks[[#This Row],[_Descendants]])),Tasks[[#This Row],[_LeafAC]]))</f>
        <v/>
      </c>
      <c r="BJ173" s="41" t="str">
        <f aca="false">IF(Tasks[[#This Row],[Task Name]]="","",MAX(1,N(Tasks[[#This Row],[Level]])))</f>
        <v/>
      </c>
      <c r="BK173" s="41" t="n">
        <f aca="false">ROW()-ROW(Tasks[[#Headers],[ID]])</f>
        <v>168</v>
      </c>
      <c r="BL173" s="41" t="n">
        <f aca="false">IF(OR(Tasks[[#This Row],[Task Name]]="",Tasks[[#This Row],[_Level]]&lt;=1),0,IFERROR(LOOKUP(2,1/(Tasks[[#Headers],[_Level]]:Tasks[[#This Row],[_Level]]=Tasks[[#This Row],[_Level]]-1),ROW(Tasks[[#Headers],[_Level]]:Tasks[[#This Row],[_Level]])),0))</f>
        <v>0</v>
      </c>
      <c r="BM173" s="41" t="n">
        <f aca="false">IFERROR(N(INDEX(Tasks[_Level],Tasks[[#This Row],[_Row]]+1)),0)</f>
        <v>0</v>
      </c>
      <c r="BN173" s="102" t="b">
        <f aca="false">AND(Tasks[[#This Row],[Task Name]]&lt;&gt;"",Tasks[[#This Row],[_NextLevel]]&gt;Tasks[[#This Row],[_Level]])</f>
        <v>0</v>
      </c>
      <c r="BO173" s="41" t="n">
        <f aca="false">IF(Tasks[[#This Row],[_IsSummary]],COUNTIF(Tasks[WBS],Tasks[[#This Row],[WBS]]&amp;".*"),0)</f>
        <v>0</v>
      </c>
      <c r="BP173" s="41" t="n">
        <f aca="false">IF(AND(Tasks[[#This Row],[Task Name]]&lt;&gt;"",NOT(Tasks[[#This Row],[_IsSummary]])),1,0)</f>
        <v>0</v>
      </c>
      <c r="BQ173" s="41" t="n">
        <f aca="false">IF(N(Tasks[[#This Row],[Pred1 UID]])=0,0,IFERROR(MATCH(Tasks[[#This Row],[Pred1 UID]],Tasks[UID],0),-1))</f>
        <v>0</v>
      </c>
      <c r="BR173" s="41" t="n">
        <f aca="false">IF(N(Tasks[[#This Row],[Pred2 UID]])=0,0,IFERROR(MATCH(Tasks[[#This Row],[Pred2 UID]],Tasks[UID],0),-1))</f>
        <v>0</v>
      </c>
      <c r="BS17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3" s="103" t="str">
        <f aca="false">IF(NOT(Tasks[[#This Row],[_IsLeaf]]=1),"",IF(N(Tasks[[#This Row],[Duration]])&lt;=0,Tasks[[#This Row],[_LeafCalcStart]],WORKDAY.INTL(Tasks[[#This Row],[_LeafCalcStart]],Tasks[[#This Row],[Duration]]-1,WorkWeek,Holidays)))</f>
        <v/>
      </c>
      <c r="BU17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3" s="41" t="n">
        <f aca="false">IF(NOT(Tasks[[#This Row],[_IsLeaf]]=1),0,IF(N(Tasks[[#This Row],[Actual Finish]])&gt;0,1,MIN(1,N(Tasks[[#This Row],[% Complete]]))))</f>
        <v>0</v>
      </c>
      <c r="BX173" s="41" t="n">
        <f aca="false">IF(OR(NOT(Tasks[[#This Row],[_IsLeaf]]=1),Tasks[[#This Row],[Resource]]=""),0,N(Tasks[[#This Row],[Duration]])*HoursPerDay*IF(Tasks[[#This Row],[Units]]="",DefaultUnits,Tasks[[#This Row],[Units]]))</f>
        <v>0</v>
      </c>
      <c r="BY173" s="41" t="n">
        <f aca="false">IF(Tasks[[#This Row],[_LeafWork]]=0,0,Tasks[[#This Row],[_LeafWork]]*IFERROR(INDEX(res_Rate,MATCH(Tasks[[#This Row],[Resource]],res_Name,0)),0))</f>
        <v>0</v>
      </c>
      <c r="BZ1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3" s="41" t="n">
        <f aca="false">IF(NOT(Tasks[[#This Row],[_IsLeaf]]=1),0,MAX(_xlfn.MAXIFS(Tasks[_Row],Tasks[Pred1 UID],Tasks[[#This Row],[UID]]),_xlfn.MAXIFS(Tasks[_Row],Tasks[Pred2 UID],Tasks[[#This Row],[UID]])))</f>
        <v>0</v>
      </c>
      <c r="CE17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3" s="103" t="str">
        <f aca="false">IF(NOT(Tasks[[#This Row],[_IsLeaf]]=1),"",MIN(ProjectFinish,IF(N(Tasks[[#This Row],[Deadline]])&gt;0,Tasks[[#This Row],[Deadline]],2958465),Tasks[[#This Row],[_SuccessorFinishLimit]]))</f>
        <v/>
      </c>
      <c r="CG173" s="103" t="str">
        <f aca="false">IF(NOT(Tasks[[#This Row],[_IsLeaf]]=1),"",IF(N(Tasks[[#This Row],[Duration]])&lt;=0,Tasks[[#This Row],[_LeafLateFinish]],WORKDAY.INTL(Tasks[[#This Row],[_LeafLateFinish]],-(Tasks[[#This Row],[Duration]]-1),WorkWeek,Holidays)))</f>
        <v/>
      </c>
      <c r="CH1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3" s="102" t="b">
        <f aca="false">AND(Tasks[[#This Row],[_IsLeaf]]=1,Tasks[[#This Row],[_LeafProgress]]&lt;1,N(Tasks[[#This Row],[_LeafTotalSlack]])&lt;=CriticalSlackDays)</f>
        <v>0</v>
      </c>
      <c r="CJ173" s="103" t="str">
        <f aca="false">IF(Tasks[[#This Row],[Task Name]]="","",IF(Tasks[[#This Row],[_IsSummary]],MIN(INDEX(Tasks[_LeafCalcStart],Tasks[[#This Row],[_Row]]+1):INDEX(Tasks[_LeafCalcStart],Tasks[[#This Row],[_Row]]+Tasks[[#This Row],[_Descendants]])),Tasks[[#This Row],[_LeafCalcStart]]))</f>
        <v/>
      </c>
      <c r="CK173" s="103" t="str">
        <f aca="false">IF(Tasks[[#This Row],[Task Name]]="","",IF(Tasks[[#This Row],[_IsSummary]],MAX(INDEX(Tasks[_LeafCalcFinish],Tasks[[#This Row],[_Row]]+1):INDEX(Tasks[_LeafCalcFinish],Tasks[[#This Row],[_Row]]+Tasks[[#This Row],[_Descendants]])),Tasks[[#This Row],[_LeafCalcFinish]]))</f>
        <v/>
      </c>
      <c r="CL1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3" s="41" t="n">
        <f aca="false">IF(AND(Tasks[[#This Row],[_IsLeaf]]=1,Tasks[[#This Row],[_LeafWork]]&gt;0),NETWORKDAYS.INTL(ProjectStart,Tasks[[#This Row],[_LeafFcstStart]],WorkWeek,Holidays),0)</f>
        <v>0</v>
      </c>
      <c r="CS173" s="41" t="n">
        <f aca="false">IF(AND(Tasks[[#This Row],[_IsLeaf]]=1,Tasks[[#This Row],[_LeafWork]]&gt;0),MAX(Tasks[[#This Row],[_StartWorkday]],NETWORKDAYS.INTL(ProjectStart,Tasks[[#This Row],[_LeafFcstFinish]],WorkWeek,Holidays)),0)</f>
        <v>0</v>
      </c>
      <c r="CT173" s="41" t="n">
        <f aca="false">IF(AND(Tasks[[#This Row],[_IsLeaf]]=1,Tasks[[#This Row],[_LeafWork]]&gt;0),Tasks[[#This Row],[_LeafWork]]/(Tasks[[#This Row],[_FinishWorkday]]-Tasks[[#This Row],[_StartWorkday]]+1),0)</f>
        <v>0</v>
      </c>
      <c r="CU173" s="41" t="n">
        <f aca="false">Tasks[[#This Row],[_WorkPerWorkday]]*(Tasks[[#This Row],[_StartWorkday]]-1)</f>
        <v>-0</v>
      </c>
      <c r="CV173" s="41" t="n">
        <f aca="false">IF(Tasks[[#This Row],[_IsLeaf]]=1,MAX(N(Tasks[[#This Row],[Duration]]),0.1),0)</f>
        <v>0</v>
      </c>
      <c r="CW173" s="41" t="n">
        <f aca="false">Tasks[[#This Row],[_WeightDur]]*Tasks[[#This Row],[_LeafProgress]]</f>
        <v>0</v>
      </c>
      <c r="CX1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3" s="41" t="str">
        <f aca="false">IF(Tasks[[#This Row],[Task Name]]="","",Tasks[[#This Row],[_Pred1UIDText]]&amp;IF(AND(Tasks[[#This Row],[_Pred1UIDText]]&lt;&gt;"",Tasks[[#This Row],[_Pred2UIDText]]&lt;&gt;""),",","")&amp;Tasks[[#This Row],[_Pred2UIDText]])</f>
        <v/>
      </c>
      <c r="DC173" s="41" t="str">
        <f aca="false">IF(AND(Tasks[[#This Row],[_IsLeaf]]=1,N(Tasks[[#This Row],[Duration]])=0,Tasks[[#This Row],[_LeafProgress]]&lt;1),Tasks[[#This Row],[_LeafFcstFinish]]+Tasks[[#This Row],[_Row]]/100000,"")</f>
        <v/>
      </c>
      <c r="DD1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3" s="41" t="n">
        <f aca="false">IF(NOT(Tasks[[#This Row],[_IsLeaf]]=1),0,IF(Tasks[[#This Row],[Baseline Cost]]="",Tasks[[#This Row],[_LeafCost]],N(Tasks[[#This Row],[Baseline Cost]])))</f>
        <v>0</v>
      </c>
      <c r="DF173" s="41" t="n">
        <f aca="false">Tasks[[#This Row],[_LeafBudget]]*Tasks[[#This Row],[_PlannedPct]]</f>
        <v>0</v>
      </c>
      <c r="DG173" s="41" t="n">
        <f aca="false">Tasks[[#This Row],[_LeafBudget]]*Tasks[[#This Row],[_LeafProgress]]</f>
        <v>0</v>
      </c>
      <c r="DH173" s="41" t="n">
        <f aca="false">IF(NOT(Tasks[[#This Row],[_IsLeaf]]=1),0,IF(Tasks[[#This Row],[Actual Cost]]="",Tasks[[#This Row],[_LeafCost]]*Tasks[[#This Row],[_LeafProgress]],N(Tasks[[#This Row],[Actual Cost]])))</f>
        <v>0</v>
      </c>
      <c r="DI173" s="41" t="str">
        <f aca="false">IF(Tasks[[#This Row],[Task Name]]="","",LEFT(Tasks[[#This Row],[WBS]],FIND(".",Tasks[[#This Row],[WBS]]&amp;".")-1))</f>
        <v/>
      </c>
      <c r="DJ173" s="41" t="str">
        <f aca="false">IF(AND(Tasks[[#This Row],[Task Name]]&lt;&gt;"",Tasks[[#This Row],[_Level]]=1),Tasks[[#This Row],[_Row]],"")</f>
        <v/>
      </c>
      <c r="DK173" s="41" t="str">
        <f aca="false">IF(AND(Tasks[[#This Row],[_IsLeaf]]=1,N(Tasks[[#This Row],[Duration]])=0),Tasks[[#This Row],[Planned Finish]]+Tasks[[#This Row],[_Row]]/100000,"")</f>
        <v/>
      </c>
      <c r="DL173" s="41" t="str">
        <f aca="false">IF(AND(Tasks[[#This Row],[_IsLeaf]]=1,Tasks[[#This Row],[_LeafProgress]]&lt;1,OR(N(Tasks[[#This Row],[Finish Var]])&gt;0,Tasks[[#This Row],[Status]]="Late Start")),MAX(0,Tasks[[#This Row],[Finish Var]])+1-Tasks[[#This Row],[_Row]]/1000000,"")</f>
        <v/>
      </c>
      <c r="DM173" s="41" t="str">
        <f aca="false">IF(AND(Tasks[[#This Row],[_IsLeaf]]=1,N(Tasks[[#This Row],[Actual Start]])=0,Tasks[[#This Row],[_LeafFcstStart]]&gt;=StatusDate,Tasks[[#This Row],[_LeafFcstStart]]&lt;=LookaheadEnd),Tasks[[#This Row],[_LeafFcstStart]]+Tasks[[#This Row],[_Row]]/100000,"")</f>
        <v/>
      </c>
      <c r="DN173" s="41" t="str">
        <f aca="false">IF(AND(Tasks[[#This Row],[_IsLeaf]]=1,Tasks[[#This Row],[_LeafProgress]]&lt;1,Tasks[[#This Row],[_LeafFcstFinish]]&gt;=StatusDate,Tasks[[#This Row],[_LeafFcstFinish]]&lt;=LookaheadEnd),Tasks[[#This Row],[_LeafFcstFinish]]+Tasks[[#This Row],[_Row]]/100000,"")</f>
        <v/>
      </c>
      <c r="DO173" s="41" t="str">
        <f aca="false">IF(Tasks[[#This Row],[_LeafCritical]],Tasks[[#This Row],[_LeafFcstStart]]+Tasks[[#This Row],[_Row]]/100000,"")</f>
        <v/>
      </c>
      <c r="DP173" s="41" t="n">
        <f aca="false">Tasks[[#This Row],[_LeafWork]]*Tasks[[#This Row],[_LeafProgress]]</f>
        <v>0</v>
      </c>
      <c r="DQ173" s="103" t="str">
        <f aca="false">IF(AND(Tasks[[#This Row],[_IsLeaf]]=1,Tasks[[#This Row],[_LeafProgress]]&gt;=1),IF(N(Tasks[[#This Row],[Actual Finish]])&gt;0,Tasks[[#This Row],[Actual Finish]],Tasks[[#This Row],[_LeafFcstFinish]]),"")</f>
        <v/>
      </c>
      <c r="DR173" s="41" t="n">
        <f aca="false">IF(Tasks[[#This Row],[_IsLeaf]]=1,N(Tasks[[#This Row],[Story Points]]),0)</f>
        <v>0</v>
      </c>
      <c r="DS173" s="41" t="str">
        <f aca="false">IF(AND(Tasks[[#This Row],[_IsLeaf]]=1,CurrentSprint&lt;&gt;"",Tasks[[#This Row],[Sprint]]=CurrentSprint),Tasks[[#This Row],[_Row]],"")</f>
        <v/>
      </c>
    </row>
    <row r="174" customFormat="false" ht="15" hidden="false" customHeight="false" outlineLevel="0" collapsed="false">
      <c r="A174" s="28" t="str">
        <f aca="false">IF(Tasks[[#This Row],[Task Name]]="","",COUNTA(Tasks[[#Headers],[Task Name]]:Tasks[[#This Row],[Task Name]])-1)</f>
        <v/>
      </c>
      <c r="B174" s="29" t="n">
        <v>169</v>
      </c>
      <c r="C1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29"/>
      <c r="E174" s="30"/>
      <c r="F174" s="29"/>
      <c r="G174" s="29"/>
      <c r="H174" s="29"/>
      <c r="I174" s="29"/>
      <c r="J174" s="29"/>
      <c r="K174" s="29"/>
      <c r="L174" s="29"/>
      <c r="M174" s="29"/>
      <c r="N174" s="77"/>
      <c r="O174" s="77"/>
      <c r="P174" s="25" t="str">
        <f aca="false">IF(Tasks[[#This Row],[Task Name]]="","",IF(N(Tasks[[#This Row],[Baseline Start]])&gt;0,Tasks[[#This Row],[Baseline Start]],Tasks[[#This Row],[_CalcStart]]))</f>
        <v/>
      </c>
      <c r="Q174" s="25" t="str">
        <f aca="false">IF(Tasks[[#This Row],[Task Name]]="","",IF(N(Tasks[[#This Row],[Baseline Finish]])&gt;0,Tasks[[#This Row],[Baseline Finish]],Tasks[[#This Row],[_CalcFinish]]))</f>
        <v/>
      </c>
      <c r="R174" s="77"/>
      <c r="S174" s="77"/>
      <c r="T174" s="25" t="str">
        <f aca="false">IF(Tasks[[#This Row],[Task Name]]="","",IF(Tasks[[#This Row],[_IsSummary]],MIN(INDEX(Tasks[_LeafFcstStart],Tasks[[#This Row],[_Row]]+1):INDEX(Tasks[_LeafFcstStart],Tasks[[#This Row],[_Row]]+Tasks[[#This Row],[_Descendants]])),Tasks[[#This Row],[_LeafFcstStart]]))</f>
        <v/>
      </c>
      <c r="U174" s="25" t="str">
        <f aca="false">IF(Tasks[[#This Row],[Task Name]]="","",IF(Tasks[[#This Row],[_IsSummary]],MAX(INDEX(Tasks[_LeafFcstFinish],Tasks[[#This Row],[_Row]]+1):INDEX(Tasks[_LeafFcstFinish],Tasks[[#This Row],[_Row]]+Tasks[[#This Row],[_Descendants]])),Tasks[[#This Row],[_LeafFcstFinish]]))</f>
        <v/>
      </c>
      <c r="V17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4" s="25" t="str">
        <f aca="false">IF(Tasks[[#This Row],[Task Name]]="","",IF(Tasks[[#This Row],[_IsSummary]],MIN(INDEX(Tasks[_LeafLateStart],Tasks[[#This Row],[_Row]]+1):INDEX(Tasks[_LeafLateStart],Tasks[[#This Row],[_Row]]+Tasks[[#This Row],[_Descendants]])),Tasks[[#This Row],[_LeafLateStart]]))</f>
        <v/>
      </c>
      <c r="Y174" s="25" t="str">
        <f aca="false">IF(Tasks[[#This Row],[Task Name]]="","",IF(Tasks[[#This Row],[_IsSummary]],MAX(INDEX(Tasks[_LeafLateFinish],Tasks[[#This Row],[_Row]]+1):INDEX(Tasks[_LeafLateFinish],Tasks[[#This Row],[_Row]]+Tasks[[#This Row],[_Descendants]])),Tasks[[#This Row],[_LeafLateFinish]]))</f>
        <v/>
      </c>
      <c r="Z174" s="43" t="str">
        <f aca="false">IF(Tasks[[#This Row],[Task Name]]="","",IF(Tasks[[#This Row],[_IsSummary]],MIN(INDEX(Tasks[_LeafTotalSlack],Tasks[[#This Row],[_Row]]+1):INDEX(Tasks[_LeafTotalSlack],Tasks[[#This Row],[_Row]]+Tasks[[#This Row],[_Descendants]])),Tasks[[#This Row],[_LeafTotalSlack]]))</f>
        <v/>
      </c>
      <c r="AA1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4" s="28" t="str">
        <f aca="false">IF(Tasks[[#This Row],[Task Name]]="","",IF(IF(Tasks[[#This Row],[_IsSummary]],COUNTIF(INDEX(Tasks[_LeafCritical],Tasks[[#This Row],[_Row]]+1):INDEX(Tasks[_LeafCritical],Tasks[[#This Row],[_Row]]+Tasks[[#This Row],[_Descendants]]),TRUE())&gt;0,Tasks[[#This Row],[_LeafCritical]]),"Yes",""))</f>
        <v/>
      </c>
      <c r="AC1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4" s="24" t="str">
        <f aca="false">IF(Tasks[[#This Row],[Task Name]]="","",TRIM(IF(Tasks[[#This Row],[_Pred1Problem]]&lt;&gt;"","Pred 1: "&amp;Tasks[[#This Row],[_Pred1Problem]]&amp;". ","")&amp;IF(Tasks[[#This Row],[_Pred2Problem]]&lt;&gt;"","Pred 2: "&amp;Tasks[[#This Row],[_Pred2Problem]]&amp;".","")))</f>
        <v/>
      </c>
      <c r="AE174" s="91"/>
      <c r="AF17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4" s="28" t="str">
        <f aca="false">IF(Tasks[[#This Row],[Task Name]]="","",IF(Tasks[[#This Row],[Progress]]&gt;=1,"Complete",IF(OR(N(Tasks[[#This Row],[Actual Start]])&gt;0,Tasks[[#This Row],[Progress]]&gt;0),IF(Tasks[[#This Row],[Finish Var]]&gt;0,"Behind","In Progress"),IF(Tasks[[#This Row],[Planned Start]]&lt;StatusDate,"Late Start","Not Started"))))</f>
        <v/>
      </c>
      <c r="AH174" s="30"/>
      <c r="AI174" s="91"/>
      <c r="AJ17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4" s="98" t="str">
        <f aca="false">IF(Tasks[[#This Row],[Task Name]]="","",IF(Tasks[[#This Row],[_IsSummary]],SUM(INDEX(Tasks[_LeafWork],Tasks[[#This Row],[_Row]]+1):INDEX(Tasks[_LeafWork],Tasks[[#This Row],[_Row]]+Tasks[[#This Row],[_Descendants]])),Tasks[[#This Row],[_LeafWork]]))</f>
        <v/>
      </c>
      <c r="AL174" s="99" t="str">
        <f aca="false">IF(Tasks[[#This Row],[Task Name]]="","",IF(Tasks[[#This Row],[_IsSummary]],SUM(INDEX(Tasks[_LeafCost],Tasks[[#This Row],[_Row]]+1):INDEX(Tasks[_LeafCost],Tasks[[#This Row],[_Row]]+Tasks[[#This Row],[_Descendants]])),Tasks[[#This Row],[_LeafCost]]))</f>
        <v/>
      </c>
      <c r="AM174" s="100"/>
      <c r="AN174" s="29"/>
      <c r="AO1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4" s="85"/>
      <c r="AQ174" s="24" t="str">
        <f aca="false">IF(Tasks[[#This Row],[Task Name]]="","",Tasks[[#This Row],[_Pred1IDText]]&amp;IF(AND(Tasks[[#This Row],[_Pred1IDText]]&lt;&gt;"",Tasks[[#This Row],[_Pred2IDText]]&lt;&gt;""),",","")&amp;Tasks[[#This Row],[_Pred2IDText]])</f>
        <v/>
      </c>
      <c r="AR174" s="30"/>
      <c r="AS174" s="25" t="str">
        <f aca="false">IF(Tasks[[#This Row],[Task Name]]="","",Tasks[[#This Row],[Forecast Start]])</f>
        <v/>
      </c>
      <c r="AT174" s="25" t="str">
        <f aca="false">IF(Tasks[[#This Row],[Task Name]]="","",Tasks[[#This Row],[Forecast Finish]])</f>
        <v/>
      </c>
      <c r="AU174" s="28" t="str">
        <f aca="false">IF(Tasks[[#This Row],[Task Name]]="","",IF(Tasks[[#This Row],[_IsSummary]],NETWORKDAYS.INTL(Tasks[[#This Row],[Forecast Start]],Tasks[[#This Row],[Forecast Finish]],WorkWeek,Holidays),N(Tasks[[#This Row],[Duration]])))</f>
        <v/>
      </c>
      <c r="AV174" s="98" t="str">
        <f aca="false">IF(Tasks[[#This Row],[Task Name]]="","",Tasks[[#This Row],[Work]])</f>
        <v/>
      </c>
      <c r="AW174" s="99" t="str">
        <f aca="false">IF(Tasks[[#This Row],[Task Name]]="","",Tasks[[#This Row],[Cost]])</f>
        <v/>
      </c>
      <c r="AX174" s="77"/>
      <c r="AY174" s="77"/>
      <c r="AZ174" s="29"/>
      <c r="BA174" s="101"/>
      <c r="BB174" s="100"/>
      <c r="BC174" s="28" t="str">
        <f aca="false">IF(OR(Tasks[[#This Row],[Task Name]]="",Tasks[[#This Row],[Baseline Duration]]=""),"",Tasks[[#This Row],[BL Source Duration]]-N(Tasks[[#This Row],[Baseline Duration]]))</f>
        <v/>
      </c>
      <c r="BD174" s="98" t="str">
        <f aca="false">IF(OR(Tasks[[#This Row],[Task Name]]="",Tasks[[#This Row],[Baseline Work]]=""),"",Tasks[[#This Row],[Work]]-N(Tasks[[#This Row],[Baseline Work]]))</f>
        <v/>
      </c>
      <c r="BE174" s="99" t="str">
        <f aca="false">IF(OR(Tasks[[#This Row],[Task Name]]="",Tasks[[#This Row],[Baseline Cost]]=""),"",Tasks[[#This Row],[Cost]]-N(Tasks[[#This Row],[Baseline Cost]]))</f>
        <v/>
      </c>
      <c r="BF174" s="99" t="str">
        <f aca="false">IF(Tasks[[#This Row],[Task Name]]="","",IF(Tasks[[#This Row],[_IsSummary]],SUM(INDEX(Tasks[_LeafBudget],Tasks[[#This Row],[_Row]]+1):INDEX(Tasks[_LeafBudget],Tasks[[#This Row],[_Row]]+Tasks[[#This Row],[_Descendants]])),Tasks[[#This Row],[_LeafBudget]]))</f>
        <v/>
      </c>
      <c r="BG174" s="99" t="str">
        <f aca="false">IF(Tasks[[#This Row],[Task Name]]="","",IF(Tasks[[#This Row],[_IsSummary]],SUM(INDEX(Tasks[_LeafPV],Tasks[[#This Row],[_Row]]+1):INDEX(Tasks[_LeafPV],Tasks[[#This Row],[_Row]]+Tasks[[#This Row],[_Descendants]])),Tasks[[#This Row],[_LeafPV]]))</f>
        <v/>
      </c>
      <c r="BH174" s="99" t="str">
        <f aca="false">IF(Tasks[[#This Row],[Task Name]]="","",IF(Tasks[[#This Row],[_IsSummary]],SUM(INDEX(Tasks[_LeafEV],Tasks[[#This Row],[_Row]]+1):INDEX(Tasks[_LeafEV],Tasks[[#This Row],[_Row]]+Tasks[[#This Row],[_Descendants]])),Tasks[[#This Row],[_LeafEV]]))</f>
        <v/>
      </c>
      <c r="BI174" s="99" t="str">
        <f aca="false">IF(Tasks[[#This Row],[Task Name]]="","",IF(Tasks[[#This Row],[_IsSummary]],SUM(INDEX(Tasks[_LeafAC],Tasks[[#This Row],[_Row]]+1):INDEX(Tasks[_LeafAC],Tasks[[#This Row],[_Row]]+Tasks[[#This Row],[_Descendants]])),Tasks[[#This Row],[_LeafAC]]))</f>
        <v/>
      </c>
      <c r="BJ174" s="41" t="str">
        <f aca="false">IF(Tasks[[#This Row],[Task Name]]="","",MAX(1,N(Tasks[[#This Row],[Level]])))</f>
        <v/>
      </c>
      <c r="BK174" s="41" t="n">
        <f aca="false">ROW()-ROW(Tasks[[#Headers],[ID]])</f>
        <v>169</v>
      </c>
      <c r="BL174" s="41" t="n">
        <f aca="false">IF(OR(Tasks[[#This Row],[Task Name]]="",Tasks[[#This Row],[_Level]]&lt;=1),0,IFERROR(LOOKUP(2,1/(Tasks[[#Headers],[_Level]]:Tasks[[#This Row],[_Level]]=Tasks[[#This Row],[_Level]]-1),ROW(Tasks[[#Headers],[_Level]]:Tasks[[#This Row],[_Level]])),0))</f>
        <v>0</v>
      </c>
      <c r="BM174" s="41" t="n">
        <f aca="false">IFERROR(N(INDEX(Tasks[_Level],Tasks[[#This Row],[_Row]]+1)),0)</f>
        <v>0</v>
      </c>
      <c r="BN174" s="102" t="b">
        <f aca="false">AND(Tasks[[#This Row],[Task Name]]&lt;&gt;"",Tasks[[#This Row],[_NextLevel]]&gt;Tasks[[#This Row],[_Level]])</f>
        <v>0</v>
      </c>
      <c r="BO174" s="41" t="n">
        <f aca="false">IF(Tasks[[#This Row],[_IsSummary]],COUNTIF(Tasks[WBS],Tasks[[#This Row],[WBS]]&amp;".*"),0)</f>
        <v>0</v>
      </c>
      <c r="BP174" s="41" t="n">
        <f aca="false">IF(AND(Tasks[[#This Row],[Task Name]]&lt;&gt;"",NOT(Tasks[[#This Row],[_IsSummary]])),1,0)</f>
        <v>0</v>
      </c>
      <c r="BQ174" s="41" t="n">
        <f aca="false">IF(N(Tasks[[#This Row],[Pred1 UID]])=0,0,IFERROR(MATCH(Tasks[[#This Row],[Pred1 UID]],Tasks[UID],0),-1))</f>
        <v>0</v>
      </c>
      <c r="BR174" s="41" t="n">
        <f aca="false">IF(N(Tasks[[#This Row],[Pred2 UID]])=0,0,IFERROR(MATCH(Tasks[[#This Row],[Pred2 UID]],Tasks[UID],0),-1))</f>
        <v>0</v>
      </c>
      <c r="BS17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4" s="103" t="str">
        <f aca="false">IF(NOT(Tasks[[#This Row],[_IsLeaf]]=1),"",IF(N(Tasks[[#This Row],[Duration]])&lt;=0,Tasks[[#This Row],[_LeafCalcStart]],WORKDAY.INTL(Tasks[[#This Row],[_LeafCalcStart]],Tasks[[#This Row],[Duration]]-1,WorkWeek,Holidays)))</f>
        <v/>
      </c>
      <c r="BU17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4" s="41" t="n">
        <f aca="false">IF(NOT(Tasks[[#This Row],[_IsLeaf]]=1),0,IF(N(Tasks[[#This Row],[Actual Finish]])&gt;0,1,MIN(1,N(Tasks[[#This Row],[% Complete]]))))</f>
        <v>0</v>
      </c>
      <c r="BX174" s="41" t="n">
        <f aca="false">IF(OR(NOT(Tasks[[#This Row],[_IsLeaf]]=1),Tasks[[#This Row],[Resource]]=""),0,N(Tasks[[#This Row],[Duration]])*HoursPerDay*IF(Tasks[[#This Row],[Units]]="",DefaultUnits,Tasks[[#This Row],[Units]]))</f>
        <v>0</v>
      </c>
      <c r="BY174" s="41" t="n">
        <f aca="false">IF(Tasks[[#This Row],[_LeafWork]]=0,0,Tasks[[#This Row],[_LeafWork]]*IFERROR(INDEX(res_Rate,MATCH(Tasks[[#This Row],[Resource]],res_Name,0)),0))</f>
        <v>0</v>
      </c>
      <c r="BZ1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4" s="41" t="n">
        <f aca="false">IF(NOT(Tasks[[#This Row],[_IsLeaf]]=1),0,MAX(_xlfn.MAXIFS(Tasks[_Row],Tasks[Pred1 UID],Tasks[[#This Row],[UID]]),_xlfn.MAXIFS(Tasks[_Row],Tasks[Pred2 UID],Tasks[[#This Row],[UID]])))</f>
        <v>0</v>
      </c>
      <c r="CE17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4" s="103" t="str">
        <f aca="false">IF(NOT(Tasks[[#This Row],[_IsLeaf]]=1),"",MIN(ProjectFinish,IF(N(Tasks[[#This Row],[Deadline]])&gt;0,Tasks[[#This Row],[Deadline]],2958465),Tasks[[#This Row],[_SuccessorFinishLimit]]))</f>
        <v/>
      </c>
      <c r="CG174" s="103" t="str">
        <f aca="false">IF(NOT(Tasks[[#This Row],[_IsLeaf]]=1),"",IF(N(Tasks[[#This Row],[Duration]])&lt;=0,Tasks[[#This Row],[_LeafLateFinish]],WORKDAY.INTL(Tasks[[#This Row],[_LeafLateFinish]],-(Tasks[[#This Row],[Duration]]-1),WorkWeek,Holidays)))</f>
        <v/>
      </c>
      <c r="CH1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4" s="102" t="b">
        <f aca="false">AND(Tasks[[#This Row],[_IsLeaf]]=1,Tasks[[#This Row],[_LeafProgress]]&lt;1,N(Tasks[[#This Row],[_LeafTotalSlack]])&lt;=CriticalSlackDays)</f>
        <v>0</v>
      </c>
      <c r="CJ174" s="103" t="str">
        <f aca="false">IF(Tasks[[#This Row],[Task Name]]="","",IF(Tasks[[#This Row],[_IsSummary]],MIN(INDEX(Tasks[_LeafCalcStart],Tasks[[#This Row],[_Row]]+1):INDEX(Tasks[_LeafCalcStart],Tasks[[#This Row],[_Row]]+Tasks[[#This Row],[_Descendants]])),Tasks[[#This Row],[_LeafCalcStart]]))</f>
        <v/>
      </c>
      <c r="CK174" s="103" t="str">
        <f aca="false">IF(Tasks[[#This Row],[Task Name]]="","",IF(Tasks[[#This Row],[_IsSummary]],MAX(INDEX(Tasks[_LeafCalcFinish],Tasks[[#This Row],[_Row]]+1):INDEX(Tasks[_LeafCalcFinish],Tasks[[#This Row],[_Row]]+Tasks[[#This Row],[_Descendants]])),Tasks[[#This Row],[_LeafCalcFinish]]))</f>
        <v/>
      </c>
      <c r="CL1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4" s="41" t="n">
        <f aca="false">IF(AND(Tasks[[#This Row],[_IsLeaf]]=1,Tasks[[#This Row],[_LeafWork]]&gt;0),NETWORKDAYS.INTL(ProjectStart,Tasks[[#This Row],[_LeafFcstStart]],WorkWeek,Holidays),0)</f>
        <v>0</v>
      </c>
      <c r="CS174" s="41" t="n">
        <f aca="false">IF(AND(Tasks[[#This Row],[_IsLeaf]]=1,Tasks[[#This Row],[_LeafWork]]&gt;0),MAX(Tasks[[#This Row],[_StartWorkday]],NETWORKDAYS.INTL(ProjectStart,Tasks[[#This Row],[_LeafFcstFinish]],WorkWeek,Holidays)),0)</f>
        <v>0</v>
      </c>
      <c r="CT174" s="41" t="n">
        <f aca="false">IF(AND(Tasks[[#This Row],[_IsLeaf]]=1,Tasks[[#This Row],[_LeafWork]]&gt;0),Tasks[[#This Row],[_LeafWork]]/(Tasks[[#This Row],[_FinishWorkday]]-Tasks[[#This Row],[_StartWorkday]]+1),0)</f>
        <v>0</v>
      </c>
      <c r="CU174" s="41" t="n">
        <f aca="false">Tasks[[#This Row],[_WorkPerWorkday]]*(Tasks[[#This Row],[_StartWorkday]]-1)</f>
        <v>-0</v>
      </c>
      <c r="CV174" s="41" t="n">
        <f aca="false">IF(Tasks[[#This Row],[_IsLeaf]]=1,MAX(N(Tasks[[#This Row],[Duration]]),0.1),0)</f>
        <v>0</v>
      </c>
      <c r="CW174" s="41" t="n">
        <f aca="false">Tasks[[#This Row],[_WeightDur]]*Tasks[[#This Row],[_LeafProgress]]</f>
        <v>0</v>
      </c>
      <c r="CX1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4" s="41" t="str">
        <f aca="false">IF(Tasks[[#This Row],[Task Name]]="","",Tasks[[#This Row],[_Pred1UIDText]]&amp;IF(AND(Tasks[[#This Row],[_Pred1UIDText]]&lt;&gt;"",Tasks[[#This Row],[_Pred2UIDText]]&lt;&gt;""),",","")&amp;Tasks[[#This Row],[_Pred2UIDText]])</f>
        <v/>
      </c>
      <c r="DC174" s="41" t="str">
        <f aca="false">IF(AND(Tasks[[#This Row],[_IsLeaf]]=1,N(Tasks[[#This Row],[Duration]])=0,Tasks[[#This Row],[_LeafProgress]]&lt;1),Tasks[[#This Row],[_LeafFcstFinish]]+Tasks[[#This Row],[_Row]]/100000,"")</f>
        <v/>
      </c>
      <c r="DD1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4" s="41" t="n">
        <f aca="false">IF(NOT(Tasks[[#This Row],[_IsLeaf]]=1),0,IF(Tasks[[#This Row],[Baseline Cost]]="",Tasks[[#This Row],[_LeafCost]],N(Tasks[[#This Row],[Baseline Cost]])))</f>
        <v>0</v>
      </c>
      <c r="DF174" s="41" t="n">
        <f aca="false">Tasks[[#This Row],[_LeafBudget]]*Tasks[[#This Row],[_PlannedPct]]</f>
        <v>0</v>
      </c>
      <c r="DG174" s="41" t="n">
        <f aca="false">Tasks[[#This Row],[_LeafBudget]]*Tasks[[#This Row],[_LeafProgress]]</f>
        <v>0</v>
      </c>
      <c r="DH174" s="41" t="n">
        <f aca="false">IF(NOT(Tasks[[#This Row],[_IsLeaf]]=1),0,IF(Tasks[[#This Row],[Actual Cost]]="",Tasks[[#This Row],[_LeafCost]]*Tasks[[#This Row],[_LeafProgress]],N(Tasks[[#This Row],[Actual Cost]])))</f>
        <v>0</v>
      </c>
      <c r="DI174" s="41" t="str">
        <f aca="false">IF(Tasks[[#This Row],[Task Name]]="","",LEFT(Tasks[[#This Row],[WBS]],FIND(".",Tasks[[#This Row],[WBS]]&amp;".")-1))</f>
        <v/>
      </c>
      <c r="DJ174" s="41" t="str">
        <f aca="false">IF(AND(Tasks[[#This Row],[Task Name]]&lt;&gt;"",Tasks[[#This Row],[_Level]]=1),Tasks[[#This Row],[_Row]],"")</f>
        <v/>
      </c>
      <c r="DK174" s="41" t="str">
        <f aca="false">IF(AND(Tasks[[#This Row],[_IsLeaf]]=1,N(Tasks[[#This Row],[Duration]])=0),Tasks[[#This Row],[Planned Finish]]+Tasks[[#This Row],[_Row]]/100000,"")</f>
        <v/>
      </c>
      <c r="DL174" s="41" t="str">
        <f aca="false">IF(AND(Tasks[[#This Row],[_IsLeaf]]=1,Tasks[[#This Row],[_LeafProgress]]&lt;1,OR(N(Tasks[[#This Row],[Finish Var]])&gt;0,Tasks[[#This Row],[Status]]="Late Start")),MAX(0,Tasks[[#This Row],[Finish Var]])+1-Tasks[[#This Row],[_Row]]/1000000,"")</f>
        <v/>
      </c>
      <c r="DM174" s="41" t="str">
        <f aca="false">IF(AND(Tasks[[#This Row],[_IsLeaf]]=1,N(Tasks[[#This Row],[Actual Start]])=0,Tasks[[#This Row],[_LeafFcstStart]]&gt;=StatusDate,Tasks[[#This Row],[_LeafFcstStart]]&lt;=LookaheadEnd),Tasks[[#This Row],[_LeafFcstStart]]+Tasks[[#This Row],[_Row]]/100000,"")</f>
        <v/>
      </c>
      <c r="DN174" s="41" t="str">
        <f aca="false">IF(AND(Tasks[[#This Row],[_IsLeaf]]=1,Tasks[[#This Row],[_LeafProgress]]&lt;1,Tasks[[#This Row],[_LeafFcstFinish]]&gt;=StatusDate,Tasks[[#This Row],[_LeafFcstFinish]]&lt;=LookaheadEnd),Tasks[[#This Row],[_LeafFcstFinish]]+Tasks[[#This Row],[_Row]]/100000,"")</f>
        <v/>
      </c>
      <c r="DO174" s="41" t="str">
        <f aca="false">IF(Tasks[[#This Row],[_LeafCritical]],Tasks[[#This Row],[_LeafFcstStart]]+Tasks[[#This Row],[_Row]]/100000,"")</f>
        <v/>
      </c>
      <c r="DP174" s="41" t="n">
        <f aca="false">Tasks[[#This Row],[_LeafWork]]*Tasks[[#This Row],[_LeafProgress]]</f>
        <v>0</v>
      </c>
      <c r="DQ174" s="103" t="str">
        <f aca="false">IF(AND(Tasks[[#This Row],[_IsLeaf]]=1,Tasks[[#This Row],[_LeafProgress]]&gt;=1),IF(N(Tasks[[#This Row],[Actual Finish]])&gt;0,Tasks[[#This Row],[Actual Finish]],Tasks[[#This Row],[_LeafFcstFinish]]),"")</f>
        <v/>
      </c>
      <c r="DR174" s="41" t="n">
        <f aca="false">IF(Tasks[[#This Row],[_IsLeaf]]=1,N(Tasks[[#This Row],[Story Points]]),0)</f>
        <v>0</v>
      </c>
      <c r="DS174" s="41" t="str">
        <f aca="false">IF(AND(Tasks[[#This Row],[_IsLeaf]]=1,CurrentSprint&lt;&gt;"",Tasks[[#This Row],[Sprint]]=CurrentSprint),Tasks[[#This Row],[_Row]],"")</f>
        <v/>
      </c>
    </row>
    <row r="175" customFormat="false" ht="15" hidden="false" customHeight="false" outlineLevel="0" collapsed="false">
      <c r="A175" s="28" t="str">
        <f aca="false">IF(Tasks[[#This Row],[Task Name]]="","",COUNTA(Tasks[[#Headers],[Task Name]]:Tasks[[#This Row],[Task Name]])-1)</f>
        <v/>
      </c>
      <c r="B175" s="29" t="n">
        <v>170</v>
      </c>
      <c r="C1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29"/>
      <c r="E175" s="30"/>
      <c r="F175" s="29"/>
      <c r="G175" s="29"/>
      <c r="H175" s="29"/>
      <c r="I175" s="29"/>
      <c r="J175" s="29"/>
      <c r="K175" s="29"/>
      <c r="L175" s="29"/>
      <c r="M175" s="29"/>
      <c r="N175" s="77"/>
      <c r="O175" s="77"/>
      <c r="P175" s="25" t="str">
        <f aca="false">IF(Tasks[[#This Row],[Task Name]]="","",IF(N(Tasks[[#This Row],[Baseline Start]])&gt;0,Tasks[[#This Row],[Baseline Start]],Tasks[[#This Row],[_CalcStart]]))</f>
        <v/>
      </c>
      <c r="Q175" s="25" t="str">
        <f aca="false">IF(Tasks[[#This Row],[Task Name]]="","",IF(N(Tasks[[#This Row],[Baseline Finish]])&gt;0,Tasks[[#This Row],[Baseline Finish]],Tasks[[#This Row],[_CalcFinish]]))</f>
        <v/>
      </c>
      <c r="R175" s="77"/>
      <c r="S175" s="77"/>
      <c r="T175" s="25" t="str">
        <f aca="false">IF(Tasks[[#This Row],[Task Name]]="","",IF(Tasks[[#This Row],[_IsSummary]],MIN(INDEX(Tasks[_LeafFcstStart],Tasks[[#This Row],[_Row]]+1):INDEX(Tasks[_LeafFcstStart],Tasks[[#This Row],[_Row]]+Tasks[[#This Row],[_Descendants]])),Tasks[[#This Row],[_LeafFcstStart]]))</f>
        <v/>
      </c>
      <c r="U175" s="25" t="str">
        <f aca="false">IF(Tasks[[#This Row],[Task Name]]="","",IF(Tasks[[#This Row],[_IsSummary]],MAX(INDEX(Tasks[_LeafFcstFinish],Tasks[[#This Row],[_Row]]+1):INDEX(Tasks[_LeafFcstFinish],Tasks[[#This Row],[_Row]]+Tasks[[#This Row],[_Descendants]])),Tasks[[#This Row],[_LeafFcstFinish]]))</f>
        <v/>
      </c>
      <c r="V17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5" s="25" t="str">
        <f aca="false">IF(Tasks[[#This Row],[Task Name]]="","",IF(Tasks[[#This Row],[_IsSummary]],MIN(INDEX(Tasks[_LeafLateStart],Tasks[[#This Row],[_Row]]+1):INDEX(Tasks[_LeafLateStart],Tasks[[#This Row],[_Row]]+Tasks[[#This Row],[_Descendants]])),Tasks[[#This Row],[_LeafLateStart]]))</f>
        <v/>
      </c>
      <c r="Y175" s="25" t="str">
        <f aca="false">IF(Tasks[[#This Row],[Task Name]]="","",IF(Tasks[[#This Row],[_IsSummary]],MAX(INDEX(Tasks[_LeafLateFinish],Tasks[[#This Row],[_Row]]+1):INDEX(Tasks[_LeafLateFinish],Tasks[[#This Row],[_Row]]+Tasks[[#This Row],[_Descendants]])),Tasks[[#This Row],[_LeafLateFinish]]))</f>
        <v/>
      </c>
      <c r="Z175" s="43" t="str">
        <f aca="false">IF(Tasks[[#This Row],[Task Name]]="","",IF(Tasks[[#This Row],[_IsSummary]],MIN(INDEX(Tasks[_LeafTotalSlack],Tasks[[#This Row],[_Row]]+1):INDEX(Tasks[_LeafTotalSlack],Tasks[[#This Row],[_Row]]+Tasks[[#This Row],[_Descendants]])),Tasks[[#This Row],[_LeafTotalSlack]]))</f>
        <v/>
      </c>
      <c r="AA1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5" s="28" t="str">
        <f aca="false">IF(Tasks[[#This Row],[Task Name]]="","",IF(IF(Tasks[[#This Row],[_IsSummary]],COUNTIF(INDEX(Tasks[_LeafCritical],Tasks[[#This Row],[_Row]]+1):INDEX(Tasks[_LeafCritical],Tasks[[#This Row],[_Row]]+Tasks[[#This Row],[_Descendants]]),TRUE())&gt;0,Tasks[[#This Row],[_LeafCritical]]),"Yes",""))</f>
        <v/>
      </c>
      <c r="AC1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5" s="24" t="str">
        <f aca="false">IF(Tasks[[#This Row],[Task Name]]="","",TRIM(IF(Tasks[[#This Row],[_Pred1Problem]]&lt;&gt;"","Pred 1: "&amp;Tasks[[#This Row],[_Pred1Problem]]&amp;". ","")&amp;IF(Tasks[[#This Row],[_Pred2Problem]]&lt;&gt;"","Pred 2: "&amp;Tasks[[#This Row],[_Pred2Problem]]&amp;".","")))</f>
        <v/>
      </c>
      <c r="AE175" s="91"/>
      <c r="AF17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5" s="28" t="str">
        <f aca="false">IF(Tasks[[#This Row],[Task Name]]="","",IF(Tasks[[#This Row],[Progress]]&gt;=1,"Complete",IF(OR(N(Tasks[[#This Row],[Actual Start]])&gt;0,Tasks[[#This Row],[Progress]]&gt;0),IF(Tasks[[#This Row],[Finish Var]]&gt;0,"Behind","In Progress"),IF(Tasks[[#This Row],[Planned Start]]&lt;StatusDate,"Late Start","Not Started"))))</f>
        <v/>
      </c>
      <c r="AH175" s="30"/>
      <c r="AI175" s="91"/>
      <c r="AJ17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5" s="98" t="str">
        <f aca="false">IF(Tasks[[#This Row],[Task Name]]="","",IF(Tasks[[#This Row],[_IsSummary]],SUM(INDEX(Tasks[_LeafWork],Tasks[[#This Row],[_Row]]+1):INDEX(Tasks[_LeafWork],Tasks[[#This Row],[_Row]]+Tasks[[#This Row],[_Descendants]])),Tasks[[#This Row],[_LeafWork]]))</f>
        <v/>
      </c>
      <c r="AL175" s="99" t="str">
        <f aca="false">IF(Tasks[[#This Row],[Task Name]]="","",IF(Tasks[[#This Row],[_IsSummary]],SUM(INDEX(Tasks[_LeafCost],Tasks[[#This Row],[_Row]]+1):INDEX(Tasks[_LeafCost],Tasks[[#This Row],[_Row]]+Tasks[[#This Row],[_Descendants]])),Tasks[[#This Row],[_LeafCost]]))</f>
        <v/>
      </c>
      <c r="AM175" s="100"/>
      <c r="AN175" s="29"/>
      <c r="AO1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5" s="85"/>
      <c r="AQ175" s="24" t="str">
        <f aca="false">IF(Tasks[[#This Row],[Task Name]]="","",Tasks[[#This Row],[_Pred1IDText]]&amp;IF(AND(Tasks[[#This Row],[_Pred1IDText]]&lt;&gt;"",Tasks[[#This Row],[_Pred2IDText]]&lt;&gt;""),",","")&amp;Tasks[[#This Row],[_Pred2IDText]])</f>
        <v/>
      </c>
      <c r="AR175" s="30"/>
      <c r="AS175" s="25" t="str">
        <f aca="false">IF(Tasks[[#This Row],[Task Name]]="","",Tasks[[#This Row],[Forecast Start]])</f>
        <v/>
      </c>
      <c r="AT175" s="25" t="str">
        <f aca="false">IF(Tasks[[#This Row],[Task Name]]="","",Tasks[[#This Row],[Forecast Finish]])</f>
        <v/>
      </c>
      <c r="AU175" s="28" t="str">
        <f aca="false">IF(Tasks[[#This Row],[Task Name]]="","",IF(Tasks[[#This Row],[_IsSummary]],NETWORKDAYS.INTL(Tasks[[#This Row],[Forecast Start]],Tasks[[#This Row],[Forecast Finish]],WorkWeek,Holidays),N(Tasks[[#This Row],[Duration]])))</f>
        <v/>
      </c>
      <c r="AV175" s="98" t="str">
        <f aca="false">IF(Tasks[[#This Row],[Task Name]]="","",Tasks[[#This Row],[Work]])</f>
        <v/>
      </c>
      <c r="AW175" s="99" t="str">
        <f aca="false">IF(Tasks[[#This Row],[Task Name]]="","",Tasks[[#This Row],[Cost]])</f>
        <v/>
      </c>
      <c r="AX175" s="77"/>
      <c r="AY175" s="77"/>
      <c r="AZ175" s="29"/>
      <c r="BA175" s="101"/>
      <c r="BB175" s="100"/>
      <c r="BC175" s="28" t="str">
        <f aca="false">IF(OR(Tasks[[#This Row],[Task Name]]="",Tasks[[#This Row],[Baseline Duration]]=""),"",Tasks[[#This Row],[BL Source Duration]]-N(Tasks[[#This Row],[Baseline Duration]]))</f>
        <v/>
      </c>
      <c r="BD175" s="98" t="str">
        <f aca="false">IF(OR(Tasks[[#This Row],[Task Name]]="",Tasks[[#This Row],[Baseline Work]]=""),"",Tasks[[#This Row],[Work]]-N(Tasks[[#This Row],[Baseline Work]]))</f>
        <v/>
      </c>
      <c r="BE175" s="99" t="str">
        <f aca="false">IF(OR(Tasks[[#This Row],[Task Name]]="",Tasks[[#This Row],[Baseline Cost]]=""),"",Tasks[[#This Row],[Cost]]-N(Tasks[[#This Row],[Baseline Cost]]))</f>
        <v/>
      </c>
      <c r="BF175" s="99" t="str">
        <f aca="false">IF(Tasks[[#This Row],[Task Name]]="","",IF(Tasks[[#This Row],[_IsSummary]],SUM(INDEX(Tasks[_LeafBudget],Tasks[[#This Row],[_Row]]+1):INDEX(Tasks[_LeafBudget],Tasks[[#This Row],[_Row]]+Tasks[[#This Row],[_Descendants]])),Tasks[[#This Row],[_LeafBudget]]))</f>
        <v/>
      </c>
      <c r="BG175" s="99" t="str">
        <f aca="false">IF(Tasks[[#This Row],[Task Name]]="","",IF(Tasks[[#This Row],[_IsSummary]],SUM(INDEX(Tasks[_LeafPV],Tasks[[#This Row],[_Row]]+1):INDEX(Tasks[_LeafPV],Tasks[[#This Row],[_Row]]+Tasks[[#This Row],[_Descendants]])),Tasks[[#This Row],[_LeafPV]]))</f>
        <v/>
      </c>
      <c r="BH175" s="99" t="str">
        <f aca="false">IF(Tasks[[#This Row],[Task Name]]="","",IF(Tasks[[#This Row],[_IsSummary]],SUM(INDEX(Tasks[_LeafEV],Tasks[[#This Row],[_Row]]+1):INDEX(Tasks[_LeafEV],Tasks[[#This Row],[_Row]]+Tasks[[#This Row],[_Descendants]])),Tasks[[#This Row],[_LeafEV]]))</f>
        <v/>
      </c>
      <c r="BI175" s="99" t="str">
        <f aca="false">IF(Tasks[[#This Row],[Task Name]]="","",IF(Tasks[[#This Row],[_IsSummary]],SUM(INDEX(Tasks[_LeafAC],Tasks[[#This Row],[_Row]]+1):INDEX(Tasks[_LeafAC],Tasks[[#This Row],[_Row]]+Tasks[[#This Row],[_Descendants]])),Tasks[[#This Row],[_LeafAC]]))</f>
        <v/>
      </c>
      <c r="BJ175" s="41" t="str">
        <f aca="false">IF(Tasks[[#This Row],[Task Name]]="","",MAX(1,N(Tasks[[#This Row],[Level]])))</f>
        <v/>
      </c>
      <c r="BK175" s="41" t="n">
        <f aca="false">ROW()-ROW(Tasks[[#Headers],[ID]])</f>
        <v>170</v>
      </c>
      <c r="BL175" s="41" t="n">
        <f aca="false">IF(OR(Tasks[[#This Row],[Task Name]]="",Tasks[[#This Row],[_Level]]&lt;=1),0,IFERROR(LOOKUP(2,1/(Tasks[[#Headers],[_Level]]:Tasks[[#This Row],[_Level]]=Tasks[[#This Row],[_Level]]-1),ROW(Tasks[[#Headers],[_Level]]:Tasks[[#This Row],[_Level]])),0))</f>
        <v>0</v>
      </c>
      <c r="BM175" s="41" t="n">
        <f aca="false">IFERROR(N(INDEX(Tasks[_Level],Tasks[[#This Row],[_Row]]+1)),0)</f>
        <v>0</v>
      </c>
      <c r="BN175" s="102" t="b">
        <f aca="false">AND(Tasks[[#This Row],[Task Name]]&lt;&gt;"",Tasks[[#This Row],[_NextLevel]]&gt;Tasks[[#This Row],[_Level]])</f>
        <v>0</v>
      </c>
      <c r="BO175" s="41" t="n">
        <f aca="false">IF(Tasks[[#This Row],[_IsSummary]],COUNTIF(Tasks[WBS],Tasks[[#This Row],[WBS]]&amp;".*"),0)</f>
        <v>0</v>
      </c>
      <c r="BP175" s="41" t="n">
        <f aca="false">IF(AND(Tasks[[#This Row],[Task Name]]&lt;&gt;"",NOT(Tasks[[#This Row],[_IsSummary]])),1,0)</f>
        <v>0</v>
      </c>
      <c r="BQ175" s="41" t="n">
        <f aca="false">IF(N(Tasks[[#This Row],[Pred1 UID]])=0,0,IFERROR(MATCH(Tasks[[#This Row],[Pred1 UID]],Tasks[UID],0),-1))</f>
        <v>0</v>
      </c>
      <c r="BR175" s="41" t="n">
        <f aca="false">IF(N(Tasks[[#This Row],[Pred2 UID]])=0,0,IFERROR(MATCH(Tasks[[#This Row],[Pred2 UID]],Tasks[UID],0),-1))</f>
        <v>0</v>
      </c>
      <c r="BS17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5" s="103" t="str">
        <f aca="false">IF(NOT(Tasks[[#This Row],[_IsLeaf]]=1),"",IF(N(Tasks[[#This Row],[Duration]])&lt;=0,Tasks[[#This Row],[_LeafCalcStart]],WORKDAY.INTL(Tasks[[#This Row],[_LeafCalcStart]],Tasks[[#This Row],[Duration]]-1,WorkWeek,Holidays)))</f>
        <v/>
      </c>
      <c r="BU17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5" s="41" t="n">
        <f aca="false">IF(NOT(Tasks[[#This Row],[_IsLeaf]]=1),0,IF(N(Tasks[[#This Row],[Actual Finish]])&gt;0,1,MIN(1,N(Tasks[[#This Row],[% Complete]]))))</f>
        <v>0</v>
      </c>
      <c r="BX175" s="41" t="n">
        <f aca="false">IF(OR(NOT(Tasks[[#This Row],[_IsLeaf]]=1),Tasks[[#This Row],[Resource]]=""),0,N(Tasks[[#This Row],[Duration]])*HoursPerDay*IF(Tasks[[#This Row],[Units]]="",DefaultUnits,Tasks[[#This Row],[Units]]))</f>
        <v>0</v>
      </c>
      <c r="BY175" s="41" t="n">
        <f aca="false">IF(Tasks[[#This Row],[_LeafWork]]=0,0,Tasks[[#This Row],[_LeafWork]]*IFERROR(INDEX(res_Rate,MATCH(Tasks[[#This Row],[Resource]],res_Name,0)),0))</f>
        <v>0</v>
      </c>
      <c r="BZ1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5" s="41" t="n">
        <f aca="false">IF(NOT(Tasks[[#This Row],[_IsLeaf]]=1),0,MAX(_xlfn.MAXIFS(Tasks[_Row],Tasks[Pred1 UID],Tasks[[#This Row],[UID]]),_xlfn.MAXIFS(Tasks[_Row],Tasks[Pred2 UID],Tasks[[#This Row],[UID]])))</f>
        <v>0</v>
      </c>
      <c r="CE17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5" s="103" t="str">
        <f aca="false">IF(NOT(Tasks[[#This Row],[_IsLeaf]]=1),"",MIN(ProjectFinish,IF(N(Tasks[[#This Row],[Deadline]])&gt;0,Tasks[[#This Row],[Deadline]],2958465),Tasks[[#This Row],[_SuccessorFinishLimit]]))</f>
        <v/>
      </c>
      <c r="CG175" s="103" t="str">
        <f aca="false">IF(NOT(Tasks[[#This Row],[_IsLeaf]]=1),"",IF(N(Tasks[[#This Row],[Duration]])&lt;=0,Tasks[[#This Row],[_LeafLateFinish]],WORKDAY.INTL(Tasks[[#This Row],[_LeafLateFinish]],-(Tasks[[#This Row],[Duration]]-1),WorkWeek,Holidays)))</f>
        <v/>
      </c>
      <c r="CH1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5" s="102" t="b">
        <f aca="false">AND(Tasks[[#This Row],[_IsLeaf]]=1,Tasks[[#This Row],[_LeafProgress]]&lt;1,N(Tasks[[#This Row],[_LeafTotalSlack]])&lt;=CriticalSlackDays)</f>
        <v>0</v>
      </c>
      <c r="CJ175" s="103" t="str">
        <f aca="false">IF(Tasks[[#This Row],[Task Name]]="","",IF(Tasks[[#This Row],[_IsSummary]],MIN(INDEX(Tasks[_LeafCalcStart],Tasks[[#This Row],[_Row]]+1):INDEX(Tasks[_LeafCalcStart],Tasks[[#This Row],[_Row]]+Tasks[[#This Row],[_Descendants]])),Tasks[[#This Row],[_LeafCalcStart]]))</f>
        <v/>
      </c>
      <c r="CK175" s="103" t="str">
        <f aca="false">IF(Tasks[[#This Row],[Task Name]]="","",IF(Tasks[[#This Row],[_IsSummary]],MAX(INDEX(Tasks[_LeafCalcFinish],Tasks[[#This Row],[_Row]]+1):INDEX(Tasks[_LeafCalcFinish],Tasks[[#This Row],[_Row]]+Tasks[[#This Row],[_Descendants]])),Tasks[[#This Row],[_LeafCalcFinish]]))</f>
        <v/>
      </c>
      <c r="CL1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5" s="41" t="n">
        <f aca="false">IF(AND(Tasks[[#This Row],[_IsLeaf]]=1,Tasks[[#This Row],[_LeafWork]]&gt;0),NETWORKDAYS.INTL(ProjectStart,Tasks[[#This Row],[_LeafFcstStart]],WorkWeek,Holidays),0)</f>
        <v>0</v>
      </c>
      <c r="CS175" s="41" t="n">
        <f aca="false">IF(AND(Tasks[[#This Row],[_IsLeaf]]=1,Tasks[[#This Row],[_LeafWork]]&gt;0),MAX(Tasks[[#This Row],[_StartWorkday]],NETWORKDAYS.INTL(ProjectStart,Tasks[[#This Row],[_LeafFcstFinish]],WorkWeek,Holidays)),0)</f>
        <v>0</v>
      </c>
      <c r="CT175" s="41" t="n">
        <f aca="false">IF(AND(Tasks[[#This Row],[_IsLeaf]]=1,Tasks[[#This Row],[_LeafWork]]&gt;0),Tasks[[#This Row],[_LeafWork]]/(Tasks[[#This Row],[_FinishWorkday]]-Tasks[[#This Row],[_StartWorkday]]+1),0)</f>
        <v>0</v>
      </c>
      <c r="CU175" s="41" t="n">
        <f aca="false">Tasks[[#This Row],[_WorkPerWorkday]]*(Tasks[[#This Row],[_StartWorkday]]-1)</f>
        <v>-0</v>
      </c>
      <c r="CV175" s="41" t="n">
        <f aca="false">IF(Tasks[[#This Row],[_IsLeaf]]=1,MAX(N(Tasks[[#This Row],[Duration]]),0.1),0)</f>
        <v>0</v>
      </c>
      <c r="CW175" s="41" t="n">
        <f aca="false">Tasks[[#This Row],[_WeightDur]]*Tasks[[#This Row],[_LeafProgress]]</f>
        <v>0</v>
      </c>
      <c r="CX1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5" s="41" t="str">
        <f aca="false">IF(Tasks[[#This Row],[Task Name]]="","",Tasks[[#This Row],[_Pred1UIDText]]&amp;IF(AND(Tasks[[#This Row],[_Pred1UIDText]]&lt;&gt;"",Tasks[[#This Row],[_Pred2UIDText]]&lt;&gt;""),",","")&amp;Tasks[[#This Row],[_Pred2UIDText]])</f>
        <v/>
      </c>
      <c r="DC175" s="41" t="str">
        <f aca="false">IF(AND(Tasks[[#This Row],[_IsLeaf]]=1,N(Tasks[[#This Row],[Duration]])=0,Tasks[[#This Row],[_LeafProgress]]&lt;1),Tasks[[#This Row],[_LeafFcstFinish]]+Tasks[[#This Row],[_Row]]/100000,"")</f>
        <v/>
      </c>
      <c r="DD1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5" s="41" t="n">
        <f aca="false">IF(NOT(Tasks[[#This Row],[_IsLeaf]]=1),0,IF(Tasks[[#This Row],[Baseline Cost]]="",Tasks[[#This Row],[_LeafCost]],N(Tasks[[#This Row],[Baseline Cost]])))</f>
        <v>0</v>
      </c>
      <c r="DF175" s="41" t="n">
        <f aca="false">Tasks[[#This Row],[_LeafBudget]]*Tasks[[#This Row],[_PlannedPct]]</f>
        <v>0</v>
      </c>
      <c r="DG175" s="41" t="n">
        <f aca="false">Tasks[[#This Row],[_LeafBudget]]*Tasks[[#This Row],[_LeafProgress]]</f>
        <v>0</v>
      </c>
      <c r="DH175" s="41" t="n">
        <f aca="false">IF(NOT(Tasks[[#This Row],[_IsLeaf]]=1),0,IF(Tasks[[#This Row],[Actual Cost]]="",Tasks[[#This Row],[_LeafCost]]*Tasks[[#This Row],[_LeafProgress]],N(Tasks[[#This Row],[Actual Cost]])))</f>
        <v>0</v>
      </c>
      <c r="DI175" s="41" t="str">
        <f aca="false">IF(Tasks[[#This Row],[Task Name]]="","",LEFT(Tasks[[#This Row],[WBS]],FIND(".",Tasks[[#This Row],[WBS]]&amp;".")-1))</f>
        <v/>
      </c>
      <c r="DJ175" s="41" t="str">
        <f aca="false">IF(AND(Tasks[[#This Row],[Task Name]]&lt;&gt;"",Tasks[[#This Row],[_Level]]=1),Tasks[[#This Row],[_Row]],"")</f>
        <v/>
      </c>
      <c r="DK175" s="41" t="str">
        <f aca="false">IF(AND(Tasks[[#This Row],[_IsLeaf]]=1,N(Tasks[[#This Row],[Duration]])=0),Tasks[[#This Row],[Planned Finish]]+Tasks[[#This Row],[_Row]]/100000,"")</f>
        <v/>
      </c>
      <c r="DL175" s="41" t="str">
        <f aca="false">IF(AND(Tasks[[#This Row],[_IsLeaf]]=1,Tasks[[#This Row],[_LeafProgress]]&lt;1,OR(N(Tasks[[#This Row],[Finish Var]])&gt;0,Tasks[[#This Row],[Status]]="Late Start")),MAX(0,Tasks[[#This Row],[Finish Var]])+1-Tasks[[#This Row],[_Row]]/1000000,"")</f>
        <v/>
      </c>
      <c r="DM175" s="41" t="str">
        <f aca="false">IF(AND(Tasks[[#This Row],[_IsLeaf]]=1,N(Tasks[[#This Row],[Actual Start]])=0,Tasks[[#This Row],[_LeafFcstStart]]&gt;=StatusDate,Tasks[[#This Row],[_LeafFcstStart]]&lt;=LookaheadEnd),Tasks[[#This Row],[_LeafFcstStart]]+Tasks[[#This Row],[_Row]]/100000,"")</f>
        <v/>
      </c>
      <c r="DN175" s="41" t="str">
        <f aca="false">IF(AND(Tasks[[#This Row],[_IsLeaf]]=1,Tasks[[#This Row],[_LeafProgress]]&lt;1,Tasks[[#This Row],[_LeafFcstFinish]]&gt;=StatusDate,Tasks[[#This Row],[_LeafFcstFinish]]&lt;=LookaheadEnd),Tasks[[#This Row],[_LeafFcstFinish]]+Tasks[[#This Row],[_Row]]/100000,"")</f>
        <v/>
      </c>
      <c r="DO175" s="41" t="str">
        <f aca="false">IF(Tasks[[#This Row],[_LeafCritical]],Tasks[[#This Row],[_LeafFcstStart]]+Tasks[[#This Row],[_Row]]/100000,"")</f>
        <v/>
      </c>
      <c r="DP175" s="41" t="n">
        <f aca="false">Tasks[[#This Row],[_LeafWork]]*Tasks[[#This Row],[_LeafProgress]]</f>
        <v>0</v>
      </c>
      <c r="DQ175" s="103" t="str">
        <f aca="false">IF(AND(Tasks[[#This Row],[_IsLeaf]]=1,Tasks[[#This Row],[_LeafProgress]]&gt;=1),IF(N(Tasks[[#This Row],[Actual Finish]])&gt;0,Tasks[[#This Row],[Actual Finish]],Tasks[[#This Row],[_LeafFcstFinish]]),"")</f>
        <v/>
      </c>
      <c r="DR175" s="41" t="n">
        <f aca="false">IF(Tasks[[#This Row],[_IsLeaf]]=1,N(Tasks[[#This Row],[Story Points]]),0)</f>
        <v>0</v>
      </c>
      <c r="DS175" s="41" t="str">
        <f aca="false">IF(AND(Tasks[[#This Row],[_IsLeaf]]=1,CurrentSprint&lt;&gt;"",Tasks[[#This Row],[Sprint]]=CurrentSprint),Tasks[[#This Row],[_Row]],"")</f>
        <v/>
      </c>
    </row>
    <row r="176" customFormat="false" ht="15" hidden="false" customHeight="false" outlineLevel="0" collapsed="false">
      <c r="A176" s="28" t="str">
        <f aca="false">IF(Tasks[[#This Row],[Task Name]]="","",COUNTA(Tasks[[#Headers],[Task Name]]:Tasks[[#This Row],[Task Name]])-1)</f>
        <v/>
      </c>
      <c r="B176" s="29" t="n">
        <v>171</v>
      </c>
      <c r="C1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29"/>
      <c r="E176" s="30"/>
      <c r="F176" s="29"/>
      <c r="G176" s="29"/>
      <c r="H176" s="29"/>
      <c r="I176" s="29"/>
      <c r="J176" s="29"/>
      <c r="K176" s="29"/>
      <c r="L176" s="29"/>
      <c r="M176" s="29"/>
      <c r="N176" s="77"/>
      <c r="O176" s="77"/>
      <c r="P176" s="25" t="str">
        <f aca="false">IF(Tasks[[#This Row],[Task Name]]="","",IF(N(Tasks[[#This Row],[Baseline Start]])&gt;0,Tasks[[#This Row],[Baseline Start]],Tasks[[#This Row],[_CalcStart]]))</f>
        <v/>
      </c>
      <c r="Q176" s="25" t="str">
        <f aca="false">IF(Tasks[[#This Row],[Task Name]]="","",IF(N(Tasks[[#This Row],[Baseline Finish]])&gt;0,Tasks[[#This Row],[Baseline Finish]],Tasks[[#This Row],[_CalcFinish]]))</f>
        <v/>
      </c>
      <c r="R176" s="77"/>
      <c r="S176" s="77"/>
      <c r="T176" s="25" t="str">
        <f aca="false">IF(Tasks[[#This Row],[Task Name]]="","",IF(Tasks[[#This Row],[_IsSummary]],MIN(INDEX(Tasks[_LeafFcstStart],Tasks[[#This Row],[_Row]]+1):INDEX(Tasks[_LeafFcstStart],Tasks[[#This Row],[_Row]]+Tasks[[#This Row],[_Descendants]])),Tasks[[#This Row],[_LeafFcstStart]]))</f>
        <v/>
      </c>
      <c r="U176" s="25" t="str">
        <f aca="false">IF(Tasks[[#This Row],[Task Name]]="","",IF(Tasks[[#This Row],[_IsSummary]],MAX(INDEX(Tasks[_LeafFcstFinish],Tasks[[#This Row],[_Row]]+1):INDEX(Tasks[_LeafFcstFinish],Tasks[[#This Row],[_Row]]+Tasks[[#This Row],[_Descendants]])),Tasks[[#This Row],[_LeafFcstFinish]]))</f>
        <v/>
      </c>
      <c r="V17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6" s="25" t="str">
        <f aca="false">IF(Tasks[[#This Row],[Task Name]]="","",IF(Tasks[[#This Row],[_IsSummary]],MIN(INDEX(Tasks[_LeafLateStart],Tasks[[#This Row],[_Row]]+1):INDEX(Tasks[_LeafLateStart],Tasks[[#This Row],[_Row]]+Tasks[[#This Row],[_Descendants]])),Tasks[[#This Row],[_LeafLateStart]]))</f>
        <v/>
      </c>
      <c r="Y176" s="25" t="str">
        <f aca="false">IF(Tasks[[#This Row],[Task Name]]="","",IF(Tasks[[#This Row],[_IsSummary]],MAX(INDEX(Tasks[_LeafLateFinish],Tasks[[#This Row],[_Row]]+1):INDEX(Tasks[_LeafLateFinish],Tasks[[#This Row],[_Row]]+Tasks[[#This Row],[_Descendants]])),Tasks[[#This Row],[_LeafLateFinish]]))</f>
        <v/>
      </c>
      <c r="Z176" s="43" t="str">
        <f aca="false">IF(Tasks[[#This Row],[Task Name]]="","",IF(Tasks[[#This Row],[_IsSummary]],MIN(INDEX(Tasks[_LeafTotalSlack],Tasks[[#This Row],[_Row]]+1):INDEX(Tasks[_LeafTotalSlack],Tasks[[#This Row],[_Row]]+Tasks[[#This Row],[_Descendants]])),Tasks[[#This Row],[_LeafTotalSlack]]))</f>
        <v/>
      </c>
      <c r="AA1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6" s="28" t="str">
        <f aca="false">IF(Tasks[[#This Row],[Task Name]]="","",IF(IF(Tasks[[#This Row],[_IsSummary]],COUNTIF(INDEX(Tasks[_LeafCritical],Tasks[[#This Row],[_Row]]+1):INDEX(Tasks[_LeafCritical],Tasks[[#This Row],[_Row]]+Tasks[[#This Row],[_Descendants]]),TRUE())&gt;0,Tasks[[#This Row],[_LeafCritical]]),"Yes",""))</f>
        <v/>
      </c>
      <c r="AC1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6" s="24" t="str">
        <f aca="false">IF(Tasks[[#This Row],[Task Name]]="","",TRIM(IF(Tasks[[#This Row],[_Pred1Problem]]&lt;&gt;"","Pred 1: "&amp;Tasks[[#This Row],[_Pred1Problem]]&amp;". ","")&amp;IF(Tasks[[#This Row],[_Pred2Problem]]&lt;&gt;"","Pred 2: "&amp;Tasks[[#This Row],[_Pred2Problem]]&amp;".","")))</f>
        <v/>
      </c>
      <c r="AE176" s="91"/>
      <c r="AF17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6" s="28" t="str">
        <f aca="false">IF(Tasks[[#This Row],[Task Name]]="","",IF(Tasks[[#This Row],[Progress]]&gt;=1,"Complete",IF(OR(N(Tasks[[#This Row],[Actual Start]])&gt;0,Tasks[[#This Row],[Progress]]&gt;0),IF(Tasks[[#This Row],[Finish Var]]&gt;0,"Behind","In Progress"),IF(Tasks[[#This Row],[Planned Start]]&lt;StatusDate,"Late Start","Not Started"))))</f>
        <v/>
      </c>
      <c r="AH176" s="30"/>
      <c r="AI176" s="91"/>
      <c r="AJ17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6" s="98" t="str">
        <f aca="false">IF(Tasks[[#This Row],[Task Name]]="","",IF(Tasks[[#This Row],[_IsSummary]],SUM(INDEX(Tasks[_LeafWork],Tasks[[#This Row],[_Row]]+1):INDEX(Tasks[_LeafWork],Tasks[[#This Row],[_Row]]+Tasks[[#This Row],[_Descendants]])),Tasks[[#This Row],[_LeafWork]]))</f>
        <v/>
      </c>
      <c r="AL176" s="99" t="str">
        <f aca="false">IF(Tasks[[#This Row],[Task Name]]="","",IF(Tasks[[#This Row],[_IsSummary]],SUM(INDEX(Tasks[_LeafCost],Tasks[[#This Row],[_Row]]+1):INDEX(Tasks[_LeafCost],Tasks[[#This Row],[_Row]]+Tasks[[#This Row],[_Descendants]])),Tasks[[#This Row],[_LeafCost]]))</f>
        <v/>
      </c>
      <c r="AM176" s="100"/>
      <c r="AN176" s="29"/>
      <c r="AO1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6" s="85"/>
      <c r="AQ176" s="24" t="str">
        <f aca="false">IF(Tasks[[#This Row],[Task Name]]="","",Tasks[[#This Row],[_Pred1IDText]]&amp;IF(AND(Tasks[[#This Row],[_Pred1IDText]]&lt;&gt;"",Tasks[[#This Row],[_Pred2IDText]]&lt;&gt;""),",","")&amp;Tasks[[#This Row],[_Pred2IDText]])</f>
        <v/>
      </c>
      <c r="AR176" s="30"/>
      <c r="AS176" s="25" t="str">
        <f aca="false">IF(Tasks[[#This Row],[Task Name]]="","",Tasks[[#This Row],[Forecast Start]])</f>
        <v/>
      </c>
      <c r="AT176" s="25" t="str">
        <f aca="false">IF(Tasks[[#This Row],[Task Name]]="","",Tasks[[#This Row],[Forecast Finish]])</f>
        <v/>
      </c>
      <c r="AU176" s="28" t="str">
        <f aca="false">IF(Tasks[[#This Row],[Task Name]]="","",IF(Tasks[[#This Row],[_IsSummary]],NETWORKDAYS.INTL(Tasks[[#This Row],[Forecast Start]],Tasks[[#This Row],[Forecast Finish]],WorkWeek,Holidays),N(Tasks[[#This Row],[Duration]])))</f>
        <v/>
      </c>
      <c r="AV176" s="98" t="str">
        <f aca="false">IF(Tasks[[#This Row],[Task Name]]="","",Tasks[[#This Row],[Work]])</f>
        <v/>
      </c>
      <c r="AW176" s="99" t="str">
        <f aca="false">IF(Tasks[[#This Row],[Task Name]]="","",Tasks[[#This Row],[Cost]])</f>
        <v/>
      </c>
      <c r="AX176" s="77"/>
      <c r="AY176" s="77"/>
      <c r="AZ176" s="29"/>
      <c r="BA176" s="101"/>
      <c r="BB176" s="100"/>
      <c r="BC176" s="28" t="str">
        <f aca="false">IF(OR(Tasks[[#This Row],[Task Name]]="",Tasks[[#This Row],[Baseline Duration]]=""),"",Tasks[[#This Row],[BL Source Duration]]-N(Tasks[[#This Row],[Baseline Duration]]))</f>
        <v/>
      </c>
      <c r="BD176" s="98" t="str">
        <f aca="false">IF(OR(Tasks[[#This Row],[Task Name]]="",Tasks[[#This Row],[Baseline Work]]=""),"",Tasks[[#This Row],[Work]]-N(Tasks[[#This Row],[Baseline Work]]))</f>
        <v/>
      </c>
      <c r="BE176" s="99" t="str">
        <f aca="false">IF(OR(Tasks[[#This Row],[Task Name]]="",Tasks[[#This Row],[Baseline Cost]]=""),"",Tasks[[#This Row],[Cost]]-N(Tasks[[#This Row],[Baseline Cost]]))</f>
        <v/>
      </c>
      <c r="BF176" s="99" t="str">
        <f aca="false">IF(Tasks[[#This Row],[Task Name]]="","",IF(Tasks[[#This Row],[_IsSummary]],SUM(INDEX(Tasks[_LeafBudget],Tasks[[#This Row],[_Row]]+1):INDEX(Tasks[_LeafBudget],Tasks[[#This Row],[_Row]]+Tasks[[#This Row],[_Descendants]])),Tasks[[#This Row],[_LeafBudget]]))</f>
        <v/>
      </c>
      <c r="BG176" s="99" t="str">
        <f aca="false">IF(Tasks[[#This Row],[Task Name]]="","",IF(Tasks[[#This Row],[_IsSummary]],SUM(INDEX(Tasks[_LeafPV],Tasks[[#This Row],[_Row]]+1):INDEX(Tasks[_LeafPV],Tasks[[#This Row],[_Row]]+Tasks[[#This Row],[_Descendants]])),Tasks[[#This Row],[_LeafPV]]))</f>
        <v/>
      </c>
      <c r="BH176" s="99" t="str">
        <f aca="false">IF(Tasks[[#This Row],[Task Name]]="","",IF(Tasks[[#This Row],[_IsSummary]],SUM(INDEX(Tasks[_LeafEV],Tasks[[#This Row],[_Row]]+1):INDEX(Tasks[_LeafEV],Tasks[[#This Row],[_Row]]+Tasks[[#This Row],[_Descendants]])),Tasks[[#This Row],[_LeafEV]]))</f>
        <v/>
      </c>
      <c r="BI176" s="99" t="str">
        <f aca="false">IF(Tasks[[#This Row],[Task Name]]="","",IF(Tasks[[#This Row],[_IsSummary]],SUM(INDEX(Tasks[_LeafAC],Tasks[[#This Row],[_Row]]+1):INDEX(Tasks[_LeafAC],Tasks[[#This Row],[_Row]]+Tasks[[#This Row],[_Descendants]])),Tasks[[#This Row],[_LeafAC]]))</f>
        <v/>
      </c>
      <c r="BJ176" s="41" t="str">
        <f aca="false">IF(Tasks[[#This Row],[Task Name]]="","",MAX(1,N(Tasks[[#This Row],[Level]])))</f>
        <v/>
      </c>
      <c r="BK176" s="41" t="n">
        <f aca="false">ROW()-ROW(Tasks[[#Headers],[ID]])</f>
        <v>171</v>
      </c>
      <c r="BL176" s="41" t="n">
        <f aca="false">IF(OR(Tasks[[#This Row],[Task Name]]="",Tasks[[#This Row],[_Level]]&lt;=1),0,IFERROR(LOOKUP(2,1/(Tasks[[#Headers],[_Level]]:Tasks[[#This Row],[_Level]]=Tasks[[#This Row],[_Level]]-1),ROW(Tasks[[#Headers],[_Level]]:Tasks[[#This Row],[_Level]])),0))</f>
        <v>0</v>
      </c>
      <c r="BM176" s="41" t="n">
        <f aca="false">IFERROR(N(INDEX(Tasks[_Level],Tasks[[#This Row],[_Row]]+1)),0)</f>
        <v>0</v>
      </c>
      <c r="BN176" s="102" t="b">
        <f aca="false">AND(Tasks[[#This Row],[Task Name]]&lt;&gt;"",Tasks[[#This Row],[_NextLevel]]&gt;Tasks[[#This Row],[_Level]])</f>
        <v>0</v>
      </c>
      <c r="BO176" s="41" t="n">
        <f aca="false">IF(Tasks[[#This Row],[_IsSummary]],COUNTIF(Tasks[WBS],Tasks[[#This Row],[WBS]]&amp;".*"),0)</f>
        <v>0</v>
      </c>
      <c r="BP176" s="41" t="n">
        <f aca="false">IF(AND(Tasks[[#This Row],[Task Name]]&lt;&gt;"",NOT(Tasks[[#This Row],[_IsSummary]])),1,0)</f>
        <v>0</v>
      </c>
      <c r="BQ176" s="41" t="n">
        <f aca="false">IF(N(Tasks[[#This Row],[Pred1 UID]])=0,0,IFERROR(MATCH(Tasks[[#This Row],[Pred1 UID]],Tasks[UID],0),-1))</f>
        <v>0</v>
      </c>
      <c r="BR176" s="41" t="n">
        <f aca="false">IF(N(Tasks[[#This Row],[Pred2 UID]])=0,0,IFERROR(MATCH(Tasks[[#This Row],[Pred2 UID]],Tasks[UID],0),-1))</f>
        <v>0</v>
      </c>
      <c r="BS17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6" s="103" t="str">
        <f aca="false">IF(NOT(Tasks[[#This Row],[_IsLeaf]]=1),"",IF(N(Tasks[[#This Row],[Duration]])&lt;=0,Tasks[[#This Row],[_LeafCalcStart]],WORKDAY.INTL(Tasks[[#This Row],[_LeafCalcStart]],Tasks[[#This Row],[Duration]]-1,WorkWeek,Holidays)))</f>
        <v/>
      </c>
      <c r="BU17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6" s="41" t="n">
        <f aca="false">IF(NOT(Tasks[[#This Row],[_IsLeaf]]=1),0,IF(N(Tasks[[#This Row],[Actual Finish]])&gt;0,1,MIN(1,N(Tasks[[#This Row],[% Complete]]))))</f>
        <v>0</v>
      </c>
      <c r="BX176" s="41" t="n">
        <f aca="false">IF(OR(NOT(Tasks[[#This Row],[_IsLeaf]]=1),Tasks[[#This Row],[Resource]]=""),0,N(Tasks[[#This Row],[Duration]])*HoursPerDay*IF(Tasks[[#This Row],[Units]]="",DefaultUnits,Tasks[[#This Row],[Units]]))</f>
        <v>0</v>
      </c>
      <c r="BY176" s="41" t="n">
        <f aca="false">IF(Tasks[[#This Row],[_LeafWork]]=0,0,Tasks[[#This Row],[_LeafWork]]*IFERROR(INDEX(res_Rate,MATCH(Tasks[[#This Row],[Resource]],res_Name,0)),0))</f>
        <v>0</v>
      </c>
      <c r="BZ1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6" s="41" t="n">
        <f aca="false">IF(NOT(Tasks[[#This Row],[_IsLeaf]]=1),0,MAX(_xlfn.MAXIFS(Tasks[_Row],Tasks[Pred1 UID],Tasks[[#This Row],[UID]]),_xlfn.MAXIFS(Tasks[_Row],Tasks[Pred2 UID],Tasks[[#This Row],[UID]])))</f>
        <v>0</v>
      </c>
      <c r="CE17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6" s="103" t="str">
        <f aca="false">IF(NOT(Tasks[[#This Row],[_IsLeaf]]=1),"",MIN(ProjectFinish,IF(N(Tasks[[#This Row],[Deadline]])&gt;0,Tasks[[#This Row],[Deadline]],2958465),Tasks[[#This Row],[_SuccessorFinishLimit]]))</f>
        <v/>
      </c>
      <c r="CG176" s="103" t="str">
        <f aca="false">IF(NOT(Tasks[[#This Row],[_IsLeaf]]=1),"",IF(N(Tasks[[#This Row],[Duration]])&lt;=0,Tasks[[#This Row],[_LeafLateFinish]],WORKDAY.INTL(Tasks[[#This Row],[_LeafLateFinish]],-(Tasks[[#This Row],[Duration]]-1),WorkWeek,Holidays)))</f>
        <v/>
      </c>
      <c r="CH1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6" s="102" t="b">
        <f aca="false">AND(Tasks[[#This Row],[_IsLeaf]]=1,Tasks[[#This Row],[_LeafProgress]]&lt;1,N(Tasks[[#This Row],[_LeafTotalSlack]])&lt;=CriticalSlackDays)</f>
        <v>0</v>
      </c>
      <c r="CJ176" s="103" t="str">
        <f aca="false">IF(Tasks[[#This Row],[Task Name]]="","",IF(Tasks[[#This Row],[_IsSummary]],MIN(INDEX(Tasks[_LeafCalcStart],Tasks[[#This Row],[_Row]]+1):INDEX(Tasks[_LeafCalcStart],Tasks[[#This Row],[_Row]]+Tasks[[#This Row],[_Descendants]])),Tasks[[#This Row],[_LeafCalcStart]]))</f>
        <v/>
      </c>
      <c r="CK176" s="103" t="str">
        <f aca="false">IF(Tasks[[#This Row],[Task Name]]="","",IF(Tasks[[#This Row],[_IsSummary]],MAX(INDEX(Tasks[_LeafCalcFinish],Tasks[[#This Row],[_Row]]+1):INDEX(Tasks[_LeafCalcFinish],Tasks[[#This Row],[_Row]]+Tasks[[#This Row],[_Descendants]])),Tasks[[#This Row],[_LeafCalcFinish]]))</f>
        <v/>
      </c>
      <c r="CL1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6" s="41" t="n">
        <f aca="false">IF(AND(Tasks[[#This Row],[_IsLeaf]]=1,Tasks[[#This Row],[_LeafWork]]&gt;0),NETWORKDAYS.INTL(ProjectStart,Tasks[[#This Row],[_LeafFcstStart]],WorkWeek,Holidays),0)</f>
        <v>0</v>
      </c>
      <c r="CS176" s="41" t="n">
        <f aca="false">IF(AND(Tasks[[#This Row],[_IsLeaf]]=1,Tasks[[#This Row],[_LeafWork]]&gt;0),MAX(Tasks[[#This Row],[_StartWorkday]],NETWORKDAYS.INTL(ProjectStart,Tasks[[#This Row],[_LeafFcstFinish]],WorkWeek,Holidays)),0)</f>
        <v>0</v>
      </c>
      <c r="CT176" s="41" t="n">
        <f aca="false">IF(AND(Tasks[[#This Row],[_IsLeaf]]=1,Tasks[[#This Row],[_LeafWork]]&gt;0),Tasks[[#This Row],[_LeafWork]]/(Tasks[[#This Row],[_FinishWorkday]]-Tasks[[#This Row],[_StartWorkday]]+1),0)</f>
        <v>0</v>
      </c>
      <c r="CU176" s="41" t="n">
        <f aca="false">Tasks[[#This Row],[_WorkPerWorkday]]*(Tasks[[#This Row],[_StartWorkday]]-1)</f>
        <v>-0</v>
      </c>
      <c r="CV176" s="41" t="n">
        <f aca="false">IF(Tasks[[#This Row],[_IsLeaf]]=1,MAX(N(Tasks[[#This Row],[Duration]]),0.1),0)</f>
        <v>0</v>
      </c>
      <c r="CW176" s="41" t="n">
        <f aca="false">Tasks[[#This Row],[_WeightDur]]*Tasks[[#This Row],[_LeafProgress]]</f>
        <v>0</v>
      </c>
      <c r="CX1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6" s="41" t="str">
        <f aca="false">IF(Tasks[[#This Row],[Task Name]]="","",Tasks[[#This Row],[_Pred1UIDText]]&amp;IF(AND(Tasks[[#This Row],[_Pred1UIDText]]&lt;&gt;"",Tasks[[#This Row],[_Pred2UIDText]]&lt;&gt;""),",","")&amp;Tasks[[#This Row],[_Pred2UIDText]])</f>
        <v/>
      </c>
      <c r="DC176" s="41" t="str">
        <f aca="false">IF(AND(Tasks[[#This Row],[_IsLeaf]]=1,N(Tasks[[#This Row],[Duration]])=0,Tasks[[#This Row],[_LeafProgress]]&lt;1),Tasks[[#This Row],[_LeafFcstFinish]]+Tasks[[#This Row],[_Row]]/100000,"")</f>
        <v/>
      </c>
      <c r="DD1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6" s="41" t="n">
        <f aca="false">IF(NOT(Tasks[[#This Row],[_IsLeaf]]=1),0,IF(Tasks[[#This Row],[Baseline Cost]]="",Tasks[[#This Row],[_LeafCost]],N(Tasks[[#This Row],[Baseline Cost]])))</f>
        <v>0</v>
      </c>
      <c r="DF176" s="41" t="n">
        <f aca="false">Tasks[[#This Row],[_LeafBudget]]*Tasks[[#This Row],[_PlannedPct]]</f>
        <v>0</v>
      </c>
      <c r="DG176" s="41" t="n">
        <f aca="false">Tasks[[#This Row],[_LeafBudget]]*Tasks[[#This Row],[_LeafProgress]]</f>
        <v>0</v>
      </c>
      <c r="DH176" s="41" t="n">
        <f aca="false">IF(NOT(Tasks[[#This Row],[_IsLeaf]]=1),0,IF(Tasks[[#This Row],[Actual Cost]]="",Tasks[[#This Row],[_LeafCost]]*Tasks[[#This Row],[_LeafProgress]],N(Tasks[[#This Row],[Actual Cost]])))</f>
        <v>0</v>
      </c>
      <c r="DI176" s="41" t="str">
        <f aca="false">IF(Tasks[[#This Row],[Task Name]]="","",LEFT(Tasks[[#This Row],[WBS]],FIND(".",Tasks[[#This Row],[WBS]]&amp;".")-1))</f>
        <v/>
      </c>
      <c r="DJ176" s="41" t="str">
        <f aca="false">IF(AND(Tasks[[#This Row],[Task Name]]&lt;&gt;"",Tasks[[#This Row],[_Level]]=1),Tasks[[#This Row],[_Row]],"")</f>
        <v/>
      </c>
      <c r="DK176" s="41" t="str">
        <f aca="false">IF(AND(Tasks[[#This Row],[_IsLeaf]]=1,N(Tasks[[#This Row],[Duration]])=0),Tasks[[#This Row],[Planned Finish]]+Tasks[[#This Row],[_Row]]/100000,"")</f>
        <v/>
      </c>
      <c r="DL176" s="41" t="str">
        <f aca="false">IF(AND(Tasks[[#This Row],[_IsLeaf]]=1,Tasks[[#This Row],[_LeafProgress]]&lt;1,OR(N(Tasks[[#This Row],[Finish Var]])&gt;0,Tasks[[#This Row],[Status]]="Late Start")),MAX(0,Tasks[[#This Row],[Finish Var]])+1-Tasks[[#This Row],[_Row]]/1000000,"")</f>
        <v/>
      </c>
      <c r="DM176" s="41" t="str">
        <f aca="false">IF(AND(Tasks[[#This Row],[_IsLeaf]]=1,N(Tasks[[#This Row],[Actual Start]])=0,Tasks[[#This Row],[_LeafFcstStart]]&gt;=StatusDate,Tasks[[#This Row],[_LeafFcstStart]]&lt;=LookaheadEnd),Tasks[[#This Row],[_LeafFcstStart]]+Tasks[[#This Row],[_Row]]/100000,"")</f>
        <v/>
      </c>
      <c r="DN176" s="41" t="str">
        <f aca="false">IF(AND(Tasks[[#This Row],[_IsLeaf]]=1,Tasks[[#This Row],[_LeafProgress]]&lt;1,Tasks[[#This Row],[_LeafFcstFinish]]&gt;=StatusDate,Tasks[[#This Row],[_LeafFcstFinish]]&lt;=LookaheadEnd),Tasks[[#This Row],[_LeafFcstFinish]]+Tasks[[#This Row],[_Row]]/100000,"")</f>
        <v/>
      </c>
      <c r="DO176" s="41" t="str">
        <f aca="false">IF(Tasks[[#This Row],[_LeafCritical]],Tasks[[#This Row],[_LeafFcstStart]]+Tasks[[#This Row],[_Row]]/100000,"")</f>
        <v/>
      </c>
      <c r="DP176" s="41" t="n">
        <f aca="false">Tasks[[#This Row],[_LeafWork]]*Tasks[[#This Row],[_LeafProgress]]</f>
        <v>0</v>
      </c>
      <c r="DQ176" s="103" t="str">
        <f aca="false">IF(AND(Tasks[[#This Row],[_IsLeaf]]=1,Tasks[[#This Row],[_LeafProgress]]&gt;=1),IF(N(Tasks[[#This Row],[Actual Finish]])&gt;0,Tasks[[#This Row],[Actual Finish]],Tasks[[#This Row],[_LeafFcstFinish]]),"")</f>
        <v/>
      </c>
      <c r="DR176" s="41" t="n">
        <f aca="false">IF(Tasks[[#This Row],[_IsLeaf]]=1,N(Tasks[[#This Row],[Story Points]]),0)</f>
        <v>0</v>
      </c>
      <c r="DS176" s="41" t="str">
        <f aca="false">IF(AND(Tasks[[#This Row],[_IsLeaf]]=1,CurrentSprint&lt;&gt;"",Tasks[[#This Row],[Sprint]]=CurrentSprint),Tasks[[#This Row],[_Row]],"")</f>
        <v/>
      </c>
    </row>
    <row r="177" customFormat="false" ht="15" hidden="false" customHeight="false" outlineLevel="0" collapsed="false">
      <c r="A177" s="28" t="str">
        <f aca="false">IF(Tasks[[#This Row],[Task Name]]="","",COUNTA(Tasks[[#Headers],[Task Name]]:Tasks[[#This Row],[Task Name]])-1)</f>
        <v/>
      </c>
      <c r="B177" s="29" t="n">
        <v>172</v>
      </c>
      <c r="C1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29"/>
      <c r="E177" s="30"/>
      <c r="F177" s="29"/>
      <c r="G177" s="29"/>
      <c r="H177" s="29"/>
      <c r="I177" s="29"/>
      <c r="J177" s="29"/>
      <c r="K177" s="29"/>
      <c r="L177" s="29"/>
      <c r="M177" s="29"/>
      <c r="N177" s="77"/>
      <c r="O177" s="77"/>
      <c r="P177" s="25" t="str">
        <f aca="false">IF(Tasks[[#This Row],[Task Name]]="","",IF(N(Tasks[[#This Row],[Baseline Start]])&gt;0,Tasks[[#This Row],[Baseline Start]],Tasks[[#This Row],[_CalcStart]]))</f>
        <v/>
      </c>
      <c r="Q177" s="25" t="str">
        <f aca="false">IF(Tasks[[#This Row],[Task Name]]="","",IF(N(Tasks[[#This Row],[Baseline Finish]])&gt;0,Tasks[[#This Row],[Baseline Finish]],Tasks[[#This Row],[_CalcFinish]]))</f>
        <v/>
      </c>
      <c r="R177" s="77"/>
      <c r="S177" s="77"/>
      <c r="T177" s="25" t="str">
        <f aca="false">IF(Tasks[[#This Row],[Task Name]]="","",IF(Tasks[[#This Row],[_IsSummary]],MIN(INDEX(Tasks[_LeafFcstStart],Tasks[[#This Row],[_Row]]+1):INDEX(Tasks[_LeafFcstStart],Tasks[[#This Row],[_Row]]+Tasks[[#This Row],[_Descendants]])),Tasks[[#This Row],[_LeafFcstStart]]))</f>
        <v/>
      </c>
      <c r="U177" s="25" t="str">
        <f aca="false">IF(Tasks[[#This Row],[Task Name]]="","",IF(Tasks[[#This Row],[_IsSummary]],MAX(INDEX(Tasks[_LeafFcstFinish],Tasks[[#This Row],[_Row]]+1):INDEX(Tasks[_LeafFcstFinish],Tasks[[#This Row],[_Row]]+Tasks[[#This Row],[_Descendants]])),Tasks[[#This Row],[_LeafFcstFinish]]))</f>
        <v/>
      </c>
      <c r="V17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7" s="25" t="str">
        <f aca="false">IF(Tasks[[#This Row],[Task Name]]="","",IF(Tasks[[#This Row],[_IsSummary]],MIN(INDEX(Tasks[_LeafLateStart],Tasks[[#This Row],[_Row]]+1):INDEX(Tasks[_LeafLateStart],Tasks[[#This Row],[_Row]]+Tasks[[#This Row],[_Descendants]])),Tasks[[#This Row],[_LeafLateStart]]))</f>
        <v/>
      </c>
      <c r="Y177" s="25" t="str">
        <f aca="false">IF(Tasks[[#This Row],[Task Name]]="","",IF(Tasks[[#This Row],[_IsSummary]],MAX(INDEX(Tasks[_LeafLateFinish],Tasks[[#This Row],[_Row]]+1):INDEX(Tasks[_LeafLateFinish],Tasks[[#This Row],[_Row]]+Tasks[[#This Row],[_Descendants]])),Tasks[[#This Row],[_LeafLateFinish]]))</f>
        <v/>
      </c>
      <c r="Z177" s="43" t="str">
        <f aca="false">IF(Tasks[[#This Row],[Task Name]]="","",IF(Tasks[[#This Row],[_IsSummary]],MIN(INDEX(Tasks[_LeafTotalSlack],Tasks[[#This Row],[_Row]]+1):INDEX(Tasks[_LeafTotalSlack],Tasks[[#This Row],[_Row]]+Tasks[[#This Row],[_Descendants]])),Tasks[[#This Row],[_LeafTotalSlack]]))</f>
        <v/>
      </c>
      <c r="AA1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7" s="28" t="str">
        <f aca="false">IF(Tasks[[#This Row],[Task Name]]="","",IF(IF(Tasks[[#This Row],[_IsSummary]],COUNTIF(INDEX(Tasks[_LeafCritical],Tasks[[#This Row],[_Row]]+1):INDEX(Tasks[_LeafCritical],Tasks[[#This Row],[_Row]]+Tasks[[#This Row],[_Descendants]]),TRUE())&gt;0,Tasks[[#This Row],[_LeafCritical]]),"Yes",""))</f>
        <v/>
      </c>
      <c r="AC1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7" s="24" t="str">
        <f aca="false">IF(Tasks[[#This Row],[Task Name]]="","",TRIM(IF(Tasks[[#This Row],[_Pred1Problem]]&lt;&gt;"","Pred 1: "&amp;Tasks[[#This Row],[_Pred1Problem]]&amp;". ","")&amp;IF(Tasks[[#This Row],[_Pred2Problem]]&lt;&gt;"","Pred 2: "&amp;Tasks[[#This Row],[_Pred2Problem]]&amp;".","")))</f>
        <v/>
      </c>
      <c r="AE177" s="91"/>
      <c r="AF17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7" s="28" t="str">
        <f aca="false">IF(Tasks[[#This Row],[Task Name]]="","",IF(Tasks[[#This Row],[Progress]]&gt;=1,"Complete",IF(OR(N(Tasks[[#This Row],[Actual Start]])&gt;0,Tasks[[#This Row],[Progress]]&gt;0),IF(Tasks[[#This Row],[Finish Var]]&gt;0,"Behind","In Progress"),IF(Tasks[[#This Row],[Planned Start]]&lt;StatusDate,"Late Start","Not Started"))))</f>
        <v/>
      </c>
      <c r="AH177" s="30"/>
      <c r="AI177" s="91"/>
      <c r="AJ17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7" s="98" t="str">
        <f aca="false">IF(Tasks[[#This Row],[Task Name]]="","",IF(Tasks[[#This Row],[_IsSummary]],SUM(INDEX(Tasks[_LeafWork],Tasks[[#This Row],[_Row]]+1):INDEX(Tasks[_LeafWork],Tasks[[#This Row],[_Row]]+Tasks[[#This Row],[_Descendants]])),Tasks[[#This Row],[_LeafWork]]))</f>
        <v/>
      </c>
      <c r="AL177" s="99" t="str">
        <f aca="false">IF(Tasks[[#This Row],[Task Name]]="","",IF(Tasks[[#This Row],[_IsSummary]],SUM(INDEX(Tasks[_LeafCost],Tasks[[#This Row],[_Row]]+1):INDEX(Tasks[_LeafCost],Tasks[[#This Row],[_Row]]+Tasks[[#This Row],[_Descendants]])),Tasks[[#This Row],[_LeafCost]]))</f>
        <v/>
      </c>
      <c r="AM177" s="100"/>
      <c r="AN177" s="29"/>
      <c r="AO1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7" s="85"/>
      <c r="AQ177" s="24" t="str">
        <f aca="false">IF(Tasks[[#This Row],[Task Name]]="","",Tasks[[#This Row],[_Pred1IDText]]&amp;IF(AND(Tasks[[#This Row],[_Pred1IDText]]&lt;&gt;"",Tasks[[#This Row],[_Pred2IDText]]&lt;&gt;""),",","")&amp;Tasks[[#This Row],[_Pred2IDText]])</f>
        <v/>
      </c>
      <c r="AR177" s="30"/>
      <c r="AS177" s="25" t="str">
        <f aca="false">IF(Tasks[[#This Row],[Task Name]]="","",Tasks[[#This Row],[Forecast Start]])</f>
        <v/>
      </c>
      <c r="AT177" s="25" t="str">
        <f aca="false">IF(Tasks[[#This Row],[Task Name]]="","",Tasks[[#This Row],[Forecast Finish]])</f>
        <v/>
      </c>
      <c r="AU177" s="28" t="str">
        <f aca="false">IF(Tasks[[#This Row],[Task Name]]="","",IF(Tasks[[#This Row],[_IsSummary]],NETWORKDAYS.INTL(Tasks[[#This Row],[Forecast Start]],Tasks[[#This Row],[Forecast Finish]],WorkWeek,Holidays),N(Tasks[[#This Row],[Duration]])))</f>
        <v/>
      </c>
      <c r="AV177" s="98" t="str">
        <f aca="false">IF(Tasks[[#This Row],[Task Name]]="","",Tasks[[#This Row],[Work]])</f>
        <v/>
      </c>
      <c r="AW177" s="99" t="str">
        <f aca="false">IF(Tasks[[#This Row],[Task Name]]="","",Tasks[[#This Row],[Cost]])</f>
        <v/>
      </c>
      <c r="AX177" s="77"/>
      <c r="AY177" s="77"/>
      <c r="AZ177" s="29"/>
      <c r="BA177" s="101"/>
      <c r="BB177" s="100"/>
      <c r="BC177" s="28" t="str">
        <f aca="false">IF(OR(Tasks[[#This Row],[Task Name]]="",Tasks[[#This Row],[Baseline Duration]]=""),"",Tasks[[#This Row],[BL Source Duration]]-N(Tasks[[#This Row],[Baseline Duration]]))</f>
        <v/>
      </c>
      <c r="BD177" s="98" t="str">
        <f aca="false">IF(OR(Tasks[[#This Row],[Task Name]]="",Tasks[[#This Row],[Baseline Work]]=""),"",Tasks[[#This Row],[Work]]-N(Tasks[[#This Row],[Baseline Work]]))</f>
        <v/>
      </c>
      <c r="BE177" s="99" t="str">
        <f aca="false">IF(OR(Tasks[[#This Row],[Task Name]]="",Tasks[[#This Row],[Baseline Cost]]=""),"",Tasks[[#This Row],[Cost]]-N(Tasks[[#This Row],[Baseline Cost]]))</f>
        <v/>
      </c>
      <c r="BF177" s="99" t="str">
        <f aca="false">IF(Tasks[[#This Row],[Task Name]]="","",IF(Tasks[[#This Row],[_IsSummary]],SUM(INDEX(Tasks[_LeafBudget],Tasks[[#This Row],[_Row]]+1):INDEX(Tasks[_LeafBudget],Tasks[[#This Row],[_Row]]+Tasks[[#This Row],[_Descendants]])),Tasks[[#This Row],[_LeafBudget]]))</f>
        <v/>
      </c>
      <c r="BG177" s="99" t="str">
        <f aca="false">IF(Tasks[[#This Row],[Task Name]]="","",IF(Tasks[[#This Row],[_IsSummary]],SUM(INDEX(Tasks[_LeafPV],Tasks[[#This Row],[_Row]]+1):INDEX(Tasks[_LeafPV],Tasks[[#This Row],[_Row]]+Tasks[[#This Row],[_Descendants]])),Tasks[[#This Row],[_LeafPV]]))</f>
        <v/>
      </c>
      <c r="BH177" s="99" t="str">
        <f aca="false">IF(Tasks[[#This Row],[Task Name]]="","",IF(Tasks[[#This Row],[_IsSummary]],SUM(INDEX(Tasks[_LeafEV],Tasks[[#This Row],[_Row]]+1):INDEX(Tasks[_LeafEV],Tasks[[#This Row],[_Row]]+Tasks[[#This Row],[_Descendants]])),Tasks[[#This Row],[_LeafEV]]))</f>
        <v/>
      </c>
      <c r="BI177" s="99" t="str">
        <f aca="false">IF(Tasks[[#This Row],[Task Name]]="","",IF(Tasks[[#This Row],[_IsSummary]],SUM(INDEX(Tasks[_LeafAC],Tasks[[#This Row],[_Row]]+1):INDEX(Tasks[_LeafAC],Tasks[[#This Row],[_Row]]+Tasks[[#This Row],[_Descendants]])),Tasks[[#This Row],[_LeafAC]]))</f>
        <v/>
      </c>
      <c r="BJ177" s="41" t="str">
        <f aca="false">IF(Tasks[[#This Row],[Task Name]]="","",MAX(1,N(Tasks[[#This Row],[Level]])))</f>
        <v/>
      </c>
      <c r="BK177" s="41" t="n">
        <f aca="false">ROW()-ROW(Tasks[[#Headers],[ID]])</f>
        <v>172</v>
      </c>
      <c r="BL177" s="41" t="n">
        <f aca="false">IF(OR(Tasks[[#This Row],[Task Name]]="",Tasks[[#This Row],[_Level]]&lt;=1),0,IFERROR(LOOKUP(2,1/(Tasks[[#Headers],[_Level]]:Tasks[[#This Row],[_Level]]=Tasks[[#This Row],[_Level]]-1),ROW(Tasks[[#Headers],[_Level]]:Tasks[[#This Row],[_Level]])),0))</f>
        <v>0</v>
      </c>
      <c r="BM177" s="41" t="n">
        <f aca="false">IFERROR(N(INDEX(Tasks[_Level],Tasks[[#This Row],[_Row]]+1)),0)</f>
        <v>0</v>
      </c>
      <c r="BN177" s="102" t="b">
        <f aca="false">AND(Tasks[[#This Row],[Task Name]]&lt;&gt;"",Tasks[[#This Row],[_NextLevel]]&gt;Tasks[[#This Row],[_Level]])</f>
        <v>0</v>
      </c>
      <c r="BO177" s="41" t="n">
        <f aca="false">IF(Tasks[[#This Row],[_IsSummary]],COUNTIF(Tasks[WBS],Tasks[[#This Row],[WBS]]&amp;".*"),0)</f>
        <v>0</v>
      </c>
      <c r="BP177" s="41" t="n">
        <f aca="false">IF(AND(Tasks[[#This Row],[Task Name]]&lt;&gt;"",NOT(Tasks[[#This Row],[_IsSummary]])),1,0)</f>
        <v>0</v>
      </c>
      <c r="BQ177" s="41" t="n">
        <f aca="false">IF(N(Tasks[[#This Row],[Pred1 UID]])=0,0,IFERROR(MATCH(Tasks[[#This Row],[Pred1 UID]],Tasks[UID],0),-1))</f>
        <v>0</v>
      </c>
      <c r="BR177" s="41" t="n">
        <f aca="false">IF(N(Tasks[[#This Row],[Pred2 UID]])=0,0,IFERROR(MATCH(Tasks[[#This Row],[Pred2 UID]],Tasks[UID],0),-1))</f>
        <v>0</v>
      </c>
      <c r="BS17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7" s="103" t="str">
        <f aca="false">IF(NOT(Tasks[[#This Row],[_IsLeaf]]=1),"",IF(N(Tasks[[#This Row],[Duration]])&lt;=0,Tasks[[#This Row],[_LeafCalcStart]],WORKDAY.INTL(Tasks[[#This Row],[_LeafCalcStart]],Tasks[[#This Row],[Duration]]-1,WorkWeek,Holidays)))</f>
        <v/>
      </c>
      <c r="BU17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7" s="41" t="n">
        <f aca="false">IF(NOT(Tasks[[#This Row],[_IsLeaf]]=1),0,IF(N(Tasks[[#This Row],[Actual Finish]])&gt;0,1,MIN(1,N(Tasks[[#This Row],[% Complete]]))))</f>
        <v>0</v>
      </c>
      <c r="BX177" s="41" t="n">
        <f aca="false">IF(OR(NOT(Tasks[[#This Row],[_IsLeaf]]=1),Tasks[[#This Row],[Resource]]=""),0,N(Tasks[[#This Row],[Duration]])*HoursPerDay*IF(Tasks[[#This Row],[Units]]="",DefaultUnits,Tasks[[#This Row],[Units]]))</f>
        <v>0</v>
      </c>
      <c r="BY177" s="41" t="n">
        <f aca="false">IF(Tasks[[#This Row],[_LeafWork]]=0,0,Tasks[[#This Row],[_LeafWork]]*IFERROR(INDEX(res_Rate,MATCH(Tasks[[#This Row],[Resource]],res_Name,0)),0))</f>
        <v>0</v>
      </c>
      <c r="BZ1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7" s="41" t="n">
        <f aca="false">IF(NOT(Tasks[[#This Row],[_IsLeaf]]=1),0,MAX(_xlfn.MAXIFS(Tasks[_Row],Tasks[Pred1 UID],Tasks[[#This Row],[UID]]),_xlfn.MAXIFS(Tasks[_Row],Tasks[Pred2 UID],Tasks[[#This Row],[UID]])))</f>
        <v>0</v>
      </c>
      <c r="CE17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7" s="103" t="str">
        <f aca="false">IF(NOT(Tasks[[#This Row],[_IsLeaf]]=1),"",MIN(ProjectFinish,IF(N(Tasks[[#This Row],[Deadline]])&gt;0,Tasks[[#This Row],[Deadline]],2958465),Tasks[[#This Row],[_SuccessorFinishLimit]]))</f>
        <v/>
      </c>
      <c r="CG177" s="103" t="str">
        <f aca="false">IF(NOT(Tasks[[#This Row],[_IsLeaf]]=1),"",IF(N(Tasks[[#This Row],[Duration]])&lt;=0,Tasks[[#This Row],[_LeafLateFinish]],WORKDAY.INTL(Tasks[[#This Row],[_LeafLateFinish]],-(Tasks[[#This Row],[Duration]]-1),WorkWeek,Holidays)))</f>
        <v/>
      </c>
      <c r="CH1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7" s="102" t="b">
        <f aca="false">AND(Tasks[[#This Row],[_IsLeaf]]=1,Tasks[[#This Row],[_LeafProgress]]&lt;1,N(Tasks[[#This Row],[_LeafTotalSlack]])&lt;=CriticalSlackDays)</f>
        <v>0</v>
      </c>
      <c r="CJ177" s="103" t="str">
        <f aca="false">IF(Tasks[[#This Row],[Task Name]]="","",IF(Tasks[[#This Row],[_IsSummary]],MIN(INDEX(Tasks[_LeafCalcStart],Tasks[[#This Row],[_Row]]+1):INDEX(Tasks[_LeafCalcStart],Tasks[[#This Row],[_Row]]+Tasks[[#This Row],[_Descendants]])),Tasks[[#This Row],[_LeafCalcStart]]))</f>
        <v/>
      </c>
      <c r="CK177" s="103" t="str">
        <f aca="false">IF(Tasks[[#This Row],[Task Name]]="","",IF(Tasks[[#This Row],[_IsSummary]],MAX(INDEX(Tasks[_LeafCalcFinish],Tasks[[#This Row],[_Row]]+1):INDEX(Tasks[_LeafCalcFinish],Tasks[[#This Row],[_Row]]+Tasks[[#This Row],[_Descendants]])),Tasks[[#This Row],[_LeafCalcFinish]]))</f>
        <v/>
      </c>
      <c r="CL1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7" s="41" t="n">
        <f aca="false">IF(AND(Tasks[[#This Row],[_IsLeaf]]=1,Tasks[[#This Row],[_LeafWork]]&gt;0),NETWORKDAYS.INTL(ProjectStart,Tasks[[#This Row],[_LeafFcstStart]],WorkWeek,Holidays),0)</f>
        <v>0</v>
      </c>
      <c r="CS177" s="41" t="n">
        <f aca="false">IF(AND(Tasks[[#This Row],[_IsLeaf]]=1,Tasks[[#This Row],[_LeafWork]]&gt;0),MAX(Tasks[[#This Row],[_StartWorkday]],NETWORKDAYS.INTL(ProjectStart,Tasks[[#This Row],[_LeafFcstFinish]],WorkWeek,Holidays)),0)</f>
        <v>0</v>
      </c>
      <c r="CT177" s="41" t="n">
        <f aca="false">IF(AND(Tasks[[#This Row],[_IsLeaf]]=1,Tasks[[#This Row],[_LeafWork]]&gt;0),Tasks[[#This Row],[_LeafWork]]/(Tasks[[#This Row],[_FinishWorkday]]-Tasks[[#This Row],[_StartWorkday]]+1),0)</f>
        <v>0</v>
      </c>
      <c r="CU177" s="41" t="n">
        <f aca="false">Tasks[[#This Row],[_WorkPerWorkday]]*(Tasks[[#This Row],[_StartWorkday]]-1)</f>
        <v>-0</v>
      </c>
      <c r="CV177" s="41" t="n">
        <f aca="false">IF(Tasks[[#This Row],[_IsLeaf]]=1,MAX(N(Tasks[[#This Row],[Duration]]),0.1),0)</f>
        <v>0</v>
      </c>
      <c r="CW177" s="41" t="n">
        <f aca="false">Tasks[[#This Row],[_WeightDur]]*Tasks[[#This Row],[_LeafProgress]]</f>
        <v>0</v>
      </c>
      <c r="CX1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7" s="41" t="str">
        <f aca="false">IF(Tasks[[#This Row],[Task Name]]="","",Tasks[[#This Row],[_Pred1UIDText]]&amp;IF(AND(Tasks[[#This Row],[_Pred1UIDText]]&lt;&gt;"",Tasks[[#This Row],[_Pred2UIDText]]&lt;&gt;""),",","")&amp;Tasks[[#This Row],[_Pred2UIDText]])</f>
        <v/>
      </c>
      <c r="DC177" s="41" t="str">
        <f aca="false">IF(AND(Tasks[[#This Row],[_IsLeaf]]=1,N(Tasks[[#This Row],[Duration]])=0,Tasks[[#This Row],[_LeafProgress]]&lt;1),Tasks[[#This Row],[_LeafFcstFinish]]+Tasks[[#This Row],[_Row]]/100000,"")</f>
        <v/>
      </c>
      <c r="DD1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7" s="41" t="n">
        <f aca="false">IF(NOT(Tasks[[#This Row],[_IsLeaf]]=1),0,IF(Tasks[[#This Row],[Baseline Cost]]="",Tasks[[#This Row],[_LeafCost]],N(Tasks[[#This Row],[Baseline Cost]])))</f>
        <v>0</v>
      </c>
      <c r="DF177" s="41" t="n">
        <f aca="false">Tasks[[#This Row],[_LeafBudget]]*Tasks[[#This Row],[_PlannedPct]]</f>
        <v>0</v>
      </c>
      <c r="DG177" s="41" t="n">
        <f aca="false">Tasks[[#This Row],[_LeafBudget]]*Tasks[[#This Row],[_LeafProgress]]</f>
        <v>0</v>
      </c>
      <c r="DH177" s="41" t="n">
        <f aca="false">IF(NOT(Tasks[[#This Row],[_IsLeaf]]=1),0,IF(Tasks[[#This Row],[Actual Cost]]="",Tasks[[#This Row],[_LeafCost]]*Tasks[[#This Row],[_LeafProgress]],N(Tasks[[#This Row],[Actual Cost]])))</f>
        <v>0</v>
      </c>
      <c r="DI177" s="41" t="str">
        <f aca="false">IF(Tasks[[#This Row],[Task Name]]="","",LEFT(Tasks[[#This Row],[WBS]],FIND(".",Tasks[[#This Row],[WBS]]&amp;".")-1))</f>
        <v/>
      </c>
      <c r="DJ177" s="41" t="str">
        <f aca="false">IF(AND(Tasks[[#This Row],[Task Name]]&lt;&gt;"",Tasks[[#This Row],[_Level]]=1),Tasks[[#This Row],[_Row]],"")</f>
        <v/>
      </c>
      <c r="DK177" s="41" t="str">
        <f aca="false">IF(AND(Tasks[[#This Row],[_IsLeaf]]=1,N(Tasks[[#This Row],[Duration]])=0),Tasks[[#This Row],[Planned Finish]]+Tasks[[#This Row],[_Row]]/100000,"")</f>
        <v/>
      </c>
      <c r="DL177" s="41" t="str">
        <f aca="false">IF(AND(Tasks[[#This Row],[_IsLeaf]]=1,Tasks[[#This Row],[_LeafProgress]]&lt;1,OR(N(Tasks[[#This Row],[Finish Var]])&gt;0,Tasks[[#This Row],[Status]]="Late Start")),MAX(0,Tasks[[#This Row],[Finish Var]])+1-Tasks[[#This Row],[_Row]]/1000000,"")</f>
        <v/>
      </c>
      <c r="DM177" s="41" t="str">
        <f aca="false">IF(AND(Tasks[[#This Row],[_IsLeaf]]=1,N(Tasks[[#This Row],[Actual Start]])=0,Tasks[[#This Row],[_LeafFcstStart]]&gt;=StatusDate,Tasks[[#This Row],[_LeafFcstStart]]&lt;=LookaheadEnd),Tasks[[#This Row],[_LeafFcstStart]]+Tasks[[#This Row],[_Row]]/100000,"")</f>
        <v/>
      </c>
      <c r="DN177" s="41" t="str">
        <f aca="false">IF(AND(Tasks[[#This Row],[_IsLeaf]]=1,Tasks[[#This Row],[_LeafProgress]]&lt;1,Tasks[[#This Row],[_LeafFcstFinish]]&gt;=StatusDate,Tasks[[#This Row],[_LeafFcstFinish]]&lt;=LookaheadEnd),Tasks[[#This Row],[_LeafFcstFinish]]+Tasks[[#This Row],[_Row]]/100000,"")</f>
        <v/>
      </c>
      <c r="DO177" s="41" t="str">
        <f aca="false">IF(Tasks[[#This Row],[_LeafCritical]],Tasks[[#This Row],[_LeafFcstStart]]+Tasks[[#This Row],[_Row]]/100000,"")</f>
        <v/>
      </c>
      <c r="DP177" s="41" t="n">
        <f aca="false">Tasks[[#This Row],[_LeafWork]]*Tasks[[#This Row],[_LeafProgress]]</f>
        <v>0</v>
      </c>
      <c r="DQ177" s="103" t="str">
        <f aca="false">IF(AND(Tasks[[#This Row],[_IsLeaf]]=1,Tasks[[#This Row],[_LeafProgress]]&gt;=1),IF(N(Tasks[[#This Row],[Actual Finish]])&gt;0,Tasks[[#This Row],[Actual Finish]],Tasks[[#This Row],[_LeafFcstFinish]]),"")</f>
        <v/>
      </c>
      <c r="DR177" s="41" t="n">
        <f aca="false">IF(Tasks[[#This Row],[_IsLeaf]]=1,N(Tasks[[#This Row],[Story Points]]),0)</f>
        <v>0</v>
      </c>
      <c r="DS177" s="41" t="str">
        <f aca="false">IF(AND(Tasks[[#This Row],[_IsLeaf]]=1,CurrentSprint&lt;&gt;"",Tasks[[#This Row],[Sprint]]=CurrentSprint),Tasks[[#This Row],[_Row]],"")</f>
        <v/>
      </c>
    </row>
    <row r="178" customFormat="false" ht="15" hidden="false" customHeight="false" outlineLevel="0" collapsed="false">
      <c r="A178" s="28" t="str">
        <f aca="false">IF(Tasks[[#This Row],[Task Name]]="","",COUNTA(Tasks[[#Headers],[Task Name]]:Tasks[[#This Row],[Task Name]])-1)</f>
        <v/>
      </c>
      <c r="B178" s="29" t="n">
        <v>173</v>
      </c>
      <c r="C1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29"/>
      <c r="E178" s="30"/>
      <c r="F178" s="29"/>
      <c r="G178" s="29"/>
      <c r="H178" s="29"/>
      <c r="I178" s="29"/>
      <c r="J178" s="29"/>
      <c r="K178" s="29"/>
      <c r="L178" s="29"/>
      <c r="M178" s="29"/>
      <c r="N178" s="77"/>
      <c r="O178" s="77"/>
      <c r="P178" s="25" t="str">
        <f aca="false">IF(Tasks[[#This Row],[Task Name]]="","",IF(N(Tasks[[#This Row],[Baseline Start]])&gt;0,Tasks[[#This Row],[Baseline Start]],Tasks[[#This Row],[_CalcStart]]))</f>
        <v/>
      </c>
      <c r="Q178" s="25" t="str">
        <f aca="false">IF(Tasks[[#This Row],[Task Name]]="","",IF(N(Tasks[[#This Row],[Baseline Finish]])&gt;0,Tasks[[#This Row],[Baseline Finish]],Tasks[[#This Row],[_CalcFinish]]))</f>
        <v/>
      </c>
      <c r="R178" s="77"/>
      <c r="S178" s="77"/>
      <c r="T178" s="25" t="str">
        <f aca="false">IF(Tasks[[#This Row],[Task Name]]="","",IF(Tasks[[#This Row],[_IsSummary]],MIN(INDEX(Tasks[_LeafFcstStart],Tasks[[#This Row],[_Row]]+1):INDEX(Tasks[_LeafFcstStart],Tasks[[#This Row],[_Row]]+Tasks[[#This Row],[_Descendants]])),Tasks[[#This Row],[_LeafFcstStart]]))</f>
        <v/>
      </c>
      <c r="U178" s="25" t="str">
        <f aca="false">IF(Tasks[[#This Row],[Task Name]]="","",IF(Tasks[[#This Row],[_IsSummary]],MAX(INDEX(Tasks[_LeafFcstFinish],Tasks[[#This Row],[_Row]]+1):INDEX(Tasks[_LeafFcstFinish],Tasks[[#This Row],[_Row]]+Tasks[[#This Row],[_Descendants]])),Tasks[[#This Row],[_LeafFcstFinish]]))</f>
        <v/>
      </c>
      <c r="V17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8" s="25" t="str">
        <f aca="false">IF(Tasks[[#This Row],[Task Name]]="","",IF(Tasks[[#This Row],[_IsSummary]],MIN(INDEX(Tasks[_LeafLateStart],Tasks[[#This Row],[_Row]]+1):INDEX(Tasks[_LeafLateStart],Tasks[[#This Row],[_Row]]+Tasks[[#This Row],[_Descendants]])),Tasks[[#This Row],[_LeafLateStart]]))</f>
        <v/>
      </c>
      <c r="Y178" s="25" t="str">
        <f aca="false">IF(Tasks[[#This Row],[Task Name]]="","",IF(Tasks[[#This Row],[_IsSummary]],MAX(INDEX(Tasks[_LeafLateFinish],Tasks[[#This Row],[_Row]]+1):INDEX(Tasks[_LeafLateFinish],Tasks[[#This Row],[_Row]]+Tasks[[#This Row],[_Descendants]])),Tasks[[#This Row],[_LeafLateFinish]]))</f>
        <v/>
      </c>
      <c r="Z178" s="43" t="str">
        <f aca="false">IF(Tasks[[#This Row],[Task Name]]="","",IF(Tasks[[#This Row],[_IsSummary]],MIN(INDEX(Tasks[_LeafTotalSlack],Tasks[[#This Row],[_Row]]+1):INDEX(Tasks[_LeafTotalSlack],Tasks[[#This Row],[_Row]]+Tasks[[#This Row],[_Descendants]])),Tasks[[#This Row],[_LeafTotalSlack]]))</f>
        <v/>
      </c>
      <c r="AA1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8" s="28" t="str">
        <f aca="false">IF(Tasks[[#This Row],[Task Name]]="","",IF(IF(Tasks[[#This Row],[_IsSummary]],COUNTIF(INDEX(Tasks[_LeafCritical],Tasks[[#This Row],[_Row]]+1):INDEX(Tasks[_LeafCritical],Tasks[[#This Row],[_Row]]+Tasks[[#This Row],[_Descendants]]),TRUE())&gt;0,Tasks[[#This Row],[_LeafCritical]]),"Yes",""))</f>
        <v/>
      </c>
      <c r="AC1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8" s="24" t="str">
        <f aca="false">IF(Tasks[[#This Row],[Task Name]]="","",TRIM(IF(Tasks[[#This Row],[_Pred1Problem]]&lt;&gt;"","Pred 1: "&amp;Tasks[[#This Row],[_Pred1Problem]]&amp;". ","")&amp;IF(Tasks[[#This Row],[_Pred2Problem]]&lt;&gt;"","Pred 2: "&amp;Tasks[[#This Row],[_Pred2Problem]]&amp;".","")))</f>
        <v/>
      </c>
      <c r="AE178" s="91"/>
      <c r="AF17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8" s="28" t="str">
        <f aca="false">IF(Tasks[[#This Row],[Task Name]]="","",IF(Tasks[[#This Row],[Progress]]&gt;=1,"Complete",IF(OR(N(Tasks[[#This Row],[Actual Start]])&gt;0,Tasks[[#This Row],[Progress]]&gt;0),IF(Tasks[[#This Row],[Finish Var]]&gt;0,"Behind","In Progress"),IF(Tasks[[#This Row],[Planned Start]]&lt;StatusDate,"Late Start","Not Started"))))</f>
        <v/>
      </c>
      <c r="AH178" s="30"/>
      <c r="AI178" s="91"/>
      <c r="AJ17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8" s="98" t="str">
        <f aca="false">IF(Tasks[[#This Row],[Task Name]]="","",IF(Tasks[[#This Row],[_IsSummary]],SUM(INDEX(Tasks[_LeafWork],Tasks[[#This Row],[_Row]]+1):INDEX(Tasks[_LeafWork],Tasks[[#This Row],[_Row]]+Tasks[[#This Row],[_Descendants]])),Tasks[[#This Row],[_LeafWork]]))</f>
        <v/>
      </c>
      <c r="AL178" s="99" t="str">
        <f aca="false">IF(Tasks[[#This Row],[Task Name]]="","",IF(Tasks[[#This Row],[_IsSummary]],SUM(INDEX(Tasks[_LeafCost],Tasks[[#This Row],[_Row]]+1):INDEX(Tasks[_LeafCost],Tasks[[#This Row],[_Row]]+Tasks[[#This Row],[_Descendants]])),Tasks[[#This Row],[_LeafCost]]))</f>
        <v/>
      </c>
      <c r="AM178" s="100"/>
      <c r="AN178" s="29"/>
      <c r="AO1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8" s="85"/>
      <c r="AQ178" s="24" t="str">
        <f aca="false">IF(Tasks[[#This Row],[Task Name]]="","",Tasks[[#This Row],[_Pred1IDText]]&amp;IF(AND(Tasks[[#This Row],[_Pred1IDText]]&lt;&gt;"",Tasks[[#This Row],[_Pred2IDText]]&lt;&gt;""),",","")&amp;Tasks[[#This Row],[_Pred2IDText]])</f>
        <v/>
      </c>
      <c r="AR178" s="30"/>
      <c r="AS178" s="25" t="str">
        <f aca="false">IF(Tasks[[#This Row],[Task Name]]="","",Tasks[[#This Row],[Forecast Start]])</f>
        <v/>
      </c>
      <c r="AT178" s="25" t="str">
        <f aca="false">IF(Tasks[[#This Row],[Task Name]]="","",Tasks[[#This Row],[Forecast Finish]])</f>
        <v/>
      </c>
      <c r="AU178" s="28" t="str">
        <f aca="false">IF(Tasks[[#This Row],[Task Name]]="","",IF(Tasks[[#This Row],[_IsSummary]],NETWORKDAYS.INTL(Tasks[[#This Row],[Forecast Start]],Tasks[[#This Row],[Forecast Finish]],WorkWeek,Holidays),N(Tasks[[#This Row],[Duration]])))</f>
        <v/>
      </c>
      <c r="AV178" s="98" t="str">
        <f aca="false">IF(Tasks[[#This Row],[Task Name]]="","",Tasks[[#This Row],[Work]])</f>
        <v/>
      </c>
      <c r="AW178" s="99" t="str">
        <f aca="false">IF(Tasks[[#This Row],[Task Name]]="","",Tasks[[#This Row],[Cost]])</f>
        <v/>
      </c>
      <c r="AX178" s="77"/>
      <c r="AY178" s="77"/>
      <c r="AZ178" s="29"/>
      <c r="BA178" s="101"/>
      <c r="BB178" s="100"/>
      <c r="BC178" s="28" t="str">
        <f aca="false">IF(OR(Tasks[[#This Row],[Task Name]]="",Tasks[[#This Row],[Baseline Duration]]=""),"",Tasks[[#This Row],[BL Source Duration]]-N(Tasks[[#This Row],[Baseline Duration]]))</f>
        <v/>
      </c>
      <c r="BD178" s="98" t="str">
        <f aca="false">IF(OR(Tasks[[#This Row],[Task Name]]="",Tasks[[#This Row],[Baseline Work]]=""),"",Tasks[[#This Row],[Work]]-N(Tasks[[#This Row],[Baseline Work]]))</f>
        <v/>
      </c>
      <c r="BE178" s="99" t="str">
        <f aca="false">IF(OR(Tasks[[#This Row],[Task Name]]="",Tasks[[#This Row],[Baseline Cost]]=""),"",Tasks[[#This Row],[Cost]]-N(Tasks[[#This Row],[Baseline Cost]]))</f>
        <v/>
      </c>
      <c r="BF178" s="99" t="str">
        <f aca="false">IF(Tasks[[#This Row],[Task Name]]="","",IF(Tasks[[#This Row],[_IsSummary]],SUM(INDEX(Tasks[_LeafBudget],Tasks[[#This Row],[_Row]]+1):INDEX(Tasks[_LeafBudget],Tasks[[#This Row],[_Row]]+Tasks[[#This Row],[_Descendants]])),Tasks[[#This Row],[_LeafBudget]]))</f>
        <v/>
      </c>
      <c r="BG178" s="99" t="str">
        <f aca="false">IF(Tasks[[#This Row],[Task Name]]="","",IF(Tasks[[#This Row],[_IsSummary]],SUM(INDEX(Tasks[_LeafPV],Tasks[[#This Row],[_Row]]+1):INDEX(Tasks[_LeafPV],Tasks[[#This Row],[_Row]]+Tasks[[#This Row],[_Descendants]])),Tasks[[#This Row],[_LeafPV]]))</f>
        <v/>
      </c>
      <c r="BH178" s="99" t="str">
        <f aca="false">IF(Tasks[[#This Row],[Task Name]]="","",IF(Tasks[[#This Row],[_IsSummary]],SUM(INDEX(Tasks[_LeafEV],Tasks[[#This Row],[_Row]]+1):INDEX(Tasks[_LeafEV],Tasks[[#This Row],[_Row]]+Tasks[[#This Row],[_Descendants]])),Tasks[[#This Row],[_LeafEV]]))</f>
        <v/>
      </c>
      <c r="BI178" s="99" t="str">
        <f aca="false">IF(Tasks[[#This Row],[Task Name]]="","",IF(Tasks[[#This Row],[_IsSummary]],SUM(INDEX(Tasks[_LeafAC],Tasks[[#This Row],[_Row]]+1):INDEX(Tasks[_LeafAC],Tasks[[#This Row],[_Row]]+Tasks[[#This Row],[_Descendants]])),Tasks[[#This Row],[_LeafAC]]))</f>
        <v/>
      </c>
      <c r="BJ178" s="41" t="str">
        <f aca="false">IF(Tasks[[#This Row],[Task Name]]="","",MAX(1,N(Tasks[[#This Row],[Level]])))</f>
        <v/>
      </c>
      <c r="BK178" s="41" t="n">
        <f aca="false">ROW()-ROW(Tasks[[#Headers],[ID]])</f>
        <v>173</v>
      </c>
      <c r="BL178" s="41" t="n">
        <f aca="false">IF(OR(Tasks[[#This Row],[Task Name]]="",Tasks[[#This Row],[_Level]]&lt;=1),0,IFERROR(LOOKUP(2,1/(Tasks[[#Headers],[_Level]]:Tasks[[#This Row],[_Level]]=Tasks[[#This Row],[_Level]]-1),ROW(Tasks[[#Headers],[_Level]]:Tasks[[#This Row],[_Level]])),0))</f>
        <v>0</v>
      </c>
      <c r="BM178" s="41" t="n">
        <f aca="false">IFERROR(N(INDEX(Tasks[_Level],Tasks[[#This Row],[_Row]]+1)),0)</f>
        <v>0</v>
      </c>
      <c r="BN178" s="102" t="b">
        <f aca="false">AND(Tasks[[#This Row],[Task Name]]&lt;&gt;"",Tasks[[#This Row],[_NextLevel]]&gt;Tasks[[#This Row],[_Level]])</f>
        <v>0</v>
      </c>
      <c r="BO178" s="41" t="n">
        <f aca="false">IF(Tasks[[#This Row],[_IsSummary]],COUNTIF(Tasks[WBS],Tasks[[#This Row],[WBS]]&amp;".*"),0)</f>
        <v>0</v>
      </c>
      <c r="BP178" s="41" t="n">
        <f aca="false">IF(AND(Tasks[[#This Row],[Task Name]]&lt;&gt;"",NOT(Tasks[[#This Row],[_IsSummary]])),1,0)</f>
        <v>0</v>
      </c>
      <c r="BQ178" s="41" t="n">
        <f aca="false">IF(N(Tasks[[#This Row],[Pred1 UID]])=0,0,IFERROR(MATCH(Tasks[[#This Row],[Pred1 UID]],Tasks[UID],0),-1))</f>
        <v>0</v>
      </c>
      <c r="BR178" s="41" t="n">
        <f aca="false">IF(N(Tasks[[#This Row],[Pred2 UID]])=0,0,IFERROR(MATCH(Tasks[[#This Row],[Pred2 UID]],Tasks[UID],0),-1))</f>
        <v>0</v>
      </c>
      <c r="BS17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8" s="103" t="str">
        <f aca="false">IF(NOT(Tasks[[#This Row],[_IsLeaf]]=1),"",IF(N(Tasks[[#This Row],[Duration]])&lt;=0,Tasks[[#This Row],[_LeafCalcStart]],WORKDAY.INTL(Tasks[[#This Row],[_LeafCalcStart]],Tasks[[#This Row],[Duration]]-1,WorkWeek,Holidays)))</f>
        <v/>
      </c>
      <c r="BU17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8" s="41" t="n">
        <f aca="false">IF(NOT(Tasks[[#This Row],[_IsLeaf]]=1),0,IF(N(Tasks[[#This Row],[Actual Finish]])&gt;0,1,MIN(1,N(Tasks[[#This Row],[% Complete]]))))</f>
        <v>0</v>
      </c>
      <c r="BX178" s="41" t="n">
        <f aca="false">IF(OR(NOT(Tasks[[#This Row],[_IsLeaf]]=1),Tasks[[#This Row],[Resource]]=""),0,N(Tasks[[#This Row],[Duration]])*HoursPerDay*IF(Tasks[[#This Row],[Units]]="",DefaultUnits,Tasks[[#This Row],[Units]]))</f>
        <v>0</v>
      </c>
      <c r="BY178" s="41" t="n">
        <f aca="false">IF(Tasks[[#This Row],[_LeafWork]]=0,0,Tasks[[#This Row],[_LeafWork]]*IFERROR(INDEX(res_Rate,MATCH(Tasks[[#This Row],[Resource]],res_Name,0)),0))</f>
        <v>0</v>
      </c>
      <c r="BZ1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8" s="41" t="n">
        <f aca="false">IF(NOT(Tasks[[#This Row],[_IsLeaf]]=1),0,MAX(_xlfn.MAXIFS(Tasks[_Row],Tasks[Pred1 UID],Tasks[[#This Row],[UID]]),_xlfn.MAXIFS(Tasks[_Row],Tasks[Pred2 UID],Tasks[[#This Row],[UID]])))</f>
        <v>0</v>
      </c>
      <c r="CE17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8" s="103" t="str">
        <f aca="false">IF(NOT(Tasks[[#This Row],[_IsLeaf]]=1),"",MIN(ProjectFinish,IF(N(Tasks[[#This Row],[Deadline]])&gt;0,Tasks[[#This Row],[Deadline]],2958465),Tasks[[#This Row],[_SuccessorFinishLimit]]))</f>
        <v/>
      </c>
      <c r="CG178" s="103" t="str">
        <f aca="false">IF(NOT(Tasks[[#This Row],[_IsLeaf]]=1),"",IF(N(Tasks[[#This Row],[Duration]])&lt;=0,Tasks[[#This Row],[_LeafLateFinish]],WORKDAY.INTL(Tasks[[#This Row],[_LeafLateFinish]],-(Tasks[[#This Row],[Duration]]-1),WorkWeek,Holidays)))</f>
        <v/>
      </c>
      <c r="CH1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8" s="102" t="b">
        <f aca="false">AND(Tasks[[#This Row],[_IsLeaf]]=1,Tasks[[#This Row],[_LeafProgress]]&lt;1,N(Tasks[[#This Row],[_LeafTotalSlack]])&lt;=CriticalSlackDays)</f>
        <v>0</v>
      </c>
      <c r="CJ178" s="103" t="str">
        <f aca="false">IF(Tasks[[#This Row],[Task Name]]="","",IF(Tasks[[#This Row],[_IsSummary]],MIN(INDEX(Tasks[_LeafCalcStart],Tasks[[#This Row],[_Row]]+1):INDEX(Tasks[_LeafCalcStart],Tasks[[#This Row],[_Row]]+Tasks[[#This Row],[_Descendants]])),Tasks[[#This Row],[_LeafCalcStart]]))</f>
        <v/>
      </c>
      <c r="CK178" s="103" t="str">
        <f aca="false">IF(Tasks[[#This Row],[Task Name]]="","",IF(Tasks[[#This Row],[_IsSummary]],MAX(INDEX(Tasks[_LeafCalcFinish],Tasks[[#This Row],[_Row]]+1):INDEX(Tasks[_LeafCalcFinish],Tasks[[#This Row],[_Row]]+Tasks[[#This Row],[_Descendants]])),Tasks[[#This Row],[_LeafCalcFinish]]))</f>
        <v/>
      </c>
      <c r="CL1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8" s="41" t="n">
        <f aca="false">IF(AND(Tasks[[#This Row],[_IsLeaf]]=1,Tasks[[#This Row],[_LeafWork]]&gt;0),NETWORKDAYS.INTL(ProjectStart,Tasks[[#This Row],[_LeafFcstStart]],WorkWeek,Holidays),0)</f>
        <v>0</v>
      </c>
      <c r="CS178" s="41" t="n">
        <f aca="false">IF(AND(Tasks[[#This Row],[_IsLeaf]]=1,Tasks[[#This Row],[_LeafWork]]&gt;0),MAX(Tasks[[#This Row],[_StartWorkday]],NETWORKDAYS.INTL(ProjectStart,Tasks[[#This Row],[_LeafFcstFinish]],WorkWeek,Holidays)),0)</f>
        <v>0</v>
      </c>
      <c r="CT178" s="41" t="n">
        <f aca="false">IF(AND(Tasks[[#This Row],[_IsLeaf]]=1,Tasks[[#This Row],[_LeafWork]]&gt;0),Tasks[[#This Row],[_LeafWork]]/(Tasks[[#This Row],[_FinishWorkday]]-Tasks[[#This Row],[_StartWorkday]]+1),0)</f>
        <v>0</v>
      </c>
      <c r="CU178" s="41" t="n">
        <f aca="false">Tasks[[#This Row],[_WorkPerWorkday]]*(Tasks[[#This Row],[_StartWorkday]]-1)</f>
        <v>-0</v>
      </c>
      <c r="CV178" s="41" t="n">
        <f aca="false">IF(Tasks[[#This Row],[_IsLeaf]]=1,MAX(N(Tasks[[#This Row],[Duration]]),0.1),0)</f>
        <v>0</v>
      </c>
      <c r="CW178" s="41" t="n">
        <f aca="false">Tasks[[#This Row],[_WeightDur]]*Tasks[[#This Row],[_LeafProgress]]</f>
        <v>0</v>
      </c>
      <c r="CX1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8" s="41" t="str">
        <f aca="false">IF(Tasks[[#This Row],[Task Name]]="","",Tasks[[#This Row],[_Pred1UIDText]]&amp;IF(AND(Tasks[[#This Row],[_Pred1UIDText]]&lt;&gt;"",Tasks[[#This Row],[_Pred2UIDText]]&lt;&gt;""),",","")&amp;Tasks[[#This Row],[_Pred2UIDText]])</f>
        <v/>
      </c>
      <c r="DC178" s="41" t="str">
        <f aca="false">IF(AND(Tasks[[#This Row],[_IsLeaf]]=1,N(Tasks[[#This Row],[Duration]])=0,Tasks[[#This Row],[_LeafProgress]]&lt;1),Tasks[[#This Row],[_LeafFcstFinish]]+Tasks[[#This Row],[_Row]]/100000,"")</f>
        <v/>
      </c>
      <c r="DD1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8" s="41" t="n">
        <f aca="false">IF(NOT(Tasks[[#This Row],[_IsLeaf]]=1),0,IF(Tasks[[#This Row],[Baseline Cost]]="",Tasks[[#This Row],[_LeafCost]],N(Tasks[[#This Row],[Baseline Cost]])))</f>
        <v>0</v>
      </c>
      <c r="DF178" s="41" t="n">
        <f aca="false">Tasks[[#This Row],[_LeafBudget]]*Tasks[[#This Row],[_PlannedPct]]</f>
        <v>0</v>
      </c>
      <c r="DG178" s="41" t="n">
        <f aca="false">Tasks[[#This Row],[_LeafBudget]]*Tasks[[#This Row],[_LeafProgress]]</f>
        <v>0</v>
      </c>
      <c r="DH178" s="41" t="n">
        <f aca="false">IF(NOT(Tasks[[#This Row],[_IsLeaf]]=1),0,IF(Tasks[[#This Row],[Actual Cost]]="",Tasks[[#This Row],[_LeafCost]]*Tasks[[#This Row],[_LeafProgress]],N(Tasks[[#This Row],[Actual Cost]])))</f>
        <v>0</v>
      </c>
      <c r="DI178" s="41" t="str">
        <f aca="false">IF(Tasks[[#This Row],[Task Name]]="","",LEFT(Tasks[[#This Row],[WBS]],FIND(".",Tasks[[#This Row],[WBS]]&amp;".")-1))</f>
        <v/>
      </c>
      <c r="DJ178" s="41" t="str">
        <f aca="false">IF(AND(Tasks[[#This Row],[Task Name]]&lt;&gt;"",Tasks[[#This Row],[_Level]]=1),Tasks[[#This Row],[_Row]],"")</f>
        <v/>
      </c>
      <c r="DK178" s="41" t="str">
        <f aca="false">IF(AND(Tasks[[#This Row],[_IsLeaf]]=1,N(Tasks[[#This Row],[Duration]])=0),Tasks[[#This Row],[Planned Finish]]+Tasks[[#This Row],[_Row]]/100000,"")</f>
        <v/>
      </c>
      <c r="DL178" s="41" t="str">
        <f aca="false">IF(AND(Tasks[[#This Row],[_IsLeaf]]=1,Tasks[[#This Row],[_LeafProgress]]&lt;1,OR(N(Tasks[[#This Row],[Finish Var]])&gt;0,Tasks[[#This Row],[Status]]="Late Start")),MAX(0,Tasks[[#This Row],[Finish Var]])+1-Tasks[[#This Row],[_Row]]/1000000,"")</f>
        <v/>
      </c>
      <c r="DM178" s="41" t="str">
        <f aca="false">IF(AND(Tasks[[#This Row],[_IsLeaf]]=1,N(Tasks[[#This Row],[Actual Start]])=0,Tasks[[#This Row],[_LeafFcstStart]]&gt;=StatusDate,Tasks[[#This Row],[_LeafFcstStart]]&lt;=LookaheadEnd),Tasks[[#This Row],[_LeafFcstStart]]+Tasks[[#This Row],[_Row]]/100000,"")</f>
        <v/>
      </c>
      <c r="DN178" s="41" t="str">
        <f aca="false">IF(AND(Tasks[[#This Row],[_IsLeaf]]=1,Tasks[[#This Row],[_LeafProgress]]&lt;1,Tasks[[#This Row],[_LeafFcstFinish]]&gt;=StatusDate,Tasks[[#This Row],[_LeafFcstFinish]]&lt;=LookaheadEnd),Tasks[[#This Row],[_LeafFcstFinish]]+Tasks[[#This Row],[_Row]]/100000,"")</f>
        <v/>
      </c>
      <c r="DO178" s="41" t="str">
        <f aca="false">IF(Tasks[[#This Row],[_LeafCritical]],Tasks[[#This Row],[_LeafFcstStart]]+Tasks[[#This Row],[_Row]]/100000,"")</f>
        <v/>
      </c>
      <c r="DP178" s="41" t="n">
        <f aca="false">Tasks[[#This Row],[_LeafWork]]*Tasks[[#This Row],[_LeafProgress]]</f>
        <v>0</v>
      </c>
      <c r="DQ178" s="103" t="str">
        <f aca="false">IF(AND(Tasks[[#This Row],[_IsLeaf]]=1,Tasks[[#This Row],[_LeafProgress]]&gt;=1),IF(N(Tasks[[#This Row],[Actual Finish]])&gt;0,Tasks[[#This Row],[Actual Finish]],Tasks[[#This Row],[_LeafFcstFinish]]),"")</f>
        <v/>
      </c>
      <c r="DR178" s="41" t="n">
        <f aca="false">IF(Tasks[[#This Row],[_IsLeaf]]=1,N(Tasks[[#This Row],[Story Points]]),0)</f>
        <v>0</v>
      </c>
      <c r="DS178" s="41" t="str">
        <f aca="false">IF(AND(Tasks[[#This Row],[_IsLeaf]]=1,CurrentSprint&lt;&gt;"",Tasks[[#This Row],[Sprint]]=CurrentSprint),Tasks[[#This Row],[_Row]],"")</f>
        <v/>
      </c>
    </row>
    <row r="179" customFormat="false" ht="15" hidden="false" customHeight="false" outlineLevel="0" collapsed="false">
      <c r="A179" s="28" t="str">
        <f aca="false">IF(Tasks[[#This Row],[Task Name]]="","",COUNTA(Tasks[[#Headers],[Task Name]]:Tasks[[#This Row],[Task Name]])-1)</f>
        <v/>
      </c>
      <c r="B179" s="29" t="n">
        <v>174</v>
      </c>
      <c r="C1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29"/>
      <c r="E179" s="30"/>
      <c r="F179" s="29"/>
      <c r="G179" s="29"/>
      <c r="H179" s="29"/>
      <c r="I179" s="29"/>
      <c r="J179" s="29"/>
      <c r="K179" s="29"/>
      <c r="L179" s="29"/>
      <c r="M179" s="29"/>
      <c r="N179" s="77"/>
      <c r="O179" s="77"/>
      <c r="P179" s="25" t="str">
        <f aca="false">IF(Tasks[[#This Row],[Task Name]]="","",IF(N(Tasks[[#This Row],[Baseline Start]])&gt;0,Tasks[[#This Row],[Baseline Start]],Tasks[[#This Row],[_CalcStart]]))</f>
        <v/>
      </c>
      <c r="Q179" s="25" t="str">
        <f aca="false">IF(Tasks[[#This Row],[Task Name]]="","",IF(N(Tasks[[#This Row],[Baseline Finish]])&gt;0,Tasks[[#This Row],[Baseline Finish]],Tasks[[#This Row],[_CalcFinish]]))</f>
        <v/>
      </c>
      <c r="R179" s="77"/>
      <c r="S179" s="77"/>
      <c r="T179" s="25" t="str">
        <f aca="false">IF(Tasks[[#This Row],[Task Name]]="","",IF(Tasks[[#This Row],[_IsSummary]],MIN(INDEX(Tasks[_LeafFcstStart],Tasks[[#This Row],[_Row]]+1):INDEX(Tasks[_LeafFcstStart],Tasks[[#This Row],[_Row]]+Tasks[[#This Row],[_Descendants]])),Tasks[[#This Row],[_LeafFcstStart]]))</f>
        <v/>
      </c>
      <c r="U179" s="25" t="str">
        <f aca="false">IF(Tasks[[#This Row],[Task Name]]="","",IF(Tasks[[#This Row],[_IsSummary]],MAX(INDEX(Tasks[_LeafFcstFinish],Tasks[[#This Row],[_Row]]+1):INDEX(Tasks[_LeafFcstFinish],Tasks[[#This Row],[_Row]]+Tasks[[#This Row],[_Descendants]])),Tasks[[#This Row],[_LeafFcstFinish]]))</f>
        <v/>
      </c>
      <c r="V17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7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9" s="25" t="str">
        <f aca="false">IF(Tasks[[#This Row],[Task Name]]="","",IF(Tasks[[#This Row],[_IsSummary]],MIN(INDEX(Tasks[_LeafLateStart],Tasks[[#This Row],[_Row]]+1):INDEX(Tasks[_LeafLateStart],Tasks[[#This Row],[_Row]]+Tasks[[#This Row],[_Descendants]])),Tasks[[#This Row],[_LeafLateStart]]))</f>
        <v/>
      </c>
      <c r="Y179" s="25" t="str">
        <f aca="false">IF(Tasks[[#This Row],[Task Name]]="","",IF(Tasks[[#This Row],[_IsSummary]],MAX(INDEX(Tasks[_LeafLateFinish],Tasks[[#This Row],[_Row]]+1):INDEX(Tasks[_LeafLateFinish],Tasks[[#This Row],[_Row]]+Tasks[[#This Row],[_Descendants]])),Tasks[[#This Row],[_LeafLateFinish]]))</f>
        <v/>
      </c>
      <c r="Z179" s="43" t="str">
        <f aca="false">IF(Tasks[[#This Row],[Task Name]]="","",IF(Tasks[[#This Row],[_IsSummary]],MIN(INDEX(Tasks[_LeafTotalSlack],Tasks[[#This Row],[_Row]]+1):INDEX(Tasks[_LeafTotalSlack],Tasks[[#This Row],[_Row]]+Tasks[[#This Row],[_Descendants]])),Tasks[[#This Row],[_LeafTotalSlack]]))</f>
        <v/>
      </c>
      <c r="AA1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9" s="28" t="str">
        <f aca="false">IF(Tasks[[#This Row],[Task Name]]="","",IF(IF(Tasks[[#This Row],[_IsSummary]],COUNTIF(INDEX(Tasks[_LeafCritical],Tasks[[#This Row],[_Row]]+1):INDEX(Tasks[_LeafCritical],Tasks[[#This Row],[_Row]]+Tasks[[#This Row],[_Descendants]]),TRUE())&gt;0,Tasks[[#This Row],[_LeafCritical]]),"Yes",""))</f>
        <v/>
      </c>
      <c r="AC1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9" s="24" t="str">
        <f aca="false">IF(Tasks[[#This Row],[Task Name]]="","",TRIM(IF(Tasks[[#This Row],[_Pred1Problem]]&lt;&gt;"","Pred 1: "&amp;Tasks[[#This Row],[_Pred1Problem]]&amp;". ","")&amp;IF(Tasks[[#This Row],[_Pred2Problem]]&lt;&gt;"","Pred 2: "&amp;Tasks[[#This Row],[_Pred2Problem]]&amp;".","")))</f>
        <v/>
      </c>
      <c r="AE179" s="91"/>
      <c r="AF17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9" s="28" t="str">
        <f aca="false">IF(Tasks[[#This Row],[Task Name]]="","",IF(Tasks[[#This Row],[Progress]]&gt;=1,"Complete",IF(OR(N(Tasks[[#This Row],[Actual Start]])&gt;0,Tasks[[#This Row],[Progress]]&gt;0),IF(Tasks[[#This Row],[Finish Var]]&gt;0,"Behind","In Progress"),IF(Tasks[[#This Row],[Planned Start]]&lt;StatusDate,"Late Start","Not Started"))))</f>
        <v/>
      </c>
      <c r="AH179" s="30"/>
      <c r="AI179" s="91"/>
      <c r="AJ17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9" s="98" t="str">
        <f aca="false">IF(Tasks[[#This Row],[Task Name]]="","",IF(Tasks[[#This Row],[_IsSummary]],SUM(INDEX(Tasks[_LeafWork],Tasks[[#This Row],[_Row]]+1):INDEX(Tasks[_LeafWork],Tasks[[#This Row],[_Row]]+Tasks[[#This Row],[_Descendants]])),Tasks[[#This Row],[_LeafWork]]))</f>
        <v/>
      </c>
      <c r="AL179" s="99" t="str">
        <f aca="false">IF(Tasks[[#This Row],[Task Name]]="","",IF(Tasks[[#This Row],[_IsSummary]],SUM(INDEX(Tasks[_LeafCost],Tasks[[#This Row],[_Row]]+1):INDEX(Tasks[_LeafCost],Tasks[[#This Row],[_Row]]+Tasks[[#This Row],[_Descendants]])),Tasks[[#This Row],[_LeafCost]]))</f>
        <v/>
      </c>
      <c r="AM179" s="100"/>
      <c r="AN179" s="29"/>
      <c r="AO1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9" s="85"/>
      <c r="AQ179" s="24" t="str">
        <f aca="false">IF(Tasks[[#This Row],[Task Name]]="","",Tasks[[#This Row],[_Pred1IDText]]&amp;IF(AND(Tasks[[#This Row],[_Pred1IDText]]&lt;&gt;"",Tasks[[#This Row],[_Pred2IDText]]&lt;&gt;""),",","")&amp;Tasks[[#This Row],[_Pred2IDText]])</f>
        <v/>
      </c>
      <c r="AR179" s="30"/>
      <c r="AS179" s="25" t="str">
        <f aca="false">IF(Tasks[[#This Row],[Task Name]]="","",Tasks[[#This Row],[Forecast Start]])</f>
        <v/>
      </c>
      <c r="AT179" s="25" t="str">
        <f aca="false">IF(Tasks[[#This Row],[Task Name]]="","",Tasks[[#This Row],[Forecast Finish]])</f>
        <v/>
      </c>
      <c r="AU179" s="28" t="str">
        <f aca="false">IF(Tasks[[#This Row],[Task Name]]="","",IF(Tasks[[#This Row],[_IsSummary]],NETWORKDAYS.INTL(Tasks[[#This Row],[Forecast Start]],Tasks[[#This Row],[Forecast Finish]],WorkWeek,Holidays),N(Tasks[[#This Row],[Duration]])))</f>
        <v/>
      </c>
      <c r="AV179" s="98" t="str">
        <f aca="false">IF(Tasks[[#This Row],[Task Name]]="","",Tasks[[#This Row],[Work]])</f>
        <v/>
      </c>
      <c r="AW179" s="99" t="str">
        <f aca="false">IF(Tasks[[#This Row],[Task Name]]="","",Tasks[[#This Row],[Cost]])</f>
        <v/>
      </c>
      <c r="AX179" s="77"/>
      <c r="AY179" s="77"/>
      <c r="AZ179" s="29"/>
      <c r="BA179" s="101"/>
      <c r="BB179" s="100"/>
      <c r="BC179" s="28" t="str">
        <f aca="false">IF(OR(Tasks[[#This Row],[Task Name]]="",Tasks[[#This Row],[Baseline Duration]]=""),"",Tasks[[#This Row],[BL Source Duration]]-N(Tasks[[#This Row],[Baseline Duration]]))</f>
        <v/>
      </c>
      <c r="BD179" s="98" t="str">
        <f aca="false">IF(OR(Tasks[[#This Row],[Task Name]]="",Tasks[[#This Row],[Baseline Work]]=""),"",Tasks[[#This Row],[Work]]-N(Tasks[[#This Row],[Baseline Work]]))</f>
        <v/>
      </c>
      <c r="BE179" s="99" t="str">
        <f aca="false">IF(OR(Tasks[[#This Row],[Task Name]]="",Tasks[[#This Row],[Baseline Cost]]=""),"",Tasks[[#This Row],[Cost]]-N(Tasks[[#This Row],[Baseline Cost]]))</f>
        <v/>
      </c>
      <c r="BF179" s="99" t="str">
        <f aca="false">IF(Tasks[[#This Row],[Task Name]]="","",IF(Tasks[[#This Row],[_IsSummary]],SUM(INDEX(Tasks[_LeafBudget],Tasks[[#This Row],[_Row]]+1):INDEX(Tasks[_LeafBudget],Tasks[[#This Row],[_Row]]+Tasks[[#This Row],[_Descendants]])),Tasks[[#This Row],[_LeafBudget]]))</f>
        <v/>
      </c>
      <c r="BG179" s="99" t="str">
        <f aca="false">IF(Tasks[[#This Row],[Task Name]]="","",IF(Tasks[[#This Row],[_IsSummary]],SUM(INDEX(Tasks[_LeafPV],Tasks[[#This Row],[_Row]]+1):INDEX(Tasks[_LeafPV],Tasks[[#This Row],[_Row]]+Tasks[[#This Row],[_Descendants]])),Tasks[[#This Row],[_LeafPV]]))</f>
        <v/>
      </c>
      <c r="BH179" s="99" t="str">
        <f aca="false">IF(Tasks[[#This Row],[Task Name]]="","",IF(Tasks[[#This Row],[_IsSummary]],SUM(INDEX(Tasks[_LeafEV],Tasks[[#This Row],[_Row]]+1):INDEX(Tasks[_LeafEV],Tasks[[#This Row],[_Row]]+Tasks[[#This Row],[_Descendants]])),Tasks[[#This Row],[_LeafEV]]))</f>
        <v/>
      </c>
      <c r="BI179" s="99" t="str">
        <f aca="false">IF(Tasks[[#This Row],[Task Name]]="","",IF(Tasks[[#This Row],[_IsSummary]],SUM(INDEX(Tasks[_LeafAC],Tasks[[#This Row],[_Row]]+1):INDEX(Tasks[_LeafAC],Tasks[[#This Row],[_Row]]+Tasks[[#This Row],[_Descendants]])),Tasks[[#This Row],[_LeafAC]]))</f>
        <v/>
      </c>
      <c r="BJ179" s="41" t="str">
        <f aca="false">IF(Tasks[[#This Row],[Task Name]]="","",MAX(1,N(Tasks[[#This Row],[Level]])))</f>
        <v/>
      </c>
      <c r="BK179" s="41" t="n">
        <f aca="false">ROW()-ROW(Tasks[[#Headers],[ID]])</f>
        <v>174</v>
      </c>
      <c r="BL179" s="41" t="n">
        <f aca="false">IF(OR(Tasks[[#This Row],[Task Name]]="",Tasks[[#This Row],[_Level]]&lt;=1),0,IFERROR(LOOKUP(2,1/(Tasks[[#Headers],[_Level]]:Tasks[[#This Row],[_Level]]=Tasks[[#This Row],[_Level]]-1),ROW(Tasks[[#Headers],[_Level]]:Tasks[[#This Row],[_Level]])),0))</f>
        <v>0</v>
      </c>
      <c r="BM179" s="41" t="n">
        <f aca="false">IFERROR(N(INDEX(Tasks[_Level],Tasks[[#This Row],[_Row]]+1)),0)</f>
        <v>0</v>
      </c>
      <c r="BN179" s="102" t="b">
        <f aca="false">AND(Tasks[[#This Row],[Task Name]]&lt;&gt;"",Tasks[[#This Row],[_NextLevel]]&gt;Tasks[[#This Row],[_Level]])</f>
        <v>0</v>
      </c>
      <c r="BO179" s="41" t="n">
        <f aca="false">IF(Tasks[[#This Row],[_IsSummary]],COUNTIF(Tasks[WBS],Tasks[[#This Row],[WBS]]&amp;".*"),0)</f>
        <v>0</v>
      </c>
      <c r="BP179" s="41" t="n">
        <f aca="false">IF(AND(Tasks[[#This Row],[Task Name]]&lt;&gt;"",NOT(Tasks[[#This Row],[_IsSummary]])),1,0)</f>
        <v>0</v>
      </c>
      <c r="BQ179" s="41" t="n">
        <f aca="false">IF(N(Tasks[[#This Row],[Pred1 UID]])=0,0,IFERROR(MATCH(Tasks[[#This Row],[Pred1 UID]],Tasks[UID],0),-1))</f>
        <v>0</v>
      </c>
      <c r="BR179" s="41" t="n">
        <f aca="false">IF(N(Tasks[[#This Row],[Pred2 UID]])=0,0,IFERROR(MATCH(Tasks[[#This Row],[Pred2 UID]],Tasks[UID],0),-1))</f>
        <v>0</v>
      </c>
      <c r="BS17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9" s="103" t="str">
        <f aca="false">IF(NOT(Tasks[[#This Row],[_IsLeaf]]=1),"",IF(N(Tasks[[#This Row],[Duration]])&lt;=0,Tasks[[#This Row],[_LeafCalcStart]],WORKDAY.INTL(Tasks[[#This Row],[_LeafCalcStart]],Tasks[[#This Row],[Duration]]-1,WorkWeek,Holidays)))</f>
        <v/>
      </c>
      <c r="BU17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9" s="41" t="n">
        <f aca="false">IF(NOT(Tasks[[#This Row],[_IsLeaf]]=1),0,IF(N(Tasks[[#This Row],[Actual Finish]])&gt;0,1,MIN(1,N(Tasks[[#This Row],[% Complete]]))))</f>
        <v>0</v>
      </c>
      <c r="BX179" s="41" t="n">
        <f aca="false">IF(OR(NOT(Tasks[[#This Row],[_IsLeaf]]=1),Tasks[[#This Row],[Resource]]=""),0,N(Tasks[[#This Row],[Duration]])*HoursPerDay*IF(Tasks[[#This Row],[Units]]="",DefaultUnits,Tasks[[#This Row],[Units]]))</f>
        <v>0</v>
      </c>
      <c r="BY179" s="41" t="n">
        <f aca="false">IF(Tasks[[#This Row],[_LeafWork]]=0,0,Tasks[[#This Row],[_LeafWork]]*IFERROR(INDEX(res_Rate,MATCH(Tasks[[#This Row],[Resource]],res_Name,0)),0))</f>
        <v>0</v>
      </c>
      <c r="BZ1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9" s="41" t="n">
        <f aca="false">IF(NOT(Tasks[[#This Row],[_IsLeaf]]=1),0,MAX(_xlfn.MAXIFS(Tasks[_Row],Tasks[Pred1 UID],Tasks[[#This Row],[UID]]),_xlfn.MAXIFS(Tasks[_Row],Tasks[Pred2 UID],Tasks[[#This Row],[UID]])))</f>
        <v>0</v>
      </c>
      <c r="CE17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9" s="103" t="str">
        <f aca="false">IF(NOT(Tasks[[#This Row],[_IsLeaf]]=1),"",MIN(ProjectFinish,IF(N(Tasks[[#This Row],[Deadline]])&gt;0,Tasks[[#This Row],[Deadline]],2958465),Tasks[[#This Row],[_SuccessorFinishLimit]]))</f>
        <v/>
      </c>
      <c r="CG179" s="103" t="str">
        <f aca="false">IF(NOT(Tasks[[#This Row],[_IsLeaf]]=1),"",IF(N(Tasks[[#This Row],[Duration]])&lt;=0,Tasks[[#This Row],[_LeafLateFinish]],WORKDAY.INTL(Tasks[[#This Row],[_LeafLateFinish]],-(Tasks[[#This Row],[Duration]]-1),WorkWeek,Holidays)))</f>
        <v/>
      </c>
      <c r="CH1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9" s="102" t="b">
        <f aca="false">AND(Tasks[[#This Row],[_IsLeaf]]=1,Tasks[[#This Row],[_LeafProgress]]&lt;1,N(Tasks[[#This Row],[_LeafTotalSlack]])&lt;=CriticalSlackDays)</f>
        <v>0</v>
      </c>
      <c r="CJ179" s="103" t="str">
        <f aca="false">IF(Tasks[[#This Row],[Task Name]]="","",IF(Tasks[[#This Row],[_IsSummary]],MIN(INDEX(Tasks[_LeafCalcStart],Tasks[[#This Row],[_Row]]+1):INDEX(Tasks[_LeafCalcStart],Tasks[[#This Row],[_Row]]+Tasks[[#This Row],[_Descendants]])),Tasks[[#This Row],[_LeafCalcStart]]))</f>
        <v/>
      </c>
      <c r="CK179" s="103" t="str">
        <f aca="false">IF(Tasks[[#This Row],[Task Name]]="","",IF(Tasks[[#This Row],[_IsSummary]],MAX(INDEX(Tasks[_LeafCalcFinish],Tasks[[#This Row],[_Row]]+1):INDEX(Tasks[_LeafCalcFinish],Tasks[[#This Row],[_Row]]+Tasks[[#This Row],[_Descendants]])),Tasks[[#This Row],[_LeafCalcFinish]]))</f>
        <v/>
      </c>
      <c r="CL1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9" s="41" t="n">
        <f aca="false">IF(AND(Tasks[[#This Row],[_IsLeaf]]=1,Tasks[[#This Row],[_LeafWork]]&gt;0),NETWORKDAYS.INTL(ProjectStart,Tasks[[#This Row],[_LeafFcstStart]],WorkWeek,Holidays),0)</f>
        <v>0</v>
      </c>
      <c r="CS179" s="41" t="n">
        <f aca="false">IF(AND(Tasks[[#This Row],[_IsLeaf]]=1,Tasks[[#This Row],[_LeafWork]]&gt;0),MAX(Tasks[[#This Row],[_StartWorkday]],NETWORKDAYS.INTL(ProjectStart,Tasks[[#This Row],[_LeafFcstFinish]],WorkWeek,Holidays)),0)</f>
        <v>0</v>
      </c>
      <c r="CT179" s="41" t="n">
        <f aca="false">IF(AND(Tasks[[#This Row],[_IsLeaf]]=1,Tasks[[#This Row],[_LeafWork]]&gt;0),Tasks[[#This Row],[_LeafWork]]/(Tasks[[#This Row],[_FinishWorkday]]-Tasks[[#This Row],[_StartWorkday]]+1),0)</f>
        <v>0</v>
      </c>
      <c r="CU179" s="41" t="n">
        <f aca="false">Tasks[[#This Row],[_WorkPerWorkday]]*(Tasks[[#This Row],[_StartWorkday]]-1)</f>
        <v>-0</v>
      </c>
      <c r="CV179" s="41" t="n">
        <f aca="false">IF(Tasks[[#This Row],[_IsLeaf]]=1,MAX(N(Tasks[[#This Row],[Duration]]),0.1),0)</f>
        <v>0</v>
      </c>
      <c r="CW179" s="41" t="n">
        <f aca="false">Tasks[[#This Row],[_WeightDur]]*Tasks[[#This Row],[_LeafProgress]]</f>
        <v>0</v>
      </c>
      <c r="CX1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9" s="41" t="str">
        <f aca="false">IF(Tasks[[#This Row],[Task Name]]="","",Tasks[[#This Row],[_Pred1UIDText]]&amp;IF(AND(Tasks[[#This Row],[_Pred1UIDText]]&lt;&gt;"",Tasks[[#This Row],[_Pred2UIDText]]&lt;&gt;""),",","")&amp;Tasks[[#This Row],[_Pred2UIDText]])</f>
        <v/>
      </c>
      <c r="DC179" s="41" t="str">
        <f aca="false">IF(AND(Tasks[[#This Row],[_IsLeaf]]=1,N(Tasks[[#This Row],[Duration]])=0,Tasks[[#This Row],[_LeafProgress]]&lt;1),Tasks[[#This Row],[_LeafFcstFinish]]+Tasks[[#This Row],[_Row]]/100000,"")</f>
        <v/>
      </c>
      <c r="DD1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9" s="41" t="n">
        <f aca="false">IF(NOT(Tasks[[#This Row],[_IsLeaf]]=1),0,IF(Tasks[[#This Row],[Baseline Cost]]="",Tasks[[#This Row],[_LeafCost]],N(Tasks[[#This Row],[Baseline Cost]])))</f>
        <v>0</v>
      </c>
      <c r="DF179" s="41" t="n">
        <f aca="false">Tasks[[#This Row],[_LeafBudget]]*Tasks[[#This Row],[_PlannedPct]]</f>
        <v>0</v>
      </c>
      <c r="DG179" s="41" t="n">
        <f aca="false">Tasks[[#This Row],[_LeafBudget]]*Tasks[[#This Row],[_LeafProgress]]</f>
        <v>0</v>
      </c>
      <c r="DH179" s="41" t="n">
        <f aca="false">IF(NOT(Tasks[[#This Row],[_IsLeaf]]=1),0,IF(Tasks[[#This Row],[Actual Cost]]="",Tasks[[#This Row],[_LeafCost]]*Tasks[[#This Row],[_LeafProgress]],N(Tasks[[#This Row],[Actual Cost]])))</f>
        <v>0</v>
      </c>
      <c r="DI179" s="41" t="str">
        <f aca="false">IF(Tasks[[#This Row],[Task Name]]="","",LEFT(Tasks[[#This Row],[WBS]],FIND(".",Tasks[[#This Row],[WBS]]&amp;".")-1))</f>
        <v/>
      </c>
      <c r="DJ179" s="41" t="str">
        <f aca="false">IF(AND(Tasks[[#This Row],[Task Name]]&lt;&gt;"",Tasks[[#This Row],[_Level]]=1),Tasks[[#This Row],[_Row]],"")</f>
        <v/>
      </c>
      <c r="DK179" s="41" t="str">
        <f aca="false">IF(AND(Tasks[[#This Row],[_IsLeaf]]=1,N(Tasks[[#This Row],[Duration]])=0),Tasks[[#This Row],[Planned Finish]]+Tasks[[#This Row],[_Row]]/100000,"")</f>
        <v/>
      </c>
      <c r="DL179" s="41" t="str">
        <f aca="false">IF(AND(Tasks[[#This Row],[_IsLeaf]]=1,Tasks[[#This Row],[_LeafProgress]]&lt;1,OR(N(Tasks[[#This Row],[Finish Var]])&gt;0,Tasks[[#This Row],[Status]]="Late Start")),MAX(0,Tasks[[#This Row],[Finish Var]])+1-Tasks[[#This Row],[_Row]]/1000000,"")</f>
        <v/>
      </c>
      <c r="DM179" s="41" t="str">
        <f aca="false">IF(AND(Tasks[[#This Row],[_IsLeaf]]=1,N(Tasks[[#This Row],[Actual Start]])=0,Tasks[[#This Row],[_LeafFcstStart]]&gt;=StatusDate,Tasks[[#This Row],[_LeafFcstStart]]&lt;=LookaheadEnd),Tasks[[#This Row],[_LeafFcstStart]]+Tasks[[#This Row],[_Row]]/100000,"")</f>
        <v/>
      </c>
      <c r="DN179" s="41" t="str">
        <f aca="false">IF(AND(Tasks[[#This Row],[_IsLeaf]]=1,Tasks[[#This Row],[_LeafProgress]]&lt;1,Tasks[[#This Row],[_LeafFcstFinish]]&gt;=StatusDate,Tasks[[#This Row],[_LeafFcstFinish]]&lt;=LookaheadEnd),Tasks[[#This Row],[_LeafFcstFinish]]+Tasks[[#This Row],[_Row]]/100000,"")</f>
        <v/>
      </c>
      <c r="DO179" s="41" t="str">
        <f aca="false">IF(Tasks[[#This Row],[_LeafCritical]],Tasks[[#This Row],[_LeafFcstStart]]+Tasks[[#This Row],[_Row]]/100000,"")</f>
        <v/>
      </c>
      <c r="DP179" s="41" t="n">
        <f aca="false">Tasks[[#This Row],[_LeafWork]]*Tasks[[#This Row],[_LeafProgress]]</f>
        <v>0</v>
      </c>
      <c r="DQ179" s="103" t="str">
        <f aca="false">IF(AND(Tasks[[#This Row],[_IsLeaf]]=1,Tasks[[#This Row],[_LeafProgress]]&gt;=1),IF(N(Tasks[[#This Row],[Actual Finish]])&gt;0,Tasks[[#This Row],[Actual Finish]],Tasks[[#This Row],[_LeafFcstFinish]]),"")</f>
        <v/>
      </c>
      <c r="DR179" s="41" t="n">
        <f aca="false">IF(Tasks[[#This Row],[_IsLeaf]]=1,N(Tasks[[#This Row],[Story Points]]),0)</f>
        <v>0</v>
      </c>
      <c r="DS179" s="41" t="str">
        <f aca="false">IF(AND(Tasks[[#This Row],[_IsLeaf]]=1,CurrentSprint&lt;&gt;"",Tasks[[#This Row],[Sprint]]=CurrentSprint),Tasks[[#This Row],[_Row]],"")</f>
        <v/>
      </c>
    </row>
    <row r="180" customFormat="false" ht="15" hidden="false" customHeight="false" outlineLevel="0" collapsed="false">
      <c r="A180" s="28" t="str">
        <f aca="false">IF(Tasks[[#This Row],[Task Name]]="","",COUNTA(Tasks[[#Headers],[Task Name]]:Tasks[[#This Row],[Task Name]])-1)</f>
        <v/>
      </c>
      <c r="B180" s="29" t="n">
        <v>175</v>
      </c>
      <c r="C1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29"/>
      <c r="E180" s="30"/>
      <c r="F180" s="29"/>
      <c r="G180" s="29"/>
      <c r="H180" s="29"/>
      <c r="I180" s="29"/>
      <c r="J180" s="29"/>
      <c r="K180" s="29"/>
      <c r="L180" s="29"/>
      <c r="M180" s="29"/>
      <c r="N180" s="77"/>
      <c r="O180" s="77"/>
      <c r="P180" s="25" t="str">
        <f aca="false">IF(Tasks[[#This Row],[Task Name]]="","",IF(N(Tasks[[#This Row],[Baseline Start]])&gt;0,Tasks[[#This Row],[Baseline Start]],Tasks[[#This Row],[_CalcStart]]))</f>
        <v/>
      </c>
      <c r="Q180" s="25" t="str">
        <f aca="false">IF(Tasks[[#This Row],[Task Name]]="","",IF(N(Tasks[[#This Row],[Baseline Finish]])&gt;0,Tasks[[#This Row],[Baseline Finish]],Tasks[[#This Row],[_CalcFinish]]))</f>
        <v/>
      </c>
      <c r="R180" s="77"/>
      <c r="S180" s="77"/>
      <c r="T180" s="25" t="str">
        <f aca="false">IF(Tasks[[#This Row],[Task Name]]="","",IF(Tasks[[#This Row],[_IsSummary]],MIN(INDEX(Tasks[_LeafFcstStart],Tasks[[#This Row],[_Row]]+1):INDEX(Tasks[_LeafFcstStart],Tasks[[#This Row],[_Row]]+Tasks[[#This Row],[_Descendants]])),Tasks[[#This Row],[_LeafFcstStart]]))</f>
        <v/>
      </c>
      <c r="U180" s="25" t="str">
        <f aca="false">IF(Tasks[[#This Row],[Task Name]]="","",IF(Tasks[[#This Row],[_IsSummary]],MAX(INDEX(Tasks[_LeafFcstFinish],Tasks[[#This Row],[_Row]]+1):INDEX(Tasks[_LeafFcstFinish],Tasks[[#This Row],[_Row]]+Tasks[[#This Row],[_Descendants]])),Tasks[[#This Row],[_LeafFcstFinish]]))</f>
        <v/>
      </c>
      <c r="V18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0" s="25" t="str">
        <f aca="false">IF(Tasks[[#This Row],[Task Name]]="","",IF(Tasks[[#This Row],[_IsSummary]],MIN(INDEX(Tasks[_LeafLateStart],Tasks[[#This Row],[_Row]]+1):INDEX(Tasks[_LeafLateStart],Tasks[[#This Row],[_Row]]+Tasks[[#This Row],[_Descendants]])),Tasks[[#This Row],[_LeafLateStart]]))</f>
        <v/>
      </c>
      <c r="Y180" s="25" t="str">
        <f aca="false">IF(Tasks[[#This Row],[Task Name]]="","",IF(Tasks[[#This Row],[_IsSummary]],MAX(INDEX(Tasks[_LeafLateFinish],Tasks[[#This Row],[_Row]]+1):INDEX(Tasks[_LeafLateFinish],Tasks[[#This Row],[_Row]]+Tasks[[#This Row],[_Descendants]])),Tasks[[#This Row],[_LeafLateFinish]]))</f>
        <v/>
      </c>
      <c r="Z180" s="43" t="str">
        <f aca="false">IF(Tasks[[#This Row],[Task Name]]="","",IF(Tasks[[#This Row],[_IsSummary]],MIN(INDEX(Tasks[_LeafTotalSlack],Tasks[[#This Row],[_Row]]+1):INDEX(Tasks[_LeafTotalSlack],Tasks[[#This Row],[_Row]]+Tasks[[#This Row],[_Descendants]])),Tasks[[#This Row],[_LeafTotalSlack]]))</f>
        <v/>
      </c>
      <c r="AA1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0" s="28" t="str">
        <f aca="false">IF(Tasks[[#This Row],[Task Name]]="","",IF(IF(Tasks[[#This Row],[_IsSummary]],COUNTIF(INDEX(Tasks[_LeafCritical],Tasks[[#This Row],[_Row]]+1):INDEX(Tasks[_LeafCritical],Tasks[[#This Row],[_Row]]+Tasks[[#This Row],[_Descendants]]),TRUE())&gt;0,Tasks[[#This Row],[_LeafCritical]]),"Yes",""))</f>
        <v/>
      </c>
      <c r="AC1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0" s="24" t="str">
        <f aca="false">IF(Tasks[[#This Row],[Task Name]]="","",TRIM(IF(Tasks[[#This Row],[_Pred1Problem]]&lt;&gt;"","Pred 1: "&amp;Tasks[[#This Row],[_Pred1Problem]]&amp;". ","")&amp;IF(Tasks[[#This Row],[_Pred2Problem]]&lt;&gt;"","Pred 2: "&amp;Tasks[[#This Row],[_Pred2Problem]]&amp;".","")))</f>
        <v/>
      </c>
      <c r="AE180" s="91"/>
      <c r="AF18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0" s="28" t="str">
        <f aca="false">IF(Tasks[[#This Row],[Task Name]]="","",IF(Tasks[[#This Row],[Progress]]&gt;=1,"Complete",IF(OR(N(Tasks[[#This Row],[Actual Start]])&gt;0,Tasks[[#This Row],[Progress]]&gt;0),IF(Tasks[[#This Row],[Finish Var]]&gt;0,"Behind","In Progress"),IF(Tasks[[#This Row],[Planned Start]]&lt;StatusDate,"Late Start","Not Started"))))</f>
        <v/>
      </c>
      <c r="AH180" s="30"/>
      <c r="AI180" s="91"/>
      <c r="AJ18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0" s="98" t="str">
        <f aca="false">IF(Tasks[[#This Row],[Task Name]]="","",IF(Tasks[[#This Row],[_IsSummary]],SUM(INDEX(Tasks[_LeafWork],Tasks[[#This Row],[_Row]]+1):INDEX(Tasks[_LeafWork],Tasks[[#This Row],[_Row]]+Tasks[[#This Row],[_Descendants]])),Tasks[[#This Row],[_LeafWork]]))</f>
        <v/>
      </c>
      <c r="AL180" s="99" t="str">
        <f aca="false">IF(Tasks[[#This Row],[Task Name]]="","",IF(Tasks[[#This Row],[_IsSummary]],SUM(INDEX(Tasks[_LeafCost],Tasks[[#This Row],[_Row]]+1):INDEX(Tasks[_LeafCost],Tasks[[#This Row],[_Row]]+Tasks[[#This Row],[_Descendants]])),Tasks[[#This Row],[_LeafCost]]))</f>
        <v/>
      </c>
      <c r="AM180" s="100"/>
      <c r="AN180" s="29"/>
      <c r="AO1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0" s="85"/>
      <c r="AQ180" s="24" t="str">
        <f aca="false">IF(Tasks[[#This Row],[Task Name]]="","",Tasks[[#This Row],[_Pred1IDText]]&amp;IF(AND(Tasks[[#This Row],[_Pred1IDText]]&lt;&gt;"",Tasks[[#This Row],[_Pred2IDText]]&lt;&gt;""),",","")&amp;Tasks[[#This Row],[_Pred2IDText]])</f>
        <v/>
      </c>
      <c r="AR180" s="30"/>
      <c r="AS180" s="25" t="str">
        <f aca="false">IF(Tasks[[#This Row],[Task Name]]="","",Tasks[[#This Row],[Forecast Start]])</f>
        <v/>
      </c>
      <c r="AT180" s="25" t="str">
        <f aca="false">IF(Tasks[[#This Row],[Task Name]]="","",Tasks[[#This Row],[Forecast Finish]])</f>
        <v/>
      </c>
      <c r="AU180" s="28" t="str">
        <f aca="false">IF(Tasks[[#This Row],[Task Name]]="","",IF(Tasks[[#This Row],[_IsSummary]],NETWORKDAYS.INTL(Tasks[[#This Row],[Forecast Start]],Tasks[[#This Row],[Forecast Finish]],WorkWeek,Holidays),N(Tasks[[#This Row],[Duration]])))</f>
        <v/>
      </c>
      <c r="AV180" s="98" t="str">
        <f aca="false">IF(Tasks[[#This Row],[Task Name]]="","",Tasks[[#This Row],[Work]])</f>
        <v/>
      </c>
      <c r="AW180" s="99" t="str">
        <f aca="false">IF(Tasks[[#This Row],[Task Name]]="","",Tasks[[#This Row],[Cost]])</f>
        <v/>
      </c>
      <c r="AX180" s="77"/>
      <c r="AY180" s="77"/>
      <c r="AZ180" s="29"/>
      <c r="BA180" s="101"/>
      <c r="BB180" s="100"/>
      <c r="BC180" s="28" t="str">
        <f aca="false">IF(OR(Tasks[[#This Row],[Task Name]]="",Tasks[[#This Row],[Baseline Duration]]=""),"",Tasks[[#This Row],[BL Source Duration]]-N(Tasks[[#This Row],[Baseline Duration]]))</f>
        <v/>
      </c>
      <c r="BD180" s="98" t="str">
        <f aca="false">IF(OR(Tasks[[#This Row],[Task Name]]="",Tasks[[#This Row],[Baseline Work]]=""),"",Tasks[[#This Row],[Work]]-N(Tasks[[#This Row],[Baseline Work]]))</f>
        <v/>
      </c>
      <c r="BE180" s="99" t="str">
        <f aca="false">IF(OR(Tasks[[#This Row],[Task Name]]="",Tasks[[#This Row],[Baseline Cost]]=""),"",Tasks[[#This Row],[Cost]]-N(Tasks[[#This Row],[Baseline Cost]]))</f>
        <v/>
      </c>
      <c r="BF180" s="99" t="str">
        <f aca="false">IF(Tasks[[#This Row],[Task Name]]="","",IF(Tasks[[#This Row],[_IsSummary]],SUM(INDEX(Tasks[_LeafBudget],Tasks[[#This Row],[_Row]]+1):INDEX(Tasks[_LeafBudget],Tasks[[#This Row],[_Row]]+Tasks[[#This Row],[_Descendants]])),Tasks[[#This Row],[_LeafBudget]]))</f>
        <v/>
      </c>
      <c r="BG180" s="99" t="str">
        <f aca="false">IF(Tasks[[#This Row],[Task Name]]="","",IF(Tasks[[#This Row],[_IsSummary]],SUM(INDEX(Tasks[_LeafPV],Tasks[[#This Row],[_Row]]+1):INDEX(Tasks[_LeafPV],Tasks[[#This Row],[_Row]]+Tasks[[#This Row],[_Descendants]])),Tasks[[#This Row],[_LeafPV]]))</f>
        <v/>
      </c>
      <c r="BH180" s="99" t="str">
        <f aca="false">IF(Tasks[[#This Row],[Task Name]]="","",IF(Tasks[[#This Row],[_IsSummary]],SUM(INDEX(Tasks[_LeafEV],Tasks[[#This Row],[_Row]]+1):INDEX(Tasks[_LeafEV],Tasks[[#This Row],[_Row]]+Tasks[[#This Row],[_Descendants]])),Tasks[[#This Row],[_LeafEV]]))</f>
        <v/>
      </c>
      <c r="BI180" s="99" t="str">
        <f aca="false">IF(Tasks[[#This Row],[Task Name]]="","",IF(Tasks[[#This Row],[_IsSummary]],SUM(INDEX(Tasks[_LeafAC],Tasks[[#This Row],[_Row]]+1):INDEX(Tasks[_LeafAC],Tasks[[#This Row],[_Row]]+Tasks[[#This Row],[_Descendants]])),Tasks[[#This Row],[_LeafAC]]))</f>
        <v/>
      </c>
      <c r="BJ180" s="41" t="str">
        <f aca="false">IF(Tasks[[#This Row],[Task Name]]="","",MAX(1,N(Tasks[[#This Row],[Level]])))</f>
        <v/>
      </c>
      <c r="BK180" s="41" t="n">
        <f aca="false">ROW()-ROW(Tasks[[#Headers],[ID]])</f>
        <v>175</v>
      </c>
      <c r="BL180" s="41" t="n">
        <f aca="false">IF(OR(Tasks[[#This Row],[Task Name]]="",Tasks[[#This Row],[_Level]]&lt;=1),0,IFERROR(LOOKUP(2,1/(Tasks[[#Headers],[_Level]]:Tasks[[#This Row],[_Level]]=Tasks[[#This Row],[_Level]]-1),ROW(Tasks[[#Headers],[_Level]]:Tasks[[#This Row],[_Level]])),0))</f>
        <v>0</v>
      </c>
      <c r="BM180" s="41" t="n">
        <f aca="false">IFERROR(N(INDEX(Tasks[_Level],Tasks[[#This Row],[_Row]]+1)),0)</f>
        <v>0</v>
      </c>
      <c r="BN180" s="102" t="b">
        <f aca="false">AND(Tasks[[#This Row],[Task Name]]&lt;&gt;"",Tasks[[#This Row],[_NextLevel]]&gt;Tasks[[#This Row],[_Level]])</f>
        <v>0</v>
      </c>
      <c r="BO180" s="41" t="n">
        <f aca="false">IF(Tasks[[#This Row],[_IsSummary]],COUNTIF(Tasks[WBS],Tasks[[#This Row],[WBS]]&amp;".*"),0)</f>
        <v>0</v>
      </c>
      <c r="BP180" s="41" t="n">
        <f aca="false">IF(AND(Tasks[[#This Row],[Task Name]]&lt;&gt;"",NOT(Tasks[[#This Row],[_IsSummary]])),1,0)</f>
        <v>0</v>
      </c>
      <c r="BQ180" s="41" t="n">
        <f aca="false">IF(N(Tasks[[#This Row],[Pred1 UID]])=0,0,IFERROR(MATCH(Tasks[[#This Row],[Pred1 UID]],Tasks[UID],0),-1))</f>
        <v>0</v>
      </c>
      <c r="BR180" s="41" t="n">
        <f aca="false">IF(N(Tasks[[#This Row],[Pred2 UID]])=0,0,IFERROR(MATCH(Tasks[[#This Row],[Pred2 UID]],Tasks[UID],0),-1))</f>
        <v>0</v>
      </c>
      <c r="BS18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0" s="103" t="str">
        <f aca="false">IF(NOT(Tasks[[#This Row],[_IsLeaf]]=1),"",IF(N(Tasks[[#This Row],[Duration]])&lt;=0,Tasks[[#This Row],[_LeafCalcStart]],WORKDAY.INTL(Tasks[[#This Row],[_LeafCalcStart]],Tasks[[#This Row],[Duration]]-1,WorkWeek,Holidays)))</f>
        <v/>
      </c>
      <c r="BU18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0" s="41" t="n">
        <f aca="false">IF(NOT(Tasks[[#This Row],[_IsLeaf]]=1),0,IF(N(Tasks[[#This Row],[Actual Finish]])&gt;0,1,MIN(1,N(Tasks[[#This Row],[% Complete]]))))</f>
        <v>0</v>
      </c>
      <c r="BX180" s="41" t="n">
        <f aca="false">IF(OR(NOT(Tasks[[#This Row],[_IsLeaf]]=1),Tasks[[#This Row],[Resource]]=""),0,N(Tasks[[#This Row],[Duration]])*HoursPerDay*IF(Tasks[[#This Row],[Units]]="",DefaultUnits,Tasks[[#This Row],[Units]]))</f>
        <v>0</v>
      </c>
      <c r="BY180" s="41" t="n">
        <f aca="false">IF(Tasks[[#This Row],[_LeafWork]]=0,0,Tasks[[#This Row],[_LeafWork]]*IFERROR(INDEX(res_Rate,MATCH(Tasks[[#This Row],[Resource]],res_Name,0)),0))</f>
        <v>0</v>
      </c>
      <c r="BZ1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0" s="41" t="n">
        <f aca="false">IF(NOT(Tasks[[#This Row],[_IsLeaf]]=1),0,MAX(_xlfn.MAXIFS(Tasks[_Row],Tasks[Pred1 UID],Tasks[[#This Row],[UID]]),_xlfn.MAXIFS(Tasks[_Row],Tasks[Pred2 UID],Tasks[[#This Row],[UID]])))</f>
        <v>0</v>
      </c>
      <c r="CE18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0" s="103" t="str">
        <f aca="false">IF(NOT(Tasks[[#This Row],[_IsLeaf]]=1),"",MIN(ProjectFinish,IF(N(Tasks[[#This Row],[Deadline]])&gt;0,Tasks[[#This Row],[Deadline]],2958465),Tasks[[#This Row],[_SuccessorFinishLimit]]))</f>
        <v/>
      </c>
      <c r="CG180" s="103" t="str">
        <f aca="false">IF(NOT(Tasks[[#This Row],[_IsLeaf]]=1),"",IF(N(Tasks[[#This Row],[Duration]])&lt;=0,Tasks[[#This Row],[_LeafLateFinish]],WORKDAY.INTL(Tasks[[#This Row],[_LeafLateFinish]],-(Tasks[[#This Row],[Duration]]-1),WorkWeek,Holidays)))</f>
        <v/>
      </c>
      <c r="CH1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0" s="102" t="b">
        <f aca="false">AND(Tasks[[#This Row],[_IsLeaf]]=1,Tasks[[#This Row],[_LeafProgress]]&lt;1,N(Tasks[[#This Row],[_LeafTotalSlack]])&lt;=CriticalSlackDays)</f>
        <v>0</v>
      </c>
      <c r="CJ180" s="103" t="str">
        <f aca="false">IF(Tasks[[#This Row],[Task Name]]="","",IF(Tasks[[#This Row],[_IsSummary]],MIN(INDEX(Tasks[_LeafCalcStart],Tasks[[#This Row],[_Row]]+1):INDEX(Tasks[_LeafCalcStart],Tasks[[#This Row],[_Row]]+Tasks[[#This Row],[_Descendants]])),Tasks[[#This Row],[_LeafCalcStart]]))</f>
        <v/>
      </c>
      <c r="CK180" s="103" t="str">
        <f aca="false">IF(Tasks[[#This Row],[Task Name]]="","",IF(Tasks[[#This Row],[_IsSummary]],MAX(INDEX(Tasks[_LeafCalcFinish],Tasks[[#This Row],[_Row]]+1):INDEX(Tasks[_LeafCalcFinish],Tasks[[#This Row],[_Row]]+Tasks[[#This Row],[_Descendants]])),Tasks[[#This Row],[_LeafCalcFinish]]))</f>
        <v/>
      </c>
      <c r="CL1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0" s="41" t="n">
        <f aca="false">IF(AND(Tasks[[#This Row],[_IsLeaf]]=1,Tasks[[#This Row],[_LeafWork]]&gt;0),NETWORKDAYS.INTL(ProjectStart,Tasks[[#This Row],[_LeafFcstStart]],WorkWeek,Holidays),0)</f>
        <v>0</v>
      </c>
      <c r="CS180" s="41" t="n">
        <f aca="false">IF(AND(Tasks[[#This Row],[_IsLeaf]]=1,Tasks[[#This Row],[_LeafWork]]&gt;0),MAX(Tasks[[#This Row],[_StartWorkday]],NETWORKDAYS.INTL(ProjectStart,Tasks[[#This Row],[_LeafFcstFinish]],WorkWeek,Holidays)),0)</f>
        <v>0</v>
      </c>
      <c r="CT180" s="41" t="n">
        <f aca="false">IF(AND(Tasks[[#This Row],[_IsLeaf]]=1,Tasks[[#This Row],[_LeafWork]]&gt;0),Tasks[[#This Row],[_LeafWork]]/(Tasks[[#This Row],[_FinishWorkday]]-Tasks[[#This Row],[_StartWorkday]]+1),0)</f>
        <v>0</v>
      </c>
      <c r="CU180" s="41" t="n">
        <f aca="false">Tasks[[#This Row],[_WorkPerWorkday]]*(Tasks[[#This Row],[_StartWorkday]]-1)</f>
        <v>-0</v>
      </c>
      <c r="CV180" s="41" t="n">
        <f aca="false">IF(Tasks[[#This Row],[_IsLeaf]]=1,MAX(N(Tasks[[#This Row],[Duration]]),0.1),0)</f>
        <v>0</v>
      </c>
      <c r="CW180" s="41" t="n">
        <f aca="false">Tasks[[#This Row],[_WeightDur]]*Tasks[[#This Row],[_LeafProgress]]</f>
        <v>0</v>
      </c>
      <c r="CX1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0" s="41" t="str">
        <f aca="false">IF(Tasks[[#This Row],[Task Name]]="","",Tasks[[#This Row],[_Pred1UIDText]]&amp;IF(AND(Tasks[[#This Row],[_Pred1UIDText]]&lt;&gt;"",Tasks[[#This Row],[_Pred2UIDText]]&lt;&gt;""),",","")&amp;Tasks[[#This Row],[_Pred2UIDText]])</f>
        <v/>
      </c>
      <c r="DC180" s="41" t="str">
        <f aca="false">IF(AND(Tasks[[#This Row],[_IsLeaf]]=1,N(Tasks[[#This Row],[Duration]])=0,Tasks[[#This Row],[_LeafProgress]]&lt;1),Tasks[[#This Row],[_LeafFcstFinish]]+Tasks[[#This Row],[_Row]]/100000,"")</f>
        <v/>
      </c>
      <c r="DD1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0" s="41" t="n">
        <f aca="false">IF(NOT(Tasks[[#This Row],[_IsLeaf]]=1),0,IF(Tasks[[#This Row],[Baseline Cost]]="",Tasks[[#This Row],[_LeafCost]],N(Tasks[[#This Row],[Baseline Cost]])))</f>
        <v>0</v>
      </c>
      <c r="DF180" s="41" t="n">
        <f aca="false">Tasks[[#This Row],[_LeafBudget]]*Tasks[[#This Row],[_PlannedPct]]</f>
        <v>0</v>
      </c>
      <c r="DG180" s="41" t="n">
        <f aca="false">Tasks[[#This Row],[_LeafBudget]]*Tasks[[#This Row],[_LeafProgress]]</f>
        <v>0</v>
      </c>
      <c r="DH180" s="41" t="n">
        <f aca="false">IF(NOT(Tasks[[#This Row],[_IsLeaf]]=1),0,IF(Tasks[[#This Row],[Actual Cost]]="",Tasks[[#This Row],[_LeafCost]]*Tasks[[#This Row],[_LeafProgress]],N(Tasks[[#This Row],[Actual Cost]])))</f>
        <v>0</v>
      </c>
      <c r="DI180" s="41" t="str">
        <f aca="false">IF(Tasks[[#This Row],[Task Name]]="","",LEFT(Tasks[[#This Row],[WBS]],FIND(".",Tasks[[#This Row],[WBS]]&amp;".")-1))</f>
        <v/>
      </c>
      <c r="DJ180" s="41" t="str">
        <f aca="false">IF(AND(Tasks[[#This Row],[Task Name]]&lt;&gt;"",Tasks[[#This Row],[_Level]]=1),Tasks[[#This Row],[_Row]],"")</f>
        <v/>
      </c>
      <c r="DK180" s="41" t="str">
        <f aca="false">IF(AND(Tasks[[#This Row],[_IsLeaf]]=1,N(Tasks[[#This Row],[Duration]])=0),Tasks[[#This Row],[Planned Finish]]+Tasks[[#This Row],[_Row]]/100000,"")</f>
        <v/>
      </c>
      <c r="DL180" s="41" t="str">
        <f aca="false">IF(AND(Tasks[[#This Row],[_IsLeaf]]=1,Tasks[[#This Row],[_LeafProgress]]&lt;1,OR(N(Tasks[[#This Row],[Finish Var]])&gt;0,Tasks[[#This Row],[Status]]="Late Start")),MAX(0,Tasks[[#This Row],[Finish Var]])+1-Tasks[[#This Row],[_Row]]/1000000,"")</f>
        <v/>
      </c>
      <c r="DM180" s="41" t="str">
        <f aca="false">IF(AND(Tasks[[#This Row],[_IsLeaf]]=1,N(Tasks[[#This Row],[Actual Start]])=0,Tasks[[#This Row],[_LeafFcstStart]]&gt;=StatusDate,Tasks[[#This Row],[_LeafFcstStart]]&lt;=LookaheadEnd),Tasks[[#This Row],[_LeafFcstStart]]+Tasks[[#This Row],[_Row]]/100000,"")</f>
        <v/>
      </c>
      <c r="DN180" s="41" t="str">
        <f aca="false">IF(AND(Tasks[[#This Row],[_IsLeaf]]=1,Tasks[[#This Row],[_LeafProgress]]&lt;1,Tasks[[#This Row],[_LeafFcstFinish]]&gt;=StatusDate,Tasks[[#This Row],[_LeafFcstFinish]]&lt;=LookaheadEnd),Tasks[[#This Row],[_LeafFcstFinish]]+Tasks[[#This Row],[_Row]]/100000,"")</f>
        <v/>
      </c>
      <c r="DO180" s="41" t="str">
        <f aca="false">IF(Tasks[[#This Row],[_LeafCritical]],Tasks[[#This Row],[_LeafFcstStart]]+Tasks[[#This Row],[_Row]]/100000,"")</f>
        <v/>
      </c>
      <c r="DP180" s="41" t="n">
        <f aca="false">Tasks[[#This Row],[_LeafWork]]*Tasks[[#This Row],[_LeafProgress]]</f>
        <v>0</v>
      </c>
      <c r="DQ180" s="103" t="str">
        <f aca="false">IF(AND(Tasks[[#This Row],[_IsLeaf]]=1,Tasks[[#This Row],[_LeafProgress]]&gt;=1),IF(N(Tasks[[#This Row],[Actual Finish]])&gt;0,Tasks[[#This Row],[Actual Finish]],Tasks[[#This Row],[_LeafFcstFinish]]),"")</f>
        <v/>
      </c>
      <c r="DR180" s="41" t="n">
        <f aca="false">IF(Tasks[[#This Row],[_IsLeaf]]=1,N(Tasks[[#This Row],[Story Points]]),0)</f>
        <v>0</v>
      </c>
      <c r="DS180" s="41" t="str">
        <f aca="false">IF(AND(Tasks[[#This Row],[_IsLeaf]]=1,CurrentSprint&lt;&gt;"",Tasks[[#This Row],[Sprint]]=CurrentSprint),Tasks[[#This Row],[_Row]],"")</f>
        <v/>
      </c>
    </row>
    <row r="181" customFormat="false" ht="15" hidden="false" customHeight="false" outlineLevel="0" collapsed="false">
      <c r="A181" s="28" t="str">
        <f aca="false">IF(Tasks[[#This Row],[Task Name]]="","",COUNTA(Tasks[[#Headers],[Task Name]]:Tasks[[#This Row],[Task Name]])-1)</f>
        <v/>
      </c>
      <c r="B181" s="29" t="n">
        <v>176</v>
      </c>
      <c r="C1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29"/>
      <c r="E181" s="30"/>
      <c r="F181" s="29"/>
      <c r="G181" s="29"/>
      <c r="H181" s="29"/>
      <c r="I181" s="29"/>
      <c r="J181" s="29"/>
      <c r="K181" s="29"/>
      <c r="L181" s="29"/>
      <c r="M181" s="29"/>
      <c r="N181" s="77"/>
      <c r="O181" s="77"/>
      <c r="P181" s="25" t="str">
        <f aca="false">IF(Tasks[[#This Row],[Task Name]]="","",IF(N(Tasks[[#This Row],[Baseline Start]])&gt;0,Tasks[[#This Row],[Baseline Start]],Tasks[[#This Row],[_CalcStart]]))</f>
        <v/>
      </c>
      <c r="Q181" s="25" t="str">
        <f aca="false">IF(Tasks[[#This Row],[Task Name]]="","",IF(N(Tasks[[#This Row],[Baseline Finish]])&gt;0,Tasks[[#This Row],[Baseline Finish]],Tasks[[#This Row],[_CalcFinish]]))</f>
        <v/>
      </c>
      <c r="R181" s="77"/>
      <c r="S181" s="77"/>
      <c r="T181" s="25" t="str">
        <f aca="false">IF(Tasks[[#This Row],[Task Name]]="","",IF(Tasks[[#This Row],[_IsSummary]],MIN(INDEX(Tasks[_LeafFcstStart],Tasks[[#This Row],[_Row]]+1):INDEX(Tasks[_LeafFcstStart],Tasks[[#This Row],[_Row]]+Tasks[[#This Row],[_Descendants]])),Tasks[[#This Row],[_LeafFcstStart]]))</f>
        <v/>
      </c>
      <c r="U181" s="25" t="str">
        <f aca="false">IF(Tasks[[#This Row],[Task Name]]="","",IF(Tasks[[#This Row],[_IsSummary]],MAX(INDEX(Tasks[_LeafFcstFinish],Tasks[[#This Row],[_Row]]+1):INDEX(Tasks[_LeafFcstFinish],Tasks[[#This Row],[_Row]]+Tasks[[#This Row],[_Descendants]])),Tasks[[#This Row],[_LeafFcstFinish]]))</f>
        <v/>
      </c>
      <c r="V18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1" s="25" t="str">
        <f aca="false">IF(Tasks[[#This Row],[Task Name]]="","",IF(Tasks[[#This Row],[_IsSummary]],MIN(INDEX(Tasks[_LeafLateStart],Tasks[[#This Row],[_Row]]+1):INDEX(Tasks[_LeafLateStart],Tasks[[#This Row],[_Row]]+Tasks[[#This Row],[_Descendants]])),Tasks[[#This Row],[_LeafLateStart]]))</f>
        <v/>
      </c>
      <c r="Y181" s="25" t="str">
        <f aca="false">IF(Tasks[[#This Row],[Task Name]]="","",IF(Tasks[[#This Row],[_IsSummary]],MAX(INDEX(Tasks[_LeafLateFinish],Tasks[[#This Row],[_Row]]+1):INDEX(Tasks[_LeafLateFinish],Tasks[[#This Row],[_Row]]+Tasks[[#This Row],[_Descendants]])),Tasks[[#This Row],[_LeafLateFinish]]))</f>
        <v/>
      </c>
      <c r="Z181" s="43" t="str">
        <f aca="false">IF(Tasks[[#This Row],[Task Name]]="","",IF(Tasks[[#This Row],[_IsSummary]],MIN(INDEX(Tasks[_LeafTotalSlack],Tasks[[#This Row],[_Row]]+1):INDEX(Tasks[_LeafTotalSlack],Tasks[[#This Row],[_Row]]+Tasks[[#This Row],[_Descendants]])),Tasks[[#This Row],[_LeafTotalSlack]]))</f>
        <v/>
      </c>
      <c r="AA1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1" s="28" t="str">
        <f aca="false">IF(Tasks[[#This Row],[Task Name]]="","",IF(IF(Tasks[[#This Row],[_IsSummary]],COUNTIF(INDEX(Tasks[_LeafCritical],Tasks[[#This Row],[_Row]]+1):INDEX(Tasks[_LeafCritical],Tasks[[#This Row],[_Row]]+Tasks[[#This Row],[_Descendants]]),TRUE())&gt;0,Tasks[[#This Row],[_LeafCritical]]),"Yes",""))</f>
        <v/>
      </c>
      <c r="AC1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1" s="24" t="str">
        <f aca="false">IF(Tasks[[#This Row],[Task Name]]="","",TRIM(IF(Tasks[[#This Row],[_Pred1Problem]]&lt;&gt;"","Pred 1: "&amp;Tasks[[#This Row],[_Pred1Problem]]&amp;". ","")&amp;IF(Tasks[[#This Row],[_Pred2Problem]]&lt;&gt;"","Pred 2: "&amp;Tasks[[#This Row],[_Pred2Problem]]&amp;".","")))</f>
        <v/>
      </c>
      <c r="AE181" s="91"/>
      <c r="AF18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1" s="28" t="str">
        <f aca="false">IF(Tasks[[#This Row],[Task Name]]="","",IF(Tasks[[#This Row],[Progress]]&gt;=1,"Complete",IF(OR(N(Tasks[[#This Row],[Actual Start]])&gt;0,Tasks[[#This Row],[Progress]]&gt;0),IF(Tasks[[#This Row],[Finish Var]]&gt;0,"Behind","In Progress"),IF(Tasks[[#This Row],[Planned Start]]&lt;StatusDate,"Late Start","Not Started"))))</f>
        <v/>
      </c>
      <c r="AH181" s="30"/>
      <c r="AI181" s="91"/>
      <c r="AJ18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1" s="98" t="str">
        <f aca="false">IF(Tasks[[#This Row],[Task Name]]="","",IF(Tasks[[#This Row],[_IsSummary]],SUM(INDEX(Tasks[_LeafWork],Tasks[[#This Row],[_Row]]+1):INDEX(Tasks[_LeafWork],Tasks[[#This Row],[_Row]]+Tasks[[#This Row],[_Descendants]])),Tasks[[#This Row],[_LeafWork]]))</f>
        <v/>
      </c>
      <c r="AL181" s="99" t="str">
        <f aca="false">IF(Tasks[[#This Row],[Task Name]]="","",IF(Tasks[[#This Row],[_IsSummary]],SUM(INDEX(Tasks[_LeafCost],Tasks[[#This Row],[_Row]]+1):INDEX(Tasks[_LeafCost],Tasks[[#This Row],[_Row]]+Tasks[[#This Row],[_Descendants]])),Tasks[[#This Row],[_LeafCost]]))</f>
        <v/>
      </c>
      <c r="AM181" s="100"/>
      <c r="AN181" s="29"/>
      <c r="AO1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1" s="85"/>
      <c r="AQ181" s="24" t="str">
        <f aca="false">IF(Tasks[[#This Row],[Task Name]]="","",Tasks[[#This Row],[_Pred1IDText]]&amp;IF(AND(Tasks[[#This Row],[_Pred1IDText]]&lt;&gt;"",Tasks[[#This Row],[_Pred2IDText]]&lt;&gt;""),",","")&amp;Tasks[[#This Row],[_Pred2IDText]])</f>
        <v/>
      </c>
      <c r="AR181" s="30"/>
      <c r="AS181" s="25" t="str">
        <f aca="false">IF(Tasks[[#This Row],[Task Name]]="","",Tasks[[#This Row],[Forecast Start]])</f>
        <v/>
      </c>
      <c r="AT181" s="25" t="str">
        <f aca="false">IF(Tasks[[#This Row],[Task Name]]="","",Tasks[[#This Row],[Forecast Finish]])</f>
        <v/>
      </c>
      <c r="AU181" s="28" t="str">
        <f aca="false">IF(Tasks[[#This Row],[Task Name]]="","",IF(Tasks[[#This Row],[_IsSummary]],NETWORKDAYS.INTL(Tasks[[#This Row],[Forecast Start]],Tasks[[#This Row],[Forecast Finish]],WorkWeek,Holidays),N(Tasks[[#This Row],[Duration]])))</f>
        <v/>
      </c>
      <c r="AV181" s="98" t="str">
        <f aca="false">IF(Tasks[[#This Row],[Task Name]]="","",Tasks[[#This Row],[Work]])</f>
        <v/>
      </c>
      <c r="AW181" s="99" t="str">
        <f aca="false">IF(Tasks[[#This Row],[Task Name]]="","",Tasks[[#This Row],[Cost]])</f>
        <v/>
      </c>
      <c r="AX181" s="77"/>
      <c r="AY181" s="77"/>
      <c r="AZ181" s="29"/>
      <c r="BA181" s="101"/>
      <c r="BB181" s="100"/>
      <c r="BC181" s="28" t="str">
        <f aca="false">IF(OR(Tasks[[#This Row],[Task Name]]="",Tasks[[#This Row],[Baseline Duration]]=""),"",Tasks[[#This Row],[BL Source Duration]]-N(Tasks[[#This Row],[Baseline Duration]]))</f>
        <v/>
      </c>
      <c r="BD181" s="98" t="str">
        <f aca="false">IF(OR(Tasks[[#This Row],[Task Name]]="",Tasks[[#This Row],[Baseline Work]]=""),"",Tasks[[#This Row],[Work]]-N(Tasks[[#This Row],[Baseline Work]]))</f>
        <v/>
      </c>
      <c r="BE181" s="99" t="str">
        <f aca="false">IF(OR(Tasks[[#This Row],[Task Name]]="",Tasks[[#This Row],[Baseline Cost]]=""),"",Tasks[[#This Row],[Cost]]-N(Tasks[[#This Row],[Baseline Cost]]))</f>
        <v/>
      </c>
      <c r="BF181" s="99" t="str">
        <f aca="false">IF(Tasks[[#This Row],[Task Name]]="","",IF(Tasks[[#This Row],[_IsSummary]],SUM(INDEX(Tasks[_LeafBudget],Tasks[[#This Row],[_Row]]+1):INDEX(Tasks[_LeafBudget],Tasks[[#This Row],[_Row]]+Tasks[[#This Row],[_Descendants]])),Tasks[[#This Row],[_LeafBudget]]))</f>
        <v/>
      </c>
      <c r="BG181" s="99" t="str">
        <f aca="false">IF(Tasks[[#This Row],[Task Name]]="","",IF(Tasks[[#This Row],[_IsSummary]],SUM(INDEX(Tasks[_LeafPV],Tasks[[#This Row],[_Row]]+1):INDEX(Tasks[_LeafPV],Tasks[[#This Row],[_Row]]+Tasks[[#This Row],[_Descendants]])),Tasks[[#This Row],[_LeafPV]]))</f>
        <v/>
      </c>
      <c r="BH181" s="99" t="str">
        <f aca="false">IF(Tasks[[#This Row],[Task Name]]="","",IF(Tasks[[#This Row],[_IsSummary]],SUM(INDEX(Tasks[_LeafEV],Tasks[[#This Row],[_Row]]+1):INDEX(Tasks[_LeafEV],Tasks[[#This Row],[_Row]]+Tasks[[#This Row],[_Descendants]])),Tasks[[#This Row],[_LeafEV]]))</f>
        <v/>
      </c>
      <c r="BI181" s="99" t="str">
        <f aca="false">IF(Tasks[[#This Row],[Task Name]]="","",IF(Tasks[[#This Row],[_IsSummary]],SUM(INDEX(Tasks[_LeafAC],Tasks[[#This Row],[_Row]]+1):INDEX(Tasks[_LeafAC],Tasks[[#This Row],[_Row]]+Tasks[[#This Row],[_Descendants]])),Tasks[[#This Row],[_LeafAC]]))</f>
        <v/>
      </c>
      <c r="BJ181" s="41" t="str">
        <f aca="false">IF(Tasks[[#This Row],[Task Name]]="","",MAX(1,N(Tasks[[#This Row],[Level]])))</f>
        <v/>
      </c>
      <c r="BK181" s="41" t="n">
        <f aca="false">ROW()-ROW(Tasks[[#Headers],[ID]])</f>
        <v>176</v>
      </c>
      <c r="BL181" s="41" t="n">
        <f aca="false">IF(OR(Tasks[[#This Row],[Task Name]]="",Tasks[[#This Row],[_Level]]&lt;=1),0,IFERROR(LOOKUP(2,1/(Tasks[[#Headers],[_Level]]:Tasks[[#This Row],[_Level]]=Tasks[[#This Row],[_Level]]-1),ROW(Tasks[[#Headers],[_Level]]:Tasks[[#This Row],[_Level]])),0))</f>
        <v>0</v>
      </c>
      <c r="BM181" s="41" t="n">
        <f aca="false">IFERROR(N(INDEX(Tasks[_Level],Tasks[[#This Row],[_Row]]+1)),0)</f>
        <v>0</v>
      </c>
      <c r="BN181" s="102" t="b">
        <f aca="false">AND(Tasks[[#This Row],[Task Name]]&lt;&gt;"",Tasks[[#This Row],[_NextLevel]]&gt;Tasks[[#This Row],[_Level]])</f>
        <v>0</v>
      </c>
      <c r="BO181" s="41" t="n">
        <f aca="false">IF(Tasks[[#This Row],[_IsSummary]],COUNTIF(Tasks[WBS],Tasks[[#This Row],[WBS]]&amp;".*"),0)</f>
        <v>0</v>
      </c>
      <c r="BP181" s="41" t="n">
        <f aca="false">IF(AND(Tasks[[#This Row],[Task Name]]&lt;&gt;"",NOT(Tasks[[#This Row],[_IsSummary]])),1,0)</f>
        <v>0</v>
      </c>
      <c r="BQ181" s="41" t="n">
        <f aca="false">IF(N(Tasks[[#This Row],[Pred1 UID]])=0,0,IFERROR(MATCH(Tasks[[#This Row],[Pred1 UID]],Tasks[UID],0),-1))</f>
        <v>0</v>
      </c>
      <c r="BR181" s="41" t="n">
        <f aca="false">IF(N(Tasks[[#This Row],[Pred2 UID]])=0,0,IFERROR(MATCH(Tasks[[#This Row],[Pred2 UID]],Tasks[UID],0),-1))</f>
        <v>0</v>
      </c>
      <c r="BS18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1" s="103" t="str">
        <f aca="false">IF(NOT(Tasks[[#This Row],[_IsLeaf]]=1),"",IF(N(Tasks[[#This Row],[Duration]])&lt;=0,Tasks[[#This Row],[_LeafCalcStart]],WORKDAY.INTL(Tasks[[#This Row],[_LeafCalcStart]],Tasks[[#This Row],[Duration]]-1,WorkWeek,Holidays)))</f>
        <v/>
      </c>
      <c r="BU18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1" s="41" t="n">
        <f aca="false">IF(NOT(Tasks[[#This Row],[_IsLeaf]]=1),0,IF(N(Tasks[[#This Row],[Actual Finish]])&gt;0,1,MIN(1,N(Tasks[[#This Row],[% Complete]]))))</f>
        <v>0</v>
      </c>
      <c r="BX181" s="41" t="n">
        <f aca="false">IF(OR(NOT(Tasks[[#This Row],[_IsLeaf]]=1),Tasks[[#This Row],[Resource]]=""),0,N(Tasks[[#This Row],[Duration]])*HoursPerDay*IF(Tasks[[#This Row],[Units]]="",DefaultUnits,Tasks[[#This Row],[Units]]))</f>
        <v>0</v>
      </c>
      <c r="BY181" s="41" t="n">
        <f aca="false">IF(Tasks[[#This Row],[_LeafWork]]=0,0,Tasks[[#This Row],[_LeafWork]]*IFERROR(INDEX(res_Rate,MATCH(Tasks[[#This Row],[Resource]],res_Name,0)),0))</f>
        <v>0</v>
      </c>
      <c r="BZ1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1" s="41" t="n">
        <f aca="false">IF(NOT(Tasks[[#This Row],[_IsLeaf]]=1),0,MAX(_xlfn.MAXIFS(Tasks[_Row],Tasks[Pred1 UID],Tasks[[#This Row],[UID]]),_xlfn.MAXIFS(Tasks[_Row],Tasks[Pred2 UID],Tasks[[#This Row],[UID]])))</f>
        <v>0</v>
      </c>
      <c r="CE18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1" s="103" t="str">
        <f aca="false">IF(NOT(Tasks[[#This Row],[_IsLeaf]]=1),"",MIN(ProjectFinish,IF(N(Tasks[[#This Row],[Deadline]])&gt;0,Tasks[[#This Row],[Deadline]],2958465),Tasks[[#This Row],[_SuccessorFinishLimit]]))</f>
        <v/>
      </c>
      <c r="CG181" s="103" t="str">
        <f aca="false">IF(NOT(Tasks[[#This Row],[_IsLeaf]]=1),"",IF(N(Tasks[[#This Row],[Duration]])&lt;=0,Tasks[[#This Row],[_LeafLateFinish]],WORKDAY.INTL(Tasks[[#This Row],[_LeafLateFinish]],-(Tasks[[#This Row],[Duration]]-1),WorkWeek,Holidays)))</f>
        <v/>
      </c>
      <c r="CH1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1" s="102" t="b">
        <f aca="false">AND(Tasks[[#This Row],[_IsLeaf]]=1,Tasks[[#This Row],[_LeafProgress]]&lt;1,N(Tasks[[#This Row],[_LeafTotalSlack]])&lt;=CriticalSlackDays)</f>
        <v>0</v>
      </c>
      <c r="CJ181" s="103" t="str">
        <f aca="false">IF(Tasks[[#This Row],[Task Name]]="","",IF(Tasks[[#This Row],[_IsSummary]],MIN(INDEX(Tasks[_LeafCalcStart],Tasks[[#This Row],[_Row]]+1):INDEX(Tasks[_LeafCalcStart],Tasks[[#This Row],[_Row]]+Tasks[[#This Row],[_Descendants]])),Tasks[[#This Row],[_LeafCalcStart]]))</f>
        <v/>
      </c>
      <c r="CK181" s="103" t="str">
        <f aca="false">IF(Tasks[[#This Row],[Task Name]]="","",IF(Tasks[[#This Row],[_IsSummary]],MAX(INDEX(Tasks[_LeafCalcFinish],Tasks[[#This Row],[_Row]]+1):INDEX(Tasks[_LeafCalcFinish],Tasks[[#This Row],[_Row]]+Tasks[[#This Row],[_Descendants]])),Tasks[[#This Row],[_LeafCalcFinish]]))</f>
        <v/>
      </c>
      <c r="CL1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1" s="41" t="n">
        <f aca="false">IF(AND(Tasks[[#This Row],[_IsLeaf]]=1,Tasks[[#This Row],[_LeafWork]]&gt;0),NETWORKDAYS.INTL(ProjectStart,Tasks[[#This Row],[_LeafFcstStart]],WorkWeek,Holidays),0)</f>
        <v>0</v>
      </c>
      <c r="CS181" s="41" t="n">
        <f aca="false">IF(AND(Tasks[[#This Row],[_IsLeaf]]=1,Tasks[[#This Row],[_LeafWork]]&gt;0),MAX(Tasks[[#This Row],[_StartWorkday]],NETWORKDAYS.INTL(ProjectStart,Tasks[[#This Row],[_LeafFcstFinish]],WorkWeek,Holidays)),0)</f>
        <v>0</v>
      </c>
      <c r="CT181" s="41" t="n">
        <f aca="false">IF(AND(Tasks[[#This Row],[_IsLeaf]]=1,Tasks[[#This Row],[_LeafWork]]&gt;0),Tasks[[#This Row],[_LeafWork]]/(Tasks[[#This Row],[_FinishWorkday]]-Tasks[[#This Row],[_StartWorkday]]+1),0)</f>
        <v>0</v>
      </c>
      <c r="CU181" s="41" t="n">
        <f aca="false">Tasks[[#This Row],[_WorkPerWorkday]]*(Tasks[[#This Row],[_StartWorkday]]-1)</f>
        <v>-0</v>
      </c>
      <c r="CV181" s="41" t="n">
        <f aca="false">IF(Tasks[[#This Row],[_IsLeaf]]=1,MAX(N(Tasks[[#This Row],[Duration]]),0.1),0)</f>
        <v>0</v>
      </c>
      <c r="CW181" s="41" t="n">
        <f aca="false">Tasks[[#This Row],[_WeightDur]]*Tasks[[#This Row],[_LeafProgress]]</f>
        <v>0</v>
      </c>
      <c r="CX1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1" s="41" t="str">
        <f aca="false">IF(Tasks[[#This Row],[Task Name]]="","",Tasks[[#This Row],[_Pred1UIDText]]&amp;IF(AND(Tasks[[#This Row],[_Pred1UIDText]]&lt;&gt;"",Tasks[[#This Row],[_Pred2UIDText]]&lt;&gt;""),",","")&amp;Tasks[[#This Row],[_Pred2UIDText]])</f>
        <v/>
      </c>
      <c r="DC181" s="41" t="str">
        <f aca="false">IF(AND(Tasks[[#This Row],[_IsLeaf]]=1,N(Tasks[[#This Row],[Duration]])=0,Tasks[[#This Row],[_LeafProgress]]&lt;1),Tasks[[#This Row],[_LeafFcstFinish]]+Tasks[[#This Row],[_Row]]/100000,"")</f>
        <v/>
      </c>
      <c r="DD1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1" s="41" t="n">
        <f aca="false">IF(NOT(Tasks[[#This Row],[_IsLeaf]]=1),0,IF(Tasks[[#This Row],[Baseline Cost]]="",Tasks[[#This Row],[_LeafCost]],N(Tasks[[#This Row],[Baseline Cost]])))</f>
        <v>0</v>
      </c>
      <c r="DF181" s="41" t="n">
        <f aca="false">Tasks[[#This Row],[_LeafBudget]]*Tasks[[#This Row],[_PlannedPct]]</f>
        <v>0</v>
      </c>
      <c r="DG181" s="41" t="n">
        <f aca="false">Tasks[[#This Row],[_LeafBudget]]*Tasks[[#This Row],[_LeafProgress]]</f>
        <v>0</v>
      </c>
      <c r="DH181" s="41" t="n">
        <f aca="false">IF(NOT(Tasks[[#This Row],[_IsLeaf]]=1),0,IF(Tasks[[#This Row],[Actual Cost]]="",Tasks[[#This Row],[_LeafCost]]*Tasks[[#This Row],[_LeafProgress]],N(Tasks[[#This Row],[Actual Cost]])))</f>
        <v>0</v>
      </c>
      <c r="DI181" s="41" t="str">
        <f aca="false">IF(Tasks[[#This Row],[Task Name]]="","",LEFT(Tasks[[#This Row],[WBS]],FIND(".",Tasks[[#This Row],[WBS]]&amp;".")-1))</f>
        <v/>
      </c>
      <c r="DJ181" s="41" t="str">
        <f aca="false">IF(AND(Tasks[[#This Row],[Task Name]]&lt;&gt;"",Tasks[[#This Row],[_Level]]=1),Tasks[[#This Row],[_Row]],"")</f>
        <v/>
      </c>
      <c r="DK181" s="41" t="str">
        <f aca="false">IF(AND(Tasks[[#This Row],[_IsLeaf]]=1,N(Tasks[[#This Row],[Duration]])=0),Tasks[[#This Row],[Planned Finish]]+Tasks[[#This Row],[_Row]]/100000,"")</f>
        <v/>
      </c>
      <c r="DL181" s="41" t="str">
        <f aca="false">IF(AND(Tasks[[#This Row],[_IsLeaf]]=1,Tasks[[#This Row],[_LeafProgress]]&lt;1,OR(N(Tasks[[#This Row],[Finish Var]])&gt;0,Tasks[[#This Row],[Status]]="Late Start")),MAX(0,Tasks[[#This Row],[Finish Var]])+1-Tasks[[#This Row],[_Row]]/1000000,"")</f>
        <v/>
      </c>
      <c r="DM181" s="41" t="str">
        <f aca="false">IF(AND(Tasks[[#This Row],[_IsLeaf]]=1,N(Tasks[[#This Row],[Actual Start]])=0,Tasks[[#This Row],[_LeafFcstStart]]&gt;=StatusDate,Tasks[[#This Row],[_LeafFcstStart]]&lt;=LookaheadEnd),Tasks[[#This Row],[_LeafFcstStart]]+Tasks[[#This Row],[_Row]]/100000,"")</f>
        <v/>
      </c>
      <c r="DN181" s="41" t="str">
        <f aca="false">IF(AND(Tasks[[#This Row],[_IsLeaf]]=1,Tasks[[#This Row],[_LeafProgress]]&lt;1,Tasks[[#This Row],[_LeafFcstFinish]]&gt;=StatusDate,Tasks[[#This Row],[_LeafFcstFinish]]&lt;=LookaheadEnd),Tasks[[#This Row],[_LeafFcstFinish]]+Tasks[[#This Row],[_Row]]/100000,"")</f>
        <v/>
      </c>
      <c r="DO181" s="41" t="str">
        <f aca="false">IF(Tasks[[#This Row],[_LeafCritical]],Tasks[[#This Row],[_LeafFcstStart]]+Tasks[[#This Row],[_Row]]/100000,"")</f>
        <v/>
      </c>
      <c r="DP181" s="41" t="n">
        <f aca="false">Tasks[[#This Row],[_LeafWork]]*Tasks[[#This Row],[_LeafProgress]]</f>
        <v>0</v>
      </c>
      <c r="DQ181" s="103" t="str">
        <f aca="false">IF(AND(Tasks[[#This Row],[_IsLeaf]]=1,Tasks[[#This Row],[_LeafProgress]]&gt;=1),IF(N(Tasks[[#This Row],[Actual Finish]])&gt;0,Tasks[[#This Row],[Actual Finish]],Tasks[[#This Row],[_LeafFcstFinish]]),"")</f>
        <v/>
      </c>
      <c r="DR181" s="41" t="n">
        <f aca="false">IF(Tasks[[#This Row],[_IsLeaf]]=1,N(Tasks[[#This Row],[Story Points]]),0)</f>
        <v>0</v>
      </c>
      <c r="DS181" s="41" t="str">
        <f aca="false">IF(AND(Tasks[[#This Row],[_IsLeaf]]=1,CurrentSprint&lt;&gt;"",Tasks[[#This Row],[Sprint]]=CurrentSprint),Tasks[[#This Row],[_Row]],"")</f>
        <v/>
      </c>
    </row>
    <row r="182" customFormat="false" ht="15" hidden="false" customHeight="false" outlineLevel="0" collapsed="false">
      <c r="A182" s="28" t="str">
        <f aca="false">IF(Tasks[[#This Row],[Task Name]]="","",COUNTA(Tasks[[#Headers],[Task Name]]:Tasks[[#This Row],[Task Name]])-1)</f>
        <v/>
      </c>
      <c r="B182" s="29" t="n">
        <v>177</v>
      </c>
      <c r="C1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29"/>
      <c r="E182" s="30"/>
      <c r="F182" s="29"/>
      <c r="G182" s="29"/>
      <c r="H182" s="29"/>
      <c r="I182" s="29"/>
      <c r="J182" s="29"/>
      <c r="K182" s="29"/>
      <c r="L182" s="29"/>
      <c r="M182" s="29"/>
      <c r="N182" s="77"/>
      <c r="O182" s="77"/>
      <c r="P182" s="25" t="str">
        <f aca="false">IF(Tasks[[#This Row],[Task Name]]="","",IF(N(Tasks[[#This Row],[Baseline Start]])&gt;0,Tasks[[#This Row],[Baseline Start]],Tasks[[#This Row],[_CalcStart]]))</f>
        <v/>
      </c>
      <c r="Q182" s="25" t="str">
        <f aca="false">IF(Tasks[[#This Row],[Task Name]]="","",IF(N(Tasks[[#This Row],[Baseline Finish]])&gt;0,Tasks[[#This Row],[Baseline Finish]],Tasks[[#This Row],[_CalcFinish]]))</f>
        <v/>
      </c>
      <c r="R182" s="77"/>
      <c r="S182" s="77"/>
      <c r="T182" s="25" t="str">
        <f aca="false">IF(Tasks[[#This Row],[Task Name]]="","",IF(Tasks[[#This Row],[_IsSummary]],MIN(INDEX(Tasks[_LeafFcstStart],Tasks[[#This Row],[_Row]]+1):INDEX(Tasks[_LeafFcstStart],Tasks[[#This Row],[_Row]]+Tasks[[#This Row],[_Descendants]])),Tasks[[#This Row],[_LeafFcstStart]]))</f>
        <v/>
      </c>
      <c r="U182" s="25" t="str">
        <f aca="false">IF(Tasks[[#This Row],[Task Name]]="","",IF(Tasks[[#This Row],[_IsSummary]],MAX(INDEX(Tasks[_LeafFcstFinish],Tasks[[#This Row],[_Row]]+1):INDEX(Tasks[_LeafFcstFinish],Tasks[[#This Row],[_Row]]+Tasks[[#This Row],[_Descendants]])),Tasks[[#This Row],[_LeafFcstFinish]]))</f>
        <v/>
      </c>
      <c r="V18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2" s="25" t="str">
        <f aca="false">IF(Tasks[[#This Row],[Task Name]]="","",IF(Tasks[[#This Row],[_IsSummary]],MIN(INDEX(Tasks[_LeafLateStart],Tasks[[#This Row],[_Row]]+1):INDEX(Tasks[_LeafLateStart],Tasks[[#This Row],[_Row]]+Tasks[[#This Row],[_Descendants]])),Tasks[[#This Row],[_LeafLateStart]]))</f>
        <v/>
      </c>
      <c r="Y182" s="25" t="str">
        <f aca="false">IF(Tasks[[#This Row],[Task Name]]="","",IF(Tasks[[#This Row],[_IsSummary]],MAX(INDEX(Tasks[_LeafLateFinish],Tasks[[#This Row],[_Row]]+1):INDEX(Tasks[_LeafLateFinish],Tasks[[#This Row],[_Row]]+Tasks[[#This Row],[_Descendants]])),Tasks[[#This Row],[_LeafLateFinish]]))</f>
        <v/>
      </c>
      <c r="Z182" s="43" t="str">
        <f aca="false">IF(Tasks[[#This Row],[Task Name]]="","",IF(Tasks[[#This Row],[_IsSummary]],MIN(INDEX(Tasks[_LeafTotalSlack],Tasks[[#This Row],[_Row]]+1):INDEX(Tasks[_LeafTotalSlack],Tasks[[#This Row],[_Row]]+Tasks[[#This Row],[_Descendants]])),Tasks[[#This Row],[_LeafTotalSlack]]))</f>
        <v/>
      </c>
      <c r="AA1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2" s="28" t="str">
        <f aca="false">IF(Tasks[[#This Row],[Task Name]]="","",IF(IF(Tasks[[#This Row],[_IsSummary]],COUNTIF(INDEX(Tasks[_LeafCritical],Tasks[[#This Row],[_Row]]+1):INDEX(Tasks[_LeafCritical],Tasks[[#This Row],[_Row]]+Tasks[[#This Row],[_Descendants]]),TRUE())&gt;0,Tasks[[#This Row],[_LeafCritical]]),"Yes",""))</f>
        <v/>
      </c>
      <c r="AC1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2" s="24" t="str">
        <f aca="false">IF(Tasks[[#This Row],[Task Name]]="","",TRIM(IF(Tasks[[#This Row],[_Pred1Problem]]&lt;&gt;"","Pred 1: "&amp;Tasks[[#This Row],[_Pred1Problem]]&amp;". ","")&amp;IF(Tasks[[#This Row],[_Pred2Problem]]&lt;&gt;"","Pred 2: "&amp;Tasks[[#This Row],[_Pred2Problem]]&amp;".","")))</f>
        <v/>
      </c>
      <c r="AE182" s="91"/>
      <c r="AF18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2" s="28" t="str">
        <f aca="false">IF(Tasks[[#This Row],[Task Name]]="","",IF(Tasks[[#This Row],[Progress]]&gt;=1,"Complete",IF(OR(N(Tasks[[#This Row],[Actual Start]])&gt;0,Tasks[[#This Row],[Progress]]&gt;0),IF(Tasks[[#This Row],[Finish Var]]&gt;0,"Behind","In Progress"),IF(Tasks[[#This Row],[Planned Start]]&lt;StatusDate,"Late Start","Not Started"))))</f>
        <v/>
      </c>
      <c r="AH182" s="30"/>
      <c r="AI182" s="91"/>
      <c r="AJ18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2" s="98" t="str">
        <f aca="false">IF(Tasks[[#This Row],[Task Name]]="","",IF(Tasks[[#This Row],[_IsSummary]],SUM(INDEX(Tasks[_LeafWork],Tasks[[#This Row],[_Row]]+1):INDEX(Tasks[_LeafWork],Tasks[[#This Row],[_Row]]+Tasks[[#This Row],[_Descendants]])),Tasks[[#This Row],[_LeafWork]]))</f>
        <v/>
      </c>
      <c r="AL182" s="99" t="str">
        <f aca="false">IF(Tasks[[#This Row],[Task Name]]="","",IF(Tasks[[#This Row],[_IsSummary]],SUM(INDEX(Tasks[_LeafCost],Tasks[[#This Row],[_Row]]+1):INDEX(Tasks[_LeafCost],Tasks[[#This Row],[_Row]]+Tasks[[#This Row],[_Descendants]])),Tasks[[#This Row],[_LeafCost]]))</f>
        <v/>
      </c>
      <c r="AM182" s="100"/>
      <c r="AN182" s="29"/>
      <c r="AO1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2" s="85"/>
      <c r="AQ182" s="24" t="str">
        <f aca="false">IF(Tasks[[#This Row],[Task Name]]="","",Tasks[[#This Row],[_Pred1IDText]]&amp;IF(AND(Tasks[[#This Row],[_Pred1IDText]]&lt;&gt;"",Tasks[[#This Row],[_Pred2IDText]]&lt;&gt;""),",","")&amp;Tasks[[#This Row],[_Pred2IDText]])</f>
        <v/>
      </c>
      <c r="AR182" s="30"/>
      <c r="AS182" s="25" t="str">
        <f aca="false">IF(Tasks[[#This Row],[Task Name]]="","",Tasks[[#This Row],[Forecast Start]])</f>
        <v/>
      </c>
      <c r="AT182" s="25" t="str">
        <f aca="false">IF(Tasks[[#This Row],[Task Name]]="","",Tasks[[#This Row],[Forecast Finish]])</f>
        <v/>
      </c>
      <c r="AU182" s="28" t="str">
        <f aca="false">IF(Tasks[[#This Row],[Task Name]]="","",IF(Tasks[[#This Row],[_IsSummary]],NETWORKDAYS.INTL(Tasks[[#This Row],[Forecast Start]],Tasks[[#This Row],[Forecast Finish]],WorkWeek,Holidays),N(Tasks[[#This Row],[Duration]])))</f>
        <v/>
      </c>
      <c r="AV182" s="98" t="str">
        <f aca="false">IF(Tasks[[#This Row],[Task Name]]="","",Tasks[[#This Row],[Work]])</f>
        <v/>
      </c>
      <c r="AW182" s="99" t="str">
        <f aca="false">IF(Tasks[[#This Row],[Task Name]]="","",Tasks[[#This Row],[Cost]])</f>
        <v/>
      </c>
      <c r="AX182" s="77"/>
      <c r="AY182" s="77"/>
      <c r="AZ182" s="29"/>
      <c r="BA182" s="101"/>
      <c r="BB182" s="100"/>
      <c r="BC182" s="28" t="str">
        <f aca="false">IF(OR(Tasks[[#This Row],[Task Name]]="",Tasks[[#This Row],[Baseline Duration]]=""),"",Tasks[[#This Row],[BL Source Duration]]-N(Tasks[[#This Row],[Baseline Duration]]))</f>
        <v/>
      </c>
      <c r="BD182" s="98" t="str">
        <f aca="false">IF(OR(Tasks[[#This Row],[Task Name]]="",Tasks[[#This Row],[Baseline Work]]=""),"",Tasks[[#This Row],[Work]]-N(Tasks[[#This Row],[Baseline Work]]))</f>
        <v/>
      </c>
      <c r="BE182" s="99" t="str">
        <f aca="false">IF(OR(Tasks[[#This Row],[Task Name]]="",Tasks[[#This Row],[Baseline Cost]]=""),"",Tasks[[#This Row],[Cost]]-N(Tasks[[#This Row],[Baseline Cost]]))</f>
        <v/>
      </c>
      <c r="BF182" s="99" t="str">
        <f aca="false">IF(Tasks[[#This Row],[Task Name]]="","",IF(Tasks[[#This Row],[_IsSummary]],SUM(INDEX(Tasks[_LeafBudget],Tasks[[#This Row],[_Row]]+1):INDEX(Tasks[_LeafBudget],Tasks[[#This Row],[_Row]]+Tasks[[#This Row],[_Descendants]])),Tasks[[#This Row],[_LeafBudget]]))</f>
        <v/>
      </c>
      <c r="BG182" s="99" t="str">
        <f aca="false">IF(Tasks[[#This Row],[Task Name]]="","",IF(Tasks[[#This Row],[_IsSummary]],SUM(INDEX(Tasks[_LeafPV],Tasks[[#This Row],[_Row]]+1):INDEX(Tasks[_LeafPV],Tasks[[#This Row],[_Row]]+Tasks[[#This Row],[_Descendants]])),Tasks[[#This Row],[_LeafPV]]))</f>
        <v/>
      </c>
      <c r="BH182" s="99" t="str">
        <f aca="false">IF(Tasks[[#This Row],[Task Name]]="","",IF(Tasks[[#This Row],[_IsSummary]],SUM(INDEX(Tasks[_LeafEV],Tasks[[#This Row],[_Row]]+1):INDEX(Tasks[_LeafEV],Tasks[[#This Row],[_Row]]+Tasks[[#This Row],[_Descendants]])),Tasks[[#This Row],[_LeafEV]]))</f>
        <v/>
      </c>
      <c r="BI182" s="99" t="str">
        <f aca="false">IF(Tasks[[#This Row],[Task Name]]="","",IF(Tasks[[#This Row],[_IsSummary]],SUM(INDEX(Tasks[_LeafAC],Tasks[[#This Row],[_Row]]+1):INDEX(Tasks[_LeafAC],Tasks[[#This Row],[_Row]]+Tasks[[#This Row],[_Descendants]])),Tasks[[#This Row],[_LeafAC]]))</f>
        <v/>
      </c>
      <c r="BJ182" s="41" t="str">
        <f aca="false">IF(Tasks[[#This Row],[Task Name]]="","",MAX(1,N(Tasks[[#This Row],[Level]])))</f>
        <v/>
      </c>
      <c r="BK182" s="41" t="n">
        <f aca="false">ROW()-ROW(Tasks[[#Headers],[ID]])</f>
        <v>177</v>
      </c>
      <c r="BL182" s="41" t="n">
        <f aca="false">IF(OR(Tasks[[#This Row],[Task Name]]="",Tasks[[#This Row],[_Level]]&lt;=1),0,IFERROR(LOOKUP(2,1/(Tasks[[#Headers],[_Level]]:Tasks[[#This Row],[_Level]]=Tasks[[#This Row],[_Level]]-1),ROW(Tasks[[#Headers],[_Level]]:Tasks[[#This Row],[_Level]])),0))</f>
        <v>0</v>
      </c>
      <c r="BM182" s="41" t="n">
        <f aca="false">IFERROR(N(INDEX(Tasks[_Level],Tasks[[#This Row],[_Row]]+1)),0)</f>
        <v>0</v>
      </c>
      <c r="BN182" s="102" t="b">
        <f aca="false">AND(Tasks[[#This Row],[Task Name]]&lt;&gt;"",Tasks[[#This Row],[_NextLevel]]&gt;Tasks[[#This Row],[_Level]])</f>
        <v>0</v>
      </c>
      <c r="BO182" s="41" t="n">
        <f aca="false">IF(Tasks[[#This Row],[_IsSummary]],COUNTIF(Tasks[WBS],Tasks[[#This Row],[WBS]]&amp;".*"),0)</f>
        <v>0</v>
      </c>
      <c r="BP182" s="41" t="n">
        <f aca="false">IF(AND(Tasks[[#This Row],[Task Name]]&lt;&gt;"",NOT(Tasks[[#This Row],[_IsSummary]])),1,0)</f>
        <v>0</v>
      </c>
      <c r="BQ182" s="41" t="n">
        <f aca="false">IF(N(Tasks[[#This Row],[Pred1 UID]])=0,0,IFERROR(MATCH(Tasks[[#This Row],[Pred1 UID]],Tasks[UID],0),-1))</f>
        <v>0</v>
      </c>
      <c r="BR182" s="41" t="n">
        <f aca="false">IF(N(Tasks[[#This Row],[Pred2 UID]])=0,0,IFERROR(MATCH(Tasks[[#This Row],[Pred2 UID]],Tasks[UID],0),-1))</f>
        <v>0</v>
      </c>
      <c r="BS18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2" s="103" t="str">
        <f aca="false">IF(NOT(Tasks[[#This Row],[_IsLeaf]]=1),"",IF(N(Tasks[[#This Row],[Duration]])&lt;=0,Tasks[[#This Row],[_LeafCalcStart]],WORKDAY.INTL(Tasks[[#This Row],[_LeafCalcStart]],Tasks[[#This Row],[Duration]]-1,WorkWeek,Holidays)))</f>
        <v/>
      </c>
      <c r="BU18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2" s="41" t="n">
        <f aca="false">IF(NOT(Tasks[[#This Row],[_IsLeaf]]=1),0,IF(N(Tasks[[#This Row],[Actual Finish]])&gt;0,1,MIN(1,N(Tasks[[#This Row],[% Complete]]))))</f>
        <v>0</v>
      </c>
      <c r="BX182" s="41" t="n">
        <f aca="false">IF(OR(NOT(Tasks[[#This Row],[_IsLeaf]]=1),Tasks[[#This Row],[Resource]]=""),0,N(Tasks[[#This Row],[Duration]])*HoursPerDay*IF(Tasks[[#This Row],[Units]]="",DefaultUnits,Tasks[[#This Row],[Units]]))</f>
        <v>0</v>
      </c>
      <c r="BY182" s="41" t="n">
        <f aca="false">IF(Tasks[[#This Row],[_LeafWork]]=0,0,Tasks[[#This Row],[_LeafWork]]*IFERROR(INDEX(res_Rate,MATCH(Tasks[[#This Row],[Resource]],res_Name,0)),0))</f>
        <v>0</v>
      </c>
      <c r="BZ1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2" s="41" t="n">
        <f aca="false">IF(NOT(Tasks[[#This Row],[_IsLeaf]]=1),0,MAX(_xlfn.MAXIFS(Tasks[_Row],Tasks[Pred1 UID],Tasks[[#This Row],[UID]]),_xlfn.MAXIFS(Tasks[_Row],Tasks[Pred2 UID],Tasks[[#This Row],[UID]])))</f>
        <v>0</v>
      </c>
      <c r="CE18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2" s="103" t="str">
        <f aca="false">IF(NOT(Tasks[[#This Row],[_IsLeaf]]=1),"",MIN(ProjectFinish,IF(N(Tasks[[#This Row],[Deadline]])&gt;0,Tasks[[#This Row],[Deadline]],2958465),Tasks[[#This Row],[_SuccessorFinishLimit]]))</f>
        <v/>
      </c>
      <c r="CG182" s="103" t="str">
        <f aca="false">IF(NOT(Tasks[[#This Row],[_IsLeaf]]=1),"",IF(N(Tasks[[#This Row],[Duration]])&lt;=0,Tasks[[#This Row],[_LeafLateFinish]],WORKDAY.INTL(Tasks[[#This Row],[_LeafLateFinish]],-(Tasks[[#This Row],[Duration]]-1),WorkWeek,Holidays)))</f>
        <v/>
      </c>
      <c r="CH1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2" s="102" t="b">
        <f aca="false">AND(Tasks[[#This Row],[_IsLeaf]]=1,Tasks[[#This Row],[_LeafProgress]]&lt;1,N(Tasks[[#This Row],[_LeafTotalSlack]])&lt;=CriticalSlackDays)</f>
        <v>0</v>
      </c>
      <c r="CJ182" s="103" t="str">
        <f aca="false">IF(Tasks[[#This Row],[Task Name]]="","",IF(Tasks[[#This Row],[_IsSummary]],MIN(INDEX(Tasks[_LeafCalcStart],Tasks[[#This Row],[_Row]]+1):INDEX(Tasks[_LeafCalcStart],Tasks[[#This Row],[_Row]]+Tasks[[#This Row],[_Descendants]])),Tasks[[#This Row],[_LeafCalcStart]]))</f>
        <v/>
      </c>
      <c r="CK182" s="103" t="str">
        <f aca="false">IF(Tasks[[#This Row],[Task Name]]="","",IF(Tasks[[#This Row],[_IsSummary]],MAX(INDEX(Tasks[_LeafCalcFinish],Tasks[[#This Row],[_Row]]+1):INDEX(Tasks[_LeafCalcFinish],Tasks[[#This Row],[_Row]]+Tasks[[#This Row],[_Descendants]])),Tasks[[#This Row],[_LeafCalcFinish]]))</f>
        <v/>
      </c>
      <c r="CL1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2" s="41" t="n">
        <f aca="false">IF(AND(Tasks[[#This Row],[_IsLeaf]]=1,Tasks[[#This Row],[_LeafWork]]&gt;0),NETWORKDAYS.INTL(ProjectStart,Tasks[[#This Row],[_LeafFcstStart]],WorkWeek,Holidays),0)</f>
        <v>0</v>
      </c>
      <c r="CS182" s="41" t="n">
        <f aca="false">IF(AND(Tasks[[#This Row],[_IsLeaf]]=1,Tasks[[#This Row],[_LeafWork]]&gt;0),MAX(Tasks[[#This Row],[_StartWorkday]],NETWORKDAYS.INTL(ProjectStart,Tasks[[#This Row],[_LeafFcstFinish]],WorkWeek,Holidays)),0)</f>
        <v>0</v>
      </c>
      <c r="CT182" s="41" t="n">
        <f aca="false">IF(AND(Tasks[[#This Row],[_IsLeaf]]=1,Tasks[[#This Row],[_LeafWork]]&gt;0),Tasks[[#This Row],[_LeafWork]]/(Tasks[[#This Row],[_FinishWorkday]]-Tasks[[#This Row],[_StartWorkday]]+1),0)</f>
        <v>0</v>
      </c>
      <c r="CU182" s="41" t="n">
        <f aca="false">Tasks[[#This Row],[_WorkPerWorkday]]*(Tasks[[#This Row],[_StartWorkday]]-1)</f>
        <v>-0</v>
      </c>
      <c r="CV182" s="41" t="n">
        <f aca="false">IF(Tasks[[#This Row],[_IsLeaf]]=1,MAX(N(Tasks[[#This Row],[Duration]]),0.1),0)</f>
        <v>0</v>
      </c>
      <c r="CW182" s="41" t="n">
        <f aca="false">Tasks[[#This Row],[_WeightDur]]*Tasks[[#This Row],[_LeafProgress]]</f>
        <v>0</v>
      </c>
      <c r="CX1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2" s="41" t="str">
        <f aca="false">IF(Tasks[[#This Row],[Task Name]]="","",Tasks[[#This Row],[_Pred1UIDText]]&amp;IF(AND(Tasks[[#This Row],[_Pred1UIDText]]&lt;&gt;"",Tasks[[#This Row],[_Pred2UIDText]]&lt;&gt;""),",","")&amp;Tasks[[#This Row],[_Pred2UIDText]])</f>
        <v/>
      </c>
      <c r="DC182" s="41" t="str">
        <f aca="false">IF(AND(Tasks[[#This Row],[_IsLeaf]]=1,N(Tasks[[#This Row],[Duration]])=0,Tasks[[#This Row],[_LeafProgress]]&lt;1),Tasks[[#This Row],[_LeafFcstFinish]]+Tasks[[#This Row],[_Row]]/100000,"")</f>
        <v/>
      </c>
      <c r="DD1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2" s="41" t="n">
        <f aca="false">IF(NOT(Tasks[[#This Row],[_IsLeaf]]=1),0,IF(Tasks[[#This Row],[Baseline Cost]]="",Tasks[[#This Row],[_LeafCost]],N(Tasks[[#This Row],[Baseline Cost]])))</f>
        <v>0</v>
      </c>
      <c r="DF182" s="41" t="n">
        <f aca="false">Tasks[[#This Row],[_LeafBudget]]*Tasks[[#This Row],[_PlannedPct]]</f>
        <v>0</v>
      </c>
      <c r="DG182" s="41" t="n">
        <f aca="false">Tasks[[#This Row],[_LeafBudget]]*Tasks[[#This Row],[_LeafProgress]]</f>
        <v>0</v>
      </c>
      <c r="DH182" s="41" t="n">
        <f aca="false">IF(NOT(Tasks[[#This Row],[_IsLeaf]]=1),0,IF(Tasks[[#This Row],[Actual Cost]]="",Tasks[[#This Row],[_LeafCost]]*Tasks[[#This Row],[_LeafProgress]],N(Tasks[[#This Row],[Actual Cost]])))</f>
        <v>0</v>
      </c>
      <c r="DI182" s="41" t="str">
        <f aca="false">IF(Tasks[[#This Row],[Task Name]]="","",LEFT(Tasks[[#This Row],[WBS]],FIND(".",Tasks[[#This Row],[WBS]]&amp;".")-1))</f>
        <v/>
      </c>
      <c r="DJ182" s="41" t="str">
        <f aca="false">IF(AND(Tasks[[#This Row],[Task Name]]&lt;&gt;"",Tasks[[#This Row],[_Level]]=1),Tasks[[#This Row],[_Row]],"")</f>
        <v/>
      </c>
      <c r="DK182" s="41" t="str">
        <f aca="false">IF(AND(Tasks[[#This Row],[_IsLeaf]]=1,N(Tasks[[#This Row],[Duration]])=0),Tasks[[#This Row],[Planned Finish]]+Tasks[[#This Row],[_Row]]/100000,"")</f>
        <v/>
      </c>
      <c r="DL182" s="41" t="str">
        <f aca="false">IF(AND(Tasks[[#This Row],[_IsLeaf]]=1,Tasks[[#This Row],[_LeafProgress]]&lt;1,OR(N(Tasks[[#This Row],[Finish Var]])&gt;0,Tasks[[#This Row],[Status]]="Late Start")),MAX(0,Tasks[[#This Row],[Finish Var]])+1-Tasks[[#This Row],[_Row]]/1000000,"")</f>
        <v/>
      </c>
      <c r="DM182" s="41" t="str">
        <f aca="false">IF(AND(Tasks[[#This Row],[_IsLeaf]]=1,N(Tasks[[#This Row],[Actual Start]])=0,Tasks[[#This Row],[_LeafFcstStart]]&gt;=StatusDate,Tasks[[#This Row],[_LeafFcstStart]]&lt;=LookaheadEnd),Tasks[[#This Row],[_LeafFcstStart]]+Tasks[[#This Row],[_Row]]/100000,"")</f>
        <v/>
      </c>
      <c r="DN182" s="41" t="str">
        <f aca="false">IF(AND(Tasks[[#This Row],[_IsLeaf]]=1,Tasks[[#This Row],[_LeafProgress]]&lt;1,Tasks[[#This Row],[_LeafFcstFinish]]&gt;=StatusDate,Tasks[[#This Row],[_LeafFcstFinish]]&lt;=LookaheadEnd),Tasks[[#This Row],[_LeafFcstFinish]]+Tasks[[#This Row],[_Row]]/100000,"")</f>
        <v/>
      </c>
      <c r="DO182" s="41" t="str">
        <f aca="false">IF(Tasks[[#This Row],[_LeafCritical]],Tasks[[#This Row],[_LeafFcstStart]]+Tasks[[#This Row],[_Row]]/100000,"")</f>
        <v/>
      </c>
      <c r="DP182" s="41" t="n">
        <f aca="false">Tasks[[#This Row],[_LeafWork]]*Tasks[[#This Row],[_LeafProgress]]</f>
        <v>0</v>
      </c>
      <c r="DQ182" s="103" t="str">
        <f aca="false">IF(AND(Tasks[[#This Row],[_IsLeaf]]=1,Tasks[[#This Row],[_LeafProgress]]&gt;=1),IF(N(Tasks[[#This Row],[Actual Finish]])&gt;0,Tasks[[#This Row],[Actual Finish]],Tasks[[#This Row],[_LeafFcstFinish]]),"")</f>
        <v/>
      </c>
      <c r="DR182" s="41" t="n">
        <f aca="false">IF(Tasks[[#This Row],[_IsLeaf]]=1,N(Tasks[[#This Row],[Story Points]]),0)</f>
        <v>0</v>
      </c>
      <c r="DS182" s="41" t="str">
        <f aca="false">IF(AND(Tasks[[#This Row],[_IsLeaf]]=1,CurrentSprint&lt;&gt;"",Tasks[[#This Row],[Sprint]]=CurrentSprint),Tasks[[#This Row],[_Row]],"")</f>
        <v/>
      </c>
    </row>
    <row r="183" customFormat="false" ht="15" hidden="false" customHeight="false" outlineLevel="0" collapsed="false">
      <c r="A183" s="28" t="str">
        <f aca="false">IF(Tasks[[#This Row],[Task Name]]="","",COUNTA(Tasks[[#Headers],[Task Name]]:Tasks[[#This Row],[Task Name]])-1)</f>
        <v/>
      </c>
      <c r="B183" s="29" t="n">
        <v>178</v>
      </c>
      <c r="C1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29"/>
      <c r="E183" s="30"/>
      <c r="F183" s="29"/>
      <c r="G183" s="29"/>
      <c r="H183" s="29"/>
      <c r="I183" s="29"/>
      <c r="J183" s="29"/>
      <c r="K183" s="29"/>
      <c r="L183" s="29"/>
      <c r="M183" s="29"/>
      <c r="N183" s="77"/>
      <c r="O183" s="77"/>
      <c r="P183" s="25" t="str">
        <f aca="false">IF(Tasks[[#This Row],[Task Name]]="","",IF(N(Tasks[[#This Row],[Baseline Start]])&gt;0,Tasks[[#This Row],[Baseline Start]],Tasks[[#This Row],[_CalcStart]]))</f>
        <v/>
      </c>
      <c r="Q183" s="25" t="str">
        <f aca="false">IF(Tasks[[#This Row],[Task Name]]="","",IF(N(Tasks[[#This Row],[Baseline Finish]])&gt;0,Tasks[[#This Row],[Baseline Finish]],Tasks[[#This Row],[_CalcFinish]]))</f>
        <v/>
      </c>
      <c r="R183" s="77"/>
      <c r="S183" s="77"/>
      <c r="T183" s="25" t="str">
        <f aca="false">IF(Tasks[[#This Row],[Task Name]]="","",IF(Tasks[[#This Row],[_IsSummary]],MIN(INDEX(Tasks[_LeafFcstStart],Tasks[[#This Row],[_Row]]+1):INDEX(Tasks[_LeafFcstStart],Tasks[[#This Row],[_Row]]+Tasks[[#This Row],[_Descendants]])),Tasks[[#This Row],[_LeafFcstStart]]))</f>
        <v/>
      </c>
      <c r="U183" s="25" t="str">
        <f aca="false">IF(Tasks[[#This Row],[Task Name]]="","",IF(Tasks[[#This Row],[_IsSummary]],MAX(INDEX(Tasks[_LeafFcstFinish],Tasks[[#This Row],[_Row]]+1):INDEX(Tasks[_LeafFcstFinish],Tasks[[#This Row],[_Row]]+Tasks[[#This Row],[_Descendants]])),Tasks[[#This Row],[_LeafFcstFinish]]))</f>
        <v/>
      </c>
      <c r="V18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3" s="25" t="str">
        <f aca="false">IF(Tasks[[#This Row],[Task Name]]="","",IF(Tasks[[#This Row],[_IsSummary]],MIN(INDEX(Tasks[_LeafLateStart],Tasks[[#This Row],[_Row]]+1):INDEX(Tasks[_LeafLateStart],Tasks[[#This Row],[_Row]]+Tasks[[#This Row],[_Descendants]])),Tasks[[#This Row],[_LeafLateStart]]))</f>
        <v/>
      </c>
      <c r="Y183" s="25" t="str">
        <f aca="false">IF(Tasks[[#This Row],[Task Name]]="","",IF(Tasks[[#This Row],[_IsSummary]],MAX(INDEX(Tasks[_LeafLateFinish],Tasks[[#This Row],[_Row]]+1):INDEX(Tasks[_LeafLateFinish],Tasks[[#This Row],[_Row]]+Tasks[[#This Row],[_Descendants]])),Tasks[[#This Row],[_LeafLateFinish]]))</f>
        <v/>
      </c>
      <c r="Z183" s="43" t="str">
        <f aca="false">IF(Tasks[[#This Row],[Task Name]]="","",IF(Tasks[[#This Row],[_IsSummary]],MIN(INDEX(Tasks[_LeafTotalSlack],Tasks[[#This Row],[_Row]]+1):INDEX(Tasks[_LeafTotalSlack],Tasks[[#This Row],[_Row]]+Tasks[[#This Row],[_Descendants]])),Tasks[[#This Row],[_LeafTotalSlack]]))</f>
        <v/>
      </c>
      <c r="AA1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3" s="28" t="str">
        <f aca="false">IF(Tasks[[#This Row],[Task Name]]="","",IF(IF(Tasks[[#This Row],[_IsSummary]],COUNTIF(INDEX(Tasks[_LeafCritical],Tasks[[#This Row],[_Row]]+1):INDEX(Tasks[_LeafCritical],Tasks[[#This Row],[_Row]]+Tasks[[#This Row],[_Descendants]]),TRUE())&gt;0,Tasks[[#This Row],[_LeafCritical]]),"Yes",""))</f>
        <v/>
      </c>
      <c r="AC1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3" s="24" t="str">
        <f aca="false">IF(Tasks[[#This Row],[Task Name]]="","",TRIM(IF(Tasks[[#This Row],[_Pred1Problem]]&lt;&gt;"","Pred 1: "&amp;Tasks[[#This Row],[_Pred1Problem]]&amp;". ","")&amp;IF(Tasks[[#This Row],[_Pred2Problem]]&lt;&gt;"","Pred 2: "&amp;Tasks[[#This Row],[_Pred2Problem]]&amp;".","")))</f>
        <v/>
      </c>
      <c r="AE183" s="91"/>
      <c r="AF18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3" s="28" t="str">
        <f aca="false">IF(Tasks[[#This Row],[Task Name]]="","",IF(Tasks[[#This Row],[Progress]]&gt;=1,"Complete",IF(OR(N(Tasks[[#This Row],[Actual Start]])&gt;0,Tasks[[#This Row],[Progress]]&gt;0),IF(Tasks[[#This Row],[Finish Var]]&gt;0,"Behind","In Progress"),IF(Tasks[[#This Row],[Planned Start]]&lt;StatusDate,"Late Start","Not Started"))))</f>
        <v/>
      </c>
      <c r="AH183" s="30"/>
      <c r="AI183" s="91"/>
      <c r="AJ18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3" s="98" t="str">
        <f aca="false">IF(Tasks[[#This Row],[Task Name]]="","",IF(Tasks[[#This Row],[_IsSummary]],SUM(INDEX(Tasks[_LeafWork],Tasks[[#This Row],[_Row]]+1):INDEX(Tasks[_LeafWork],Tasks[[#This Row],[_Row]]+Tasks[[#This Row],[_Descendants]])),Tasks[[#This Row],[_LeafWork]]))</f>
        <v/>
      </c>
      <c r="AL183" s="99" t="str">
        <f aca="false">IF(Tasks[[#This Row],[Task Name]]="","",IF(Tasks[[#This Row],[_IsSummary]],SUM(INDEX(Tasks[_LeafCost],Tasks[[#This Row],[_Row]]+1):INDEX(Tasks[_LeafCost],Tasks[[#This Row],[_Row]]+Tasks[[#This Row],[_Descendants]])),Tasks[[#This Row],[_LeafCost]]))</f>
        <v/>
      </c>
      <c r="AM183" s="100"/>
      <c r="AN183" s="29"/>
      <c r="AO1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3" s="85"/>
      <c r="AQ183" s="24" t="str">
        <f aca="false">IF(Tasks[[#This Row],[Task Name]]="","",Tasks[[#This Row],[_Pred1IDText]]&amp;IF(AND(Tasks[[#This Row],[_Pred1IDText]]&lt;&gt;"",Tasks[[#This Row],[_Pred2IDText]]&lt;&gt;""),",","")&amp;Tasks[[#This Row],[_Pred2IDText]])</f>
        <v/>
      </c>
      <c r="AR183" s="30"/>
      <c r="AS183" s="25" t="str">
        <f aca="false">IF(Tasks[[#This Row],[Task Name]]="","",Tasks[[#This Row],[Forecast Start]])</f>
        <v/>
      </c>
      <c r="AT183" s="25" t="str">
        <f aca="false">IF(Tasks[[#This Row],[Task Name]]="","",Tasks[[#This Row],[Forecast Finish]])</f>
        <v/>
      </c>
      <c r="AU183" s="28" t="str">
        <f aca="false">IF(Tasks[[#This Row],[Task Name]]="","",IF(Tasks[[#This Row],[_IsSummary]],NETWORKDAYS.INTL(Tasks[[#This Row],[Forecast Start]],Tasks[[#This Row],[Forecast Finish]],WorkWeek,Holidays),N(Tasks[[#This Row],[Duration]])))</f>
        <v/>
      </c>
      <c r="AV183" s="98" t="str">
        <f aca="false">IF(Tasks[[#This Row],[Task Name]]="","",Tasks[[#This Row],[Work]])</f>
        <v/>
      </c>
      <c r="AW183" s="99" t="str">
        <f aca="false">IF(Tasks[[#This Row],[Task Name]]="","",Tasks[[#This Row],[Cost]])</f>
        <v/>
      </c>
      <c r="AX183" s="77"/>
      <c r="AY183" s="77"/>
      <c r="AZ183" s="29"/>
      <c r="BA183" s="101"/>
      <c r="BB183" s="100"/>
      <c r="BC183" s="28" t="str">
        <f aca="false">IF(OR(Tasks[[#This Row],[Task Name]]="",Tasks[[#This Row],[Baseline Duration]]=""),"",Tasks[[#This Row],[BL Source Duration]]-N(Tasks[[#This Row],[Baseline Duration]]))</f>
        <v/>
      </c>
      <c r="BD183" s="98" t="str">
        <f aca="false">IF(OR(Tasks[[#This Row],[Task Name]]="",Tasks[[#This Row],[Baseline Work]]=""),"",Tasks[[#This Row],[Work]]-N(Tasks[[#This Row],[Baseline Work]]))</f>
        <v/>
      </c>
      <c r="BE183" s="99" t="str">
        <f aca="false">IF(OR(Tasks[[#This Row],[Task Name]]="",Tasks[[#This Row],[Baseline Cost]]=""),"",Tasks[[#This Row],[Cost]]-N(Tasks[[#This Row],[Baseline Cost]]))</f>
        <v/>
      </c>
      <c r="BF183" s="99" t="str">
        <f aca="false">IF(Tasks[[#This Row],[Task Name]]="","",IF(Tasks[[#This Row],[_IsSummary]],SUM(INDEX(Tasks[_LeafBudget],Tasks[[#This Row],[_Row]]+1):INDEX(Tasks[_LeafBudget],Tasks[[#This Row],[_Row]]+Tasks[[#This Row],[_Descendants]])),Tasks[[#This Row],[_LeafBudget]]))</f>
        <v/>
      </c>
      <c r="BG183" s="99" t="str">
        <f aca="false">IF(Tasks[[#This Row],[Task Name]]="","",IF(Tasks[[#This Row],[_IsSummary]],SUM(INDEX(Tasks[_LeafPV],Tasks[[#This Row],[_Row]]+1):INDEX(Tasks[_LeafPV],Tasks[[#This Row],[_Row]]+Tasks[[#This Row],[_Descendants]])),Tasks[[#This Row],[_LeafPV]]))</f>
        <v/>
      </c>
      <c r="BH183" s="99" t="str">
        <f aca="false">IF(Tasks[[#This Row],[Task Name]]="","",IF(Tasks[[#This Row],[_IsSummary]],SUM(INDEX(Tasks[_LeafEV],Tasks[[#This Row],[_Row]]+1):INDEX(Tasks[_LeafEV],Tasks[[#This Row],[_Row]]+Tasks[[#This Row],[_Descendants]])),Tasks[[#This Row],[_LeafEV]]))</f>
        <v/>
      </c>
      <c r="BI183" s="99" t="str">
        <f aca="false">IF(Tasks[[#This Row],[Task Name]]="","",IF(Tasks[[#This Row],[_IsSummary]],SUM(INDEX(Tasks[_LeafAC],Tasks[[#This Row],[_Row]]+1):INDEX(Tasks[_LeafAC],Tasks[[#This Row],[_Row]]+Tasks[[#This Row],[_Descendants]])),Tasks[[#This Row],[_LeafAC]]))</f>
        <v/>
      </c>
      <c r="BJ183" s="41" t="str">
        <f aca="false">IF(Tasks[[#This Row],[Task Name]]="","",MAX(1,N(Tasks[[#This Row],[Level]])))</f>
        <v/>
      </c>
      <c r="BK183" s="41" t="n">
        <f aca="false">ROW()-ROW(Tasks[[#Headers],[ID]])</f>
        <v>178</v>
      </c>
      <c r="BL183" s="41" t="n">
        <f aca="false">IF(OR(Tasks[[#This Row],[Task Name]]="",Tasks[[#This Row],[_Level]]&lt;=1),0,IFERROR(LOOKUP(2,1/(Tasks[[#Headers],[_Level]]:Tasks[[#This Row],[_Level]]=Tasks[[#This Row],[_Level]]-1),ROW(Tasks[[#Headers],[_Level]]:Tasks[[#This Row],[_Level]])),0))</f>
        <v>0</v>
      </c>
      <c r="BM183" s="41" t="n">
        <f aca="false">IFERROR(N(INDEX(Tasks[_Level],Tasks[[#This Row],[_Row]]+1)),0)</f>
        <v>0</v>
      </c>
      <c r="BN183" s="102" t="b">
        <f aca="false">AND(Tasks[[#This Row],[Task Name]]&lt;&gt;"",Tasks[[#This Row],[_NextLevel]]&gt;Tasks[[#This Row],[_Level]])</f>
        <v>0</v>
      </c>
      <c r="BO183" s="41" t="n">
        <f aca="false">IF(Tasks[[#This Row],[_IsSummary]],COUNTIF(Tasks[WBS],Tasks[[#This Row],[WBS]]&amp;".*"),0)</f>
        <v>0</v>
      </c>
      <c r="BP183" s="41" t="n">
        <f aca="false">IF(AND(Tasks[[#This Row],[Task Name]]&lt;&gt;"",NOT(Tasks[[#This Row],[_IsSummary]])),1,0)</f>
        <v>0</v>
      </c>
      <c r="BQ183" s="41" t="n">
        <f aca="false">IF(N(Tasks[[#This Row],[Pred1 UID]])=0,0,IFERROR(MATCH(Tasks[[#This Row],[Pred1 UID]],Tasks[UID],0),-1))</f>
        <v>0</v>
      </c>
      <c r="BR183" s="41" t="n">
        <f aca="false">IF(N(Tasks[[#This Row],[Pred2 UID]])=0,0,IFERROR(MATCH(Tasks[[#This Row],[Pred2 UID]],Tasks[UID],0),-1))</f>
        <v>0</v>
      </c>
      <c r="BS18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3" s="103" t="str">
        <f aca="false">IF(NOT(Tasks[[#This Row],[_IsLeaf]]=1),"",IF(N(Tasks[[#This Row],[Duration]])&lt;=0,Tasks[[#This Row],[_LeafCalcStart]],WORKDAY.INTL(Tasks[[#This Row],[_LeafCalcStart]],Tasks[[#This Row],[Duration]]-1,WorkWeek,Holidays)))</f>
        <v/>
      </c>
      <c r="BU18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3" s="41" t="n">
        <f aca="false">IF(NOT(Tasks[[#This Row],[_IsLeaf]]=1),0,IF(N(Tasks[[#This Row],[Actual Finish]])&gt;0,1,MIN(1,N(Tasks[[#This Row],[% Complete]]))))</f>
        <v>0</v>
      </c>
      <c r="BX183" s="41" t="n">
        <f aca="false">IF(OR(NOT(Tasks[[#This Row],[_IsLeaf]]=1),Tasks[[#This Row],[Resource]]=""),0,N(Tasks[[#This Row],[Duration]])*HoursPerDay*IF(Tasks[[#This Row],[Units]]="",DefaultUnits,Tasks[[#This Row],[Units]]))</f>
        <v>0</v>
      </c>
      <c r="BY183" s="41" t="n">
        <f aca="false">IF(Tasks[[#This Row],[_LeafWork]]=0,0,Tasks[[#This Row],[_LeafWork]]*IFERROR(INDEX(res_Rate,MATCH(Tasks[[#This Row],[Resource]],res_Name,0)),0))</f>
        <v>0</v>
      </c>
      <c r="BZ1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3" s="41" t="n">
        <f aca="false">IF(NOT(Tasks[[#This Row],[_IsLeaf]]=1),0,MAX(_xlfn.MAXIFS(Tasks[_Row],Tasks[Pred1 UID],Tasks[[#This Row],[UID]]),_xlfn.MAXIFS(Tasks[_Row],Tasks[Pred2 UID],Tasks[[#This Row],[UID]])))</f>
        <v>0</v>
      </c>
      <c r="CE18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3" s="103" t="str">
        <f aca="false">IF(NOT(Tasks[[#This Row],[_IsLeaf]]=1),"",MIN(ProjectFinish,IF(N(Tasks[[#This Row],[Deadline]])&gt;0,Tasks[[#This Row],[Deadline]],2958465),Tasks[[#This Row],[_SuccessorFinishLimit]]))</f>
        <v/>
      </c>
      <c r="CG183" s="103" t="str">
        <f aca="false">IF(NOT(Tasks[[#This Row],[_IsLeaf]]=1),"",IF(N(Tasks[[#This Row],[Duration]])&lt;=0,Tasks[[#This Row],[_LeafLateFinish]],WORKDAY.INTL(Tasks[[#This Row],[_LeafLateFinish]],-(Tasks[[#This Row],[Duration]]-1),WorkWeek,Holidays)))</f>
        <v/>
      </c>
      <c r="CH1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3" s="102" t="b">
        <f aca="false">AND(Tasks[[#This Row],[_IsLeaf]]=1,Tasks[[#This Row],[_LeafProgress]]&lt;1,N(Tasks[[#This Row],[_LeafTotalSlack]])&lt;=CriticalSlackDays)</f>
        <v>0</v>
      </c>
      <c r="CJ183" s="103" t="str">
        <f aca="false">IF(Tasks[[#This Row],[Task Name]]="","",IF(Tasks[[#This Row],[_IsSummary]],MIN(INDEX(Tasks[_LeafCalcStart],Tasks[[#This Row],[_Row]]+1):INDEX(Tasks[_LeafCalcStart],Tasks[[#This Row],[_Row]]+Tasks[[#This Row],[_Descendants]])),Tasks[[#This Row],[_LeafCalcStart]]))</f>
        <v/>
      </c>
      <c r="CK183" s="103" t="str">
        <f aca="false">IF(Tasks[[#This Row],[Task Name]]="","",IF(Tasks[[#This Row],[_IsSummary]],MAX(INDEX(Tasks[_LeafCalcFinish],Tasks[[#This Row],[_Row]]+1):INDEX(Tasks[_LeafCalcFinish],Tasks[[#This Row],[_Row]]+Tasks[[#This Row],[_Descendants]])),Tasks[[#This Row],[_LeafCalcFinish]]))</f>
        <v/>
      </c>
      <c r="CL1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3" s="41" t="n">
        <f aca="false">IF(AND(Tasks[[#This Row],[_IsLeaf]]=1,Tasks[[#This Row],[_LeafWork]]&gt;0),NETWORKDAYS.INTL(ProjectStart,Tasks[[#This Row],[_LeafFcstStart]],WorkWeek,Holidays),0)</f>
        <v>0</v>
      </c>
      <c r="CS183" s="41" t="n">
        <f aca="false">IF(AND(Tasks[[#This Row],[_IsLeaf]]=1,Tasks[[#This Row],[_LeafWork]]&gt;0),MAX(Tasks[[#This Row],[_StartWorkday]],NETWORKDAYS.INTL(ProjectStart,Tasks[[#This Row],[_LeafFcstFinish]],WorkWeek,Holidays)),0)</f>
        <v>0</v>
      </c>
      <c r="CT183" s="41" t="n">
        <f aca="false">IF(AND(Tasks[[#This Row],[_IsLeaf]]=1,Tasks[[#This Row],[_LeafWork]]&gt;0),Tasks[[#This Row],[_LeafWork]]/(Tasks[[#This Row],[_FinishWorkday]]-Tasks[[#This Row],[_StartWorkday]]+1),0)</f>
        <v>0</v>
      </c>
      <c r="CU183" s="41" t="n">
        <f aca="false">Tasks[[#This Row],[_WorkPerWorkday]]*(Tasks[[#This Row],[_StartWorkday]]-1)</f>
        <v>-0</v>
      </c>
      <c r="CV183" s="41" t="n">
        <f aca="false">IF(Tasks[[#This Row],[_IsLeaf]]=1,MAX(N(Tasks[[#This Row],[Duration]]),0.1),0)</f>
        <v>0</v>
      </c>
      <c r="CW183" s="41" t="n">
        <f aca="false">Tasks[[#This Row],[_WeightDur]]*Tasks[[#This Row],[_LeafProgress]]</f>
        <v>0</v>
      </c>
      <c r="CX1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3" s="41" t="str">
        <f aca="false">IF(Tasks[[#This Row],[Task Name]]="","",Tasks[[#This Row],[_Pred1UIDText]]&amp;IF(AND(Tasks[[#This Row],[_Pred1UIDText]]&lt;&gt;"",Tasks[[#This Row],[_Pred2UIDText]]&lt;&gt;""),",","")&amp;Tasks[[#This Row],[_Pred2UIDText]])</f>
        <v/>
      </c>
      <c r="DC183" s="41" t="str">
        <f aca="false">IF(AND(Tasks[[#This Row],[_IsLeaf]]=1,N(Tasks[[#This Row],[Duration]])=0,Tasks[[#This Row],[_LeafProgress]]&lt;1),Tasks[[#This Row],[_LeafFcstFinish]]+Tasks[[#This Row],[_Row]]/100000,"")</f>
        <v/>
      </c>
      <c r="DD1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3" s="41" t="n">
        <f aca="false">IF(NOT(Tasks[[#This Row],[_IsLeaf]]=1),0,IF(Tasks[[#This Row],[Baseline Cost]]="",Tasks[[#This Row],[_LeafCost]],N(Tasks[[#This Row],[Baseline Cost]])))</f>
        <v>0</v>
      </c>
      <c r="DF183" s="41" t="n">
        <f aca="false">Tasks[[#This Row],[_LeafBudget]]*Tasks[[#This Row],[_PlannedPct]]</f>
        <v>0</v>
      </c>
      <c r="DG183" s="41" t="n">
        <f aca="false">Tasks[[#This Row],[_LeafBudget]]*Tasks[[#This Row],[_LeafProgress]]</f>
        <v>0</v>
      </c>
      <c r="DH183" s="41" t="n">
        <f aca="false">IF(NOT(Tasks[[#This Row],[_IsLeaf]]=1),0,IF(Tasks[[#This Row],[Actual Cost]]="",Tasks[[#This Row],[_LeafCost]]*Tasks[[#This Row],[_LeafProgress]],N(Tasks[[#This Row],[Actual Cost]])))</f>
        <v>0</v>
      </c>
      <c r="DI183" s="41" t="str">
        <f aca="false">IF(Tasks[[#This Row],[Task Name]]="","",LEFT(Tasks[[#This Row],[WBS]],FIND(".",Tasks[[#This Row],[WBS]]&amp;".")-1))</f>
        <v/>
      </c>
      <c r="DJ183" s="41" t="str">
        <f aca="false">IF(AND(Tasks[[#This Row],[Task Name]]&lt;&gt;"",Tasks[[#This Row],[_Level]]=1),Tasks[[#This Row],[_Row]],"")</f>
        <v/>
      </c>
      <c r="DK183" s="41" t="str">
        <f aca="false">IF(AND(Tasks[[#This Row],[_IsLeaf]]=1,N(Tasks[[#This Row],[Duration]])=0),Tasks[[#This Row],[Planned Finish]]+Tasks[[#This Row],[_Row]]/100000,"")</f>
        <v/>
      </c>
      <c r="DL183" s="41" t="str">
        <f aca="false">IF(AND(Tasks[[#This Row],[_IsLeaf]]=1,Tasks[[#This Row],[_LeafProgress]]&lt;1,OR(N(Tasks[[#This Row],[Finish Var]])&gt;0,Tasks[[#This Row],[Status]]="Late Start")),MAX(0,Tasks[[#This Row],[Finish Var]])+1-Tasks[[#This Row],[_Row]]/1000000,"")</f>
        <v/>
      </c>
      <c r="DM183" s="41" t="str">
        <f aca="false">IF(AND(Tasks[[#This Row],[_IsLeaf]]=1,N(Tasks[[#This Row],[Actual Start]])=0,Tasks[[#This Row],[_LeafFcstStart]]&gt;=StatusDate,Tasks[[#This Row],[_LeafFcstStart]]&lt;=LookaheadEnd),Tasks[[#This Row],[_LeafFcstStart]]+Tasks[[#This Row],[_Row]]/100000,"")</f>
        <v/>
      </c>
      <c r="DN183" s="41" t="str">
        <f aca="false">IF(AND(Tasks[[#This Row],[_IsLeaf]]=1,Tasks[[#This Row],[_LeafProgress]]&lt;1,Tasks[[#This Row],[_LeafFcstFinish]]&gt;=StatusDate,Tasks[[#This Row],[_LeafFcstFinish]]&lt;=LookaheadEnd),Tasks[[#This Row],[_LeafFcstFinish]]+Tasks[[#This Row],[_Row]]/100000,"")</f>
        <v/>
      </c>
      <c r="DO183" s="41" t="str">
        <f aca="false">IF(Tasks[[#This Row],[_LeafCritical]],Tasks[[#This Row],[_LeafFcstStart]]+Tasks[[#This Row],[_Row]]/100000,"")</f>
        <v/>
      </c>
      <c r="DP183" s="41" t="n">
        <f aca="false">Tasks[[#This Row],[_LeafWork]]*Tasks[[#This Row],[_LeafProgress]]</f>
        <v>0</v>
      </c>
      <c r="DQ183" s="103" t="str">
        <f aca="false">IF(AND(Tasks[[#This Row],[_IsLeaf]]=1,Tasks[[#This Row],[_LeafProgress]]&gt;=1),IF(N(Tasks[[#This Row],[Actual Finish]])&gt;0,Tasks[[#This Row],[Actual Finish]],Tasks[[#This Row],[_LeafFcstFinish]]),"")</f>
        <v/>
      </c>
      <c r="DR183" s="41" t="n">
        <f aca="false">IF(Tasks[[#This Row],[_IsLeaf]]=1,N(Tasks[[#This Row],[Story Points]]),0)</f>
        <v>0</v>
      </c>
      <c r="DS183" s="41" t="str">
        <f aca="false">IF(AND(Tasks[[#This Row],[_IsLeaf]]=1,CurrentSprint&lt;&gt;"",Tasks[[#This Row],[Sprint]]=CurrentSprint),Tasks[[#This Row],[_Row]],"")</f>
        <v/>
      </c>
    </row>
    <row r="184" customFormat="false" ht="15" hidden="false" customHeight="false" outlineLevel="0" collapsed="false">
      <c r="A184" s="28" t="str">
        <f aca="false">IF(Tasks[[#This Row],[Task Name]]="","",COUNTA(Tasks[[#Headers],[Task Name]]:Tasks[[#This Row],[Task Name]])-1)</f>
        <v/>
      </c>
      <c r="B184" s="29" t="n">
        <v>179</v>
      </c>
      <c r="C1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29"/>
      <c r="E184" s="30"/>
      <c r="F184" s="29"/>
      <c r="G184" s="29"/>
      <c r="H184" s="29"/>
      <c r="I184" s="29"/>
      <c r="J184" s="29"/>
      <c r="K184" s="29"/>
      <c r="L184" s="29"/>
      <c r="M184" s="29"/>
      <c r="N184" s="77"/>
      <c r="O184" s="77"/>
      <c r="P184" s="25" t="str">
        <f aca="false">IF(Tasks[[#This Row],[Task Name]]="","",IF(N(Tasks[[#This Row],[Baseline Start]])&gt;0,Tasks[[#This Row],[Baseline Start]],Tasks[[#This Row],[_CalcStart]]))</f>
        <v/>
      </c>
      <c r="Q184" s="25" t="str">
        <f aca="false">IF(Tasks[[#This Row],[Task Name]]="","",IF(N(Tasks[[#This Row],[Baseline Finish]])&gt;0,Tasks[[#This Row],[Baseline Finish]],Tasks[[#This Row],[_CalcFinish]]))</f>
        <v/>
      </c>
      <c r="R184" s="77"/>
      <c r="S184" s="77"/>
      <c r="T184" s="25" t="str">
        <f aca="false">IF(Tasks[[#This Row],[Task Name]]="","",IF(Tasks[[#This Row],[_IsSummary]],MIN(INDEX(Tasks[_LeafFcstStart],Tasks[[#This Row],[_Row]]+1):INDEX(Tasks[_LeafFcstStart],Tasks[[#This Row],[_Row]]+Tasks[[#This Row],[_Descendants]])),Tasks[[#This Row],[_LeafFcstStart]]))</f>
        <v/>
      </c>
      <c r="U184" s="25" t="str">
        <f aca="false">IF(Tasks[[#This Row],[Task Name]]="","",IF(Tasks[[#This Row],[_IsSummary]],MAX(INDEX(Tasks[_LeafFcstFinish],Tasks[[#This Row],[_Row]]+1):INDEX(Tasks[_LeafFcstFinish],Tasks[[#This Row],[_Row]]+Tasks[[#This Row],[_Descendants]])),Tasks[[#This Row],[_LeafFcstFinish]]))</f>
        <v/>
      </c>
      <c r="V18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4" s="25" t="str">
        <f aca="false">IF(Tasks[[#This Row],[Task Name]]="","",IF(Tasks[[#This Row],[_IsSummary]],MIN(INDEX(Tasks[_LeafLateStart],Tasks[[#This Row],[_Row]]+1):INDEX(Tasks[_LeafLateStart],Tasks[[#This Row],[_Row]]+Tasks[[#This Row],[_Descendants]])),Tasks[[#This Row],[_LeafLateStart]]))</f>
        <v/>
      </c>
      <c r="Y184" s="25" t="str">
        <f aca="false">IF(Tasks[[#This Row],[Task Name]]="","",IF(Tasks[[#This Row],[_IsSummary]],MAX(INDEX(Tasks[_LeafLateFinish],Tasks[[#This Row],[_Row]]+1):INDEX(Tasks[_LeafLateFinish],Tasks[[#This Row],[_Row]]+Tasks[[#This Row],[_Descendants]])),Tasks[[#This Row],[_LeafLateFinish]]))</f>
        <v/>
      </c>
      <c r="Z184" s="43" t="str">
        <f aca="false">IF(Tasks[[#This Row],[Task Name]]="","",IF(Tasks[[#This Row],[_IsSummary]],MIN(INDEX(Tasks[_LeafTotalSlack],Tasks[[#This Row],[_Row]]+1):INDEX(Tasks[_LeafTotalSlack],Tasks[[#This Row],[_Row]]+Tasks[[#This Row],[_Descendants]])),Tasks[[#This Row],[_LeafTotalSlack]]))</f>
        <v/>
      </c>
      <c r="AA1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4" s="28" t="str">
        <f aca="false">IF(Tasks[[#This Row],[Task Name]]="","",IF(IF(Tasks[[#This Row],[_IsSummary]],COUNTIF(INDEX(Tasks[_LeafCritical],Tasks[[#This Row],[_Row]]+1):INDEX(Tasks[_LeafCritical],Tasks[[#This Row],[_Row]]+Tasks[[#This Row],[_Descendants]]),TRUE())&gt;0,Tasks[[#This Row],[_LeafCritical]]),"Yes",""))</f>
        <v/>
      </c>
      <c r="AC1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4" s="24" t="str">
        <f aca="false">IF(Tasks[[#This Row],[Task Name]]="","",TRIM(IF(Tasks[[#This Row],[_Pred1Problem]]&lt;&gt;"","Pred 1: "&amp;Tasks[[#This Row],[_Pred1Problem]]&amp;". ","")&amp;IF(Tasks[[#This Row],[_Pred2Problem]]&lt;&gt;"","Pred 2: "&amp;Tasks[[#This Row],[_Pred2Problem]]&amp;".","")))</f>
        <v/>
      </c>
      <c r="AE184" s="91"/>
      <c r="AF18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4" s="28" t="str">
        <f aca="false">IF(Tasks[[#This Row],[Task Name]]="","",IF(Tasks[[#This Row],[Progress]]&gt;=1,"Complete",IF(OR(N(Tasks[[#This Row],[Actual Start]])&gt;0,Tasks[[#This Row],[Progress]]&gt;0),IF(Tasks[[#This Row],[Finish Var]]&gt;0,"Behind","In Progress"),IF(Tasks[[#This Row],[Planned Start]]&lt;StatusDate,"Late Start","Not Started"))))</f>
        <v/>
      </c>
      <c r="AH184" s="30"/>
      <c r="AI184" s="91"/>
      <c r="AJ18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4" s="98" t="str">
        <f aca="false">IF(Tasks[[#This Row],[Task Name]]="","",IF(Tasks[[#This Row],[_IsSummary]],SUM(INDEX(Tasks[_LeafWork],Tasks[[#This Row],[_Row]]+1):INDEX(Tasks[_LeafWork],Tasks[[#This Row],[_Row]]+Tasks[[#This Row],[_Descendants]])),Tasks[[#This Row],[_LeafWork]]))</f>
        <v/>
      </c>
      <c r="AL184" s="99" t="str">
        <f aca="false">IF(Tasks[[#This Row],[Task Name]]="","",IF(Tasks[[#This Row],[_IsSummary]],SUM(INDEX(Tasks[_LeafCost],Tasks[[#This Row],[_Row]]+1):INDEX(Tasks[_LeafCost],Tasks[[#This Row],[_Row]]+Tasks[[#This Row],[_Descendants]])),Tasks[[#This Row],[_LeafCost]]))</f>
        <v/>
      </c>
      <c r="AM184" s="100"/>
      <c r="AN184" s="29"/>
      <c r="AO1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4" s="85"/>
      <c r="AQ184" s="24" t="str">
        <f aca="false">IF(Tasks[[#This Row],[Task Name]]="","",Tasks[[#This Row],[_Pred1IDText]]&amp;IF(AND(Tasks[[#This Row],[_Pred1IDText]]&lt;&gt;"",Tasks[[#This Row],[_Pred2IDText]]&lt;&gt;""),",","")&amp;Tasks[[#This Row],[_Pred2IDText]])</f>
        <v/>
      </c>
      <c r="AR184" s="30"/>
      <c r="AS184" s="25" t="str">
        <f aca="false">IF(Tasks[[#This Row],[Task Name]]="","",Tasks[[#This Row],[Forecast Start]])</f>
        <v/>
      </c>
      <c r="AT184" s="25" t="str">
        <f aca="false">IF(Tasks[[#This Row],[Task Name]]="","",Tasks[[#This Row],[Forecast Finish]])</f>
        <v/>
      </c>
      <c r="AU184" s="28" t="str">
        <f aca="false">IF(Tasks[[#This Row],[Task Name]]="","",IF(Tasks[[#This Row],[_IsSummary]],NETWORKDAYS.INTL(Tasks[[#This Row],[Forecast Start]],Tasks[[#This Row],[Forecast Finish]],WorkWeek,Holidays),N(Tasks[[#This Row],[Duration]])))</f>
        <v/>
      </c>
      <c r="AV184" s="98" t="str">
        <f aca="false">IF(Tasks[[#This Row],[Task Name]]="","",Tasks[[#This Row],[Work]])</f>
        <v/>
      </c>
      <c r="AW184" s="99" t="str">
        <f aca="false">IF(Tasks[[#This Row],[Task Name]]="","",Tasks[[#This Row],[Cost]])</f>
        <v/>
      </c>
      <c r="AX184" s="77"/>
      <c r="AY184" s="77"/>
      <c r="AZ184" s="29"/>
      <c r="BA184" s="101"/>
      <c r="BB184" s="100"/>
      <c r="BC184" s="28" t="str">
        <f aca="false">IF(OR(Tasks[[#This Row],[Task Name]]="",Tasks[[#This Row],[Baseline Duration]]=""),"",Tasks[[#This Row],[BL Source Duration]]-N(Tasks[[#This Row],[Baseline Duration]]))</f>
        <v/>
      </c>
      <c r="BD184" s="98" t="str">
        <f aca="false">IF(OR(Tasks[[#This Row],[Task Name]]="",Tasks[[#This Row],[Baseline Work]]=""),"",Tasks[[#This Row],[Work]]-N(Tasks[[#This Row],[Baseline Work]]))</f>
        <v/>
      </c>
      <c r="BE184" s="99" t="str">
        <f aca="false">IF(OR(Tasks[[#This Row],[Task Name]]="",Tasks[[#This Row],[Baseline Cost]]=""),"",Tasks[[#This Row],[Cost]]-N(Tasks[[#This Row],[Baseline Cost]]))</f>
        <v/>
      </c>
      <c r="BF184" s="99" t="str">
        <f aca="false">IF(Tasks[[#This Row],[Task Name]]="","",IF(Tasks[[#This Row],[_IsSummary]],SUM(INDEX(Tasks[_LeafBudget],Tasks[[#This Row],[_Row]]+1):INDEX(Tasks[_LeafBudget],Tasks[[#This Row],[_Row]]+Tasks[[#This Row],[_Descendants]])),Tasks[[#This Row],[_LeafBudget]]))</f>
        <v/>
      </c>
      <c r="BG184" s="99" t="str">
        <f aca="false">IF(Tasks[[#This Row],[Task Name]]="","",IF(Tasks[[#This Row],[_IsSummary]],SUM(INDEX(Tasks[_LeafPV],Tasks[[#This Row],[_Row]]+1):INDEX(Tasks[_LeafPV],Tasks[[#This Row],[_Row]]+Tasks[[#This Row],[_Descendants]])),Tasks[[#This Row],[_LeafPV]]))</f>
        <v/>
      </c>
      <c r="BH184" s="99" t="str">
        <f aca="false">IF(Tasks[[#This Row],[Task Name]]="","",IF(Tasks[[#This Row],[_IsSummary]],SUM(INDEX(Tasks[_LeafEV],Tasks[[#This Row],[_Row]]+1):INDEX(Tasks[_LeafEV],Tasks[[#This Row],[_Row]]+Tasks[[#This Row],[_Descendants]])),Tasks[[#This Row],[_LeafEV]]))</f>
        <v/>
      </c>
      <c r="BI184" s="99" t="str">
        <f aca="false">IF(Tasks[[#This Row],[Task Name]]="","",IF(Tasks[[#This Row],[_IsSummary]],SUM(INDEX(Tasks[_LeafAC],Tasks[[#This Row],[_Row]]+1):INDEX(Tasks[_LeafAC],Tasks[[#This Row],[_Row]]+Tasks[[#This Row],[_Descendants]])),Tasks[[#This Row],[_LeafAC]]))</f>
        <v/>
      </c>
      <c r="BJ184" s="41" t="str">
        <f aca="false">IF(Tasks[[#This Row],[Task Name]]="","",MAX(1,N(Tasks[[#This Row],[Level]])))</f>
        <v/>
      </c>
      <c r="BK184" s="41" t="n">
        <f aca="false">ROW()-ROW(Tasks[[#Headers],[ID]])</f>
        <v>179</v>
      </c>
      <c r="BL184" s="41" t="n">
        <f aca="false">IF(OR(Tasks[[#This Row],[Task Name]]="",Tasks[[#This Row],[_Level]]&lt;=1),0,IFERROR(LOOKUP(2,1/(Tasks[[#Headers],[_Level]]:Tasks[[#This Row],[_Level]]=Tasks[[#This Row],[_Level]]-1),ROW(Tasks[[#Headers],[_Level]]:Tasks[[#This Row],[_Level]])),0))</f>
        <v>0</v>
      </c>
      <c r="BM184" s="41" t="n">
        <f aca="false">IFERROR(N(INDEX(Tasks[_Level],Tasks[[#This Row],[_Row]]+1)),0)</f>
        <v>0</v>
      </c>
      <c r="BN184" s="102" t="b">
        <f aca="false">AND(Tasks[[#This Row],[Task Name]]&lt;&gt;"",Tasks[[#This Row],[_NextLevel]]&gt;Tasks[[#This Row],[_Level]])</f>
        <v>0</v>
      </c>
      <c r="BO184" s="41" t="n">
        <f aca="false">IF(Tasks[[#This Row],[_IsSummary]],COUNTIF(Tasks[WBS],Tasks[[#This Row],[WBS]]&amp;".*"),0)</f>
        <v>0</v>
      </c>
      <c r="BP184" s="41" t="n">
        <f aca="false">IF(AND(Tasks[[#This Row],[Task Name]]&lt;&gt;"",NOT(Tasks[[#This Row],[_IsSummary]])),1,0)</f>
        <v>0</v>
      </c>
      <c r="BQ184" s="41" t="n">
        <f aca="false">IF(N(Tasks[[#This Row],[Pred1 UID]])=0,0,IFERROR(MATCH(Tasks[[#This Row],[Pred1 UID]],Tasks[UID],0),-1))</f>
        <v>0</v>
      </c>
      <c r="BR184" s="41" t="n">
        <f aca="false">IF(N(Tasks[[#This Row],[Pred2 UID]])=0,0,IFERROR(MATCH(Tasks[[#This Row],[Pred2 UID]],Tasks[UID],0),-1))</f>
        <v>0</v>
      </c>
      <c r="BS18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4" s="103" t="str">
        <f aca="false">IF(NOT(Tasks[[#This Row],[_IsLeaf]]=1),"",IF(N(Tasks[[#This Row],[Duration]])&lt;=0,Tasks[[#This Row],[_LeafCalcStart]],WORKDAY.INTL(Tasks[[#This Row],[_LeafCalcStart]],Tasks[[#This Row],[Duration]]-1,WorkWeek,Holidays)))</f>
        <v/>
      </c>
      <c r="BU18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4" s="41" t="n">
        <f aca="false">IF(NOT(Tasks[[#This Row],[_IsLeaf]]=1),0,IF(N(Tasks[[#This Row],[Actual Finish]])&gt;0,1,MIN(1,N(Tasks[[#This Row],[% Complete]]))))</f>
        <v>0</v>
      </c>
      <c r="BX184" s="41" t="n">
        <f aca="false">IF(OR(NOT(Tasks[[#This Row],[_IsLeaf]]=1),Tasks[[#This Row],[Resource]]=""),0,N(Tasks[[#This Row],[Duration]])*HoursPerDay*IF(Tasks[[#This Row],[Units]]="",DefaultUnits,Tasks[[#This Row],[Units]]))</f>
        <v>0</v>
      </c>
      <c r="BY184" s="41" t="n">
        <f aca="false">IF(Tasks[[#This Row],[_LeafWork]]=0,0,Tasks[[#This Row],[_LeafWork]]*IFERROR(INDEX(res_Rate,MATCH(Tasks[[#This Row],[Resource]],res_Name,0)),0))</f>
        <v>0</v>
      </c>
      <c r="BZ1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4" s="41" t="n">
        <f aca="false">IF(NOT(Tasks[[#This Row],[_IsLeaf]]=1),0,MAX(_xlfn.MAXIFS(Tasks[_Row],Tasks[Pred1 UID],Tasks[[#This Row],[UID]]),_xlfn.MAXIFS(Tasks[_Row],Tasks[Pred2 UID],Tasks[[#This Row],[UID]])))</f>
        <v>0</v>
      </c>
      <c r="CE18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4" s="103" t="str">
        <f aca="false">IF(NOT(Tasks[[#This Row],[_IsLeaf]]=1),"",MIN(ProjectFinish,IF(N(Tasks[[#This Row],[Deadline]])&gt;0,Tasks[[#This Row],[Deadline]],2958465),Tasks[[#This Row],[_SuccessorFinishLimit]]))</f>
        <v/>
      </c>
      <c r="CG184" s="103" t="str">
        <f aca="false">IF(NOT(Tasks[[#This Row],[_IsLeaf]]=1),"",IF(N(Tasks[[#This Row],[Duration]])&lt;=0,Tasks[[#This Row],[_LeafLateFinish]],WORKDAY.INTL(Tasks[[#This Row],[_LeafLateFinish]],-(Tasks[[#This Row],[Duration]]-1),WorkWeek,Holidays)))</f>
        <v/>
      </c>
      <c r="CH1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4" s="102" t="b">
        <f aca="false">AND(Tasks[[#This Row],[_IsLeaf]]=1,Tasks[[#This Row],[_LeafProgress]]&lt;1,N(Tasks[[#This Row],[_LeafTotalSlack]])&lt;=CriticalSlackDays)</f>
        <v>0</v>
      </c>
      <c r="CJ184" s="103" t="str">
        <f aca="false">IF(Tasks[[#This Row],[Task Name]]="","",IF(Tasks[[#This Row],[_IsSummary]],MIN(INDEX(Tasks[_LeafCalcStart],Tasks[[#This Row],[_Row]]+1):INDEX(Tasks[_LeafCalcStart],Tasks[[#This Row],[_Row]]+Tasks[[#This Row],[_Descendants]])),Tasks[[#This Row],[_LeafCalcStart]]))</f>
        <v/>
      </c>
      <c r="CK184" s="103" t="str">
        <f aca="false">IF(Tasks[[#This Row],[Task Name]]="","",IF(Tasks[[#This Row],[_IsSummary]],MAX(INDEX(Tasks[_LeafCalcFinish],Tasks[[#This Row],[_Row]]+1):INDEX(Tasks[_LeafCalcFinish],Tasks[[#This Row],[_Row]]+Tasks[[#This Row],[_Descendants]])),Tasks[[#This Row],[_LeafCalcFinish]]))</f>
        <v/>
      </c>
      <c r="CL1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4" s="41" t="n">
        <f aca="false">IF(AND(Tasks[[#This Row],[_IsLeaf]]=1,Tasks[[#This Row],[_LeafWork]]&gt;0),NETWORKDAYS.INTL(ProjectStart,Tasks[[#This Row],[_LeafFcstStart]],WorkWeek,Holidays),0)</f>
        <v>0</v>
      </c>
      <c r="CS184" s="41" t="n">
        <f aca="false">IF(AND(Tasks[[#This Row],[_IsLeaf]]=1,Tasks[[#This Row],[_LeafWork]]&gt;0),MAX(Tasks[[#This Row],[_StartWorkday]],NETWORKDAYS.INTL(ProjectStart,Tasks[[#This Row],[_LeafFcstFinish]],WorkWeek,Holidays)),0)</f>
        <v>0</v>
      </c>
      <c r="CT184" s="41" t="n">
        <f aca="false">IF(AND(Tasks[[#This Row],[_IsLeaf]]=1,Tasks[[#This Row],[_LeafWork]]&gt;0),Tasks[[#This Row],[_LeafWork]]/(Tasks[[#This Row],[_FinishWorkday]]-Tasks[[#This Row],[_StartWorkday]]+1),0)</f>
        <v>0</v>
      </c>
      <c r="CU184" s="41" t="n">
        <f aca="false">Tasks[[#This Row],[_WorkPerWorkday]]*(Tasks[[#This Row],[_StartWorkday]]-1)</f>
        <v>-0</v>
      </c>
      <c r="CV184" s="41" t="n">
        <f aca="false">IF(Tasks[[#This Row],[_IsLeaf]]=1,MAX(N(Tasks[[#This Row],[Duration]]),0.1),0)</f>
        <v>0</v>
      </c>
      <c r="CW184" s="41" t="n">
        <f aca="false">Tasks[[#This Row],[_WeightDur]]*Tasks[[#This Row],[_LeafProgress]]</f>
        <v>0</v>
      </c>
      <c r="CX1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4" s="41" t="str">
        <f aca="false">IF(Tasks[[#This Row],[Task Name]]="","",Tasks[[#This Row],[_Pred1UIDText]]&amp;IF(AND(Tasks[[#This Row],[_Pred1UIDText]]&lt;&gt;"",Tasks[[#This Row],[_Pred2UIDText]]&lt;&gt;""),",","")&amp;Tasks[[#This Row],[_Pred2UIDText]])</f>
        <v/>
      </c>
      <c r="DC184" s="41" t="str">
        <f aca="false">IF(AND(Tasks[[#This Row],[_IsLeaf]]=1,N(Tasks[[#This Row],[Duration]])=0,Tasks[[#This Row],[_LeafProgress]]&lt;1),Tasks[[#This Row],[_LeafFcstFinish]]+Tasks[[#This Row],[_Row]]/100000,"")</f>
        <v/>
      </c>
      <c r="DD1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4" s="41" t="n">
        <f aca="false">IF(NOT(Tasks[[#This Row],[_IsLeaf]]=1),0,IF(Tasks[[#This Row],[Baseline Cost]]="",Tasks[[#This Row],[_LeafCost]],N(Tasks[[#This Row],[Baseline Cost]])))</f>
        <v>0</v>
      </c>
      <c r="DF184" s="41" t="n">
        <f aca="false">Tasks[[#This Row],[_LeafBudget]]*Tasks[[#This Row],[_PlannedPct]]</f>
        <v>0</v>
      </c>
      <c r="DG184" s="41" t="n">
        <f aca="false">Tasks[[#This Row],[_LeafBudget]]*Tasks[[#This Row],[_LeafProgress]]</f>
        <v>0</v>
      </c>
      <c r="DH184" s="41" t="n">
        <f aca="false">IF(NOT(Tasks[[#This Row],[_IsLeaf]]=1),0,IF(Tasks[[#This Row],[Actual Cost]]="",Tasks[[#This Row],[_LeafCost]]*Tasks[[#This Row],[_LeafProgress]],N(Tasks[[#This Row],[Actual Cost]])))</f>
        <v>0</v>
      </c>
      <c r="DI184" s="41" t="str">
        <f aca="false">IF(Tasks[[#This Row],[Task Name]]="","",LEFT(Tasks[[#This Row],[WBS]],FIND(".",Tasks[[#This Row],[WBS]]&amp;".")-1))</f>
        <v/>
      </c>
      <c r="DJ184" s="41" t="str">
        <f aca="false">IF(AND(Tasks[[#This Row],[Task Name]]&lt;&gt;"",Tasks[[#This Row],[_Level]]=1),Tasks[[#This Row],[_Row]],"")</f>
        <v/>
      </c>
      <c r="DK184" s="41" t="str">
        <f aca="false">IF(AND(Tasks[[#This Row],[_IsLeaf]]=1,N(Tasks[[#This Row],[Duration]])=0),Tasks[[#This Row],[Planned Finish]]+Tasks[[#This Row],[_Row]]/100000,"")</f>
        <v/>
      </c>
      <c r="DL184" s="41" t="str">
        <f aca="false">IF(AND(Tasks[[#This Row],[_IsLeaf]]=1,Tasks[[#This Row],[_LeafProgress]]&lt;1,OR(N(Tasks[[#This Row],[Finish Var]])&gt;0,Tasks[[#This Row],[Status]]="Late Start")),MAX(0,Tasks[[#This Row],[Finish Var]])+1-Tasks[[#This Row],[_Row]]/1000000,"")</f>
        <v/>
      </c>
      <c r="DM184" s="41" t="str">
        <f aca="false">IF(AND(Tasks[[#This Row],[_IsLeaf]]=1,N(Tasks[[#This Row],[Actual Start]])=0,Tasks[[#This Row],[_LeafFcstStart]]&gt;=StatusDate,Tasks[[#This Row],[_LeafFcstStart]]&lt;=LookaheadEnd),Tasks[[#This Row],[_LeafFcstStart]]+Tasks[[#This Row],[_Row]]/100000,"")</f>
        <v/>
      </c>
      <c r="DN184" s="41" t="str">
        <f aca="false">IF(AND(Tasks[[#This Row],[_IsLeaf]]=1,Tasks[[#This Row],[_LeafProgress]]&lt;1,Tasks[[#This Row],[_LeafFcstFinish]]&gt;=StatusDate,Tasks[[#This Row],[_LeafFcstFinish]]&lt;=LookaheadEnd),Tasks[[#This Row],[_LeafFcstFinish]]+Tasks[[#This Row],[_Row]]/100000,"")</f>
        <v/>
      </c>
      <c r="DO184" s="41" t="str">
        <f aca="false">IF(Tasks[[#This Row],[_LeafCritical]],Tasks[[#This Row],[_LeafFcstStart]]+Tasks[[#This Row],[_Row]]/100000,"")</f>
        <v/>
      </c>
      <c r="DP184" s="41" t="n">
        <f aca="false">Tasks[[#This Row],[_LeafWork]]*Tasks[[#This Row],[_LeafProgress]]</f>
        <v>0</v>
      </c>
      <c r="DQ184" s="103" t="str">
        <f aca="false">IF(AND(Tasks[[#This Row],[_IsLeaf]]=1,Tasks[[#This Row],[_LeafProgress]]&gt;=1),IF(N(Tasks[[#This Row],[Actual Finish]])&gt;0,Tasks[[#This Row],[Actual Finish]],Tasks[[#This Row],[_LeafFcstFinish]]),"")</f>
        <v/>
      </c>
      <c r="DR184" s="41" t="n">
        <f aca="false">IF(Tasks[[#This Row],[_IsLeaf]]=1,N(Tasks[[#This Row],[Story Points]]),0)</f>
        <v>0</v>
      </c>
      <c r="DS184" s="41" t="str">
        <f aca="false">IF(AND(Tasks[[#This Row],[_IsLeaf]]=1,CurrentSprint&lt;&gt;"",Tasks[[#This Row],[Sprint]]=CurrentSprint),Tasks[[#This Row],[_Row]],"")</f>
        <v/>
      </c>
    </row>
    <row r="185" customFormat="false" ht="15" hidden="false" customHeight="false" outlineLevel="0" collapsed="false">
      <c r="A185" s="28" t="str">
        <f aca="false">IF(Tasks[[#This Row],[Task Name]]="","",COUNTA(Tasks[[#Headers],[Task Name]]:Tasks[[#This Row],[Task Name]])-1)</f>
        <v/>
      </c>
      <c r="B185" s="29" t="n">
        <v>180</v>
      </c>
      <c r="C1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29"/>
      <c r="E185" s="30"/>
      <c r="F185" s="29"/>
      <c r="G185" s="29"/>
      <c r="H185" s="29"/>
      <c r="I185" s="29"/>
      <c r="J185" s="29"/>
      <c r="K185" s="29"/>
      <c r="L185" s="29"/>
      <c r="M185" s="29"/>
      <c r="N185" s="77"/>
      <c r="O185" s="77"/>
      <c r="P185" s="25" t="str">
        <f aca="false">IF(Tasks[[#This Row],[Task Name]]="","",IF(N(Tasks[[#This Row],[Baseline Start]])&gt;0,Tasks[[#This Row],[Baseline Start]],Tasks[[#This Row],[_CalcStart]]))</f>
        <v/>
      </c>
      <c r="Q185" s="25" t="str">
        <f aca="false">IF(Tasks[[#This Row],[Task Name]]="","",IF(N(Tasks[[#This Row],[Baseline Finish]])&gt;0,Tasks[[#This Row],[Baseline Finish]],Tasks[[#This Row],[_CalcFinish]]))</f>
        <v/>
      </c>
      <c r="R185" s="77"/>
      <c r="S185" s="77"/>
      <c r="T185" s="25" t="str">
        <f aca="false">IF(Tasks[[#This Row],[Task Name]]="","",IF(Tasks[[#This Row],[_IsSummary]],MIN(INDEX(Tasks[_LeafFcstStart],Tasks[[#This Row],[_Row]]+1):INDEX(Tasks[_LeafFcstStart],Tasks[[#This Row],[_Row]]+Tasks[[#This Row],[_Descendants]])),Tasks[[#This Row],[_LeafFcstStart]]))</f>
        <v/>
      </c>
      <c r="U185" s="25" t="str">
        <f aca="false">IF(Tasks[[#This Row],[Task Name]]="","",IF(Tasks[[#This Row],[_IsSummary]],MAX(INDEX(Tasks[_LeafFcstFinish],Tasks[[#This Row],[_Row]]+1):INDEX(Tasks[_LeafFcstFinish],Tasks[[#This Row],[_Row]]+Tasks[[#This Row],[_Descendants]])),Tasks[[#This Row],[_LeafFcstFinish]]))</f>
        <v/>
      </c>
      <c r="V18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5" s="25" t="str">
        <f aca="false">IF(Tasks[[#This Row],[Task Name]]="","",IF(Tasks[[#This Row],[_IsSummary]],MIN(INDEX(Tasks[_LeafLateStart],Tasks[[#This Row],[_Row]]+1):INDEX(Tasks[_LeafLateStart],Tasks[[#This Row],[_Row]]+Tasks[[#This Row],[_Descendants]])),Tasks[[#This Row],[_LeafLateStart]]))</f>
        <v/>
      </c>
      <c r="Y185" s="25" t="str">
        <f aca="false">IF(Tasks[[#This Row],[Task Name]]="","",IF(Tasks[[#This Row],[_IsSummary]],MAX(INDEX(Tasks[_LeafLateFinish],Tasks[[#This Row],[_Row]]+1):INDEX(Tasks[_LeafLateFinish],Tasks[[#This Row],[_Row]]+Tasks[[#This Row],[_Descendants]])),Tasks[[#This Row],[_LeafLateFinish]]))</f>
        <v/>
      </c>
      <c r="Z185" s="43" t="str">
        <f aca="false">IF(Tasks[[#This Row],[Task Name]]="","",IF(Tasks[[#This Row],[_IsSummary]],MIN(INDEX(Tasks[_LeafTotalSlack],Tasks[[#This Row],[_Row]]+1):INDEX(Tasks[_LeafTotalSlack],Tasks[[#This Row],[_Row]]+Tasks[[#This Row],[_Descendants]])),Tasks[[#This Row],[_LeafTotalSlack]]))</f>
        <v/>
      </c>
      <c r="AA1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5" s="28" t="str">
        <f aca="false">IF(Tasks[[#This Row],[Task Name]]="","",IF(IF(Tasks[[#This Row],[_IsSummary]],COUNTIF(INDEX(Tasks[_LeafCritical],Tasks[[#This Row],[_Row]]+1):INDEX(Tasks[_LeafCritical],Tasks[[#This Row],[_Row]]+Tasks[[#This Row],[_Descendants]]),TRUE())&gt;0,Tasks[[#This Row],[_LeafCritical]]),"Yes",""))</f>
        <v/>
      </c>
      <c r="AC1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5" s="24" t="str">
        <f aca="false">IF(Tasks[[#This Row],[Task Name]]="","",TRIM(IF(Tasks[[#This Row],[_Pred1Problem]]&lt;&gt;"","Pred 1: "&amp;Tasks[[#This Row],[_Pred1Problem]]&amp;". ","")&amp;IF(Tasks[[#This Row],[_Pred2Problem]]&lt;&gt;"","Pred 2: "&amp;Tasks[[#This Row],[_Pred2Problem]]&amp;".","")))</f>
        <v/>
      </c>
      <c r="AE185" s="91"/>
      <c r="AF18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5" s="28" t="str">
        <f aca="false">IF(Tasks[[#This Row],[Task Name]]="","",IF(Tasks[[#This Row],[Progress]]&gt;=1,"Complete",IF(OR(N(Tasks[[#This Row],[Actual Start]])&gt;0,Tasks[[#This Row],[Progress]]&gt;0),IF(Tasks[[#This Row],[Finish Var]]&gt;0,"Behind","In Progress"),IF(Tasks[[#This Row],[Planned Start]]&lt;StatusDate,"Late Start","Not Started"))))</f>
        <v/>
      </c>
      <c r="AH185" s="30"/>
      <c r="AI185" s="91"/>
      <c r="AJ18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5" s="98" t="str">
        <f aca="false">IF(Tasks[[#This Row],[Task Name]]="","",IF(Tasks[[#This Row],[_IsSummary]],SUM(INDEX(Tasks[_LeafWork],Tasks[[#This Row],[_Row]]+1):INDEX(Tasks[_LeafWork],Tasks[[#This Row],[_Row]]+Tasks[[#This Row],[_Descendants]])),Tasks[[#This Row],[_LeafWork]]))</f>
        <v/>
      </c>
      <c r="AL185" s="99" t="str">
        <f aca="false">IF(Tasks[[#This Row],[Task Name]]="","",IF(Tasks[[#This Row],[_IsSummary]],SUM(INDEX(Tasks[_LeafCost],Tasks[[#This Row],[_Row]]+1):INDEX(Tasks[_LeafCost],Tasks[[#This Row],[_Row]]+Tasks[[#This Row],[_Descendants]])),Tasks[[#This Row],[_LeafCost]]))</f>
        <v/>
      </c>
      <c r="AM185" s="100"/>
      <c r="AN185" s="29"/>
      <c r="AO1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5" s="85"/>
      <c r="AQ185" s="24" t="str">
        <f aca="false">IF(Tasks[[#This Row],[Task Name]]="","",Tasks[[#This Row],[_Pred1IDText]]&amp;IF(AND(Tasks[[#This Row],[_Pred1IDText]]&lt;&gt;"",Tasks[[#This Row],[_Pred2IDText]]&lt;&gt;""),",","")&amp;Tasks[[#This Row],[_Pred2IDText]])</f>
        <v/>
      </c>
      <c r="AR185" s="30"/>
      <c r="AS185" s="25" t="str">
        <f aca="false">IF(Tasks[[#This Row],[Task Name]]="","",Tasks[[#This Row],[Forecast Start]])</f>
        <v/>
      </c>
      <c r="AT185" s="25" t="str">
        <f aca="false">IF(Tasks[[#This Row],[Task Name]]="","",Tasks[[#This Row],[Forecast Finish]])</f>
        <v/>
      </c>
      <c r="AU185" s="28" t="str">
        <f aca="false">IF(Tasks[[#This Row],[Task Name]]="","",IF(Tasks[[#This Row],[_IsSummary]],NETWORKDAYS.INTL(Tasks[[#This Row],[Forecast Start]],Tasks[[#This Row],[Forecast Finish]],WorkWeek,Holidays),N(Tasks[[#This Row],[Duration]])))</f>
        <v/>
      </c>
      <c r="AV185" s="98" t="str">
        <f aca="false">IF(Tasks[[#This Row],[Task Name]]="","",Tasks[[#This Row],[Work]])</f>
        <v/>
      </c>
      <c r="AW185" s="99" t="str">
        <f aca="false">IF(Tasks[[#This Row],[Task Name]]="","",Tasks[[#This Row],[Cost]])</f>
        <v/>
      </c>
      <c r="AX185" s="77"/>
      <c r="AY185" s="77"/>
      <c r="AZ185" s="29"/>
      <c r="BA185" s="101"/>
      <c r="BB185" s="100"/>
      <c r="BC185" s="28" t="str">
        <f aca="false">IF(OR(Tasks[[#This Row],[Task Name]]="",Tasks[[#This Row],[Baseline Duration]]=""),"",Tasks[[#This Row],[BL Source Duration]]-N(Tasks[[#This Row],[Baseline Duration]]))</f>
        <v/>
      </c>
      <c r="BD185" s="98" t="str">
        <f aca="false">IF(OR(Tasks[[#This Row],[Task Name]]="",Tasks[[#This Row],[Baseline Work]]=""),"",Tasks[[#This Row],[Work]]-N(Tasks[[#This Row],[Baseline Work]]))</f>
        <v/>
      </c>
      <c r="BE185" s="99" t="str">
        <f aca="false">IF(OR(Tasks[[#This Row],[Task Name]]="",Tasks[[#This Row],[Baseline Cost]]=""),"",Tasks[[#This Row],[Cost]]-N(Tasks[[#This Row],[Baseline Cost]]))</f>
        <v/>
      </c>
      <c r="BF185" s="99" t="str">
        <f aca="false">IF(Tasks[[#This Row],[Task Name]]="","",IF(Tasks[[#This Row],[_IsSummary]],SUM(INDEX(Tasks[_LeafBudget],Tasks[[#This Row],[_Row]]+1):INDEX(Tasks[_LeafBudget],Tasks[[#This Row],[_Row]]+Tasks[[#This Row],[_Descendants]])),Tasks[[#This Row],[_LeafBudget]]))</f>
        <v/>
      </c>
      <c r="BG185" s="99" t="str">
        <f aca="false">IF(Tasks[[#This Row],[Task Name]]="","",IF(Tasks[[#This Row],[_IsSummary]],SUM(INDEX(Tasks[_LeafPV],Tasks[[#This Row],[_Row]]+1):INDEX(Tasks[_LeafPV],Tasks[[#This Row],[_Row]]+Tasks[[#This Row],[_Descendants]])),Tasks[[#This Row],[_LeafPV]]))</f>
        <v/>
      </c>
      <c r="BH185" s="99" t="str">
        <f aca="false">IF(Tasks[[#This Row],[Task Name]]="","",IF(Tasks[[#This Row],[_IsSummary]],SUM(INDEX(Tasks[_LeafEV],Tasks[[#This Row],[_Row]]+1):INDEX(Tasks[_LeafEV],Tasks[[#This Row],[_Row]]+Tasks[[#This Row],[_Descendants]])),Tasks[[#This Row],[_LeafEV]]))</f>
        <v/>
      </c>
      <c r="BI185" s="99" t="str">
        <f aca="false">IF(Tasks[[#This Row],[Task Name]]="","",IF(Tasks[[#This Row],[_IsSummary]],SUM(INDEX(Tasks[_LeafAC],Tasks[[#This Row],[_Row]]+1):INDEX(Tasks[_LeafAC],Tasks[[#This Row],[_Row]]+Tasks[[#This Row],[_Descendants]])),Tasks[[#This Row],[_LeafAC]]))</f>
        <v/>
      </c>
      <c r="BJ185" s="41" t="str">
        <f aca="false">IF(Tasks[[#This Row],[Task Name]]="","",MAX(1,N(Tasks[[#This Row],[Level]])))</f>
        <v/>
      </c>
      <c r="BK185" s="41" t="n">
        <f aca="false">ROW()-ROW(Tasks[[#Headers],[ID]])</f>
        <v>180</v>
      </c>
      <c r="BL185" s="41" t="n">
        <f aca="false">IF(OR(Tasks[[#This Row],[Task Name]]="",Tasks[[#This Row],[_Level]]&lt;=1),0,IFERROR(LOOKUP(2,1/(Tasks[[#Headers],[_Level]]:Tasks[[#This Row],[_Level]]=Tasks[[#This Row],[_Level]]-1),ROW(Tasks[[#Headers],[_Level]]:Tasks[[#This Row],[_Level]])),0))</f>
        <v>0</v>
      </c>
      <c r="BM185" s="41" t="n">
        <f aca="false">IFERROR(N(INDEX(Tasks[_Level],Tasks[[#This Row],[_Row]]+1)),0)</f>
        <v>0</v>
      </c>
      <c r="BN185" s="102" t="b">
        <f aca="false">AND(Tasks[[#This Row],[Task Name]]&lt;&gt;"",Tasks[[#This Row],[_NextLevel]]&gt;Tasks[[#This Row],[_Level]])</f>
        <v>0</v>
      </c>
      <c r="BO185" s="41" t="n">
        <f aca="false">IF(Tasks[[#This Row],[_IsSummary]],COUNTIF(Tasks[WBS],Tasks[[#This Row],[WBS]]&amp;".*"),0)</f>
        <v>0</v>
      </c>
      <c r="BP185" s="41" t="n">
        <f aca="false">IF(AND(Tasks[[#This Row],[Task Name]]&lt;&gt;"",NOT(Tasks[[#This Row],[_IsSummary]])),1,0)</f>
        <v>0</v>
      </c>
      <c r="BQ185" s="41" t="n">
        <f aca="false">IF(N(Tasks[[#This Row],[Pred1 UID]])=0,0,IFERROR(MATCH(Tasks[[#This Row],[Pred1 UID]],Tasks[UID],0),-1))</f>
        <v>0</v>
      </c>
      <c r="BR185" s="41" t="n">
        <f aca="false">IF(N(Tasks[[#This Row],[Pred2 UID]])=0,0,IFERROR(MATCH(Tasks[[#This Row],[Pred2 UID]],Tasks[UID],0),-1))</f>
        <v>0</v>
      </c>
      <c r="BS18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5" s="103" t="str">
        <f aca="false">IF(NOT(Tasks[[#This Row],[_IsLeaf]]=1),"",IF(N(Tasks[[#This Row],[Duration]])&lt;=0,Tasks[[#This Row],[_LeafCalcStart]],WORKDAY.INTL(Tasks[[#This Row],[_LeafCalcStart]],Tasks[[#This Row],[Duration]]-1,WorkWeek,Holidays)))</f>
        <v/>
      </c>
      <c r="BU18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5" s="41" t="n">
        <f aca="false">IF(NOT(Tasks[[#This Row],[_IsLeaf]]=1),0,IF(N(Tasks[[#This Row],[Actual Finish]])&gt;0,1,MIN(1,N(Tasks[[#This Row],[% Complete]]))))</f>
        <v>0</v>
      </c>
      <c r="BX185" s="41" t="n">
        <f aca="false">IF(OR(NOT(Tasks[[#This Row],[_IsLeaf]]=1),Tasks[[#This Row],[Resource]]=""),0,N(Tasks[[#This Row],[Duration]])*HoursPerDay*IF(Tasks[[#This Row],[Units]]="",DefaultUnits,Tasks[[#This Row],[Units]]))</f>
        <v>0</v>
      </c>
      <c r="BY185" s="41" t="n">
        <f aca="false">IF(Tasks[[#This Row],[_LeafWork]]=0,0,Tasks[[#This Row],[_LeafWork]]*IFERROR(INDEX(res_Rate,MATCH(Tasks[[#This Row],[Resource]],res_Name,0)),0))</f>
        <v>0</v>
      </c>
      <c r="BZ1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5" s="41" t="n">
        <f aca="false">IF(NOT(Tasks[[#This Row],[_IsLeaf]]=1),0,MAX(_xlfn.MAXIFS(Tasks[_Row],Tasks[Pred1 UID],Tasks[[#This Row],[UID]]),_xlfn.MAXIFS(Tasks[_Row],Tasks[Pred2 UID],Tasks[[#This Row],[UID]])))</f>
        <v>0</v>
      </c>
      <c r="CE18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5" s="103" t="str">
        <f aca="false">IF(NOT(Tasks[[#This Row],[_IsLeaf]]=1),"",MIN(ProjectFinish,IF(N(Tasks[[#This Row],[Deadline]])&gt;0,Tasks[[#This Row],[Deadline]],2958465),Tasks[[#This Row],[_SuccessorFinishLimit]]))</f>
        <v/>
      </c>
      <c r="CG185" s="103" t="str">
        <f aca="false">IF(NOT(Tasks[[#This Row],[_IsLeaf]]=1),"",IF(N(Tasks[[#This Row],[Duration]])&lt;=0,Tasks[[#This Row],[_LeafLateFinish]],WORKDAY.INTL(Tasks[[#This Row],[_LeafLateFinish]],-(Tasks[[#This Row],[Duration]]-1),WorkWeek,Holidays)))</f>
        <v/>
      </c>
      <c r="CH1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5" s="102" t="b">
        <f aca="false">AND(Tasks[[#This Row],[_IsLeaf]]=1,Tasks[[#This Row],[_LeafProgress]]&lt;1,N(Tasks[[#This Row],[_LeafTotalSlack]])&lt;=CriticalSlackDays)</f>
        <v>0</v>
      </c>
      <c r="CJ185" s="103" t="str">
        <f aca="false">IF(Tasks[[#This Row],[Task Name]]="","",IF(Tasks[[#This Row],[_IsSummary]],MIN(INDEX(Tasks[_LeafCalcStart],Tasks[[#This Row],[_Row]]+1):INDEX(Tasks[_LeafCalcStart],Tasks[[#This Row],[_Row]]+Tasks[[#This Row],[_Descendants]])),Tasks[[#This Row],[_LeafCalcStart]]))</f>
        <v/>
      </c>
      <c r="CK185" s="103" t="str">
        <f aca="false">IF(Tasks[[#This Row],[Task Name]]="","",IF(Tasks[[#This Row],[_IsSummary]],MAX(INDEX(Tasks[_LeafCalcFinish],Tasks[[#This Row],[_Row]]+1):INDEX(Tasks[_LeafCalcFinish],Tasks[[#This Row],[_Row]]+Tasks[[#This Row],[_Descendants]])),Tasks[[#This Row],[_LeafCalcFinish]]))</f>
        <v/>
      </c>
      <c r="CL1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5" s="41" t="n">
        <f aca="false">IF(AND(Tasks[[#This Row],[_IsLeaf]]=1,Tasks[[#This Row],[_LeafWork]]&gt;0),NETWORKDAYS.INTL(ProjectStart,Tasks[[#This Row],[_LeafFcstStart]],WorkWeek,Holidays),0)</f>
        <v>0</v>
      </c>
      <c r="CS185" s="41" t="n">
        <f aca="false">IF(AND(Tasks[[#This Row],[_IsLeaf]]=1,Tasks[[#This Row],[_LeafWork]]&gt;0),MAX(Tasks[[#This Row],[_StartWorkday]],NETWORKDAYS.INTL(ProjectStart,Tasks[[#This Row],[_LeafFcstFinish]],WorkWeek,Holidays)),0)</f>
        <v>0</v>
      </c>
      <c r="CT185" s="41" t="n">
        <f aca="false">IF(AND(Tasks[[#This Row],[_IsLeaf]]=1,Tasks[[#This Row],[_LeafWork]]&gt;0),Tasks[[#This Row],[_LeafWork]]/(Tasks[[#This Row],[_FinishWorkday]]-Tasks[[#This Row],[_StartWorkday]]+1),0)</f>
        <v>0</v>
      </c>
      <c r="CU185" s="41" t="n">
        <f aca="false">Tasks[[#This Row],[_WorkPerWorkday]]*(Tasks[[#This Row],[_StartWorkday]]-1)</f>
        <v>-0</v>
      </c>
      <c r="CV185" s="41" t="n">
        <f aca="false">IF(Tasks[[#This Row],[_IsLeaf]]=1,MAX(N(Tasks[[#This Row],[Duration]]),0.1),0)</f>
        <v>0</v>
      </c>
      <c r="CW185" s="41" t="n">
        <f aca="false">Tasks[[#This Row],[_WeightDur]]*Tasks[[#This Row],[_LeafProgress]]</f>
        <v>0</v>
      </c>
      <c r="CX1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5" s="41" t="str">
        <f aca="false">IF(Tasks[[#This Row],[Task Name]]="","",Tasks[[#This Row],[_Pred1UIDText]]&amp;IF(AND(Tasks[[#This Row],[_Pred1UIDText]]&lt;&gt;"",Tasks[[#This Row],[_Pred2UIDText]]&lt;&gt;""),",","")&amp;Tasks[[#This Row],[_Pred2UIDText]])</f>
        <v/>
      </c>
      <c r="DC185" s="41" t="str">
        <f aca="false">IF(AND(Tasks[[#This Row],[_IsLeaf]]=1,N(Tasks[[#This Row],[Duration]])=0,Tasks[[#This Row],[_LeafProgress]]&lt;1),Tasks[[#This Row],[_LeafFcstFinish]]+Tasks[[#This Row],[_Row]]/100000,"")</f>
        <v/>
      </c>
      <c r="DD1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5" s="41" t="n">
        <f aca="false">IF(NOT(Tasks[[#This Row],[_IsLeaf]]=1),0,IF(Tasks[[#This Row],[Baseline Cost]]="",Tasks[[#This Row],[_LeafCost]],N(Tasks[[#This Row],[Baseline Cost]])))</f>
        <v>0</v>
      </c>
      <c r="DF185" s="41" t="n">
        <f aca="false">Tasks[[#This Row],[_LeafBudget]]*Tasks[[#This Row],[_PlannedPct]]</f>
        <v>0</v>
      </c>
      <c r="DG185" s="41" t="n">
        <f aca="false">Tasks[[#This Row],[_LeafBudget]]*Tasks[[#This Row],[_LeafProgress]]</f>
        <v>0</v>
      </c>
      <c r="DH185" s="41" t="n">
        <f aca="false">IF(NOT(Tasks[[#This Row],[_IsLeaf]]=1),0,IF(Tasks[[#This Row],[Actual Cost]]="",Tasks[[#This Row],[_LeafCost]]*Tasks[[#This Row],[_LeafProgress]],N(Tasks[[#This Row],[Actual Cost]])))</f>
        <v>0</v>
      </c>
      <c r="DI185" s="41" t="str">
        <f aca="false">IF(Tasks[[#This Row],[Task Name]]="","",LEFT(Tasks[[#This Row],[WBS]],FIND(".",Tasks[[#This Row],[WBS]]&amp;".")-1))</f>
        <v/>
      </c>
      <c r="DJ185" s="41" t="str">
        <f aca="false">IF(AND(Tasks[[#This Row],[Task Name]]&lt;&gt;"",Tasks[[#This Row],[_Level]]=1),Tasks[[#This Row],[_Row]],"")</f>
        <v/>
      </c>
      <c r="DK185" s="41" t="str">
        <f aca="false">IF(AND(Tasks[[#This Row],[_IsLeaf]]=1,N(Tasks[[#This Row],[Duration]])=0),Tasks[[#This Row],[Planned Finish]]+Tasks[[#This Row],[_Row]]/100000,"")</f>
        <v/>
      </c>
      <c r="DL185" s="41" t="str">
        <f aca="false">IF(AND(Tasks[[#This Row],[_IsLeaf]]=1,Tasks[[#This Row],[_LeafProgress]]&lt;1,OR(N(Tasks[[#This Row],[Finish Var]])&gt;0,Tasks[[#This Row],[Status]]="Late Start")),MAX(0,Tasks[[#This Row],[Finish Var]])+1-Tasks[[#This Row],[_Row]]/1000000,"")</f>
        <v/>
      </c>
      <c r="DM185" s="41" t="str">
        <f aca="false">IF(AND(Tasks[[#This Row],[_IsLeaf]]=1,N(Tasks[[#This Row],[Actual Start]])=0,Tasks[[#This Row],[_LeafFcstStart]]&gt;=StatusDate,Tasks[[#This Row],[_LeafFcstStart]]&lt;=LookaheadEnd),Tasks[[#This Row],[_LeafFcstStart]]+Tasks[[#This Row],[_Row]]/100000,"")</f>
        <v/>
      </c>
      <c r="DN185" s="41" t="str">
        <f aca="false">IF(AND(Tasks[[#This Row],[_IsLeaf]]=1,Tasks[[#This Row],[_LeafProgress]]&lt;1,Tasks[[#This Row],[_LeafFcstFinish]]&gt;=StatusDate,Tasks[[#This Row],[_LeafFcstFinish]]&lt;=LookaheadEnd),Tasks[[#This Row],[_LeafFcstFinish]]+Tasks[[#This Row],[_Row]]/100000,"")</f>
        <v/>
      </c>
      <c r="DO185" s="41" t="str">
        <f aca="false">IF(Tasks[[#This Row],[_LeafCritical]],Tasks[[#This Row],[_LeafFcstStart]]+Tasks[[#This Row],[_Row]]/100000,"")</f>
        <v/>
      </c>
      <c r="DP185" s="41" t="n">
        <f aca="false">Tasks[[#This Row],[_LeafWork]]*Tasks[[#This Row],[_LeafProgress]]</f>
        <v>0</v>
      </c>
      <c r="DQ185" s="103" t="str">
        <f aca="false">IF(AND(Tasks[[#This Row],[_IsLeaf]]=1,Tasks[[#This Row],[_LeafProgress]]&gt;=1),IF(N(Tasks[[#This Row],[Actual Finish]])&gt;0,Tasks[[#This Row],[Actual Finish]],Tasks[[#This Row],[_LeafFcstFinish]]),"")</f>
        <v/>
      </c>
      <c r="DR185" s="41" t="n">
        <f aca="false">IF(Tasks[[#This Row],[_IsLeaf]]=1,N(Tasks[[#This Row],[Story Points]]),0)</f>
        <v>0</v>
      </c>
      <c r="DS185" s="41" t="str">
        <f aca="false">IF(AND(Tasks[[#This Row],[_IsLeaf]]=1,CurrentSprint&lt;&gt;"",Tasks[[#This Row],[Sprint]]=CurrentSprint),Tasks[[#This Row],[_Row]],"")</f>
        <v/>
      </c>
    </row>
    <row r="186" customFormat="false" ht="15" hidden="false" customHeight="false" outlineLevel="0" collapsed="false">
      <c r="A186" s="28" t="str">
        <f aca="false">IF(Tasks[[#This Row],[Task Name]]="","",COUNTA(Tasks[[#Headers],[Task Name]]:Tasks[[#This Row],[Task Name]])-1)</f>
        <v/>
      </c>
      <c r="B186" s="29" t="n">
        <v>181</v>
      </c>
      <c r="C1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29"/>
      <c r="E186" s="30"/>
      <c r="F186" s="29"/>
      <c r="G186" s="29"/>
      <c r="H186" s="29"/>
      <c r="I186" s="29"/>
      <c r="J186" s="29"/>
      <c r="K186" s="29"/>
      <c r="L186" s="29"/>
      <c r="M186" s="29"/>
      <c r="N186" s="77"/>
      <c r="O186" s="77"/>
      <c r="P186" s="25" t="str">
        <f aca="false">IF(Tasks[[#This Row],[Task Name]]="","",IF(N(Tasks[[#This Row],[Baseline Start]])&gt;0,Tasks[[#This Row],[Baseline Start]],Tasks[[#This Row],[_CalcStart]]))</f>
        <v/>
      </c>
      <c r="Q186" s="25" t="str">
        <f aca="false">IF(Tasks[[#This Row],[Task Name]]="","",IF(N(Tasks[[#This Row],[Baseline Finish]])&gt;0,Tasks[[#This Row],[Baseline Finish]],Tasks[[#This Row],[_CalcFinish]]))</f>
        <v/>
      </c>
      <c r="R186" s="77"/>
      <c r="S186" s="77"/>
      <c r="T186" s="25" t="str">
        <f aca="false">IF(Tasks[[#This Row],[Task Name]]="","",IF(Tasks[[#This Row],[_IsSummary]],MIN(INDEX(Tasks[_LeafFcstStart],Tasks[[#This Row],[_Row]]+1):INDEX(Tasks[_LeafFcstStart],Tasks[[#This Row],[_Row]]+Tasks[[#This Row],[_Descendants]])),Tasks[[#This Row],[_LeafFcstStart]]))</f>
        <v/>
      </c>
      <c r="U186" s="25" t="str">
        <f aca="false">IF(Tasks[[#This Row],[Task Name]]="","",IF(Tasks[[#This Row],[_IsSummary]],MAX(INDEX(Tasks[_LeafFcstFinish],Tasks[[#This Row],[_Row]]+1):INDEX(Tasks[_LeafFcstFinish],Tasks[[#This Row],[_Row]]+Tasks[[#This Row],[_Descendants]])),Tasks[[#This Row],[_LeafFcstFinish]]))</f>
        <v/>
      </c>
      <c r="V18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6" s="25" t="str">
        <f aca="false">IF(Tasks[[#This Row],[Task Name]]="","",IF(Tasks[[#This Row],[_IsSummary]],MIN(INDEX(Tasks[_LeafLateStart],Tasks[[#This Row],[_Row]]+1):INDEX(Tasks[_LeafLateStart],Tasks[[#This Row],[_Row]]+Tasks[[#This Row],[_Descendants]])),Tasks[[#This Row],[_LeafLateStart]]))</f>
        <v/>
      </c>
      <c r="Y186" s="25" t="str">
        <f aca="false">IF(Tasks[[#This Row],[Task Name]]="","",IF(Tasks[[#This Row],[_IsSummary]],MAX(INDEX(Tasks[_LeafLateFinish],Tasks[[#This Row],[_Row]]+1):INDEX(Tasks[_LeafLateFinish],Tasks[[#This Row],[_Row]]+Tasks[[#This Row],[_Descendants]])),Tasks[[#This Row],[_LeafLateFinish]]))</f>
        <v/>
      </c>
      <c r="Z186" s="43" t="str">
        <f aca="false">IF(Tasks[[#This Row],[Task Name]]="","",IF(Tasks[[#This Row],[_IsSummary]],MIN(INDEX(Tasks[_LeafTotalSlack],Tasks[[#This Row],[_Row]]+1):INDEX(Tasks[_LeafTotalSlack],Tasks[[#This Row],[_Row]]+Tasks[[#This Row],[_Descendants]])),Tasks[[#This Row],[_LeafTotalSlack]]))</f>
        <v/>
      </c>
      <c r="AA1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6" s="28" t="str">
        <f aca="false">IF(Tasks[[#This Row],[Task Name]]="","",IF(IF(Tasks[[#This Row],[_IsSummary]],COUNTIF(INDEX(Tasks[_LeafCritical],Tasks[[#This Row],[_Row]]+1):INDEX(Tasks[_LeafCritical],Tasks[[#This Row],[_Row]]+Tasks[[#This Row],[_Descendants]]),TRUE())&gt;0,Tasks[[#This Row],[_LeafCritical]]),"Yes",""))</f>
        <v/>
      </c>
      <c r="AC1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6" s="24" t="str">
        <f aca="false">IF(Tasks[[#This Row],[Task Name]]="","",TRIM(IF(Tasks[[#This Row],[_Pred1Problem]]&lt;&gt;"","Pred 1: "&amp;Tasks[[#This Row],[_Pred1Problem]]&amp;". ","")&amp;IF(Tasks[[#This Row],[_Pred2Problem]]&lt;&gt;"","Pred 2: "&amp;Tasks[[#This Row],[_Pred2Problem]]&amp;".","")))</f>
        <v/>
      </c>
      <c r="AE186" s="91"/>
      <c r="AF18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6" s="28" t="str">
        <f aca="false">IF(Tasks[[#This Row],[Task Name]]="","",IF(Tasks[[#This Row],[Progress]]&gt;=1,"Complete",IF(OR(N(Tasks[[#This Row],[Actual Start]])&gt;0,Tasks[[#This Row],[Progress]]&gt;0),IF(Tasks[[#This Row],[Finish Var]]&gt;0,"Behind","In Progress"),IF(Tasks[[#This Row],[Planned Start]]&lt;StatusDate,"Late Start","Not Started"))))</f>
        <v/>
      </c>
      <c r="AH186" s="30"/>
      <c r="AI186" s="91"/>
      <c r="AJ18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6" s="98" t="str">
        <f aca="false">IF(Tasks[[#This Row],[Task Name]]="","",IF(Tasks[[#This Row],[_IsSummary]],SUM(INDEX(Tasks[_LeafWork],Tasks[[#This Row],[_Row]]+1):INDEX(Tasks[_LeafWork],Tasks[[#This Row],[_Row]]+Tasks[[#This Row],[_Descendants]])),Tasks[[#This Row],[_LeafWork]]))</f>
        <v/>
      </c>
      <c r="AL186" s="99" t="str">
        <f aca="false">IF(Tasks[[#This Row],[Task Name]]="","",IF(Tasks[[#This Row],[_IsSummary]],SUM(INDEX(Tasks[_LeafCost],Tasks[[#This Row],[_Row]]+1):INDEX(Tasks[_LeafCost],Tasks[[#This Row],[_Row]]+Tasks[[#This Row],[_Descendants]])),Tasks[[#This Row],[_LeafCost]]))</f>
        <v/>
      </c>
      <c r="AM186" s="100"/>
      <c r="AN186" s="29"/>
      <c r="AO1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6" s="85"/>
      <c r="AQ186" s="24" t="str">
        <f aca="false">IF(Tasks[[#This Row],[Task Name]]="","",Tasks[[#This Row],[_Pred1IDText]]&amp;IF(AND(Tasks[[#This Row],[_Pred1IDText]]&lt;&gt;"",Tasks[[#This Row],[_Pred2IDText]]&lt;&gt;""),",","")&amp;Tasks[[#This Row],[_Pred2IDText]])</f>
        <v/>
      </c>
      <c r="AR186" s="30"/>
      <c r="AS186" s="25" t="str">
        <f aca="false">IF(Tasks[[#This Row],[Task Name]]="","",Tasks[[#This Row],[Forecast Start]])</f>
        <v/>
      </c>
      <c r="AT186" s="25" t="str">
        <f aca="false">IF(Tasks[[#This Row],[Task Name]]="","",Tasks[[#This Row],[Forecast Finish]])</f>
        <v/>
      </c>
      <c r="AU186" s="28" t="str">
        <f aca="false">IF(Tasks[[#This Row],[Task Name]]="","",IF(Tasks[[#This Row],[_IsSummary]],NETWORKDAYS.INTL(Tasks[[#This Row],[Forecast Start]],Tasks[[#This Row],[Forecast Finish]],WorkWeek,Holidays),N(Tasks[[#This Row],[Duration]])))</f>
        <v/>
      </c>
      <c r="AV186" s="98" t="str">
        <f aca="false">IF(Tasks[[#This Row],[Task Name]]="","",Tasks[[#This Row],[Work]])</f>
        <v/>
      </c>
      <c r="AW186" s="99" t="str">
        <f aca="false">IF(Tasks[[#This Row],[Task Name]]="","",Tasks[[#This Row],[Cost]])</f>
        <v/>
      </c>
      <c r="AX186" s="77"/>
      <c r="AY186" s="77"/>
      <c r="AZ186" s="29"/>
      <c r="BA186" s="101"/>
      <c r="BB186" s="100"/>
      <c r="BC186" s="28" t="str">
        <f aca="false">IF(OR(Tasks[[#This Row],[Task Name]]="",Tasks[[#This Row],[Baseline Duration]]=""),"",Tasks[[#This Row],[BL Source Duration]]-N(Tasks[[#This Row],[Baseline Duration]]))</f>
        <v/>
      </c>
      <c r="BD186" s="98" t="str">
        <f aca="false">IF(OR(Tasks[[#This Row],[Task Name]]="",Tasks[[#This Row],[Baseline Work]]=""),"",Tasks[[#This Row],[Work]]-N(Tasks[[#This Row],[Baseline Work]]))</f>
        <v/>
      </c>
      <c r="BE186" s="99" t="str">
        <f aca="false">IF(OR(Tasks[[#This Row],[Task Name]]="",Tasks[[#This Row],[Baseline Cost]]=""),"",Tasks[[#This Row],[Cost]]-N(Tasks[[#This Row],[Baseline Cost]]))</f>
        <v/>
      </c>
      <c r="BF186" s="99" t="str">
        <f aca="false">IF(Tasks[[#This Row],[Task Name]]="","",IF(Tasks[[#This Row],[_IsSummary]],SUM(INDEX(Tasks[_LeafBudget],Tasks[[#This Row],[_Row]]+1):INDEX(Tasks[_LeafBudget],Tasks[[#This Row],[_Row]]+Tasks[[#This Row],[_Descendants]])),Tasks[[#This Row],[_LeafBudget]]))</f>
        <v/>
      </c>
      <c r="BG186" s="99" t="str">
        <f aca="false">IF(Tasks[[#This Row],[Task Name]]="","",IF(Tasks[[#This Row],[_IsSummary]],SUM(INDEX(Tasks[_LeafPV],Tasks[[#This Row],[_Row]]+1):INDEX(Tasks[_LeafPV],Tasks[[#This Row],[_Row]]+Tasks[[#This Row],[_Descendants]])),Tasks[[#This Row],[_LeafPV]]))</f>
        <v/>
      </c>
      <c r="BH186" s="99" t="str">
        <f aca="false">IF(Tasks[[#This Row],[Task Name]]="","",IF(Tasks[[#This Row],[_IsSummary]],SUM(INDEX(Tasks[_LeafEV],Tasks[[#This Row],[_Row]]+1):INDEX(Tasks[_LeafEV],Tasks[[#This Row],[_Row]]+Tasks[[#This Row],[_Descendants]])),Tasks[[#This Row],[_LeafEV]]))</f>
        <v/>
      </c>
      <c r="BI186" s="99" t="str">
        <f aca="false">IF(Tasks[[#This Row],[Task Name]]="","",IF(Tasks[[#This Row],[_IsSummary]],SUM(INDEX(Tasks[_LeafAC],Tasks[[#This Row],[_Row]]+1):INDEX(Tasks[_LeafAC],Tasks[[#This Row],[_Row]]+Tasks[[#This Row],[_Descendants]])),Tasks[[#This Row],[_LeafAC]]))</f>
        <v/>
      </c>
      <c r="BJ186" s="41" t="str">
        <f aca="false">IF(Tasks[[#This Row],[Task Name]]="","",MAX(1,N(Tasks[[#This Row],[Level]])))</f>
        <v/>
      </c>
      <c r="BK186" s="41" t="n">
        <f aca="false">ROW()-ROW(Tasks[[#Headers],[ID]])</f>
        <v>181</v>
      </c>
      <c r="BL186" s="41" t="n">
        <f aca="false">IF(OR(Tasks[[#This Row],[Task Name]]="",Tasks[[#This Row],[_Level]]&lt;=1),0,IFERROR(LOOKUP(2,1/(Tasks[[#Headers],[_Level]]:Tasks[[#This Row],[_Level]]=Tasks[[#This Row],[_Level]]-1),ROW(Tasks[[#Headers],[_Level]]:Tasks[[#This Row],[_Level]])),0))</f>
        <v>0</v>
      </c>
      <c r="BM186" s="41" t="n">
        <f aca="false">IFERROR(N(INDEX(Tasks[_Level],Tasks[[#This Row],[_Row]]+1)),0)</f>
        <v>0</v>
      </c>
      <c r="BN186" s="102" t="b">
        <f aca="false">AND(Tasks[[#This Row],[Task Name]]&lt;&gt;"",Tasks[[#This Row],[_NextLevel]]&gt;Tasks[[#This Row],[_Level]])</f>
        <v>0</v>
      </c>
      <c r="BO186" s="41" t="n">
        <f aca="false">IF(Tasks[[#This Row],[_IsSummary]],COUNTIF(Tasks[WBS],Tasks[[#This Row],[WBS]]&amp;".*"),0)</f>
        <v>0</v>
      </c>
      <c r="BP186" s="41" t="n">
        <f aca="false">IF(AND(Tasks[[#This Row],[Task Name]]&lt;&gt;"",NOT(Tasks[[#This Row],[_IsSummary]])),1,0)</f>
        <v>0</v>
      </c>
      <c r="BQ186" s="41" t="n">
        <f aca="false">IF(N(Tasks[[#This Row],[Pred1 UID]])=0,0,IFERROR(MATCH(Tasks[[#This Row],[Pred1 UID]],Tasks[UID],0),-1))</f>
        <v>0</v>
      </c>
      <c r="BR186" s="41" t="n">
        <f aca="false">IF(N(Tasks[[#This Row],[Pred2 UID]])=0,0,IFERROR(MATCH(Tasks[[#This Row],[Pred2 UID]],Tasks[UID],0),-1))</f>
        <v>0</v>
      </c>
      <c r="BS18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6" s="103" t="str">
        <f aca="false">IF(NOT(Tasks[[#This Row],[_IsLeaf]]=1),"",IF(N(Tasks[[#This Row],[Duration]])&lt;=0,Tasks[[#This Row],[_LeafCalcStart]],WORKDAY.INTL(Tasks[[#This Row],[_LeafCalcStart]],Tasks[[#This Row],[Duration]]-1,WorkWeek,Holidays)))</f>
        <v/>
      </c>
      <c r="BU18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6" s="41" t="n">
        <f aca="false">IF(NOT(Tasks[[#This Row],[_IsLeaf]]=1),0,IF(N(Tasks[[#This Row],[Actual Finish]])&gt;0,1,MIN(1,N(Tasks[[#This Row],[% Complete]]))))</f>
        <v>0</v>
      </c>
      <c r="BX186" s="41" t="n">
        <f aca="false">IF(OR(NOT(Tasks[[#This Row],[_IsLeaf]]=1),Tasks[[#This Row],[Resource]]=""),0,N(Tasks[[#This Row],[Duration]])*HoursPerDay*IF(Tasks[[#This Row],[Units]]="",DefaultUnits,Tasks[[#This Row],[Units]]))</f>
        <v>0</v>
      </c>
      <c r="BY186" s="41" t="n">
        <f aca="false">IF(Tasks[[#This Row],[_LeafWork]]=0,0,Tasks[[#This Row],[_LeafWork]]*IFERROR(INDEX(res_Rate,MATCH(Tasks[[#This Row],[Resource]],res_Name,0)),0))</f>
        <v>0</v>
      </c>
      <c r="BZ1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6" s="41" t="n">
        <f aca="false">IF(NOT(Tasks[[#This Row],[_IsLeaf]]=1),0,MAX(_xlfn.MAXIFS(Tasks[_Row],Tasks[Pred1 UID],Tasks[[#This Row],[UID]]),_xlfn.MAXIFS(Tasks[_Row],Tasks[Pred2 UID],Tasks[[#This Row],[UID]])))</f>
        <v>0</v>
      </c>
      <c r="CE18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6" s="103" t="str">
        <f aca="false">IF(NOT(Tasks[[#This Row],[_IsLeaf]]=1),"",MIN(ProjectFinish,IF(N(Tasks[[#This Row],[Deadline]])&gt;0,Tasks[[#This Row],[Deadline]],2958465),Tasks[[#This Row],[_SuccessorFinishLimit]]))</f>
        <v/>
      </c>
      <c r="CG186" s="103" t="str">
        <f aca="false">IF(NOT(Tasks[[#This Row],[_IsLeaf]]=1),"",IF(N(Tasks[[#This Row],[Duration]])&lt;=0,Tasks[[#This Row],[_LeafLateFinish]],WORKDAY.INTL(Tasks[[#This Row],[_LeafLateFinish]],-(Tasks[[#This Row],[Duration]]-1),WorkWeek,Holidays)))</f>
        <v/>
      </c>
      <c r="CH1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6" s="102" t="b">
        <f aca="false">AND(Tasks[[#This Row],[_IsLeaf]]=1,Tasks[[#This Row],[_LeafProgress]]&lt;1,N(Tasks[[#This Row],[_LeafTotalSlack]])&lt;=CriticalSlackDays)</f>
        <v>0</v>
      </c>
      <c r="CJ186" s="103" t="str">
        <f aca="false">IF(Tasks[[#This Row],[Task Name]]="","",IF(Tasks[[#This Row],[_IsSummary]],MIN(INDEX(Tasks[_LeafCalcStart],Tasks[[#This Row],[_Row]]+1):INDEX(Tasks[_LeafCalcStart],Tasks[[#This Row],[_Row]]+Tasks[[#This Row],[_Descendants]])),Tasks[[#This Row],[_LeafCalcStart]]))</f>
        <v/>
      </c>
      <c r="CK186" s="103" t="str">
        <f aca="false">IF(Tasks[[#This Row],[Task Name]]="","",IF(Tasks[[#This Row],[_IsSummary]],MAX(INDEX(Tasks[_LeafCalcFinish],Tasks[[#This Row],[_Row]]+1):INDEX(Tasks[_LeafCalcFinish],Tasks[[#This Row],[_Row]]+Tasks[[#This Row],[_Descendants]])),Tasks[[#This Row],[_LeafCalcFinish]]))</f>
        <v/>
      </c>
      <c r="CL1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6" s="41" t="n">
        <f aca="false">IF(AND(Tasks[[#This Row],[_IsLeaf]]=1,Tasks[[#This Row],[_LeafWork]]&gt;0),NETWORKDAYS.INTL(ProjectStart,Tasks[[#This Row],[_LeafFcstStart]],WorkWeek,Holidays),0)</f>
        <v>0</v>
      </c>
      <c r="CS186" s="41" t="n">
        <f aca="false">IF(AND(Tasks[[#This Row],[_IsLeaf]]=1,Tasks[[#This Row],[_LeafWork]]&gt;0),MAX(Tasks[[#This Row],[_StartWorkday]],NETWORKDAYS.INTL(ProjectStart,Tasks[[#This Row],[_LeafFcstFinish]],WorkWeek,Holidays)),0)</f>
        <v>0</v>
      </c>
      <c r="CT186" s="41" t="n">
        <f aca="false">IF(AND(Tasks[[#This Row],[_IsLeaf]]=1,Tasks[[#This Row],[_LeafWork]]&gt;0),Tasks[[#This Row],[_LeafWork]]/(Tasks[[#This Row],[_FinishWorkday]]-Tasks[[#This Row],[_StartWorkday]]+1),0)</f>
        <v>0</v>
      </c>
      <c r="CU186" s="41" t="n">
        <f aca="false">Tasks[[#This Row],[_WorkPerWorkday]]*(Tasks[[#This Row],[_StartWorkday]]-1)</f>
        <v>-0</v>
      </c>
      <c r="CV186" s="41" t="n">
        <f aca="false">IF(Tasks[[#This Row],[_IsLeaf]]=1,MAX(N(Tasks[[#This Row],[Duration]]),0.1),0)</f>
        <v>0</v>
      </c>
      <c r="CW186" s="41" t="n">
        <f aca="false">Tasks[[#This Row],[_WeightDur]]*Tasks[[#This Row],[_LeafProgress]]</f>
        <v>0</v>
      </c>
      <c r="CX1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6" s="41" t="str">
        <f aca="false">IF(Tasks[[#This Row],[Task Name]]="","",Tasks[[#This Row],[_Pred1UIDText]]&amp;IF(AND(Tasks[[#This Row],[_Pred1UIDText]]&lt;&gt;"",Tasks[[#This Row],[_Pred2UIDText]]&lt;&gt;""),",","")&amp;Tasks[[#This Row],[_Pred2UIDText]])</f>
        <v/>
      </c>
      <c r="DC186" s="41" t="str">
        <f aca="false">IF(AND(Tasks[[#This Row],[_IsLeaf]]=1,N(Tasks[[#This Row],[Duration]])=0,Tasks[[#This Row],[_LeafProgress]]&lt;1),Tasks[[#This Row],[_LeafFcstFinish]]+Tasks[[#This Row],[_Row]]/100000,"")</f>
        <v/>
      </c>
      <c r="DD1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6" s="41" t="n">
        <f aca="false">IF(NOT(Tasks[[#This Row],[_IsLeaf]]=1),0,IF(Tasks[[#This Row],[Baseline Cost]]="",Tasks[[#This Row],[_LeafCost]],N(Tasks[[#This Row],[Baseline Cost]])))</f>
        <v>0</v>
      </c>
      <c r="DF186" s="41" t="n">
        <f aca="false">Tasks[[#This Row],[_LeafBudget]]*Tasks[[#This Row],[_PlannedPct]]</f>
        <v>0</v>
      </c>
      <c r="DG186" s="41" t="n">
        <f aca="false">Tasks[[#This Row],[_LeafBudget]]*Tasks[[#This Row],[_LeafProgress]]</f>
        <v>0</v>
      </c>
      <c r="DH186" s="41" t="n">
        <f aca="false">IF(NOT(Tasks[[#This Row],[_IsLeaf]]=1),0,IF(Tasks[[#This Row],[Actual Cost]]="",Tasks[[#This Row],[_LeafCost]]*Tasks[[#This Row],[_LeafProgress]],N(Tasks[[#This Row],[Actual Cost]])))</f>
        <v>0</v>
      </c>
      <c r="DI186" s="41" t="str">
        <f aca="false">IF(Tasks[[#This Row],[Task Name]]="","",LEFT(Tasks[[#This Row],[WBS]],FIND(".",Tasks[[#This Row],[WBS]]&amp;".")-1))</f>
        <v/>
      </c>
      <c r="DJ186" s="41" t="str">
        <f aca="false">IF(AND(Tasks[[#This Row],[Task Name]]&lt;&gt;"",Tasks[[#This Row],[_Level]]=1),Tasks[[#This Row],[_Row]],"")</f>
        <v/>
      </c>
      <c r="DK186" s="41" t="str">
        <f aca="false">IF(AND(Tasks[[#This Row],[_IsLeaf]]=1,N(Tasks[[#This Row],[Duration]])=0),Tasks[[#This Row],[Planned Finish]]+Tasks[[#This Row],[_Row]]/100000,"")</f>
        <v/>
      </c>
      <c r="DL186" s="41" t="str">
        <f aca="false">IF(AND(Tasks[[#This Row],[_IsLeaf]]=1,Tasks[[#This Row],[_LeafProgress]]&lt;1,OR(N(Tasks[[#This Row],[Finish Var]])&gt;0,Tasks[[#This Row],[Status]]="Late Start")),MAX(0,Tasks[[#This Row],[Finish Var]])+1-Tasks[[#This Row],[_Row]]/1000000,"")</f>
        <v/>
      </c>
      <c r="DM186" s="41" t="str">
        <f aca="false">IF(AND(Tasks[[#This Row],[_IsLeaf]]=1,N(Tasks[[#This Row],[Actual Start]])=0,Tasks[[#This Row],[_LeafFcstStart]]&gt;=StatusDate,Tasks[[#This Row],[_LeafFcstStart]]&lt;=LookaheadEnd),Tasks[[#This Row],[_LeafFcstStart]]+Tasks[[#This Row],[_Row]]/100000,"")</f>
        <v/>
      </c>
      <c r="DN186" s="41" t="str">
        <f aca="false">IF(AND(Tasks[[#This Row],[_IsLeaf]]=1,Tasks[[#This Row],[_LeafProgress]]&lt;1,Tasks[[#This Row],[_LeafFcstFinish]]&gt;=StatusDate,Tasks[[#This Row],[_LeafFcstFinish]]&lt;=LookaheadEnd),Tasks[[#This Row],[_LeafFcstFinish]]+Tasks[[#This Row],[_Row]]/100000,"")</f>
        <v/>
      </c>
      <c r="DO186" s="41" t="str">
        <f aca="false">IF(Tasks[[#This Row],[_LeafCritical]],Tasks[[#This Row],[_LeafFcstStart]]+Tasks[[#This Row],[_Row]]/100000,"")</f>
        <v/>
      </c>
      <c r="DP186" s="41" t="n">
        <f aca="false">Tasks[[#This Row],[_LeafWork]]*Tasks[[#This Row],[_LeafProgress]]</f>
        <v>0</v>
      </c>
      <c r="DQ186" s="103" t="str">
        <f aca="false">IF(AND(Tasks[[#This Row],[_IsLeaf]]=1,Tasks[[#This Row],[_LeafProgress]]&gt;=1),IF(N(Tasks[[#This Row],[Actual Finish]])&gt;0,Tasks[[#This Row],[Actual Finish]],Tasks[[#This Row],[_LeafFcstFinish]]),"")</f>
        <v/>
      </c>
      <c r="DR186" s="41" t="n">
        <f aca="false">IF(Tasks[[#This Row],[_IsLeaf]]=1,N(Tasks[[#This Row],[Story Points]]),0)</f>
        <v>0</v>
      </c>
      <c r="DS186" s="41" t="str">
        <f aca="false">IF(AND(Tasks[[#This Row],[_IsLeaf]]=1,CurrentSprint&lt;&gt;"",Tasks[[#This Row],[Sprint]]=CurrentSprint),Tasks[[#This Row],[_Row]],"")</f>
        <v/>
      </c>
    </row>
    <row r="187" customFormat="false" ht="15" hidden="false" customHeight="false" outlineLevel="0" collapsed="false">
      <c r="A187" s="28" t="str">
        <f aca="false">IF(Tasks[[#This Row],[Task Name]]="","",COUNTA(Tasks[[#Headers],[Task Name]]:Tasks[[#This Row],[Task Name]])-1)</f>
        <v/>
      </c>
      <c r="B187" s="29" t="n">
        <v>182</v>
      </c>
      <c r="C1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29"/>
      <c r="E187" s="30"/>
      <c r="F187" s="29"/>
      <c r="G187" s="29"/>
      <c r="H187" s="29"/>
      <c r="I187" s="29"/>
      <c r="J187" s="29"/>
      <c r="K187" s="29"/>
      <c r="L187" s="29"/>
      <c r="M187" s="29"/>
      <c r="N187" s="77"/>
      <c r="O187" s="77"/>
      <c r="P187" s="25" t="str">
        <f aca="false">IF(Tasks[[#This Row],[Task Name]]="","",IF(N(Tasks[[#This Row],[Baseline Start]])&gt;0,Tasks[[#This Row],[Baseline Start]],Tasks[[#This Row],[_CalcStart]]))</f>
        <v/>
      </c>
      <c r="Q187" s="25" t="str">
        <f aca="false">IF(Tasks[[#This Row],[Task Name]]="","",IF(N(Tasks[[#This Row],[Baseline Finish]])&gt;0,Tasks[[#This Row],[Baseline Finish]],Tasks[[#This Row],[_CalcFinish]]))</f>
        <v/>
      </c>
      <c r="R187" s="77"/>
      <c r="S187" s="77"/>
      <c r="T187" s="25" t="str">
        <f aca="false">IF(Tasks[[#This Row],[Task Name]]="","",IF(Tasks[[#This Row],[_IsSummary]],MIN(INDEX(Tasks[_LeafFcstStart],Tasks[[#This Row],[_Row]]+1):INDEX(Tasks[_LeafFcstStart],Tasks[[#This Row],[_Row]]+Tasks[[#This Row],[_Descendants]])),Tasks[[#This Row],[_LeafFcstStart]]))</f>
        <v/>
      </c>
      <c r="U187" s="25" t="str">
        <f aca="false">IF(Tasks[[#This Row],[Task Name]]="","",IF(Tasks[[#This Row],[_IsSummary]],MAX(INDEX(Tasks[_LeafFcstFinish],Tasks[[#This Row],[_Row]]+1):INDEX(Tasks[_LeafFcstFinish],Tasks[[#This Row],[_Row]]+Tasks[[#This Row],[_Descendants]])),Tasks[[#This Row],[_LeafFcstFinish]]))</f>
        <v/>
      </c>
      <c r="V18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7" s="25" t="str">
        <f aca="false">IF(Tasks[[#This Row],[Task Name]]="","",IF(Tasks[[#This Row],[_IsSummary]],MIN(INDEX(Tasks[_LeafLateStart],Tasks[[#This Row],[_Row]]+1):INDEX(Tasks[_LeafLateStart],Tasks[[#This Row],[_Row]]+Tasks[[#This Row],[_Descendants]])),Tasks[[#This Row],[_LeafLateStart]]))</f>
        <v/>
      </c>
      <c r="Y187" s="25" t="str">
        <f aca="false">IF(Tasks[[#This Row],[Task Name]]="","",IF(Tasks[[#This Row],[_IsSummary]],MAX(INDEX(Tasks[_LeafLateFinish],Tasks[[#This Row],[_Row]]+1):INDEX(Tasks[_LeafLateFinish],Tasks[[#This Row],[_Row]]+Tasks[[#This Row],[_Descendants]])),Tasks[[#This Row],[_LeafLateFinish]]))</f>
        <v/>
      </c>
      <c r="Z187" s="43" t="str">
        <f aca="false">IF(Tasks[[#This Row],[Task Name]]="","",IF(Tasks[[#This Row],[_IsSummary]],MIN(INDEX(Tasks[_LeafTotalSlack],Tasks[[#This Row],[_Row]]+1):INDEX(Tasks[_LeafTotalSlack],Tasks[[#This Row],[_Row]]+Tasks[[#This Row],[_Descendants]])),Tasks[[#This Row],[_LeafTotalSlack]]))</f>
        <v/>
      </c>
      <c r="AA1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7" s="28" t="str">
        <f aca="false">IF(Tasks[[#This Row],[Task Name]]="","",IF(IF(Tasks[[#This Row],[_IsSummary]],COUNTIF(INDEX(Tasks[_LeafCritical],Tasks[[#This Row],[_Row]]+1):INDEX(Tasks[_LeafCritical],Tasks[[#This Row],[_Row]]+Tasks[[#This Row],[_Descendants]]),TRUE())&gt;0,Tasks[[#This Row],[_LeafCritical]]),"Yes",""))</f>
        <v/>
      </c>
      <c r="AC1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7" s="24" t="str">
        <f aca="false">IF(Tasks[[#This Row],[Task Name]]="","",TRIM(IF(Tasks[[#This Row],[_Pred1Problem]]&lt;&gt;"","Pred 1: "&amp;Tasks[[#This Row],[_Pred1Problem]]&amp;". ","")&amp;IF(Tasks[[#This Row],[_Pred2Problem]]&lt;&gt;"","Pred 2: "&amp;Tasks[[#This Row],[_Pred2Problem]]&amp;".","")))</f>
        <v/>
      </c>
      <c r="AE187" s="91"/>
      <c r="AF18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7" s="28" t="str">
        <f aca="false">IF(Tasks[[#This Row],[Task Name]]="","",IF(Tasks[[#This Row],[Progress]]&gt;=1,"Complete",IF(OR(N(Tasks[[#This Row],[Actual Start]])&gt;0,Tasks[[#This Row],[Progress]]&gt;0),IF(Tasks[[#This Row],[Finish Var]]&gt;0,"Behind","In Progress"),IF(Tasks[[#This Row],[Planned Start]]&lt;StatusDate,"Late Start","Not Started"))))</f>
        <v/>
      </c>
      <c r="AH187" s="30"/>
      <c r="AI187" s="91"/>
      <c r="AJ18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7" s="98" t="str">
        <f aca="false">IF(Tasks[[#This Row],[Task Name]]="","",IF(Tasks[[#This Row],[_IsSummary]],SUM(INDEX(Tasks[_LeafWork],Tasks[[#This Row],[_Row]]+1):INDEX(Tasks[_LeafWork],Tasks[[#This Row],[_Row]]+Tasks[[#This Row],[_Descendants]])),Tasks[[#This Row],[_LeafWork]]))</f>
        <v/>
      </c>
      <c r="AL187" s="99" t="str">
        <f aca="false">IF(Tasks[[#This Row],[Task Name]]="","",IF(Tasks[[#This Row],[_IsSummary]],SUM(INDEX(Tasks[_LeafCost],Tasks[[#This Row],[_Row]]+1):INDEX(Tasks[_LeafCost],Tasks[[#This Row],[_Row]]+Tasks[[#This Row],[_Descendants]])),Tasks[[#This Row],[_LeafCost]]))</f>
        <v/>
      </c>
      <c r="AM187" s="100"/>
      <c r="AN187" s="29"/>
      <c r="AO1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7" s="85"/>
      <c r="AQ187" s="24" t="str">
        <f aca="false">IF(Tasks[[#This Row],[Task Name]]="","",Tasks[[#This Row],[_Pred1IDText]]&amp;IF(AND(Tasks[[#This Row],[_Pred1IDText]]&lt;&gt;"",Tasks[[#This Row],[_Pred2IDText]]&lt;&gt;""),",","")&amp;Tasks[[#This Row],[_Pred2IDText]])</f>
        <v/>
      </c>
      <c r="AR187" s="30"/>
      <c r="AS187" s="25" t="str">
        <f aca="false">IF(Tasks[[#This Row],[Task Name]]="","",Tasks[[#This Row],[Forecast Start]])</f>
        <v/>
      </c>
      <c r="AT187" s="25" t="str">
        <f aca="false">IF(Tasks[[#This Row],[Task Name]]="","",Tasks[[#This Row],[Forecast Finish]])</f>
        <v/>
      </c>
      <c r="AU187" s="28" t="str">
        <f aca="false">IF(Tasks[[#This Row],[Task Name]]="","",IF(Tasks[[#This Row],[_IsSummary]],NETWORKDAYS.INTL(Tasks[[#This Row],[Forecast Start]],Tasks[[#This Row],[Forecast Finish]],WorkWeek,Holidays),N(Tasks[[#This Row],[Duration]])))</f>
        <v/>
      </c>
      <c r="AV187" s="98" t="str">
        <f aca="false">IF(Tasks[[#This Row],[Task Name]]="","",Tasks[[#This Row],[Work]])</f>
        <v/>
      </c>
      <c r="AW187" s="99" t="str">
        <f aca="false">IF(Tasks[[#This Row],[Task Name]]="","",Tasks[[#This Row],[Cost]])</f>
        <v/>
      </c>
      <c r="AX187" s="77"/>
      <c r="AY187" s="77"/>
      <c r="AZ187" s="29"/>
      <c r="BA187" s="101"/>
      <c r="BB187" s="100"/>
      <c r="BC187" s="28" t="str">
        <f aca="false">IF(OR(Tasks[[#This Row],[Task Name]]="",Tasks[[#This Row],[Baseline Duration]]=""),"",Tasks[[#This Row],[BL Source Duration]]-N(Tasks[[#This Row],[Baseline Duration]]))</f>
        <v/>
      </c>
      <c r="BD187" s="98" t="str">
        <f aca="false">IF(OR(Tasks[[#This Row],[Task Name]]="",Tasks[[#This Row],[Baseline Work]]=""),"",Tasks[[#This Row],[Work]]-N(Tasks[[#This Row],[Baseline Work]]))</f>
        <v/>
      </c>
      <c r="BE187" s="99" t="str">
        <f aca="false">IF(OR(Tasks[[#This Row],[Task Name]]="",Tasks[[#This Row],[Baseline Cost]]=""),"",Tasks[[#This Row],[Cost]]-N(Tasks[[#This Row],[Baseline Cost]]))</f>
        <v/>
      </c>
      <c r="BF187" s="99" t="str">
        <f aca="false">IF(Tasks[[#This Row],[Task Name]]="","",IF(Tasks[[#This Row],[_IsSummary]],SUM(INDEX(Tasks[_LeafBudget],Tasks[[#This Row],[_Row]]+1):INDEX(Tasks[_LeafBudget],Tasks[[#This Row],[_Row]]+Tasks[[#This Row],[_Descendants]])),Tasks[[#This Row],[_LeafBudget]]))</f>
        <v/>
      </c>
      <c r="BG187" s="99" t="str">
        <f aca="false">IF(Tasks[[#This Row],[Task Name]]="","",IF(Tasks[[#This Row],[_IsSummary]],SUM(INDEX(Tasks[_LeafPV],Tasks[[#This Row],[_Row]]+1):INDEX(Tasks[_LeafPV],Tasks[[#This Row],[_Row]]+Tasks[[#This Row],[_Descendants]])),Tasks[[#This Row],[_LeafPV]]))</f>
        <v/>
      </c>
      <c r="BH187" s="99" t="str">
        <f aca="false">IF(Tasks[[#This Row],[Task Name]]="","",IF(Tasks[[#This Row],[_IsSummary]],SUM(INDEX(Tasks[_LeafEV],Tasks[[#This Row],[_Row]]+1):INDEX(Tasks[_LeafEV],Tasks[[#This Row],[_Row]]+Tasks[[#This Row],[_Descendants]])),Tasks[[#This Row],[_LeafEV]]))</f>
        <v/>
      </c>
      <c r="BI187" s="99" t="str">
        <f aca="false">IF(Tasks[[#This Row],[Task Name]]="","",IF(Tasks[[#This Row],[_IsSummary]],SUM(INDEX(Tasks[_LeafAC],Tasks[[#This Row],[_Row]]+1):INDEX(Tasks[_LeafAC],Tasks[[#This Row],[_Row]]+Tasks[[#This Row],[_Descendants]])),Tasks[[#This Row],[_LeafAC]]))</f>
        <v/>
      </c>
      <c r="BJ187" s="41" t="str">
        <f aca="false">IF(Tasks[[#This Row],[Task Name]]="","",MAX(1,N(Tasks[[#This Row],[Level]])))</f>
        <v/>
      </c>
      <c r="BK187" s="41" t="n">
        <f aca="false">ROW()-ROW(Tasks[[#Headers],[ID]])</f>
        <v>182</v>
      </c>
      <c r="BL187" s="41" t="n">
        <f aca="false">IF(OR(Tasks[[#This Row],[Task Name]]="",Tasks[[#This Row],[_Level]]&lt;=1),0,IFERROR(LOOKUP(2,1/(Tasks[[#Headers],[_Level]]:Tasks[[#This Row],[_Level]]=Tasks[[#This Row],[_Level]]-1),ROW(Tasks[[#Headers],[_Level]]:Tasks[[#This Row],[_Level]])),0))</f>
        <v>0</v>
      </c>
      <c r="BM187" s="41" t="n">
        <f aca="false">IFERROR(N(INDEX(Tasks[_Level],Tasks[[#This Row],[_Row]]+1)),0)</f>
        <v>0</v>
      </c>
      <c r="BN187" s="102" t="b">
        <f aca="false">AND(Tasks[[#This Row],[Task Name]]&lt;&gt;"",Tasks[[#This Row],[_NextLevel]]&gt;Tasks[[#This Row],[_Level]])</f>
        <v>0</v>
      </c>
      <c r="BO187" s="41" t="n">
        <f aca="false">IF(Tasks[[#This Row],[_IsSummary]],COUNTIF(Tasks[WBS],Tasks[[#This Row],[WBS]]&amp;".*"),0)</f>
        <v>0</v>
      </c>
      <c r="BP187" s="41" t="n">
        <f aca="false">IF(AND(Tasks[[#This Row],[Task Name]]&lt;&gt;"",NOT(Tasks[[#This Row],[_IsSummary]])),1,0)</f>
        <v>0</v>
      </c>
      <c r="BQ187" s="41" t="n">
        <f aca="false">IF(N(Tasks[[#This Row],[Pred1 UID]])=0,0,IFERROR(MATCH(Tasks[[#This Row],[Pred1 UID]],Tasks[UID],0),-1))</f>
        <v>0</v>
      </c>
      <c r="BR187" s="41" t="n">
        <f aca="false">IF(N(Tasks[[#This Row],[Pred2 UID]])=0,0,IFERROR(MATCH(Tasks[[#This Row],[Pred2 UID]],Tasks[UID],0),-1))</f>
        <v>0</v>
      </c>
      <c r="BS18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7" s="103" t="str">
        <f aca="false">IF(NOT(Tasks[[#This Row],[_IsLeaf]]=1),"",IF(N(Tasks[[#This Row],[Duration]])&lt;=0,Tasks[[#This Row],[_LeafCalcStart]],WORKDAY.INTL(Tasks[[#This Row],[_LeafCalcStart]],Tasks[[#This Row],[Duration]]-1,WorkWeek,Holidays)))</f>
        <v/>
      </c>
      <c r="BU18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7" s="41" t="n">
        <f aca="false">IF(NOT(Tasks[[#This Row],[_IsLeaf]]=1),0,IF(N(Tasks[[#This Row],[Actual Finish]])&gt;0,1,MIN(1,N(Tasks[[#This Row],[% Complete]]))))</f>
        <v>0</v>
      </c>
      <c r="BX187" s="41" t="n">
        <f aca="false">IF(OR(NOT(Tasks[[#This Row],[_IsLeaf]]=1),Tasks[[#This Row],[Resource]]=""),0,N(Tasks[[#This Row],[Duration]])*HoursPerDay*IF(Tasks[[#This Row],[Units]]="",DefaultUnits,Tasks[[#This Row],[Units]]))</f>
        <v>0</v>
      </c>
      <c r="BY187" s="41" t="n">
        <f aca="false">IF(Tasks[[#This Row],[_LeafWork]]=0,0,Tasks[[#This Row],[_LeafWork]]*IFERROR(INDEX(res_Rate,MATCH(Tasks[[#This Row],[Resource]],res_Name,0)),0))</f>
        <v>0</v>
      </c>
      <c r="BZ1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7" s="41" t="n">
        <f aca="false">IF(NOT(Tasks[[#This Row],[_IsLeaf]]=1),0,MAX(_xlfn.MAXIFS(Tasks[_Row],Tasks[Pred1 UID],Tasks[[#This Row],[UID]]),_xlfn.MAXIFS(Tasks[_Row],Tasks[Pred2 UID],Tasks[[#This Row],[UID]])))</f>
        <v>0</v>
      </c>
      <c r="CE18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7" s="103" t="str">
        <f aca="false">IF(NOT(Tasks[[#This Row],[_IsLeaf]]=1),"",MIN(ProjectFinish,IF(N(Tasks[[#This Row],[Deadline]])&gt;0,Tasks[[#This Row],[Deadline]],2958465),Tasks[[#This Row],[_SuccessorFinishLimit]]))</f>
        <v/>
      </c>
      <c r="CG187" s="103" t="str">
        <f aca="false">IF(NOT(Tasks[[#This Row],[_IsLeaf]]=1),"",IF(N(Tasks[[#This Row],[Duration]])&lt;=0,Tasks[[#This Row],[_LeafLateFinish]],WORKDAY.INTL(Tasks[[#This Row],[_LeafLateFinish]],-(Tasks[[#This Row],[Duration]]-1),WorkWeek,Holidays)))</f>
        <v/>
      </c>
      <c r="CH1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7" s="102" t="b">
        <f aca="false">AND(Tasks[[#This Row],[_IsLeaf]]=1,Tasks[[#This Row],[_LeafProgress]]&lt;1,N(Tasks[[#This Row],[_LeafTotalSlack]])&lt;=CriticalSlackDays)</f>
        <v>0</v>
      </c>
      <c r="CJ187" s="103" t="str">
        <f aca="false">IF(Tasks[[#This Row],[Task Name]]="","",IF(Tasks[[#This Row],[_IsSummary]],MIN(INDEX(Tasks[_LeafCalcStart],Tasks[[#This Row],[_Row]]+1):INDEX(Tasks[_LeafCalcStart],Tasks[[#This Row],[_Row]]+Tasks[[#This Row],[_Descendants]])),Tasks[[#This Row],[_LeafCalcStart]]))</f>
        <v/>
      </c>
      <c r="CK187" s="103" t="str">
        <f aca="false">IF(Tasks[[#This Row],[Task Name]]="","",IF(Tasks[[#This Row],[_IsSummary]],MAX(INDEX(Tasks[_LeafCalcFinish],Tasks[[#This Row],[_Row]]+1):INDEX(Tasks[_LeafCalcFinish],Tasks[[#This Row],[_Row]]+Tasks[[#This Row],[_Descendants]])),Tasks[[#This Row],[_LeafCalcFinish]]))</f>
        <v/>
      </c>
      <c r="CL1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7" s="41" t="n">
        <f aca="false">IF(AND(Tasks[[#This Row],[_IsLeaf]]=1,Tasks[[#This Row],[_LeafWork]]&gt;0),NETWORKDAYS.INTL(ProjectStart,Tasks[[#This Row],[_LeafFcstStart]],WorkWeek,Holidays),0)</f>
        <v>0</v>
      </c>
      <c r="CS187" s="41" t="n">
        <f aca="false">IF(AND(Tasks[[#This Row],[_IsLeaf]]=1,Tasks[[#This Row],[_LeafWork]]&gt;0),MAX(Tasks[[#This Row],[_StartWorkday]],NETWORKDAYS.INTL(ProjectStart,Tasks[[#This Row],[_LeafFcstFinish]],WorkWeek,Holidays)),0)</f>
        <v>0</v>
      </c>
      <c r="CT187" s="41" t="n">
        <f aca="false">IF(AND(Tasks[[#This Row],[_IsLeaf]]=1,Tasks[[#This Row],[_LeafWork]]&gt;0),Tasks[[#This Row],[_LeafWork]]/(Tasks[[#This Row],[_FinishWorkday]]-Tasks[[#This Row],[_StartWorkday]]+1),0)</f>
        <v>0</v>
      </c>
      <c r="CU187" s="41" t="n">
        <f aca="false">Tasks[[#This Row],[_WorkPerWorkday]]*(Tasks[[#This Row],[_StartWorkday]]-1)</f>
        <v>-0</v>
      </c>
      <c r="CV187" s="41" t="n">
        <f aca="false">IF(Tasks[[#This Row],[_IsLeaf]]=1,MAX(N(Tasks[[#This Row],[Duration]]),0.1),0)</f>
        <v>0</v>
      </c>
      <c r="CW187" s="41" t="n">
        <f aca="false">Tasks[[#This Row],[_WeightDur]]*Tasks[[#This Row],[_LeafProgress]]</f>
        <v>0</v>
      </c>
      <c r="CX1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7" s="41" t="str">
        <f aca="false">IF(Tasks[[#This Row],[Task Name]]="","",Tasks[[#This Row],[_Pred1UIDText]]&amp;IF(AND(Tasks[[#This Row],[_Pred1UIDText]]&lt;&gt;"",Tasks[[#This Row],[_Pred2UIDText]]&lt;&gt;""),",","")&amp;Tasks[[#This Row],[_Pred2UIDText]])</f>
        <v/>
      </c>
      <c r="DC187" s="41" t="str">
        <f aca="false">IF(AND(Tasks[[#This Row],[_IsLeaf]]=1,N(Tasks[[#This Row],[Duration]])=0,Tasks[[#This Row],[_LeafProgress]]&lt;1),Tasks[[#This Row],[_LeafFcstFinish]]+Tasks[[#This Row],[_Row]]/100000,"")</f>
        <v/>
      </c>
      <c r="DD1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7" s="41" t="n">
        <f aca="false">IF(NOT(Tasks[[#This Row],[_IsLeaf]]=1),0,IF(Tasks[[#This Row],[Baseline Cost]]="",Tasks[[#This Row],[_LeafCost]],N(Tasks[[#This Row],[Baseline Cost]])))</f>
        <v>0</v>
      </c>
      <c r="DF187" s="41" t="n">
        <f aca="false">Tasks[[#This Row],[_LeafBudget]]*Tasks[[#This Row],[_PlannedPct]]</f>
        <v>0</v>
      </c>
      <c r="DG187" s="41" t="n">
        <f aca="false">Tasks[[#This Row],[_LeafBudget]]*Tasks[[#This Row],[_LeafProgress]]</f>
        <v>0</v>
      </c>
      <c r="DH187" s="41" t="n">
        <f aca="false">IF(NOT(Tasks[[#This Row],[_IsLeaf]]=1),0,IF(Tasks[[#This Row],[Actual Cost]]="",Tasks[[#This Row],[_LeafCost]]*Tasks[[#This Row],[_LeafProgress]],N(Tasks[[#This Row],[Actual Cost]])))</f>
        <v>0</v>
      </c>
      <c r="DI187" s="41" t="str">
        <f aca="false">IF(Tasks[[#This Row],[Task Name]]="","",LEFT(Tasks[[#This Row],[WBS]],FIND(".",Tasks[[#This Row],[WBS]]&amp;".")-1))</f>
        <v/>
      </c>
      <c r="DJ187" s="41" t="str">
        <f aca="false">IF(AND(Tasks[[#This Row],[Task Name]]&lt;&gt;"",Tasks[[#This Row],[_Level]]=1),Tasks[[#This Row],[_Row]],"")</f>
        <v/>
      </c>
      <c r="DK187" s="41" t="str">
        <f aca="false">IF(AND(Tasks[[#This Row],[_IsLeaf]]=1,N(Tasks[[#This Row],[Duration]])=0),Tasks[[#This Row],[Planned Finish]]+Tasks[[#This Row],[_Row]]/100000,"")</f>
        <v/>
      </c>
      <c r="DL187" s="41" t="str">
        <f aca="false">IF(AND(Tasks[[#This Row],[_IsLeaf]]=1,Tasks[[#This Row],[_LeafProgress]]&lt;1,OR(N(Tasks[[#This Row],[Finish Var]])&gt;0,Tasks[[#This Row],[Status]]="Late Start")),MAX(0,Tasks[[#This Row],[Finish Var]])+1-Tasks[[#This Row],[_Row]]/1000000,"")</f>
        <v/>
      </c>
      <c r="DM187" s="41" t="str">
        <f aca="false">IF(AND(Tasks[[#This Row],[_IsLeaf]]=1,N(Tasks[[#This Row],[Actual Start]])=0,Tasks[[#This Row],[_LeafFcstStart]]&gt;=StatusDate,Tasks[[#This Row],[_LeafFcstStart]]&lt;=LookaheadEnd),Tasks[[#This Row],[_LeafFcstStart]]+Tasks[[#This Row],[_Row]]/100000,"")</f>
        <v/>
      </c>
      <c r="DN187" s="41" t="str">
        <f aca="false">IF(AND(Tasks[[#This Row],[_IsLeaf]]=1,Tasks[[#This Row],[_LeafProgress]]&lt;1,Tasks[[#This Row],[_LeafFcstFinish]]&gt;=StatusDate,Tasks[[#This Row],[_LeafFcstFinish]]&lt;=LookaheadEnd),Tasks[[#This Row],[_LeafFcstFinish]]+Tasks[[#This Row],[_Row]]/100000,"")</f>
        <v/>
      </c>
      <c r="DO187" s="41" t="str">
        <f aca="false">IF(Tasks[[#This Row],[_LeafCritical]],Tasks[[#This Row],[_LeafFcstStart]]+Tasks[[#This Row],[_Row]]/100000,"")</f>
        <v/>
      </c>
      <c r="DP187" s="41" t="n">
        <f aca="false">Tasks[[#This Row],[_LeafWork]]*Tasks[[#This Row],[_LeafProgress]]</f>
        <v>0</v>
      </c>
      <c r="DQ187" s="103" t="str">
        <f aca="false">IF(AND(Tasks[[#This Row],[_IsLeaf]]=1,Tasks[[#This Row],[_LeafProgress]]&gt;=1),IF(N(Tasks[[#This Row],[Actual Finish]])&gt;0,Tasks[[#This Row],[Actual Finish]],Tasks[[#This Row],[_LeafFcstFinish]]),"")</f>
        <v/>
      </c>
      <c r="DR187" s="41" t="n">
        <f aca="false">IF(Tasks[[#This Row],[_IsLeaf]]=1,N(Tasks[[#This Row],[Story Points]]),0)</f>
        <v>0</v>
      </c>
      <c r="DS187" s="41" t="str">
        <f aca="false">IF(AND(Tasks[[#This Row],[_IsLeaf]]=1,CurrentSprint&lt;&gt;"",Tasks[[#This Row],[Sprint]]=CurrentSprint),Tasks[[#This Row],[_Row]],"")</f>
        <v/>
      </c>
    </row>
    <row r="188" customFormat="false" ht="15" hidden="false" customHeight="false" outlineLevel="0" collapsed="false">
      <c r="A188" s="28" t="str">
        <f aca="false">IF(Tasks[[#This Row],[Task Name]]="","",COUNTA(Tasks[[#Headers],[Task Name]]:Tasks[[#This Row],[Task Name]])-1)</f>
        <v/>
      </c>
      <c r="B188" s="29" t="n">
        <v>183</v>
      </c>
      <c r="C1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29"/>
      <c r="E188" s="30"/>
      <c r="F188" s="29"/>
      <c r="G188" s="29"/>
      <c r="H188" s="29"/>
      <c r="I188" s="29"/>
      <c r="J188" s="29"/>
      <c r="K188" s="29"/>
      <c r="L188" s="29"/>
      <c r="M188" s="29"/>
      <c r="N188" s="77"/>
      <c r="O188" s="77"/>
      <c r="P188" s="25" t="str">
        <f aca="false">IF(Tasks[[#This Row],[Task Name]]="","",IF(N(Tasks[[#This Row],[Baseline Start]])&gt;0,Tasks[[#This Row],[Baseline Start]],Tasks[[#This Row],[_CalcStart]]))</f>
        <v/>
      </c>
      <c r="Q188" s="25" t="str">
        <f aca="false">IF(Tasks[[#This Row],[Task Name]]="","",IF(N(Tasks[[#This Row],[Baseline Finish]])&gt;0,Tasks[[#This Row],[Baseline Finish]],Tasks[[#This Row],[_CalcFinish]]))</f>
        <v/>
      </c>
      <c r="R188" s="77"/>
      <c r="S188" s="77"/>
      <c r="T188" s="25" t="str">
        <f aca="false">IF(Tasks[[#This Row],[Task Name]]="","",IF(Tasks[[#This Row],[_IsSummary]],MIN(INDEX(Tasks[_LeafFcstStart],Tasks[[#This Row],[_Row]]+1):INDEX(Tasks[_LeafFcstStart],Tasks[[#This Row],[_Row]]+Tasks[[#This Row],[_Descendants]])),Tasks[[#This Row],[_LeafFcstStart]]))</f>
        <v/>
      </c>
      <c r="U188" s="25" t="str">
        <f aca="false">IF(Tasks[[#This Row],[Task Name]]="","",IF(Tasks[[#This Row],[_IsSummary]],MAX(INDEX(Tasks[_LeafFcstFinish],Tasks[[#This Row],[_Row]]+1):INDEX(Tasks[_LeafFcstFinish],Tasks[[#This Row],[_Row]]+Tasks[[#This Row],[_Descendants]])),Tasks[[#This Row],[_LeafFcstFinish]]))</f>
        <v/>
      </c>
      <c r="V18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8" s="25" t="str">
        <f aca="false">IF(Tasks[[#This Row],[Task Name]]="","",IF(Tasks[[#This Row],[_IsSummary]],MIN(INDEX(Tasks[_LeafLateStart],Tasks[[#This Row],[_Row]]+1):INDEX(Tasks[_LeafLateStart],Tasks[[#This Row],[_Row]]+Tasks[[#This Row],[_Descendants]])),Tasks[[#This Row],[_LeafLateStart]]))</f>
        <v/>
      </c>
      <c r="Y188" s="25" t="str">
        <f aca="false">IF(Tasks[[#This Row],[Task Name]]="","",IF(Tasks[[#This Row],[_IsSummary]],MAX(INDEX(Tasks[_LeafLateFinish],Tasks[[#This Row],[_Row]]+1):INDEX(Tasks[_LeafLateFinish],Tasks[[#This Row],[_Row]]+Tasks[[#This Row],[_Descendants]])),Tasks[[#This Row],[_LeafLateFinish]]))</f>
        <v/>
      </c>
      <c r="Z188" s="43" t="str">
        <f aca="false">IF(Tasks[[#This Row],[Task Name]]="","",IF(Tasks[[#This Row],[_IsSummary]],MIN(INDEX(Tasks[_LeafTotalSlack],Tasks[[#This Row],[_Row]]+1):INDEX(Tasks[_LeafTotalSlack],Tasks[[#This Row],[_Row]]+Tasks[[#This Row],[_Descendants]])),Tasks[[#This Row],[_LeafTotalSlack]]))</f>
        <v/>
      </c>
      <c r="AA1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8" s="28" t="str">
        <f aca="false">IF(Tasks[[#This Row],[Task Name]]="","",IF(IF(Tasks[[#This Row],[_IsSummary]],COUNTIF(INDEX(Tasks[_LeafCritical],Tasks[[#This Row],[_Row]]+1):INDEX(Tasks[_LeafCritical],Tasks[[#This Row],[_Row]]+Tasks[[#This Row],[_Descendants]]),TRUE())&gt;0,Tasks[[#This Row],[_LeafCritical]]),"Yes",""))</f>
        <v/>
      </c>
      <c r="AC1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8" s="24" t="str">
        <f aca="false">IF(Tasks[[#This Row],[Task Name]]="","",TRIM(IF(Tasks[[#This Row],[_Pred1Problem]]&lt;&gt;"","Pred 1: "&amp;Tasks[[#This Row],[_Pred1Problem]]&amp;". ","")&amp;IF(Tasks[[#This Row],[_Pred2Problem]]&lt;&gt;"","Pred 2: "&amp;Tasks[[#This Row],[_Pred2Problem]]&amp;".","")))</f>
        <v/>
      </c>
      <c r="AE188" s="91"/>
      <c r="AF18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8" s="28" t="str">
        <f aca="false">IF(Tasks[[#This Row],[Task Name]]="","",IF(Tasks[[#This Row],[Progress]]&gt;=1,"Complete",IF(OR(N(Tasks[[#This Row],[Actual Start]])&gt;0,Tasks[[#This Row],[Progress]]&gt;0),IF(Tasks[[#This Row],[Finish Var]]&gt;0,"Behind","In Progress"),IF(Tasks[[#This Row],[Planned Start]]&lt;StatusDate,"Late Start","Not Started"))))</f>
        <v/>
      </c>
      <c r="AH188" s="30"/>
      <c r="AI188" s="91"/>
      <c r="AJ18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8" s="98" t="str">
        <f aca="false">IF(Tasks[[#This Row],[Task Name]]="","",IF(Tasks[[#This Row],[_IsSummary]],SUM(INDEX(Tasks[_LeafWork],Tasks[[#This Row],[_Row]]+1):INDEX(Tasks[_LeafWork],Tasks[[#This Row],[_Row]]+Tasks[[#This Row],[_Descendants]])),Tasks[[#This Row],[_LeafWork]]))</f>
        <v/>
      </c>
      <c r="AL188" s="99" t="str">
        <f aca="false">IF(Tasks[[#This Row],[Task Name]]="","",IF(Tasks[[#This Row],[_IsSummary]],SUM(INDEX(Tasks[_LeafCost],Tasks[[#This Row],[_Row]]+1):INDEX(Tasks[_LeafCost],Tasks[[#This Row],[_Row]]+Tasks[[#This Row],[_Descendants]])),Tasks[[#This Row],[_LeafCost]]))</f>
        <v/>
      </c>
      <c r="AM188" s="100"/>
      <c r="AN188" s="29"/>
      <c r="AO1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8" s="85"/>
      <c r="AQ188" s="24" t="str">
        <f aca="false">IF(Tasks[[#This Row],[Task Name]]="","",Tasks[[#This Row],[_Pred1IDText]]&amp;IF(AND(Tasks[[#This Row],[_Pred1IDText]]&lt;&gt;"",Tasks[[#This Row],[_Pred2IDText]]&lt;&gt;""),",","")&amp;Tasks[[#This Row],[_Pred2IDText]])</f>
        <v/>
      </c>
      <c r="AR188" s="30"/>
      <c r="AS188" s="25" t="str">
        <f aca="false">IF(Tasks[[#This Row],[Task Name]]="","",Tasks[[#This Row],[Forecast Start]])</f>
        <v/>
      </c>
      <c r="AT188" s="25" t="str">
        <f aca="false">IF(Tasks[[#This Row],[Task Name]]="","",Tasks[[#This Row],[Forecast Finish]])</f>
        <v/>
      </c>
      <c r="AU188" s="28" t="str">
        <f aca="false">IF(Tasks[[#This Row],[Task Name]]="","",IF(Tasks[[#This Row],[_IsSummary]],NETWORKDAYS.INTL(Tasks[[#This Row],[Forecast Start]],Tasks[[#This Row],[Forecast Finish]],WorkWeek,Holidays),N(Tasks[[#This Row],[Duration]])))</f>
        <v/>
      </c>
      <c r="AV188" s="98" t="str">
        <f aca="false">IF(Tasks[[#This Row],[Task Name]]="","",Tasks[[#This Row],[Work]])</f>
        <v/>
      </c>
      <c r="AW188" s="99" t="str">
        <f aca="false">IF(Tasks[[#This Row],[Task Name]]="","",Tasks[[#This Row],[Cost]])</f>
        <v/>
      </c>
      <c r="AX188" s="77"/>
      <c r="AY188" s="77"/>
      <c r="AZ188" s="29"/>
      <c r="BA188" s="101"/>
      <c r="BB188" s="100"/>
      <c r="BC188" s="28" t="str">
        <f aca="false">IF(OR(Tasks[[#This Row],[Task Name]]="",Tasks[[#This Row],[Baseline Duration]]=""),"",Tasks[[#This Row],[BL Source Duration]]-N(Tasks[[#This Row],[Baseline Duration]]))</f>
        <v/>
      </c>
      <c r="BD188" s="98" t="str">
        <f aca="false">IF(OR(Tasks[[#This Row],[Task Name]]="",Tasks[[#This Row],[Baseline Work]]=""),"",Tasks[[#This Row],[Work]]-N(Tasks[[#This Row],[Baseline Work]]))</f>
        <v/>
      </c>
      <c r="BE188" s="99" t="str">
        <f aca="false">IF(OR(Tasks[[#This Row],[Task Name]]="",Tasks[[#This Row],[Baseline Cost]]=""),"",Tasks[[#This Row],[Cost]]-N(Tasks[[#This Row],[Baseline Cost]]))</f>
        <v/>
      </c>
      <c r="BF188" s="99" t="str">
        <f aca="false">IF(Tasks[[#This Row],[Task Name]]="","",IF(Tasks[[#This Row],[_IsSummary]],SUM(INDEX(Tasks[_LeafBudget],Tasks[[#This Row],[_Row]]+1):INDEX(Tasks[_LeafBudget],Tasks[[#This Row],[_Row]]+Tasks[[#This Row],[_Descendants]])),Tasks[[#This Row],[_LeafBudget]]))</f>
        <v/>
      </c>
      <c r="BG188" s="99" t="str">
        <f aca="false">IF(Tasks[[#This Row],[Task Name]]="","",IF(Tasks[[#This Row],[_IsSummary]],SUM(INDEX(Tasks[_LeafPV],Tasks[[#This Row],[_Row]]+1):INDEX(Tasks[_LeafPV],Tasks[[#This Row],[_Row]]+Tasks[[#This Row],[_Descendants]])),Tasks[[#This Row],[_LeafPV]]))</f>
        <v/>
      </c>
      <c r="BH188" s="99" t="str">
        <f aca="false">IF(Tasks[[#This Row],[Task Name]]="","",IF(Tasks[[#This Row],[_IsSummary]],SUM(INDEX(Tasks[_LeafEV],Tasks[[#This Row],[_Row]]+1):INDEX(Tasks[_LeafEV],Tasks[[#This Row],[_Row]]+Tasks[[#This Row],[_Descendants]])),Tasks[[#This Row],[_LeafEV]]))</f>
        <v/>
      </c>
      <c r="BI188" s="99" t="str">
        <f aca="false">IF(Tasks[[#This Row],[Task Name]]="","",IF(Tasks[[#This Row],[_IsSummary]],SUM(INDEX(Tasks[_LeafAC],Tasks[[#This Row],[_Row]]+1):INDEX(Tasks[_LeafAC],Tasks[[#This Row],[_Row]]+Tasks[[#This Row],[_Descendants]])),Tasks[[#This Row],[_LeafAC]]))</f>
        <v/>
      </c>
      <c r="BJ188" s="41" t="str">
        <f aca="false">IF(Tasks[[#This Row],[Task Name]]="","",MAX(1,N(Tasks[[#This Row],[Level]])))</f>
        <v/>
      </c>
      <c r="BK188" s="41" t="n">
        <f aca="false">ROW()-ROW(Tasks[[#Headers],[ID]])</f>
        <v>183</v>
      </c>
      <c r="BL188" s="41" t="n">
        <f aca="false">IF(OR(Tasks[[#This Row],[Task Name]]="",Tasks[[#This Row],[_Level]]&lt;=1),0,IFERROR(LOOKUP(2,1/(Tasks[[#Headers],[_Level]]:Tasks[[#This Row],[_Level]]=Tasks[[#This Row],[_Level]]-1),ROW(Tasks[[#Headers],[_Level]]:Tasks[[#This Row],[_Level]])),0))</f>
        <v>0</v>
      </c>
      <c r="BM188" s="41" t="n">
        <f aca="false">IFERROR(N(INDEX(Tasks[_Level],Tasks[[#This Row],[_Row]]+1)),0)</f>
        <v>0</v>
      </c>
      <c r="BN188" s="102" t="b">
        <f aca="false">AND(Tasks[[#This Row],[Task Name]]&lt;&gt;"",Tasks[[#This Row],[_NextLevel]]&gt;Tasks[[#This Row],[_Level]])</f>
        <v>0</v>
      </c>
      <c r="BO188" s="41" t="n">
        <f aca="false">IF(Tasks[[#This Row],[_IsSummary]],COUNTIF(Tasks[WBS],Tasks[[#This Row],[WBS]]&amp;".*"),0)</f>
        <v>0</v>
      </c>
      <c r="BP188" s="41" t="n">
        <f aca="false">IF(AND(Tasks[[#This Row],[Task Name]]&lt;&gt;"",NOT(Tasks[[#This Row],[_IsSummary]])),1,0)</f>
        <v>0</v>
      </c>
      <c r="BQ188" s="41" t="n">
        <f aca="false">IF(N(Tasks[[#This Row],[Pred1 UID]])=0,0,IFERROR(MATCH(Tasks[[#This Row],[Pred1 UID]],Tasks[UID],0),-1))</f>
        <v>0</v>
      </c>
      <c r="BR188" s="41" t="n">
        <f aca="false">IF(N(Tasks[[#This Row],[Pred2 UID]])=0,0,IFERROR(MATCH(Tasks[[#This Row],[Pred2 UID]],Tasks[UID],0),-1))</f>
        <v>0</v>
      </c>
      <c r="BS18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8" s="103" t="str">
        <f aca="false">IF(NOT(Tasks[[#This Row],[_IsLeaf]]=1),"",IF(N(Tasks[[#This Row],[Duration]])&lt;=0,Tasks[[#This Row],[_LeafCalcStart]],WORKDAY.INTL(Tasks[[#This Row],[_LeafCalcStart]],Tasks[[#This Row],[Duration]]-1,WorkWeek,Holidays)))</f>
        <v/>
      </c>
      <c r="BU18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8" s="41" t="n">
        <f aca="false">IF(NOT(Tasks[[#This Row],[_IsLeaf]]=1),0,IF(N(Tasks[[#This Row],[Actual Finish]])&gt;0,1,MIN(1,N(Tasks[[#This Row],[% Complete]]))))</f>
        <v>0</v>
      </c>
      <c r="BX188" s="41" t="n">
        <f aca="false">IF(OR(NOT(Tasks[[#This Row],[_IsLeaf]]=1),Tasks[[#This Row],[Resource]]=""),0,N(Tasks[[#This Row],[Duration]])*HoursPerDay*IF(Tasks[[#This Row],[Units]]="",DefaultUnits,Tasks[[#This Row],[Units]]))</f>
        <v>0</v>
      </c>
      <c r="BY188" s="41" t="n">
        <f aca="false">IF(Tasks[[#This Row],[_LeafWork]]=0,0,Tasks[[#This Row],[_LeafWork]]*IFERROR(INDEX(res_Rate,MATCH(Tasks[[#This Row],[Resource]],res_Name,0)),0))</f>
        <v>0</v>
      </c>
      <c r="BZ1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8" s="41" t="n">
        <f aca="false">IF(NOT(Tasks[[#This Row],[_IsLeaf]]=1),0,MAX(_xlfn.MAXIFS(Tasks[_Row],Tasks[Pred1 UID],Tasks[[#This Row],[UID]]),_xlfn.MAXIFS(Tasks[_Row],Tasks[Pred2 UID],Tasks[[#This Row],[UID]])))</f>
        <v>0</v>
      </c>
      <c r="CE18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8" s="103" t="str">
        <f aca="false">IF(NOT(Tasks[[#This Row],[_IsLeaf]]=1),"",MIN(ProjectFinish,IF(N(Tasks[[#This Row],[Deadline]])&gt;0,Tasks[[#This Row],[Deadline]],2958465),Tasks[[#This Row],[_SuccessorFinishLimit]]))</f>
        <v/>
      </c>
      <c r="CG188" s="103" t="str">
        <f aca="false">IF(NOT(Tasks[[#This Row],[_IsLeaf]]=1),"",IF(N(Tasks[[#This Row],[Duration]])&lt;=0,Tasks[[#This Row],[_LeafLateFinish]],WORKDAY.INTL(Tasks[[#This Row],[_LeafLateFinish]],-(Tasks[[#This Row],[Duration]]-1),WorkWeek,Holidays)))</f>
        <v/>
      </c>
      <c r="CH1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8" s="102" t="b">
        <f aca="false">AND(Tasks[[#This Row],[_IsLeaf]]=1,Tasks[[#This Row],[_LeafProgress]]&lt;1,N(Tasks[[#This Row],[_LeafTotalSlack]])&lt;=CriticalSlackDays)</f>
        <v>0</v>
      </c>
      <c r="CJ188" s="103" t="str">
        <f aca="false">IF(Tasks[[#This Row],[Task Name]]="","",IF(Tasks[[#This Row],[_IsSummary]],MIN(INDEX(Tasks[_LeafCalcStart],Tasks[[#This Row],[_Row]]+1):INDEX(Tasks[_LeafCalcStart],Tasks[[#This Row],[_Row]]+Tasks[[#This Row],[_Descendants]])),Tasks[[#This Row],[_LeafCalcStart]]))</f>
        <v/>
      </c>
      <c r="CK188" s="103" t="str">
        <f aca="false">IF(Tasks[[#This Row],[Task Name]]="","",IF(Tasks[[#This Row],[_IsSummary]],MAX(INDEX(Tasks[_LeafCalcFinish],Tasks[[#This Row],[_Row]]+1):INDEX(Tasks[_LeafCalcFinish],Tasks[[#This Row],[_Row]]+Tasks[[#This Row],[_Descendants]])),Tasks[[#This Row],[_LeafCalcFinish]]))</f>
        <v/>
      </c>
      <c r="CL1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8" s="41" t="n">
        <f aca="false">IF(AND(Tasks[[#This Row],[_IsLeaf]]=1,Tasks[[#This Row],[_LeafWork]]&gt;0),NETWORKDAYS.INTL(ProjectStart,Tasks[[#This Row],[_LeafFcstStart]],WorkWeek,Holidays),0)</f>
        <v>0</v>
      </c>
      <c r="CS188" s="41" t="n">
        <f aca="false">IF(AND(Tasks[[#This Row],[_IsLeaf]]=1,Tasks[[#This Row],[_LeafWork]]&gt;0),MAX(Tasks[[#This Row],[_StartWorkday]],NETWORKDAYS.INTL(ProjectStart,Tasks[[#This Row],[_LeafFcstFinish]],WorkWeek,Holidays)),0)</f>
        <v>0</v>
      </c>
      <c r="CT188" s="41" t="n">
        <f aca="false">IF(AND(Tasks[[#This Row],[_IsLeaf]]=1,Tasks[[#This Row],[_LeafWork]]&gt;0),Tasks[[#This Row],[_LeafWork]]/(Tasks[[#This Row],[_FinishWorkday]]-Tasks[[#This Row],[_StartWorkday]]+1),0)</f>
        <v>0</v>
      </c>
      <c r="CU188" s="41" t="n">
        <f aca="false">Tasks[[#This Row],[_WorkPerWorkday]]*(Tasks[[#This Row],[_StartWorkday]]-1)</f>
        <v>-0</v>
      </c>
      <c r="CV188" s="41" t="n">
        <f aca="false">IF(Tasks[[#This Row],[_IsLeaf]]=1,MAX(N(Tasks[[#This Row],[Duration]]),0.1),0)</f>
        <v>0</v>
      </c>
      <c r="CW188" s="41" t="n">
        <f aca="false">Tasks[[#This Row],[_WeightDur]]*Tasks[[#This Row],[_LeafProgress]]</f>
        <v>0</v>
      </c>
      <c r="CX1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8" s="41" t="str">
        <f aca="false">IF(Tasks[[#This Row],[Task Name]]="","",Tasks[[#This Row],[_Pred1UIDText]]&amp;IF(AND(Tasks[[#This Row],[_Pred1UIDText]]&lt;&gt;"",Tasks[[#This Row],[_Pred2UIDText]]&lt;&gt;""),",","")&amp;Tasks[[#This Row],[_Pred2UIDText]])</f>
        <v/>
      </c>
      <c r="DC188" s="41" t="str">
        <f aca="false">IF(AND(Tasks[[#This Row],[_IsLeaf]]=1,N(Tasks[[#This Row],[Duration]])=0,Tasks[[#This Row],[_LeafProgress]]&lt;1),Tasks[[#This Row],[_LeafFcstFinish]]+Tasks[[#This Row],[_Row]]/100000,"")</f>
        <v/>
      </c>
      <c r="DD1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8" s="41" t="n">
        <f aca="false">IF(NOT(Tasks[[#This Row],[_IsLeaf]]=1),0,IF(Tasks[[#This Row],[Baseline Cost]]="",Tasks[[#This Row],[_LeafCost]],N(Tasks[[#This Row],[Baseline Cost]])))</f>
        <v>0</v>
      </c>
      <c r="DF188" s="41" t="n">
        <f aca="false">Tasks[[#This Row],[_LeafBudget]]*Tasks[[#This Row],[_PlannedPct]]</f>
        <v>0</v>
      </c>
      <c r="DG188" s="41" t="n">
        <f aca="false">Tasks[[#This Row],[_LeafBudget]]*Tasks[[#This Row],[_LeafProgress]]</f>
        <v>0</v>
      </c>
      <c r="DH188" s="41" t="n">
        <f aca="false">IF(NOT(Tasks[[#This Row],[_IsLeaf]]=1),0,IF(Tasks[[#This Row],[Actual Cost]]="",Tasks[[#This Row],[_LeafCost]]*Tasks[[#This Row],[_LeafProgress]],N(Tasks[[#This Row],[Actual Cost]])))</f>
        <v>0</v>
      </c>
      <c r="DI188" s="41" t="str">
        <f aca="false">IF(Tasks[[#This Row],[Task Name]]="","",LEFT(Tasks[[#This Row],[WBS]],FIND(".",Tasks[[#This Row],[WBS]]&amp;".")-1))</f>
        <v/>
      </c>
      <c r="DJ188" s="41" t="str">
        <f aca="false">IF(AND(Tasks[[#This Row],[Task Name]]&lt;&gt;"",Tasks[[#This Row],[_Level]]=1),Tasks[[#This Row],[_Row]],"")</f>
        <v/>
      </c>
      <c r="DK188" s="41" t="str">
        <f aca="false">IF(AND(Tasks[[#This Row],[_IsLeaf]]=1,N(Tasks[[#This Row],[Duration]])=0),Tasks[[#This Row],[Planned Finish]]+Tasks[[#This Row],[_Row]]/100000,"")</f>
        <v/>
      </c>
      <c r="DL188" s="41" t="str">
        <f aca="false">IF(AND(Tasks[[#This Row],[_IsLeaf]]=1,Tasks[[#This Row],[_LeafProgress]]&lt;1,OR(N(Tasks[[#This Row],[Finish Var]])&gt;0,Tasks[[#This Row],[Status]]="Late Start")),MAX(0,Tasks[[#This Row],[Finish Var]])+1-Tasks[[#This Row],[_Row]]/1000000,"")</f>
        <v/>
      </c>
      <c r="DM188" s="41" t="str">
        <f aca="false">IF(AND(Tasks[[#This Row],[_IsLeaf]]=1,N(Tasks[[#This Row],[Actual Start]])=0,Tasks[[#This Row],[_LeafFcstStart]]&gt;=StatusDate,Tasks[[#This Row],[_LeafFcstStart]]&lt;=LookaheadEnd),Tasks[[#This Row],[_LeafFcstStart]]+Tasks[[#This Row],[_Row]]/100000,"")</f>
        <v/>
      </c>
      <c r="DN188" s="41" t="str">
        <f aca="false">IF(AND(Tasks[[#This Row],[_IsLeaf]]=1,Tasks[[#This Row],[_LeafProgress]]&lt;1,Tasks[[#This Row],[_LeafFcstFinish]]&gt;=StatusDate,Tasks[[#This Row],[_LeafFcstFinish]]&lt;=LookaheadEnd),Tasks[[#This Row],[_LeafFcstFinish]]+Tasks[[#This Row],[_Row]]/100000,"")</f>
        <v/>
      </c>
      <c r="DO188" s="41" t="str">
        <f aca="false">IF(Tasks[[#This Row],[_LeafCritical]],Tasks[[#This Row],[_LeafFcstStart]]+Tasks[[#This Row],[_Row]]/100000,"")</f>
        <v/>
      </c>
      <c r="DP188" s="41" t="n">
        <f aca="false">Tasks[[#This Row],[_LeafWork]]*Tasks[[#This Row],[_LeafProgress]]</f>
        <v>0</v>
      </c>
      <c r="DQ188" s="103" t="str">
        <f aca="false">IF(AND(Tasks[[#This Row],[_IsLeaf]]=1,Tasks[[#This Row],[_LeafProgress]]&gt;=1),IF(N(Tasks[[#This Row],[Actual Finish]])&gt;0,Tasks[[#This Row],[Actual Finish]],Tasks[[#This Row],[_LeafFcstFinish]]),"")</f>
        <v/>
      </c>
      <c r="DR188" s="41" t="n">
        <f aca="false">IF(Tasks[[#This Row],[_IsLeaf]]=1,N(Tasks[[#This Row],[Story Points]]),0)</f>
        <v>0</v>
      </c>
      <c r="DS188" s="41" t="str">
        <f aca="false">IF(AND(Tasks[[#This Row],[_IsLeaf]]=1,CurrentSprint&lt;&gt;"",Tasks[[#This Row],[Sprint]]=CurrentSprint),Tasks[[#This Row],[_Row]],"")</f>
        <v/>
      </c>
    </row>
    <row r="189" customFormat="false" ht="15" hidden="false" customHeight="false" outlineLevel="0" collapsed="false">
      <c r="A189" s="28" t="str">
        <f aca="false">IF(Tasks[[#This Row],[Task Name]]="","",COUNTA(Tasks[[#Headers],[Task Name]]:Tasks[[#This Row],[Task Name]])-1)</f>
        <v/>
      </c>
      <c r="B189" s="29" t="n">
        <v>184</v>
      </c>
      <c r="C1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29"/>
      <c r="E189" s="30"/>
      <c r="F189" s="29"/>
      <c r="G189" s="29"/>
      <c r="H189" s="29"/>
      <c r="I189" s="29"/>
      <c r="J189" s="29"/>
      <c r="K189" s="29"/>
      <c r="L189" s="29"/>
      <c r="M189" s="29"/>
      <c r="N189" s="77"/>
      <c r="O189" s="77"/>
      <c r="P189" s="25" t="str">
        <f aca="false">IF(Tasks[[#This Row],[Task Name]]="","",IF(N(Tasks[[#This Row],[Baseline Start]])&gt;0,Tasks[[#This Row],[Baseline Start]],Tasks[[#This Row],[_CalcStart]]))</f>
        <v/>
      </c>
      <c r="Q189" s="25" t="str">
        <f aca="false">IF(Tasks[[#This Row],[Task Name]]="","",IF(N(Tasks[[#This Row],[Baseline Finish]])&gt;0,Tasks[[#This Row],[Baseline Finish]],Tasks[[#This Row],[_CalcFinish]]))</f>
        <v/>
      </c>
      <c r="R189" s="77"/>
      <c r="S189" s="77"/>
      <c r="T189" s="25" t="str">
        <f aca="false">IF(Tasks[[#This Row],[Task Name]]="","",IF(Tasks[[#This Row],[_IsSummary]],MIN(INDEX(Tasks[_LeafFcstStart],Tasks[[#This Row],[_Row]]+1):INDEX(Tasks[_LeafFcstStart],Tasks[[#This Row],[_Row]]+Tasks[[#This Row],[_Descendants]])),Tasks[[#This Row],[_LeafFcstStart]]))</f>
        <v/>
      </c>
      <c r="U189" s="25" t="str">
        <f aca="false">IF(Tasks[[#This Row],[Task Name]]="","",IF(Tasks[[#This Row],[_IsSummary]],MAX(INDEX(Tasks[_LeafFcstFinish],Tasks[[#This Row],[_Row]]+1):INDEX(Tasks[_LeafFcstFinish],Tasks[[#This Row],[_Row]]+Tasks[[#This Row],[_Descendants]])),Tasks[[#This Row],[_LeafFcstFinish]]))</f>
        <v/>
      </c>
      <c r="V18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8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9" s="25" t="str">
        <f aca="false">IF(Tasks[[#This Row],[Task Name]]="","",IF(Tasks[[#This Row],[_IsSummary]],MIN(INDEX(Tasks[_LeafLateStart],Tasks[[#This Row],[_Row]]+1):INDEX(Tasks[_LeafLateStart],Tasks[[#This Row],[_Row]]+Tasks[[#This Row],[_Descendants]])),Tasks[[#This Row],[_LeafLateStart]]))</f>
        <v/>
      </c>
      <c r="Y189" s="25" t="str">
        <f aca="false">IF(Tasks[[#This Row],[Task Name]]="","",IF(Tasks[[#This Row],[_IsSummary]],MAX(INDEX(Tasks[_LeafLateFinish],Tasks[[#This Row],[_Row]]+1):INDEX(Tasks[_LeafLateFinish],Tasks[[#This Row],[_Row]]+Tasks[[#This Row],[_Descendants]])),Tasks[[#This Row],[_LeafLateFinish]]))</f>
        <v/>
      </c>
      <c r="Z189" s="43" t="str">
        <f aca="false">IF(Tasks[[#This Row],[Task Name]]="","",IF(Tasks[[#This Row],[_IsSummary]],MIN(INDEX(Tasks[_LeafTotalSlack],Tasks[[#This Row],[_Row]]+1):INDEX(Tasks[_LeafTotalSlack],Tasks[[#This Row],[_Row]]+Tasks[[#This Row],[_Descendants]])),Tasks[[#This Row],[_LeafTotalSlack]]))</f>
        <v/>
      </c>
      <c r="AA1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9" s="28" t="str">
        <f aca="false">IF(Tasks[[#This Row],[Task Name]]="","",IF(IF(Tasks[[#This Row],[_IsSummary]],COUNTIF(INDEX(Tasks[_LeafCritical],Tasks[[#This Row],[_Row]]+1):INDEX(Tasks[_LeafCritical],Tasks[[#This Row],[_Row]]+Tasks[[#This Row],[_Descendants]]),TRUE())&gt;0,Tasks[[#This Row],[_LeafCritical]]),"Yes",""))</f>
        <v/>
      </c>
      <c r="AC1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9" s="24" t="str">
        <f aca="false">IF(Tasks[[#This Row],[Task Name]]="","",TRIM(IF(Tasks[[#This Row],[_Pred1Problem]]&lt;&gt;"","Pred 1: "&amp;Tasks[[#This Row],[_Pred1Problem]]&amp;". ","")&amp;IF(Tasks[[#This Row],[_Pred2Problem]]&lt;&gt;"","Pred 2: "&amp;Tasks[[#This Row],[_Pred2Problem]]&amp;".","")))</f>
        <v/>
      </c>
      <c r="AE189" s="91"/>
      <c r="AF18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9" s="28" t="str">
        <f aca="false">IF(Tasks[[#This Row],[Task Name]]="","",IF(Tasks[[#This Row],[Progress]]&gt;=1,"Complete",IF(OR(N(Tasks[[#This Row],[Actual Start]])&gt;0,Tasks[[#This Row],[Progress]]&gt;0),IF(Tasks[[#This Row],[Finish Var]]&gt;0,"Behind","In Progress"),IF(Tasks[[#This Row],[Planned Start]]&lt;StatusDate,"Late Start","Not Started"))))</f>
        <v/>
      </c>
      <c r="AH189" s="30"/>
      <c r="AI189" s="91"/>
      <c r="AJ18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9" s="98" t="str">
        <f aca="false">IF(Tasks[[#This Row],[Task Name]]="","",IF(Tasks[[#This Row],[_IsSummary]],SUM(INDEX(Tasks[_LeafWork],Tasks[[#This Row],[_Row]]+1):INDEX(Tasks[_LeafWork],Tasks[[#This Row],[_Row]]+Tasks[[#This Row],[_Descendants]])),Tasks[[#This Row],[_LeafWork]]))</f>
        <v/>
      </c>
      <c r="AL189" s="99" t="str">
        <f aca="false">IF(Tasks[[#This Row],[Task Name]]="","",IF(Tasks[[#This Row],[_IsSummary]],SUM(INDEX(Tasks[_LeafCost],Tasks[[#This Row],[_Row]]+1):INDEX(Tasks[_LeafCost],Tasks[[#This Row],[_Row]]+Tasks[[#This Row],[_Descendants]])),Tasks[[#This Row],[_LeafCost]]))</f>
        <v/>
      </c>
      <c r="AM189" s="100"/>
      <c r="AN189" s="29"/>
      <c r="AO1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9" s="85"/>
      <c r="AQ189" s="24" t="str">
        <f aca="false">IF(Tasks[[#This Row],[Task Name]]="","",Tasks[[#This Row],[_Pred1IDText]]&amp;IF(AND(Tasks[[#This Row],[_Pred1IDText]]&lt;&gt;"",Tasks[[#This Row],[_Pred2IDText]]&lt;&gt;""),",","")&amp;Tasks[[#This Row],[_Pred2IDText]])</f>
        <v/>
      </c>
      <c r="AR189" s="30"/>
      <c r="AS189" s="25" t="str">
        <f aca="false">IF(Tasks[[#This Row],[Task Name]]="","",Tasks[[#This Row],[Forecast Start]])</f>
        <v/>
      </c>
      <c r="AT189" s="25" t="str">
        <f aca="false">IF(Tasks[[#This Row],[Task Name]]="","",Tasks[[#This Row],[Forecast Finish]])</f>
        <v/>
      </c>
      <c r="AU189" s="28" t="str">
        <f aca="false">IF(Tasks[[#This Row],[Task Name]]="","",IF(Tasks[[#This Row],[_IsSummary]],NETWORKDAYS.INTL(Tasks[[#This Row],[Forecast Start]],Tasks[[#This Row],[Forecast Finish]],WorkWeek,Holidays),N(Tasks[[#This Row],[Duration]])))</f>
        <v/>
      </c>
      <c r="AV189" s="98" t="str">
        <f aca="false">IF(Tasks[[#This Row],[Task Name]]="","",Tasks[[#This Row],[Work]])</f>
        <v/>
      </c>
      <c r="AW189" s="99" t="str">
        <f aca="false">IF(Tasks[[#This Row],[Task Name]]="","",Tasks[[#This Row],[Cost]])</f>
        <v/>
      </c>
      <c r="AX189" s="77"/>
      <c r="AY189" s="77"/>
      <c r="AZ189" s="29"/>
      <c r="BA189" s="101"/>
      <c r="BB189" s="100"/>
      <c r="BC189" s="28" t="str">
        <f aca="false">IF(OR(Tasks[[#This Row],[Task Name]]="",Tasks[[#This Row],[Baseline Duration]]=""),"",Tasks[[#This Row],[BL Source Duration]]-N(Tasks[[#This Row],[Baseline Duration]]))</f>
        <v/>
      </c>
      <c r="BD189" s="98" t="str">
        <f aca="false">IF(OR(Tasks[[#This Row],[Task Name]]="",Tasks[[#This Row],[Baseline Work]]=""),"",Tasks[[#This Row],[Work]]-N(Tasks[[#This Row],[Baseline Work]]))</f>
        <v/>
      </c>
      <c r="BE189" s="99" t="str">
        <f aca="false">IF(OR(Tasks[[#This Row],[Task Name]]="",Tasks[[#This Row],[Baseline Cost]]=""),"",Tasks[[#This Row],[Cost]]-N(Tasks[[#This Row],[Baseline Cost]]))</f>
        <v/>
      </c>
      <c r="BF189" s="99" t="str">
        <f aca="false">IF(Tasks[[#This Row],[Task Name]]="","",IF(Tasks[[#This Row],[_IsSummary]],SUM(INDEX(Tasks[_LeafBudget],Tasks[[#This Row],[_Row]]+1):INDEX(Tasks[_LeafBudget],Tasks[[#This Row],[_Row]]+Tasks[[#This Row],[_Descendants]])),Tasks[[#This Row],[_LeafBudget]]))</f>
        <v/>
      </c>
      <c r="BG189" s="99" t="str">
        <f aca="false">IF(Tasks[[#This Row],[Task Name]]="","",IF(Tasks[[#This Row],[_IsSummary]],SUM(INDEX(Tasks[_LeafPV],Tasks[[#This Row],[_Row]]+1):INDEX(Tasks[_LeafPV],Tasks[[#This Row],[_Row]]+Tasks[[#This Row],[_Descendants]])),Tasks[[#This Row],[_LeafPV]]))</f>
        <v/>
      </c>
      <c r="BH189" s="99" t="str">
        <f aca="false">IF(Tasks[[#This Row],[Task Name]]="","",IF(Tasks[[#This Row],[_IsSummary]],SUM(INDEX(Tasks[_LeafEV],Tasks[[#This Row],[_Row]]+1):INDEX(Tasks[_LeafEV],Tasks[[#This Row],[_Row]]+Tasks[[#This Row],[_Descendants]])),Tasks[[#This Row],[_LeafEV]]))</f>
        <v/>
      </c>
      <c r="BI189" s="99" t="str">
        <f aca="false">IF(Tasks[[#This Row],[Task Name]]="","",IF(Tasks[[#This Row],[_IsSummary]],SUM(INDEX(Tasks[_LeafAC],Tasks[[#This Row],[_Row]]+1):INDEX(Tasks[_LeafAC],Tasks[[#This Row],[_Row]]+Tasks[[#This Row],[_Descendants]])),Tasks[[#This Row],[_LeafAC]]))</f>
        <v/>
      </c>
      <c r="BJ189" s="41" t="str">
        <f aca="false">IF(Tasks[[#This Row],[Task Name]]="","",MAX(1,N(Tasks[[#This Row],[Level]])))</f>
        <v/>
      </c>
      <c r="BK189" s="41" t="n">
        <f aca="false">ROW()-ROW(Tasks[[#Headers],[ID]])</f>
        <v>184</v>
      </c>
      <c r="BL189" s="41" t="n">
        <f aca="false">IF(OR(Tasks[[#This Row],[Task Name]]="",Tasks[[#This Row],[_Level]]&lt;=1),0,IFERROR(LOOKUP(2,1/(Tasks[[#Headers],[_Level]]:Tasks[[#This Row],[_Level]]=Tasks[[#This Row],[_Level]]-1),ROW(Tasks[[#Headers],[_Level]]:Tasks[[#This Row],[_Level]])),0))</f>
        <v>0</v>
      </c>
      <c r="BM189" s="41" t="n">
        <f aca="false">IFERROR(N(INDEX(Tasks[_Level],Tasks[[#This Row],[_Row]]+1)),0)</f>
        <v>0</v>
      </c>
      <c r="BN189" s="102" t="b">
        <f aca="false">AND(Tasks[[#This Row],[Task Name]]&lt;&gt;"",Tasks[[#This Row],[_NextLevel]]&gt;Tasks[[#This Row],[_Level]])</f>
        <v>0</v>
      </c>
      <c r="BO189" s="41" t="n">
        <f aca="false">IF(Tasks[[#This Row],[_IsSummary]],COUNTIF(Tasks[WBS],Tasks[[#This Row],[WBS]]&amp;".*"),0)</f>
        <v>0</v>
      </c>
      <c r="BP189" s="41" t="n">
        <f aca="false">IF(AND(Tasks[[#This Row],[Task Name]]&lt;&gt;"",NOT(Tasks[[#This Row],[_IsSummary]])),1,0)</f>
        <v>0</v>
      </c>
      <c r="BQ189" s="41" t="n">
        <f aca="false">IF(N(Tasks[[#This Row],[Pred1 UID]])=0,0,IFERROR(MATCH(Tasks[[#This Row],[Pred1 UID]],Tasks[UID],0),-1))</f>
        <v>0</v>
      </c>
      <c r="BR189" s="41" t="n">
        <f aca="false">IF(N(Tasks[[#This Row],[Pred2 UID]])=0,0,IFERROR(MATCH(Tasks[[#This Row],[Pred2 UID]],Tasks[UID],0),-1))</f>
        <v>0</v>
      </c>
      <c r="BS18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9" s="103" t="str">
        <f aca="false">IF(NOT(Tasks[[#This Row],[_IsLeaf]]=1),"",IF(N(Tasks[[#This Row],[Duration]])&lt;=0,Tasks[[#This Row],[_LeafCalcStart]],WORKDAY.INTL(Tasks[[#This Row],[_LeafCalcStart]],Tasks[[#This Row],[Duration]]-1,WorkWeek,Holidays)))</f>
        <v/>
      </c>
      <c r="BU18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9" s="41" t="n">
        <f aca="false">IF(NOT(Tasks[[#This Row],[_IsLeaf]]=1),0,IF(N(Tasks[[#This Row],[Actual Finish]])&gt;0,1,MIN(1,N(Tasks[[#This Row],[% Complete]]))))</f>
        <v>0</v>
      </c>
      <c r="BX189" s="41" t="n">
        <f aca="false">IF(OR(NOT(Tasks[[#This Row],[_IsLeaf]]=1),Tasks[[#This Row],[Resource]]=""),0,N(Tasks[[#This Row],[Duration]])*HoursPerDay*IF(Tasks[[#This Row],[Units]]="",DefaultUnits,Tasks[[#This Row],[Units]]))</f>
        <v>0</v>
      </c>
      <c r="BY189" s="41" t="n">
        <f aca="false">IF(Tasks[[#This Row],[_LeafWork]]=0,0,Tasks[[#This Row],[_LeafWork]]*IFERROR(INDEX(res_Rate,MATCH(Tasks[[#This Row],[Resource]],res_Name,0)),0))</f>
        <v>0</v>
      </c>
      <c r="BZ1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9" s="41" t="n">
        <f aca="false">IF(NOT(Tasks[[#This Row],[_IsLeaf]]=1),0,MAX(_xlfn.MAXIFS(Tasks[_Row],Tasks[Pred1 UID],Tasks[[#This Row],[UID]]),_xlfn.MAXIFS(Tasks[_Row],Tasks[Pred2 UID],Tasks[[#This Row],[UID]])))</f>
        <v>0</v>
      </c>
      <c r="CE18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9" s="103" t="str">
        <f aca="false">IF(NOT(Tasks[[#This Row],[_IsLeaf]]=1),"",MIN(ProjectFinish,IF(N(Tasks[[#This Row],[Deadline]])&gt;0,Tasks[[#This Row],[Deadline]],2958465),Tasks[[#This Row],[_SuccessorFinishLimit]]))</f>
        <v/>
      </c>
      <c r="CG189" s="103" t="str">
        <f aca="false">IF(NOT(Tasks[[#This Row],[_IsLeaf]]=1),"",IF(N(Tasks[[#This Row],[Duration]])&lt;=0,Tasks[[#This Row],[_LeafLateFinish]],WORKDAY.INTL(Tasks[[#This Row],[_LeafLateFinish]],-(Tasks[[#This Row],[Duration]]-1),WorkWeek,Holidays)))</f>
        <v/>
      </c>
      <c r="CH1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9" s="102" t="b">
        <f aca="false">AND(Tasks[[#This Row],[_IsLeaf]]=1,Tasks[[#This Row],[_LeafProgress]]&lt;1,N(Tasks[[#This Row],[_LeafTotalSlack]])&lt;=CriticalSlackDays)</f>
        <v>0</v>
      </c>
      <c r="CJ189" s="103" t="str">
        <f aca="false">IF(Tasks[[#This Row],[Task Name]]="","",IF(Tasks[[#This Row],[_IsSummary]],MIN(INDEX(Tasks[_LeafCalcStart],Tasks[[#This Row],[_Row]]+1):INDEX(Tasks[_LeafCalcStart],Tasks[[#This Row],[_Row]]+Tasks[[#This Row],[_Descendants]])),Tasks[[#This Row],[_LeafCalcStart]]))</f>
        <v/>
      </c>
      <c r="CK189" s="103" t="str">
        <f aca="false">IF(Tasks[[#This Row],[Task Name]]="","",IF(Tasks[[#This Row],[_IsSummary]],MAX(INDEX(Tasks[_LeafCalcFinish],Tasks[[#This Row],[_Row]]+1):INDEX(Tasks[_LeafCalcFinish],Tasks[[#This Row],[_Row]]+Tasks[[#This Row],[_Descendants]])),Tasks[[#This Row],[_LeafCalcFinish]]))</f>
        <v/>
      </c>
      <c r="CL1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9" s="41" t="n">
        <f aca="false">IF(AND(Tasks[[#This Row],[_IsLeaf]]=1,Tasks[[#This Row],[_LeafWork]]&gt;0),NETWORKDAYS.INTL(ProjectStart,Tasks[[#This Row],[_LeafFcstStart]],WorkWeek,Holidays),0)</f>
        <v>0</v>
      </c>
      <c r="CS189" s="41" t="n">
        <f aca="false">IF(AND(Tasks[[#This Row],[_IsLeaf]]=1,Tasks[[#This Row],[_LeafWork]]&gt;0),MAX(Tasks[[#This Row],[_StartWorkday]],NETWORKDAYS.INTL(ProjectStart,Tasks[[#This Row],[_LeafFcstFinish]],WorkWeek,Holidays)),0)</f>
        <v>0</v>
      </c>
      <c r="CT189" s="41" t="n">
        <f aca="false">IF(AND(Tasks[[#This Row],[_IsLeaf]]=1,Tasks[[#This Row],[_LeafWork]]&gt;0),Tasks[[#This Row],[_LeafWork]]/(Tasks[[#This Row],[_FinishWorkday]]-Tasks[[#This Row],[_StartWorkday]]+1),0)</f>
        <v>0</v>
      </c>
      <c r="CU189" s="41" t="n">
        <f aca="false">Tasks[[#This Row],[_WorkPerWorkday]]*(Tasks[[#This Row],[_StartWorkday]]-1)</f>
        <v>-0</v>
      </c>
      <c r="CV189" s="41" t="n">
        <f aca="false">IF(Tasks[[#This Row],[_IsLeaf]]=1,MAX(N(Tasks[[#This Row],[Duration]]),0.1),0)</f>
        <v>0</v>
      </c>
      <c r="CW189" s="41" t="n">
        <f aca="false">Tasks[[#This Row],[_WeightDur]]*Tasks[[#This Row],[_LeafProgress]]</f>
        <v>0</v>
      </c>
      <c r="CX1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9" s="41" t="str">
        <f aca="false">IF(Tasks[[#This Row],[Task Name]]="","",Tasks[[#This Row],[_Pred1UIDText]]&amp;IF(AND(Tasks[[#This Row],[_Pred1UIDText]]&lt;&gt;"",Tasks[[#This Row],[_Pred2UIDText]]&lt;&gt;""),",","")&amp;Tasks[[#This Row],[_Pred2UIDText]])</f>
        <v/>
      </c>
      <c r="DC189" s="41" t="str">
        <f aca="false">IF(AND(Tasks[[#This Row],[_IsLeaf]]=1,N(Tasks[[#This Row],[Duration]])=0,Tasks[[#This Row],[_LeafProgress]]&lt;1),Tasks[[#This Row],[_LeafFcstFinish]]+Tasks[[#This Row],[_Row]]/100000,"")</f>
        <v/>
      </c>
      <c r="DD1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9" s="41" t="n">
        <f aca="false">IF(NOT(Tasks[[#This Row],[_IsLeaf]]=1),0,IF(Tasks[[#This Row],[Baseline Cost]]="",Tasks[[#This Row],[_LeafCost]],N(Tasks[[#This Row],[Baseline Cost]])))</f>
        <v>0</v>
      </c>
      <c r="DF189" s="41" t="n">
        <f aca="false">Tasks[[#This Row],[_LeafBudget]]*Tasks[[#This Row],[_PlannedPct]]</f>
        <v>0</v>
      </c>
      <c r="DG189" s="41" t="n">
        <f aca="false">Tasks[[#This Row],[_LeafBudget]]*Tasks[[#This Row],[_LeafProgress]]</f>
        <v>0</v>
      </c>
      <c r="DH189" s="41" t="n">
        <f aca="false">IF(NOT(Tasks[[#This Row],[_IsLeaf]]=1),0,IF(Tasks[[#This Row],[Actual Cost]]="",Tasks[[#This Row],[_LeafCost]]*Tasks[[#This Row],[_LeafProgress]],N(Tasks[[#This Row],[Actual Cost]])))</f>
        <v>0</v>
      </c>
      <c r="DI189" s="41" t="str">
        <f aca="false">IF(Tasks[[#This Row],[Task Name]]="","",LEFT(Tasks[[#This Row],[WBS]],FIND(".",Tasks[[#This Row],[WBS]]&amp;".")-1))</f>
        <v/>
      </c>
      <c r="DJ189" s="41" t="str">
        <f aca="false">IF(AND(Tasks[[#This Row],[Task Name]]&lt;&gt;"",Tasks[[#This Row],[_Level]]=1),Tasks[[#This Row],[_Row]],"")</f>
        <v/>
      </c>
      <c r="DK189" s="41" t="str">
        <f aca="false">IF(AND(Tasks[[#This Row],[_IsLeaf]]=1,N(Tasks[[#This Row],[Duration]])=0),Tasks[[#This Row],[Planned Finish]]+Tasks[[#This Row],[_Row]]/100000,"")</f>
        <v/>
      </c>
      <c r="DL189" s="41" t="str">
        <f aca="false">IF(AND(Tasks[[#This Row],[_IsLeaf]]=1,Tasks[[#This Row],[_LeafProgress]]&lt;1,OR(N(Tasks[[#This Row],[Finish Var]])&gt;0,Tasks[[#This Row],[Status]]="Late Start")),MAX(0,Tasks[[#This Row],[Finish Var]])+1-Tasks[[#This Row],[_Row]]/1000000,"")</f>
        <v/>
      </c>
      <c r="DM189" s="41" t="str">
        <f aca="false">IF(AND(Tasks[[#This Row],[_IsLeaf]]=1,N(Tasks[[#This Row],[Actual Start]])=0,Tasks[[#This Row],[_LeafFcstStart]]&gt;=StatusDate,Tasks[[#This Row],[_LeafFcstStart]]&lt;=LookaheadEnd),Tasks[[#This Row],[_LeafFcstStart]]+Tasks[[#This Row],[_Row]]/100000,"")</f>
        <v/>
      </c>
      <c r="DN189" s="41" t="str">
        <f aca="false">IF(AND(Tasks[[#This Row],[_IsLeaf]]=1,Tasks[[#This Row],[_LeafProgress]]&lt;1,Tasks[[#This Row],[_LeafFcstFinish]]&gt;=StatusDate,Tasks[[#This Row],[_LeafFcstFinish]]&lt;=LookaheadEnd),Tasks[[#This Row],[_LeafFcstFinish]]+Tasks[[#This Row],[_Row]]/100000,"")</f>
        <v/>
      </c>
      <c r="DO189" s="41" t="str">
        <f aca="false">IF(Tasks[[#This Row],[_LeafCritical]],Tasks[[#This Row],[_LeafFcstStart]]+Tasks[[#This Row],[_Row]]/100000,"")</f>
        <v/>
      </c>
      <c r="DP189" s="41" t="n">
        <f aca="false">Tasks[[#This Row],[_LeafWork]]*Tasks[[#This Row],[_LeafProgress]]</f>
        <v>0</v>
      </c>
      <c r="DQ189" s="103" t="str">
        <f aca="false">IF(AND(Tasks[[#This Row],[_IsLeaf]]=1,Tasks[[#This Row],[_LeafProgress]]&gt;=1),IF(N(Tasks[[#This Row],[Actual Finish]])&gt;0,Tasks[[#This Row],[Actual Finish]],Tasks[[#This Row],[_LeafFcstFinish]]),"")</f>
        <v/>
      </c>
      <c r="DR189" s="41" t="n">
        <f aca="false">IF(Tasks[[#This Row],[_IsLeaf]]=1,N(Tasks[[#This Row],[Story Points]]),0)</f>
        <v>0</v>
      </c>
      <c r="DS189" s="41" t="str">
        <f aca="false">IF(AND(Tasks[[#This Row],[_IsLeaf]]=1,CurrentSprint&lt;&gt;"",Tasks[[#This Row],[Sprint]]=CurrentSprint),Tasks[[#This Row],[_Row]],"")</f>
        <v/>
      </c>
    </row>
    <row r="190" customFormat="false" ht="15" hidden="false" customHeight="false" outlineLevel="0" collapsed="false">
      <c r="A190" s="28" t="str">
        <f aca="false">IF(Tasks[[#This Row],[Task Name]]="","",COUNTA(Tasks[[#Headers],[Task Name]]:Tasks[[#This Row],[Task Name]])-1)</f>
        <v/>
      </c>
      <c r="B190" s="29" t="n">
        <v>185</v>
      </c>
      <c r="C1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29"/>
      <c r="E190" s="30"/>
      <c r="F190" s="29"/>
      <c r="G190" s="29"/>
      <c r="H190" s="29"/>
      <c r="I190" s="29"/>
      <c r="J190" s="29"/>
      <c r="K190" s="29"/>
      <c r="L190" s="29"/>
      <c r="M190" s="29"/>
      <c r="N190" s="77"/>
      <c r="O190" s="77"/>
      <c r="P190" s="25" t="str">
        <f aca="false">IF(Tasks[[#This Row],[Task Name]]="","",IF(N(Tasks[[#This Row],[Baseline Start]])&gt;0,Tasks[[#This Row],[Baseline Start]],Tasks[[#This Row],[_CalcStart]]))</f>
        <v/>
      </c>
      <c r="Q190" s="25" t="str">
        <f aca="false">IF(Tasks[[#This Row],[Task Name]]="","",IF(N(Tasks[[#This Row],[Baseline Finish]])&gt;0,Tasks[[#This Row],[Baseline Finish]],Tasks[[#This Row],[_CalcFinish]]))</f>
        <v/>
      </c>
      <c r="R190" s="77"/>
      <c r="S190" s="77"/>
      <c r="T190" s="25" t="str">
        <f aca="false">IF(Tasks[[#This Row],[Task Name]]="","",IF(Tasks[[#This Row],[_IsSummary]],MIN(INDEX(Tasks[_LeafFcstStart],Tasks[[#This Row],[_Row]]+1):INDEX(Tasks[_LeafFcstStart],Tasks[[#This Row],[_Row]]+Tasks[[#This Row],[_Descendants]])),Tasks[[#This Row],[_LeafFcstStart]]))</f>
        <v/>
      </c>
      <c r="U190" s="25" t="str">
        <f aca="false">IF(Tasks[[#This Row],[Task Name]]="","",IF(Tasks[[#This Row],[_IsSummary]],MAX(INDEX(Tasks[_LeafFcstFinish],Tasks[[#This Row],[_Row]]+1):INDEX(Tasks[_LeafFcstFinish],Tasks[[#This Row],[_Row]]+Tasks[[#This Row],[_Descendants]])),Tasks[[#This Row],[_LeafFcstFinish]]))</f>
        <v/>
      </c>
      <c r="V19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0" s="25" t="str">
        <f aca="false">IF(Tasks[[#This Row],[Task Name]]="","",IF(Tasks[[#This Row],[_IsSummary]],MIN(INDEX(Tasks[_LeafLateStart],Tasks[[#This Row],[_Row]]+1):INDEX(Tasks[_LeafLateStart],Tasks[[#This Row],[_Row]]+Tasks[[#This Row],[_Descendants]])),Tasks[[#This Row],[_LeafLateStart]]))</f>
        <v/>
      </c>
      <c r="Y190" s="25" t="str">
        <f aca="false">IF(Tasks[[#This Row],[Task Name]]="","",IF(Tasks[[#This Row],[_IsSummary]],MAX(INDEX(Tasks[_LeafLateFinish],Tasks[[#This Row],[_Row]]+1):INDEX(Tasks[_LeafLateFinish],Tasks[[#This Row],[_Row]]+Tasks[[#This Row],[_Descendants]])),Tasks[[#This Row],[_LeafLateFinish]]))</f>
        <v/>
      </c>
      <c r="Z190" s="43" t="str">
        <f aca="false">IF(Tasks[[#This Row],[Task Name]]="","",IF(Tasks[[#This Row],[_IsSummary]],MIN(INDEX(Tasks[_LeafTotalSlack],Tasks[[#This Row],[_Row]]+1):INDEX(Tasks[_LeafTotalSlack],Tasks[[#This Row],[_Row]]+Tasks[[#This Row],[_Descendants]])),Tasks[[#This Row],[_LeafTotalSlack]]))</f>
        <v/>
      </c>
      <c r="AA1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0" s="28" t="str">
        <f aca="false">IF(Tasks[[#This Row],[Task Name]]="","",IF(IF(Tasks[[#This Row],[_IsSummary]],COUNTIF(INDEX(Tasks[_LeafCritical],Tasks[[#This Row],[_Row]]+1):INDEX(Tasks[_LeafCritical],Tasks[[#This Row],[_Row]]+Tasks[[#This Row],[_Descendants]]),TRUE())&gt;0,Tasks[[#This Row],[_LeafCritical]]),"Yes",""))</f>
        <v/>
      </c>
      <c r="AC1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0" s="24" t="str">
        <f aca="false">IF(Tasks[[#This Row],[Task Name]]="","",TRIM(IF(Tasks[[#This Row],[_Pred1Problem]]&lt;&gt;"","Pred 1: "&amp;Tasks[[#This Row],[_Pred1Problem]]&amp;". ","")&amp;IF(Tasks[[#This Row],[_Pred2Problem]]&lt;&gt;"","Pred 2: "&amp;Tasks[[#This Row],[_Pred2Problem]]&amp;".","")))</f>
        <v/>
      </c>
      <c r="AE190" s="91"/>
      <c r="AF19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0" s="28" t="str">
        <f aca="false">IF(Tasks[[#This Row],[Task Name]]="","",IF(Tasks[[#This Row],[Progress]]&gt;=1,"Complete",IF(OR(N(Tasks[[#This Row],[Actual Start]])&gt;0,Tasks[[#This Row],[Progress]]&gt;0),IF(Tasks[[#This Row],[Finish Var]]&gt;0,"Behind","In Progress"),IF(Tasks[[#This Row],[Planned Start]]&lt;StatusDate,"Late Start","Not Started"))))</f>
        <v/>
      </c>
      <c r="AH190" s="30"/>
      <c r="AI190" s="91"/>
      <c r="AJ19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0" s="98" t="str">
        <f aca="false">IF(Tasks[[#This Row],[Task Name]]="","",IF(Tasks[[#This Row],[_IsSummary]],SUM(INDEX(Tasks[_LeafWork],Tasks[[#This Row],[_Row]]+1):INDEX(Tasks[_LeafWork],Tasks[[#This Row],[_Row]]+Tasks[[#This Row],[_Descendants]])),Tasks[[#This Row],[_LeafWork]]))</f>
        <v/>
      </c>
      <c r="AL190" s="99" t="str">
        <f aca="false">IF(Tasks[[#This Row],[Task Name]]="","",IF(Tasks[[#This Row],[_IsSummary]],SUM(INDEX(Tasks[_LeafCost],Tasks[[#This Row],[_Row]]+1):INDEX(Tasks[_LeafCost],Tasks[[#This Row],[_Row]]+Tasks[[#This Row],[_Descendants]])),Tasks[[#This Row],[_LeafCost]]))</f>
        <v/>
      </c>
      <c r="AM190" s="100"/>
      <c r="AN190" s="29"/>
      <c r="AO1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0" s="85"/>
      <c r="AQ190" s="24" t="str">
        <f aca="false">IF(Tasks[[#This Row],[Task Name]]="","",Tasks[[#This Row],[_Pred1IDText]]&amp;IF(AND(Tasks[[#This Row],[_Pred1IDText]]&lt;&gt;"",Tasks[[#This Row],[_Pred2IDText]]&lt;&gt;""),",","")&amp;Tasks[[#This Row],[_Pred2IDText]])</f>
        <v/>
      </c>
      <c r="AR190" s="30"/>
      <c r="AS190" s="25" t="str">
        <f aca="false">IF(Tasks[[#This Row],[Task Name]]="","",Tasks[[#This Row],[Forecast Start]])</f>
        <v/>
      </c>
      <c r="AT190" s="25" t="str">
        <f aca="false">IF(Tasks[[#This Row],[Task Name]]="","",Tasks[[#This Row],[Forecast Finish]])</f>
        <v/>
      </c>
      <c r="AU190" s="28" t="str">
        <f aca="false">IF(Tasks[[#This Row],[Task Name]]="","",IF(Tasks[[#This Row],[_IsSummary]],NETWORKDAYS.INTL(Tasks[[#This Row],[Forecast Start]],Tasks[[#This Row],[Forecast Finish]],WorkWeek,Holidays),N(Tasks[[#This Row],[Duration]])))</f>
        <v/>
      </c>
      <c r="AV190" s="98" t="str">
        <f aca="false">IF(Tasks[[#This Row],[Task Name]]="","",Tasks[[#This Row],[Work]])</f>
        <v/>
      </c>
      <c r="AW190" s="99" t="str">
        <f aca="false">IF(Tasks[[#This Row],[Task Name]]="","",Tasks[[#This Row],[Cost]])</f>
        <v/>
      </c>
      <c r="AX190" s="77"/>
      <c r="AY190" s="77"/>
      <c r="AZ190" s="29"/>
      <c r="BA190" s="101"/>
      <c r="BB190" s="100"/>
      <c r="BC190" s="28" t="str">
        <f aca="false">IF(OR(Tasks[[#This Row],[Task Name]]="",Tasks[[#This Row],[Baseline Duration]]=""),"",Tasks[[#This Row],[BL Source Duration]]-N(Tasks[[#This Row],[Baseline Duration]]))</f>
        <v/>
      </c>
      <c r="BD190" s="98" t="str">
        <f aca="false">IF(OR(Tasks[[#This Row],[Task Name]]="",Tasks[[#This Row],[Baseline Work]]=""),"",Tasks[[#This Row],[Work]]-N(Tasks[[#This Row],[Baseline Work]]))</f>
        <v/>
      </c>
      <c r="BE190" s="99" t="str">
        <f aca="false">IF(OR(Tasks[[#This Row],[Task Name]]="",Tasks[[#This Row],[Baseline Cost]]=""),"",Tasks[[#This Row],[Cost]]-N(Tasks[[#This Row],[Baseline Cost]]))</f>
        <v/>
      </c>
      <c r="BF190" s="99" t="str">
        <f aca="false">IF(Tasks[[#This Row],[Task Name]]="","",IF(Tasks[[#This Row],[_IsSummary]],SUM(INDEX(Tasks[_LeafBudget],Tasks[[#This Row],[_Row]]+1):INDEX(Tasks[_LeafBudget],Tasks[[#This Row],[_Row]]+Tasks[[#This Row],[_Descendants]])),Tasks[[#This Row],[_LeafBudget]]))</f>
        <v/>
      </c>
      <c r="BG190" s="99" t="str">
        <f aca="false">IF(Tasks[[#This Row],[Task Name]]="","",IF(Tasks[[#This Row],[_IsSummary]],SUM(INDEX(Tasks[_LeafPV],Tasks[[#This Row],[_Row]]+1):INDEX(Tasks[_LeafPV],Tasks[[#This Row],[_Row]]+Tasks[[#This Row],[_Descendants]])),Tasks[[#This Row],[_LeafPV]]))</f>
        <v/>
      </c>
      <c r="BH190" s="99" t="str">
        <f aca="false">IF(Tasks[[#This Row],[Task Name]]="","",IF(Tasks[[#This Row],[_IsSummary]],SUM(INDEX(Tasks[_LeafEV],Tasks[[#This Row],[_Row]]+1):INDEX(Tasks[_LeafEV],Tasks[[#This Row],[_Row]]+Tasks[[#This Row],[_Descendants]])),Tasks[[#This Row],[_LeafEV]]))</f>
        <v/>
      </c>
      <c r="BI190" s="99" t="str">
        <f aca="false">IF(Tasks[[#This Row],[Task Name]]="","",IF(Tasks[[#This Row],[_IsSummary]],SUM(INDEX(Tasks[_LeafAC],Tasks[[#This Row],[_Row]]+1):INDEX(Tasks[_LeafAC],Tasks[[#This Row],[_Row]]+Tasks[[#This Row],[_Descendants]])),Tasks[[#This Row],[_LeafAC]]))</f>
        <v/>
      </c>
      <c r="BJ190" s="41" t="str">
        <f aca="false">IF(Tasks[[#This Row],[Task Name]]="","",MAX(1,N(Tasks[[#This Row],[Level]])))</f>
        <v/>
      </c>
      <c r="BK190" s="41" t="n">
        <f aca="false">ROW()-ROW(Tasks[[#Headers],[ID]])</f>
        <v>185</v>
      </c>
      <c r="BL190" s="41" t="n">
        <f aca="false">IF(OR(Tasks[[#This Row],[Task Name]]="",Tasks[[#This Row],[_Level]]&lt;=1),0,IFERROR(LOOKUP(2,1/(Tasks[[#Headers],[_Level]]:Tasks[[#This Row],[_Level]]=Tasks[[#This Row],[_Level]]-1),ROW(Tasks[[#Headers],[_Level]]:Tasks[[#This Row],[_Level]])),0))</f>
        <v>0</v>
      </c>
      <c r="BM190" s="41" t="n">
        <f aca="false">IFERROR(N(INDEX(Tasks[_Level],Tasks[[#This Row],[_Row]]+1)),0)</f>
        <v>0</v>
      </c>
      <c r="BN190" s="102" t="b">
        <f aca="false">AND(Tasks[[#This Row],[Task Name]]&lt;&gt;"",Tasks[[#This Row],[_NextLevel]]&gt;Tasks[[#This Row],[_Level]])</f>
        <v>0</v>
      </c>
      <c r="BO190" s="41" t="n">
        <f aca="false">IF(Tasks[[#This Row],[_IsSummary]],COUNTIF(Tasks[WBS],Tasks[[#This Row],[WBS]]&amp;".*"),0)</f>
        <v>0</v>
      </c>
      <c r="BP190" s="41" t="n">
        <f aca="false">IF(AND(Tasks[[#This Row],[Task Name]]&lt;&gt;"",NOT(Tasks[[#This Row],[_IsSummary]])),1,0)</f>
        <v>0</v>
      </c>
      <c r="BQ190" s="41" t="n">
        <f aca="false">IF(N(Tasks[[#This Row],[Pred1 UID]])=0,0,IFERROR(MATCH(Tasks[[#This Row],[Pred1 UID]],Tasks[UID],0),-1))</f>
        <v>0</v>
      </c>
      <c r="BR190" s="41" t="n">
        <f aca="false">IF(N(Tasks[[#This Row],[Pred2 UID]])=0,0,IFERROR(MATCH(Tasks[[#This Row],[Pred2 UID]],Tasks[UID],0),-1))</f>
        <v>0</v>
      </c>
      <c r="BS19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0" s="103" t="str">
        <f aca="false">IF(NOT(Tasks[[#This Row],[_IsLeaf]]=1),"",IF(N(Tasks[[#This Row],[Duration]])&lt;=0,Tasks[[#This Row],[_LeafCalcStart]],WORKDAY.INTL(Tasks[[#This Row],[_LeafCalcStart]],Tasks[[#This Row],[Duration]]-1,WorkWeek,Holidays)))</f>
        <v/>
      </c>
      <c r="BU19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0" s="41" t="n">
        <f aca="false">IF(NOT(Tasks[[#This Row],[_IsLeaf]]=1),0,IF(N(Tasks[[#This Row],[Actual Finish]])&gt;0,1,MIN(1,N(Tasks[[#This Row],[% Complete]]))))</f>
        <v>0</v>
      </c>
      <c r="BX190" s="41" t="n">
        <f aca="false">IF(OR(NOT(Tasks[[#This Row],[_IsLeaf]]=1),Tasks[[#This Row],[Resource]]=""),0,N(Tasks[[#This Row],[Duration]])*HoursPerDay*IF(Tasks[[#This Row],[Units]]="",DefaultUnits,Tasks[[#This Row],[Units]]))</f>
        <v>0</v>
      </c>
      <c r="BY190" s="41" t="n">
        <f aca="false">IF(Tasks[[#This Row],[_LeafWork]]=0,0,Tasks[[#This Row],[_LeafWork]]*IFERROR(INDEX(res_Rate,MATCH(Tasks[[#This Row],[Resource]],res_Name,0)),0))</f>
        <v>0</v>
      </c>
      <c r="BZ1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0" s="41" t="n">
        <f aca="false">IF(NOT(Tasks[[#This Row],[_IsLeaf]]=1),0,MAX(_xlfn.MAXIFS(Tasks[_Row],Tasks[Pred1 UID],Tasks[[#This Row],[UID]]),_xlfn.MAXIFS(Tasks[_Row],Tasks[Pred2 UID],Tasks[[#This Row],[UID]])))</f>
        <v>0</v>
      </c>
      <c r="CE19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0" s="103" t="str">
        <f aca="false">IF(NOT(Tasks[[#This Row],[_IsLeaf]]=1),"",MIN(ProjectFinish,IF(N(Tasks[[#This Row],[Deadline]])&gt;0,Tasks[[#This Row],[Deadline]],2958465),Tasks[[#This Row],[_SuccessorFinishLimit]]))</f>
        <v/>
      </c>
      <c r="CG190" s="103" t="str">
        <f aca="false">IF(NOT(Tasks[[#This Row],[_IsLeaf]]=1),"",IF(N(Tasks[[#This Row],[Duration]])&lt;=0,Tasks[[#This Row],[_LeafLateFinish]],WORKDAY.INTL(Tasks[[#This Row],[_LeafLateFinish]],-(Tasks[[#This Row],[Duration]]-1),WorkWeek,Holidays)))</f>
        <v/>
      </c>
      <c r="CH1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0" s="102" t="b">
        <f aca="false">AND(Tasks[[#This Row],[_IsLeaf]]=1,Tasks[[#This Row],[_LeafProgress]]&lt;1,N(Tasks[[#This Row],[_LeafTotalSlack]])&lt;=CriticalSlackDays)</f>
        <v>0</v>
      </c>
      <c r="CJ190" s="103" t="str">
        <f aca="false">IF(Tasks[[#This Row],[Task Name]]="","",IF(Tasks[[#This Row],[_IsSummary]],MIN(INDEX(Tasks[_LeafCalcStart],Tasks[[#This Row],[_Row]]+1):INDEX(Tasks[_LeafCalcStart],Tasks[[#This Row],[_Row]]+Tasks[[#This Row],[_Descendants]])),Tasks[[#This Row],[_LeafCalcStart]]))</f>
        <v/>
      </c>
      <c r="CK190" s="103" t="str">
        <f aca="false">IF(Tasks[[#This Row],[Task Name]]="","",IF(Tasks[[#This Row],[_IsSummary]],MAX(INDEX(Tasks[_LeafCalcFinish],Tasks[[#This Row],[_Row]]+1):INDEX(Tasks[_LeafCalcFinish],Tasks[[#This Row],[_Row]]+Tasks[[#This Row],[_Descendants]])),Tasks[[#This Row],[_LeafCalcFinish]]))</f>
        <v/>
      </c>
      <c r="CL1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0" s="41" t="n">
        <f aca="false">IF(AND(Tasks[[#This Row],[_IsLeaf]]=1,Tasks[[#This Row],[_LeafWork]]&gt;0),NETWORKDAYS.INTL(ProjectStart,Tasks[[#This Row],[_LeafFcstStart]],WorkWeek,Holidays),0)</f>
        <v>0</v>
      </c>
      <c r="CS190" s="41" t="n">
        <f aca="false">IF(AND(Tasks[[#This Row],[_IsLeaf]]=1,Tasks[[#This Row],[_LeafWork]]&gt;0),MAX(Tasks[[#This Row],[_StartWorkday]],NETWORKDAYS.INTL(ProjectStart,Tasks[[#This Row],[_LeafFcstFinish]],WorkWeek,Holidays)),0)</f>
        <v>0</v>
      </c>
      <c r="CT190" s="41" t="n">
        <f aca="false">IF(AND(Tasks[[#This Row],[_IsLeaf]]=1,Tasks[[#This Row],[_LeafWork]]&gt;0),Tasks[[#This Row],[_LeafWork]]/(Tasks[[#This Row],[_FinishWorkday]]-Tasks[[#This Row],[_StartWorkday]]+1),0)</f>
        <v>0</v>
      </c>
      <c r="CU190" s="41" t="n">
        <f aca="false">Tasks[[#This Row],[_WorkPerWorkday]]*(Tasks[[#This Row],[_StartWorkday]]-1)</f>
        <v>-0</v>
      </c>
      <c r="CV190" s="41" t="n">
        <f aca="false">IF(Tasks[[#This Row],[_IsLeaf]]=1,MAX(N(Tasks[[#This Row],[Duration]]),0.1),0)</f>
        <v>0</v>
      </c>
      <c r="CW190" s="41" t="n">
        <f aca="false">Tasks[[#This Row],[_WeightDur]]*Tasks[[#This Row],[_LeafProgress]]</f>
        <v>0</v>
      </c>
      <c r="CX1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0" s="41" t="str">
        <f aca="false">IF(Tasks[[#This Row],[Task Name]]="","",Tasks[[#This Row],[_Pred1UIDText]]&amp;IF(AND(Tasks[[#This Row],[_Pred1UIDText]]&lt;&gt;"",Tasks[[#This Row],[_Pred2UIDText]]&lt;&gt;""),",","")&amp;Tasks[[#This Row],[_Pred2UIDText]])</f>
        <v/>
      </c>
      <c r="DC190" s="41" t="str">
        <f aca="false">IF(AND(Tasks[[#This Row],[_IsLeaf]]=1,N(Tasks[[#This Row],[Duration]])=0,Tasks[[#This Row],[_LeafProgress]]&lt;1),Tasks[[#This Row],[_LeafFcstFinish]]+Tasks[[#This Row],[_Row]]/100000,"")</f>
        <v/>
      </c>
      <c r="DD1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0" s="41" t="n">
        <f aca="false">IF(NOT(Tasks[[#This Row],[_IsLeaf]]=1),0,IF(Tasks[[#This Row],[Baseline Cost]]="",Tasks[[#This Row],[_LeafCost]],N(Tasks[[#This Row],[Baseline Cost]])))</f>
        <v>0</v>
      </c>
      <c r="DF190" s="41" t="n">
        <f aca="false">Tasks[[#This Row],[_LeafBudget]]*Tasks[[#This Row],[_PlannedPct]]</f>
        <v>0</v>
      </c>
      <c r="DG190" s="41" t="n">
        <f aca="false">Tasks[[#This Row],[_LeafBudget]]*Tasks[[#This Row],[_LeafProgress]]</f>
        <v>0</v>
      </c>
      <c r="DH190" s="41" t="n">
        <f aca="false">IF(NOT(Tasks[[#This Row],[_IsLeaf]]=1),0,IF(Tasks[[#This Row],[Actual Cost]]="",Tasks[[#This Row],[_LeafCost]]*Tasks[[#This Row],[_LeafProgress]],N(Tasks[[#This Row],[Actual Cost]])))</f>
        <v>0</v>
      </c>
      <c r="DI190" s="41" t="str">
        <f aca="false">IF(Tasks[[#This Row],[Task Name]]="","",LEFT(Tasks[[#This Row],[WBS]],FIND(".",Tasks[[#This Row],[WBS]]&amp;".")-1))</f>
        <v/>
      </c>
      <c r="DJ190" s="41" t="str">
        <f aca="false">IF(AND(Tasks[[#This Row],[Task Name]]&lt;&gt;"",Tasks[[#This Row],[_Level]]=1),Tasks[[#This Row],[_Row]],"")</f>
        <v/>
      </c>
      <c r="DK190" s="41" t="str">
        <f aca="false">IF(AND(Tasks[[#This Row],[_IsLeaf]]=1,N(Tasks[[#This Row],[Duration]])=0),Tasks[[#This Row],[Planned Finish]]+Tasks[[#This Row],[_Row]]/100000,"")</f>
        <v/>
      </c>
      <c r="DL190" s="41" t="str">
        <f aca="false">IF(AND(Tasks[[#This Row],[_IsLeaf]]=1,Tasks[[#This Row],[_LeafProgress]]&lt;1,OR(N(Tasks[[#This Row],[Finish Var]])&gt;0,Tasks[[#This Row],[Status]]="Late Start")),MAX(0,Tasks[[#This Row],[Finish Var]])+1-Tasks[[#This Row],[_Row]]/1000000,"")</f>
        <v/>
      </c>
      <c r="DM190" s="41" t="str">
        <f aca="false">IF(AND(Tasks[[#This Row],[_IsLeaf]]=1,N(Tasks[[#This Row],[Actual Start]])=0,Tasks[[#This Row],[_LeafFcstStart]]&gt;=StatusDate,Tasks[[#This Row],[_LeafFcstStart]]&lt;=LookaheadEnd),Tasks[[#This Row],[_LeafFcstStart]]+Tasks[[#This Row],[_Row]]/100000,"")</f>
        <v/>
      </c>
      <c r="DN190" s="41" t="str">
        <f aca="false">IF(AND(Tasks[[#This Row],[_IsLeaf]]=1,Tasks[[#This Row],[_LeafProgress]]&lt;1,Tasks[[#This Row],[_LeafFcstFinish]]&gt;=StatusDate,Tasks[[#This Row],[_LeafFcstFinish]]&lt;=LookaheadEnd),Tasks[[#This Row],[_LeafFcstFinish]]+Tasks[[#This Row],[_Row]]/100000,"")</f>
        <v/>
      </c>
      <c r="DO190" s="41" t="str">
        <f aca="false">IF(Tasks[[#This Row],[_LeafCritical]],Tasks[[#This Row],[_LeafFcstStart]]+Tasks[[#This Row],[_Row]]/100000,"")</f>
        <v/>
      </c>
      <c r="DP190" s="41" t="n">
        <f aca="false">Tasks[[#This Row],[_LeafWork]]*Tasks[[#This Row],[_LeafProgress]]</f>
        <v>0</v>
      </c>
      <c r="DQ190" s="103" t="str">
        <f aca="false">IF(AND(Tasks[[#This Row],[_IsLeaf]]=1,Tasks[[#This Row],[_LeafProgress]]&gt;=1),IF(N(Tasks[[#This Row],[Actual Finish]])&gt;0,Tasks[[#This Row],[Actual Finish]],Tasks[[#This Row],[_LeafFcstFinish]]),"")</f>
        <v/>
      </c>
      <c r="DR190" s="41" t="n">
        <f aca="false">IF(Tasks[[#This Row],[_IsLeaf]]=1,N(Tasks[[#This Row],[Story Points]]),0)</f>
        <v>0</v>
      </c>
      <c r="DS190" s="41" t="str">
        <f aca="false">IF(AND(Tasks[[#This Row],[_IsLeaf]]=1,CurrentSprint&lt;&gt;"",Tasks[[#This Row],[Sprint]]=CurrentSprint),Tasks[[#This Row],[_Row]],"")</f>
        <v/>
      </c>
    </row>
    <row r="191" customFormat="false" ht="15" hidden="false" customHeight="false" outlineLevel="0" collapsed="false">
      <c r="A191" s="28" t="str">
        <f aca="false">IF(Tasks[[#This Row],[Task Name]]="","",COUNTA(Tasks[[#Headers],[Task Name]]:Tasks[[#This Row],[Task Name]])-1)</f>
        <v/>
      </c>
      <c r="B191" s="29" t="n">
        <v>186</v>
      </c>
      <c r="C1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29"/>
      <c r="E191" s="30"/>
      <c r="F191" s="29"/>
      <c r="G191" s="29"/>
      <c r="H191" s="29"/>
      <c r="I191" s="29"/>
      <c r="J191" s="29"/>
      <c r="K191" s="29"/>
      <c r="L191" s="29"/>
      <c r="M191" s="29"/>
      <c r="N191" s="77"/>
      <c r="O191" s="77"/>
      <c r="P191" s="25" t="str">
        <f aca="false">IF(Tasks[[#This Row],[Task Name]]="","",IF(N(Tasks[[#This Row],[Baseline Start]])&gt;0,Tasks[[#This Row],[Baseline Start]],Tasks[[#This Row],[_CalcStart]]))</f>
        <v/>
      </c>
      <c r="Q191" s="25" t="str">
        <f aca="false">IF(Tasks[[#This Row],[Task Name]]="","",IF(N(Tasks[[#This Row],[Baseline Finish]])&gt;0,Tasks[[#This Row],[Baseline Finish]],Tasks[[#This Row],[_CalcFinish]]))</f>
        <v/>
      </c>
      <c r="R191" s="77"/>
      <c r="S191" s="77"/>
      <c r="T191" s="25" t="str">
        <f aca="false">IF(Tasks[[#This Row],[Task Name]]="","",IF(Tasks[[#This Row],[_IsSummary]],MIN(INDEX(Tasks[_LeafFcstStart],Tasks[[#This Row],[_Row]]+1):INDEX(Tasks[_LeafFcstStart],Tasks[[#This Row],[_Row]]+Tasks[[#This Row],[_Descendants]])),Tasks[[#This Row],[_LeafFcstStart]]))</f>
        <v/>
      </c>
      <c r="U191" s="25" t="str">
        <f aca="false">IF(Tasks[[#This Row],[Task Name]]="","",IF(Tasks[[#This Row],[_IsSummary]],MAX(INDEX(Tasks[_LeafFcstFinish],Tasks[[#This Row],[_Row]]+1):INDEX(Tasks[_LeafFcstFinish],Tasks[[#This Row],[_Row]]+Tasks[[#This Row],[_Descendants]])),Tasks[[#This Row],[_LeafFcstFinish]]))</f>
        <v/>
      </c>
      <c r="V19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1" s="25" t="str">
        <f aca="false">IF(Tasks[[#This Row],[Task Name]]="","",IF(Tasks[[#This Row],[_IsSummary]],MIN(INDEX(Tasks[_LeafLateStart],Tasks[[#This Row],[_Row]]+1):INDEX(Tasks[_LeafLateStart],Tasks[[#This Row],[_Row]]+Tasks[[#This Row],[_Descendants]])),Tasks[[#This Row],[_LeafLateStart]]))</f>
        <v/>
      </c>
      <c r="Y191" s="25" t="str">
        <f aca="false">IF(Tasks[[#This Row],[Task Name]]="","",IF(Tasks[[#This Row],[_IsSummary]],MAX(INDEX(Tasks[_LeafLateFinish],Tasks[[#This Row],[_Row]]+1):INDEX(Tasks[_LeafLateFinish],Tasks[[#This Row],[_Row]]+Tasks[[#This Row],[_Descendants]])),Tasks[[#This Row],[_LeafLateFinish]]))</f>
        <v/>
      </c>
      <c r="Z191" s="43" t="str">
        <f aca="false">IF(Tasks[[#This Row],[Task Name]]="","",IF(Tasks[[#This Row],[_IsSummary]],MIN(INDEX(Tasks[_LeafTotalSlack],Tasks[[#This Row],[_Row]]+1):INDEX(Tasks[_LeafTotalSlack],Tasks[[#This Row],[_Row]]+Tasks[[#This Row],[_Descendants]])),Tasks[[#This Row],[_LeafTotalSlack]]))</f>
        <v/>
      </c>
      <c r="AA1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1" s="28" t="str">
        <f aca="false">IF(Tasks[[#This Row],[Task Name]]="","",IF(IF(Tasks[[#This Row],[_IsSummary]],COUNTIF(INDEX(Tasks[_LeafCritical],Tasks[[#This Row],[_Row]]+1):INDEX(Tasks[_LeafCritical],Tasks[[#This Row],[_Row]]+Tasks[[#This Row],[_Descendants]]),TRUE())&gt;0,Tasks[[#This Row],[_LeafCritical]]),"Yes",""))</f>
        <v/>
      </c>
      <c r="AC1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1" s="24" t="str">
        <f aca="false">IF(Tasks[[#This Row],[Task Name]]="","",TRIM(IF(Tasks[[#This Row],[_Pred1Problem]]&lt;&gt;"","Pred 1: "&amp;Tasks[[#This Row],[_Pred1Problem]]&amp;". ","")&amp;IF(Tasks[[#This Row],[_Pred2Problem]]&lt;&gt;"","Pred 2: "&amp;Tasks[[#This Row],[_Pred2Problem]]&amp;".","")))</f>
        <v/>
      </c>
      <c r="AE191" s="91"/>
      <c r="AF19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1" s="28" t="str">
        <f aca="false">IF(Tasks[[#This Row],[Task Name]]="","",IF(Tasks[[#This Row],[Progress]]&gt;=1,"Complete",IF(OR(N(Tasks[[#This Row],[Actual Start]])&gt;0,Tasks[[#This Row],[Progress]]&gt;0),IF(Tasks[[#This Row],[Finish Var]]&gt;0,"Behind","In Progress"),IF(Tasks[[#This Row],[Planned Start]]&lt;StatusDate,"Late Start","Not Started"))))</f>
        <v/>
      </c>
      <c r="AH191" s="30"/>
      <c r="AI191" s="91"/>
      <c r="AJ19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1" s="98" t="str">
        <f aca="false">IF(Tasks[[#This Row],[Task Name]]="","",IF(Tasks[[#This Row],[_IsSummary]],SUM(INDEX(Tasks[_LeafWork],Tasks[[#This Row],[_Row]]+1):INDEX(Tasks[_LeafWork],Tasks[[#This Row],[_Row]]+Tasks[[#This Row],[_Descendants]])),Tasks[[#This Row],[_LeafWork]]))</f>
        <v/>
      </c>
      <c r="AL191" s="99" t="str">
        <f aca="false">IF(Tasks[[#This Row],[Task Name]]="","",IF(Tasks[[#This Row],[_IsSummary]],SUM(INDEX(Tasks[_LeafCost],Tasks[[#This Row],[_Row]]+1):INDEX(Tasks[_LeafCost],Tasks[[#This Row],[_Row]]+Tasks[[#This Row],[_Descendants]])),Tasks[[#This Row],[_LeafCost]]))</f>
        <v/>
      </c>
      <c r="AM191" s="100"/>
      <c r="AN191" s="29"/>
      <c r="AO1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1" s="85"/>
      <c r="AQ191" s="24" t="str">
        <f aca="false">IF(Tasks[[#This Row],[Task Name]]="","",Tasks[[#This Row],[_Pred1IDText]]&amp;IF(AND(Tasks[[#This Row],[_Pred1IDText]]&lt;&gt;"",Tasks[[#This Row],[_Pred2IDText]]&lt;&gt;""),",","")&amp;Tasks[[#This Row],[_Pred2IDText]])</f>
        <v/>
      </c>
      <c r="AR191" s="30"/>
      <c r="AS191" s="25" t="str">
        <f aca="false">IF(Tasks[[#This Row],[Task Name]]="","",Tasks[[#This Row],[Forecast Start]])</f>
        <v/>
      </c>
      <c r="AT191" s="25" t="str">
        <f aca="false">IF(Tasks[[#This Row],[Task Name]]="","",Tasks[[#This Row],[Forecast Finish]])</f>
        <v/>
      </c>
      <c r="AU191" s="28" t="str">
        <f aca="false">IF(Tasks[[#This Row],[Task Name]]="","",IF(Tasks[[#This Row],[_IsSummary]],NETWORKDAYS.INTL(Tasks[[#This Row],[Forecast Start]],Tasks[[#This Row],[Forecast Finish]],WorkWeek,Holidays),N(Tasks[[#This Row],[Duration]])))</f>
        <v/>
      </c>
      <c r="AV191" s="98" t="str">
        <f aca="false">IF(Tasks[[#This Row],[Task Name]]="","",Tasks[[#This Row],[Work]])</f>
        <v/>
      </c>
      <c r="AW191" s="99" t="str">
        <f aca="false">IF(Tasks[[#This Row],[Task Name]]="","",Tasks[[#This Row],[Cost]])</f>
        <v/>
      </c>
      <c r="AX191" s="77"/>
      <c r="AY191" s="77"/>
      <c r="AZ191" s="29"/>
      <c r="BA191" s="101"/>
      <c r="BB191" s="100"/>
      <c r="BC191" s="28" t="str">
        <f aca="false">IF(OR(Tasks[[#This Row],[Task Name]]="",Tasks[[#This Row],[Baseline Duration]]=""),"",Tasks[[#This Row],[BL Source Duration]]-N(Tasks[[#This Row],[Baseline Duration]]))</f>
        <v/>
      </c>
      <c r="BD191" s="98" t="str">
        <f aca="false">IF(OR(Tasks[[#This Row],[Task Name]]="",Tasks[[#This Row],[Baseline Work]]=""),"",Tasks[[#This Row],[Work]]-N(Tasks[[#This Row],[Baseline Work]]))</f>
        <v/>
      </c>
      <c r="BE191" s="99" t="str">
        <f aca="false">IF(OR(Tasks[[#This Row],[Task Name]]="",Tasks[[#This Row],[Baseline Cost]]=""),"",Tasks[[#This Row],[Cost]]-N(Tasks[[#This Row],[Baseline Cost]]))</f>
        <v/>
      </c>
      <c r="BF191" s="99" t="str">
        <f aca="false">IF(Tasks[[#This Row],[Task Name]]="","",IF(Tasks[[#This Row],[_IsSummary]],SUM(INDEX(Tasks[_LeafBudget],Tasks[[#This Row],[_Row]]+1):INDEX(Tasks[_LeafBudget],Tasks[[#This Row],[_Row]]+Tasks[[#This Row],[_Descendants]])),Tasks[[#This Row],[_LeafBudget]]))</f>
        <v/>
      </c>
      <c r="BG191" s="99" t="str">
        <f aca="false">IF(Tasks[[#This Row],[Task Name]]="","",IF(Tasks[[#This Row],[_IsSummary]],SUM(INDEX(Tasks[_LeafPV],Tasks[[#This Row],[_Row]]+1):INDEX(Tasks[_LeafPV],Tasks[[#This Row],[_Row]]+Tasks[[#This Row],[_Descendants]])),Tasks[[#This Row],[_LeafPV]]))</f>
        <v/>
      </c>
      <c r="BH191" s="99" t="str">
        <f aca="false">IF(Tasks[[#This Row],[Task Name]]="","",IF(Tasks[[#This Row],[_IsSummary]],SUM(INDEX(Tasks[_LeafEV],Tasks[[#This Row],[_Row]]+1):INDEX(Tasks[_LeafEV],Tasks[[#This Row],[_Row]]+Tasks[[#This Row],[_Descendants]])),Tasks[[#This Row],[_LeafEV]]))</f>
        <v/>
      </c>
      <c r="BI191" s="99" t="str">
        <f aca="false">IF(Tasks[[#This Row],[Task Name]]="","",IF(Tasks[[#This Row],[_IsSummary]],SUM(INDEX(Tasks[_LeafAC],Tasks[[#This Row],[_Row]]+1):INDEX(Tasks[_LeafAC],Tasks[[#This Row],[_Row]]+Tasks[[#This Row],[_Descendants]])),Tasks[[#This Row],[_LeafAC]]))</f>
        <v/>
      </c>
      <c r="BJ191" s="41" t="str">
        <f aca="false">IF(Tasks[[#This Row],[Task Name]]="","",MAX(1,N(Tasks[[#This Row],[Level]])))</f>
        <v/>
      </c>
      <c r="BK191" s="41" t="n">
        <f aca="false">ROW()-ROW(Tasks[[#Headers],[ID]])</f>
        <v>186</v>
      </c>
      <c r="BL191" s="41" t="n">
        <f aca="false">IF(OR(Tasks[[#This Row],[Task Name]]="",Tasks[[#This Row],[_Level]]&lt;=1),0,IFERROR(LOOKUP(2,1/(Tasks[[#Headers],[_Level]]:Tasks[[#This Row],[_Level]]=Tasks[[#This Row],[_Level]]-1),ROW(Tasks[[#Headers],[_Level]]:Tasks[[#This Row],[_Level]])),0))</f>
        <v>0</v>
      </c>
      <c r="BM191" s="41" t="n">
        <f aca="false">IFERROR(N(INDEX(Tasks[_Level],Tasks[[#This Row],[_Row]]+1)),0)</f>
        <v>0</v>
      </c>
      <c r="BN191" s="102" t="b">
        <f aca="false">AND(Tasks[[#This Row],[Task Name]]&lt;&gt;"",Tasks[[#This Row],[_NextLevel]]&gt;Tasks[[#This Row],[_Level]])</f>
        <v>0</v>
      </c>
      <c r="BO191" s="41" t="n">
        <f aca="false">IF(Tasks[[#This Row],[_IsSummary]],COUNTIF(Tasks[WBS],Tasks[[#This Row],[WBS]]&amp;".*"),0)</f>
        <v>0</v>
      </c>
      <c r="BP191" s="41" t="n">
        <f aca="false">IF(AND(Tasks[[#This Row],[Task Name]]&lt;&gt;"",NOT(Tasks[[#This Row],[_IsSummary]])),1,0)</f>
        <v>0</v>
      </c>
      <c r="BQ191" s="41" t="n">
        <f aca="false">IF(N(Tasks[[#This Row],[Pred1 UID]])=0,0,IFERROR(MATCH(Tasks[[#This Row],[Pred1 UID]],Tasks[UID],0),-1))</f>
        <v>0</v>
      </c>
      <c r="BR191" s="41" t="n">
        <f aca="false">IF(N(Tasks[[#This Row],[Pred2 UID]])=0,0,IFERROR(MATCH(Tasks[[#This Row],[Pred2 UID]],Tasks[UID],0),-1))</f>
        <v>0</v>
      </c>
      <c r="BS19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1" s="103" t="str">
        <f aca="false">IF(NOT(Tasks[[#This Row],[_IsLeaf]]=1),"",IF(N(Tasks[[#This Row],[Duration]])&lt;=0,Tasks[[#This Row],[_LeafCalcStart]],WORKDAY.INTL(Tasks[[#This Row],[_LeafCalcStart]],Tasks[[#This Row],[Duration]]-1,WorkWeek,Holidays)))</f>
        <v/>
      </c>
      <c r="BU19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1" s="41" t="n">
        <f aca="false">IF(NOT(Tasks[[#This Row],[_IsLeaf]]=1),0,IF(N(Tasks[[#This Row],[Actual Finish]])&gt;0,1,MIN(1,N(Tasks[[#This Row],[% Complete]]))))</f>
        <v>0</v>
      </c>
      <c r="BX191" s="41" t="n">
        <f aca="false">IF(OR(NOT(Tasks[[#This Row],[_IsLeaf]]=1),Tasks[[#This Row],[Resource]]=""),0,N(Tasks[[#This Row],[Duration]])*HoursPerDay*IF(Tasks[[#This Row],[Units]]="",DefaultUnits,Tasks[[#This Row],[Units]]))</f>
        <v>0</v>
      </c>
      <c r="BY191" s="41" t="n">
        <f aca="false">IF(Tasks[[#This Row],[_LeafWork]]=0,0,Tasks[[#This Row],[_LeafWork]]*IFERROR(INDEX(res_Rate,MATCH(Tasks[[#This Row],[Resource]],res_Name,0)),0))</f>
        <v>0</v>
      </c>
      <c r="BZ1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1" s="41" t="n">
        <f aca="false">IF(NOT(Tasks[[#This Row],[_IsLeaf]]=1),0,MAX(_xlfn.MAXIFS(Tasks[_Row],Tasks[Pred1 UID],Tasks[[#This Row],[UID]]),_xlfn.MAXIFS(Tasks[_Row],Tasks[Pred2 UID],Tasks[[#This Row],[UID]])))</f>
        <v>0</v>
      </c>
      <c r="CE19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1" s="103" t="str">
        <f aca="false">IF(NOT(Tasks[[#This Row],[_IsLeaf]]=1),"",MIN(ProjectFinish,IF(N(Tasks[[#This Row],[Deadline]])&gt;0,Tasks[[#This Row],[Deadline]],2958465),Tasks[[#This Row],[_SuccessorFinishLimit]]))</f>
        <v/>
      </c>
      <c r="CG191" s="103" t="str">
        <f aca="false">IF(NOT(Tasks[[#This Row],[_IsLeaf]]=1),"",IF(N(Tasks[[#This Row],[Duration]])&lt;=0,Tasks[[#This Row],[_LeafLateFinish]],WORKDAY.INTL(Tasks[[#This Row],[_LeafLateFinish]],-(Tasks[[#This Row],[Duration]]-1),WorkWeek,Holidays)))</f>
        <v/>
      </c>
      <c r="CH1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1" s="102" t="b">
        <f aca="false">AND(Tasks[[#This Row],[_IsLeaf]]=1,Tasks[[#This Row],[_LeafProgress]]&lt;1,N(Tasks[[#This Row],[_LeafTotalSlack]])&lt;=CriticalSlackDays)</f>
        <v>0</v>
      </c>
      <c r="CJ191" s="103" t="str">
        <f aca="false">IF(Tasks[[#This Row],[Task Name]]="","",IF(Tasks[[#This Row],[_IsSummary]],MIN(INDEX(Tasks[_LeafCalcStart],Tasks[[#This Row],[_Row]]+1):INDEX(Tasks[_LeafCalcStart],Tasks[[#This Row],[_Row]]+Tasks[[#This Row],[_Descendants]])),Tasks[[#This Row],[_LeafCalcStart]]))</f>
        <v/>
      </c>
      <c r="CK191" s="103" t="str">
        <f aca="false">IF(Tasks[[#This Row],[Task Name]]="","",IF(Tasks[[#This Row],[_IsSummary]],MAX(INDEX(Tasks[_LeafCalcFinish],Tasks[[#This Row],[_Row]]+1):INDEX(Tasks[_LeafCalcFinish],Tasks[[#This Row],[_Row]]+Tasks[[#This Row],[_Descendants]])),Tasks[[#This Row],[_LeafCalcFinish]]))</f>
        <v/>
      </c>
      <c r="CL1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1" s="41" t="n">
        <f aca="false">IF(AND(Tasks[[#This Row],[_IsLeaf]]=1,Tasks[[#This Row],[_LeafWork]]&gt;0),NETWORKDAYS.INTL(ProjectStart,Tasks[[#This Row],[_LeafFcstStart]],WorkWeek,Holidays),0)</f>
        <v>0</v>
      </c>
      <c r="CS191" s="41" t="n">
        <f aca="false">IF(AND(Tasks[[#This Row],[_IsLeaf]]=1,Tasks[[#This Row],[_LeafWork]]&gt;0),MAX(Tasks[[#This Row],[_StartWorkday]],NETWORKDAYS.INTL(ProjectStart,Tasks[[#This Row],[_LeafFcstFinish]],WorkWeek,Holidays)),0)</f>
        <v>0</v>
      </c>
      <c r="CT191" s="41" t="n">
        <f aca="false">IF(AND(Tasks[[#This Row],[_IsLeaf]]=1,Tasks[[#This Row],[_LeafWork]]&gt;0),Tasks[[#This Row],[_LeafWork]]/(Tasks[[#This Row],[_FinishWorkday]]-Tasks[[#This Row],[_StartWorkday]]+1),0)</f>
        <v>0</v>
      </c>
      <c r="CU191" s="41" t="n">
        <f aca="false">Tasks[[#This Row],[_WorkPerWorkday]]*(Tasks[[#This Row],[_StartWorkday]]-1)</f>
        <v>-0</v>
      </c>
      <c r="CV191" s="41" t="n">
        <f aca="false">IF(Tasks[[#This Row],[_IsLeaf]]=1,MAX(N(Tasks[[#This Row],[Duration]]),0.1),0)</f>
        <v>0</v>
      </c>
      <c r="CW191" s="41" t="n">
        <f aca="false">Tasks[[#This Row],[_WeightDur]]*Tasks[[#This Row],[_LeafProgress]]</f>
        <v>0</v>
      </c>
      <c r="CX1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1" s="41" t="str">
        <f aca="false">IF(Tasks[[#This Row],[Task Name]]="","",Tasks[[#This Row],[_Pred1UIDText]]&amp;IF(AND(Tasks[[#This Row],[_Pred1UIDText]]&lt;&gt;"",Tasks[[#This Row],[_Pred2UIDText]]&lt;&gt;""),",","")&amp;Tasks[[#This Row],[_Pred2UIDText]])</f>
        <v/>
      </c>
      <c r="DC191" s="41" t="str">
        <f aca="false">IF(AND(Tasks[[#This Row],[_IsLeaf]]=1,N(Tasks[[#This Row],[Duration]])=0,Tasks[[#This Row],[_LeafProgress]]&lt;1),Tasks[[#This Row],[_LeafFcstFinish]]+Tasks[[#This Row],[_Row]]/100000,"")</f>
        <v/>
      </c>
      <c r="DD1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1" s="41" t="n">
        <f aca="false">IF(NOT(Tasks[[#This Row],[_IsLeaf]]=1),0,IF(Tasks[[#This Row],[Baseline Cost]]="",Tasks[[#This Row],[_LeafCost]],N(Tasks[[#This Row],[Baseline Cost]])))</f>
        <v>0</v>
      </c>
      <c r="DF191" s="41" t="n">
        <f aca="false">Tasks[[#This Row],[_LeafBudget]]*Tasks[[#This Row],[_PlannedPct]]</f>
        <v>0</v>
      </c>
      <c r="DG191" s="41" t="n">
        <f aca="false">Tasks[[#This Row],[_LeafBudget]]*Tasks[[#This Row],[_LeafProgress]]</f>
        <v>0</v>
      </c>
      <c r="DH191" s="41" t="n">
        <f aca="false">IF(NOT(Tasks[[#This Row],[_IsLeaf]]=1),0,IF(Tasks[[#This Row],[Actual Cost]]="",Tasks[[#This Row],[_LeafCost]]*Tasks[[#This Row],[_LeafProgress]],N(Tasks[[#This Row],[Actual Cost]])))</f>
        <v>0</v>
      </c>
      <c r="DI191" s="41" t="str">
        <f aca="false">IF(Tasks[[#This Row],[Task Name]]="","",LEFT(Tasks[[#This Row],[WBS]],FIND(".",Tasks[[#This Row],[WBS]]&amp;".")-1))</f>
        <v/>
      </c>
      <c r="DJ191" s="41" t="str">
        <f aca="false">IF(AND(Tasks[[#This Row],[Task Name]]&lt;&gt;"",Tasks[[#This Row],[_Level]]=1),Tasks[[#This Row],[_Row]],"")</f>
        <v/>
      </c>
      <c r="DK191" s="41" t="str">
        <f aca="false">IF(AND(Tasks[[#This Row],[_IsLeaf]]=1,N(Tasks[[#This Row],[Duration]])=0),Tasks[[#This Row],[Planned Finish]]+Tasks[[#This Row],[_Row]]/100000,"")</f>
        <v/>
      </c>
      <c r="DL191" s="41" t="str">
        <f aca="false">IF(AND(Tasks[[#This Row],[_IsLeaf]]=1,Tasks[[#This Row],[_LeafProgress]]&lt;1,OR(N(Tasks[[#This Row],[Finish Var]])&gt;0,Tasks[[#This Row],[Status]]="Late Start")),MAX(0,Tasks[[#This Row],[Finish Var]])+1-Tasks[[#This Row],[_Row]]/1000000,"")</f>
        <v/>
      </c>
      <c r="DM191" s="41" t="str">
        <f aca="false">IF(AND(Tasks[[#This Row],[_IsLeaf]]=1,N(Tasks[[#This Row],[Actual Start]])=0,Tasks[[#This Row],[_LeafFcstStart]]&gt;=StatusDate,Tasks[[#This Row],[_LeafFcstStart]]&lt;=LookaheadEnd),Tasks[[#This Row],[_LeafFcstStart]]+Tasks[[#This Row],[_Row]]/100000,"")</f>
        <v/>
      </c>
      <c r="DN191" s="41" t="str">
        <f aca="false">IF(AND(Tasks[[#This Row],[_IsLeaf]]=1,Tasks[[#This Row],[_LeafProgress]]&lt;1,Tasks[[#This Row],[_LeafFcstFinish]]&gt;=StatusDate,Tasks[[#This Row],[_LeafFcstFinish]]&lt;=LookaheadEnd),Tasks[[#This Row],[_LeafFcstFinish]]+Tasks[[#This Row],[_Row]]/100000,"")</f>
        <v/>
      </c>
      <c r="DO191" s="41" t="str">
        <f aca="false">IF(Tasks[[#This Row],[_LeafCritical]],Tasks[[#This Row],[_LeafFcstStart]]+Tasks[[#This Row],[_Row]]/100000,"")</f>
        <v/>
      </c>
      <c r="DP191" s="41" t="n">
        <f aca="false">Tasks[[#This Row],[_LeafWork]]*Tasks[[#This Row],[_LeafProgress]]</f>
        <v>0</v>
      </c>
      <c r="DQ191" s="103" t="str">
        <f aca="false">IF(AND(Tasks[[#This Row],[_IsLeaf]]=1,Tasks[[#This Row],[_LeafProgress]]&gt;=1),IF(N(Tasks[[#This Row],[Actual Finish]])&gt;0,Tasks[[#This Row],[Actual Finish]],Tasks[[#This Row],[_LeafFcstFinish]]),"")</f>
        <v/>
      </c>
      <c r="DR191" s="41" t="n">
        <f aca="false">IF(Tasks[[#This Row],[_IsLeaf]]=1,N(Tasks[[#This Row],[Story Points]]),0)</f>
        <v>0</v>
      </c>
      <c r="DS191" s="41" t="str">
        <f aca="false">IF(AND(Tasks[[#This Row],[_IsLeaf]]=1,CurrentSprint&lt;&gt;"",Tasks[[#This Row],[Sprint]]=CurrentSprint),Tasks[[#This Row],[_Row]],"")</f>
        <v/>
      </c>
    </row>
    <row r="192" customFormat="false" ht="15" hidden="false" customHeight="false" outlineLevel="0" collapsed="false">
      <c r="A192" s="28" t="str">
        <f aca="false">IF(Tasks[[#This Row],[Task Name]]="","",COUNTA(Tasks[[#Headers],[Task Name]]:Tasks[[#This Row],[Task Name]])-1)</f>
        <v/>
      </c>
      <c r="B192" s="29" t="n">
        <v>187</v>
      </c>
      <c r="C1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29"/>
      <c r="E192" s="30"/>
      <c r="F192" s="29"/>
      <c r="G192" s="29"/>
      <c r="H192" s="29"/>
      <c r="I192" s="29"/>
      <c r="J192" s="29"/>
      <c r="K192" s="29"/>
      <c r="L192" s="29"/>
      <c r="M192" s="29"/>
      <c r="N192" s="77"/>
      <c r="O192" s="77"/>
      <c r="P192" s="25" t="str">
        <f aca="false">IF(Tasks[[#This Row],[Task Name]]="","",IF(N(Tasks[[#This Row],[Baseline Start]])&gt;0,Tasks[[#This Row],[Baseline Start]],Tasks[[#This Row],[_CalcStart]]))</f>
        <v/>
      </c>
      <c r="Q192" s="25" t="str">
        <f aca="false">IF(Tasks[[#This Row],[Task Name]]="","",IF(N(Tasks[[#This Row],[Baseline Finish]])&gt;0,Tasks[[#This Row],[Baseline Finish]],Tasks[[#This Row],[_CalcFinish]]))</f>
        <v/>
      </c>
      <c r="R192" s="77"/>
      <c r="S192" s="77"/>
      <c r="T192" s="25" t="str">
        <f aca="false">IF(Tasks[[#This Row],[Task Name]]="","",IF(Tasks[[#This Row],[_IsSummary]],MIN(INDEX(Tasks[_LeafFcstStart],Tasks[[#This Row],[_Row]]+1):INDEX(Tasks[_LeafFcstStart],Tasks[[#This Row],[_Row]]+Tasks[[#This Row],[_Descendants]])),Tasks[[#This Row],[_LeafFcstStart]]))</f>
        <v/>
      </c>
      <c r="U192" s="25" t="str">
        <f aca="false">IF(Tasks[[#This Row],[Task Name]]="","",IF(Tasks[[#This Row],[_IsSummary]],MAX(INDEX(Tasks[_LeafFcstFinish],Tasks[[#This Row],[_Row]]+1):INDEX(Tasks[_LeafFcstFinish],Tasks[[#This Row],[_Row]]+Tasks[[#This Row],[_Descendants]])),Tasks[[#This Row],[_LeafFcstFinish]]))</f>
        <v/>
      </c>
      <c r="V19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2" s="25" t="str">
        <f aca="false">IF(Tasks[[#This Row],[Task Name]]="","",IF(Tasks[[#This Row],[_IsSummary]],MIN(INDEX(Tasks[_LeafLateStart],Tasks[[#This Row],[_Row]]+1):INDEX(Tasks[_LeafLateStart],Tasks[[#This Row],[_Row]]+Tasks[[#This Row],[_Descendants]])),Tasks[[#This Row],[_LeafLateStart]]))</f>
        <v/>
      </c>
      <c r="Y192" s="25" t="str">
        <f aca="false">IF(Tasks[[#This Row],[Task Name]]="","",IF(Tasks[[#This Row],[_IsSummary]],MAX(INDEX(Tasks[_LeafLateFinish],Tasks[[#This Row],[_Row]]+1):INDEX(Tasks[_LeafLateFinish],Tasks[[#This Row],[_Row]]+Tasks[[#This Row],[_Descendants]])),Tasks[[#This Row],[_LeafLateFinish]]))</f>
        <v/>
      </c>
      <c r="Z192" s="43" t="str">
        <f aca="false">IF(Tasks[[#This Row],[Task Name]]="","",IF(Tasks[[#This Row],[_IsSummary]],MIN(INDEX(Tasks[_LeafTotalSlack],Tasks[[#This Row],[_Row]]+1):INDEX(Tasks[_LeafTotalSlack],Tasks[[#This Row],[_Row]]+Tasks[[#This Row],[_Descendants]])),Tasks[[#This Row],[_LeafTotalSlack]]))</f>
        <v/>
      </c>
      <c r="AA1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2" s="28" t="str">
        <f aca="false">IF(Tasks[[#This Row],[Task Name]]="","",IF(IF(Tasks[[#This Row],[_IsSummary]],COUNTIF(INDEX(Tasks[_LeafCritical],Tasks[[#This Row],[_Row]]+1):INDEX(Tasks[_LeafCritical],Tasks[[#This Row],[_Row]]+Tasks[[#This Row],[_Descendants]]),TRUE())&gt;0,Tasks[[#This Row],[_LeafCritical]]),"Yes",""))</f>
        <v/>
      </c>
      <c r="AC1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2" s="24" t="str">
        <f aca="false">IF(Tasks[[#This Row],[Task Name]]="","",TRIM(IF(Tasks[[#This Row],[_Pred1Problem]]&lt;&gt;"","Pred 1: "&amp;Tasks[[#This Row],[_Pred1Problem]]&amp;". ","")&amp;IF(Tasks[[#This Row],[_Pred2Problem]]&lt;&gt;"","Pred 2: "&amp;Tasks[[#This Row],[_Pred2Problem]]&amp;".","")))</f>
        <v/>
      </c>
      <c r="AE192" s="91"/>
      <c r="AF19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2" s="28" t="str">
        <f aca="false">IF(Tasks[[#This Row],[Task Name]]="","",IF(Tasks[[#This Row],[Progress]]&gt;=1,"Complete",IF(OR(N(Tasks[[#This Row],[Actual Start]])&gt;0,Tasks[[#This Row],[Progress]]&gt;0),IF(Tasks[[#This Row],[Finish Var]]&gt;0,"Behind","In Progress"),IF(Tasks[[#This Row],[Planned Start]]&lt;StatusDate,"Late Start","Not Started"))))</f>
        <v/>
      </c>
      <c r="AH192" s="30"/>
      <c r="AI192" s="91"/>
      <c r="AJ19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2" s="98" t="str">
        <f aca="false">IF(Tasks[[#This Row],[Task Name]]="","",IF(Tasks[[#This Row],[_IsSummary]],SUM(INDEX(Tasks[_LeafWork],Tasks[[#This Row],[_Row]]+1):INDEX(Tasks[_LeafWork],Tasks[[#This Row],[_Row]]+Tasks[[#This Row],[_Descendants]])),Tasks[[#This Row],[_LeafWork]]))</f>
        <v/>
      </c>
      <c r="AL192" s="99" t="str">
        <f aca="false">IF(Tasks[[#This Row],[Task Name]]="","",IF(Tasks[[#This Row],[_IsSummary]],SUM(INDEX(Tasks[_LeafCost],Tasks[[#This Row],[_Row]]+1):INDEX(Tasks[_LeafCost],Tasks[[#This Row],[_Row]]+Tasks[[#This Row],[_Descendants]])),Tasks[[#This Row],[_LeafCost]]))</f>
        <v/>
      </c>
      <c r="AM192" s="100"/>
      <c r="AN192" s="29"/>
      <c r="AO1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2" s="85"/>
      <c r="AQ192" s="24" t="str">
        <f aca="false">IF(Tasks[[#This Row],[Task Name]]="","",Tasks[[#This Row],[_Pred1IDText]]&amp;IF(AND(Tasks[[#This Row],[_Pred1IDText]]&lt;&gt;"",Tasks[[#This Row],[_Pred2IDText]]&lt;&gt;""),",","")&amp;Tasks[[#This Row],[_Pred2IDText]])</f>
        <v/>
      </c>
      <c r="AR192" s="30"/>
      <c r="AS192" s="25" t="str">
        <f aca="false">IF(Tasks[[#This Row],[Task Name]]="","",Tasks[[#This Row],[Forecast Start]])</f>
        <v/>
      </c>
      <c r="AT192" s="25" t="str">
        <f aca="false">IF(Tasks[[#This Row],[Task Name]]="","",Tasks[[#This Row],[Forecast Finish]])</f>
        <v/>
      </c>
      <c r="AU192" s="28" t="str">
        <f aca="false">IF(Tasks[[#This Row],[Task Name]]="","",IF(Tasks[[#This Row],[_IsSummary]],NETWORKDAYS.INTL(Tasks[[#This Row],[Forecast Start]],Tasks[[#This Row],[Forecast Finish]],WorkWeek,Holidays),N(Tasks[[#This Row],[Duration]])))</f>
        <v/>
      </c>
      <c r="AV192" s="98" t="str">
        <f aca="false">IF(Tasks[[#This Row],[Task Name]]="","",Tasks[[#This Row],[Work]])</f>
        <v/>
      </c>
      <c r="AW192" s="99" t="str">
        <f aca="false">IF(Tasks[[#This Row],[Task Name]]="","",Tasks[[#This Row],[Cost]])</f>
        <v/>
      </c>
      <c r="AX192" s="77"/>
      <c r="AY192" s="77"/>
      <c r="AZ192" s="29"/>
      <c r="BA192" s="101"/>
      <c r="BB192" s="100"/>
      <c r="BC192" s="28" t="str">
        <f aca="false">IF(OR(Tasks[[#This Row],[Task Name]]="",Tasks[[#This Row],[Baseline Duration]]=""),"",Tasks[[#This Row],[BL Source Duration]]-N(Tasks[[#This Row],[Baseline Duration]]))</f>
        <v/>
      </c>
      <c r="BD192" s="98" t="str">
        <f aca="false">IF(OR(Tasks[[#This Row],[Task Name]]="",Tasks[[#This Row],[Baseline Work]]=""),"",Tasks[[#This Row],[Work]]-N(Tasks[[#This Row],[Baseline Work]]))</f>
        <v/>
      </c>
      <c r="BE192" s="99" t="str">
        <f aca="false">IF(OR(Tasks[[#This Row],[Task Name]]="",Tasks[[#This Row],[Baseline Cost]]=""),"",Tasks[[#This Row],[Cost]]-N(Tasks[[#This Row],[Baseline Cost]]))</f>
        <v/>
      </c>
      <c r="BF192" s="99" t="str">
        <f aca="false">IF(Tasks[[#This Row],[Task Name]]="","",IF(Tasks[[#This Row],[_IsSummary]],SUM(INDEX(Tasks[_LeafBudget],Tasks[[#This Row],[_Row]]+1):INDEX(Tasks[_LeafBudget],Tasks[[#This Row],[_Row]]+Tasks[[#This Row],[_Descendants]])),Tasks[[#This Row],[_LeafBudget]]))</f>
        <v/>
      </c>
      <c r="BG192" s="99" t="str">
        <f aca="false">IF(Tasks[[#This Row],[Task Name]]="","",IF(Tasks[[#This Row],[_IsSummary]],SUM(INDEX(Tasks[_LeafPV],Tasks[[#This Row],[_Row]]+1):INDEX(Tasks[_LeafPV],Tasks[[#This Row],[_Row]]+Tasks[[#This Row],[_Descendants]])),Tasks[[#This Row],[_LeafPV]]))</f>
        <v/>
      </c>
      <c r="BH192" s="99" t="str">
        <f aca="false">IF(Tasks[[#This Row],[Task Name]]="","",IF(Tasks[[#This Row],[_IsSummary]],SUM(INDEX(Tasks[_LeafEV],Tasks[[#This Row],[_Row]]+1):INDEX(Tasks[_LeafEV],Tasks[[#This Row],[_Row]]+Tasks[[#This Row],[_Descendants]])),Tasks[[#This Row],[_LeafEV]]))</f>
        <v/>
      </c>
      <c r="BI192" s="99" t="str">
        <f aca="false">IF(Tasks[[#This Row],[Task Name]]="","",IF(Tasks[[#This Row],[_IsSummary]],SUM(INDEX(Tasks[_LeafAC],Tasks[[#This Row],[_Row]]+1):INDEX(Tasks[_LeafAC],Tasks[[#This Row],[_Row]]+Tasks[[#This Row],[_Descendants]])),Tasks[[#This Row],[_LeafAC]]))</f>
        <v/>
      </c>
      <c r="BJ192" s="41" t="str">
        <f aca="false">IF(Tasks[[#This Row],[Task Name]]="","",MAX(1,N(Tasks[[#This Row],[Level]])))</f>
        <v/>
      </c>
      <c r="BK192" s="41" t="n">
        <f aca="false">ROW()-ROW(Tasks[[#Headers],[ID]])</f>
        <v>187</v>
      </c>
      <c r="BL192" s="41" t="n">
        <f aca="false">IF(OR(Tasks[[#This Row],[Task Name]]="",Tasks[[#This Row],[_Level]]&lt;=1),0,IFERROR(LOOKUP(2,1/(Tasks[[#Headers],[_Level]]:Tasks[[#This Row],[_Level]]=Tasks[[#This Row],[_Level]]-1),ROW(Tasks[[#Headers],[_Level]]:Tasks[[#This Row],[_Level]])),0))</f>
        <v>0</v>
      </c>
      <c r="BM192" s="41" t="n">
        <f aca="false">IFERROR(N(INDEX(Tasks[_Level],Tasks[[#This Row],[_Row]]+1)),0)</f>
        <v>0</v>
      </c>
      <c r="BN192" s="102" t="b">
        <f aca="false">AND(Tasks[[#This Row],[Task Name]]&lt;&gt;"",Tasks[[#This Row],[_NextLevel]]&gt;Tasks[[#This Row],[_Level]])</f>
        <v>0</v>
      </c>
      <c r="BO192" s="41" t="n">
        <f aca="false">IF(Tasks[[#This Row],[_IsSummary]],COUNTIF(Tasks[WBS],Tasks[[#This Row],[WBS]]&amp;".*"),0)</f>
        <v>0</v>
      </c>
      <c r="BP192" s="41" t="n">
        <f aca="false">IF(AND(Tasks[[#This Row],[Task Name]]&lt;&gt;"",NOT(Tasks[[#This Row],[_IsSummary]])),1,0)</f>
        <v>0</v>
      </c>
      <c r="BQ192" s="41" t="n">
        <f aca="false">IF(N(Tasks[[#This Row],[Pred1 UID]])=0,0,IFERROR(MATCH(Tasks[[#This Row],[Pred1 UID]],Tasks[UID],0),-1))</f>
        <v>0</v>
      </c>
      <c r="BR192" s="41" t="n">
        <f aca="false">IF(N(Tasks[[#This Row],[Pred2 UID]])=0,0,IFERROR(MATCH(Tasks[[#This Row],[Pred2 UID]],Tasks[UID],0),-1))</f>
        <v>0</v>
      </c>
      <c r="BS19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2" s="103" t="str">
        <f aca="false">IF(NOT(Tasks[[#This Row],[_IsLeaf]]=1),"",IF(N(Tasks[[#This Row],[Duration]])&lt;=0,Tasks[[#This Row],[_LeafCalcStart]],WORKDAY.INTL(Tasks[[#This Row],[_LeafCalcStart]],Tasks[[#This Row],[Duration]]-1,WorkWeek,Holidays)))</f>
        <v/>
      </c>
      <c r="BU19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2" s="41" t="n">
        <f aca="false">IF(NOT(Tasks[[#This Row],[_IsLeaf]]=1),0,IF(N(Tasks[[#This Row],[Actual Finish]])&gt;0,1,MIN(1,N(Tasks[[#This Row],[% Complete]]))))</f>
        <v>0</v>
      </c>
      <c r="BX192" s="41" t="n">
        <f aca="false">IF(OR(NOT(Tasks[[#This Row],[_IsLeaf]]=1),Tasks[[#This Row],[Resource]]=""),0,N(Tasks[[#This Row],[Duration]])*HoursPerDay*IF(Tasks[[#This Row],[Units]]="",DefaultUnits,Tasks[[#This Row],[Units]]))</f>
        <v>0</v>
      </c>
      <c r="BY192" s="41" t="n">
        <f aca="false">IF(Tasks[[#This Row],[_LeafWork]]=0,0,Tasks[[#This Row],[_LeafWork]]*IFERROR(INDEX(res_Rate,MATCH(Tasks[[#This Row],[Resource]],res_Name,0)),0))</f>
        <v>0</v>
      </c>
      <c r="BZ1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2" s="41" t="n">
        <f aca="false">IF(NOT(Tasks[[#This Row],[_IsLeaf]]=1),0,MAX(_xlfn.MAXIFS(Tasks[_Row],Tasks[Pred1 UID],Tasks[[#This Row],[UID]]),_xlfn.MAXIFS(Tasks[_Row],Tasks[Pred2 UID],Tasks[[#This Row],[UID]])))</f>
        <v>0</v>
      </c>
      <c r="CE19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2" s="103" t="str">
        <f aca="false">IF(NOT(Tasks[[#This Row],[_IsLeaf]]=1),"",MIN(ProjectFinish,IF(N(Tasks[[#This Row],[Deadline]])&gt;0,Tasks[[#This Row],[Deadline]],2958465),Tasks[[#This Row],[_SuccessorFinishLimit]]))</f>
        <v/>
      </c>
      <c r="CG192" s="103" t="str">
        <f aca="false">IF(NOT(Tasks[[#This Row],[_IsLeaf]]=1),"",IF(N(Tasks[[#This Row],[Duration]])&lt;=0,Tasks[[#This Row],[_LeafLateFinish]],WORKDAY.INTL(Tasks[[#This Row],[_LeafLateFinish]],-(Tasks[[#This Row],[Duration]]-1),WorkWeek,Holidays)))</f>
        <v/>
      </c>
      <c r="CH1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2" s="102" t="b">
        <f aca="false">AND(Tasks[[#This Row],[_IsLeaf]]=1,Tasks[[#This Row],[_LeafProgress]]&lt;1,N(Tasks[[#This Row],[_LeafTotalSlack]])&lt;=CriticalSlackDays)</f>
        <v>0</v>
      </c>
      <c r="CJ192" s="103" t="str">
        <f aca="false">IF(Tasks[[#This Row],[Task Name]]="","",IF(Tasks[[#This Row],[_IsSummary]],MIN(INDEX(Tasks[_LeafCalcStart],Tasks[[#This Row],[_Row]]+1):INDEX(Tasks[_LeafCalcStart],Tasks[[#This Row],[_Row]]+Tasks[[#This Row],[_Descendants]])),Tasks[[#This Row],[_LeafCalcStart]]))</f>
        <v/>
      </c>
      <c r="CK192" s="103" t="str">
        <f aca="false">IF(Tasks[[#This Row],[Task Name]]="","",IF(Tasks[[#This Row],[_IsSummary]],MAX(INDEX(Tasks[_LeafCalcFinish],Tasks[[#This Row],[_Row]]+1):INDEX(Tasks[_LeafCalcFinish],Tasks[[#This Row],[_Row]]+Tasks[[#This Row],[_Descendants]])),Tasks[[#This Row],[_LeafCalcFinish]]))</f>
        <v/>
      </c>
      <c r="CL1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2" s="41" t="n">
        <f aca="false">IF(AND(Tasks[[#This Row],[_IsLeaf]]=1,Tasks[[#This Row],[_LeafWork]]&gt;0),NETWORKDAYS.INTL(ProjectStart,Tasks[[#This Row],[_LeafFcstStart]],WorkWeek,Holidays),0)</f>
        <v>0</v>
      </c>
      <c r="CS192" s="41" t="n">
        <f aca="false">IF(AND(Tasks[[#This Row],[_IsLeaf]]=1,Tasks[[#This Row],[_LeafWork]]&gt;0),MAX(Tasks[[#This Row],[_StartWorkday]],NETWORKDAYS.INTL(ProjectStart,Tasks[[#This Row],[_LeafFcstFinish]],WorkWeek,Holidays)),0)</f>
        <v>0</v>
      </c>
      <c r="CT192" s="41" t="n">
        <f aca="false">IF(AND(Tasks[[#This Row],[_IsLeaf]]=1,Tasks[[#This Row],[_LeafWork]]&gt;0),Tasks[[#This Row],[_LeafWork]]/(Tasks[[#This Row],[_FinishWorkday]]-Tasks[[#This Row],[_StartWorkday]]+1),0)</f>
        <v>0</v>
      </c>
      <c r="CU192" s="41" t="n">
        <f aca="false">Tasks[[#This Row],[_WorkPerWorkday]]*(Tasks[[#This Row],[_StartWorkday]]-1)</f>
        <v>-0</v>
      </c>
      <c r="CV192" s="41" t="n">
        <f aca="false">IF(Tasks[[#This Row],[_IsLeaf]]=1,MAX(N(Tasks[[#This Row],[Duration]]),0.1),0)</f>
        <v>0</v>
      </c>
      <c r="CW192" s="41" t="n">
        <f aca="false">Tasks[[#This Row],[_WeightDur]]*Tasks[[#This Row],[_LeafProgress]]</f>
        <v>0</v>
      </c>
      <c r="CX1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2" s="41" t="str">
        <f aca="false">IF(Tasks[[#This Row],[Task Name]]="","",Tasks[[#This Row],[_Pred1UIDText]]&amp;IF(AND(Tasks[[#This Row],[_Pred1UIDText]]&lt;&gt;"",Tasks[[#This Row],[_Pred2UIDText]]&lt;&gt;""),",","")&amp;Tasks[[#This Row],[_Pred2UIDText]])</f>
        <v/>
      </c>
      <c r="DC192" s="41" t="str">
        <f aca="false">IF(AND(Tasks[[#This Row],[_IsLeaf]]=1,N(Tasks[[#This Row],[Duration]])=0,Tasks[[#This Row],[_LeafProgress]]&lt;1),Tasks[[#This Row],[_LeafFcstFinish]]+Tasks[[#This Row],[_Row]]/100000,"")</f>
        <v/>
      </c>
      <c r="DD1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2" s="41" t="n">
        <f aca="false">IF(NOT(Tasks[[#This Row],[_IsLeaf]]=1),0,IF(Tasks[[#This Row],[Baseline Cost]]="",Tasks[[#This Row],[_LeafCost]],N(Tasks[[#This Row],[Baseline Cost]])))</f>
        <v>0</v>
      </c>
      <c r="DF192" s="41" t="n">
        <f aca="false">Tasks[[#This Row],[_LeafBudget]]*Tasks[[#This Row],[_PlannedPct]]</f>
        <v>0</v>
      </c>
      <c r="DG192" s="41" t="n">
        <f aca="false">Tasks[[#This Row],[_LeafBudget]]*Tasks[[#This Row],[_LeafProgress]]</f>
        <v>0</v>
      </c>
      <c r="DH192" s="41" t="n">
        <f aca="false">IF(NOT(Tasks[[#This Row],[_IsLeaf]]=1),0,IF(Tasks[[#This Row],[Actual Cost]]="",Tasks[[#This Row],[_LeafCost]]*Tasks[[#This Row],[_LeafProgress]],N(Tasks[[#This Row],[Actual Cost]])))</f>
        <v>0</v>
      </c>
      <c r="DI192" s="41" t="str">
        <f aca="false">IF(Tasks[[#This Row],[Task Name]]="","",LEFT(Tasks[[#This Row],[WBS]],FIND(".",Tasks[[#This Row],[WBS]]&amp;".")-1))</f>
        <v/>
      </c>
      <c r="DJ192" s="41" t="str">
        <f aca="false">IF(AND(Tasks[[#This Row],[Task Name]]&lt;&gt;"",Tasks[[#This Row],[_Level]]=1),Tasks[[#This Row],[_Row]],"")</f>
        <v/>
      </c>
      <c r="DK192" s="41" t="str">
        <f aca="false">IF(AND(Tasks[[#This Row],[_IsLeaf]]=1,N(Tasks[[#This Row],[Duration]])=0),Tasks[[#This Row],[Planned Finish]]+Tasks[[#This Row],[_Row]]/100000,"")</f>
        <v/>
      </c>
      <c r="DL192" s="41" t="str">
        <f aca="false">IF(AND(Tasks[[#This Row],[_IsLeaf]]=1,Tasks[[#This Row],[_LeafProgress]]&lt;1,OR(N(Tasks[[#This Row],[Finish Var]])&gt;0,Tasks[[#This Row],[Status]]="Late Start")),MAX(0,Tasks[[#This Row],[Finish Var]])+1-Tasks[[#This Row],[_Row]]/1000000,"")</f>
        <v/>
      </c>
      <c r="DM192" s="41" t="str">
        <f aca="false">IF(AND(Tasks[[#This Row],[_IsLeaf]]=1,N(Tasks[[#This Row],[Actual Start]])=0,Tasks[[#This Row],[_LeafFcstStart]]&gt;=StatusDate,Tasks[[#This Row],[_LeafFcstStart]]&lt;=LookaheadEnd),Tasks[[#This Row],[_LeafFcstStart]]+Tasks[[#This Row],[_Row]]/100000,"")</f>
        <v/>
      </c>
      <c r="DN192" s="41" t="str">
        <f aca="false">IF(AND(Tasks[[#This Row],[_IsLeaf]]=1,Tasks[[#This Row],[_LeafProgress]]&lt;1,Tasks[[#This Row],[_LeafFcstFinish]]&gt;=StatusDate,Tasks[[#This Row],[_LeafFcstFinish]]&lt;=LookaheadEnd),Tasks[[#This Row],[_LeafFcstFinish]]+Tasks[[#This Row],[_Row]]/100000,"")</f>
        <v/>
      </c>
      <c r="DO192" s="41" t="str">
        <f aca="false">IF(Tasks[[#This Row],[_LeafCritical]],Tasks[[#This Row],[_LeafFcstStart]]+Tasks[[#This Row],[_Row]]/100000,"")</f>
        <v/>
      </c>
      <c r="DP192" s="41" t="n">
        <f aca="false">Tasks[[#This Row],[_LeafWork]]*Tasks[[#This Row],[_LeafProgress]]</f>
        <v>0</v>
      </c>
      <c r="DQ192" s="103" t="str">
        <f aca="false">IF(AND(Tasks[[#This Row],[_IsLeaf]]=1,Tasks[[#This Row],[_LeafProgress]]&gt;=1),IF(N(Tasks[[#This Row],[Actual Finish]])&gt;0,Tasks[[#This Row],[Actual Finish]],Tasks[[#This Row],[_LeafFcstFinish]]),"")</f>
        <v/>
      </c>
      <c r="DR192" s="41" t="n">
        <f aca="false">IF(Tasks[[#This Row],[_IsLeaf]]=1,N(Tasks[[#This Row],[Story Points]]),0)</f>
        <v>0</v>
      </c>
      <c r="DS192" s="41" t="str">
        <f aca="false">IF(AND(Tasks[[#This Row],[_IsLeaf]]=1,CurrentSprint&lt;&gt;"",Tasks[[#This Row],[Sprint]]=CurrentSprint),Tasks[[#This Row],[_Row]],"")</f>
        <v/>
      </c>
    </row>
    <row r="193" customFormat="false" ht="15" hidden="false" customHeight="false" outlineLevel="0" collapsed="false">
      <c r="A193" s="28" t="str">
        <f aca="false">IF(Tasks[[#This Row],[Task Name]]="","",COUNTA(Tasks[[#Headers],[Task Name]]:Tasks[[#This Row],[Task Name]])-1)</f>
        <v/>
      </c>
      <c r="B193" s="29" t="n">
        <v>188</v>
      </c>
      <c r="C1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29"/>
      <c r="E193" s="30"/>
      <c r="F193" s="29"/>
      <c r="G193" s="29"/>
      <c r="H193" s="29"/>
      <c r="I193" s="29"/>
      <c r="J193" s="29"/>
      <c r="K193" s="29"/>
      <c r="L193" s="29"/>
      <c r="M193" s="29"/>
      <c r="N193" s="77"/>
      <c r="O193" s="77"/>
      <c r="P193" s="25" t="str">
        <f aca="false">IF(Tasks[[#This Row],[Task Name]]="","",IF(N(Tasks[[#This Row],[Baseline Start]])&gt;0,Tasks[[#This Row],[Baseline Start]],Tasks[[#This Row],[_CalcStart]]))</f>
        <v/>
      </c>
      <c r="Q193" s="25" t="str">
        <f aca="false">IF(Tasks[[#This Row],[Task Name]]="","",IF(N(Tasks[[#This Row],[Baseline Finish]])&gt;0,Tasks[[#This Row],[Baseline Finish]],Tasks[[#This Row],[_CalcFinish]]))</f>
        <v/>
      </c>
      <c r="R193" s="77"/>
      <c r="S193" s="77"/>
      <c r="T193" s="25" t="str">
        <f aca="false">IF(Tasks[[#This Row],[Task Name]]="","",IF(Tasks[[#This Row],[_IsSummary]],MIN(INDEX(Tasks[_LeafFcstStart],Tasks[[#This Row],[_Row]]+1):INDEX(Tasks[_LeafFcstStart],Tasks[[#This Row],[_Row]]+Tasks[[#This Row],[_Descendants]])),Tasks[[#This Row],[_LeafFcstStart]]))</f>
        <v/>
      </c>
      <c r="U193" s="25" t="str">
        <f aca="false">IF(Tasks[[#This Row],[Task Name]]="","",IF(Tasks[[#This Row],[_IsSummary]],MAX(INDEX(Tasks[_LeafFcstFinish],Tasks[[#This Row],[_Row]]+1):INDEX(Tasks[_LeafFcstFinish],Tasks[[#This Row],[_Row]]+Tasks[[#This Row],[_Descendants]])),Tasks[[#This Row],[_LeafFcstFinish]]))</f>
        <v/>
      </c>
      <c r="V19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3" s="25" t="str">
        <f aca="false">IF(Tasks[[#This Row],[Task Name]]="","",IF(Tasks[[#This Row],[_IsSummary]],MIN(INDEX(Tasks[_LeafLateStart],Tasks[[#This Row],[_Row]]+1):INDEX(Tasks[_LeafLateStart],Tasks[[#This Row],[_Row]]+Tasks[[#This Row],[_Descendants]])),Tasks[[#This Row],[_LeafLateStart]]))</f>
        <v/>
      </c>
      <c r="Y193" s="25" t="str">
        <f aca="false">IF(Tasks[[#This Row],[Task Name]]="","",IF(Tasks[[#This Row],[_IsSummary]],MAX(INDEX(Tasks[_LeafLateFinish],Tasks[[#This Row],[_Row]]+1):INDEX(Tasks[_LeafLateFinish],Tasks[[#This Row],[_Row]]+Tasks[[#This Row],[_Descendants]])),Tasks[[#This Row],[_LeafLateFinish]]))</f>
        <v/>
      </c>
      <c r="Z193" s="43" t="str">
        <f aca="false">IF(Tasks[[#This Row],[Task Name]]="","",IF(Tasks[[#This Row],[_IsSummary]],MIN(INDEX(Tasks[_LeafTotalSlack],Tasks[[#This Row],[_Row]]+1):INDEX(Tasks[_LeafTotalSlack],Tasks[[#This Row],[_Row]]+Tasks[[#This Row],[_Descendants]])),Tasks[[#This Row],[_LeafTotalSlack]]))</f>
        <v/>
      </c>
      <c r="AA1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3" s="28" t="str">
        <f aca="false">IF(Tasks[[#This Row],[Task Name]]="","",IF(IF(Tasks[[#This Row],[_IsSummary]],COUNTIF(INDEX(Tasks[_LeafCritical],Tasks[[#This Row],[_Row]]+1):INDEX(Tasks[_LeafCritical],Tasks[[#This Row],[_Row]]+Tasks[[#This Row],[_Descendants]]),TRUE())&gt;0,Tasks[[#This Row],[_LeafCritical]]),"Yes",""))</f>
        <v/>
      </c>
      <c r="AC1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3" s="24" t="str">
        <f aca="false">IF(Tasks[[#This Row],[Task Name]]="","",TRIM(IF(Tasks[[#This Row],[_Pred1Problem]]&lt;&gt;"","Pred 1: "&amp;Tasks[[#This Row],[_Pred1Problem]]&amp;". ","")&amp;IF(Tasks[[#This Row],[_Pred2Problem]]&lt;&gt;"","Pred 2: "&amp;Tasks[[#This Row],[_Pred2Problem]]&amp;".","")))</f>
        <v/>
      </c>
      <c r="AE193" s="91"/>
      <c r="AF19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3" s="28" t="str">
        <f aca="false">IF(Tasks[[#This Row],[Task Name]]="","",IF(Tasks[[#This Row],[Progress]]&gt;=1,"Complete",IF(OR(N(Tasks[[#This Row],[Actual Start]])&gt;0,Tasks[[#This Row],[Progress]]&gt;0),IF(Tasks[[#This Row],[Finish Var]]&gt;0,"Behind","In Progress"),IF(Tasks[[#This Row],[Planned Start]]&lt;StatusDate,"Late Start","Not Started"))))</f>
        <v/>
      </c>
      <c r="AH193" s="30"/>
      <c r="AI193" s="91"/>
      <c r="AJ19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3" s="98" t="str">
        <f aca="false">IF(Tasks[[#This Row],[Task Name]]="","",IF(Tasks[[#This Row],[_IsSummary]],SUM(INDEX(Tasks[_LeafWork],Tasks[[#This Row],[_Row]]+1):INDEX(Tasks[_LeafWork],Tasks[[#This Row],[_Row]]+Tasks[[#This Row],[_Descendants]])),Tasks[[#This Row],[_LeafWork]]))</f>
        <v/>
      </c>
      <c r="AL193" s="99" t="str">
        <f aca="false">IF(Tasks[[#This Row],[Task Name]]="","",IF(Tasks[[#This Row],[_IsSummary]],SUM(INDEX(Tasks[_LeafCost],Tasks[[#This Row],[_Row]]+1):INDEX(Tasks[_LeafCost],Tasks[[#This Row],[_Row]]+Tasks[[#This Row],[_Descendants]])),Tasks[[#This Row],[_LeafCost]]))</f>
        <v/>
      </c>
      <c r="AM193" s="100"/>
      <c r="AN193" s="29"/>
      <c r="AO1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3" s="85"/>
      <c r="AQ193" s="24" t="str">
        <f aca="false">IF(Tasks[[#This Row],[Task Name]]="","",Tasks[[#This Row],[_Pred1IDText]]&amp;IF(AND(Tasks[[#This Row],[_Pred1IDText]]&lt;&gt;"",Tasks[[#This Row],[_Pred2IDText]]&lt;&gt;""),",","")&amp;Tasks[[#This Row],[_Pred2IDText]])</f>
        <v/>
      </c>
      <c r="AR193" s="30"/>
      <c r="AS193" s="25" t="str">
        <f aca="false">IF(Tasks[[#This Row],[Task Name]]="","",Tasks[[#This Row],[Forecast Start]])</f>
        <v/>
      </c>
      <c r="AT193" s="25" t="str">
        <f aca="false">IF(Tasks[[#This Row],[Task Name]]="","",Tasks[[#This Row],[Forecast Finish]])</f>
        <v/>
      </c>
      <c r="AU193" s="28" t="str">
        <f aca="false">IF(Tasks[[#This Row],[Task Name]]="","",IF(Tasks[[#This Row],[_IsSummary]],NETWORKDAYS.INTL(Tasks[[#This Row],[Forecast Start]],Tasks[[#This Row],[Forecast Finish]],WorkWeek,Holidays),N(Tasks[[#This Row],[Duration]])))</f>
        <v/>
      </c>
      <c r="AV193" s="98" t="str">
        <f aca="false">IF(Tasks[[#This Row],[Task Name]]="","",Tasks[[#This Row],[Work]])</f>
        <v/>
      </c>
      <c r="AW193" s="99" t="str">
        <f aca="false">IF(Tasks[[#This Row],[Task Name]]="","",Tasks[[#This Row],[Cost]])</f>
        <v/>
      </c>
      <c r="AX193" s="77"/>
      <c r="AY193" s="77"/>
      <c r="AZ193" s="29"/>
      <c r="BA193" s="101"/>
      <c r="BB193" s="100"/>
      <c r="BC193" s="28" t="str">
        <f aca="false">IF(OR(Tasks[[#This Row],[Task Name]]="",Tasks[[#This Row],[Baseline Duration]]=""),"",Tasks[[#This Row],[BL Source Duration]]-N(Tasks[[#This Row],[Baseline Duration]]))</f>
        <v/>
      </c>
      <c r="BD193" s="98" t="str">
        <f aca="false">IF(OR(Tasks[[#This Row],[Task Name]]="",Tasks[[#This Row],[Baseline Work]]=""),"",Tasks[[#This Row],[Work]]-N(Tasks[[#This Row],[Baseline Work]]))</f>
        <v/>
      </c>
      <c r="BE193" s="99" t="str">
        <f aca="false">IF(OR(Tasks[[#This Row],[Task Name]]="",Tasks[[#This Row],[Baseline Cost]]=""),"",Tasks[[#This Row],[Cost]]-N(Tasks[[#This Row],[Baseline Cost]]))</f>
        <v/>
      </c>
      <c r="BF193" s="99" t="str">
        <f aca="false">IF(Tasks[[#This Row],[Task Name]]="","",IF(Tasks[[#This Row],[_IsSummary]],SUM(INDEX(Tasks[_LeafBudget],Tasks[[#This Row],[_Row]]+1):INDEX(Tasks[_LeafBudget],Tasks[[#This Row],[_Row]]+Tasks[[#This Row],[_Descendants]])),Tasks[[#This Row],[_LeafBudget]]))</f>
        <v/>
      </c>
      <c r="BG193" s="99" t="str">
        <f aca="false">IF(Tasks[[#This Row],[Task Name]]="","",IF(Tasks[[#This Row],[_IsSummary]],SUM(INDEX(Tasks[_LeafPV],Tasks[[#This Row],[_Row]]+1):INDEX(Tasks[_LeafPV],Tasks[[#This Row],[_Row]]+Tasks[[#This Row],[_Descendants]])),Tasks[[#This Row],[_LeafPV]]))</f>
        <v/>
      </c>
      <c r="BH193" s="99" t="str">
        <f aca="false">IF(Tasks[[#This Row],[Task Name]]="","",IF(Tasks[[#This Row],[_IsSummary]],SUM(INDEX(Tasks[_LeafEV],Tasks[[#This Row],[_Row]]+1):INDEX(Tasks[_LeafEV],Tasks[[#This Row],[_Row]]+Tasks[[#This Row],[_Descendants]])),Tasks[[#This Row],[_LeafEV]]))</f>
        <v/>
      </c>
      <c r="BI193" s="99" t="str">
        <f aca="false">IF(Tasks[[#This Row],[Task Name]]="","",IF(Tasks[[#This Row],[_IsSummary]],SUM(INDEX(Tasks[_LeafAC],Tasks[[#This Row],[_Row]]+1):INDEX(Tasks[_LeafAC],Tasks[[#This Row],[_Row]]+Tasks[[#This Row],[_Descendants]])),Tasks[[#This Row],[_LeafAC]]))</f>
        <v/>
      </c>
      <c r="BJ193" s="41" t="str">
        <f aca="false">IF(Tasks[[#This Row],[Task Name]]="","",MAX(1,N(Tasks[[#This Row],[Level]])))</f>
        <v/>
      </c>
      <c r="BK193" s="41" t="n">
        <f aca="false">ROW()-ROW(Tasks[[#Headers],[ID]])</f>
        <v>188</v>
      </c>
      <c r="BL193" s="41" t="n">
        <f aca="false">IF(OR(Tasks[[#This Row],[Task Name]]="",Tasks[[#This Row],[_Level]]&lt;=1),0,IFERROR(LOOKUP(2,1/(Tasks[[#Headers],[_Level]]:Tasks[[#This Row],[_Level]]=Tasks[[#This Row],[_Level]]-1),ROW(Tasks[[#Headers],[_Level]]:Tasks[[#This Row],[_Level]])),0))</f>
        <v>0</v>
      </c>
      <c r="BM193" s="41" t="n">
        <f aca="false">IFERROR(N(INDEX(Tasks[_Level],Tasks[[#This Row],[_Row]]+1)),0)</f>
        <v>0</v>
      </c>
      <c r="BN193" s="102" t="b">
        <f aca="false">AND(Tasks[[#This Row],[Task Name]]&lt;&gt;"",Tasks[[#This Row],[_NextLevel]]&gt;Tasks[[#This Row],[_Level]])</f>
        <v>0</v>
      </c>
      <c r="BO193" s="41" t="n">
        <f aca="false">IF(Tasks[[#This Row],[_IsSummary]],COUNTIF(Tasks[WBS],Tasks[[#This Row],[WBS]]&amp;".*"),0)</f>
        <v>0</v>
      </c>
      <c r="BP193" s="41" t="n">
        <f aca="false">IF(AND(Tasks[[#This Row],[Task Name]]&lt;&gt;"",NOT(Tasks[[#This Row],[_IsSummary]])),1,0)</f>
        <v>0</v>
      </c>
      <c r="BQ193" s="41" t="n">
        <f aca="false">IF(N(Tasks[[#This Row],[Pred1 UID]])=0,0,IFERROR(MATCH(Tasks[[#This Row],[Pred1 UID]],Tasks[UID],0),-1))</f>
        <v>0</v>
      </c>
      <c r="BR193" s="41" t="n">
        <f aca="false">IF(N(Tasks[[#This Row],[Pred2 UID]])=0,0,IFERROR(MATCH(Tasks[[#This Row],[Pred2 UID]],Tasks[UID],0),-1))</f>
        <v>0</v>
      </c>
      <c r="BS19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3" s="103" t="str">
        <f aca="false">IF(NOT(Tasks[[#This Row],[_IsLeaf]]=1),"",IF(N(Tasks[[#This Row],[Duration]])&lt;=0,Tasks[[#This Row],[_LeafCalcStart]],WORKDAY.INTL(Tasks[[#This Row],[_LeafCalcStart]],Tasks[[#This Row],[Duration]]-1,WorkWeek,Holidays)))</f>
        <v/>
      </c>
      <c r="BU19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3" s="41" t="n">
        <f aca="false">IF(NOT(Tasks[[#This Row],[_IsLeaf]]=1),0,IF(N(Tasks[[#This Row],[Actual Finish]])&gt;0,1,MIN(1,N(Tasks[[#This Row],[% Complete]]))))</f>
        <v>0</v>
      </c>
      <c r="BX193" s="41" t="n">
        <f aca="false">IF(OR(NOT(Tasks[[#This Row],[_IsLeaf]]=1),Tasks[[#This Row],[Resource]]=""),0,N(Tasks[[#This Row],[Duration]])*HoursPerDay*IF(Tasks[[#This Row],[Units]]="",DefaultUnits,Tasks[[#This Row],[Units]]))</f>
        <v>0</v>
      </c>
      <c r="BY193" s="41" t="n">
        <f aca="false">IF(Tasks[[#This Row],[_LeafWork]]=0,0,Tasks[[#This Row],[_LeafWork]]*IFERROR(INDEX(res_Rate,MATCH(Tasks[[#This Row],[Resource]],res_Name,0)),0))</f>
        <v>0</v>
      </c>
      <c r="BZ1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3" s="41" t="n">
        <f aca="false">IF(NOT(Tasks[[#This Row],[_IsLeaf]]=1),0,MAX(_xlfn.MAXIFS(Tasks[_Row],Tasks[Pred1 UID],Tasks[[#This Row],[UID]]),_xlfn.MAXIFS(Tasks[_Row],Tasks[Pred2 UID],Tasks[[#This Row],[UID]])))</f>
        <v>0</v>
      </c>
      <c r="CE19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3" s="103" t="str">
        <f aca="false">IF(NOT(Tasks[[#This Row],[_IsLeaf]]=1),"",MIN(ProjectFinish,IF(N(Tasks[[#This Row],[Deadline]])&gt;0,Tasks[[#This Row],[Deadline]],2958465),Tasks[[#This Row],[_SuccessorFinishLimit]]))</f>
        <v/>
      </c>
      <c r="CG193" s="103" t="str">
        <f aca="false">IF(NOT(Tasks[[#This Row],[_IsLeaf]]=1),"",IF(N(Tasks[[#This Row],[Duration]])&lt;=0,Tasks[[#This Row],[_LeafLateFinish]],WORKDAY.INTL(Tasks[[#This Row],[_LeafLateFinish]],-(Tasks[[#This Row],[Duration]]-1),WorkWeek,Holidays)))</f>
        <v/>
      </c>
      <c r="CH1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3" s="102" t="b">
        <f aca="false">AND(Tasks[[#This Row],[_IsLeaf]]=1,Tasks[[#This Row],[_LeafProgress]]&lt;1,N(Tasks[[#This Row],[_LeafTotalSlack]])&lt;=CriticalSlackDays)</f>
        <v>0</v>
      </c>
      <c r="CJ193" s="103" t="str">
        <f aca="false">IF(Tasks[[#This Row],[Task Name]]="","",IF(Tasks[[#This Row],[_IsSummary]],MIN(INDEX(Tasks[_LeafCalcStart],Tasks[[#This Row],[_Row]]+1):INDEX(Tasks[_LeafCalcStart],Tasks[[#This Row],[_Row]]+Tasks[[#This Row],[_Descendants]])),Tasks[[#This Row],[_LeafCalcStart]]))</f>
        <v/>
      </c>
      <c r="CK193" s="103" t="str">
        <f aca="false">IF(Tasks[[#This Row],[Task Name]]="","",IF(Tasks[[#This Row],[_IsSummary]],MAX(INDEX(Tasks[_LeafCalcFinish],Tasks[[#This Row],[_Row]]+1):INDEX(Tasks[_LeafCalcFinish],Tasks[[#This Row],[_Row]]+Tasks[[#This Row],[_Descendants]])),Tasks[[#This Row],[_LeafCalcFinish]]))</f>
        <v/>
      </c>
      <c r="CL1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3" s="41" t="n">
        <f aca="false">IF(AND(Tasks[[#This Row],[_IsLeaf]]=1,Tasks[[#This Row],[_LeafWork]]&gt;0),NETWORKDAYS.INTL(ProjectStart,Tasks[[#This Row],[_LeafFcstStart]],WorkWeek,Holidays),0)</f>
        <v>0</v>
      </c>
      <c r="CS193" s="41" t="n">
        <f aca="false">IF(AND(Tasks[[#This Row],[_IsLeaf]]=1,Tasks[[#This Row],[_LeafWork]]&gt;0),MAX(Tasks[[#This Row],[_StartWorkday]],NETWORKDAYS.INTL(ProjectStart,Tasks[[#This Row],[_LeafFcstFinish]],WorkWeek,Holidays)),0)</f>
        <v>0</v>
      </c>
      <c r="CT193" s="41" t="n">
        <f aca="false">IF(AND(Tasks[[#This Row],[_IsLeaf]]=1,Tasks[[#This Row],[_LeafWork]]&gt;0),Tasks[[#This Row],[_LeafWork]]/(Tasks[[#This Row],[_FinishWorkday]]-Tasks[[#This Row],[_StartWorkday]]+1),0)</f>
        <v>0</v>
      </c>
      <c r="CU193" s="41" t="n">
        <f aca="false">Tasks[[#This Row],[_WorkPerWorkday]]*(Tasks[[#This Row],[_StartWorkday]]-1)</f>
        <v>-0</v>
      </c>
      <c r="CV193" s="41" t="n">
        <f aca="false">IF(Tasks[[#This Row],[_IsLeaf]]=1,MAX(N(Tasks[[#This Row],[Duration]]),0.1),0)</f>
        <v>0</v>
      </c>
      <c r="CW193" s="41" t="n">
        <f aca="false">Tasks[[#This Row],[_WeightDur]]*Tasks[[#This Row],[_LeafProgress]]</f>
        <v>0</v>
      </c>
      <c r="CX1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3" s="41" t="str">
        <f aca="false">IF(Tasks[[#This Row],[Task Name]]="","",Tasks[[#This Row],[_Pred1UIDText]]&amp;IF(AND(Tasks[[#This Row],[_Pred1UIDText]]&lt;&gt;"",Tasks[[#This Row],[_Pred2UIDText]]&lt;&gt;""),",","")&amp;Tasks[[#This Row],[_Pred2UIDText]])</f>
        <v/>
      </c>
      <c r="DC193" s="41" t="str">
        <f aca="false">IF(AND(Tasks[[#This Row],[_IsLeaf]]=1,N(Tasks[[#This Row],[Duration]])=0,Tasks[[#This Row],[_LeafProgress]]&lt;1),Tasks[[#This Row],[_LeafFcstFinish]]+Tasks[[#This Row],[_Row]]/100000,"")</f>
        <v/>
      </c>
      <c r="DD1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3" s="41" t="n">
        <f aca="false">IF(NOT(Tasks[[#This Row],[_IsLeaf]]=1),0,IF(Tasks[[#This Row],[Baseline Cost]]="",Tasks[[#This Row],[_LeafCost]],N(Tasks[[#This Row],[Baseline Cost]])))</f>
        <v>0</v>
      </c>
      <c r="DF193" s="41" t="n">
        <f aca="false">Tasks[[#This Row],[_LeafBudget]]*Tasks[[#This Row],[_PlannedPct]]</f>
        <v>0</v>
      </c>
      <c r="DG193" s="41" t="n">
        <f aca="false">Tasks[[#This Row],[_LeafBudget]]*Tasks[[#This Row],[_LeafProgress]]</f>
        <v>0</v>
      </c>
      <c r="DH193" s="41" t="n">
        <f aca="false">IF(NOT(Tasks[[#This Row],[_IsLeaf]]=1),0,IF(Tasks[[#This Row],[Actual Cost]]="",Tasks[[#This Row],[_LeafCost]]*Tasks[[#This Row],[_LeafProgress]],N(Tasks[[#This Row],[Actual Cost]])))</f>
        <v>0</v>
      </c>
      <c r="DI193" s="41" t="str">
        <f aca="false">IF(Tasks[[#This Row],[Task Name]]="","",LEFT(Tasks[[#This Row],[WBS]],FIND(".",Tasks[[#This Row],[WBS]]&amp;".")-1))</f>
        <v/>
      </c>
      <c r="DJ193" s="41" t="str">
        <f aca="false">IF(AND(Tasks[[#This Row],[Task Name]]&lt;&gt;"",Tasks[[#This Row],[_Level]]=1),Tasks[[#This Row],[_Row]],"")</f>
        <v/>
      </c>
      <c r="DK193" s="41" t="str">
        <f aca="false">IF(AND(Tasks[[#This Row],[_IsLeaf]]=1,N(Tasks[[#This Row],[Duration]])=0),Tasks[[#This Row],[Planned Finish]]+Tasks[[#This Row],[_Row]]/100000,"")</f>
        <v/>
      </c>
      <c r="DL193" s="41" t="str">
        <f aca="false">IF(AND(Tasks[[#This Row],[_IsLeaf]]=1,Tasks[[#This Row],[_LeafProgress]]&lt;1,OR(N(Tasks[[#This Row],[Finish Var]])&gt;0,Tasks[[#This Row],[Status]]="Late Start")),MAX(0,Tasks[[#This Row],[Finish Var]])+1-Tasks[[#This Row],[_Row]]/1000000,"")</f>
        <v/>
      </c>
      <c r="DM193" s="41" t="str">
        <f aca="false">IF(AND(Tasks[[#This Row],[_IsLeaf]]=1,N(Tasks[[#This Row],[Actual Start]])=0,Tasks[[#This Row],[_LeafFcstStart]]&gt;=StatusDate,Tasks[[#This Row],[_LeafFcstStart]]&lt;=LookaheadEnd),Tasks[[#This Row],[_LeafFcstStart]]+Tasks[[#This Row],[_Row]]/100000,"")</f>
        <v/>
      </c>
      <c r="DN193" s="41" t="str">
        <f aca="false">IF(AND(Tasks[[#This Row],[_IsLeaf]]=1,Tasks[[#This Row],[_LeafProgress]]&lt;1,Tasks[[#This Row],[_LeafFcstFinish]]&gt;=StatusDate,Tasks[[#This Row],[_LeafFcstFinish]]&lt;=LookaheadEnd),Tasks[[#This Row],[_LeafFcstFinish]]+Tasks[[#This Row],[_Row]]/100000,"")</f>
        <v/>
      </c>
      <c r="DO193" s="41" t="str">
        <f aca="false">IF(Tasks[[#This Row],[_LeafCritical]],Tasks[[#This Row],[_LeafFcstStart]]+Tasks[[#This Row],[_Row]]/100000,"")</f>
        <v/>
      </c>
      <c r="DP193" s="41" t="n">
        <f aca="false">Tasks[[#This Row],[_LeafWork]]*Tasks[[#This Row],[_LeafProgress]]</f>
        <v>0</v>
      </c>
      <c r="DQ193" s="103" t="str">
        <f aca="false">IF(AND(Tasks[[#This Row],[_IsLeaf]]=1,Tasks[[#This Row],[_LeafProgress]]&gt;=1),IF(N(Tasks[[#This Row],[Actual Finish]])&gt;0,Tasks[[#This Row],[Actual Finish]],Tasks[[#This Row],[_LeafFcstFinish]]),"")</f>
        <v/>
      </c>
      <c r="DR193" s="41" t="n">
        <f aca="false">IF(Tasks[[#This Row],[_IsLeaf]]=1,N(Tasks[[#This Row],[Story Points]]),0)</f>
        <v>0</v>
      </c>
      <c r="DS193" s="41" t="str">
        <f aca="false">IF(AND(Tasks[[#This Row],[_IsLeaf]]=1,CurrentSprint&lt;&gt;"",Tasks[[#This Row],[Sprint]]=CurrentSprint),Tasks[[#This Row],[_Row]],"")</f>
        <v/>
      </c>
    </row>
    <row r="194" customFormat="false" ht="15" hidden="false" customHeight="false" outlineLevel="0" collapsed="false">
      <c r="A194" s="28" t="str">
        <f aca="false">IF(Tasks[[#This Row],[Task Name]]="","",COUNTA(Tasks[[#Headers],[Task Name]]:Tasks[[#This Row],[Task Name]])-1)</f>
        <v/>
      </c>
      <c r="B194" s="29" t="n">
        <v>189</v>
      </c>
      <c r="C1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29"/>
      <c r="E194" s="30"/>
      <c r="F194" s="29"/>
      <c r="G194" s="29"/>
      <c r="H194" s="29"/>
      <c r="I194" s="29"/>
      <c r="J194" s="29"/>
      <c r="K194" s="29"/>
      <c r="L194" s="29"/>
      <c r="M194" s="29"/>
      <c r="N194" s="77"/>
      <c r="O194" s="77"/>
      <c r="P194" s="25" t="str">
        <f aca="false">IF(Tasks[[#This Row],[Task Name]]="","",IF(N(Tasks[[#This Row],[Baseline Start]])&gt;0,Tasks[[#This Row],[Baseline Start]],Tasks[[#This Row],[_CalcStart]]))</f>
        <v/>
      </c>
      <c r="Q194" s="25" t="str">
        <f aca="false">IF(Tasks[[#This Row],[Task Name]]="","",IF(N(Tasks[[#This Row],[Baseline Finish]])&gt;0,Tasks[[#This Row],[Baseline Finish]],Tasks[[#This Row],[_CalcFinish]]))</f>
        <v/>
      </c>
      <c r="R194" s="77"/>
      <c r="S194" s="77"/>
      <c r="T194" s="25" t="str">
        <f aca="false">IF(Tasks[[#This Row],[Task Name]]="","",IF(Tasks[[#This Row],[_IsSummary]],MIN(INDEX(Tasks[_LeafFcstStart],Tasks[[#This Row],[_Row]]+1):INDEX(Tasks[_LeafFcstStart],Tasks[[#This Row],[_Row]]+Tasks[[#This Row],[_Descendants]])),Tasks[[#This Row],[_LeafFcstStart]]))</f>
        <v/>
      </c>
      <c r="U194" s="25" t="str">
        <f aca="false">IF(Tasks[[#This Row],[Task Name]]="","",IF(Tasks[[#This Row],[_IsSummary]],MAX(INDEX(Tasks[_LeafFcstFinish],Tasks[[#This Row],[_Row]]+1):INDEX(Tasks[_LeafFcstFinish],Tasks[[#This Row],[_Row]]+Tasks[[#This Row],[_Descendants]])),Tasks[[#This Row],[_LeafFcstFinish]]))</f>
        <v/>
      </c>
      <c r="V19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4" s="25" t="str">
        <f aca="false">IF(Tasks[[#This Row],[Task Name]]="","",IF(Tasks[[#This Row],[_IsSummary]],MIN(INDEX(Tasks[_LeafLateStart],Tasks[[#This Row],[_Row]]+1):INDEX(Tasks[_LeafLateStart],Tasks[[#This Row],[_Row]]+Tasks[[#This Row],[_Descendants]])),Tasks[[#This Row],[_LeafLateStart]]))</f>
        <v/>
      </c>
      <c r="Y194" s="25" t="str">
        <f aca="false">IF(Tasks[[#This Row],[Task Name]]="","",IF(Tasks[[#This Row],[_IsSummary]],MAX(INDEX(Tasks[_LeafLateFinish],Tasks[[#This Row],[_Row]]+1):INDEX(Tasks[_LeafLateFinish],Tasks[[#This Row],[_Row]]+Tasks[[#This Row],[_Descendants]])),Tasks[[#This Row],[_LeafLateFinish]]))</f>
        <v/>
      </c>
      <c r="Z194" s="43" t="str">
        <f aca="false">IF(Tasks[[#This Row],[Task Name]]="","",IF(Tasks[[#This Row],[_IsSummary]],MIN(INDEX(Tasks[_LeafTotalSlack],Tasks[[#This Row],[_Row]]+1):INDEX(Tasks[_LeafTotalSlack],Tasks[[#This Row],[_Row]]+Tasks[[#This Row],[_Descendants]])),Tasks[[#This Row],[_LeafTotalSlack]]))</f>
        <v/>
      </c>
      <c r="AA1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4" s="28" t="str">
        <f aca="false">IF(Tasks[[#This Row],[Task Name]]="","",IF(IF(Tasks[[#This Row],[_IsSummary]],COUNTIF(INDEX(Tasks[_LeafCritical],Tasks[[#This Row],[_Row]]+1):INDEX(Tasks[_LeafCritical],Tasks[[#This Row],[_Row]]+Tasks[[#This Row],[_Descendants]]),TRUE())&gt;0,Tasks[[#This Row],[_LeafCritical]]),"Yes",""))</f>
        <v/>
      </c>
      <c r="AC1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4" s="24" t="str">
        <f aca="false">IF(Tasks[[#This Row],[Task Name]]="","",TRIM(IF(Tasks[[#This Row],[_Pred1Problem]]&lt;&gt;"","Pred 1: "&amp;Tasks[[#This Row],[_Pred1Problem]]&amp;". ","")&amp;IF(Tasks[[#This Row],[_Pred2Problem]]&lt;&gt;"","Pred 2: "&amp;Tasks[[#This Row],[_Pred2Problem]]&amp;".","")))</f>
        <v/>
      </c>
      <c r="AE194" s="91"/>
      <c r="AF19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4" s="28" t="str">
        <f aca="false">IF(Tasks[[#This Row],[Task Name]]="","",IF(Tasks[[#This Row],[Progress]]&gt;=1,"Complete",IF(OR(N(Tasks[[#This Row],[Actual Start]])&gt;0,Tasks[[#This Row],[Progress]]&gt;0),IF(Tasks[[#This Row],[Finish Var]]&gt;0,"Behind","In Progress"),IF(Tasks[[#This Row],[Planned Start]]&lt;StatusDate,"Late Start","Not Started"))))</f>
        <v/>
      </c>
      <c r="AH194" s="30"/>
      <c r="AI194" s="91"/>
      <c r="AJ19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4" s="98" t="str">
        <f aca="false">IF(Tasks[[#This Row],[Task Name]]="","",IF(Tasks[[#This Row],[_IsSummary]],SUM(INDEX(Tasks[_LeafWork],Tasks[[#This Row],[_Row]]+1):INDEX(Tasks[_LeafWork],Tasks[[#This Row],[_Row]]+Tasks[[#This Row],[_Descendants]])),Tasks[[#This Row],[_LeafWork]]))</f>
        <v/>
      </c>
      <c r="AL194" s="99" t="str">
        <f aca="false">IF(Tasks[[#This Row],[Task Name]]="","",IF(Tasks[[#This Row],[_IsSummary]],SUM(INDEX(Tasks[_LeafCost],Tasks[[#This Row],[_Row]]+1):INDEX(Tasks[_LeafCost],Tasks[[#This Row],[_Row]]+Tasks[[#This Row],[_Descendants]])),Tasks[[#This Row],[_LeafCost]]))</f>
        <v/>
      </c>
      <c r="AM194" s="100"/>
      <c r="AN194" s="29"/>
      <c r="AO1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4" s="85"/>
      <c r="AQ194" s="24" t="str">
        <f aca="false">IF(Tasks[[#This Row],[Task Name]]="","",Tasks[[#This Row],[_Pred1IDText]]&amp;IF(AND(Tasks[[#This Row],[_Pred1IDText]]&lt;&gt;"",Tasks[[#This Row],[_Pred2IDText]]&lt;&gt;""),",","")&amp;Tasks[[#This Row],[_Pred2IDText]])</f>
        <v/>
      </c>
      <c r="AR194" s="30"/>
      <c r="AS194" s="25" t="str">
        <f aca="false">IF(Tasks[[#This Row],[Task Name]]="","",Tasks[[#This Row],[Forecast Start]])</f>
        <v/>
      </c>
      <c r="AT194" s="25" t="str">
        <f aca="false">IF(Tasks[[#This Row],[Task Name]]="","",Tasks[[#This Row],[Forecast Finish]])</f>
        <v/>
      </c>
      <c r="AU194" s="28" t="str">
        <f aca="false">IF(Tasks[[#This Row],[Task Name]]="","",IF(Tasks[[#This Row],[_IsSummary]],NETWORKDAYS.INTL(Tasks[[#This Row],[Forecast Start]],Tasks[[#This Row],[Forecast Finish]],WorkWeek,Holidays),N(Tasks[[#This Row],[Duration]])))</f>
        <v/>
      </c>
      <c r="AV194" s="98" t="str">
        <f aca="false">IF(Tasks[[#This Row],[Task Name]]="","",Tasks[[#This Row],[Work]])</f>
        <v/>
      </c>
      <c r="AW194" s="99" t="str">
        <f aca="false">IF(Tasks[[#This Row],[Task Name]]="","",Tasks[[#This Row],[Cost]])</f>
        <v/>
      </c>
      <c r="AX194" s="77"/>
      <c r="AY194" s="77"/>
      <c r="AZ194" s="29"/>
      <c r="BA194" s="101"/>
      <c r="BB194" s="100"/>
      <c r="BC194" s="28" t="str">
        <f aca="false">IF(OR(Tasks[[#This Row],[Task Name]]="",Tasks[[#This Row],[Baseline Duration]]=""),"",Tasks[[#This Row],[BL Source Duration]]-N(Tasks[[#This Row],[Baseline Duration]]))</f>
        <v/>
      </c>
      <c r="BD194" s="98" t="str">
        <f aca="false">IF(OR(Tasks[[#This Row],[Task Name]]="",Tasks[[#This Row],[Baseline Work]]=""),"",Tasks[[#This Row],[Work]]-N(Tasks[[#This Row],[Baseline Work]]))</f>
        <v/>
      </c>
      <c r="BE194" s="99" t="str">
        <f aca="false">IF(OR(Tasks[[#This Row],[Task Name]]="",Tasks[[#This Row],[Baseline Cost]]=""),"",Tasks[[#This Row],[Cost]]-N(Tasks[[#This Row],[Baseline Cost]]))</f>
        <v/>
      </c>
      <c r="BF194" s="99" t="str">
        <f aca="false">IF(Tasks[[#This Row],[Task Name]]="","",IF(Tasks[[#This Row],[_IsSummary]],SUM(INDEX(Tasks[_LeafBudget],Tasks[[#This Row],[_Row]]+1):INDEX(Tasks[_LeafBudget],Tasks[[#This Row],[_Row]]+Tasks[[#This Row],[_Descendants]])),Tasks[[#This Row],[_LeafBudget]]))</f>
        <v/>
      </c>
      <c r="BG194" s="99" t="str">
        <f aca="false">IF(Tasks[[#This Row],[Task Name]]="","",IF(Tasks[[#This Row],[_IsSummary]],SUM(INDEX(Tasks[_LeafPV],Tasks[[#This Row],[_Row]]+1):INDEX(Tasks[_LeafPV],Tasks[[#This Row],[_Row]]+Tasks[[#This Row],[_Descendants]])),Tasks[[#This Row],[_LeafPV]]))</f>
        <v/>
      </c>
      <c r="BH194" s="99" t="str">
        <f aca="false">IF(Tasks[[#This Row],[Task Name]]="","",IF(Tasks[[#This Row],[_IsSummary]],SUM(INDEX(Tasks[_LeafEV],Tasks[[#This Row],[_Row]]+1):INDEX(Tasks[_LeafEV],Tasks[[#This Row],[_Row]]+Tasks[[#This Row],[_Descendants]])),Tasks[[#This Row],[_LeafEV]]))</f>
        <v/>
      </c>
      <c r="BI194" s="99" t="str">
        <f aca="false">IF(Tasks[[#This Row],[Task Name]]="","",IF(Tasks[[#This Row],[_IsSummary]],SUM(INDEX(Tasks[_LeafAC],Tasks[[#This Row],[_Row]]+1):INDEX(Tasks[_LeafAC],Tasks[[#This Row],[_Row]]+Tasks[[#This Row],[_Descendants]])),Tasks[[#This Row],[_LeafAC]]))</f>
        <v/>
      </c>
      <c r="BJ194" s="41" t="str">
        <f aca="false">IF(Tasks[[#This Row],[Task Name]]="","",MAX(1,N(Tasks[[#This Row],[Level]])))</f>
        <v/>
      </c>
      <c r="BK194" s="41" t="n">
        <f aca="false">ROW()-ROW(Tasks[[#Headers],[ID]])</f>
        <v>189</v>
      </c>
      <c r="BL194" s="41" t="n">
        <f aca="false">IF(OR(Tasks[[#This Row],[Task Name]]="",Tasks[[#This Row],[_Level]]&lt;=1),0,IFERROR(LOOKUP(2,1/(Tasks[[#Headers],[_Level]]:Tasks[[#This Row],[_Level]]=Tasks[[#This Row],[_Level]]-1),ROW(Tasks[[#Headers],[_Level]]:Tasks[[#This Row],[_Level]])),0))</f>
        <v>0</v>
      </c>
      <c r="BM194" s="41" t="n">
        <f aca="false">IFERROR(N(INDEX(Tasks[_Level],Tasks[[#This Row],[_Row]]+1)),0)</f>
        <v>0</v>
      </c>
      <c r="BN194" s="102" t="b">
        <f aca="false">AND(Tasks[[#This Row],[Task Name]]&lt;&gt;"",Tasks[[#This Row],[_NextLevel]]&gt;Tasks[[#This Row],[_Level]])</f>
        <v>0</v>
      </c>
      <c r="BO194" s="41" t="n">
        <f aca="false">IF(Tasks[[#This Row],[_IsSummary]],COUNTIF(Tasks[WBS],Tasks[[#This Row],[WBS]]&amp;".*"),0)</f>
        <v>0</v>
      </c>
      <c r="BP194" s="41" t="n">
        <f aca="false">IF(AND(Tasks[[#This Row],[Task Name]]&lt;&gt;"",NOT(Tasks[[#This Row],[_IsSummary]])),1,0)</f>
        <v>0</v>
      </c>
      <c r="BQ194" s="41" t="n">
        <f aca="false">IF(N(Tasks[[#This Row],[Pred1 UID]])=0,0,IFERROR(MATCH(Tasks[[#This Row],[Pred1 UID]],Tasks[UID],0),-1))</f>
        <v>0</v>
      </c>
      <c r="BR194" s="41" t="n">
        <f aca="false">IF(N(Tasks[[#This Row],[Pred2 UID]])=0,0,IFERROR(MATCH(Tasks[[#This Row],[Pred2 UID]],Tasks[UID],0),-1))</f>
        <v>0</v>
      </c>
      <c r="BS19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4" s="103" t="str">
        <f aca="false">IF(NOT(Tasks[[#This Row],[_IsLeaf]]=1),"",IF(N(Tasks[[#This Row],[Duration]])&lt;=0,Tasks[[#This Row],[_LeafCalcStart]],WORKDAY.INTL(Tasks[[#This Row],[_LeafCalcStart]],Tasks[[#This Row],[Duration]]-1,WorkWeek,Holidays)))</f>
        <v/>
      </c>
      <c r="BU19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4" s="41" t="n">
        <f aca="false">IF(NOT(Tasks[[#This Row],[_IsLeaf]]=1),0,IF(N(Tasks[[#This Row],[Actual Finish]])&gt;0,1,MIN(1,N(Tasks[[#This Row],[% Complete]]))))</f>
        <v>0</v>
      </c>
      <c r="BX194" s="41" t="n">
        <f aca="false">IF(OR(NOT(Tasks[[#This Row],[_IsLeaf]]=1),Tasks[[#This Row],[Resource]]=""),0,N(Tasks[[#This Row],[Duration]])*HoursPerDay*IF(Tasks[[#This Row],[Units]]="",DefaultUnits,Tasks[[#This Row],[Units]]))</f>
        <v>0</v>
      </c>
      <c r="BY194" s="41" t="n">
        <f aca="false">IF(Tasks[[#This Row],[_LeafWork]]=0,0,Tasks[[#This Row],[_LeafWork]]*IFERROR(INDEX(res_Rate,MATCH(Tasks[[#This Row],[Resource]],res_Name,0)),0))</f>
        <v>0</v>
      </c>
      <c r="BZ1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4" s="41" t="n">
        <f aca="false">IF(NOT(Tasks[[#This Row],[_IsLeaf]]=1),0,MAX(_xlfn.MAXIFS(Tasks[_Row],Tasks[Pred1 UID],Tasks[[#This Row],[UID]]),_xlfn.MAXIFS(Tasks[_Row],Tasks[Pred2 UID],Tasks[[#This Row],[UID]])))</f>
        <v>0</v>
      </c>
      <c r="CE19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4" s="103" t="str">
        <f aca="false">IF(NOT(Tasks[[#This Row],[_IsLeaf]]=1),"",MIN(ProjectFinish,IF(N(Tasks[[#This Row],[Deadline]])&gt;0,Tasks[[#This Row],[Deadline]],2958465),Tasks[[#This Row],[_SuccessorFinishLimit]]))</f>
        <v/>
      </c>
      <c r="CG194" s="103" t="str">
        <f aca="false">IF(NOT(Tasks[[#This Row],[_IsLeaf]]=1),"",IF(N(Tasks[[#This Row],[Duration]])&lt;=0,Tasks[[#This Row],[_LeafLateFinish]],WORKDAY.INTL(Tasks[[#This Row],[_LeafLateFinish]],-(Tasks[[#This Row],[Duration]]-1),WorkWeek,Holidays)))</f>
        <v/>
      </c>
      <c r="CH1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4" s="102" t="b">
        <f aca="false">AND(Tasks[[#This Row],[_IsLeaf]]=1,Tasks[[#This Row],[_LeafProgress]]&lt;1,N(Tasks[[#This Row],[_LeafTotalSlack]])&lt;=CriticalSlackDays)</f>
        <v>0</v>
      </c>
      <c r="CJ194" s="103" t="str">
        <f aca="false">IF(Tasks[[#This Row],[Task Name]]="","",IF(Tasks[[#This Row],[_IsSummary]],MIN(INDEX(Tasks[_LeafCalcStart],Tasks[[#This Row],[_Row]]+1):INDEX(Tasks[_LeafCalcStart],Tasks[[#This Row],[_Row]]+Tasks[[#This Row],[_Descendants]])),Tasks[[#This Row],[_LeafCalcStart]]))</f>
        <v/>
      </c>
      <c r="CK194" s="103" t="str">
        <f aca="false">IF(Tasks[[#This Row],[Task Name]]="","",IF(Tasks[[#This Row],[_IsSummary]],MAX(INDEX(Tasks[_LeafCalcFinish],Tasks[[#This Row],[_Row]]+1):INDEX(Tasks[_LeafCalcFinish],Tasks[[#This Row],[_Row]]+Tasks[[#This Row],[_Descendants]])),Tasks[[#This Row],[_LeafCalcFinish]]))</f>
        <v/>
      </c>
      <c r="CL1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4" s="41" t="n">
        <f aca="false">IF(AND(Tasks[[#This Row],[_IsLeaf]]=1,Tasks[[#This Row],[_LeafWork]]&gt;0),NETWORKDAYS.INTL(ProjectStart,Tasks[[#This Row],[_LeafFcstStart]],WorkWeek,Holidays),0)</f>
        <v>0</v>
      </c>
      <c r="CS194" s="41" t="n">
        <f aca="false">IF(AND(Tasks[[#This Row],[_IsLeaf]]=1,Tasks[[#This Row],[_LeafWork]]&gt;0),MAX(Tasks[[#This Row],[_StartWorkday]],NETWORKDAYS.INTL(ProjectStart,Tasks[[#This Row],[_LeafFcstFinish]],WorkWeek,Holidays)),0)</f>
        <v>0</v>
      </c>
      <c r="CT194" s="41" t="n">
        <f aca="false">IF(AND(Tasks[[#This Row],[_IsLeaf]]=1,Tasks[[#This Row],[_LeafWork]]&gt;0),Tasks[[#This Row],[_LeafWork]]/(Tasks[[#This Row],[_FinishWorkday]]-Tasks[[#This Row],[_StartWorkday]]+1),0)</f>
        <v>0</v>
      </c>
      <c r="CU194" s="41" t="n">
        <f aca="false">Tasks[[#This Row],[_WorkPerWorkday]]*(Tasks[[#This Row],[_StartWorkday]]-1)</f>
        <v>-0</v>
      </c>
      <c r="CV194" s="41" t="n">
        <f aca="false">IF(Tasks[[#This Row],[_IsLeaf]]=1,MAX(N(Tasks[[#This Row],[Duration]]),0.1),0)</f>
        <v>0</v>
      </c>
      <c r="CW194" s="41" t="n">
        <f aca="false">Tasks[[#This Row],[_WeightDur]]*Tasks[[#This Row],[_LeafProgress]]</f>
        <v>0</v>
      </c>
      <c r="CX1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4" s="41" t="str">
        <f aca="false">IF(Tasks[[#This Row],[Task Name]]="","",Tasks[[#This Row],[_Pred1UIDText]]&amp;IF(AND(Tasks[[#This Row],[_Pred1UIDText]]&lt;&gt;"",Tasks[[#This Row],[_Pred2UIDText]]&lt;&gt;""),",","")&amp;Tasks[[#This Row],[_Pred2UIDText]])</f>
        <v/>
      </c>
      <c r="DC194" s="41" t="str">
        <f aca="false">IF(AND(Tasks[[#This Row],[_IsLeaf]]=1,N(Tasks[[#This Row],[Duration]])=0,Tasks[[#This Row],[_LeafProgress]]&lt;1),Tasks[[#This Row],[_LeafFcstFinish]]+Tasks[[#This Row],[_Row]]/100000,"")</f>
        <v/>
      </c>
      <c r="DD1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4" s="41" t="n">
        <f aca="false">IF(NOT(Tasks[[#This Row],[_IsLeaf]]=1),0,IF(Tasks[[#This Row],[Baseline Cost]]="",Tasks[[#This Row],[_LeafCost]],N(Tasks[[#This Row],[Baseline Cost]])))</f>
        <v>0</v>
      </c>
      <c r="DF194" s="41" t="n">
        <f aca="false">Tasks[[#This Row],[_LeafBudget]]*Tasks[[#This Row],[_PlannedPct]]</f>
        <v>0</v>
      </c>
      <c r="DG194" s="41" t="n">
        <f aca="false">Tasks[[#This Row],[_LeafBudget]]*Tasks[[#This Row],[_LeafProgress]]</f>
        <v>0</v>
      </c>
      <c r="DH194" s="41" t="n">
        <f aca="false">IF(NOT(Tasks[[#This Row],[_IsLeaf]]=1),0,IF(Tasks[[#This Row],[Actual Cost]]="",Tasks[[#This Row],[_LeafCost]]*Tasks[[#This Row],[_LeafProgress]],N(Tasks[[#This Row],[Actual Cost]])))</f>
        <v>0</v>
      </c>
      <c r="DI194" s="41" t="str">
        <f aca="false">IF(Tasks[[#This Row],[Task Name]]="","",LEFT(Tasks[[#This Row],[WBS]],FIND(".",Tasks[[#This Row],[WBS]]&amp;".")-1))</f>
        <v/>
      </c>
      <c r="DJ194" s="41" t="str">
        <f aca="false">IF(AND(Tasks[[#This Row],[Task Name]]&lt;&gt;"",Tasks[[#This Row],[_Level]]=1),Tasks[[#This Row],[_Row]],"")</f>
        <v/>
      </c>
      <c r="DK194" s="41" t="str">
        <f aca="false">IF(AND(Tasks[[#This Row],[_IsLeaf]]=1,N(Tasks[[#This Row],[Duration]])=0),Tasks[[#This Row],[Planned Finish]]+Tasks[[#This Row],[_Row]]/100000,"")</f>
        <v/>
      </c>
      <c r="DL194" s="41" t="str">
        <f aca="false">IF(AND(Tasks[[#This Row],[_IsLeaf]]=1,Tasks[[#This Row],[_LeafProgress]]&lt;1,OR(N(Tasks[[#This Row],[Finish Var]])&gt;0,Tasks[[#This Row],[Status]]="Late Start")),MAX(0,Tasks[[#This Row],[Finish Var]])+1-Tasks[[#This Row],[_Row]]/1000000,"")</f>
        <v/>
      </c>
      <c r="DM194" s="41" t="str">
        <f aca="false">IF(AND(Tasks[[#This Row],[_IsLeaf]]=1,N(Tasks[[#This Row],[Actual Start]])=0,Tasks[[#This Row],[_LeafFcstStart]]&gt;=StatusDate,Tasks[[#This Row],[_LeafFcstStart]]&lt;=LookaheadEnd),Tasks[[#This Row],[_LeafFcstStart]]+Tasks[[#This Row],[_Row]]/100000,"")</f>
        <v/>
      </c>
      <c r="DN194" s="41" t="str">
        <f aca="false">IF(AND(Tasks[[#This Row],[_IsLeaf]]=1,Tasks[[#This Row],[_LeafProgress]]&lt;1,Tasks[[#This Row],[_LeafFcstFinish]]&gt;=StatusDate,Tasks[[#This Row],[_LeafFcstFinish]]&lt;=LookaheadEnd),Tasks[[#This Row],[_LeafFcstFinish]]+Tasks[[#This Row],[_Row]]/100000,"")</f>
        <v/>
      </c>
      <c r="DO194" s="41" t="str">
        <f aca="false">IF(Tasks[[#This Row],[_LeafCritical]],Tasks[[#This Row],[_LeafFcstStart]]+Tasks[[#This Row],[_Row]]/100000,"")</f>
        <v/>
      </c>
      <c r="DP194" s="41" t="n">
        <f aca="false">Tasks[[#This Row],[_LeafWork]]*Tasks[[#This Row],[_LeafProgress]]</f>
        <v>0</v>
      </c>
      <c r="DQ194" s="103" t="str">
        <f aca="false">IF(AND(Tasks[[#This Row],[_IsLeaf]]=1,Tasks[[#This Row],[_LeafProgress]]&gt;=1),IF(N(Tasks[[#This Row],[Actual Finish]])&gt;0,Tasks[[#This Row],[Actual Finish]],Tasks[[#This Row],[_LeafFcstFinish]]),"")</f>
        <v/>
      </c>
      <c r="DR194" s="41" t="n">
        <f aca="false">IF(Tasks[[#This Row],[_IsLeaf]]=1,N(Tasks[[#This Row],[Story Points]]),0)</f>
        <v>0</v>
      </c>
      <c r="DS194" s="41" t="str">
        <f aca="false">IF(AND(Tasks[[#This Row],[_IsLeaf]]=1,CurrentSprint&lt;&gt;"",Tasks[[#This Row],[Sprint]]=CurrentSprint),Tasks[[#This Row],[_Row]],"")</f>
        <v/>
      </c>
    </row>
    <row r="195" customFormat="false" ht="15" hidden="false" customHeight="false" outlineLevel="0" collapsed="false">
      <c r="A195" s="28" t="str">
        <f aca="false">IF(Tasks[[#This Row],[Task Name]]="","",COUNTA(Tasks[[#Headers],[Task Name]]:Tasks[[#This Row],[Task Name]])-1)</f>
        <v/>
      </c>
      <c r="B195" s="29" t="n">
        <v>190</v>
      </c>
      <c r="C1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29"/>
      <c r="E195" s="30"/>
      <c r="F195" s="29"/>
      <c r="G195" s="29"/>
      <c r="H195" s="29"/>
      <c r="I195" s="29"/>
      <c r="J195" s="29"/>
      <c r="K195" s="29"/>
      <c r="L195" s="29"/>
      <c r="M195" s="29"/>
      <c r="N195" s="77"/>
      <c r="O195" s="77"/>
      <c r="P195" s="25" t="str">
        <f aca="false">IF(Tasks[[#This Row],[Task Name]]="","",IF(N(Tasks[[#This Row],[Baseline Start]])&gt;0,Tasks[[#This Row],[Baseline Start]],Tasks[[#This Row],[_CalcStart]]))</f>
        <v/>
      </c>
      <c r="Q195" s="25" t="str">
        <f aca="false">IF(Tasks[[#This Row],[Task Name]]="","",IF(N(Tasks[[#This Row],[Baseline Finish]])&gt;0,Tasks[[#This Row],[Baseline Finish]],Tasks[[#This Row],[_CalcFinish]]))</f>
        <v/>
      </c>
      <c r="R195" s="77"/>
      <c r="S195" s="77"/>
      <c r="T195" s="25" t="str">
        <f aca="false">IF(Tasks[[#This Row],[Task Name]]="","",IF(Tasks[[#This Row],[_IsSummary]],MIN(INDEX(Tasks[_LeafFcstStart],Tasks[[#This Row],[_Row]]+1):INDEX(Tasks[_LeafFcstStart],Tasks[[#This Row],[_Row]]+Tasks[[#This Row],[_Descendants]])),Tasks[[#This Row],[_LeafFcstStart]]))</f>
        <v/>
      </c>
      <c r="U195" s="25" t="str">
        <f aca="false">IF(Tasks[[#This Row],[Task Name]]="","",IF(Tasks[[#This Row],[_IsSummary]],MAX(INDEX(Tasks[_LeafFcstFinish],Tasks[[#This Row],[_Row]]+1):INDEX(Tasks[_LeafFcstFinish],Tasks[[#This Row],[_Row]]+Tasks[[#This Row],[_Descendants]])),Tasks[[#This Row],[_LeafFcstFinish]]))</f>
        <v/>
      </c>
      <c r="V19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5" s="25" t="str">
        <f aca="false">IF(Tasks[[#This Row],[Task Name]]="","",IF(Tasks[[#This Row],[_IsSummary]],MIN(INDEX(Tasks[_LeafLateStart],Tasks[[#This Row],[_Row]]+1):INDEX(Tasks[_LeafLateStart],Tasks[[#This Row],[_Row]]+Tasks[[#This Row],[_Descendants]])),Tasks[[#This Row],[_LeafLateStart]]))</f>
        <v/>
      </c>
      <c r="Y195" s="25" t="str">
        <f aca="false">IF(Tasks[[#This Row],[Task Name]]="","",IF(Tasks[[#This Row],[_IsSummary]],MAX(INDEX(Tasks[_LeafLateFinish],Tasks[[#This Row],[_Row]]+1):INDEX(Tasks[_LeafLateFinish],Tasks[[#This Row],[_Row]]+Tasks[[#This Row],[_Descendants]])),Tasks[[#This Row],[_LeafLateFinish]]))</f>
        <v/>
      </c>
      <c r="Z195" s="43" t="str">
        <f aca="false">IF(Tasks[[#This Row],[Task Name]]="","",IF(Tasks[[#This Row],[_IsSummary]],MIN(INDEX(Tasks[_LeafTotalSlack],Tasks[[#This Row],[_Row]]+1):INDEX(Tasks[_LeafTotalSlack],Tasks[[#This Row],[_Row]]+Tasks[[#This Row],[_Descendants]])),Tasks[[#This Row],[_LeafTotalSlack]]))</f>
        <v/>
      </c>
      <c r="AA1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5" s="28" t="str">
        <f aca="false">IF(Tasks[[#This Row],[Task Name]]="","",IF(IF(Tasks[[#This Row],[_IsSummary]],COUNTIF(INDEX(Tasks[_LeafCritical],Tasks[[#This Row],[_Row]]+1):INDEX(Tasks[_LeafCritical],Tasks[[#This Row],[_Row]]+Tasks[[#This Row],[_Descendants]]),TRUE())&gt;0,Tasks[[#This Row],[_LeafCritical]]),"Yes",""))</f>
        <v/>
      </c>
      <c r="AC1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5" s="24" t="str">
        <f aca="false">IF(Tasks[[#This Row],[Task Name]]="","",TRIM(IF(Tasks[[#This Row],[_Pred1Problem]]&lt;&gt;"","Pred 1: "&amp;Tasks[[#This Row],[_Pred1Problem]]&amp;". ","")&amp;IF(Tasks[[#This Row],[_Pred2Problem]]&lt;&gt;"","Pred 2: "&amp;Tasks[[#This Row],[_Pred2Problem]]&amp;".","")))</f>
        <v/>
      </c>
      <c r="AE195" s="91"/>
      <c r="AF19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5" s="28" t="str">
        <f aca="false">IF(Tasks[[#This Row],[Task Name]]="","",IF(Tasks[[#This Row],[Progress]]&gt;=1,"Complete",IF(OR(N(Tasks[[#This Row],[Actual Start]])&gt;0,Tasks[[#This Row],[Progress]]&gt;0),IF(Tasks[[#This Row],[Finish Var]]&gt;0,"Behind","In Progress"),IF(Tasks[[#This Row],[Planned Start]]&lt;StatusDate,"Late Start","Not Started"))))</f>
        <v/>
      </c>
      <c r="AH195" s="30"/>
      <c r="AI195" s="91"/>
      <c r="AJ19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5" s="98" t="str">
        <f aca="false">IF(Tasks[[#This Row],[Task Name]]="","",IF(Tasks[[#This Row],[_IsSummary]],SUM(INDEX(Tasks[_LeafWork],Tasks[[#This Row],[_Row]]+1):INDEX(Tasks[_LeafWork],Tasks[[#This Row],[_Row]]+Tasks[[#This Row],[_Descendants]])),Tasks[[#This Row],[_LeafWork]]))</f>
        <v/>
      </c>
      <c r="AL195" s="99" t="str">
        <f aca="false">IF(Tasks[[#This Row],[Task Name]]="","",IF(Tasks[[#This Row],[_IsSummary]],SUM(INDEX(Tasks[_LeafCost],Tasks[[#This Row],[_Row]]+1):INDEX(Tasks[_LeafCost],Tasks[[#This Row],[_Row]]+Tasks[[#This Row],[_Descendants]])),Tasks[[#This Row],[_LeafCost]]))</f>
        <v/>
      </c>
      <c r="AM195" s="100"/>
      <c r="AN195" s="29"/>
      <c r="AO1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5" s="85"/>
      <c r="AQ195" s="24" t="str">
        <f aca="false">IF(Tasks[[#This Row],[Task Name]]="","",Tasks[[#This Row],[_Pred1IDText]]&amp;IF(AND(Tasks[[#This Row],[_Pred1IDText]]&lt;&gt;"",Tasks[[#This Row],[_Pred2IDText]]&lt;&gt;""),",","")&amp;Tasks[[#This Row],[_Pred2IDText]])</f>
        <v/>
      </c>
      <c r="AR195" s="30"/>
      <c r="AS195" s="25" t="str">
        <f aca="false">IF(Tasks[[#This Row],[Task Name]]="","",Tasks[[#This Row],[Forecast Start]])</f>
        <v/>
      </c>
      <c r="AT195" s="25" t="str">
        <f aca="false">IF(Tasks[[#This Row],[Task Name]]="","",Tasks[[#This Row],[Forecast Finish]])</f>
        <v/>
      </c>
      <c r="AU195" s="28" t="str">
        <f aca="false">IF(Tasks[[#This Row],[Task Name]]="","",IF(Tasks[[#This Row],[_IsSummary]],NETWORKDAYS.INTL(Tasks[[#This Row],[Forecast Start]],Tasks[[#This Row],[Forecast Finish]],WorkWeek,Holidays),N(Tasks[[#This Row],[Duration]])))</f>
        <v/>
      </c>
      <c r="AV195" s="98" t="str">
        <f aca="false">IF(Tasks[[#This Row],[Task Name]]="","",Tasks[[#This Row],[Work]])</f>
        <v/>
      </c>
      <c r="AW195" s="99" t="str">
        <f aca="false">IF(Tasks[[#This Row],[Task Name]]="","",Tasks[[#This Row],[Cost]])</f>
        <v/>
      </c>
      <c r="AX195" s="77"/>
      <c r="AY195" s="77"/>
      <c r="AZ195" s="29"/>
      <c r="BA195" s="101"/>
      <c r="BB195" s="100"/>
      <c r="BC195" s="28" t="str">
        <f aca="false">IF(OR(Tasks[[#This Row],[Task Name]]="",Tasks[[#This Row],[Baseline Duration]]=""),"",Tasks[[#This Row],[BL Source Duration]]-N(Tasks[[#This Row],[Baseline Duration]]))</f>
        <v/>
      </c>
      <c r="BD195" s="98" t="str">
        <f aca="false">IF(OR(Tasks[[#This Row],[Task Name]]="",Tasks[[#This Row],[Baseline Work]]=""),"",Tasks[[#This Row],[Work]]-N(Tasks[[#This Row],[Baseline Work]]))</f>
        <v/>
      </c>
      <c r="BE195" s="99" t="str">
        <f aca="false">IF(OR(Tasks[[#This Row],[Task Name]]="",Tasks[[#This Row],[Baseline Cost]]=""),"",Tasks[[#This Row],[Cost]]-N(Tasks[[#This Row],[Baseline Cost]]))</f>
        <v/>
      </c>
      <c r="BF195" s="99" t="str">
        <f aca="false">IF(Tasks[[#This Row],[Task Name]]="","",IF(Tasks[[#This Row],[_IsSummary]],SUM(INDEX(Tasks[_LeafBudget],Tasks[[#This Row],[_Row]]+1):INDEX(Tasks[_LeafBudget],Tasks[[#This Row],[_Row]]+Tasks[[#This Row],[_Descendants]])),Tasks[[#This Row],[_LeafBudget]]))</f>
        <v/>
      </c>
      <c r="BG195" s="99" t="str">
        <f aca="false">IF(Tasks[[#This Row],[Task Name]]="","",IF(Tasks[[#This Row],[_IsSummary]],SUM(INDEX(Tasks[_LeafPV],Tasks[[#This Row],[_Row]]+1):INDEX(Tasks[_LeafPV],Tasks[[#This Row],[_Row]]+Tasks[[#This Row],[_Descendants]])),Tasks[[#This Row],[_LeafPV]]))</f>
        <v/>
      </c>
      <c r="BH195" s="99" t="str">
        <f aca="false">IF(Tasks[[#This Row],[Task Name]]="","",IF(Tasks[[#This Row],[_IsSummary]],SUM(INDEX(Tasks[_LeafEV],Tasks[[#This Row],[_Row]]+1):INDEX(Tasks[_LeafEV],Tasks[[#This Row],[_Row]]+Tasks[[#This Row],[_Descendants]])),Tasks[[#This Row],[_LeafEV]]))</f>
        <v/>
      </c>
      <c r="BI195" s="99" t="str">
        <f aca="false">IF(Tasks[[#This Row],[Task Name]]="","",IF(Tasks[[#This Row],[_IsSummary]],SUM(INDEX(Tasks[_LeafAC],Tasks[[#This Row],[_Row]]+1):INDEX(Tasks[_LeafAC],Tasks[[#This Row],[_Row]]+Tasks[[#This Row],[_Descendants]])),Tasks[[#This Row],[_LeafAC]]))</f>
        <v/>
      </c>
      <c r="BJ195" s="41" t="str">
        <f aca="false">IF(Tasks[[#This Row],[Task Name]]="","",MAX(1,N(Tasks[[#This Row],[Level]])))</f>
        <v/>
      </c>
      <c r="BK195" s="41" t="n">
        <f aca="false">ROW()-ROW(Tasks[[#Headers],[ID]])</f>
        <v>190</v>
      </c>
      <c r="BL195" s="41" t="n">
        <f aca="false">IF(OR(Tasks[[#This Row],[Task Name]]="",Tasks[[#This Row],[_Level]]&lt;=1),0,IFERROR(LOOKUP(2,1/(Tasks[[#Headers],[_Level]]:Tasks[[#This Row],[_Level]]=Tasks[[#This Row],[_Level]]-1),ROW(Tasks[[#Headers],[_Level]]:Tasks[[#This Row],[_Level]])),0))</f>
        <v>0</v>
      </c>
      <c r="BM195" s="41" t="n">
        <f aca="false">IFERROR(N(INDEX(Tasks[_Level],Tasks[[#This Row],[_Row]]+1)),0)</f>
        <v>0</v>
      </c>
      <c r="BN195" s="102" t="b">
        <f aca="false">AND(Tasks[[#This Row],[Task Name]]&lt;&gt;"",Tasks[[#This Row],[_NextLevel]]&gt;Tasks[[#This Row],[_Level]])</f>
        <v>0</v>
      </c>
      <c r="BO195" s="41" t="n">
        <f aca="false">IF(Tasks[[#This Row],[_IsSummary]],COUNTIF(Tasks[WBS],Tasks[[#This Row],[WBS]]&amp;".*"),0)</f>
        <v>0</v>
      </c>
      <c r="BP195" s="41" t="n">
        <f aca="false">IF(AND(Tasks[[#This Row],[Task Name]]&lt;&gt;"",NOT(Tasks[[#This Row],[_IsSummary]])),1,0)</f>
        <v>0</v>
      </c>
      <c r="BQ195" s="41" t="n">
        <f aca="false">IF(N(Tasks[[#This Row],[Pred1 UID]])=0,0,IFERROR(MATCH(Tasks[[#This Row],[Pred1 UID]],Tasks[UID],0),-1))</f>
        <v>0</v>
      </c>
      <c r="BR195" s="41" t="n">
        <f aca="false">IF(N(Tasks[[#This Row],[Pred2 UID]])=0,0,IFERROR(MATCH(Tasks[[#This Row],[Pred2 UID]],Tasks[UID],0),-1))</f>
        <v>0</v>
      </c>
      <c r="BS19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5" s="103" t="str">
        <f aca="false">IF(NOT(Tasks[[#This Row],[_IsLeaf]]=1),"",IF(N(Tasks[[#This Row],[Duration]])&lt;=0,Tasks[[#This Row],[_LeafCalcStart]],WORKDAY.INTL(Tasks[[#This Row],[_LeafCalcStart]],Tasks[[#This Row],[Duration]]-1,WorkWeek,Holidays)))</f>
        <v/>
      </c>
      <c r="BU19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5" s="41" t="n">
        <f aca="false">IF(NOT(Tasks[[#This Row],[_IsLeaf]]=1),0,IF(N(Tasks[[#This Row],[Actual Finish]])&gt;0,1,MIN(1,N(Tasks[[#This Row],[% Complete]]))))</f>
        <v>0</v>
      </c>
      <c r="BX195" s="41" t="n">
        <f aca="false">IF(OR(NOT(Tasks[[#This Row],[_IsLeaf]]=1),Tasks[[#This Row],[Resource]]=""),0,N(Tasks[[#This Row],[Duration]])*HoursPerDay*IF(Tasks[[#This Row],[Units]]="",DefaultUnits,Tasks[[#This Row],[Units]]))</f>
        <v>0</v>
      </c>
      <c r="BY195" s="41" t="n">
        <f aca="false">IF(Tasks[[#This Row],[_LeafWork]]=0,0,Tasks[[#This Row],[_LeafWork]]*IFERROR(INDEX(res_Rate,MATCH(Tasks[[#This Row],[Resource]],res_Name,0)),0))</f>
        <v>0</v>
      </c>
      <c r="BZ1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5" s="41" t="n">
        <f aca="false">IF(NOT(Tasks[[#This Row],[_IsLeaf]]=1),0,MAX(_xlfn.MAXIFS(Tasks[_Row],Tasks[Pred1 UID],Tasks[[#This Row],[UID]]),_xlfn.MAXIFS(Tasks[_Row],Tasks[Pred2 UID],Tasks[[#This Row],[UID]])))</f>
        <v>0</v>
      </c>
      <c r="CE19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5" s="103" t="str">
        <f aca="false">IF(NOT(Tasks[[#This Row],[_IsLeaf]]=1),"",MIN(ProjectFinish,IF(N(Tasks[[#This Row],[Deadline]])&gt;0,Tasks[[#This Row],[Deadline]],2958465),Tasks[[#This Row],[_SuccessorFinishLimit]]))</f>
        <v/>
      </c>
      <c r="CG195" s="103" t="str">
        <f aca="false">IF(NOT(Tasks[[#This Row],[_IsLeaf]]=1),"",IF(N(Tasks[[#This Row],[Duration]])&lt;=0,Tasks[[#This Row],[_LeafLateFinish]],WORKDAY.INTL(Tasks[[#This Row],[_LeafLateFinish]],-(Tasks[[#This Row],[Duration]]-1),WorkWeek,Holidays)))</f>
        <v/>
      </c>
      <c r="CH1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5" s="102" t="b">
        <f aca="false">AND(Tasks[[#This Row],[_IsLeaf]]=1,Tasks[[#This Row],[_LeafProgress]]&lt;1,N(Tasks[[#This Row],[_LeafTotalSlack]])&lt;=CriticalSlackDays)</f>
        <v>0</v>
      </c>
      <c r="CJ195" s="103" t="str">
        <f aca="false">IF(Tasks[[#This Row],[Task Name]]="","",IF(Tasks[[#This Row],[_IsSummary]],MIN(INDEX(Tasks[_LeafCalcStart],Tasks[[#This Row],[_Row]]+1):INDEX(Tasks[_LeafCalcStart],Tasks[[#This Row],[_Row]]+Tasks[[#This Row],[_Descendants]])),Tasks[[#This Row],[_LeafCalcStart]]))</f>
        <v/>
      </c>
      <c r="CK195" s="103" t="str">
        <f aca="false">IF(Tasks[[#This Row],[Task Name]]="","",IF(Tasks[[#This Row],[_IsSummary]],MAX(INDEX(Tasks[_LeafCalcFinish],Tasks[[#This Row],[_Row]]+1):INDEX(Tasks[_LeafCalcFinish],Tasks[[#This Row],[_Row]]+Tasks[[#This Row],[_Descendants]])),Tasks[[#This Row],[_LeafCalcFinish]]))</f>
        <v/>
      </c>
      <c r="CL1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5" s="41" t="n">
        <f aca="false">IF(AND(Tasks[[#This Row],[_IsLeaf]]=1,Tasks[[#This Row],[_LeafWork]]&gt;0),NETWORKDAYS.INTL(ProjectStart,Tasks[[#This Row],[_LeafFcstStart]],WorkWeek,Holidays),0)</f>
        <v>0</v>
      </c>
      <c r="CS195" s="41" t="n">
        <f aca="false">IF(AND(Tasks[[#This Row],[_IsLeaf]]=1,Tasks[[#This Row],[_LeafWork]]&gt;0),MAX(Tasks[[#This Row],[_StartWorkday]],NETWORKDAYS.INTL(ProjectStart,Tasks[[#This Row],[_LeafFcstFinish]],WorkWeek,Holidays)),0)</f>
        <v>0</v>
      </c>
      <c r="CT195" s="41" t="n">
        <f aca="false">IF(AND(Tasks[[#This Row],[_IsLeaf]]=1,Tasks[[#This Row],[_LeafWork]]&gt;0),Tasks[[#This Row],[_LeafWork]]/(Tasks[[#This Row],[_FinishWorkday]]-Tasks[[#This Row],[_StartWorkday]]+1),0)</f>
        <v>0</v>
      </c>
      <c r="CU195" s="41" t="n">
        <f aca="false">Tasks[[#This Row],[_WorkPerWorkday]]*(Tasks[[#This Row],[_StartWorkday]]-1)</f>
        <v>-0</v>
      </c>
      <c r="CV195" s="41" t="n">
        <f aca="false">IF(Tasks[[#This Row],[_IsLeaf]]=1,MAX(N(Tasks[[#This Row],[Duration]]),0.1),0)</f>
        <v>0</v>
      </c>
      <c r="CW195" s="41" t="n">
        <f aca="false">Tasks[[#This Row],[_WeightDur]]*Tasks[[#This Row],[_LeafProgress]]</f>
        <v>0</v>
      </c>
      <c r="CX1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5" s="41" t="str">
        <f aca="false">IF(Tasks[[#This Row],[Task Name]]="","",Tasks[[#This Row],[_Pred1UIDText]]&amp;IF(AND(Tasks[[#This Row],[_Pred1UIDText]]&lt;&gt;"",Tasks[[#This Row],[_Pred2UIDText]]&lt;&gt;""),",","")&amp;Tasks[[#This Row],[_Pred2UIDText]])</f>
        <v/>
      </c>
      <c r="DC195" s="41" t="str">
        <f aca="false">IF(AND(Tasks[[#This Row],[_IsLeaf]]=1,N(Tasks[[#This Row],[Duration]])=0,Tasks[[#This Row],[_LeafProgress]]&lt;1),Tasks[[#This Row],[_LeafFcstFinish]]+Tasks[[#This Row],[_Row]]/100000,"")</f>
        <v/>
      </c>
      <c r="DD1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5" s="41" t="n">
        <f aca="false">IF(NOT(Tasks[[#This Row],[_IsLeaf]]=1),0,IF(Tasks[[#This Row],[Baseline Cost]]="",Tasks[[#This Row],[_LeafCost]],N(Tasks[[#This Row],[Baseline Cost]])))</f>
        <v>0</v>
      </c>
      <c r="DF195" s="41" t="n">
        <f aca="false">Tasks[[#This Row],[_LeafBudget]]*Tasks[[#This Row],[_PlannedPct]]</f>
        <v>0</v>
      </c>
      <c r="DG195" s="41" t="n">
        <f aca="false">Tasks[[#This Row],[_LeafBudget]]*Tasks[[#This Row],[_LeafProgress]]</f>
        <v>0</v>
      </c>
      <c r="DH195" s="41" t="n">
        <f aca="false">IF(NOT(Tasks[[#This Row],[_IsLeaf]]=1),0,IF(Tasks[[#This Row],[Actual Cost]]="",Tasks[[#This Row],[_LeafCost]]*Tasks[[#This Row],[_LeafProgress]],N(Tasks[[#This Row],[Actual Cost]])))</f>
        <v>0</v>
      </c>
      <c r="DI195" s="41" t="str">
        <f aca="false">IF(Tasks[[#This Row],[Task Name]]="","",LEFT(Tasks[[#This Row],[WBS]],FIND(".",Tasks[[#This Row],[WBS]]&amp;".")-1))</f>
        <v/>
      </c>
      <c r="DJ195" s="41" t="str">
        <f aca="false">IF(AND(Tasks[[#This Row],[Task Name]]&lt;&gt;"",Tasks[[#This Row],[_Level]]=1),Tasks[[#This Row],[_Row]],"")</f>
        <v/>
      </c>
      <c r="DK195" s="41" t="str">
        <f aca="false">IF(AND(Tasks[[#This Row],[_IsLeaf]]=1,N(Tasks[[#This Row],[Duration]])=0),Tasks[[#This Row],[Planned Finish]]+Tasks[[#This Row],[_Row]]/100000,"")</f>
        <v/>
      </c>
      <c r="DL195" s="41" t="str">
        <f aca="false">IF(AND(Tasks[[#This Row],[_IsLeaf]]=1,Tasks[[#This Row],[_LeafProgress]]&lt;1,OR(N(Tasks[[#This Row],[Finish Var]])&gt;0,Tasks[[#This Row],[Status]]="Late Start")),MAX(0,Tasks[[#This Row],[Finish Var]])+1-Tasks[[#This Row],[_Row]]/1000000,"")</f>
        <v/>
      </c>
      <c r="DM195" s="41" t="str">
        <f aca="false">IF(AND(Tasks[[#This Row],[_IsLeaf]]=1,N(Tasks[[#This Row],[Actual Start]])=0,Tasks[[#This Row],[_LeafFcstStart]]&gt;=StatusDate,Tasks[[#This Row],[_LeafFcstStart]]&lt;=LookaheadEnd),Tasks[[#This Row],[_LeafFcstStart]]+Tasks[[#This Row],[_Row]]/100000,"")</f>
        <v/>
      </c>
      <c r="DN195" s="41" t="str">
        <f aca="false">IF(AND(Tasks[[#This Row],[_IsLeaf]]=1,Tasks[[#This Row],[_LeafProgress]]&lt;1,Tasks[[#This Row],[_LeafFcstFinish]]&gt;=StatusDate,Tasks[[#This Row],[_LeafFcstFinish]]&lt;=LookaheadEnd),Tasks[[#This Row],[_LeafFcstFinish]]+Tasks[[#This Row],[_Row]]/100000,"")</f>
        <v/>
      </c>
      <c r="DO195" s="41" t="str">
        <f aca="false">IF(Tasks[[#This Row],[_LeafCritical]],Tasks[[#This Row],[_LeafFcstStart]]+Tasks[[#This Row],[_Row]]/100000,"")</f>
        <v/>
      </c>
      <c r="DP195" s="41" t="n">
        <f aca="false">Tasks[[#This Row],[_LeafWork]]*Tasks[[#This Row],[_LeafProgress]]</f>
        <v>0</v>
      </c>
      <c r="DQ195" s="103" t="str">
        <f aca="false">IF(AND(Tasks[[#This Row],[_IsLeaf]]=1,Tasks[[#This Row],[_LeafProgress]]&gt;=1),IF(N(Tasks[[#This Row],[Actual Finish]])&gt;0,Tasks[[#This Row],[Actual Finish]],Tasks[[#This Row],[_LeafFcstFinish]]),"")</f>
        <v/>
      </c>
      <c r="DR195" s="41" t="n">
        <f aca="false">IF(Tasks[[#This Row],[_IsLeaf]]=1,N(Tasks[[#This Row],[Story Points]]),0)</f>
        <v>0</v>
      </c>
      <c r="DS195" s="41" t="str">
        <f aca="false">IF(AND(Tasks[[#This Row],[_IsLeaf]]=1,CurrentSprint&lt;&gt;"",Tasks[[#This Row],[Sprint]]=CurrentSprint),Tasks[[#This Row],[_Row]],"")</f>
        <v/>
      </c>
    </row>
    <row r="196" customFormat="false" ht="15" hidden="false" customHeight="false" outlineLevel="0" collapsed="false">
      <c r="A196" s="28" t="str">
        <f aca="false">IF(Tasks[[#This Row],[Task Name]]="","",COUNTA(Tasks[[#Headers],[Task Name]]:Tasks[[#This Row],[Task Name]])-1)</f>
        <v/>
      </c>
      <c r="B196" s="29" t="n">
        <v>191</v>
      </c>
      <c r="C1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29"/>
      <c r="E196" s="30"/>
      <c r="F196" s="29"/>
      <c r="G196" s="29"/>
      <c r="H196" s="29"/>
      <c r="I196" s="29"/>
      <c r="J196" s="29"/>
      <c r="K196" s="29"/>
      <c r="L196" s="29"/>
      <c r="M196" s="29"/>
      <c r="N196" s="77"/>
      <c r="O196" s="77"/>
      <c r="P196" s="25" t="str">
        <f aca="false">IF(Tasks[[#This Row],[Task Name]]="","",IF(N(Tasks[[#This Row],[Baseline Start]])&gt;0,Tasks[[#This Row],[Baseline Start]],Tasks[[#This Row],[_CalcStart]]))</f>
        <v/>
      </c>
      <c r="Q196" s="25" t="str">
        <f aca="false">IF(Tasks[[#This Row],[Task Name]]="","",IF(N(Tasks[[#This Row],[Baseline Finish]])&gt;0,Tasks[[#This Row],[Baseline Finish]],Tasks[[#This Row],[_CalcFinish]]))</f>
        <v/>
      </c>
      <c r="R196" s="77"/>
      <c r="S196" s="77"/>
      <c r="T196" s="25" t="str">
        <f aca="false">IF(Tasks[[#This Row],[Task Name]]="","",IF(Tasks[[#This Row],[_IsSummary]],MIN(INDEX(Tasks[_LeafFcstStart],Tasks[[#This Row],[_Row]]+1):INDEX(Tasks[_LeafFcstStart],Tasks[[#This Row],[_Row]]+Tasks[[#This Row],[_Descendants]])),Tasks[[#This Row],[_LeafFcstStart]]))</f>
        <v/>
      </c>
      <c r="U196" s="25" t="str">
        <f aca="false">IF(Tasks[[#This Row],[Task Name]]="","",IF(Tasks[[#This Row],[_IsSummary]],MAX(INDEX(Tasks[_LeafFcstFinish],Tasks[[#This Row],[_Row]]+1):INDEX(Tasks[_LeafFcstFinish],Tasks[[#This Row],[_Row]]+Tasks[[#This Row],[_Descendants]])),Tasks[[#This Row],[_LeafFcstFinish]]))</f>
        <v/>
      </c>
      <c r="V196"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6"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6" s="25" t="str">
        <f aca="false">IF(Tasks[[#This Row],[Task Name]]="","",IF(Tasks[[#This Row],[_IsSummary]],MIN(INDEX(Tasks[_LeafLateStart],Tasks[[#This Row],[_Row]]+1):INDEX(Tasks[_LeafLateStart],Tasks[[#This Row],[_Row]]+Tasks[[#This Row],[_Descendants]])),Tasks[[#This Row],[_LeafLateStart]]))</f>
        <v/>
      </c>
      <c r="Y196" s="25" t="str">
        <f aca="false">IF(Tasks[[#This Row],[Task Name]]="","",IF(Tasks[[#This Row],[_IsSummary]],MAX(INDEX(Tasks[_LeafLateFinish],Tasks[[#This Row],[_Row]]+1):INDEX(Tasks[_LeafLateFinish],Tasks[[#This Row],[_Row]]+Tasks[[#This Row],[_Descendants]])),Tasks[[#This Row],[_LeafLateFinish]]))</f>
        <v/>
      </c>
      <c r="Z196" s="43" t="str">
        <f aca="false">IF(Tasks[[#This Row],[Task Name]]="","",IF(Tasks[[#This Row],[_IsSummary]],MIN(INDEX(Tasks[_LeafTotalSlack],Tasks[[#This Row],[_Row]]+1):INDEX(Tasks[_LeafTotalSlack],Tasks[[#This Row],[_Row]]+Tasks[[#This Row],[_Descendants]])),Tasks[[#This Row],[_LeafTotalSlack]]))</f>
        <v/>
      </c>
      <c r="AA1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6" s="28" t="str">
        <f aca="false">IF(Tasks[[#This Row],[Task Name]]="","",IF(IF(Tasks[[#This Row],[_IsSummary]],COUNTIF(INDEX(Tasks[_LeafCritical],Tasks[[#This Row],[_Row]]+1):INDEX(Tasks[_LeafCritical],Tasks[[#This Row],[_Row]]+Tasks[[#This Row],[_Descendants]]),TRUE())&gt;0,Tasks[[#This Row],[_LeafCritical]]),"Yes",""))</f>
        <v/>
      </c>
      <c r="AC1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6" s="24" t="str">
        <f aca="false">IF(Tasks[[#This Row],[Task Name]]="","",TRIM(IF(Tasks[[#This Row],[_Pred1Problem]]&lt;&gt;"","Pred 1: "&amp;Tasks[[#This Row],[_Pred1Problem]]&amp;". ","")&amp;IF(Tasks[[#This Row],[_Pred2Problem]]&lt;&gt;"","Pred 2: "&amp;Tasks[[#This Row],[_Pred2Problem]]&amp;".","")))</f>
        <v/>
      </c>
      <c r="AE196" s="91"/>
      <c r="AF196"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6" s="28" t="str">
        <f aca="false">IF(Tasks[[#This Row],[Task Name]]="","",IF(Tasks[[#This Row],[Progress]]&gt;=1,"Complete",IF(OR(N(Tasks[[#This Row],[Actual Start]])&gt;0,Tasks[[#This Row],[Progress]]&gt;0),IF(Tasks[[#This Row],[Finish Var]]&gt;0,"Behind","In Progress"),IF(Tasks[[#This Row],[Planned Start]]&lt;StatusDate,"Late Start","Not Started"))))</f>
        <v/>
      </c>
      <c r="AH196" s="30"/>
      <c r="AI196" s="91"/>
      <c r="AJ19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6" s="98" t="str">
        <f aca="false">IF(Tasks[[#This Row],[Task Name]]="","",IF(Tasks[[#This Row],[_IsSummary]],SUM(INDEX(Tasks[_LeafWork],Tasks[[#This Row],[_Row]]+1):INDEX(Tasks[_LeafWork],Tasks[[#This Row],[_Row]]+Tasks[[#This Row],[_Descendants]])),Tasks[[#This Row],[_LeafWork]]))</f>
        <v/>
      </c>
      <c r="AL196" s="99" t="str">
        <f aca="false">IF(Tasks[[#This Row],[Task Name]]="","",IF(Tasks[[#This Row],[_IsSummary]],SUM(INDEX(Tasks[_LeafCost],Tasks[[#This Row],[_Row]]+1):INDEX(Tasks[_LeafCost],Tasks[[#This Row],[_Row]]+Tasks[[#This Row],[_Descendants]])),Tasks[[#This Row],[_LeafCost]]))</f>
        <v/>
      </c>
      <c r="AM196" s="100"/>
      <c r="AN196" s="29"/>
      <c r="AO1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6" s="85"/>
      <c r="AQ196" s="24" t="str">
        <f aca="false">IF(Tasks[[#This Row],[Task Name]]="","",Tasks[[#This Row],[_Pred1IDText]]&amp;IF(AND(Tasks[[#This Row],[_Pred1IDText]]&lt;&gt;"",Tasks[[#This Row],[_Pred2IDText]]&lt;&gt;""),",","")&amp;Tasks[[#This Row],[_Pred2IDText]])</f>
        <v/>
      </c>
      <c r="AR196" s="30"/>
      <c r="AS196" s="25" t="str">
        <f aca="false">IF(Tasks[[#This Row],[Task Name]]="","",Tasks[[#This Row],[Forecast Start]])</f>
        <v/>
      </c>
      <c r="AT196" s="25" t="str">
        <f aca="false">IF(Tasks[[#This Row],[Task Name]]="","",Tasks[[#This Row],[Forecast Finish]])</f>
        <v/>
      </c>
      <c r="AU196" s="28" t="str">
        <f aca="false">IF(Tasks[[#This Row],[Task Name]]="","",IF(Tasks[[#This Row],[_IsSummary]],NETWORKDAYS.INTL(Tasks[[#This Row],[Forecast Start]],Tasks[[#This Row],[Forecast Finish]],WorkWeek,Holidays),N(Tasks[[#This Row],[Duration]])))</f>
        <v/>
      </c>
      <c r="AV196" s="98" t="str">
        <f aca="false">IF(Tasks[[#This Row],[Task Name]]="","",Tasks[[#This Row],[Work]])</f>
        <v/>
      </c>
      <c r="AW196" s="99" t="str">
        <f aca="false">IF(Tasks[[#This Row],[Task Name]]="","",Tasks[[#This Row],[Cost]])</f>
        <v/>
      </c>
      <c r="AX196" s="77"/>
      <c r="AY196" s="77"/>
      <c r="AZ196" s="29"/>
      <c r="BA196" s="101"/>
      <c r="BB196" s="100"/>
      <c r="BC196" s="28" t="str">
        <f aca="false">IF(OR(Tasks[[#This Row],[Task Name]]="",Tasks[[#This Row],[Baseline Duration]]=""),"",Tasks[[#This Row],[BL Source Duration]]-N(Tasks[[#This Row],[Baseline Duration]]))</f>
        <v/>
      </c>
      <c r="BD196" s="98" t="str">
        <f aca="false">IF(OR(Tasks[[#This Row],[Task Name]]="",Tasks[[#This Row],[Baseline Work]]=""),"",Tasks[[#This Row],[Work]]-N(Tasks[[#This Row],[Baseline Work]]))</f>
        <v/>
      </c>
      <c r="BE196" s="99" t="str">
        <f aca="false">IF(OR(Tasks[[#This Row],[Task Name]]="",Tasks[[#This Row],[Baseline Cost]]=""),"",Tasks[[#This Row],[Cost]]-N(Tasks[[#This Row],[Baseline Cost]]))</f>
        <v/>
      </c>
      <c r="BF196" s="99" t="str">
        <f aca="false">IF(Tasks[[#This Row],[Task Name]]="","",IF(Tasks[[#This Row],[_IsSummary]],SUM(INDEX(Tasks[_LeafBudget],Tasks[[#This Row],[_Row]]+1):INDEX(Tasks[_LeafBudget],Tasks[[#This Row],[_Row]]+Tasks[[#This Row],[_Descendants]])),Tasks[[#This Row],[_LeafBudget]]))</f>
        <v/>
      </c>
      <c r="BG196" s="99" t="str">
        <f aca="false">IF(Tasks[[#This Row],[Task Name]]="","",IF(Tasks[[#This Row],[_IsSummary]],SUM(INDEX(Tasks[_LeafPV],Tasks[[#This Row],[_Row]]+1):INDEX(Tasks[_LeafPV],Tasks[[#This Row],[_Row]]+Tasks[[#This Row],[_Descendants]])),Tasks[[#This Row],[_LeafPV]]))</f>
        <v/>
      </c>
      <c r="BH196" s="99" t="str">
        <f aca="false">IF(Tasks[[#This Row],[Task Name]]="","",IF(Tasks[[#This Row],[_IsSummary]],SUM(INDEX(Tasks[_LeafEV],Tasks[[#This Row],[_Row]]+1):INDEX(Tasks[_LeafEV],Tasks[[#This Row],[_Row]]+Tasks[[#This Row],[_Descendants]])),Tasks[[#This Row],[_LeafEV]]))</f>
        <v/>
      </c>
      <c r="BI196" s="99" t="str">
        <f aca="false">IF(Tasks[[#This Row],[Task Name]]="","",IF(Tasks[[#This Row],[_IsSummary]],SUM(INDEX(Tasks[_LeafAC],Tasks[[#This Row],[_Row]]+1):INDEX(Tasks[_LeafAC],Tasks[[#This Row],[_Row]]+Tasks[[#This Row],[_Descendants]])),Tasks[[#This Row],[_LeafAC]]))</f>
        <v/>
      </c>
      <c r="BJ196" s="41" t="str">
        <f aca="false">IF(Tasks[[#This Row],[Task Name]]="","",MAX(1,N(Tasks[[#This Row],[Level]])))</f>
        <v/>
      </c>
      <c r="BK196" s="41" t="n">
        <f aca="false">ROW()-ROW(Tasks[[#Headers],[ID]])</f>
        <v>191</v>
      </c>
      <c r="BL196" s="41" t="n">
        <f aca="false">IF(OR(Tasks[[#This Row],[Task Name]]="",Tasks[[#This Row],[_Level]]&lt;=1),0,IFERROR(LOOKUP(2,1/(Tasks[[#Headers],[_Level]]:Tasks[[#This Row],[_Level]]=Tasks[[#This Row],[_Level]]-1),ROW(Tasks[[#Headers],[_Level]]:Tasks[[#This Row],[_Level]])),0))</f>
        <v>0</v>
      </c>
      <c r="BM196" s="41" t="n">
        <f aca="false">IFERROR(N(INDEX(Tasks[_Level],Tasks[[#This Row],[_Row]]+1)),0)</f>
        <v>0</v>
      </c>
      <c r="BN196" s="102" t="b">
        <f aca="false">AND(Tasks[[#This Row],[Task Name]]&lt;&gt;"",Tasks[[#This Row],[_NextLevel]]&gt;Tasks[[#This Row],[_Level]])</f>
        <v>0</v>
      </c>
      <c r="BO196" s="41" t="n">
        <f aca="false">IF(Tasks[[#This Row],[_IsSummary]],COUNTIF(Tasks[WBS],Tasks[[#This Row],[WBS]]&amp;".*"),0)</f>
        <v>0</v>
      </c>
      <c r="BP196" s="41" t="n">
        <f aca="false">IF(AND(Tasks[[#This Row],[Task Name]]&lt;&gt;"",NOT(Tasks[[#This Row],[_IsSummary]])),1,0)</f>
        <v>0</v>
      </c>
      <c r="BQ196" s="41" t="n">
        <f aca="false">IF(N(Tasks[[#This Row],[Pred1 UID]])=0,0,IFERROR(MATCH(Tasks[[#This Row],[Pred1 UID]],Tasks[UID],0),-1))</f>
        <v>0</v>
      </c>
      <c r="BR196" s="41" t="n">
        <f aca="false">IF(N(Tasks[[#This Row],[Pred2 UID]])=0,0,IFERROR(MATCH(Tasks[[#This Row],[Pred2 UID]],Tasks[UID],0),-1))</f>
        <v>0</v>
      </c>
      <c r="BS196"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6" s="103" t="str">
        <f aca="false">IF(NOT(Tasks[[#This Row],[_IsLeaf]]=1),"",IF(N(Tasks[[#This Row],[Duration]])&lt;=0,Tasks[[#This Row],[_LeafCalcStart]],WORKDAY.INTL(Tasks[[#This Row],[_LeafCalcStart]],Tasks[[#This Row],[Duration]]-1,WorkWeek,Holidays)))</f>
        <v/>
      </c>
      <c r="BU196"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6"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6" s="41" t="n">
        <f aca="false">IF(NOT(Tasks[[#This Row],[_IsLeaf]]=1),0,IF(N(Tasks[[#This Row],[Actual Finish]])&gt;0,1,MIN(1,N(Tasks[[#This Row],[% Complete]]))))</f>
        <v>0</v>
      </c>
      <c r="BX196" s="41" t="n">
        <f aca="false">IF(OR(NOT(Tasks[[#This Row],[_IsLeaf]]=1),Tasks[[#This Row],[Resource]]=""),0,N(Tasks[[#This Row],[Duration]])*HoursPerDay*IF(Tasks[[#This Row],[Units]]="",DefaultUnits,Tasks[[#This Row],[Units]]))</f>
        <v>0</v>
      </c>
      <c r="BY196" s="41" t="n">
        <f aca="false">IF(Tasks[[#This Row],[_LeafWork]]=0,0,Tasks[[#This Row],[_LeafWork]]*IFERROR(INDEX(res_Rate,MATCH(Tasks[[#This Row],[Resource]],res_Name,0)),0))</f>
        <v>0</v>
      </c>
      <c r="BZ1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6" s="41" t="n">
        <f aca="false">IF(NOT(Tasks[[#This Row],[_IsLeaf]]=1),0,MAX(_xlfn.MAXIFS(Tasks[_Row],Tasks[Pred1 UID],Tasks[[#This Row],[UID]]),_xlfn.MAXIFS(Tasks[_Row],Tasks[Pred2 UID],Tasks[[#This Row],[UID]])))</f>
        <v>0</v>
      </c>
      <c r="CE196"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6" s="103" t="str">
        <f aca="false">IF(NOT(Tasks[[#This Row],[_IsLeaf]]=1),"",MIN(ProjectFinish,IF(N(Tasks[[#This Row],[Deadline]])&gt;0,Tasks[[#This Row],[Deadline]],2958465),Tasks[[#This Row],[_SuccessorFinishLimit]]))</f>
        <v/>
      </c>
      <c r="CG196" s="103" t="str">
        <f aca="false">IF(NOT(Tasks[[#This Row],[_IsLeaf]]=1),"",IF(N(Tasks[[#This Row],[Duration]])&lt;=0,Tasks[[#This Row],[_LeafLateFinish]],WORKDAY.INTL(Tasks[[#This Row],[_LeafLateFinish]],-(Tasks[[#This Row],[Duration]]-1),WorkWeek,Holidays)))</f>
        <v/>
      </c>
      <c r="CH1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6" s="102" t="b">
        <f aca="false">AND(Tasks[[#This Row],[_IsLeaf]]=1,Tasks[[#This Row],[_LeafProgress]]&lt;1,N(Tasks[[#This Row],[_LeafTotalSlack]])&lt;=CriticalSlackDays)</f>
        <v>0</v>
      </c>
      <c r="CJ196" s="103" t="str">
        <f aca="false">IF(Tasks[[#This Row],[Task Name]]="","",IF(Tasks[[#This Row],[_IsSummary]],MIN(INDEX(Tasks[_LeafCalcStart],Tasks[[#This Row],[_Row]]+1):INDEX(Tasks[_LeafCalcStart],Tasks[[#This Row],[_Row]]+Tasks[[#This Row],[_Descendants]])),Tasks[[#This Row],[_LeafCalcStart]]))</f>
        <v/>
      </c>
      <c r="CK196" s="103" t="str">
        <f aca="false">IF(Tasks[[#This Row],[Task Name]]="","",IF(Tasks[[#This Row],[_IsSummary]],MAX(INDEX(Tasks[_LeafCalcFinish],Tasks[[#This Row],[_Row]]+1):INDEX(Tasks[_LeafCalcFinish],Tasks[[#This Row],[_Row]]+Tasks[[#This Row],[_Descendants]])),Tasks[[#This Row],[_LeafCalcFinish]]))</f>
        <v/>
      </c>
      <c r="CL1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6"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6"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6"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6"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6" s="41" t="n">
        <f aca="false">IF(AND(Tasks[[#This Row],[_IsLeaf]]=1,Tasks[[#This Row],[_LeafWork]]&gt;0),NETWORKDAYS.INTL(ProjectStart,Tasks[[#This Row],[_LeafFcstStart]],WorkWeek,Holidays),0)</f>
        <v>0</v>
      </c>
      <c r="CS196" s="41" t="n">
        <f aca="false">IF(AND(Tasks[[#This Row],[_IsLeaf]]=1,Tasks[[#This Row],[_LeafWork]]&gt;0),MAX(Tasks[[#This Row],[_StartWorkday]],NETWORKDAYS.INTL(ProjectStart,Tasks[[#This Row],[_LeafFcstFinish]],WorkWeek,Holidays)),0)</f>
        <v>0</v>
      </c>
      <c r="CT196" s="41" t="n">
        <f aca="false">IF(AND(Tasks[[#This Row],[_IsLeaf]]=1,Tasks[[#This Row],[_LeafWork]]&gt;0),Tasks[[#This Row],[_LeafWork]]/(Tasks[[#This Row],[_FinishWorkday]]-Tasks[[#This Row],[_StartWorkday]]+1),0)</f>
        <v>0</v>
      </c>
      <c r="CU196" s="41" t="n">
        <f aca="false">Tasks[[#This Row],[_WorkPerWorkday]]*(Tasks[[#This Row],[_StartWorkday]]-1)</f>
        <v>-0</v>
      </c>
      <c r="CV196" s="41" t="n">
        <f aca="false">IF(Tasks[[#This Row],[_IsLeaf]]=1,MAX(N(Tasks[[#This Row],[Duration]]),0.1),0)</f>
        <v>0</v>
      </c>
      <c r="CW196" s="41" t="n">
        <f aca="false">Tasks[[#This Row],[_WeightDur]]*Tasks[[#This Row],[_LeafProgress]]</f>
        <v>0</v>
      </c>
      <c r="CX1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6" s="41" t="str">
        <f aca="false">IF(Tasks[[#This Row],[Task Name]]="","",Tasks[[#This Row],[_Pred1UIDText]]&amp;IF(AND(Tasks[[#This Row],[_Pred1UIDText]]&lt;&gt;"",Tasks[[#This Row],[_Pred2UIDText]]&lt;&gt;""),",","")&amp;Tasks[[#This Row],[_Pred2UIDText]])</f>
        <v/>
      </c>
      <c r="DC196" s="41" t="str">
        <f aca="false">IF(AND(Tasks[[#This Row],[_IsLeaf]]=1,N(Tasks[[#This Row],[Duration]])=0,Tasks[[#This Row],[_LeafProgress]]&lt;1),Tasks[[#This Row],[_LeafFcstFinish]]+Tasks[[#This Row],[_Row]]/100000,"")</f>
        <v/>
      </c>
      <c r="DD1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6" s="41" t="n">
        <f aca="false">IF(NOT(Tasks[[#This Row],[_IsLeaf]]=1),0,IF(Tasks[[#This Row],[Baseline Cost]]="",Tasks[[#This Row],[_LeafCost]],N(Tasks[[#This Row],[Baseline Cost]])))</f>
        <v>0</v>
      </c>
      <c r="DF196" s="41" t="n">
        <f aca="false">Tasks[[#This Row],[_LeafBudget]]*Tasks[[#This Row],[_PlannedPct]]</f>
        <v>0</v>
      </c>
      <c r="DG196" s="41" t="n">
        <f aca="false">Tasks[[#This Row],[_LeafBudget]]*Tasks[[#This Row],[_LeafProgress]]</f>
        <v>0</v>
      </c>
      <c r="DH196" s="41" t="n">
        <f aca="false">IF(NOT(Tasks[[#This Row],[_IsLeaf]]=1),0,IF(Tasks[[#This Row],[Actual Cost]]="",Tasks[[#This Row],[_LeafCost]]*Tasks[[#This Row],[_LeafProgress]],N(Tasks[[#This Row],[Actual Cost]])))</f>
        <v>0</v>
      </c>
      <c r="DI196" s="41" t="str">
        <f aca="false">IF(Tasks[[#This Row],[Task Name]]="","",LEFT(Tasks[[#This Row],[WBS]],FIND(".",Tasks[[#This Row],[WBS]]&amp;".")-1))</f>
        <v/>
      </c>
      <c r="DJ196" s="41" t="str">
        <f aca="false">IF(AND(Tasks[[#This Row],[Task Name]]&lt;&gt;"",Tasks[[#This Row],[_Level]]=1),Tasks[[#This Row],[_Row]],"")</f>
        <v/>
      </c>
      <c r="DK196" s="41" t="str">
        <f aca="false">IF(AND(Tasks[[#This Row],[_IsLeaf]]=1,N(Tasks[[#This Row],[Duration]])=0),Tasks[[#This Row],[Planned Finish]]+Tasks[[#This Row],[_Row]]/100000,"")</f>
        <v/>
      </c>
      <c r="DL196" s="41" t="str">
        <f aca="false">IF(AND(Tasks[[#This Row],[_IsLeaf]]=1,Tasks[[#This Row],[_LeafProgress]]&lt;1,OR(N(Tasks[[#This Row],[Finish Var]])&gt;0,Tasks[[#This Row],[Status]]="Late Start")),MAX(0,Tasks[[#This Row],[Finish Var]])+1-Tasks[[#This Row],[_Row]]/1000000,"")</f>
        <v/>
      </c>
      <c r="DM196" s="41" t="str">
        <f aca="false">IF(AND(Tasks[[#This Row],[_IsLeaf]]=1,N(Tasks[[#This Row],[Actual Start]])=0,Tasks[[#This Row],[_LeafFcstStart]]&gt;=StatusDate,Tasks[[#This Row],[_LeafFcstStart]]&lt;=LookaheadEnd),Tasks[[#This Row],[_LeafFcstStart]]+Tasks[[#This Row],[_Row]]/100000,"")</f>
        <v/>
      </c>
      <c r="DN196" s="41" t="str">
        <f aca="false">IF(AND(Tasks[[#This Row],[_IsLeaf]]=1,Tasks[[#This Row],[_LeafProgress]]&lt;1,Tasks[[#This Row],[_LeafFcstFinish]]&gt;=StatusDate,Tasks[[#This Row],[_LeafFcstFinish]]&lt;=LookaheadEnd),Tasks[[#This Row],[_LeafFcstFinish]]+Tasks[[#This Row],[_Row]]/100000,"")</f>
        <v/>
      </c>
      <c r="DO196" s="41" t="str">
        <f aca="false">IF(Tasks[[#This Row],[_LeafCritical]],Tasks[[#This Row],[_LeafFcstStart]]+Tasks[[#This Row],[_Row]]/100000,"")</f>
        <v/>
      </c>
      <c r="DP196" s="41" t="n">
        <f aca="false">Tasks[[#This Row],[_LeafWork]]*Tasks[[#This Row],[_LeafProgress]]</f>
        <v>0</v>
      </c>
      <c r="DQ196" s="103" t="str">
        <f aca="false">IF(AND(Tasks[[#This Row],[_IsLeaf]]=1,Tasks[[#This Row],[_LeafProgress]]&gt;=1),IF(N(Tasks[[#This Row],[Actual Finish]])&gt;0,Tasks[[#This Row],[Actual Finish]],Tasks[[#This Row],[_LeafFcstFinish]]),"")</f>
        <v/>
      </c>
      <c r="DR196" s="41" t="n">
        <f aca="false">IF(Tasks[[#This Row],[_IsLeaf]]=1,N(Tasks[[#This Row],[Story Points]]),0)</f>
        <v>0</v>
      </c>
      <c r="DS196" s="41" t="str">
        <f aca="false">IF(AND(Tasks[[#This Row],[_IsLeaf]]=1,CurrentSprint&lt;&gt;"",Tasks[[#This Row],[Sprint]]=CurrentSprint),Tasks[[#This Row],[_Row]],"")</f>
        <v/>
      </c>
    </row>
    <row r="197" customFormat="false" ht="15" hidden="false" customHeight="false" outlineLevel="0" collapsed="false">
      <c r="A197" s="28" t="str">
        <f aca="false">IF(Tasks[[#This Row],[Task Name]]="","",COUNTA(Tasks[[#Headers],[Task Name]]:Tasks[[#This Row],[Task Name]])-1)</f>
        <v/>
      </c>
      <c r="B197" s="29" t="n">
        <v>192</v>
      </c>
      <c r="C1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29"/>
      <c r="E197" s="30"/>
      <c r="F197" s="29"/>
      <c r="G197" s="29"/>
      <c r="H197" s="29"/>
      <c r="I197" s="29"/>
      <c r="J197" s="29"/>
      <c r="K197" s="29"/>
      <c r="L197" s="29"/>
      <c r="M197" s="29"/>
      <c r="N197" s="77"/>
      <c r="O197" s="77"/>
      <c r="P197" s="25" t="str">
        <f aca="false">IF(Tasks[[#This Row],[Task Name]]="","",IF(N(Tasks[[#This Row],[Baseline Start]])&gt;0,Tasks[[#This Row],[Baseline Start]],Tasks[[#This Row],[_CalcStart]]))</f>
        <v/>
      </c>
      <c r="Q197" s="25" t="str">
        <f aca="false">IF(Tasks[[#This Row],[Task Name]]="","",IF(N(Tasks[[#This Row],[Baseline Finish]])&gt;0,Tasks[[#This Row],[Baseline Finish]],Tasks[[#This Row],[_CalcFinish]]))</f>
        <v/>
      </c>
      <c r="R197" s="77"/>
      <c r="S197" s="77"/>
      <c r="T197" s="25" t="str">
        <f aca="false">IF(Tasks[[#This Row],[Task Name]]="","",IF(Tasks[[#This Row],[_IsSummary]],MIN(INDEX(Tasks[_LeafFcstStart],Tasks[[#This Row],[_Row]]+1):INDEX(Tasks[_LeafFcstStart],Tasks[[#This Row],[_Row]]+Tasks[[#This Row],[_Descendants]])),Tasks[[#This Row],[_LeafFcstStart]]))</f>
        <v/>
      </c>
      <c r="U197" s="25" t="str">
        <f aca="false">IF(Tasks[[#This Row],[Task Name]]="","",IF(Tasks[[#This Row],[_IsSummary]],MAX(INDEX(Tasks[_LeafFcstFinish],Tasks[[#This Row],[_Row]]+1):INDEX(Tasks[_LeafFcstFinish],Tasks[[#This Row],[_Row]]+Tasks[[#This Row],[_Descendants]])),Tasks[[#This Row],[_LeafFcstFinish]]))</f>
        <v/>
      </c>
      <c r="V197"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7"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7" s="25" t="str">
        <f aca="false">IF(Tasks[[#This Row],[Task Name]]="","",IF(Tasks[[#This Row],[_IsSummary]],MIN(INDEX(Tasks[_LeafLateStart],Tasks[[#This Row],[_Row]]+1):INDEX(Tasks[_LeafLateStart],Tasks[[#This Row],[_Row]]+Tasks[[#This Row],[_Descendants]])),Tasks[[#This Row],[_LeafLateStart]]))</f>
        <v/>
      </c>
      <c r="Y197" s="25" t="str">
        <f aca="false">IF(Tasks[[#This Row],[Task Name]]="","",IF(Tasks[[#This Row],[_IsSummary]],MAX(INDEX(Tasks[_LeafLateFinish],Tasks[[#This Row],[_Row]]+1):INDEX(Tasks[_LeafLateFinish],Tasks[[#This Row],[_Row]]+Tasks[[#This Row],[_Descendants]])),Tasks[[#This Row],[_LeafLateFinish]]))</f>
        <v/>
      </c>
      <c r="Z197" s="43" t="str">
        <f aca="false">IF(Tasks[[#This Row],[Task Name]]="","",IF(Tasks[[#This Row],[_IsSummary]],MIN(INDEX(Tasks[_LeafTotalSlack],Tasks[[#This Row],[_Row]]+1):INDEX(Tasks[_LeafTotalSlack],Tasks[[#This Row],[_Row]]+Tasks[[#This Row],[_Descendants]])),Tasks[[#This Row],[_LeafTotalSlack]]))</f>
        <v/>
      </c>
      <c r="AA1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7" s="28" t="str">
        <f aca="false">IF(Tasks[[#This Row],[Task Name]]="","",IF(IF(Tasks[[#This Row],[_IsSummary]],COUNTIF(INDEX(Tasks[_LeafCritical],Tasks[[#This Row],[_Row]]+1):INDEX(Tasks[_LeafCritical],Tasks[[#This Row],[_Row]]+Tasks[[#This Row],[_Descendants]]),TRUE())&gt;0,Tasks[[#This Row],[_LeafCritical]]),"Yes",""))</f>
        <v/>
      </c>
      <c r="AC1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7" s="24" t="str">
        <f aca="false">IF(Tasks[[#This Row],[Task Name]]="","",TRIM(IF(Tasks[[#This Row],[_Pred1Problem]]&lt;&gt;"","Pred 1: "&amp;Tasks[[#This Row],[_Pred1Problem]]&amp;". ","")&amp;IF(Tasks[[#This Row],[_Pred2Problem]]&lt;&gt;"","Pred 2: "&amp;Tasks[[#This Row],[_Pred2Problem]]&amp;".","")))</f>
        <v/>
      </c>
      <c r="AE197" s="91"/>
      <c r="AF197"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7" s="28" t="str">
        <f aca="false">IF(Tasks[[#This Row],[Task Name]]="","",IF(Tasks[[#This Row],[Progress]]&gt;=1,"Complete",IF(OR(N(Tasks[[#This Row],[Actual Start]])&gt;0,Tasks[[#This Row],[Progress]]&gt;0),IF(Tasks[[#This Row],[Finish Var]]&gt;0,"Behind","In Progress"),IF(Tasks[[#This Row],[Planned Start]]&lt;StatusDate,"Late Start","Not Started"))))</f>
        <v/>
      </c>
      <c r="AH197" s="30"/>
      <c r="AI197" s="91"/>
      <c r="AJ19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7" s="98" t="str">
        <f aca="false">IF(Tasks[[#This Row],[Task Name]]="","",IF(Tasks[[#This Row],[_IsSummary]],SUM(INDEX(Tasks[_LeafWork],Tasks[[#This Row],[_Row]]+1):INDEX(Tasks[_LeafWork],Tasks[[#This Row],[_Row]]+Tasks[[#This Row],[_Descendants]])),Tasks[[#This Row],[_LeafWork]]))</f>
        <v/>
      </c>
      <c r="AL197" s="99" t="str">
        <f aca="false">IF(Tasks[[#This Row],[Task Name]]="","",IF(Tasks[[#This Row],[_IsSummary]],SUM(INDEX(Tasks[_LeafCost],Tasks[[#This Row],[_Row]]+1):INDEX(Tasks[_LeafCost],Tasks[[#This Row],[_Row]]+Tasks[[#This Row],[_Descendants]])),Tasks[[#This Row],[_LeafCost]]))</f>
        <v/>
      </c>
      <c r="AM197" s="100"/>
      <c r="AN197" s="29"/>
      <c r="AO1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7" s="85"/>
      <c r="AQ197" s="24" t="str">
        <f aca="false">IF(Tasks[[#This Row],[Task Name]]="","",Tasks[[#This Row],[_Pred1IDText]]&amp;IF(AND(Tasks[[#This Row],[_Pred1IDText]]&lt;&gt;"",Tasks[[#This Row],[_Pred2IDText]]&lt;&gt;""),",","")&amp;Tasks[[#This Row],[_Pred2IDText]])</f>
        <v/>
      </c>
      <c r="AR197" s="30"/>
      <c r="AS197" s="25" t="str">
        <f aca="false">IF(Tasks[[#This Row],[Task Name]]="","",Tasks[[#This Row],[Forecast Start]])</f>
        <v/>
      </c>
      <c r="AT197" s="25" t="str">
        <f aca="false">IF(Tasks[[#This Row],[Task Name]]="","",Tasks[[#This Row],[Forecast Finish]])</f>
        <v/>
      </c>
      <c r="AU197" s="28" t="str">
        <f aca="false">IF(Tasks[[#This Row],[Task Name]]="","",IF(Tasks[[#This Row],[_IsSummary]],NETWORKDAYS.INTL(Tasks[[#This Row],[Forecast Start]],Tasks[[#This Row],[Forecast Finish]],WorkWeek,Holidays),N(Tasks[[#This Row],[Duration]])))</f>
        <v/>
      </c>
      <c r="AV197" s="98" t="str">
        <f aca="false">IF(Tasks[[#This Row],[Task Name]]="","",Tasks[[#This Row],[Work]])</f>
        <v/>
      </c>
      <c r="AW197" s="99" t="str">
        <f aca="false">IF(Tasks[[#This Row],[Task Name]]="","",Tasks[[#This Row],[Cost]])</f>
        <v/>
      </c>
      <c r="AX197" s="77"/>
      <c r="AY197" s="77"/>
      <c r="AZ197" s="29"/>
      <c r="BA197" s="101"/>
      <c r="BB197" s="100"/>
      <c r="BC197" s="28" t="str">
        <f aca="false">IF(OR(Tasks[[#This Row],[Task Name]]="",Tasks[[#This Row],[Baseline Duration]]=""),"",Tasks[[#This Row],[BL Source Duration]]-N(Tasks[[#This Row],[Baseline Duration]]))</f>
        <v/>
      </c>
      <c r="BD197" s="98" t="str">
        <f aca="false">IF(OR(Tasks[[#This Row],[Task Name]]="",Tasks[[#This Row],[Baseline Work]]=""),"",Tasks[[#This Row],[Work]]-N(Tasks[[#This Row],[Baseline Work]]))</f>
        <v/>
      </c>
      <c r="BE197" s="99" t="str">
        <f aca="false">IF(OR(Tasks[[#This Row],[Task Name]]="",Tasks[[#This Row],[Baseline Cost]]=""),"",Tasks[[#This Row],[Cost]]-N(Tasks[[#This Row],[Baseline Cost]]))</f>
        <v/>
      </c>
      <c r="BF197" s="99" t="str">
        <f aca="false">IF(Tasks[[#This Row],[Task Name]]="","",IF(Tasks[[#This Row],[_IsSummary]],SUM(INDEX(Tasks[_LeafBudget],Tasks[[#This Row],[_Row]]+1):INDEX(Tasks[_LeafBudget],Tasks[[#This Row],[_Row]]+Tasks[[#This Row],[_Descendants]])),Tasks[[#This Row],[_LeafBudget]]))</f>
        <v/>
      </c>
      <c r="BG197" s="99" t="str">
        <f aca="false">IF(Tasks[[#This Row],[Task Name]]="","",IF(Tasks[[#This Row],[_IsSummary]],SUM(INDEX(Tasks[_LeafPV],Tasks[[#This Row],[_Row]]+1):INDEX(Tasks[_LeafPV],Tasks[[#This Row],[_Row]]+Tasks[[#This Row],[_Descendants]])),Tasks[[#This Row],[_LeafPV]]))</f>
        <v/>
      </c>
      <c r="BH197" s="99" t="str">
        <f aca="false">IF(Tasks[[#This Row],[Task Name]]="","",IF(Tasks[[#This Row],[_IsSummary]],SUM(INDEX(Tasks[_LeafEV],Tasks[[#This Row],[_Row]]+1):INDEX(Tasks[_LeafEV],Tasks[[#This Row],[_Row]]+Tasks[[#This Row],[_Descendants]])),Tasks[[#This Row],[_LeafEV]]))</f>
        <v/>
      </c>
      <c r="BI197" s="99" t="str">
        <f aca="false">IF(Tasks[[#This Row],[Task Name]]="","",IF(Tasks[[#This Row],[_IsSummary]],SUM(INDEX(Tasks[_LeafAC],Tasks[[#This Row],[_Row]]+1):INDEX(Tasks[_LeafAC],Tasks[[#This Row],[_Row]]+Tasks[[#This Row],[_Descendants]])),Tasks[[#This Row],[_LeafAC]]))</f>
        <v/>
      </c>
      <c r="BJ197" s="41" t="str">
        <f aca="false">IF(Tasks[[#This Row],[Task Name]]="","",MAX(1,N(Tasks[[#This Row],[Level]])))</f>
        <v/>
      </c>
      <c r="BK197" s="41" t="n">
        <f aca="false">ROW()-ROW(Tasks[[#Headers],[ID]])</f>
        <v>192</v>
      </c>
      <c r="BL197" s="41" t="n">
        <f aca="false">IF(OR(Tasks[[#This Row],[Task Name]]="",Tasks[[#This Row],[_Level]]&lt;=1),0,IFERROR(LOOKUP(2,1/(Tasks[[#Headers],[_Level]]:Tasks[[#This Row],[_Level]]=Tasks[[#This Row],[_Level]]-1),ROW(Tasks[[#Headers],[_Level]]:Tasks[[#This Row],[_Level]])),0))</f>
        <v>0</v>
      </c>
      <c r="BM197" s="41" t="n">
        <f aca="false">IFERROR(N(INDEX(Tasks[_Level],Tasks[[#This Row],[_Row]]+1)),0)</f>
        <v>0</v>
      </c>
      <c r="BN197" s="102" t="b">
        <f aca="false">AND(Tasks[[#This Row],[Task Name]]&lt;&gt;"",Tasks[[#This Row],[_NextLevel]]&gt;Tasks[[#This Row],[_Level]])</f>
        <v>0</v>
      </c>
      <c r="BO197" s="41" t="n">
        <f aca="false">IF(Tasks[[#This Row],[_IsSummary]],COUNTIF(Tasks[WBS],Tasks[[#This Row],[WBS]]&amp;".*"),0)</f>
        <v>0</v>
      </c>
      <c r="BP197" s="41" t="n">
        <f aca="false">IF(AND(Tasks[[#This Row],[Task Name]]&lt;&gt;"",NOT(Tasks[[#This Row],[_IsSummary]])),1,0)</f>
        <v>0</v>
      </c>
      <c r="BQ197" s="41" t="n">
        <f aca="false">IF(N(Tasks[[#This Row],[Pred1 UID]])=0,0,IFERROR(MATCH(Tasks[[#This Row],[Pred1 UID]],Tasks[UID],0),-1))</f>
        <v>0</v>
      </c>
      <c r="BR197" s="41" t="n">
        <f aca="false">IF(N(Tasks[[#This Row],[Pred2 UID]])=0,0,IFERROR(MATCH(Tasks[[#This Row],[Pred2 UID]],Tasks[UID],0),-1))</f>
        <v>0</v>
      </c>
      <c r="BS197"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7" s="103" t="str">
        <f aca="false">IF(NOT(Tasks[[#This Row],[_IsLeaf]]=1),"",IF(N(Tasks[[#This Row],[Duration]])&lt;=0,Tasks[[#This Row],[_LeafCalcStart]],WORKDAY.INTL(Tasks[[#This Row],[_LeafCalcStart]],Tasks[[#This Row],[Duration]]-1,WorkWeek,Holidays)))</f>
        <v/>
      </c>
      <c r="BU197"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7"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7" s="41" t="n">
        <f aca="false">IF(NOT(Tasks[[#This Row],[_IsLeaf]]=1),0,IF(N(Tasks[[#This Row],[Actual Finish]])&gt;0,1,MIN(1,N(Tasks[[#This Row],[% Complete]]))))</f>
        <v>0</v>
      </c>
      <c r="BX197" s="41" t="n">
        <f aca="false">IF(OR(NOT(Tasks[[#This Row],[_IsLeaf]]=1),Tasks[[#This Row],[Resource]]=""),0,N(Tasks[[#This Row],[Duration]])*HoursPerDay*IF(Tasks[[#This Row],[Units]]="",DefaultUnits,Tasks[[#This Row],[Units]]))</f>
        <v>0</v>
      </c>
      <c r="BY197" s="41" t="n">
        <f aca="false">IF(Tasks[[#This Row],[_LeafWork]]=0,0,Tasks[[#This Row],[_LeafWork]]*IFERROR(INDEX(res_Rate,MATCH(Tasks[[#This Row],[Resource]],res_Name,0)),0))</f>
        <v>0</v>
      </c>
      <c r="BZ1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7" s="41" t="n">
        <f aca="false">IF(NOT(Tasks[[#This Row],[_IsLeaf]]=1),0,MAX(_xlfn.MAXIFS(Tasks[_Row],Tasks[Pred1 UID],Tasks[[#This Row],[UID]]),_xlfn.MAXIFS(Tasks[_Row],Tasks[Pred2 UID],Tasks[[#This Row],[UID]])))</f>
        <v>0</v>
      </c>
      <c r="CE197"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7" s="103" t="str">
        <f aca="false">IF(NOT(Tasks[[#This Row],[_IsLeaf]]=1),"",MIN(ProjectFinish,IF(N(Tasks[[#This Row],[Deadline]])&gt;0,Tasks[[#This Row],[Deadline]],2958465),Tasks[[#This Row],[_SuccessorFinishLimit]]))</f>
        <v/>
      </c>
      <c r="CG197" s="103" t="str">
        <f aca="false">IF(NOT(Tasks[[#This Row],[_IsLeaf]]=1),"",IF(N(Tasks[[#This Row],[Duration]])&lt;=0,Tasks[[#This Row],[_LeafLateFinish]],WORKDAY.INTL(Tasks[[#This Row],[_LeafLateFinish]],-(Tasks[[#This Row],[Duration]]-1),WorkWeek,Holidays)))</f>
        <v/>
      </c>
      <c r="CH1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7" s="102" t="b">
        <f aca="false">AND(Tasks[[#This Row],[_IsLeaf]]=1,Tasks[[#This Row],[_LeafProgress]]&lt;1,N(Tasks[[#This Row],[_LeafTotalSlack]])&lt;=CriticalSlackDays)</f>
        <v>0</v>
      </c>
      <c r="CJ197" s="103" t="str">
        <f aca="false">IF(Tasks[[#This Row],[Task Name]]="","",IF(Tasks[[#This Row],[_IsSummary]],MIN(INDEX(Tasks[_LeafCalcStart],Tasks[[#This Row],[_Row]]+1):INDEX(Tasks[_LeafCalcStart],Tasks[[#This Row],[_Row]]+Tasks[[#This Row],[_Descendants]])),Tasks[[#This Row],[_LeafCalcStart]]))</f>
        <v/>
      </c>
      <c r="CK197" s="103" t="str">
        <f aca="false">IF(Tasks[[#This Row],[Task Name]]="","",IF(Tasks[[#This Row],[_IsSummary]],MAX(INDEX(Tasks[_LeafCalcFinish],Tasks[[#This Row],[_Row]]+1):INDEX(Tasks[_LeafCalcFinish],Tasks[[#This Row],[_Row]]+Tasks[[#This Row],[_Descendants]])),Tasks[[#This Row],[_LeafCalcFinish]]))</f>
        <v/>
      </c>
      <c r="CL1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7"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7"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7"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7"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7" s="41" t="n">
        <f aca="false">IF(AND(Tasks[[#This Row],[_IsLeaf]]=1,Tasks[[#This Row],[_LeafWork]]&gt;0),NETWORKDAYS.INTL(ProjectStart,Tasks[[#This Row],[_LeafFcstStart]],WorkWeek,Holidays),0)</f>
        <v>0</v>
      </c>
      <c r="CS197" s="41" t="n">
        <f aca="false">IF(AND(Tasks[[#This Row],[_IsLeaf]]=1,Tasks[[#This Row],[_LeafWork]]&gt;0),MAX(Tasks[[#This Row],[_StartWorkday]],NETWORKDAYS.INTL(ProjectStart,Tasks[[#This Row],[_LeafFcstFinish]],WorkWeek,Holidays)),0)</f>
        <v>0</v>
      </c>
      <c r="CT197" s="41" t="n">
        <f aca="false">IF(AND(Tasks[[#This Row],[_IsLeaf]]=1,Tasks[[#This Row],[_LeafWork]]&gt;0),Tasks[[#This Row],[_LeafWork]]/(Tasks[[#This Row],[_FinishWorkday]]-Tasks[[#This Row],[_StartWorkday]]+1),0)</f>
        <v>0</v>
      </c>
      <c r="CU197" s="41" t="n">
        <f aca="false">Tasks[[#This Row],[_WorkPerWorkday]]*(Tasks[[#This Row],[_StartWorkday]]-1)</f>
        <v>-0</v>
      </c>
      <c r="CV197" s="41" t="n">
        <f aca="false">IF(Tasks[[#This Row],[_IsLeaf]]=1,MAX(N(Tasks[[#This Row],[Duration]]),0.1),0)</f>
        <v>0</v>
      </c>
      <c r="CW197" s="41" t="n">
        <f aca="false">Tasks[[#This Row],[_WeightDur]]*Tasks[[#This Row],[_LeafProgress]]</f>
        <v>0</v>
      </c>
      <c r="CX1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7" s="41" t="str">
        <f aca="false">IF(Tasks[[#This Row],[Task Name]]="","",Tasks[[#This Row],[_Pred1UIDText]]&amp;IF(AND(Tasks[[#This Row],[_Pred1UIDText]]&lt;&gt;"",Tasks[[#This Row],[_Pred2UIDText]]&lt;&gt;""),",","")&amp;Tasks[[#This Row],[_Pred2UIDText]])</f>
        <v/>
      </c>
      <c r="DC197" s="41" t="str">
        <f aca="false">IF(AND(Tasks[[#This Row],[_IsLeaf]]=1,N(Tasks[[#This Row],[Duration]])=0,Tasks[[#This Row],[_LeafProgress]]&lt;1),Tasks[[#This Row],[_LeafFcstFinish]]+Tasks[[#This Row],[_Row]]/100000,"")</f>
        <v/>
      </c>
      <c r="DD1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7" s="41" t="n">
        <f aca="false">IF(NOT(Tasks[[#This Row],[_IsLeaf]]=1),0,IF(Tasks[[#This Row],[Baseline Cost]]="",Tasks[[#This Row],[_LeafCost]],N(Tasks[[#This Row],[Baseline Cost]])))</f>
        <v>0</v>
      </c>
      <c r="DF197" s="41" t="n">
        <f aca="false">Tasks[[#This Row],[_LeafBudget]]*Tasks[[#This Row],[_PlannedPct]]</f>
        <v>0</v>
      </c>
      <c r="DG197" s="41" t="n">
        <f aca="false">Tasks[[#This Row],[_LeafBudget]]*Tasks[[#This Row],[_LeafProgress]]</f>
        <v>0</v>
      </c>
      <c r="DH197" s="41" t="n">
        <f aca="false">IF(NOT(Tasks[[#This Row],[_IsLeaf]]=1),0,IF(Tasks[[#This Row],[Actual Cost]]="",Tasks[[#This Row],[_LeafCost]]*Tasks[[#This Row],[_LeafProgress]],N(Tasks[[#This Row],[Actual Cost]])))</f>
        <v>0</v>
      </c>
      <c r="DI197" s="41" t="str">
        <f aca="false">IF(Tasks[[#This Row],[Task Name]]="","",LEFT(Tasks[[#This Row],[WBS]],FIND(".",Tasks[[#This Row],[WBS]]&amp;".")-1))</f>
        <v/>
      </c>
      <c r="DJ197" s="41" t="str">
        <f aca="false">IF(AND(Tasks[[#This Row],[Task Name]]&lt;&gt;"",Tasks[[#This Row],[_Level]]=1),Tasks[[#This Row],[_Row]],"")</f>
        <v/>
      </c>
      <c r="DK197" s="41" t="str">
        <f aca="false">IF(AND(Tasks[[#This Row],[_IsLeaf]]=1,N(Tasks[[#This Row],[Duration]])=0),Tasks[[#This Row],[Planned Finish]]+Tasks[[#This Row],[_Row]]/100000,"")</f>
        <v/>
      </c>
      <c r="DL197" s="41" t="str">
        <f aca="false">IF(AND(Tasks[[#This Row],[_IsLeaf]]=1,Tasks[[#This Row],[_LeafProgress]]&lt;1,OR(N(Tasks[[#This Row],[Finish Var]])&gt;0,Tasks[[#This Row],[Status]]="Late Start")),MAX(0,Tasks[[#This Row],[Finish Var]])+1-Tasks[[#This Row],[_Row]]/1000000,"")</f>
        <v/>
      </c>
      <c r="DM197" s="41" t="str">
        <f aca="false">IF(AND(Tasks[[#This Row],[_IsLeaf]]=1,N(Tasks[[#This Row],[Actual Start]])=0,Tasks[[#This Row],[_LeafFcstStart]]&gt;=StatusDate,Tasks[[#This Row],[_LeafFcstStart]]&lt;=LookaheadEnd),Tasks[[#This Row],[_LeafFcstStart]]+Tasks[[#This Row],[_Row]]/100000,"")</f>
        <v/>
      </c>
      <c r="DN197" s="41" t="str">
        <f aca="false">IF(AND(Tasks[[#This Row],[_IsLeaf]]=1,Tasks[[#This Row],[_LeafProgress]]&lt;1,Tasks[[#This Row],[_LeafFcstFinish]]&gt;=StatusDate,Tasks[[#This Row],[_LeafFcstFinish]]&lt;=LookaheadEnd),Tasks[[#This Row],[_LeafFcstFinish]]+Tasks[[#This Row],[_Row]]/100000,"")</f>
        <v/>
      </c>
      <c r="DO197" s="41" t="str">
        <f aca="false">IF(Tasks[[#This Row],[_LeafCritical]],Tasks[[#This Row],[_LeafFcstStart]]+Tasks[[#This Row],[_Row]]/100000,"")</f>
        <v/>
      </c>
      <c r="DP197" s="41" t="n">
        <f aca="false">Tasks[[#This Row],[_LeafWork]]*Tasks[[#This Row],[_LeafProgress]]</f>
        <v>0</v>
      </c>
      <c r="DQ197" s="103" t="str">
        <f aca="false">IF(AND(Tasks[[#This Row],[_IsLeaf]]=1,Tasks[[#This Row],[_LeafProgress]]&gt;=1),IF(N(Tasks[[#This Row],[Actual Finish]])&gt;0,Tasks[[#This Row],[Actual Finish]],Tasks[[#This Row],[_LeafFcstFinish]]),"")</f>
        <v/>
      </c>
      <c r="DR197" s="41" t="n">
        <f aca="false">IF(Tasks[[#This Row],[_IsLeaf]]=1,N(Tasks[[#This Row],[Story Points]]),0)</f>
        <v>0</v>
      </c>
      <c r="DS197" s="41" t="str">
        <f aca="false">IF(AND(Tasks[[#This Row],[_IsLeaf]]=1,CurrentSprint&lt;&gt;"",Tasks[[#This Row],[Sprint]]=CurrentSprint),Tasks[[#This Row],[_Row]],"")</f>
        <v/>
      </c>
    </row>
    <row r="198" customFormat="false" ht="15" hidden="false" customHeight="false" outlineLevel="0" collapsed="false">
      <c r="A198" s="28" t="str">
        <f aca="false">IF(Tasks[[#This Row],[Task Name]]="","",COUNTA(Tasks[[#Headers],[Task Name]]:Tasks[[#This Row],[Task Name]])-1)</f>
        <v/>
      </c>
      <c r="B198" s="29" t="n">
        <v>193</v>
      </c>
      <c r="C1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29"/>
      <c r="E198" s="30"/>
      <c r="F198" s="29"/>
      <c r="G198" s="29"/>
      <c r="H198" s="29"/>
      <c r="I198" s="29"/>
      <c r="J198" s="29"/>
      <c r="K198" s="29"/>
      <c r="L198" s="29"/>
      <c r="M198" s="29"/>
      <c r="N198" s="77"/>
      <c r="O198" s="77"/>
      <c r="P198" s="25" t="str">
        <f aca="false">IF(Tasks[[#This Row],[Task Name]]="","",IF(N(Tasks[[#This Row],[Baseline Start]])&gt;0,Tasks[[#This Row],[Baseline Start]],Tasks[[#This Row],[_CalcStart]]))</f>
        <v/>
      </c>
      <c r="Q198" s="25" t="str">
        <f aca="false">IF(Tasks[[#This Row],[Task Name]]="","",IF(N(Tasks[[#This Row],[Baseline Finish]])&gt;0,Tasks[[#This Row],[Baseline Finish]],Tasks[[#This Row],[_CalcFinish]]))</f>
        <v/>
      </c>
      <c r="R198" s="77"/>
      <c r="S198" s="77"/>
      <c r="T198" s="25" t="str">
        <f aca="false">IF(Tasks[[#This Row],[Task Name]]="","",IF(Tasks[[#This Row],[_IsSummary]],MIN(INDEX(Tasks[_LeafFcstStart],Tasks[[#This Row],[_Row]]+1):INDEX(Tasks[_LeafFcstStart],Tasks[[#This Row],[_Row]]+Tasks[[#This Row],[_Descendants]])),Tasks[[#This Row],[_LeafFcstStart]]))</f>
        <v/>
      </c>
      <c r="U198" s="25" t="str">
        <f aca="false">IF(Tasks[[#This Row],[Task Name]]="","",IF(Tasks[[#This Row],[_IsSummary]],MAX(INDEX(Tasks[_LeafFcstFinish],Tasks[[#This Row],[_Row]]+1):INDEX(Tasks[_LeafFcstFinish],Tasks[[#This Row],[_Row]]+Tasks[[#This Row],[_Descendants]])),Tasks[[#This Row],[_LeafFcstFinish]]))</f>
        <v/>
      </c>
      <c r="V198"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8"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8" s="25" t="str">
        <f aca="false">IF(Tasks[[#This Row],[Task Name]]="","",IF(Tasks[[#This Row],[_IsSummary]],MIN(INDEX(Tasks[_LeafLateStart],Tasks[[#This Row],[_Row]]+1):INDEX(Tasks[_LeafLateStart],Tasks[[#This Row],[_Row]]+Tasks[[#This Row],[_Descendants]])),Tasks[[#This Row],[_LeafLateStart]]))</f>
        <v/>
      </c>
      <c r="Y198" s="25" t="str">
        <f aca="false">IF(Tasks[[#This Row],[Task Name]]="","",IF(Tasks[[#This Row],[_IsSummary]],MAX(INDEX(Tasks[_LeafLateFinish],Tasks[[#This Row],[_Row]]+1):INDEX(Tasks[_LeafLateFinish],Tasks[[#This Row],[_Row]]+Tasks[[#This Row],[_Descendants]])),Tasks[[#This Row],[_LeafLateFinish]]))</f>
        <v/>
      </c>
      <c r="Z198" s="43" t="str">
        <f aca="false">IF(Tasks[[#This Row],[Task Name]]="","",IF(Tasks[[#This Row],[_IsSummary]],MIN(INDEX(Tasks[_LeafTotalSlack],Tasks[[#This Row],[_Row]]+1):INDEX(Tasks[_LeafTotalSlack],Tasks[[#This Row],[_Row]]+Tasks[[#This Row],[_Descendants]])),Tasks[[#This Row],[_LeafTotalSlack]]))</f>
        <v/>
      </c>
      <c r="AA1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8" s="28" t="str">
        <f aca="false">IF(Tasks[[#This Row],[Task Name]]="","",IF(IF(Tasks[[#This Row],[_IsSummary]],COUNTIF(INDEX(Tasks[_LeafCritical],Tasks[[#This Row],[_Row]]+1):INDEX(Tasks[_LeafCritical],Tasks[[#This Row],[_Row]]+Tasks[[#This Row],[_Descendants]]),TRUE())&gt;0,Tasks[[#This Row],[_LeafCritical]]),"Yes",""))</f>
        <v/>
      </c>
      <c r="AC1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8" s="24" t="str">
        <f aca="false">IF(Tasks[[#This Row],[Task Name]]="","",TRIM(IF(Tasks[[#This Row],[_Pred1Problem]]&lt;&gt;"","Pred 1: "&amp;Tasks[[#This Row],[_Pred1Problem]]&amp;". ","")&amp;IF(Tasks[[#This Row],[_Pred2Problem]]&lt;&gt;"","Pred 2: "&amp;Tasks[[#This Row],[_Pred2Problem]]&amp;".","")))</f>
        <v/>
      </c>
      <c r="AE198" s="91"/>
      <c r="AF198"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8" s="28" t="str">
        <f aca="false">IF(Tasks[[#This Row],[Task Name]]="","",IF(Tasks[[#This Row],[Progress]]&gt;=1,"Complete",IF(OR(N(Tasks[[#This Row],[Actual Start]])&gt;0,Tasks[[#This Row],[Progress]]&gt;0),IF(Tasks[[#This Row],[Finish Var]]&gt;0,"Behind","In Progress"),IF(Tasks[[#This Row],[Planned Start]]&lt;StatusDate,"Late Start","Not Started"))))</f>
        <v/>
      </c>
      <c r="AH198" s="30"/>
      <c r="AI198" s="91"/>
      <c r="AJ19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8" s="98" t="str">
        <f aca="false">IF(Tasks[[#This Row],[Task Name]]="","",IF(Tasks[[#This Row],[_IsSummary]],SUM(INDEX(Tasks[_LeafWork],Tasks[[#This Row],[_Row]]+1):INDEX(Tasks[_LeafWork],Tasks[[#This Row],[_Row]]+Tasks[[#This Row],[_Descendants]])),Tasks[[#This Row],[_LeafWork]]))</f>
        <v/>
      </c>
      <c r="AL198" s="99" t="str">
        <f aca="false">IF(Tasks[[#This Row],[Task Name]]="","",IF(Tasks[[#This Row],[_IsSummary]],SUM(INDEX(Tasks[_LeafCost],Tasks[[#This Row],[_Row]]+1):INDEX(Tasks[_LeafCost],Tasks[[#This Row],[_Row]]+Tasks[[#This Row],[_Descendants]])),Tasks[[#This Row],[_LeafCost]]))</f>
        <v/>
      </c>
      <c r="AM198" s="100"/>
      <c r="AN198" s="29"/>
      <c r="AO1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8" s="85"/>
      <c r="AQ198" s="24" t="str">
        <f aca="false">IF(Tasks[[#This Row],[Task Name]]="","",Tasks[[#This Row],[_Pred1IDText]]&amp;IF(AND(Tasks[[#This Row],[_Pred1IDText]]&lt;&gt;"",Tasks[[#This Row],[_Pred2IDText]]&lt;&gt;""),",","")&amp;Tasks[[#This Row],[_Pred2IDText]])</f>
        <v/>
      </c>
      <c r="AR198" s="30"/>
      <c r="AS198" s="25" t="str">
        <f aca="false">IF(Tasks[[#This Row],[Task Name]]="","",Tasks[[#This Row],[Forecast Start]])</f>
        <v/>
      </c>
      <c r="AT198" s="25" t="str">
        <f aca="false">IF(Tasks[[#This Row],[Task Name]]="","",Tasks[[#This Row],[Forecast Finish]])</f>
        <v/>
      </c>
      <c r="AU198" s="28" t="str">
        <f aca="false">IF(Tasks[[#This Row],[Task Name]]="","",IF(Tasks[[#This Row],[_IsSummary]],NETWORKDAYS.INTL(Tasks[[#This Row],[Forecast Start]],Tasks[[#This Row],[Forecast Finish]],WorkWeek,Holidays),N(Tasks[[#This Row],[Duration]])))</f>
        <v/>
      </c>
      <c r="AV198" s="98" t="str">
        <f aca="false">IF(Tasks[[#This Row],[Task Name]]="","",Tasks[[#This Row],[Work]])</f>
        <v/>
      </c>
      <c r="AW198" s="99" t="str">
        <f aca="false">IF(Tasks[[#This Row],[Task Name]]="","",Tasks[[#This Row],[Cost]])</f>
        <v/>
      </c>
      <c r="AX198" s="77"/>
      <c r="AY198" s="77"/>
      <c r="AZ198" s="29"/>
      <c r="BA198" s="101"/>
      <c r="BB198" s="100"/>
      <c r="BC198" s="28" t="str">
        <f aca="false">IF(OR(Tasks[[#This Row],[Task Name]]="",Tasks[[#This Row],[Baseline Duration]]=""),"",Tasks[[#This Row],[BL Source Duration]]-N(Tasks[[#This Row],[Baseline Duration]]))</f>
        <v/>
      </c>
      <c r="BD198" s="98" t="str">
        <f aca="false">IF(OR(Tasks[[#This Row],[Task Name]]="",Tasks[[#This Row],[Baseline Work]]=""),"",Tasks[[#This Row],[Work]]-N(Tasks[[#This Row],[Baseline Work]]))</f>
        <v/>
      </c>
      <c r="BE198" s="99" t="str">
        <f aca="false">IF(OR(Tasks[[#This Row],[Task Name]]="",Tasks[[#This Row],[Baseline Cost]]=""),"",Tasks[[#This Row],[Cost]]-N(Tasks[[#This Row],[Baseline Cost]]))</f>
        <v/>
      </c>
      <c r="BF198" s="99" t="str">
        <f aca="false">IF(Tasks[[#This Row],[Task Name]]="","",IF(Tasks[[#This Row],[_IsSummary]],SUM(INDEX(Tasks[_LeafBudget],Tasks[[#This Row],[_Row]]+1):INDEX(Tasks[_LeafBudget],Tasks[[#This Row],[_Row]]+Tasks[[#This Row],[_Descendants]])),Tasks[[#This Row],[_LeafBudget]]))</f>
        <v/>
      </c>
      <c r="BG198" s="99" t="str">
        <f aca="false">IF(Tasks[[#This Row],[Task Name]]="","",IF(Tasks[[#This Row],[_IsSummary]],SUM(INDEX(Tasks[_LeafPV],Tasks[[#This Row],[_Row]]+1):INDEX(Tasks[_LeafPV],Tasks[[#This Row],[_Row]]+Tasks[[#This Row],[_Descendants]])),Tasks[[#This Row],[_LeafPV]]))</f>
        <v/>
      </c>
      <c r="BH198" s="99" t="str">
        <f aca="false">IF(Tasks[[#This Row],[Task Name]]="","",IF(Tasks[[#This Row],[_IsSummary]],SUM(INDEX(Tasks[_LeafEV],Tasks[[#This Row],[_Row]]+1):INDEX(Tasks[_LeafEV],Tasks[[#This Row],[_Row]]+Tasks[[#This Row],[_Descendants]])),Tasks[[#This Row],[_LeafEV]]))</f>
        <v/>
      </c>
      <c r="BI198" s="99" t="str">
        <f aca="false">IF(Tasks[[#This Row],[Task Name]]="","",IF(Tasks[[#This Row],[_IsSummary]],SUM(INDEX(Tasks[_LeafAC],Tasks[[#This Row],[_Row]]+1):INDEX(Tasks[_LeafAC],Tasks[[#This Row],[_Row]]+Tasks[[#This Row],[_Descendants]])),Tasks[[#This Row],[_LeafAC]]))</f>
        <v/>
      </c>
      <c r="BJ198" s="41" t="str">
        <f aca="false">IF(Tasks[[#This Row],[Task Name]]="","",MAX(1,N(Tasks[[#This Row],[Level]])))</f>
        <v/>
      </c>
      <c r="BK198" s="41" t="n">
        <f aca="false">ROW()-ROW(Tasks[[#Headers],[ID]])</f>
        <v>193</v>
      </c>
      <c r="BL198" s="41" t="n">
        <f aca="false">IF(OR(Tasks[[#This Row],[Task Name]]="",Tasks[[#This Row],[_Level]]&lt;=1),0,IFERROR(LOOKUP(2,1/(Tasks[[#Headers],[_Level]]:Tasks[[#This Row],[_Level]]=Tasks[[#This Row],[_Level]]-1),ROW(Tasks[[#Headers],[_Level]]:Tasks[[#This Row],[_Level]])),0))</f>
        <v>0</v>
      </c>
      <c r="BM198" s="41" t="n">
        <f aca="false">IFERROR(N(INDEX(Tasks[_Level],Tasks[[#This Row],[_Row]]+1)),0)</f>
        <v>0</v>
      </c>
      <c r="BN198" s="102" t="b">
        <f aca="false">AND(Tasks[[#This Row],[Task Name]]&lt;&gt;"",Tasks[[#This Row],[_NextLevel]]&gt;Tasks[[#This Row],[_Level]])</f>
        <v>0</v>
      </c>
      <c r="BO198" s="41" t="n">
        <f aca="false">IF(Tasks[[#This Row],[_IsSummary]],COUNTIF(Tasks[WBS],Tasks[[#This Row],[WBS]]&amp;".*"),0)</f>
        <v>0</v>
      </c>
      <c r="BP198" s="41" t="n">
        <f aca="false">IF(AND(Tasks[[#This Row],[Task Name]]&lt;&gt;"",NOT(Tasks[[#This Row],[_IsSummary]])),1,0)</f>
        <v>0</v>
      </c>
      <c r="BQ198" s="41" t="n">
        <f aca="false">IF(N(Tasks[[#This Row],[Pred1 UID]])=0,0,IFERROR(MATCH(Tasks[[#This Row],[Pred1 UID]],Tasks[UID],0),-1))</f>
        <v>0</v>
      </c>
      <c r="BR198" s="41" t="n">
        <f aca="false">IF(N(Tasks[[#This Row],[Pred2 UID]])=0,0,IFERROR(MATCH(Tasks[[#This Row],[Pred2 UID]],Tasks[UID],0),-1))</f>
        <v>0</v>
      </c>
      <c r="BS198"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8" s="103" t="str">
        <f aca="false">IF(NOT(Tasks[[#This Row],[_IsLeaf]]=1),"",IF(N(Tasks[[#This Row],[Duration]])&lt;=0,Tasks[[#This Row],[_LeafCalcStart]],WORKDAY.INTL(Tasks[[#This Row],[_LeafCalcStart]],Tasks[[#This Row],[Duration]]-1,WorkWeek,Holidays)))</f>
        <v/>
      </c>
      <c r="BU198"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8"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8" s="41" t="n">
        <f aca="false">IF(NOT(Tasks[[#This Row],[_IsLeaf]]=1),0,IF(N(Tasks[[#This Row],[Actual Finish]])&gt;0,1,MIN(1,N(Tasks[[#This Row],[% Complete]]))))</f>
        <v>0</v>
      </c>
      <c r="BX198" s="41" t="n">
        <f aca="false">IF(OR(NOT(Tasks[[#This Row],[_IsLeaf]]=1),Tasks[[#This Row],[Resource]]=""),0,N(Tasks[[#This Row],[Duration]])*HoursPerDay*IF(Tasks[[#This Row],[Units]]="",DefaultUnits,Tasks[[#This Row],[Units]]))</f>
        <v>0</v>
      </c>
      <c r="BY198" s="41" t="n">
        <f aca="false">IF(Tasks[[#This Row],[_LeafWork]]=0,0,Tasks[[#This Row],[_LeafWork]]*IFERROR(INDEX(res_Rate,MATCH(Tasks[[#This Row],[Resource]],res_Name,0)),0))</f>
        <v>0</v>
      </c>
      <c r="BZ1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8" s="41" t="n">
        <f aca="false">IF(NOT(Tasks[[#This Row],[_IsLeaf]]=1),0,MAX(_xlfn.MAXIFS(Tasks[_Row],Tasks[Pred1 UID],Tasks[[#This Row],[UID]]),_xlfn.MAXIFS(Tasks[_Row],Tasks[Pred2 UID],Tasks[[#This Row],[UID]])))</f>
        <v>0</v>
      </c>
      <c r="CE198"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8" s="103" t="str">
        <f aca="false">IF(NOT(Tasks[[#This Row],[_IsLeaf]]=1),"",MIN(ProjectFinish,IF(N(Tasks[[#This Row],[Deadline]])&gt;0,Tasks[[#This Row],[Deadline]],2958465),Tasks[[#This Row],[_SuccessorFinishLimit]]))</f>
        <v/>
      </c>
      <c r="CG198" s="103" t="str">
        <f aca="false">IF(NOT(Tasks[[#This Row],[_IsLeaf]]=1),"",IF(N(Tasks[[#This Row],[Duration]])&lt;=0,Tasks[[#This Row],[_LeafLateFinish]],WORKDAY.INTL(Tasks[[#This Row],[_LeafLateFinish]],-(Tasks[[#This Row],[Duration]]-1),WorkWeek,Holidays)))</f>
        <v/>
      </c>
      <c r="CH1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8" s="102" t="b">
        <f aca="false">AND(Tasks[[#This Row],[_IsLeaf]]=1,Tasks[[#This Row],[_LeafProgress]]&lt;1,N(Tasks[[#This Row],[_LeafTotalSlack]])&lt;=CriticalSlackDays)</f>
        <v>0</v>
      </c>
      <c r="CJ198" s="103" t="str">
        <f aca="false">IF(Tasks[[#This Row],[Task Name]]="","",IF(Tasks[[#This Row],[_IsSummary]],MIN(INDEX(Tasks[_LeafCalcStart],Tasks[[#This Row],[_Row]]+1):INDEX(Tasks[_LeafCalcStart],Tasks[[#This Row],[_Row]]+Tasks[[#This Row],[_Descendants]])),Tasks[[#This Row],[_LeafCalcStart]]))</f>
        <v/>
      </c>
      <c r="CK198" s="103" t="str">
        <f aca="false">IF(Tasks[[#This Row],[Task Name]]="","",IF(Tasks[[#This Row],[_IsSummary]],MAX(INDEX(Tasks[_LeafCalcFinish],Tasks[[#This Row],[_Row]]+1):INDEX(Tasks[_LeafCalcFinish],Tasks[[#This Row],[_Row]]+Tasks[[#This Row],[_Descendants]])),Tasks[[#This Row],[_LeafCalcFinish]]))</f>
        <v/>
      </c>
      <c r="CL1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8"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8"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8"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8"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8" s="41" t="n">
        <f aca="false">IF(AND(Tasks[[#This Row],[_IsLeaf]]=1,Tasks[[#This Row],[_LeafWork]]&gt;0),NETWORKDAYS.INTL(ProjectStart,Tasks[[#This Row],[_LeafFcstStart]],WorkWeek,Holidays),0)</f>
        <v>0</v>
      </c>
      <c r="CS198" s="41" t="n">
        <f aca="false">IF(AND(Tasks[[#This Row],[_IsLeaf]]=1,Tasks[[#This Row],[_LeafWork]]&gt;0),MAX(Tasks[[#This Row],[_StartWorkday]],NETWORKDAYS.INTL(ProjectStart,Tasks[[#This Row],[_LeafFcstFinish]],WorkWeek,Holidays)),0)</f>
        <v>0</v>
      </c>
      <c r="CT198" s="41" t="n">
        <f aca="false">IF(AND(Tasks[[#This Row],[_IsLeaf]]=1,Tasks[[#This Row],[_LeafWork]]&gt;0),Tasks[[#This Row],[_LeafWork]]/(Tasks[[#This Row],[_FinishWorkday]]-Tasks[[#This Row],[_StartWorkday]]+1),0)</f>
        <v>0</v>
      </c>
      <c r="CU198" s="41" t="n">
        <f aca="false">Tasks[[#This Row],[_WorkPerWorkday]]*(Tasks[[#This Row],[_StartWorkday]]-1)</f>
        <v>-0</v>
      </c>
      <c r="CV198" s="41" t="n">
        <f aca="false">IF(Tasks[[#This Row],[_IsLeaf]]=1,MAX(N(Tasks[[#This Row],[Duration]]),0.1),0)</f>
        <v>0</v>
      </c>
      <c r="CW198" s="41" t="n">
        <f aca="false">Tasks[[#This Row],[_WeightDur]]*Tasks[[#This Row],[_LeafProgress]]</f>
        <v>0</v>
      </c>
      <c r="CX1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8" s="41" t="str">
        <f aca="false">IF(Tasks[[#This Row],[Task Name]]="","",Tasks[[#This Row],[_Pred1UIDText]]&amp;IF(AND(Tasks[[#This Row],[_Pred1UIDText]]&lt;&gt;"",Tasks[[#This Row],[_Pred2UIDText]]&lt;&gt;""),",","")&amp;Tasks[[#This Row],[_Pred2UIDText]])</f>
        <v/>
      </c>
      <c r="DC198" s="41" t="str">
        <f aca="false">IF(AND(Tasks[[#This Row],[_IsLeaf]]=1,N(Tasks[[#This Row],[Duration]])=0,Tasks[[#This Row],[_LeafProgress]]&lt;1),Tasks[[#This Row],[_LeafFcstFinish]]+Tasks[[#This Row],[_Row]]/100000,"")</f>
        <v/>
      </c>
      <c r="DD1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8" s="41" t="n">
        <f aca="false">IF(NOT(Tasks[[#This Row],[_IsLeaf]]=1),0,IF(Tasks[[#This Row],[Baseline Cost]]="",Tasks[[#This Row],[_LeafCost]],N(Tasks[[#This Row],[Baseline Cost]])))</f>
        <v>0</v>
      </c>
      <c r="DF198" s="41" t="n">
        <f aca="false">Tasks[[#This Row],[_LeafBudget]]*Tasks[[#This Row],[_PlannedPct]]</f>
        <v>0</v>
      </c>
      <c r="DG198" s="41" t="n">
        <f aca="false">Tasks[[#This Row],[_LeafBudget]]*Tasks[[#This Row],[_LeafProgress]]</f>
        <v>0</v>
      </c>
      <c r="DH198" s="41" t="n">
        <f aca="false">IF(NOT(Tasks[[#This Row],[_IsLeaf]]=1),0,IF(Tasks[[#This Row],[Actual Cost]]="",Tasks[[#This Row],[_LeafCost]]*Tasks[[#This Row],[_LeafProgress]],N(Tasks[[#This Row],[Actual Cost]])))</f>
        <v>0</v>
      </c>
      <c r="DI198" s="41" t="str">
        <f aca="false">IF(Tasks[[#This Row],[Task Name]]="","",LEFT(Tasks[[#This Row],[WBS]],FIND(".",Tasks[[#This Row],[WBS]]&amp;".")-1))</f>
        <v/>
      </c>
      <c r="DJ198" s="41" t="str">
        <f aca="false">IF(AND(Tasks[[#This Row],[Task Name]]&lt;&gt;"",Tasks[[#This Row],[_Level]]=1),Tasks[[#This Row],[_Row]],"")</f>
        <v/>
      </c>
      <c r="DK198" s="41" t="str">
        <f aca="false">IF(AND(Tasks[[#This Row],[_IsLeaf]]=1,N(Tasks[[#This Row],[Duration]])=0),Tasks[[#This Row],[Planned Finish]]+Tasks[[#This Row],[_Row]]/100000,"")</f>
        <v/>
      </c>
      <c r="DL198" s="41" t="str">
        <f aca="false">IF(AND(Tasks[[#This Row],[_IsLeaf]]=1,Tasks[[#This Row],[_LeafProgress]]&lt;1,OR(N(Tasks[[#This Row],[Finish Var]])&gt;0,Tasks[[#This Row],[Status]]="Late Start")),MAX(0,Tasks[[#This Row],[Finish Var]])+1-Tasks[[#This Row],[_Row]]/1000000,"")</f>
        <v/>
      </c>
      <c r="DM198" s="41" t="str">
        <f aca="false">IF(AND(Tasks[[#This Row],[_IsLeaf]]=1,N(Tasks[[#This Row],[Actual Start]])=0,Tasks[[#This Row],[_LeafFcstStart]]&gt;=StatusDate,Tasks[[#This Row],[_LeafFcstStart]]&lt;=LookaheadEnd),Tasks[[#This Row],[_LeafFcstStart]]+Tasks[[#This Row],[_Row]]/100000,"")</f>
        <v/>
      </c>
      <c r="DN198" s="41" t="str">
        <f aca="false">IF(AND(Tasks[[#This Row],[_IsLeaf]]=1,Tasks[[#This Row],[_LeafProgress]]&lt;1,Tasks[[#This Row],[_LeafFcstFinish]]&gt;=StatusDate,Tasks[[#This Row],[_LeafFcstFinish]]&lt;=LookaheadEnd),Tasks[[#This Row],[_LeafFcstFinish]]+Tasks[[#This Row],[_Row]]/100000,"")</f>
        <v/>
      </c>
      <c r="DO198" s="41" t="str">
        <f aca="false">IF(Tasks[[#This Row],[_LeafCritical]],Tasks[[#This Row],[_LeafFcstStart]]+Tasks[[#This Row],[_Row]]/100000,"")</f>
        <v/>
      </c>
      <c r="DP198" s="41" t="n">
        <f aca="false">Tasks[[#This Row],[_LeafWork]]*Tasks[[#This Row],[_LeafProgress]]</f>
        <v>0</v>
      </c>
      <c r="DQ198" s="103" t="str">
        <f aca="false">IF(AND(Tasks[[#This Row],[_IsLeaf]]=1,Tasks[[#This Row],[_LeafProgress]]&gt;=1),IF(N(Tasks[[#This Row],[Actual Finish]])&gt;0,Tasks[[#This Row],[Actual Finish]],Tasks[[#This Row],[_LeafFcstFinish]]),"")</f>
        <v/>
      </c>
      <c r="DR198" s="41" t="n">
        <f aca="false">IF(Tasks[[#This Row],[_IsLeaf]]=1,N(Tasks[[#This Row],[Story Points]]),0)</f>
        <v>0</v>
      </c>
      <c r="DS198" s="41" t="str">
        <f aca="false">IF(AND(Tasks[[#This Row],[_IsLeaf]]=1,CurrentSprint&lt;&gt;"",Tasks[[#This Row],[Sprint]]=CurrentSprint),Tasks[[#This Row],[_Row]],"")</f>
        <v/>
      </c>
    </row>
    <row r="199" customFormat="false" ht="15" hidden="false" customHeight="false" outlineLevel="0" collapsed="false">
      <c r="A199" s="28" t="str">
        <f aca="false">IF(Tasks[[#This Row],[Task Name]]="","",COUNTA(Tasks[[#Headers],[Task Name]]:Tasks[[#This Row],[Task Name]])-1)</f>
        <v/>
      </c>
      <c r="B199" s="29" t="n">
        <v>194</v>
      </c>
      <c r="C1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29"/>
      <c r="E199" s="30"/>
      <c r="F199" s="29"/>
      <c r="G199" s="29"/>
      <c r="H199" s="29"/>
      <c r="I199" s="29"/>
      <c r="J199" s="29"/>
      <c r="K199" s="29"/>
      <c r="L199" s="29"/>
      <c r="M199" s="29"/>
      <c r="N199" s="77"/>
      <c r="O199" s="77"/>
      <c r="P199" s="25" t="str">
        <f aca="false">IF(Tasks[[#This Row],[Task Name]]="","",IF(N(Tasks[[#This Row],[Baseline Start]])&gt;0,Tasks[[#This Row],[Baseline Start]],Tasks[[#This Row],[_CalcStart]]))</f>
        <v/>
      </c>
      <c r="Q199" s="25" t="str">
        <f aca="false">IF(Tasks[[#This Row],[Task Name]]="","",IF(N(Tasks[[#This Row],[Baseline Finish]])&gt;0,Tasks[[#This Row],[Baseline Finish]],Tasks[[#This Row],[_CalcFinish]]))</f>
        <v/>
      </c>
      <c r="R199" s="77"/>
      <c r="S199" s="77"/>
      <c r="T199" s="25" t="str">
        <f aca="false">IF(Tasks[[#This Row],[Task Name]]="","",IF(Tasks[[#This Row],[_IsSummary]],MIN(INDEX(Tasks[_LeafFcstStart],Tasks[[#This Row],[_Row]]+1):INDEX(Tasks[_LeafFcstStart],Tasks[[#This Row],[_Row]]+Tasks[[#This Row],[_Descendants]])),Tasks[[#This Row],[_LeafFcstStart]]))</f>
        <v/>
      </c>
      <c r="U199" s="25" t="str">
        <f aca="false">IF(Tasks[[#This Row],[Task Name]]="","",IF(Tasks[[#This Row],[_IsSummary]],MAX(INDEX(Tasks[_LeafFcstFinish],Tasks[[#This Row],[_Row]]+1):INDEX(Tasks[_LeafFcstFinish],Tasks[[#This Row],[_Row]]+Tasks[[#This Row],[_Descendants]])),Tasks[[#This Row],[_LeafFcstFinish]]))</f>
        <v/>
      </c>
      <c r="V199"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199"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9" s="25" t="str">
        <f aca="false">IF(Tasks[[#This Row],[Task Name]]="","",IF(Tasks[[#This Row],[_IsSummary]],MIN(INDEX(Tasks[_LeafLateStart],Tasks[[#This Row],[_Row]]+1):INDEX(Tasks[_LeafLateStart],Tasks[[#This Row],[_Row]]+Tasks[[#This Row],[_Descendants]])),Tasks[[#This Row],[_LeafLateStart]]))</f>
        <v/>
      </c>
      <c r="Y199" s="25" t="str">
        <f aca="false">IF(Tasks[[#This Row],[Task Name]]="","",IF(Tasks[[#This Row],[_IsSummary]],MAX(INDEX(Tasks[_LeafLateFinish],Tasks[[#This Row],[_Row]]+1):INDEX(Tasks[_LeafLateFinish],Tasks[[#This Row],[_Row]]+Tasks[[#This Row],[_Descendants]])),Tasks[[#This Row],[_LeafLateFinish]]))</f>
        <v/>
      </c>
      <c r="Z199" s="43" t="str">
        <f aca="false">IF(Tasks[[#This Row],[Task Name]]="","",IF(Tasks[[#This Row],[_IsSummary]],MIN(INDEX(Tasks[_LeafTotalSlack],Tasks[[#This Row],[_Row]]+1):INDEX(Tasks[_LeafTotalSlack],Tasks[[#This Row],[_Row]]+Tasks[[#This Row],[_Descendants]])),Tasks[[#This Row],[_LeafTotalSlack]]))</f>
        <v/>
      </c>
      <c r="AA1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9" s="28" t="str">
        <f aca="false">IF(Tasks[[#This Row],[Task Name]]="","",IF(IF(Tasks[[#This Row],[_IsSummary]],COUNTIF(INDEX(Tasks[_LeafCritical],Tasks[[#This Row],[_Row]]+1):INDEX(Tasks[_LeafCritical],Tasks[[#This Row],[_Row]]+Tasks[[#This Row],[_Descendants]]),TRUE())&gt;0,Tasks[[#This Row],[_LeafCritical]]),"Yes",""))</f>
        <v/>
      </c>
      <c r="AC1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9" s="24" t="str">
        <f aca="false">IF(Tasks[[#This Row],[Task Name]]="","",TRIM(IF(Tasks[[#This Row],[_Pred1Problem]]&lt;&gt;"","Pred 1: "&amp;Tasks[[#This Row],[_Pred1Problem]]&amp;". ","")&amp;IF(Tasks[[#This Row],[_Pred2Problem]]&lt;&gt;"","Pred 2: "&amp;Tasks[[#This Row],[_Pred2Problem]]&amp;".","")))</f>
        <v/>
      </c>
      <c r="AE199" s="91"/>
      <c r="AF199"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9" s="28" t="str">
        <f aca="false">IF(Tasks[[#This Row],[Task Name]]="","",IF(Tasks[[#This Row],[Progress]]&gt;=1,"Complete",IF(OR(N(Tasks[[#This Row],[Actual Start]])&gt;0,Tasks[[#This Row],[Progress]]&gt;0),IF(Tasks[[#This Row],[Finish Var]]&gt;0,"Behind","In Progress"),IF(Tasks[[#This Row],[Planned Start]]&lt;StatusDate,"Late Start","Not Started"))))</f>
        <v/>
      </c>
      <c r="AH199" s="30"/>
      <c r="AI199" s="91"/>
      <c r="AJ19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9" s="98" t="str">
        <f aca="false">IF(Tasks[[#This Row],[Task Name]]="","",IF(Tasks[[#This Row],[_IsSummary]],SUM(INDEX(Tasks[_LeafWork],Tasks[[#This Row],[_Row]]+1):INDEX(Tasks[_LeafWork],Tasks[[#This Row],[_Row]]+Tasks[[#This Row],[_Descendants]])),Tasks[[#This Row],[_LeafWork]]))</f>
        <v/>
      </c>
      <c r="AL199" s="99" t="str">
        <f aca="false">IF(Tasks[[#This Row],[Task Name]]="","",IF(Tasks[[#This Row],[_IsSummary]],SUM(INDEX(Tasks[_LeafCost],Tasks[[#This Row],[_Row]]+1):INDEX(Tasks[_LeafCost],Tasks[[#This Row],[_Row]]+Tasks[[#This Row],[_Descendants]])),Tasks[[#This Row],[_LeafCost]]))</f>
        <v/>
      </c>
      <c r="AM199" s="100"/>
      <c r="AN199" s="29"/>
      <c r="AO1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9" s="85"/>
      <c r="AQ199" s="24" t="str">
        <f aca="false">IF(Tasks[[#This Row],[Task Name]]="","",Tasks[[#This Row],[_Pred1IDText]]&amp;IF(AND(Tasks[[#This Row],[_Pred1IDText]]&lt;&gt;"",Tasks[[#This Row],[_Pred2IDText]]&lt;&gt;""),",","")&amp;Tasks[[#This Row],[_Pred2IDText]])</f>
        <v/>
      </c>
      <c r="AR199" s="30"/>
      <c r="AS199" s="25" t="str">
        <f aca="false">IF(Tasks[[#This Row],[Task Name]]="","",Tasks[[#This Row],[Forecast Start]])</f>
        <v/>
      </c>
      <c r="AT199" s="25" t="str">
        <f aca="false">IF(Tasks[[#This Row],[Task Name]]="","",Tasks[[#This Row],[Forecast Finish]])</f>
        <v/>
      </c>
      <c r="AU199" s="28" t="str">
        <f aca="false">IF(Tasks[[#This Row],[Task Name]]="","",IF(Tasks[[#This Row],[_IsSummary]],NETWORKDAYS.INTL(Tasks[[#This Row],[Forecast Start]],Tasks[[#This Row],[Forecast Finish]],WorkWeek,Holidays),N(Tasks[[#This Row],[Duration]])))</f>
        <v/>
      </c>
      <c r="AV199" s="98" t="str">
        <f aca="false">IF(Tasks[[#This Row],[Task Name]]="","",Tasks[[#This Row],[Work]])</f>
        <v/>
      </c>
      <c r="AW199" s="99" t="str">
        <f aca="false">IF(Tasks[[#This Row],[Task Name]]="","",Tasks[[#This Row],[Cost]])</f>
        <v/>
      </c>
      <c r="AX199" s="77"/>
      <c r="AY199" s="77"/>
      <c r="AZ199" s="29"/>
      <c r="BA199" s="101"/>
      <c r="BB199" s="100"/>
      <c r="BC199" s="28" t="str">
        <f aca="false">IF(OR(Tasks[[#This Row],[Task Name]]="",Tasks[[#This Row],[Baseline Duration]]=""),"",Tasks[[#This Row],[BL Source Duration]]-N(Tasks[[#This Row],[Baseline Duration]]))</f>
        <v/>
      </c>
      <c r="BD199" s="98" t="str">
        <f aca="false">IF(OR(Tasks[[#This Row],[Task Name]]="",Tasks[[#This Row],[Baseline Work]]=""),"",Tasks[[#This Row],[Work]]-N(Tasks[[#This Row],[Baseline Work]]))</f>
        <v/>
      </c>
      <c r="BE199" s="99" t="str">
        <f aca="false">IF(OR(Tasks[[#This Row],[Task Name]]="",Tasks[[#This Row],[Baseline Cost]]=""),"",Tasks[[#This Row],[Cost]]-N(Tasks[[#This Row],[Baseline Cost]]))</f>
        <v/>
      </c>
      <c r="BF199" s="99" t="str">
        <f aca="false">IF(Tasks[[#This Row],[Task Name]]="","",IF(Tasks[[#This Row],[_IsSummary]],SUM(INDEX(Tasks[_LeafBudget],Tasks[[#This Row],[_Row]]+1):INDEX(Tasks[_LeafBudget],Tasks[[#This Row],[_Row]]+Tasks[[#This Row],[_Descendants]])),Tasks[[#This Row],[_LeafBudget]]))</f>
        <v/>
      </c>
      <c r="BG199" s="99" t="str">
        <f aca="false">IF(Tasks[[#This Row],[Task Name]]="","",IF(Tasks[[#This Row],[_IsSummary]],SUM(INDEX(Tasks[_LeafPV],Tasks[[#This Row],[_Row]]+1):INDEX(Tasks[_LeafPV],Tasks[[#This Row],[_Row]]+Tasks[[#This Row],[_Descendants]])),Tasks[[#This Row],[_LeafPV]]))</f>
        <v/>
      </c>
      <c r="BH199" s="99" t="str">
        <f aca="false">IF(Tasks[[#This Row],[Task Name]]="","",IF(Tasks[[#This Row],[_IsSummary]],SUM(INDEX(Tasks[_LeafEV],Tasks[[#This Row],[_Row]]+1):INDEX(Tasks[_LeafEV],Tasks[[#This Row],[_Row]]+Tasks[[#This Row],[_Descendants]])),Tasks[[#This Row],[_LeafEV]]))</f>
        <v/>
      </c>
      <c r="BI199" s="99" t="str">
        <f aca="false">IF(Tasks[[#This Row],[Task Name]]="","",IF(Tasks[[#This Row],[_IsSummary]],SUM(INDEX(Tasks[_LeafAC],Tasks[[#This Row],[_Row]]+1):INDEX(Tasks[_LeafAC],Tasks[[#This Row],[_Row]]+Tasks[[#This Row],[_Descendants]])),Tasks[[#This Row],[_LeafAC]]))</f>
        <v/>
      </c>
      <c r="BJ199" s="41" t="str">
        <f aca="false">IF(Tasks[[#This Row],[Task Name]]="","",MAX(1,N(Tasks[[#This Row],[Level]])))</f>
        <v/>
      </c>
      <c r="BK199" s="41" t="n">
        <f aca="false">ROW()-ROW(Tasks[[#Headers],[ID]])</f>
        <v>194</v>
      </c>
      <c r="BL199" s="41" t="n">
        <f aca="false">IF(OR(Tasks[[#This Row],[Task Name]]="",Tasks[[#This Row],[_Level]]&lt;=1),0,IFERROR(LOOKUP(2,1/(Tasks[[#Headers],[_Level]]:Tasks[[#This Row],[_Level]]=Tasks[[#This Row],[_Level]]-1),ROW(Tasks[[#Headers],[_Level]]:Tasks[[#This Row],[_Level]])),0))</f>
        <v>0</v>
      </c>
      <c r="BM199" s="41" t="n">
        <f aca="false">IFERROR(N(INDEX(Tasks[_Level],Tasks[[#This Row],[_Row]]+1)),0)</f>
        <v>0</v>
      </c>
      <c r="BN199" s="102" t="b">
        <f aca="false">AND(Tasks[[#This Row],[Task Name]]&lt;&gt;"",Tasks[[#This Row],[_NextLevel]]&gt;Tasks[[#This Row],[_Level]])</f>
        <v>0</v>
      </c>
      <c r="BO199" s="41" t="n">
        <f aca="false">IF(Tasks[[#This Row],[_IsSummary]],COUNTIF(Tasks[WBS],Tasks[[#This Row],[WBS]]&amp;".*"),0)</f>
        <v>0</v>
      </c>
      <c r="BP199" s="41" t="n">
        <f aca="false">IF(AND(Tasks[[#This Row],[Task Name]]&lt;&gt;"",NOT(Tasks[[#This Row],[_IsSummary]])),1,0)</f>
        <v>0</v>
      </c>
      <c r="BQ199" s="41" t="n">
        <f aca="false">IF(N(Tasks[[#This Row],[Pred1 UID]])=0,0,IFERROR(MATCH(Tasks[[#This Row],[Pred1 UID]],Tasks[UID],0),-1))</f>
        <v>0</v>
      </c>
      <c r="BR199" s="41" t="n">
        <f aca="false">IF(N(Tasks[[#This Row],[Pred2 UID]])=0,0,IFERROR(MATCH(Tasks[[#This Row],[Pred2 UID]],Tasks[UID],0),-1))</f>
        <v>0</v>
      </c>
      <c r="BS199"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9" s="103" t="str">
        <f aca="false">IF(NOT(Tasks[[#This Row],[_IsLeaf]]=1),"",IF(N(Tasks[[#This Row],[Duration]])&lt;=0,Tasks[[#This Row],[_LeafCalcStart]],WORKDAY.INTL(Tasks[[#This Row],[_LeafCalcStart]],Tasks[[#This Row],[Duration]]-1,WorkWeek,Holidays)))</f>
        <v/>
      </c>
      <c r="BU199"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9"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9" s="41" t="n">
        <f aca="false">IF(NOT(Tasks[[#This Row],[_IsLeaf]]=1),0,IF(N(Tasks[[#This Row],[Actual Finish]])&gt;0,1,MIN(1,N(Tasks[[#This Row],[% Complete]]))))</f>
        <v>0</v>
      </c>
      <c r="BX199" s="41" t="n">
        <f aca="false">IF(OR(NOT(Tasks[[#This Row],[_IsLeaf]]=1),Tasks[[#This Row],[Resource]]=""),0,N(Tasks[[#This Row],[Duration]])*HoursPerDay*IF(Tasks[[#This Row],[Units]]="",DefaultUnits,Tasks[[#This Row],[Units]]))</f>
        <v>0</v>
      </c>
      <c r="BY199" s="41" t="n">
        <f aca="false">IF(Tasks[[#This Row],[_LeafWork]]=0,0,Tasks[[#This Row],[_LeafWork]]*IFERROR(INDEX(res_Rate,MATCH(Tasks[[#This Row],[Resource]],res_Name,0)),0))</f>
        <v>0</v>
      </c>
      <c r="BZ1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9" s="41" t="n">
        <f aca="false">IF(NOT(Tasks[[#This Row],[_IsLeaf]]=1),0,MAX(_xlfn.MAXIFS(Tasks[_Row],Tasks[Pred1 UID],Tasks[[#This Row],[UID]]),_xlfn.MAXIFS(Tasks[_Row],Tasks[Pred2 UID],Tasks[[#This Row],[UID]])))</f>
        <v>0</v>
      </c>
      <c r="CE199"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9" s="103" t="str">
        <f aca="false">IF(NOT(Tasks[[#This Row],[_IsLeaf]]=1),"",MIN(ProjectFinish,IF(N(Tasks[[#This Row],[Deadline]])&gt;0,Tasks[[#This Row],[Deadline]],2958465),Tasks[[#This Row],[_SuccessorFinishLimit]]))</f>
        <v/>
      </c>
      <c r="CG199" s="103" t="str">
        <f aca="false">IF(NOT(Tasks[[#This Row],[_IsLeaf]]=1),"",IF(N(Tasks[[#This Row],[Duration]])&lt;=0,Tasks[[#This Row],[_LeafLateFinish]],WORKDAY.INTL(Tasks[[#This Row],[_LeafLateFinish]],-(Tasks[[#This Row],[Duration]]-1),WorkWeek,Holidays)))</f>
        <v/>
      </c>
      <c r="CH1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9" s="102" t="b">
        <f aca="false">AND(Tasks[[#This Row],[_IsLeaf]]=1,Tasks[[#This Row],[_LeafProgress]]&lt;1,N(Tasks[[#This Row],[_LeafTotalSlack]])&lt;=CriticalSlackDays)</f>
        <v>0</v>
      </c>
      <c r="CJ199" s="103" t="str">
        <f aca="false">IF(Tasks[[#This Row],[Task Name]]="","",IF(Tasks[[#This Row],[_IsSummary]],MIN(INDEX(Tasks[_LeafCalcStart],Tasks[[#This Row],[_Row]]+1):INDEX(Tasks[_LeafCalcStart],Tasks[[#This Row],[_Row]]+Tasks[[#This Row],[_Descendants]])),Tasks[[#This Row],[_LeafCalcStart]]))</f>
        <v/>
      </c>
      <c r="CK199" s="103" t="str">
        <f aca="false">IF(Tasks[[#This Row],[Task Name]]="","",IF(Tasks[[#This Row],[_IsSummary]],MAX(INDEX(Tasks[_LeafCalcFinish],Tasks[[#This Row],[_Row]]+1):INDEX(Tasks[_LeafCalcFinish],Tasks[[#This Row],[_Row]]+Tasks[[#This Row],[_Descendants]])),Tasks[[#This Row],[_LeafCalcFinish]]))</f>
        <v/>
      </c>
      <c r="CL1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9"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9"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9"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9"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9" s="41" t="n">
        <f aca="false">IF(AND(Tasks[[#This Row],[_IsLeaf]]=1,Tasks[[#This Row],[_LeafWork]]&gt;0),NETWORKDAYS.INTL(ProjectStart,Tasks[[#This Row],[_LeafFcstStart]],WorkWeek,Holidays),0)</f>
        <v>0</v>
      </c>
      <c r="CS199" s="41" t="n">
        <f aca="false">IF(AND(Tasks[[#This Row],[_IsLeaf]]=1,Tasks[[#This Row],[_LeafWork]]&gt;0),MAX(Tasks[[#This Row],[_StartWorkday]],NETWORKDAYS.INTL(ProjectStart,Tasks[[#This Row],[_LeafFcstFinish]],WorkWeek,Holidays)),0)</f>
        <v>0</v>
      </c>
      <c r="CT199" s="41" t="n">
        <f aca="false">IF(AND(Tasks[[#This Row],[_IsLeaf]]=1,Tasks[[#This Row],[_LeafWork]]&gt;0),Tasks[[#This Row],[_LeafWork]]/(Tasks[[#This Row],[_FinishWorkday]]-Tasks[[#This Row],[_StartWorkday]]+1),0)</f>
        <v>0</v>
      </c>
      <c r="CU199" s="41" t="n">
        <f aca="false">Tasks[[#This Row],[_WorkPerWorkday]]*(Tasks[[#This Row],[_StartWorkday]]-1)</f>
        <v>-0</v>
      </c>
      <c r="CV199" s="41" t="n">
        <f aca="false">IF(Tasks[[#This Row],[_IsLeaf]]=1,MAX(N(Tasks[[#This Row],[Duration]]),0.1),0)</f>
        <v>0</v>
      </c>
      <c r="CW199" s="41" t="n">
        <f aca="false">Tasks[[#This Row],[_WeightDur]]*Tasks[[#This Row],[_LeafProgress]]</f>
        <v>0</v>
      </c>
      <c r="CX1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9" s="41" t="str">
        <f aca="false">IF(Tasks[[#This Row],[Task Name]]="","",Tasks[[#This Row],[_Pred1UIDText]]&amp;IF(AND(Tasks[[#This Row],[_Pred1UIDText]]&lt;&gt;"",Tasks[[#This Row],[_Pred2UIDText]]&lt;&gt;""),",","")&amp;Tasks[[#This Row],[_Pred2UIDText]])</f>
        <v/>
      </c>
      <c r="DC199" s="41" t="str">
        <f aca="false">IF(AND(Tasks[[#This Row],[_IsLeaf]]=1,N(Tasks[[#This Row],[Duration]])=0,Tasks[[#This Row],[_LeafProgress]]&lt;1),Tasks[[#This Row],[_LeafFcstFinish]]+Tasks[[#This Row],[_Row]]/100000,"")</f>
        <v/>
      </c>
      <c r="DD1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9" s="41" t="n">
        <f aca="false">IF(NOT(Tasks[[#This Row],[_IsLeaf]]=1),0,IF(Tasks[[#This Row],[Baseline Cost]]="",Tasks[[#This Row],[_LeafCost]],N(Tasks[[#This Row],[Baseline Cost]])))</f>
        <v>0</v>
      </c>
      <c r="DF199" s="41" t="n">
        <f aca="false">Tasks[[#This Row],[_LeafBudget]]*Tasks[[#This Row],[_PlannedPct]]</f>
        <v>0</v>
      </c>
      <c r="DG199" s="41" t="n">
        <f aca="false">Tasks[[#This Row],[_LeafBudget]]*Tasks[[#This Row],[_LeafProgress]]</f>
        <v>0</v>
      </c>
      <c r="DH199" s="41" t="n">
        <f aca="false">IF(NOT(Tasks[[#This Row],[_IsLeaf]]=1),0,IF(Tasks[[#This Row],[Actual Cost]]="",Tasks[[#This Row],[_LeafCost]]*Tasks[[#This Row],[_LeafProgress]],N(Tasks[[#This Row],[Actual Cost]])))</f>
        <v>0</v>
      </c>
      <c r="DI199" s="41" t="str">
        <f aca="false">IF(Tasks[[#This Row],[Task Name]]="","",LEFT(Tasks[[#This Row],[WBS]],FIND(".",Tasks[[#This Row],[WBS]]&amp;".")-1))</f>
        <v/>
      </c>
      <c r="DJ199" s="41" t="str">
        <f aca="false">IF(AND(Tasks[[#This Row],[Task Name]]&lt;&gt;"",Tasks[[#This Row],[_Level]]=1),Tasks[[#This Row],[_Row]],"")</f>
        <v/>
      </c>
      <c r="DK199" s="41" t="str">
        <f aca="false">IF(AND(Tasks[[#This Row],[_IsLeaf]]=1,N(Tasks[[#This Row],[Duration]])=0),Tasks[[#This Row],[Planned Finish]]+Tasks[[#This Row],[_Row]]/100000,"")</f>
        <v/>
      </c>
      <c r="DL199" s="41" t="str">
        <f aca="false">IF(AND(Tasks[[#This Row],[_IsLeaf]]=1,Tasks[[#This Row],[_LeafProgress]]&lt;1,OR(N(Tasks[[#This Row],[Finish Var]])&gt;0,Tasks[[#This Row],[Status]]="Late Start")),MAX(0,Tasks[[#This Row],[Finish Var]])+1-Tasks[[#This Row],[_Row]]/1000000,"")</f>
        <v/>
      </c>
      <c r="DM199" s="41" t="str">
        <f aca="false">IF(AND(Tasks[[#This Row],[_IsLeaf]]=1,N(Tasks[[#This Row],[Actual Start]])=0,Tasks[[#This Row],[_LeafFcstStart]]&gt;=StatusDate,Tasks[[#This Row],[_LeafFcstStart]]&lt;=LookaheadEnd),Tasks[[#This Row],[_LeafFcstStart]]+Tasks[[#This Row],[_Row]]/100000,"")</f>
        <v/>
      </c>
      <c r="DN199" s="41" t="str">
        <f aca="false">IF(AND(Tasks[[#This Row],[_IsLeaf]]=1,Tasks[[#This Row],[_LeafProgress]]&lt;1,Tasks[[#This Row],[_LeafFcstFinish]]&gt;=StatusDate,Tasks[[#This Row],[_LeafFcstFinish]]&lt;=LookaheadEnd),Tasks[[#This Row],[_LeafFcstFinish]]+Tasks[[#This Row],[_Row]]/100000,"")</f>
        <v/>
      </c>
      <c r="DO199" s="41" t="str">
        <f aca="false">IF(Tasks[[#This Row],[_LeafCritical]],Tasks[[#This Row],[_LeafFcstStart]]+Tasks[[#This Row],[_Row]]/100000,"")</f>
        <v/>
      </c>
      <c r="DP199" s="41" t="n">
        <f aca="false">Tasks[[#This Row],[_LeafWork]]*Tasks[[#This Row],[_LeafProgress]]</f>
        <v>0</v>
      </c>
      <c r="DQ199" s="103" t="str">
        <f aca="false">IF(AND(Tasks[[#This Row],[_IsLeaf]]=1,Tasks[[#This Row],[_LeafProgress]]&gt;=1),IF(N(Tasks[[#This Row],[Actual Finish]])&gt;0,Tasks[[#This Row],[Actual Finish]],Tasks[[#This Row],[_LeafFcstFinish]]),"")</f>
        <v/>
      </c>
      <c r="DR199" s="41" t="n">
        <f aca="false">IF(Tasks[[#This Row],[_IsLeaf]]=1,N(Tasks[[#This Row],[Story Points]]),0)</f>
        <v>0</v>
      </c>
      <c r="DS199" s="41" t="str">
        <f aca="false">IF(AND(Tasks[[#This Row],[_IsLeaf]]=1,CurrentSprint&lt;&gt;"",Tasks[[#This Row],[Sprint]]=CurrentSprint),Tasks[[#This Row],[_Row]],"")</f>
        <v/>
      </c>
    </row>
    <row r="200" customFormat="false" ht="15" hidden="false" customHeight="false" outlineLevel="0" collapsed="false">
      <c r="A200" s="28" t="str">
        <f aca="false">IF(Tasks[[#This Row],[Task Name]]="","",COUNTA(Tasks[[#Headers],[Task Name]]:Tasks[[#This Row],[Task Name]])-1)</f>
        <v/>
      </c>
      <c r="B200" s="29" t="n">
        <v>195</v>
      </c>
      <c r="C2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29"/>
      <c r="E200" s="30"/>
      <c r="F200" s="29"/>
      <c r="G200" s="29"/>
      <c r="H200" s="29"/>
      <c r="I200" s="29"/>
      <c r="J200" s="29"/>
      <c r="K200" s="29"/>
      <c r="L200" s="29"/>
      <c r="M200" s="29"/>
      <c r="N200" s="77"/>
      <c r="O200" s="77"/>
      <c r="P200" s="25" t="str">
        <f aca="false">IF(Tasks[[#This Row],[Task Name]]="","",IF(N(Tasks[[#This Row],[Baseline Start]])&gt;0,Tasks[[#This Row],[Baseline Start]],Tasks[[#This Row],[_CalcStart]]))</f>
        <v/>
      </c>
      <c r="Q200" s="25" t="str">
        <f aca="false">IF(Tasks[[#This Row],[Task Name]]="","",IF(N(Tasks[[#This Row],[Baseline Finish]])&gt;0,Tasks[[#This Row],[Baseline Finish]],Tasks[[#This Row],[_CalcFinish]]))</f>
        <v/>
      </c>
      <c r="R200" s="77"/>
      <c r="S200" s="77"/>
      <c r="T200" s="25" t="str">
        <f aca="false">IF(Tasks[[#This Row],[Task Name]]="","",IF(Tasks[[#This Row],[_IsSummary]],MIN(INDEX(Tasks[_LeafFcstStart],Tasks[[#This Row],[_Row]]+1):INDEX(Tasks[_LeafFcstStart],Tasks[[#This Row],[_Row]]+Tasks[[#This Row],[_Descendants]])),Tasks[[#This Row],[_LeafFcstStart]]))</f>
        <v/>
      </c>
      <c r="U200" s="25" t="str">
        <f aca="false">IF(Tasks[[#This Row],[Task Name]]="","",IF(Tasks[[#This Row],[_IsSummary]],MAX(INDEX(Tasks[_LeafFcstFinish],Tasks[[#This Row],[_Row]]+1):INDEX(Tasks[_LeafFcstFinish],Tasks[[#This Row],[_Row]]+Tasks[[#This Row],[_Descendants]])),Tasks[[#This Row],[_LeafFcstFinish]]))</f>
        <v/>
      </c>
      <c r="V200"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0"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0" s="25" t="str">
        <f aca="false">IF(Tasks[[#This Row],[Task Name]]="","",IF(Tasks[[#This Row],[_IsSummary]],MIN(INDEX(Tasks[_LeafLateStart],Tasks[[#This Row],[_Row]]+1):INDEX(Tasks[_LeafLateStart],Tasks[[#This Row],[_Row]]+Tasks[[#This Row],[_Descendants]])),Tasks[[#This Row],[_LeafLateStart]]))</f>
        <v/>
      </c>
      <c r="Y200" s="25" t="str">
        <f aca="false">IF(Tasks[[#This Row],[Task Name]]="","",IF(Tasks[[#This Row],[_IsSummary]],MAX(INDEX(Tasks[_LeafLateFinish],Tasks[[#This Row],[_Row]]+1):INDEX(Tasks[_LeafLateFinish],Tasks[[#This Row],[_Row]]+Tasks[[#This Row],[_Descendants]])),Tasks[[#This Row],[_LeafLateFinish]]))</f>
        <v/>
      </c>
      <c r="Z200" s="43" t="str">
        <f aca="false">IF(Tasks[[#This Row],[Task Name]]="","",IF(Tasks[[#This Row],[_IsSummary]],MIN(INDEX(Tasks[_LeafTotalSlack],Tasks[[#This Row],[_Row]]+1):INDEX(Tasks[_LeafTotalSlack],Tasks[[#This Row],[_Row]]+Tasks[[#This Row],[_Descendants]])),Tasks[[#This Row],[_LeafTotalSlack]]))</f>
        <v/>
      </c>
      <c r="AA2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0" s="28" t="str">
        <f aca="false">IF(Tasks[[#This Row],[Task Name]]="","",IF(IF(Tasks[[#This Row],[_IsSummary]],COUNTIF(INDEX(Tasks[_LeafCritical],Tasks[[#This Row],[_Row]]+1):INDEX(Tasks[_LeafCritical],Tasks[[#This Row],[_Row]]+Tasks[[#This Row],[_Descendants]]),TRUE())&gt;0,Tasks[[#This Row],[_LeafCritical]]),"Yes",""))</f>
        <v/>
      </c>
      <c r="AC2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0" s="24" t="str">
        <f aca="false">IF(Tasks[[#This Row],[Task Name]]="","",TRIM(IF(Tasks[[#This Row],[_Pred1Problem]]&lt;&gt;"","Pred 1: "&amp;Tasks[[#This Row],[_Pred1Problem]]&amp;". ","")&amp;IF(Tasks[[#This Row],[_Pred2Problem]]&lt;&gt;"","Pred 2: "&amp;Tasks[[#This Row],[_Pred2Problem]]&amp;".","")))</f>
        <v/>
      </c>
      <c r="AE200" s="91"/>
      <c r="AF200"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0" s="28" t="str">
        <f aca="false">IF(Tasks[[#This Row],[Task Name]]="","",IF(Tasks[[#This Row],[Progress]]&gt;=1,"Complete",IF(OR(N(Tasks[[#This Row],[Actual Start]])&gt;0,Tasks[[#This Row],[Progress]]&gt;0),IF(Tasks[[#This Row],[Finish Var]]&gt;0,"Behind","In Progress"),IF(Tasks[[#This Row],[Planned Start]]&lt;StatusDate,"Late Start","Not Started"))))</f>
        <v/>
      </c>
      <c r="AH200" s="30"/>
      <c r="AI200" s="91"/>
      <c r="AJ20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0" s="98" t="str">
        <f aca="false">IF(Tasks[[#This Row],[Task Name]]="","",IF(Tasks[[#This Row],[_IsSummary]],SUM(INDEX(Tasks[_LeafWork],Tasks[[#This Row],[_Row]]+1):INDEX(Tasks[_LeafWork],Tasks[[#This Row],[_Row]]+Tasks[[#This Row],[_Descendants]])),Tasks[[#This Row],[_LeafWork]]))</f>
        <v/>
      </c>
      <c r="AL200" s="99" t="str">
        <f aca="false">IF(Tasks[[#This Row],[Task Name]]="","",IF(Tasks[[#This Row],[_IsSummary]],SUM(INDEX(Tasks[_LeafCost],Tasks[[#This Row],[_Row]]+1):INDEX(Tasks[_LeafCost],Tasks[[#This Row],[_Row]]+Tasks[[#This Row],[_Descendants]])),Tasks[[#This Row],[_LeafCost]]))</f>
        <v/>
      </c>
      <c r="AM200" s="100"/>
      <c r="AN200" s="29"/>
      <c r="AO2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0" s="85"/>
      <c r="AQ200" s="24" t="str">
        <f aca="false">IF(Tasks[[#This Row],[Task Name]]="","",Tasks[[#This Row],[_Pred1IDText]]&amp;IF(AND(Tasks[[#This Row],[_Pred1IDText]]&lt;&gt;"",Tasks[[#This Row],[_Pred2IDText]]&lt;&gt;""),",","")&amp;Tasks[[#This Row],[_Pred2IDText]])</f>
        <v/>
      </c>
      <c r="AR200" s="30"/>
      <c r="AS200" s="25" t="str">
        <f aca="false">IF(Tasks[[#This Row],[Task Name]]="","",Tasks[[#This Row],[Forecast Start]])</f>
        <v/>
      </c>
      <c r="AT200" s="25" t="str">
        <f aca="false">IF(Tasks[[#This Row],[Task Name]]="","",Tasks[[#This Row],[Forecast Finish]])</f>
        <v/>
      </c>
      <c r="AU200" s="28" t="str">
        <f aca="false">IF(Tasks[[#This Row],[Task Name]]="","",IF(Tasks[[#This Row],[_IsSummary]],NETWORKDAYS.INTL(Tasks[[#This Row],[Forecast Start]],Tasks[[#This Row],[Forecast Finish]],WorkWeek,Holidays),N(Tasks[[#This Row],[Duration]])))</f>
        <v/>
      </c>
      <c r="AV200" s="98" t="str">
        <f aca="false">IF(Tasks[[#This Row],[Task Name]]="","",Tasks[[#This Row],[Work]])</f>
        <v/>
      </c>
      <c r="AW200" s="99" t="str">
        <f aca="false">IF(Tasks[[#This Row],[Task Name]]="","",Tasks[[#This Row],[Cost]])</f>
        <v/>
      </c>
      <c r="AX200" s="77"/>
      <c r="AY200" s="77"/>
      <c r="AZ200" s="29"/>
      <c r="BA200" s="101"/>
      <c r="BB200" s="100"/>
      <c r="BC200" s="28" t="str">
        <f aca="false">IF(OR(Tasks[[#This Row],[Task Name]]="",Tasks[[#This Row],[Baseline Duration]]=""),"",Tasks[[#This Row],[BL Source Duration]]-N(Tasks[[#This Row],[Baseline Duration]]))</f>
        <v/>
      </c>
      <c r="BD200" s="98" t="str">
        <f aca="false">IF(OR(Tasks[[#This Row],[Task Name]]="",Tasks[[#This Row],[Baseline Work]]=""),"",Tasks[[#This Row],[Work]]-N(Tasks[[#This Row],[Baseline Work]]))</f>
        <v/>
      </c>
      <c r="BE200" s="99" t="str">
        <f aca="false">IF(OR(Tasks[[#This Row],[Task Name]]="",Tasks[[#This Row],[Baseline Cost]]=""),"",Tasks[[#This Row],[Cost]]-N(Tasks[[#This Row],[Baseline Cost]]))</f>
        <v/>
      </c>
      <c r="BF200" s="99" t="str">
        <f aca="false">IF(Tasks[[#This Row],[Task Name]]="","",IF(Tasks[[#This Row],[_IsSummary]],SUM(INDEX(Tasks[_LeafBudget],Tasks[[#This Row],[_Row]]+1):INDEX(Tasks[_LeafBudget],Tasks[[#This Row],[_Row]]+Tasks[[#This Row],[_Descendants]])),Tasks[[#This Row],[_LeafBudget]]))</f>
        <v/>
      </c>
      <c r="BG200" s="99" t="str">
        <f aca="false">IF(Tasks[[#This Row],[Task Name]]="","",IF(Tasks[[#This Row],[_IsSummary]],SUM(INDEX(Tasks[_LeafPV],Tasks[[#This Row],[_Row]]+1):INDEX(Tasks[_LeafPV],Tasks[[#This Row],[_Row]]+Tasks[[#This Row],[_Descendants]])),Tasks[[#This Row],[_LeafPV]]))</f>
        <v/>
      </c>
      <c r="BH200" s="99" t="str">
        <f aca="false">IF(Tasks[[#This Row],[Task Name]]="","",IF(Tasks[[#This Row],[_IsSummary]],SUM(INDEX(Tasks[_LeafEV],Tasks[[#This Row],[_Row]]+1):INDEX(Tasks[_LeafEV],Tasks[[#This Row],[_Row]]+Tasks[[#This Row],[_Descendants]])),Tasks[[#This Row],[_LeafEV]]))</f>
        <v/>
      </c>
      <c r="BI200" s="99" t="str">
        <f aca="false">IF(Tasks[[#This Row],[Task Name]]="","",IF(Tasks[[#This Row],[_IsSummary]],SUM(INDEX(Tasks[_LeafAC],Tasks[[#This Row],[_Row]]+1):INDEX(Tasks[_LeafAC],Tasks[[#This Row],[_Row]]+Tasks[[#This Row],[_Descendants]])),Tasks[[#This Row],[_LeafAC]]))</f>
        <v/>
      </c>
      <c r="BJ200" s="41" t="str">
        <f aca="false">IF(Tasks[[#This Row],[Task Name]]="","",MAX(1,N(Tasks[[#This Row],[Level]])))</f>
        <v/>
      </c>
      <c r="BK200" s="41" t="n">
        <f aca="false">ROW()-ROW(Tasks[[#Headers],[ID]])</f>
        <v>195</v>
      </c>
      <c r="BL200" s="41" t="n">
        <f aca="false">IF(OR(Tasks[[#This Row],[Task Name]]="",Tasks[[#This Row],[_Level]]&lt;=1),0,IFERROR(LOOKUP(2,1/(Tasks[[#Headers],[_Level]]:Tasks[[#This Row],[_Level]]=Tasks[[#This Row],[_Level]]-1),ROW(Tasks[[#Headers],[_Level]]:Tasks[[#This Row],[_Level]])),0))</f>
        <v>0</v>
      </c>
      <c r="BM200" s="41" t="n">
        <f aca="false">IFERROR(N(INDEX(Tasks[_Level],Tasks[[#This Row],[_Row]]+1)),0)</f>
        <v>0</v>
      </c>
      <c r="BN200" s="102" t="b">
        <f aca="false">AND(Tasks[[#This Row],[Task Name]]&lt;&gt;"",Tasks[[#This Row],[_NextLevel]]&gt;Tasks[[#This Row],[_Level]])</f>
        <v>0</v>
      </c>
      <c r="BO200" s="41" t="n">
        <f aca="false">IF(Tasks[[#This Row],[_IsSummary]],COUNTIF(Tasks[WBS],Tasks[[#This Row],[WBS]]&amp;".*"),0)</f>
        <v>0</v>
      </c>
      <c r="BP200" s="41" t="n">
        <f aca="false">IF(AND(Tasks[[#This Row],[Task Name]]&lt;&gt;"",NOT(Tasks[[#This Row],[_IsSummary]])),1,0)</f>
        <v>0</v>
      </c>
      <c r="BQ200" s="41" t="n">
        <f aca="false">IF(N(Tasks[[#This Row],[Pred1 UID]])=0,0,IFERROR(MATCH(Tasks[[#This Row],[Pred1 UID]],Tasks[UID],0),-1))</f>
        <v>0</v>
      </c>
      <c r="BR200" s="41" t="n">
        <f aca="false">IF(N(Tasks[[#This Row],[Pred2 UID]])=0,0,IFERROR(MATCH(Tasks[[#This Row],[Pred2 UID]],Tasks[UID],0),-1))</f>
        <v>0</v>
      </c>
      <c r="BS200"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0" s="103" t="str">
        <f aca="false">IF(NOT(Tasks[[#This Row],[_IsLeaf]]=1),"",IF(N(Tasks[[#This Row],[Duration]])&lt;=0,Tasks[[#This Row],[_LeafCalcStart]],WORKDAY.INTL(Tasks[[#This Row],[_LeafCalcStart]],Tasks[[#This Row],[Duration]]-1,WorkWeek,Holidays)))</f>
        <v/>
      </c>
      <c r="BU200"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0"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0" s="41" t="n">
        <f aca="false">IF(NOT(Tasks[[#This Row],[_IsLeaf]]=1),0,IF(N(Tasks[[#This Row],[Actual Finish]])&gt;0,1,MIN(1,N(Tasks[[#This Row],[% Complete]]))))</f>
        <v>0</v>
      </c>
      <c r="BX200" s="41" t="n">
        <f aca="false">IF(OR(NOT(Tasks[[#This Row],[_IsLeaf]]=1),Tasks[[#This Row],[Resource]]=""),0,N(Tasks[[#This Row],[Duration]])*HoursPerDay*IF(Tasks[[#This Row],[Units]]="",DefaultUnits,Tasks[[#This Row],[Units]]))</f>
        <v>0</v>
      </c>
      <c r="BY200" s="41" t="n">
        <f aca="false">IF(Tasks[[#This Row],[_LeafWork]]=0,0,Tasks[[#This Row],[_LeafWork]]*IFERROR(INDEX(res_Rate,MATCH(Tasks[[#This Row],[Resource]],res_Name,0)),0))</f>
        <v>0</v>
      </c>
      <c r="BZ2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0" s="41" t="n">
        <f aca="false">IF(NOT(Tasks[[#This Row],[_IsLeaf]]=1),0,MAX(_xlfn.MAXIFS(Tasks[_Row],Tasks[Pred1 UID],Tasks[[#This Row],[UID]]),_xlfn.MAXIFS(Tasks[_Row],Tasks[Pred2 UID],Tasks[[#This Row],[UID]])))</f>
        <v>0</v>
      </c>
      <c r="CE200"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0" s="103" t="str">
        <f aca="false">IF(NOT(Tasks[[#This Row],[_IsLeaf]]=1),"",MIN(ProjectFinish,IF(N(Tasks[[#This Row],[Deadline]])&gt;0,Tasks[[#This Row],[Deadline]],2958465),Tasks[[#This Row],[_SuccessorFinishLimit]]))</f>
        <v/>
      </c>
      <c r="CG200" s="103" t="str">
        <f aca="false">IF(NOT(Tasks[[#This Row],[_IsLeaf]]=1),"",IF(N(Tasks[[#This Row],[Duration]])&lt;=0,Tasks[[#This Row],[_LeafLateFinish]],WORKDAY.INTL(Tasks[[#This Row],[_LeafLateFinish]],-(Tasks[[#This Row],[Duration]]-1),WorkWeek,Holidays)))</f>
        <v/>
      </c>
      <c r="CH2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0" s="102" t="b">
        <f aca="false">AND(Tasks[[#This Row],[_IsLeaf]]=1,Tasks[[#This Row],[_LeafProgress]]&lt;1,N(Tasks[[#This Row],[_LeafTotalSlack]])&lt;=CriticalSlackDays)</f>
        <v>0</v>
      </c>
      <c r="CJ200" s="103" t="str">
        <f aca="false">IF(Tasks[[#This Row],[Task Name]]="","",IF(Tasks[[#This Row],[_IsSummary]],MIN(INDEX(Tasks[_LeafCalcStart],Tasks[[#This Row],[_Row]]+1):INDEX(Tasks[_LeafCalcStart],Tasks[[#This Row],[_Row]]+Tasks[[#This Row],[_Descendants]])),Tasks[[#This Row],[_LeafCalcStart]]))</f>
        <v/>
      </c>
      <c r="CK200" s="103" t="str">
        <f aca="false">IF(Tasks[[#This Row],[Task Name]]="","",IF(Tasks[[#This Row],[_IsSummary]],MAX(INDEX(Tasks[_LeafCalcFinish],Tasks[[#This Row],[_Row]]+1):INDEX(Tasks[_LeafCalcFinish],Tasks[[#This Row],[_Row]]+Tasks[[#This Row],[_Descendants]])),Tasks[[#This Row],[_LeafCalcFinish]]))</f>
        <v/>
      </c>
      <c r="CL2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0"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0"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0"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0"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0" s="41" t="n">
        <f aca="false">IF(AND(Tasks[[#This Row],[_IsLeaf]]=1,Tasks[[#This Row],[_LeafWork]]&gt;0),NETWORKDAYS.INTL(ProjectStart,Tasks[[#This Row],[_LeafFcstStart]],WorkWeek,Holidays),0)</f>
        <v>0</v>
      </c>
      <c r="CS200" s="41" t="n">
        <f aca="false">IF(AND(Tasks[[#This Row],[_IsLeaf]]=1,Tasks[[#This Row],[_LeafWork]]&gt;0),MAX(Tasks[[#This Row],[_StartWorkday]],NETWORKDAYS.INTL(ProjectStart,Tasks[[#This Row],[_LeafFcstFinish]],WorkWeek,Holidays)),0)</f>
        <v>0</v>
      </c>
      <c r="CT200" s="41" t="n">
        <f aca="false">IF(AND(Tasks[[#This Row],[_IsLeaf]]=1,Tasks[[#This Row],[_LeafWork]]&gt;0),Tasks[[#This Row],[_LeafWork]]/(Tasks[[#This Row],[_FinishWorkday]]-Tasks[[#This Row],[_StartWorkday]]+1),0)</f>
        <v>0</v>
      </c>
      <c r="CU200" s="41" t="n">
        <f aca="false">Tasks[[#This Row],[_WorkPerWorkday]]*(Tasks[[#This Row],[_StartWorkday]]-1)</f>
        <v>-0</v>
      </c>
      <c r="CV200" s="41" t="n">
        <f aca="false">IF(Tasks[[#This Row],[_IsLeaf]]=1,MAX(N(Tasks[[#This Row],[Duration]]),0.1),0)</f>
        <v>0</v>
      </c>
      <c r="CW200" s="41" t="n">
        <f aca="false">Tasks[[#This Row],[_WeightDur]]*Tasks[[#This Row],[_LeafProgress]]</f>
        <v>0</v>
      </c>
      <c r="CX2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0" s="41" t="str">
        <f aca="false">IF(Tasks[[#This Row],[Task Name]]="","",Tasks[[#This Row],[_Pred1UIDText]]&amp;IF(AND(Tasks[[#This Row],[_Pred1UIDText]]&lt;&gt;"",Tasks[[#This Row],[_Pred2UIDText]]&lt;&gt;""),",","")&amp;Tasks[[#This Row],[_Pred2UIDText]])</f>
        <v/>
      </c>
      <c r="DC200" s="41" t="str">
        <f aca="false">IF(AND(Tasks[[#This Row],[_IsLeaf]]=1,N(Tasks[[#This Row],[Duration]])=0,Tasks[[#This Row],[_LeafProgress]]&lt;1),Tasks[[#This Row],[_LeafFcstFinish]]+Tasks[[#This Row],[_Row]]/100000,"")</f>
        <v/>
      </c>
      <c r="DD2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0" s="41" t="n">
        <f aca="false">IF(NOT(Tasks[[#This Row],[_IsLeaf]]=1),0,IF(Tasks[[#This Row],[Baseline Cost]]="",Tasks[[#This Row],[_LeafCost]],N(Tasks[[#This Row],[Baseline Cost]])))</f>
        <v>0</v>
      </c>
      <c r="DF200" s="41" t="n">
        <f aca="false">Tasks[[#This Row],[_LeafBudget]]*Tasks[[#This Row],[_PlannedPct]]</f>
        <v>0</v>
      </c>
      <c r="DG200" s="41" t="n">
        <f aca="false">Tasks[[#This Row],[_LeafBudget]]*Tasks[[#This Row],[_LeafProgress]]</f>
        <v>0</v>
      </c>
      <c r="DH200" s="41" t="n">
        <f aca="false">IF(NOT(Tasks[[#This Row],[_IsLeaf]]=1),0,IF(Tasks[[#This Row],[Actual Cost]]="",Tasks[[#This Row],[_LeafCost]]*Tasks[[#This Row],[_LeafProgress]],N(Tasks[[#This Row],[Actual Cost]])))</f>
        <v>0</v>
      </c>
      <c r="DI200" s="41" t="str">
        <f aca="false">IF(Tasks[[#This Row],[Task Name]]="","",LEFT(Tasks[[#This Row],[WBS]],FIND(".",Tasks[[#This Row],[WBS]]&amp;".")-1))</f>
        <v/>
      </c>
      <c r="DJ200" s="41" t="str">
        <f aca="false">IF(AND(Tasks[[#This Row],[Task Name]]&lt;&gt;"",Tasks[[#This Row],[_Level]]=1),Tasks[[#This Row],[_Row]],"")</f>
        <v/>
      </c>
      <c r="DK200" s="41" t="str">
        <f aca="false">IF(AND(Tasks[[#This Row],[_IsLeaf]]=1,N(Tasks[[#This Row],[Duration]])=0),Tasks[[#This Row],[Planned Finish]]+Tasks[[#This Row],[_Row]]/100000,"")</f>
        <v/>
      </c>
      <c r="DL200" s="41" t="str">
        <f aca="false">IF(AND(Tasks[[#This Row],[_IsLeaf]]=1,Tasks[[#This Row],[_LeafProgress]]&lt;1,OR(N(Tasks[[#This Row],[Finish Var]])&gt;0,Tasks[[#This Row],[Status]]="Late Start")),MAX(0,Tasks[[#This Row],[Finish Var]])+1-Tasks[[#This Row],[_Row]]/1000000,"")</f>
        <v/>
      </c>
      <c r="DM200" s="41" t="str">
        <f aca="false">IF(AND(Tasks[[#This Row],[_IsLeaf]]=1,N(Tasks[[#This Row],[Actual Start]])=0,Tasks[[#This Row],[_LeafFcstStart]]&gt;=StatusDate,Tasks[[#This Row],[_LeafFcstStart]]&lt;=LookaheadEnd),Tasks[[#This Row],[_LeafFcstStart]]+Tasks[[#This Row],[_Row]]/100000,"")</f>
        <v/>
      </c>
      <c r="DN200" s="41" t="str">
        <f aca="false">IF(AND(Tasks[[#This Row],[_IsLeaf]]=1,Tasks[[#This Row],[_LeafProgress]]&lt;1,Tasks[[#This Row],[_LeafFcstFinish]]&gt;=StatusDate,Tasks[[#This Row],[_LeafFcstFinish]]&lt;=LookaheadEnd),Tasks[[#This Row],[_LeafFcstFinish]]+Tasks[[#This Row],[_Row]]/100000,"")</f>
        <v/>
      </c>
      <c r="DO200" s="41" t="str">
        <f aca="false">IF(Tasks[[#This Row],[_LeafCritical]],Tasks[[#This Row],[_LeafFcstStart]]+Tasks[[#This Row],[_Row]]/100000,"")</f>
        <v/>
      </c>
      <c r="DP200" s="41" t="n">
        <f aca="false">Tasks[[#This Row],[_LeafWork]]*Tasks[[#This Row],[_LeafProgress]]</f>
        <v>0</v>
      </c>
      <c r="DQ200" s="103" t="str">
        <f aca="false">IF(AND(Tasks[[#This Row],[_IsLeaf]]=1,Tasks[[#This Row],[_LeafProgress]]&gt;=1),IF(N(Tasks[[#This Row],[Actual Finish]])&gt;0,Tasks[[#This Row],[Actual Finish]],Tasks[[#This Row],[_LeafFcstFinish]]),"")</f>
        <v/>
      </c>
      <c r="DR200" s="41" t="n">
        <f aca="false">IF(Tasks[[#This Row],[_IsLeaf]]=1,N(Tasks[[#This Row],[Story Points]]),0)</f>
        <v>0</v>
      </c>
      <c r="DS200" s="41" t="str">
        <f aca="false">IF(AND(Tasks[[#This Row],[_IsLeaf]]=1,CurrentSprint&lt;&gt;"",Tasks[[#This Row],[Sprint]]=CurrentSprint),Tasks[[#This Row],[_Row]],"")</f>
        <v/>
      </c>
    </row>
    <row r="201" customFormat="false" ht="15" hidden="false" customHeight="false" outlineLevel="0" collapsed="false">
      <c r="A201" s="28" t="str">
        <f aca="false">IF(Tasks[[#This Row],[Task Name]]="","",COUNTA(Tasks[[#Headers],[Task Name]]:Tasks[[#This Row],[Task Name]])-1)</f>
        <v/>
      </c>
      <c r="B201" s="29" t="n">
        <v>196</v>
      </c>
      <c r="C2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29"/>
      <c r="E201" s="30"/>
      <c r="F201" s="29"/>
      <c r="G201" s="29"/>
      <c r="H201" s="29"/>
      <c r="I201" s="29"/>
      <c r="J201" s="29"/>
      <c r="K201" s="29"/>
      <c r="L201" s="29"/>
      <c r="M201" s="29"/>
      <c r="N201" s="77"/>
      <c r="O201" s="77"/>
      <c r="P201" s="25" t="str">
        <f aca="false">IF(Tasks[[#This Row],[Task Name]]="","",IF(N(Tasks[[#This Row],[Baseline Start]])&gt;0,Tasks[[#This Row],[Baseline Start]],Tasks[[#This Row],[_CalcStart]]))</f>
        <v/>
      </c>
      <c r="Q201" s="25" t="str">
        <f aca="false">IF(Tasks[[#This Row],[Task Name]]="","",IF(N(Tasks[[#This Row],[Baseline Finish]])&gt;0,Tasks[[#This Row],[Baseline Finish]],Tasks[[#This Row],[_CalcFinish]]))</f>
        <v/>
      </c>
      <c r="R201" s="77"/>
      <c r="S201" s="77"/>
      <c r="T201" s="25" t="str">
        <f aca="false">IF(Tasks[[#This Row],[Task Name]]="","",IF(Tasks[[#This Row],[_IsSummary]],MIN(INDEX(Tasks[_LeafFcstStart],Tasks[[#This Row],[_Row]]+1):INDEX(Tasks[_LeafFcstStart],Tasks[[#This Row],[_Row]]+Tasks[[#This Row],[_Descendants]])),Tasks[[#This Row],[_LeafFcstStart]]))</f>
        <v/>
      </c>
      <c r="U201" s="25" t="str">
        <f aca="false">IF(Tasks[[#This Row],[Task Name]]="","",IF(Tasks[[#This Row],[_IsSummary]],MAX(INDEX(Tasks[_LeafFcstFinish],Tasks[[#This Row],[_Row]]+1):INDEX(Tasks[_LeafFcstFinish],Tasks[[#This Row],[_Row]]+Tasks[[#This Row],[_Descendants]])),Tasks[[#This Row],[_LeafFcstFinish]]))</f>
        <v/>
      </c>
      <c r="V201"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1"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1" s="25" t="str">
        <f aca="false">IF(Tasks[[#This Row],[Task Name]]="","",IF(Tasks[[#This Row],[_IsSummary]],MIN(INDEX(Tasks[_LeafLateStart],Tasks[[#This Row],[_Row]]+1):INDEX(Tasks[_LeafLateStart],Tasks[[#This Row],[_Row]]+Tasks[[#This Row],[_Descendants]])),Tasks[[#This Row],[_LeafLateStart]]))</f>
        <v/>
      </c>
      <c r="Y201" s="25" t="str">
        <f aca="false">IF(Tasks[[#This Row],[Task Name]]="","",IF(Tasks[[#This Row],[_IsSummary]],MAX(INDEX(Tasks[_LeafLateFinish],Tasks[[#This Row],[_Row]]+1):INDEX(Tasks[_LeafLateFinish],Tasks[[#This Row],[_Row]]+Tasks[[#This Row],[_Descendants]])),Tasks[[#This Row],[_LeafLateFinish]]))</f>
        <v/>
      </c>
      <c r="Z201" s="43" t="str">
        <f aca="false">IF(Tasks[[#This Row],[Task Name]]="","",IF(Tasks[[#This Row],[_IsSummary]],MIN(INDEX(Tasks[_LeafTotalSlack],Tasks[[#This Row],[_Row]]+1):INDEX(Tasks[_LeafTotalSlack],Tasks[[#This Row],[_Row]]+Tasks[[#This Row],[_Descendants]])),Tasks[[#This Row],[_LeafTotalSlack]]))</f>
        <v/>
      </c>
      <c r="AA2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1" s="28" t="str">
        <f aca="false">IF(Tasks[[#This Row],[Task Name]]="","",IF(IF(Tasks[[#This Row],[_IsSummary]],COUNTIF(INDEX(Tasks[_LeafCritical],Tasks[[#This Row],[_Row]]+1):INDEX(Tasks[_LeafCritical],Tasks[[#This Row],[_Row]]+Tasks[[#This Row],[_Descendants]]),TRUE())&gt;0,Tasks[[#This Row],[_LeafCritical]]),"Yes",""))</f>
        <v/>
      </c>
      <c r="AC2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1" s="24" t="str">
        <f aca="false">IF(Tasks[[#This Row],[Task Name]]="","",TRIM(IF(Tasks[[#This Row],[_Pred1Problem]]&lt;&gt;"","Pred 1: "&amp;Tasks[[#This Row],[_Pred1Problem]]&amp;". ","")&amp;IF(Tasks[[#This Row],[_Pred2Problem]]&lt;&gt;"","Pred 2: "&amp;Tasks[[#This Row],[_Pred2Problem]]&amp;".","")))</f>
        <v/>
      </c>
      <c r="AE201" s="91"/>
      <c r="AF201"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1" s="28" t="str">
        <f aca="false">IF(Tasks[[#This Row],[Task Name]]="","",IF(Tasks[[#This Row],[Progress]]&gt;=1,"Complete",IF(OR(N(Tasks[[#This Row],[Actual Start]])&gt;0,Tasks[[#This Row],[Progress]]&gt;0),IF(Tasks[[#This Row],[Finish Var]]&gt;0,"Behind","In Progress"),IF(Tasks[[#This Row],[Planned Start]]&lt;StatusDate,"Late Start","Not Started"))))</f>
        <v/>
      </c>
      <c r="AH201" s="30"/>
      <c r="AI201" s="91"/>
      <c r="AJ20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1" s="98" t="str">
        <f aca="false">IF(Tasks[[#This Row],[Task Name]]="","",IF(Tasks[[#This Row],[_IsSummary]],SUM(INDEX(Tasks[_LeafWork],Tasks[[#This Row],[_Row]]+1):INDEX(Tasks[_LeafWork],Tasks[[#This Row],[_Row]]+Tasks[[#This Row],[_Descendants]])),Tasks[[#This Row],[_LeafWork]]))</f>
        <v/>
      </c>
      <c r="AL201" s="99" t="str">
        <f aca="false">IF(Tasks[[#This Row],[Task Name]]="","",IF(Tasks[[#This Row],[_IsSummary]],SUM(INDEX(Tasks[_LeafCost],Tasks[[#This Row],[_Row]]+1):INDEX(Tasks[_LeafCost],Tasks[[#This Row],[_Row]]+Tasks[[#This Row],[_Descendants]])),Tasks[[#This Row],[_LeafCost]]))</f>
        <v/>
      </c>
      <c r="AM201" s="100"/>
      <c r="AN201" s="29"/>
      <c r="AO2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1" s="85"/>
      <c r="AQ201" s="24" t="str">
        <f aca="false">IF(Tasks[[#This Row],[Task Name]]="","",Tasks[[#This Row],[_Pred1IDText]]&amp;IF(AND(Tasks[[#This Row],[_Pred1IDText]]&lt;&gt;"",Tasks[[#This Row],[_Pred2IDText]]&lt;&gt;""),",","")&amp;Tasks[[#This Row],[_Pred2IDText]])</f>
        <v/>
      </c>
      <c r="AR201" s="30"/>
      <c r="AS201" s="25" t="str">
        <f aca="false">IF(Tasks[[#This Row],[Task Name]]="","",Tasks[[#This Row],[Forecast Start]])</f>
        <v/>
      </c>
      <c r="AT201" s="25" t="str">
        <f aca="false">IF(Tasks[[#This Row],[Task Name]]="","",Tasks[[#This Row],[Forecast Finish]])</f>
        <v/>
      </c>
      <c r="AU201" s="28" t="str">
        <f aca="false">IF(Tasks[[#This Row],[Task Name]]="","",IF(Tasks[[#This Row],[_IsSummary]],NETWORKDAYS.INTL(Tasks[[#This Row],[Forecast Start]],Tasks[[#This Row],[Forecast Finish]],WorkWeek,Holidays),N(Tasks[[#This Row],[Duration]])))</f>
        <v/>
      </c>
      <c r="AV201" s="98" t="str">
        <f aca="false">IF(Tasks[[#This Row],[Task Name]]="","",Tasks[[#This Row],[Work]])</f>
        <v/>
      </c>
      <c r="AW201" s="99" t="str">
        <f aca="false">IF(Tasks[[#This Row],[Task Name]]="","",Tasks[[#This Row],[Cost]])</f>
        <v/>
      </c>
      <c r="AX201" s="77"/>
      <c r="AY201" s="77"/>
      <c r="AZ201" s="29"/>
      <c r="BA201" s="101"/>
      <c r="BB201" s="100"/>
      <c r="BC201" s="28" t="str">
        <f aca="false">IF(OR(Tasks[[#This Row],[Task Name]]="",Tasks[[#This Row],[Baseline Duration]]=""),"",Tasks[[#This Row],[BL Source Duration]]-N(Tasks[[#This Row],[Baseline Duration]]))</f>
        <v/>
      </c>
      <c r="BD201" s="98" t="str">
        <f aca="false">IF(OR(Tasks[[#This Row],[Task Name]]="",Tasks[[#This Row],[Baseline Work]]=""),"",Tasks[[#This Row],[Work]]-N(Tasks[[#This Row],[Baseline Work]]))</f>
        <v/>
      </c>
      <c r="BE201" s="99" t="str">
        <f aca="false">IF(OR(Tasks[[#This Row],[Task Name]]="",Tasks[[#This Row],[Baseline Cost]]=""),"",Tasks[[#This Row],[Cost]]-N(Tasks[[#This Row],[Baseline Cost]]))</f>
        <v/>
      </c>
      <c r="BF201" s="99" t="str">
        <f aca="false">IF(Tasks[[#This Row],[Task Name]]="","",IF(Tasks[[#This Row],[_IsSummary]],SUM(INDEX(Tasks[_LeafBudget],Tasks[[#This Row],[_Row]]+1):INDEX(Tasks[_LeafBudget],Tasks[[#This Row],[_Row]]+Tasks[[#This Row],[_Descendants]])),Tasks[[#This Row],[_LeafBudget]]))</f>
        <v/>
      </c>
      <c r="BG201" s="99" t="str">
        <f aca="false">IF(Tasks[[#This Row],[Task Name]]="","",IF(Tasks[[#This Row],[_IsSummary]],SUM(INDEX(Tasks[_LeafPV],Tasks[[#This Row],[_Row]]+1):INDEX(Tasks[_LeafPV],Tasks[[#This Row],[_Row]]+Tasks[[#This Row],[_Descendants]])),Tasks[[#This Row],[_LeafPV]]))</f>
        <v/>
      </c>
      <c r="BH201" s="99" t="str">
        <f aca="false">IF(Tasks[[#This Row],[Task Name]]="","",IF(Tasks[[#This Row],[_IsSummary]],SUM(INDEX(Tasks[_LeafEV],Tasks[[#This Row],[_Row]]+1):INDEX(Tasks[_LeafEV],Tasks[[#This Row],[_Row]]+Tasks[[#This Row],[_Descendants]])),Tasks[[#This Row],[_LeafEV]]))</f>
        <v/>
      </c>
      <c r="BI201" s="99" t="str">
        <f aca="false">IF(Tasks[[#This Row],[Task Name]]="","",IF(Tasks[[#This Row],[_IsSummary]],SUM(INDEX(Tasks[_LeafAC],Tasks[[#This Row],[_Row]]+1):INDEX(Tasks[_LeafAC],Tasks[[#This Row],[_Row]]+Tasks[[#This Row],[_Descendants]])),Tasks[[#This Row],[_LeafAC]]))</f>
        <v/>
      </c>
      <c r="BJ201" s="41" t="str">
        <f aca="false">IF(Tasks[[#This Row],[Task Name]]="","",MAX(1,N(Tasks[[#This Row],[Level]])))</f>
        <v/>
      </c>
      <c r="BK201" s="41" t="n">
        <f aca="false">ROW()-ROW(Tasks[[#Headers],[ID]])</f>
        <v>196</v>
      </c>
      <c r="BL201" s="41" t="n">
        <f aca="false">IF(OR(Tasks[[#This Row],[Task Name]]="",Tasks[[#This Row],[_Level]]&lt;=1),0,IFERROR(LOOKUP(2,1/(Tasks[[#Headers],[_Level]]:Tasks[[#This Row],[_Level]]=Tasks[[#This Row],[_Level]]-1),ROW(Tasks[[#Headers],[_Level]]:Tasks[[#This Row],[_Level]])),0))</f>
        <v>0</v>
      </c>
      <c r="BM201" s="41" t="n">
        <f aca="false">IFERROR(N(INDEX(Tasks[_Level],Tasks[[#This Row],[_Row]]+1)),0)</f>
        <v>0</v>
      </c>
      <c r="BN201" s="102" t="b">
        <f aca="false">AND(Tasks[[#This Row],[Task Name]]&lt;&gt;"",Tasks[[#This Row],[_NextLevel]]&gt;Tasks[[#This Row],[_Level]])</f>
        <v>0</v>
      </c>
      <c r="BO201" s="41" t="n">
        <f aca="false">IF(Tasks[[#This Row],[_IsSummary]],COUNTIF(Tasks[WBS],Tasks[[#This Row],[WBS]]&amp;".*"),0)</f>
        <v>0</v>
      </c>
      <c r="BP201" s="41" t="n">
        <f aca="false">IF(AND(Tasks[[#This Row],[Task Name]]&lt;&gt;"",NOT(Tasks[[#This Row],[_IsSummary]])),1,0)</f>
        <v>0</v>
      </c>
      <c r="BQ201" s="41" t="n">
        <f aca="false">IF(N(Tasks[[#This Row],[Pred1 UID]])=0,0,IFERROR(MATCH(Tasks[[#This Row],[Pred1 UID]],Tasks[UID],0),-1))</f>
        <v>0</v>
      </c>
      <c r="BR201" s="41" t="n">
        <f aca="false">IF(N(Tasks[[#This Row],[Pred2 UID]])=0,0,IFERROR(MATCH(Tasks[[#This Row],[Pred2 UID]],Tasks[UID],0),-1))</f>
        <v>0</v>
      </c>
      <c r="BS201"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1" s="103" t="str">
        <f aca="false">IF(NOT(Tasks[[#This Row],[_IsLeaf]]=1),"",IF(N(Tasks[[#This Row],[Duration]])&lt;=0,Tasks[[#This Row],[_LeafCalcStart]],WORKDAY.INTL(Tasks[[#This Row],[_LeafCalcStart]],Tasks[[#This Row],[Duration]]-1,WorkWeek,Holidays)))</f>
        <v/>
      </c>
      <c r="BU201"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1"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1" s="41" t="n">
        <f aca="false">IF(NOT(Tasks[[#This Row],[_IsLeaf]]=1),0,IF(N(Tasks[[#This Row],[Actual Finish]])&gt;0,1,MIN(1,N(Tasks[[#This Row],[% Complete]]))))</f>
        <v>0</v>
      </c>
      <c r="BX201" s="41" t="n">
        <f aca="false">IF(OR(NOT(Tasks[[#This Row],[_IsLeaf]]=1),Tasks[[#This Row],[Resource]]=""),0,N(Tasks[[#This Row],[Duration]])*HoursPerDay*IF(Tasks[[#This Row],[Units]]="",DefaultUnits,Tasks[[#This Row],[Units]]))</f>
        <v>0</v>
      </c>
      <c r="BY201" s="41" t="n">
        <f aca="false">IF(Tasks[[#This Row],[_LeafWork]]=0,0,Tasks[[#This Row],[_LeafWork]]*IFERROR(INDEX(res_Rate,MATCH(Tasks[[#This Row],[Resource]],res_Name,0)),0))</f>
        <v>0</v>
      </c>
      <c r="BZ2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1" s="41" t="n">
        <f aca="false">IF(NOT(Tasks[[#This Row],[_IsLeaf]]=1),0,MAX(_xlfn.MAXIFS(Tasks[_Row],Tasks[Pred1 UID],Tasks[[#This Row],[UID]]),_xlfn.MAXIFS(Tasks[_Row],Tasks[Pred2 UID],Tasks[[#This Row],[UID]])))</f>
        <v>0</v>
      </c>
      <c r="CE201"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1" s="103" t="str">
        <f aca="false">IF(NOT(Tasks[[#This Row],[_IsLeaf]]=1),"",MIN(ProjectFinish,IF(N(Tasks[[#This Row],[Deadline]])&gt;0,Tasks[[#This Row],[Deadline]],2958465),Tasks[[#This Row],[_SuccessorFinishLimit]]))</f>
        <v/>
      </c>
      <c r="CG201" s="103" t="str">
        <f aca="false">IF(NOT(Tasks[[#This Row],[_IsLeaf]]=1),"",IF(N(Tasks[[#This Row],[Duration]])&lt;=0,Tasks[[#This Row],[_LeafLateFinish]],WORKDAY.INTL(Tasks[[#This Row],[_LeafLateFinish]],-(Tasks[[#This Row],[Duration]]-1),WorkWeek,Holidays)))</f>
        <v/>
      </c>
      <c r="CH2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1" s="102" t="b">
        <f aca="false">AND(Tasks[[#This Row],[_IsLeaf]]=1,Tasks[[#This Row],[_LeafProgress]]&lt;1,N(Tasks[[#This Row],[_LeafTotalSlack]])&lt;=CriticalSlackDays)</f>
        <v>0</v>
      </c>
      <c r="CJ201" s="103" t="str">
        <f aca="false">IF(Tasks[[#This Row],[Task Name]]="","",IF(Tasks[[#This Row],[_IsSummary]],MIN(INDEX(Tasks[_LeafCalcStart],Tasks[[#This Row],[_Row]]+1):INDEX(Tasks[_LeafCalcStart],Tasks[[#This Row],[_Row]]+Tasks[[#This Row],[_Descendants]])),Tasks[[#This Row],[_LeafCalcStart]]))</f>
        <v/>
      </c>
      <c r="CK201" s="103" t="str">
        <f aca="false">IF(Tasks[[#This Row],[Task Name]]="","",IF(Tasks[[#This Row],[_IsSummary]],MAX(INDEX(Tasks[_LeafCalcFinish],Tasks[[#This Row],[_Row]]+1):INDEX(Tasks[_LeafCalcFinish],Tasks[[#This Row],[_Row]]+Tasks[[#This Row],[_Descendants]])),Tasks[[#This Row],[_LeafCalcFinish]]))</f>
        <v/>
      </c>
      <c r="CL2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1"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1"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1"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1"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1" s="41" t="n">
        <f aca="false">IF(AND(Tasks[[#This Row],[_IsLeaf]]=1,Tasks[[#This Row],[_LeafWork]]&gt;0),NETWORKDAYS.INTL(ProjectStart,Tasks[[#This Row],[_LeafFcstStart]],WorkWeek,Holidays),0)</f>
        <v>0</v>
      </c>
      <c r="CS201" s="41" t="n">
        <f aca="false">IF(AND(Tasks[[#This Row],[_IsLeaf]]=1,Tasks[[#This Row],[_LeafWork]]&gt;0),MAX(Tasks[[#This Row],[_StartWorkday]],NETWORKDAYS.INTL(ProjectStart,Tasks[[#This Row],[_LeafFcstFinish]],WorkWeek,Holidays)),0)</f>
        <v>0</v>
      </c>
      <c r="CT201" s="41" t="n">
        <f aca="false">IF(AND(Tasks[[#This Row],[_IsLeaf]]=1,Tasks[[#This Row],[_LeafWork]]&gt;0),Tasks[[#This Row],[_LeafWork]]/(Tasks[[#This Row],[_FinishWorkday]]-Tasks[[#This Row],[_StartWorkday]]+1),0)</f>
        <v>0</v>
      </c>
      <c r="CU201" s="41" t="n">
        <f aca="false">Tasks[[#This Row],[_WorkPerWorkday]]*(Tasks[[#This Row],[_StartWorkday]]-1)</f>
        <v>-0</v>
      </c>
      <c r="CV201" s="41" t="n">
        <f aca="false">IF(Tasks[[#This Row],[_IsLeaf]]=1,MAX(N(Tasks[[#This Row],[Duration]]),0.1),0)</f>
        <v>0</v>
      </c>
      <c r="CW201" s="41" t="n">
        <f aca="false">Tasks[[#This Row],[_WeightDur]]*Tasks[[#This Row],[_LeafProgress]]</f>
        <v>0</v>
      </c>
      <c r="CX2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1" s="41" t="str">
        <f aca="false">IF(Tasks[[#This Row],[Task Name]]="","",Tasks[[#This Row],[_Pred1UIDText]]&amp;IF(AND(Tasks[[#This Row],[_Pred1UIDText]]&lt;&gt;"",Tasks[[#This Row],[_Pred2UIDText]]&lt;&gt;""),",","")&amp;Tasks[[#This Row],[_Pred2UIDText]])</f>
        <v/>
      </c>
      <c r="DC201" s="41" t="str">
        <f aca="false">IF(AND(Tasks[[#This Row],[_IsLeaf]]=1,N(Tasks[[#This Row],[Duration]])=0,Tasks[[#This Row],[_LeafProgress]]&lt;1),Tasks[[#This Row],[_LeafFcstFinish]]+Tasks[[#This Row],[_Row]]/100000,"")</f>
        <v/>
      </c>
      <c r="DD2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1" s="41" t="n">
        <f aca="false">IF(NOT(Tasks[[#This Row],[_IsLeaf]]=1),0,IF(Tasks[[#This Row],[Baseline Cost]]="",Tasks[[#This Row],[_LeafCost]],N(Tasks[[#This Row],[Baseline Cost]])))</f>
        <v>0</v>
      </c>
      <c r="DF201" s="41" t="n">
        <f aca="false">Tasks[[#This Row],[_LeafBudget]]*Tasks[[#This Row],[_PlannedPct]]</f>
        <v>0</v>
      </c>
      <c r="DG201" s="41" t="n">
        <f aca="false">Tasks[[#This Row],[_LeafBudget]]*Tasks[[#This Row],[_LeafProgress]]</f>
        <v>0</v>
      </c>
      <c r="DH201" s="41" t="n">
        <f aca="false">IF(NOT(Tasks[[#This Row],[_IsLeaf]]=1),0,IF(Tasks[[#This Row],[Actual Cost]]="",Tasks[[#This Row],[_LeafCost]]*Tasks[[#This Row],[_LeafProgress]],N(Tasks[[#This Row],[Actual Cost]])))</f>
        <v>0</v>
      </c>
      <c r="DI201" s="41" t="str">
        <f aca="false">IF(Tasks[[#This Row],[Task Name]]="","",LEFT(Tasks[[#This Row],[WBS]],FIND(".",Tasks[[#This Row],[WBS]]&amp;".")-1))</f>
        <v/>
      </c>
      <c r="DJ201" s="41" t="str">
        <f aca="false">IF(AND(Tasks[[#This Row],[Task Name]]&lt;&gt;"",Tasks[[#This Row],[_Level]]=1),Tasks[[#This Row],[_Row]],"")</f>
        <v/>
      </c>
      <c r="DK201" s="41" t="str">
        <f aca="false">IF(AND(Tasks[[#This Row],[_IsLeaf]]=1,N(Tasks[[#This Row],[Duration]])=0),Tasks[[#This Row],[Planned Finish]]+Tasks[[#This Row],[_Row]]/100000,"")</f>
        <v/>
      </c>
      <c r="DL201" s="41" t="str">
        <f aca="false">IF(AND(Tasks[[#This Row],[_IsLeaf]]=1,Tasks[[#This Row],[_LeafProgress]]&lt;1,OR(N(Tasks[[#This Row],[Finish Var]])&gt;0,Tasks[[#This Row],[Status]]="Late Start")),MAX(0,Tasks[[#This Row],[Finish Var]])+1-Tasks[[#This Row],[_Row]]/1000000,"")</f>
        <v/>
      </c>
      <c r="DM201" s="41" t="str">
        <f aca="false">IF(AND(Tasks[[#This Row],[_IsLeaf]]=1,N(Tasks[[#This Row],[Actual Start]])=0,Tasks[[#This Row],[_LeafFcstStart]]&gt;=StatusDate,Tasks[[#This Row],[_LeafFcstStart]]&lt;=LookaheadEnd),Tasks[[#This Row],[_LeafFcstStart]]+Tasks[[#This Row],[_Row]]/100000,"")</f>
        <v/>
      </c>
      <c r="DN201" s="41" t="str">
        <f aca="false">IF(AND(Tasks[[#This Row],[_IsLeaf]]=1,Tasks[[#This Row],[_LeafProgress]]&lt;1,Tasks[[#This Row],[_LeafFcstFinish]]&gt;=StatusDate,Tasks[[#This Row],[_LeafFcstFinish]]&lt;=LookaheadEnd),Tasks[[#This Row],[_LeafFcstFinish]]+Tasks[[#This Row],[_Row]]/100000,"")</f>
        <v/>
      </c>
      <c r="DO201" s="41" t="str">
        <f aca="false">IF(Tasks[[#This Row],[_LeafCritical]],Tasks[[#This Row],[_LeafFcstStart]]+Tasks[[#This Row],[_Row]]/100000,"")</f>
        <v/>
      </c>
      <c r="DP201" s="41" t="n">
        <f aca="false">Tasks[[#This Row],[_LeafWork]]*Tasks[[#This Row],[_LeafProgress]]</f>
        <v>0</v>
      </c>
      <c r="DQ201" s="103" t="str">
        <f aca="false">IF(AND(Tasks[[#This Row],[_IsLeaf]]=1,Tasks[[#This Row],[_LeafProgress]]&gt;=1),IF(N(Tasks[[#This Row],[Actual Finish]])&gt;0,Tasks[[#This Row],[Actual Finish]],Tasks[[#This Row],[_LeafFcstFinish]]),"")</f>
        <v/>
      </c>
      <c r="DR201" s="41" t="n">
        <f aca="false">IF(Tasks[[#This Row],[_IsLeaf]]=1,N(Tasks[[#This Row],[Story Points]]),0)</f>
        <v>0</v>
      </c>
      <c r="DS201" s="41" t="str">
        <f aca="false">IF(AND(Tasks[[#This Row],[_IsLeaf]]=1,CurrentSprint&lt;&gt;"",Tasks[[#This Row],[Sprint]]=CurrentSprint),Tasks[[#This Row],[_Row]],"")</f>
        <v/>
      </c>
    </row>
    <row r="202" customFormat="false" ht="15" hidden="false" customHeight="false" outlineLevel="0" collapsed="false">
      <c r="A202" s="28" t="str">
        <f aca="false">IF(Tasks[[#This Row],[Task Name]]="","",COUNTA(Tasks[[#Headers],[Task Name]]:Tasks[[#This Row],[Task Name]])-1)</f>
        <v/>
      </c>
      <c r="B202" s="29" t="n">
        <v>197</v>
      </c>
      <c r="C2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29"/>
      <c r="E202" s="30"/>
      <c r="F202" s="29"/>
      <c r="G202" s="29"/>
      <c r="H202" s="29"/>
      <c r="I202" s="29"/>
      <c r="J202" s="29"/>
      <c r="K202" s="29"/>
      <c r="L202" s="29"/>
      <c r="M202" s="29"/>
      <c r="N202" s="77"/>
      <c r="O202" s="77"/>
      <c r="P202" s="25" t="str">
        <f aca="false">IF(Tasks[[#This Row],[Task Name]]="","",IF(N(Tasks[[#This Row],[Baseline Start]])&gt;0,Tasks[[#This Row],[Baseline Start]],Tasks[[#This Row],[_CalcStart]]))</f>
        <v/>
      </c>
      <c r="Q202" s="25" t="str">
        <f aca="false">IF(Tasks[[#This Row],[Task Name]]="","",IF(N(Tasks[[#This Row],[Baseline Finish]])&gt;0,Tasks[[#This Row],[Baseline Finish]],Tasks[[#This Row],[_CalcFinish]]))</f>
        <v/>
      </c>
      <c r="R202" s="77"/>
      <c r="S202" s="77"/>
      <c r="T202" s="25" t="str">
        <f aca="false">IF(Tasks[[#This Row],[Task Name]]="","",IF(Tasks[[#This Row],[_IsSummary]],MIN(INDEX(Tasks[_LeafFcstStart],Tasks[[#This Row],[_Row]]+1):INDEX(Tasks[_LeafFcstStart],Tasks[[#This Row],[_Row]]+Tasks[[#This Row],[_Descendants]])),Tasks[[#This Row],[_LeafFcstStart]]))</f>
        <v/>
      </c>
      <c r="U202" s="25" t="str">
        <f aca="false">IF(Tasks[[#This Row],[Task Name]]="","",IF(Tasks[[#This Row],[_IsSummary]],MAX(INDEX(Tasks[_LeafFcstFinish],Tasks[[#This Row],[_Row]]+1):INDEX(Tasks[_LeafFcstFinish],Tasks[[#This Row],[_Row]]+Tasks[[#This Row],[_Descendants]])),Tasks[[#This Row],[_LeafFcstFinish]]))</f>
        <v/>
      </c>
      <c r="V202"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2"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2" s="25" t="str">
        <f aca="false">IF(Tasks[[#This Row],[Task Name]]="","",IF(Tasks[[#This Row],[_IsSummary]],MIN(INDEX(Tasks[_LeafLateStart],Tasks[[#This Row],[_Row]]+1):INDEX(Tasks[_LeafLateStart],Tasks[[#This Row],[_Row]]+Tasks[[#This Row],[_Descendants]])),Tasks[[#This Row],[_LeafLateStart]]))</f>
        <v/>
      </c>
      <c r="Y202" s="25" t="str">
        <f aca="false">IF(Tasks[[#This Row],[Task Name]]="","",IF(Tasks[[#This Row],[_IsSummary]],MAX(INDEX(Tasks[_LeafLateFinish],Tasks[[#This Row],[_Row]]+1):INDEX(Tasks[_LeafLateFinish],Tasks[[#This Row],[_Row]]+Tasks[[#This Row],[_Descendants]])),Tasks[[#This Row],[_LeafLateFinish]]))</f>
        <v/>
      </c>
      <c r="Z202" s="43" t="str">
        <f aca="false">IF(Tasks[[#This Row],[Task Name]]="","",IF(Tasks[[#This Row],[_IsSummary]],MIN(INDEX(Tasks[_LeafTotalSlack],Tasks[[#This Row],[_Row]]+1):INDEX(Tasks[_LeafTotalSlack],Tasks[[#This Row],[_Row]]+Tasks[[#This Row],[_Descendants]])),Tasks[[#This Row],[_LeafTotalSlack]]))</f>
        <v/>
      </c>
      <c r="AA2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2" s="28" t="str">
        <f aca="false">IF(Tasks[[#This Row],[Task Name]]="","",IF(IF(Tasks[[#This Row],[_IsSummary]],COUNTIF(INDEX(Tasks[_LeafCritical],Tasks[[#This Row],[_Row]]+1):INDEX(Tasks[_LeafCritical],Tasks[[#This Row],[_Row]]+Tasks[[#This Row],[_Descendants]]),TRUE())&gt;0,Tasks[[#This Row],[_LeafCritical]]),"Yes",""))</f>
        <v/>
      </c>
      <c r="AC2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2" s="24" t="str">
        <f aca="false">IF(Tasks[[#This Row],[Task Name]]="","",TRIM(IF(Tasks[[#This Row],[_Pred1Problem]]&lt;&gt;"","Pred 1: "&amp;Tasks[[#This Row],[_Pred1Problem]]&amp;". ","")&amp;IF(Tasks[[#This Row],[_Pred2Problem]]&lt;&gt;"","Pred 2: "&amp;Tasks[[#This Row],[_Pred2Problem]]&amp;".","")))</f>
        <v/>
      </c>
      <c r="AE202" s="91"/>
      <c r="AF202"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2" s="28" t="str">
        <f aca="false">IF(Tasks[[#This Row],[Task Name]]="","",IF(Tasks[[#This Row],[Progress]]&gt;=1,"Complete",IF(OR(N(Tasks[[#This Row],[Actual Start]])&gt;0,Tasks[[#This Row],[Progress]]&gt;0),IF(Tasks[[#This Row],[Finish Var]]&gt;0,"Behind","In Progress"),IF(Tasks[[#This Row],[Planned Start]]&lt;StatusDate,"Late Start","Not Started"))))</f>
        <v/>
      </c>
      <c r="AH202" s="30"/>
      <c r="AI202" s="91"/>
      <c r="AJ20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2" s="98" t="str">
        <f aca="false">IF(Tasks[[#This Row],[Task Name]]="","",IF(Tasks[[#This Row],[_IsSummary]],SUM(INDEX(Tasks[_LeafWork],Tasks[[#This Row],[_Row]]+1):INDEX(Tasks[_LeafWork],Tasks[[#This Row],[_Row]]+Tasks[[#This Row],[_Descendants]])),Tasks[[#This Row],[_LeafWork]]))</f>
        <v/>
      </c>
      <c r="AL202" s="99" t="str">
        <f aca="false">IF(Tasks[[#This Row],[Task Name]]="","",IF(Tasks[[#This Row],[_IsSummary]],SUM(INDEX(Tasks[_LeafCost],Tasks[[#This Row],[_Row]]+1):INDEX(Tasks[_LeafCost],Tasks[[#This Row],[_Row]]+Tasks[[#This Row],[_Descendants]])),Tasks[[#This Row],[_LeafCost]]))</f>
        <v/>
      </c>
      <c r="AM202" s="100"/>
      <c r="AN202" s="29"/>
      <c r="AO2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2" s="85"/>
      <c r="AQ202" s="24" t="str">
        <f aca="false">IF(Tasks[[#This Row],[Task Name]]="","",Tasks[[#This Row],[_Pred1IDText]]&amp;IF(AND(Tasks[[#This Row],[_Pred1IDText]]&lt;&gt;"",Tasks[[#This Row],[_Pred2IDText]]&lt;&gt;""),",","")&amp;Tasks[[#This Row],[_Pred2IDText]])</f>
        <v/>
      </c>
      <c r="AR202" s="30"/>
      <c r="AS202" s="25" t="str">
        <f aca="false">IF(Tasks[[#This Row],[Task Name]]="","",Tasks[[#This Row],[Forecast Start]])</f>
        <v/>
      </c>
      <c r="AT202" s="25" t="str">
        <f aca="false">IF(Tasks[[#This Row],[Task Name]]="","",Tasks[[#This Row],[Forecast Finish]])</f>
        <v/>
      </c>
      <c r="AU202" s="28" t="str">
        <f aca="false">IF(Tasks[[#This Row],[Task Name]]="","",IF(Tasks[[#This Row],[_IsSummary]],NETWORKDAYS.INTL(Tasks[[#This Row],[Forecast Start]],Tasks[[#This Row],[Forecast Finish]],WorkWeek,Holidays),N(Tasks[[#This Row],[Duration]])))</f>
        <v/>
      </c>
      <c r="AV202" s="98" t="str">
        <f aca="false">IF(Tasks[[#This Row],[Task Name]]="","",Tasks[[#This Row],[Work]])</f>
        <v/>
      </c>
      <c r="AW202" s="99" t="str">
        <f aca="false">IF(Tasks[[#This Row],[Task Name]]="","",Tasks[[#This Row],[Cost]])</f>
        <v/>
      </c>
      <c r="AX202" s="77"/>
      <c r="AY202" s="77"/>
      <c r="AZ202" s="29"/>
      <c r="BA202" s="101"/>
      <c r="BB202" s="100"/>
      <c r="BC202" s="28" t="str">
        <f aca="false">IF(OR(Tasks[[#This Row],[Task Name]]="",Tasks[[#This Row],[Baseline Duration]]=""),"",Tasks[[#This Row],[BL Source Duration]]-N(Tasks[[#This Row],[Baseline Duration]]))</f>
        <v/>
      </c>
      <c r="BD202" s="98" t="str">
        <f aca="false">IF(OR(Tasks[[#This Row],[Task Name]]="",Tasks[[#This Row],[Baseline Work]]=""),"",Tasks[[#This Row],[Work]]-N(Tasks[[#This Row],[Baseline Work]]))</f>
        <v/>
      </c>
      <c r="BE202" s="99" t="str">
        <f aca="false">IF(OR(Tasks[[#This Row],[Task Name]]="",Tasks[[#This Row],[Baseline Cost]]=""),"",Tasks[[#This Row],[Cost]]-N(Tasks[[#This Row],[Baseline Cost]]))</f>
        <v/>
      </c>
      <c r="BF202" s="99" t="str">
        <f aca="false">IF(Tasks[[#This Row],[Task Name]]="","",IF(Tasks[[#This Row],[_IsSummary]],SUM(INDEX(Tasks[_LeafBudget],Tasks[[#This Row],[_Row]]+1):INDEX(Tasks[_LeafBudget],Tasks[[#This Row],[_Row]]+Tasks[[#This Row],[_Descendants]])),Tasks[[#This Row],[_LeafBudget]]))</f>
        <v/>
      </c>
      <c r="BG202" s="99" t="str">
        <f aca="false">IF(Tasks[[#This Row],[Task Name]]="","",IF(Tasks[[#This Row],[_IsSummary]],SUM(INDEX(Tasks[_LeafPV],Tasks[[#This Row],[_Row]]+1):INDEX(Tasks[_LeafPV],Tasks[[#This Row],[_Row]]+Tasks[[#This Row],[_Descendants]])),Tasks[[#This Row],[_LeafPV]]))</f>
        <v/>
      </c>
      <c r="BH202" s="99" t="str">
        <f aca="false">IF(Tasks[[#This Row],[Task Name]]="","",IF(Tasks[[#This Row],[_IsSummary]],SUM(INDEX(Tasks[_LeafEV],Tasks[[#This Row],[_Row]]+1):INDEX(Tasks[_LeafEV],Tasks[[#This Row],[_Row]]+Tasks[[#This Row],[_Descendants]])),Tasks[[#This Row],[_LeafEV]]))</f>
        <v/>
      </c>
      <c r="BI202" s="99" t="str">
        <f aca="false">IF(Tasks[[#This Row],[Task Name]]="","",IF(Tasks[[#This Row],[_IsSummary]],SUM(INDEX(Tasks[_LeafAC],Tasks[[#This Row],[_Row]]+1):INDEX(Tasks[_LeafAC],Tasks[[#This Row],[_Row]]+Tasks[[#This Row],[_Descendants]])),Tasks[[#This Row],[_LeafAC]]))</f>
        <v/>
      </c>
      <c r="BJ202" s="41" t="str">
        <f aca="false">IF(Tasks[[#This Row],[Task Name]]="","",MAX(1,N(Tasks[[#This Row],[Level]])))</f>
        <v/>
      </c>
      <c r="BK202" s="41" t="n">
        <f aca="false">ROW()-ROW(Tasks[[#Headers],[ID]])</f>
        <v>197</v>
      </c>
      <c r="BL202" s="41" t="n">
        <f aca="false">IF(OR(Tasks[[#This Row],[Task Name]]="",Tasks[[#This Row],[_Level]]&lt;=1),0,IFERROR(LOOKUP(2,1/(Tasks[[#Headers],[_Level]]:Tasks[[#This Row],[_Level]]=Tasks[[#This Row],[_Level]]-1),ROW(Tasks[[#Headers],[_Level]]:Tasks[[#This Row],[_Level]])),0))</f>
        <v>0</v>
      </c>
      <c r="BM202" s="41" t="n">
        <f aca="false">IFERROR(N(INDEX(Tasks[_Level],Tasks[[#This Row],[_Row]]+1)),0)</f>
        <v>0</v>
      </c>
      <c r="BN202" s="102" t="b">
        <f aca="false">AND(Tasks[[#This Row],[Task Name]]&lt;&gt;"",Tasks[[#This Row],[_NextLevel]]&gt;Tasks[[#This Row],[_Level]])</f>
        <v>0</v>
      </c>
      <c r="BO202" s="41" t="n">
        <f aca="false">IF(Tasks[[#This Row],[_IsSummary]],COUNTIF(Tasks[WBS],Tasks[[#This Row],[WBS]]&amp;".*"),0)</f>
        <v>0</v>
      </c>
      <c r="BP202" s="41" t="n">
        <f aca="false">IF(AND(Tasks[[#This Row],[Task Name]]&lt;&gt;"",NOT(Tasks[[#This Row],[_IsSummary]])),1,0)</f>
        <v>0</v>
      </c>
      <c r="BQ202" s="41" t="n">
        <f aca="false">IF(N(Tasks[[#This Row],[Pred1 UID]])=0,0,IFERROR(MATCH(Tasks[[#This Row],[Pred1 UID]],Tasks[UID],0),-1))</f>
        <v>0</v>
      </c>
      <c r="BR202" s="41" t="n">
        <f aca="false">IF(N(Tasks[[#This Row],[Pred2 UID]])=0,0,IFERROR(MATCH(Tasks[[#This Row],[Pred2 UID]],Tasks[UID],0),-1))</f>
        <v>0</v>
      </c>
      <c r="BS202"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2" s="103" t="str">
        <f aca="false">IF(NOT(Tasks[[#This Row],[_IsLeaf]]=1),"",IF(N(Tasks[[#This Row],[Duration]])&lt;=0,Tasks[[#This Row],[_LeafCalcStart]],WORKDAY.INTL(Tasks[[#This Row],[_LeafCalcStart]],Tasks[[#This Row],[Duration]]-1,WorkWeek,Holidays)))</f>
        <v/>
      </c>
      <c r="BU202"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2"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2" s="41" t="n">
        <f aca="false">IF(NOT(Tasks[[#This Row],[_IsLeaf]]=1),0,IF(N(Tasks[[#This Row],[Actual Finish]])&gt;0,1,MIN(1,N(Tasks[[#This Row],[% Complete]]))))</f>
        <v>0</v>
      </c>
      <c r="BX202" s="41" t="n">
        <f aca="false">IF(OR(NOT(Tasks[[#This Row],[_IsLeaf]]=1),Tasks[[#This Row],[Resource]]=""),0,N(Tasks[[#This Row],[Duration]])*HoursPerDay*IF(Tasks[[#This Row],[Units]]="",DefaultUnits,Tasks[[#This Row],[Units]]))</f>
        <v>0</v>
      </c>
      <c r="BY202" s="41" t="n">
        <f aca="false">IF(Tasks[[#This Row],[_LeafWork]]=0,0,Tasks[[#This Row],[_LeafWork]]*IFERROR(INDEX(res_Rate,MATCH(Tasks[[#This Row],[Resource]],res_Name,0)),0))</f>
        <v>0</v>
      </c>
      <c r="BZ2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2" s="41" t="n">
        <f aca="false">IF(NOT(Tasks[[#This Row],[_IsLeaf]]=1),0,MAX(_xlfn.MAXIFS(Tasks[_Row],Tasks[Pred1 UID],Tasks[[#This Row],[UID]]),_xlfn.MAXIFS(Tasks[_Row],Tasks[Pred2 UID],Tasks[[#This Row],[UID]])))</f>
        <v>0</v>
      </c>
      <c r="CE202"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2" s="103" t="str">
        <f aca="false">IF(NOT(Tasks[[#This Row],[_IsLeaf]]=1),"",MIN(ProjectFinish,IF(N(Tasks[[#This Row],[Deadline]])&gt;0,Tasks[[#This Row],[Deadline]],2958465),Tasks[[#This Row],[_SuccessorFinishLimit]]))</f>
        <v/>
      </c>
      <c r="CG202" s="103" t="str">
        <f aca="false">IF(NOT(Tasks[[#This Row],[_IsLeaf]]=1),"",IF(N(Tasks[[#This Row],[Duration]])&lt;=0,Tasks[[#This Row],[_LeafLateFinish]],WORKDAY.INTL(Tasks[[#This Row],[_LeafLateFinish]],-(Tasks[[#This Row],[Duration]]-1),WorkWeek,Holidays)))</f>
        <v/>
      </c>
      <c r="CH2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2" s="102" t="b">
        <f aca="false">AND(Tasks[[#This Row],[_IsLeaf]]=1,Tasks[[#This Row],[_LeafProgress]]&lt;1,N(Tasks[[#This Row],[_LeafTotalSlack]])&lt;=CriticalSlackDays)</f>
        <v>0</v>
      </c>
      <c r="CJ202" s="103" t="str">
        <f aca="false">IF(Tasks[[#This Row],[Task Name]]="","",IF(Tasks[[#This Row],[_IsSummary]],MIN(INDEX(Tasks[_LeafCalcStart],Tasks[[#This Row],[_Row]]+1):INDEX(Tasks[_LeafCalcStart],Tasks[[#This Row],[_Row]]+Tasks[[#This Row],[_Descendants]])),Tasks[[#This Row],[_LeafCalcStart]]))</f>
        <v/>
      </c>
      <c r="CK202" s="103" t="str">
        <f aca="false">IF(Tasks[[#This Row],[Task Name]]="","",IF(Tasks[[#This Row],[_IsSummary]],MAX(INDEX(Tasks[_LeafCalcFinish],Tasks[[#This Row],[_Row]]+1):INDEX(Tasks[_LeafCalcFinish],Tasks[[#This Row],[_Row]]+Tasks[[#This Row],[_Descendants]])),Tasks[[#This Row],[_LeafCalcFinish]]))</f>
        <v/>
      </c>
      <c r="CL2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2"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2"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2"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2"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2" s="41" t="n">
        <f aca="false">IF(AND(Tasks[[#This Row],[_IsLeaf]]=1,Tasks[[#This Row],[_LeafWork]]&gt;0),NETWORKDAYS.INTL(ProjectStart,Tasks[[#This Row],[_LeafFcstStart]],WorkWeek,Holidays),0)</f>
        <v>0</v>
      </c>
      <c r="CS202" s="41" t="n">
        <f aca="false">IF(AND(Tasks[[#This Row],[_IsLeaf]]=1,Tasks[[#This Row],[_LeafWork]]&gt;0),MAX(Tasks[[#This Row],[_StartWorkday]],NETWORKDAYS.INTL(ProjectStart,Tasks[[#This Row],[_LeafFcstFinish]],WorkWeek,Holidays)),0)</f>
        <v>0</v>
      </c>
      <c r="CT202" s="41" t="n">
        <f aca="false">IF(AND(Tasks[[#This Row],[_IsLeaf]]=1,Tasks[[#This Row],[_LeafWork]]&gt;0),Tasks[[#This Row],[_LeafWork]]/(Tasks[[#This Row],[_FinishWorkday]]-Tasks[[#This Row],[_StartWorkday]]+1),0)</f>
        <v>0</v>
      </c>
      <c r="CU202" s="41" t="n">
        <f aca="false">Tasks[[#This Row],[_WorkPerWorkday]]*(Tasks[[#This Row],[_StartWorkday]]-1)</f>
        <v>-0</v>
      </c>
      <c r="CV202" s="41" t="n">
        <f aca="false">IF(Tasks[[#This Row],[_IsLeaf]]=1,MAX(N(Tasks[[#This Row],[Duration]]),0.1),0)</f>
        <v>0</v>
      </c>
      <c r="CW202" s="41" t="n">
        <f aca="false">Tasks[[#This Row],[_WeightDur]]*Tasks[[#This Row],[_LeafProgress]]</f>
        <v>0</v>
      </c>
      <c r="CX2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2" s="41" t="str">
        <f aca="false">IF(Tasks[[#This Row],[Task Name]]="","",Tasks[[#This Row],[_Pred1UIDText]]&amp;IF(AND(Tasks[[#This Row],[_Pred1UIDText]]&lt;&gt;"",Tasks[[#This Row],[_Pred2UIDText]]&lt;&gt;""),",","")&amp;Tasks[[#This Row],[_Pred2UIDText]])</f>
        <v/>
      </c>
      <c r="DC202" s="41" t="str">
        <f aca="false">IF(AND(Tasks[[#This Row],[_IsLeaf]]=1,N(Tasks[[#This Row],[Duration]])=0,Tasks[[#This Row],[_LeafProgress]]&lt;1),Tasks[[#This Row],[_LeafFcstFinish]]+Tasks[[#This Row],[_Row]]/100000,"")</f>
        <v/>
      </c>
      <c r="DD2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2" s="41" t="n">
        <f aca="false">IF(NOT(Tasks[[#This Row],[_IsLeaf]]=1),0,IF(Tasks[[#This Row],[Baseline Cost]]="",Tasks[[#This Row],[_LeafCost]],N(Tasks[[#This Row],[Baseline Cost]])))</f>
        <v>0</v>
      </c>
      <c r="DF202" s="41" t="n">
        <f aca="false">Tasks[[#This Row],[_LeafBudget]]*Tasks[[#This Row],[_PlannedPct]]</f>
        <v>0</v>
      </c>
      <c r="DG202" s="41" t="n">
        <f aca="false">Tasks[[#This Row],[_LeafBudget]]*Tasks[[#This Row],[_LeafProgress]]</f>
        <v>0</v>
      </c>
      <c r="DH202" s="41" t="n">
        <f aca="false">IF(NOT(Tasks[[#This Row],[_IsLeaf]]=1),0,IF(Tasks[[#This Row],[Actual Cost]]="",Tasks[[#This Row],[_LeafCost]]*Tasks[[#This Row],[_LeafProgress]],N(Tasks[[#This Row],[Actual Cost]])))</f>
        <v>0</v>
      </c>
      <c r="DI202" s="41" t="str">
        <f aca="false">IF(Tasks[[#This Row],[Task Name]]="","",LEFT(Tasks[[#This Row],[WBS]],FIND(".",Tasks[[#This Row],[WBS]]&amp;".")-1))</f>
        <v/>
      </c>
      <c r="DJ202" s="41" t="str">
        <f aca="false">IF(AND(Tasks[[#This Row],[Task Name]]&lt;&gt;"",Tasks[[#This Row],[_Level]]=1),Tasks[[#This Row],[_Row]],"")</f>
        <v/>
      </c>
      <c r="DK202" s="41" t="str">
        <f aca="false">IF(AND(Tasks[[#This Row],[_IsLeaf]]=1,N(Tasks[[#This Row],[Duration]])=0),Tasks[[#This Row],[Planned Finish]]+Tasks[[#This Row],[_Row]]/100000,"")</f>
        <v/>
      </c>
      <c r="DL202" s="41" t="str">
        <f aca="false">IF(AND(Tasks[[#This Row],[_IsLeaf]]=1,Tasks[[#This Row],[_LeafProgress]]&lt;1,OR(N(Tasks[[#This Row],[Finish Var]])&gt;0,Tasks[[#This Row],[Status]]="Late Start")),MAX(0,Tasks[[#This Row],[Finish Var]])+1-Tasks[[#This Row],[_Row]]/1000000,"")</f>
        <v/>
      </c>
      <c r="DM202" s="41" t="str">
        <f aca="false">IF(AND(Tasks[[#This Row],[_IsLeaf]]=1,N(Tasks[[#This Row],[Actual Start]])=0,Tasks[[#This Row],[_LeafFcstStart]]&gt;=StatusDate,Tasks[[#This Row],[_LeafFcstStart]]&lt;=LookaheadEnd),Tasks[[#This Row],[_LeafFcstStart]]+Tasks[[#This Row],[_Row]]/100000,"")</f>
        <v/>
      </c>
      <c r="DN202" s="41" t="str">
        <f aca="false">IF(AND(Tasks[[#This Row],[_IsLeaf]]=1,Tasks[[#This Row],[_LeafProgress]]&lt;1,Tasks[[#This Row],[_LeafFcstFinish]]&gt;=StatusDate,Tasks[[#This Row],[_LeafFcstFinish]]&lt;=LookaheadEnd),Tasks[[#This Row],[_LeafFcstFinish]]+Tasks[[#This Row],[_Row]]/100000,"")</f>
        <v/>
      </c>
      <c r="DO202" s="41" t="str">
        <f aca="false">IF(Tasks[[#This Row],[_LeafCritical]],Tasks[[#This Row],[_LeafFcstStart]]+Tasks[[#This Row],[_Row]]/100000,"")</f>
        <v/>
      </c>
      <c r="DP202" s="41" t="n">
        <f aca="false">Tasks[[#This Row],[_LeafWork]]*Tasks[[#This Row],[_LeafProgress]]</f>
        <v>0</v>
      </c>
      <c r="DQ202" s="103" t="str">
        <f aca="false">IF(AND(Tasks[[#This Row],[_IsLeaf]]=1,Tasks[[#This Row],[_LeafProgress]]&gt;=1),IF(N(Tasks[[#This Row],[Actual Finish]])&gt;0,Tasks[[#This Row],[Actual Finish]],Tasks[[#This Row],[_LeafFcstFinish]]),"")</f>
        <v/>
      </c>
      <c r="DR202" s="41" t="n">
        <f aca="false">IF(Tasks[[#This Row],[_IsLeaf]]=1,N(Tasks[[#This Row],[Story Points]]),0)</f>
        <v>0</v>
      </c>
      <c r="DS202" s="41" t="str">
        <f aca="false">IF(AND(Tasks[[#This Row],[_IsLeaf]]=1,CurrentSprint&lt;&gt;"",Tasks[[#This Row],[Sprint]]=CurrentSprint),Tasks[[#This Row],[_Row]],"")</f>
        <v/>
      </c>
    </row>
    <row r="203" customFormat="false" ht="15" hidden="false" customHeight="false" outlineLevel="0" collapsed="false">
      <c r="A203" s="28" t="str">
        <f aca="false">IF(Tasks[[#This Row],[Task Name]]="","",COUNTA(Tasks[[#Headers],[Task Name]]:Tasks[[#This Row],[Task Name]])-1)</f>
        <v/>
      </c>
      <c r="B203" s="29" t="n">
        <v>198</v>
      </c>
      <c r="C2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29"/>
      <c r="E203" s="30"/>
      <c r="F203" s="29"/>
      <c r="G203" s="29"/>
      <c r="H203" s="29"/>
      <c r="I203" s="29"/>
      <c r="J203" s="29"/>
      <c r="K203" s="29"/>
      <c r="L203" s="29"/>
      <c r="M203" s="29"/>
      <c r="N203" s="77"/>
      <c r="O203" s="77"/>
      <c r="P203" s="25" t="str">
        <f aca="false">IF(Tasks[[#This Row],[Task Name]]="","",IF(N(Tasks[[#This Row],[Baseline Start]])&gt;0,Tasks[[#This Row],[Baseline Start]],Tasks[[#This Row],[_CalcStart]]))</f>
        <v/>
      </c>
      <c r="Q203" s="25" t="str">
        <f aca="false">IF(Tasks[[#This Row],[Task Name]]="","",IF(N(Tasks[[#This Row],[Baseline Finish]])&gt;0,Tasks[[#This Row],[Baseline Finish]],Tasks[[#This Row],[_CalcFinish]]))</f>
        <v/>
      </c>
      <c r="R203" s="77"/>
      <c r="S203" s="77"/>
      <c r="T203" s="25" t="str">
        <f aca="false">IF(Tasks[[#This Row],[Task Name]]="","",IF(Tasks[[#This Row],[_IsSummary]],MIN(INDEX(Tasks[_LeafFcstStart],Tasks[[#This Row],[_Row]]+1):INDEX(Tasks[_LeafFcstStart],Tasks[[#This Row],[_Row]]+Tasks[[#This Row],[_Descendants]])),Tasks[[#This Row],[_LeafFcstStart]]))</f>
        <v/>
      </c>
      <c r="U203" s="25" t="str">
        <f aca="false">IF(Tasks[[#This Row],[Task Name]]="","",IF(Tasks[[#This Row],[_IsSummary]],MAX(INDEX(Tasks[_LeafFcstFinish],Tasks[[#This Row],[_Row]]+1):INDEX(Tasks[_LeafFcstFinish],Tasks[[#This Row],[_Row]]+Tasks[[#This Row],[_Descendants]])),Tasks[[#This Row],[_LeafFcstFinish]]))</f>
        <v/>
      </c>
      <c r="V203"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3"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3" s="25" t="str">
        <f aca="false">IF(Tasks[[#This Row],[Task Name]]="","",IF(Tasks[[#This Row],[_IsSummary]],MIN(INDEX(Tasks[_LeafLateStart],Tasks[[#This Row],[_Row]]+1):INDEX(Tasks[_LeafLateStart],Tasks[[#This Row],[_Row]]+Tasks[[#This Row],[_Descendants]])),Tasks[[#This Row],[_LeafLateStart]]))</f>
        <v/>
      </c>
      <c r="Y203" s="25" t="str">
        <f aca="false">IF(Tasks[[#This Row],[Task Name]]="","",IF(Tasks[[#This Row],[_IsSummary]],MAX(INDEX(Tasks[_LeafLateFinish],Tasks[[#This Row],[_Row]]+1):INDEX(Tasks[_LeafLateFinish],Tasks[[#This Row],[_Row]]+Tasks[[#This Row],[_Descendants]])),Tasks[[#This Row],[_LeafLateFinish]]))</f>
        <v/>
      </c>
      <c r="Z203" s="43" t="str">
        <f aca="false">IF(Tasks[[#This Row],[Task Name]]="","",IF(Tasks[[#This Row],[_IsSummary]],MIN(INDEX(Tasks[_LeafTotalSlack],Tasks[[#This Row],[_Row]]+1):INDEX(Tasks[_LeafTotalSlack],Tasks[[#This Row],[_Row]]+Tasks[[#This Row],[_Descendants]])),Tasks[[#This Row],[_LeafTotalSlack]]))</f>
        <v/>
      </c>
      <c r="AA2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3" s="28" t="str">
        <f aca="false">IF(Tasks[[#This Row],[Task Name]]="","",IF(IF(Tasks[[#This Row],[_IsSummary]],COUNTIF(INDEX(Tasks[_LeafCritical],Tasks[[#This Row],[_Row]]+1):INDEX(Tasks[_LeafCritical],Tasks[[#This Row],[_Row]]+Tasks[[#This Row],[_Descendants]]),TRUE())&gt;0,Tasks[[#This Row],[_LeafCritical]]),"Yes",""))</f>
        <v/>
      </c>
      <c r="AC2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3" s="24" t="str">
        <f aca="false">IF(Tasks[[#This Row],[Task Name]]="","",TRIM(IF(Tasks[[#This Row],[_Pred1Problem]]&lt;&gt;"","Pred 1: "&amp;Tasks[[#This Row],[_Pred1Problem]]&amp;". ","")&amp;IF(Tasks[[#This Row],[_Pred2Problem]]&lt;&gt;"","Pred 2: "&amp;Tasks[[#This Row],[_Pred2Problem]]&amp;".","")))</f>
        <v/>
      </c>
      <c r="AE203" s="91"/>
      <c r="AF203"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3" s="28" t="str">
        <f aca="false">IF(Tasks[[#This Row],[Task Name]]="","",IF(Tasks[[#This Row],[Progress]]&gt;=1,"Complete",IF(OR(N(Tasks[[#This Row],[Actual Start]])&gt;0,Tasks[[#This Row],[Progress]]&gt;0),IF(Tasks[[#This Row],[Finish Var]]&gt;0,"Behind","In Progress"),IF(Tasks[[#This Row],[Planned Start]]&lt;StatusDate,"Late Start","Not Started"))))</f>
        <v/>
      </c>
      <c r="AH203" s="30"/>
      <c r="AI203" s="91"/>
      <c r="AJ20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3" s="98" t="str">
        <f aca="false">IF(Tasks[[#This Row],[Task Name]]="","",IF(Tasks[[#This Row],[_IsSummary]],SUM(INDEX(Tasks[_LeafWork],Tasks[[#This Row],[_Row]]+1):INDEX(Tasks[_LeafWork],Tasks[[#This Row],[_Row]]+Tasks[[#This Row],[_Descendants]])),Tasks[[#This Row],[_LeafWork]]))</f>
        <v/>
      </c>
      <c r="AL203" s="99" t="str">
        <f aca="false">IF(Tasks[[#This Row],[Task Name]]="","",IF(Tasks[[#This Row],[_IsSummary]],SUM(INDEX(Tasks[_LeafCost],Tasks[[#This Row],[_Row]]+1):INDEX(Tasks[_LeafCost],Tasks[[#This Row],[_Row]]+Tasks[[#This Row],[_Descendants]])),Tasks[[#This Row],[_LeafCost]]))</f>
        <v/>
      </c>
      <c r="AM203" s="100"/>
      <c r="AN203" s="29"/>
      <c r="AO2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3" s="85"/>
      <c r="AQ203" s="24" t="str">
        <f aca="false">IF(Tasks[[#This Row],[Task Name]]="","",Tasks[[#This Row],[_Pred1IDText]]&amp;IF(AND(Tasks[[#This Row],[_Pred1IDText]]&lt;&gt;"",Tasks[[#This Row],[_Pred2IDText]]&lt;&gt;""),",","")&amp;Tasks[[#This Row],[_Pred2IDText]])</f>
        <v/>
      </c>
      <c r="AR203" s="30"/>
      <c r="AS203" s="25" t="str">
        <f aca="false">IF(Tasks[[#This Row],[Task Name]]="","",Tasks[[#This Row],[Forecast Start]])</f>
        <v/>
      </c>
      <c r="AT203" s="25" t="str">
        <f aca="false">IF(Tasks[[#This Row],[Task Name]]="","",Tasks[[#This Row],[Forecast Finish]])</f>
        <v/>
      </c>
      <c r="AU203" s="28" t="str">
        <f aca="false">IF(Tasks[[#This Row],[Task Name]]="","",IF(Tasks[[#This Row],[_IsSummary]],NETWORKDAYS.INTL(Tasks[[#This Row],[Forecast Start]],Tasks[[#This Row],[Forecast Finish]],WorkWeek,Holidays),N(Tasks[[#This Row],[Duration]])))</f>
        <v/>
      </c>
      <c r="AV203" s="98" t="str">
        <f aca="false">IF(Tasks[[#This Row],[Task Name]]="","",Tasks[[#This Row],[Work]])</f>
        <v/>
      </c>
      <c r="AW203" s="99" t="str">
        <f aca="false">IF(Tasks[[#This Row],[Task Name]]="","",Tasks[[#This Row],[Cost]])</f>
        <v/>
      </c>
      <c r="AX203" s="77"/>
      <c r="AY203" s="77"/>
      <c r="AZ203" s="29"/>
      <c r="BA203" s="101"/>
      <c r="BB203" s="100"/>
      <c r="BC203" s="28" t="str">
        <f aca="false">IF(OR(Tasks[[#This Row],[Task Name]]="",Tasks[[#This Row],[Baseline Duration]]=""),"",Tasks[[#This Row],[BL Source Duration]]-N(Tasks[[#This Row],[Baseline Duration]]))</f>
        <v/>
      </c>
      <c r="BD203" s="98" t="str">
        <f aca="false">IF(OR(Tasks[[#This Row],[Task Name]]="",Tasks[[#This Row],[Baseline Work]]=""),"",Tasks[[#This Row],[Work]]-N(Tasks[[#This Row],[Baseline Work]]))</f>
        <v/>
      </c>
      <c r="BE203" s="99" t="str">
        <f aca="false">IF(OR(Tasks[[#This Row],[Task Name]]="",Tasks[[#This Row],[Baseline Cost]]=""),"",Tasks[[#This Row],[Cost]]-N(Tasks[[#This Row],[Baseline Cost]]))</f>
        <v/>
      </c>
      <c r="BF203" s="99" t="str">
        <f aca="false">IF(Tasks[[#This Row],[Task Name]]="","",IF(Tasks[[#This Row],[_IsSummary]],SUM(INDEX(Tasks[_LeafBudget],Tasks[[#This Row],[_Row]]+1):INDEX(Tasks[_LeafBudget],Tasks[[#This Row],[_Row]]+Tasks[[#This Row],[_Descendants]])),Tasks[[#This Row],[_LeafBudget]]))</f>
        <v/>
      </c>
      <c r="BG203" s="99" t="str">
        <f aca="false">IF(Tasks[[#This Row],[Task Name]]="","",IF(Tasks[[#This Row],[_IsSummary]],SUM(INDEX(Tasks[_LeafPV],Tasks[[#This Row],[_Row]]+1):INDEX(Tasks[_LeafPV],Tasks[[#This Row],[_Row]]+Tasks[[#This Row],[_Descendants]])),Tasks[[#This Row],[_LeafPV]]))</f>
        <v/>
      </c>
      <c r="BH203" s="99" t="str">
        <f aca="false">IF(Tasks[[#This Row],[Task Name]]="","",IF(Tasks[[#This Row],[_IsSummary]],SUM(INDEX(Tasks[_LeafEV],Tasks[[#This Row],[_Row]]+1):INDEX(Tasks[_LeafEV],Tasks[[#This Row],[_Row]]+Tasks[[#This Row],[_Descendants]])),Tasks[[#This Row],[_LeafEV]]))</f>
        <v/>
      </c>
      <c r="BI203" s="99" t="str">
        <f aca="false">IF(Tasks[[#This Row],[Task Name]]="","",IF(Tasks[[#This Row],[_IsSummary]],SUM(INDEX(Tasks[_LeafAC],Tasks[[#This Row],[_Row]]+1):INDEX(Tasks[_LeafAC],Tasks[[#This Row],[_Row]]+Tasks[[#This Row],[_Descendants]])),Tasks[[#This Row],[_LeafAC]]))</f>
        <v/>
      </c>
      <c r="BJ203" s="41" t="str">
        <f aca="false">IF(Tasks[[#This Row],[Task Name]]="","",MAX(1,N(Tasks[[#This Row],[Level]])))</f>
        <v/>
      </c>
      <c r="BK203" s="41" t="n">
        <f aca="false">ROW()-ROW(Tasks[[#Headers],[ID]])</f>
        <v>198</v>
      </c>
      <c r="BL203" s="41" t="n">
        <f aca="false">IF(OR(Tasks[[#This Row],[Task Name]]="",Tasks[[#This Row],[_Level]]&lt;=1),0,IFERROR(LOOKUP(2,1/(Tasks[[#Headers],[_Level]]:Tasks[[#This Row],[_Level]]=Tasks[[#This Row],[_Level]]-1),ROW(Tasks[[#Headers],[_Level]]:Tasks[[#This Row],[_Level]])),0))</f>
        <v>0</v>
      </c>
      <c r="BM203" s="41" t="n">
        <f aca="false">IFERROR(N(INDEX(Tasks[_Level],Tasks[[#This Row],[_Row]]+1)),0)</f>
        <v>0</v>
      </c>
      <c r="BN203" s="102" t="b">
        <f aca="false">AND(Tasks[[#This Row],[Task Name]]&lt;&gt;"",Tasks[[#This Row],[_NextLevel]]&gt;Tasks[[#This Row],[_Level]])</f>
        <v>0</v>
      </c>
      <c r="BO203" s="41" t="n">
        <f aca="false">IF(Tasks[[#This Row],[_IsSummary]],COUNTIF(Tasks[WBS],Tasks[[#This Row],[WBS]]&amp;".*"),0)</f>
        <v>0</v>
      </c>
      <c r="BP203" s="41" t="n">
        <f aca="false">IF(AND(Tasks[[#This Row],[Task Name]]&lt;&gt;"",NOT(Tasks[[#This Row],[_IsSummary]])),1,0)</f>
        <v>0</v>
      </c>
      <c r="BQ203" s="41" t="n">
        <f aca="false">IF(N(Tasks[[#This Row],[Pred1 UID]])=0,0,IFERROR(MATCH(Tasks[[#This Row],[Pred1 UID]],Tasks[UID],0),-1))</f>
        <v>0</v>
      </c>
      <c r="BR203" s="41" t="n">
        <f aca="false">IF(N(Tasks[[#This Row],[Pred2 UID]])=0,0,IFERROR(MATCH(Tasks[[#This Row],[Pred2 UID]],Tasks[UID],0),-1))</f>
        <v>0</v>
      </c>
      <c r="BS203"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3" s="103" t="str">
        <f aca="false">IF(NOT(Tasks[[#This Row],[_IsLeaf]]=1),"",IF(N(Tasks[[#This Row],[Duration]])&lt;=0,Tasks[[#This Row],[_LeafCalcStart]],WORKDAY.INTL(Tasks[[#This Row],[_LeafCalcStart]],Tasks[[#This Row],[Duration]]-1,WorkWeek,Holidays)))</f>
        <v/>
      </c>
      <c r="BU203"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3"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3" s="41" t="n">
        <f aca="false">IF(NOT(Tasks[[#This Row],[_IsLeaf]]=1),0,IF(N(Tasks[[#This Row],[Actual Finish]])&gt;0,1,MIN(1,N(Tasks[[#This Row],[% Complete]]))))</f>
        <v>0</v>
      </c>
      <c r="BX203" s="41" t="n">
        <f aca="false">IF(OR(NOT(Tasks[[#This Row],[_IsLeaf]]=1),Tasks[[#This Row],[Resource]]=""),0,N(Tasks[[#This Row],[Duration]])*HoursPerDay*IF(Tasks[[#This Row],[Units]]="",DefaultUnits,Tasks[[#This Row],[Units]]))</f>
        <v>0</v>
      </c>
      <c r="BY203" s="41" t="n">
        <f aca="false">IF(Tasks[[#This Row],[_LeafWork]]=0,0,Tasks[[#This Row],[_LeafWork]]*IFERROR(INDEX(res_Rate,MATCH(Tasks[[#This Row],[Resource]],res_Name,0)),0))</f>
        <v>0</v>
      </c>
      <c r="BZ2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3" s="41" t="n">
        <f aca="false">IF(NOT(Tasks[[#This Row],[_IsLeaf]]=1),0,MAX(_xlfn.MAXIFS(Tasks[_Row],Tasks[Pred1 UID],Tasks[[#This Row],[UID]]),_xlfn.MAXIFS(Tasks[_Row],Tasks[Pred2 UID],Tasks[[#This Row],[UID]])))</f>
        <v>0</v>
      </c>
      <c r="CE203"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3" s="103" t="str">
        <f aca="false">IF(NOT(Tasks[[#This Row],[_IsLeaf]]=1),"",MIN(ProjectFinish,IF(N(Tasks[[#This Row],[Deadline]])&gt;0,Tasks[[#This Row],[Deadline]],2958465),Tasks[[#This Row],[_SuccessorFinishLimit]]))</f>
        <v/>
      </c>
      <c r="CG203" s="103" t="str">
        <f aca="false">IF(NOT(Tasks[[#This Row],[_IsLeaf]]=1),"",IF(N(Tasks[[#This Row],[Duration]])&lt;=0,Tasks[[#This Row],[_LeafLateFinish]],WORKDAY.INTL(Tasks[[#This Row],[_LeafLateFinish]],-(Tasks[[#This Row],[Duration]]-1),WorkWeek,Holidays)))</f>
        <v/>
      </c>
      <c r="CH2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3" s="102" t="b">
        <f aca="false">AND(Tasks[[#This Row],[_IsLeaf]]=1,Tasks[[#This Row],[_LeafProgress]]&lt;1,N(Tasks[[#This Row],[_LeafTotalSlack]])&lt;=CriticalSlackDays)</f>
        <v>0</v>
      </c>
      <c r="CJ203" s="103" t="str">
        <f aca="false">IF(Tasks[[#This Row],[Task Name]]="","",IF(Tasks[[#This Row],[_IsSummary]],MIN(INDEX(Tasks[_LeafCalcStart],Tasks[[#This Row],[_Row]]+1):INDEX(Tasks[_LeafCalcStart],Tasks[[#This Row],[_Row]]+Tasks[[#This Row],[_Descendants]])),Tasks[[#This Row],[_LeafCalcStart]]))</f>
        <v/>
      </c>
      <c r="CK203" s="103" t="str">
        <f aca="false">IF(Tasks[[#This Row],[Task Name]]="","",IF(Tasks[[#This Row],[_IsSummary]],MAX(INDEX(Tasks[_LeafCalcFinish],Tasks[[#This Row],[_Row]]+1):INDEX(Tasks[_LeafCalcFinish],Tasks[[#This Row],[_Row]]+Tasks[[#This Row],[_Descendants]])),Tasks[[#This Row],[_LeafCalcFinish]]))</f>
        <v/>
      </c>
      <c r="CL2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3"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3"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3"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3"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3" s="41" t="n">
        <f aca="false">IF(AND(Tasks[[#This Row],[_IsLeaf]]=1,Tasks[[#This Row],[_LeafWork]]&gt;0),NETWORKDAYS.INTL(ProjectStart,Tasks[[#This Row],[_LeafFcstStart]],WorkWeek,Holidays),0)</f>
        <v>0</v>
      </c>
      <c r="CS203" s="41" t="n">
        <f aca="false">IF(AND(Tasks[[#This Row],[_IsLeaf]]=1,Tasks[[#This Row],[_LeafWork]]&gt;0),MAX(Tasks[[#This Row],[_StartWorkday]],NETWORKDAYS.INTL(ProjectStart,Tasks[[#This Row],[_LeafFcstFinish]],WorkWeek,Holidays)),0)</f>
        <v>0</v>
      </c>
      <c r="CT203" s="41" t="n">
        <f aca="false">IF(AND(Tasks[[#This Row],[_IsLeaf]]=1,Tasks[[#This Row],[_LeafWork]]&gt;0),Tasks[[#This Row],[_LeafWork]]/(Tasks[[#This Row],[_FinishWorkday]]-Tasks[[#This Row],[_StartWorkday]]+1),0)</f>
        <v>0</v>
      </c>
      <c r="CU203" s="41" t="n">
        <f aca="false">Tasks[[#This Row],[_WorkPerWorkday]]*(Tasks[[#This Row],[_StartWorkday]]-1)</f>
        <v>-0</v>
      </c>
      <c r="CV203" s="41" t="n">
        <f aca="false">IF(Tasks[[#This Row],[_IsLeaf]]=1,MAX(N(Tasks[[#This Row],[Duration]]),0.1),0)</f>
        <v>0</v>
      </c>
      <c r="CW203" s="41" t="n">
        <f aca="false">Tasks[[#This Row],[_WeightDur]]*Tasks[[#This Row],[_LeafProgress]]</f>
        <v>0</v>
      </c>
      <c r="CX2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3" s="41" t="str">
        <f aca="false">IF(Tasks[[#This Row],[Task Name]]="","",Tasks[[#This Row],[_Pred1UIDText]]&amp;IF(AND(Tasks[[#This Row],[_Pred1UIDText]]&lt;&gt;"",Tasks[[#This Row],[_Pred2UIDText]]&lt;&gt;""),",","")&amp;Tasks[[#This Row],[_Pred2UIDText]])</f>
        <v/>
      </c>
      <c r="DC203" s="41" t="str">
        <f aca="false">IF(AND(Tasks[[#This Row],[_IsLeaf]]=1,N(Tasks[[#This Row],[Duration]])=0,Tasks[[#This Row],[_LeafProgress]]&lt;1),Tasks[[#This Row],[_LeafFcstFinish]]+Tasks[[#This Row],[_Row]]/100000,"")</f>
        <v/>
      </c>
      <c r="DD2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3" s="41" t="n">
        <f aca="false">IF(NOT(Tasks[[#This Row],[_IsLeaf]]=1),0,IF(Tasks[[#This Row],[Baseline Cost]]="",Tasks[[#This Row],[_LeafCost]],N(Tasks[[#This Row],[Baseline Cost]])))</f>
        <v>0</v>
      </c>
      <c r="DF203" s="41" t="n">
        <f aca="false">Tasks[[#This Row],[_LeafBudget]]*Tasks[[#This Row],[_PlannedPct]]</f>
        <v>0</v>
      </c>
      <c r="DG203" s="41" t="n">
        <f aca="false">Tasks[[#This Row],[_LeafBudget]]*Tasks[[#This Row],[_LeafProgress]]</f>
        <v>0</v>
      </c>
      <c r="DH203" s="41" t="n">
        <f aca="false">IF(NOT(Tasks[[#This Row],[_IsLeaf]]=1),0,IF(Tasks[[#This Row],[Actual Cost]]="",Tasks[[#This Row],[_LeafCost]]*Tasks[[#This Row],[_LeafProgress]],N(Tasks[[#This Row],[Actual Cost]])))</f>
        <v>0</v>
      </c>
      <c r="DI203" s="41" t="str">
        <f aca="false">IF(Tasks[[#This Row],[Task Name]]="","",LEFT(Tasks[[#This Row],[WBS]],FIND(".",Tasks[[#This Row],[WBS]]&amp;".")-1))</f>
        <v/>
      </c>
      <c r="DJ203" s="41" t="str">
        <f aca="false">IF(AND(Tasks[[#This Row],[Task Name]]&lt;&gt;"",Tasks[[#This Row],[_Level]]=1),Tasks[[#This Row],[_Row]],"")</f>
        <v/>
      </c>
      <c r="DK203" s="41" t="str">
        <f aca="false">IF(AND(Tasks[[#This Row],[_IsLeaf]]=1,N(Tasks[[#This Row],[Duration]])=0),Tasks[[#This Row],[Planned Finish]]+Tasks[[#This Row],[_Row]]/100000,"")</f>
        <v/>
      </c>
      <c r="DL203" s="41" t="str">
        <f aca="false">IF(AND(Tasks[[#This Row],[_IsLeaf]]=1,Tasks[[#This Row],[_LeafProgress]]&lt;1,OR(N(Tasks[[#This Row],[Finish Var]])&gt;0,Tasks[[#This Row],[Status]]="Late Start")),MAX(0,Tasks[[#This Row],[Finish Var]])+1-Tasks[[#This Row],[_Row]]/1000000,"")</f>
        <v/>
      </c>
      <c r="DM203" s="41" t="str">
        <f aca="false">IF(AND(Tasks[[#This Row],[_IsLeaf]]=1,N(Tasks[[#This Row],[Actual Start]])=0,Tasks[[#This Row],[_LeafFcstStart]]&gt;=StatusDate,Tasks[[#This Row],[_LeafFcstStart]]&lt;=LookaheadEnd),Tasks[[#This Row],[_LeafFcstStart]]+Tasks[[#This Row],[_Row]]/100000,"")</f>
        <v/>
      </c>
      <c r="DN203" s="41" t="str">
        <f aca="false">IF(AND(Tasks[[#This Row],[_IsLeaf]]=1,Tasks[[#This Row],[_LeafProgress]]&lt;1,Tasks[[#This Row],[_LeafFcstFinish]]&gt;=StatusDate,Tasks[[#This Row],[_LeafFcstFinish]]&lt;=LookaheadEnd),Tasks[[#This Row],[_LeafFcstFinish]]+Tasks[[#This Row],[_Row]]/100000,"")</f>
        <v/>
      </c>
      <c r="DO203" s="41" t="str">
        <f aca="false">IF(Tasks[[#This Row],[_LeafCritical]],Tasks[[#This Row],[_LeafFcstStart]]+Tasks[[#This Row],[_Row]]/100000,"")</f>
        <v/>
      </c>
      <c r="DP203" s="41" t="n">
        <f aca="false">Tasks[[#This Row],[_LeafWork]]*Tasks[[#This Row],[_LeafProgress]]</f>
        <v>0</v>
      </c>
      <c r="DQ203" s="103" t="str">
        <f aca="false">IF(AND(Tasks[[#This Row],[_IsLeaf]]=1,Tasks[[#This Row],[_LeafProgress]]&gt;=1),IF(N(Tasks[[#This Row],[Actual Finish]])&gt;0,Tasks[[#This Row],[Actual Finish]],Tasks[[#This Row],[_LeafFcstFinish]]),"")</f>
        <v/>
      </c>
      <c r="DR203" s="41" t="n">
        <f aca="false">IF(Tasks[[#This Row],[_IsLeaf]]=1,N(Tasks[[#This Row],[Story Points]]),0)</f>
        <v>0</v>
      </c>
      <c r="DS203" s="41" t="str">
        <f aca="false">IF(AND(Tasks[[#This Row],[_IsLeaf]]=1,CurrentSprint&lt;&gt;"",Tasks[[#This Row],[Sprint]]=CurrentSprint),Tasks[[#This Row],[_Row]],"")</f>
        <v/>
      </c>
    </row>
    <row r="204" customFormat="false" ht="15" hidden="false" customHeight="false" outlineLevel="0" collapsed="false">
      <c r="A204" s="28" t="str">
        <f aca="false">IF(Tasks[[#This Row],[Task Name]]="","",COUNTA(Tasks[[#Headers],[Task Name]]:Tasks[[#This Row],[Task Name]])-1)</f>
        <v/>
      </c>
      <c r="B204" s="29" t="n">
        <v>199</v>
      </c>
      <c r="C2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29"/>
      <c r="E204" s="30"/>
      <c r="F204" s="29"/>
      <c r="G204" s="29"/>
      <c r="H204" s="29"/>
      <c r="I204" s="29"/>
      <c r="J204" s="29"/>
      <c r="K204" s="29"/>
      <c r="L204" s="29"/>
      <c r="M204" s="29"/>
      <c r="N204" s="77"/>
      <c r="O204" s="77"/>
      <c r="P204" s="25" t="str">
        <f aca="false">IF(Tasks[[#This Row],[Task Name]]="","",IF(N(Tasks[[#This Row],[Baseline Start]])&gt;0,Tasks[[#This Row],[Baseline Start]],Tasks[[#This Row],[_CalcStart]]))</f>
        <v/>
      </c>
      <c r="Q204" s="25" t="str">
        <f aca="false">IF(Tasks[[#This Row],[Task Name]]="","",IF(N(Tasks[[#This Row],[Baseline Finish]])&gt;0,Tasks[[#This Row],[Baseline Finish]],Tasks[[#This Row],[_CalcFinish]]))</f>
        <v/>
      </c>
      <c r="R204" s="77"/>
      <c r="S204" s="77"/>
      <c r="T204" s="25" t="str">
        <f aca="false">IF(Tasks[[#This Row],[Task Name]]="","",IF(Tasks[[#This Row],[_IsSummary]],MIN(INDEX(Tasks[_LeafFcstStart],Tasks[[#This Row],[_Row]]+1):INDEX(Tasks[_LeafFcstStart],Tasks[[#This Row],[_Row]]+Tasks[[#This Row],[_Descendants]])),Tasks[[#This Row],[_LeafFcstStart]]))</f>
        <v/>
      </c>
      <c r="U204" s="25" t="str">
        <f aca="false">IF(Tasks[[#This Row],[Task Name]]="","",IF(Tasks[[#This Row],[_IsSummary]],MAX(INDEX(Tasks[_LeafFcstFinish],Tasks[[#This Row],[_Row]]+1):INDEX(Tasks[_LeafFcstFinish],Tasks[[#This Row],[_Row]]+Tasks[[#This Row],[_Descendants]])),Tasks[[#This Row],[_LeafFcstFinish]]))</f>
        <v/>
      </c>
      <c r="V204"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4"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4" s="25" t="str">
        <f aca="false">IF(Tasks[[#This Row],[Task Name]]="","",IF(Tasks[[#This Row],[_IsSummary]],MIN(INDEX(Tasks[_LeafLateStart],Tasks[[#This Row],[_Row]]+1):INDEX(Tasks[_LeafLateStart],Tasks[[#This Row],[_Row]]+Tasks[[#This Row],[_Descendants]])),Tasks[[#This Row],[_LeafLateStart]]))</f>
        <v/>
      </c>
      <c r="Y204" s="25" t="str">
        <f aca="false">IF(Tasks[[#This Row],[Task Name]]="","",IF(Tasks[[#This Row],[_IsSummary]],MAX(INDEX(Tasks[_LeafLateFinish],Tasks[[#This Row],[_Row]]+1):INDEX(Tasks[_LeafLateFinish],Tasks[[#This Row],[_Row]]+Tasks[[#This Row],[_Descendants]])),Tasks[[#This Row],[_LeafLateFinish]]))</f>
        <v/>
      </c>
      <c r="Z204" s="43" t="str">
        <f aca="false">IF(Tasks[[#This Row],[Task Name]]="","",IF(Tasks[[#This Row],[_IsSummary]],MIN(INDEX(Tasks[_LeafTotalSlack],Tasks[[#This Row],[_Row]]+1):INDEX(Tasks[_LeafTotalSlack],Tasks[[#This Row],[_Row]]+Tasks[[#This Row],[_Descendants]])),Tasks[[#This Row],[_LeafTotalSlack]]))</f>
        <v/>
      </c>
      <c r="AA2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4" s="28" t="str">
        <f aca="false">IF(Tasks[[#This Row],[Task Name]]="","",IF(IF(Tasks[[#This Row],[_IsSummary]],COUNTIF(INDEX(Tasks[_LeafCritical],Tasks[[#This Row],[_Row]]+1):INDEX(Tasks[_LeafCritical],Tasks[[#This Row],[_Row]]+Tasks[[#This Row],[_Descendants]]),TRUE())&gt;0,Tasks[[#This Row],[_LeafCritical]]),"Yes",""))</f>
        <v/>
      </c>
      <c r="AC2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4" s="24" t="str">
        <f aca="false">IF(Tasks[[#This Row],[Task Name]]="","",TRIM(IF(Tasks[[#This Row],[_Pred1Problem]]&lt;&gt;"","Pred 1: "&amp;Tasks[[#This Row],[_Pred1Problem]]&amp;". ","")&amp;IF(Tasks[[#This Row],[_Pred2Problem]]&lt;&gt;"","Pred 2: "&amp;Tasks[[#This Row],[_Pred2Problem]]&amp;".","")))</f>
        <v/>
      </c>
      <c r="AE204" s="91"/>
      <c r="AF204"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4" s="28" t="str">
        <f aca="false">IF(Tasks[[#This Row],[Task Name]]="","",IF(Tasks[[#This Row],[Progress]]&gt;=1,"Complete",IF(OR(N(Tasks[[#This Row],[Actual Start]])&gt;0,Tasks[[#This Row],[Progress]]&gt;0),IF(Tasks[[#This Row],[Finish Var]]&gt;0,"Behind","In Progress"),IF(Tasks[[#This Row],[Planned Start]]&lt;StatusDate,"Late Start","Not Started"))))</f>
        <v/>
      </c>
      <c r="AH204" s="30"/>
      <c r="AI204" s="91"/>
      <c r="AJ20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4" s="98" t="str">
        <f aca="false">IF(Tasks[[#This Row],[Task Name]]="","",IF(Tasks[[#This Row],[_IsSummary]],SUM(INDEX(Tasks[_LeafWork],Tasks[[#This Row],[_Row]]+1):INDEX(Tasks[_LeafWork],Tasks[[#This Row],[_Row]]+Tasks[[#This Row],[_Descendants]])),Tasks[[#This Row],[_LeafWork]]))</f>
        <v/>
      </c>
      <c r="AL204" s="99" t="str">
        <f aca="false">IF(Tasks[[#This Row],[Task Name]]="","",IF(Tasks[[#This Row],[_IsSummary]],SUM(INDEX(Tasks[_LeafCost],Tasks[[#This Row],[_Row]]+1):INDEX(Tasks[_LeafCost],Tasks[[#This Row],[_Row]]+Tasks[[#This Row],[_Descendants]])),Tasks[[#This Row],[_LeafCost]]))</f>
        <v/>
      </c>
      <c r="AM204" s="100"/>
      <c r="AN204" s="29"/>
      <c r="AO2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4" s="85"/>
      <c r="AQ204" s="24" t="str">
        <f aca="false">IF(Tasks[[#This Row],[Task Name]]="","",Tasks[[#This Row],[_Pred1IDText]]&amp;IF(AND(Tasks[[#This Row],[_Pred1IDText]]&lt;&gt;"",Tasks[[#This Row],[_Pred2IDText]]&lt;&gt;""),",","")&amp;Tasks[[#This Row],[_Pred2IDText]])</f>
        <v/>
      </c>
      <c r="AR204" s="30"/>
      <c r="AS204" s="25" t="str">
        <f aca="false">IF(Tasks[[#This Row],[Task Name]]="","",Tasks[[#This Row],[Forecast Start]])</f>
        <v/>
      </c>
      <c r="AT204" s="25" t="str">
        <f aca="false">IF(Tasks[[#This Row],[Task Name]]="","",Tasks[[#This Row],[Forecast Finish]])</f>
        <v/>
      </c>
      <c r="AU204" s="28" t="str">
        <f aca="false">IF(Tasks[[#This Row],[Task Name]]="","",IF(Tasks[[#This Row],[_IsSummary]],NETWORKDAYS.INTL(Tasks[[#This Row],[Forecast Start]],Tasks[[#This Row],[Forecast Finish]],WorkWeek,Holidays),N(Tasks[[#This Row],[Duration]])))</f>
        <v/>
      </c>
      <c r="AV204" s="98" t="str">
        <f aca="false">IF(Tasks[[#This Row],[Task Name]]="","",Tasks[[#This Row],[Work]])</f>
        <v/>
      </c>
      <c r="AW204" s="99" t="str">
        <f aca="false">IF(Tasks[[#This Row],[Task Name]]="","",Tasks[[#This Row],[Cost]])</f>
        <v/>
      </c>
      <c r="AX204" s="77"/>
      <c r="AY204" s="77"/>
      <c r="AZ204" s="29"/>
      <c r="BA204" s="101"/>
      <c r="BB204" s="100"/>
      <c r="BC204" s="28" t="str">
        <f aca="false">IF(OR(Tasks[[#This Row],[Task Name]]="",Tasks[[#This Row],[Baseline Duration]]=""),"",Tasks[[#This Row],[BL Source Duration]]-N(Tasks[[#This Row],[Baseline Duration]]))</f>
        <v/>
      </c>
      <c r="BD204" s="98" t="str">
        <f aca="false">IF(OR(Tasks[[#This Row],[Task Name]]="",Tasks[[#This Row],[Baseline Work]]=""),"",Tasks[[#This Row],[Work]]-N(Tasks[[#This Row],[Baseline Work]]))</f>
        <v/>
      </c>
      <c r="BE204" s="99" t="str">
        <f aca="false">IF(OR(Tasks[[#This Row],[Task Name]]="",Tasks[[#This Row],[Baseline Cost]]=""),"",Tasks[[#This Row],[Cost]]-N(Tasks[[#This Row],[Baseline Cost]]))</f>
        <v/>
      </c>
      <c r="BF204" s="99" t="str">
        <f aca="false">IF(Tasks[[#This Row],[Task Name]]="","",IF(Tasks[[#This Row],[_IsSummary]],SUM(INDEX(Tasks[_LeafBudget],Tasks[[#This Row],[_Row]]+1):INDEX(Tasks[_LeafBudget],Tasks[[#This Row],[_Row]]+Tasks[[#This Row],[_Descendants]])),Tasks[[#This Row],[_LeafBudget]]))</f>
        <v/>
      </c>
      <c r="BG204" s="99" t="str">
        <f aca="false">IF(Tasks[[#This Row],[Task Name]]="","",IF(Tasks[[#This Row],[_IsSummary]],SUM(INDEX(Tasks[_LeafPV],Tasks[[#This Row],[_Row]]+1):INDEX(Tasks[_LeafPV],Tasks[[#This Row],[_Row]]+Tasks[[#This Row],[_Descendants]])),Tasks[[#This Row],[_LeafPV]]))</f>
        <v/>
      </c>
      <c r="BH204" s="99" t="str">
        <f aca="false">IF(Tasks[[#This Row],[Task Name]]="","",IF(Tasks[[#This Row],[_IsSummary]],SUM(INDEX(Tasks[_LeafEV],Tasks[[#This Row],[_Row]]+1):INDEX(Tasks[_LeafEV],Tasks[[#This Row],[_Row]]+Tasks[[#This Row],[_Descendants]])),Tasks[[#This Row],[_LeafEV]]))</f>
        <v/>
      </c>
      <c r="BI204" s="99" t="str">
        <f aca="false">IF(Tasks[[#This Row],[Task Name]]="","",IF(Tasks[[#This Row],[_IsSummary]],SUM(INDEX(Tasks[_LeafAC],Tasks[[#This Row],[_Row]]+1):INDEX(Tasks[_LeafAC],Tasks[[#This Row],[_Row]]+Tasks[[#This Row],[_Descendants]])),Tasks[[#This Row],[_LeafAC]]))</f>
        <v/>
      </c>
      <c r="BJ204" s="41" t="str">
        <f aca="false">IF(Tasks[[#This Row],[Task Name]]="","",MAX(1,N(Tasks[[#This Row],[Level]])))</f>
        <v/>
      </c>
      <c r="BK204" s="41" t="n">
        <f aca="false">ROW()-ROW(Tasks[[#Headers],[ID]])</f>
        <v>199</v>
      </c>
      <c r="BL204" s="41" t="n">
        <f aca="false">IF(OR(Tasks[[#This Row],[Task Name]]="",Tasks[[#This Row],[_Level]]&lt;=1),0,IFERROR(LOOKUP(2,1/(Tasks[[#Headers],[_Level]]:Tasks[[#This Row],[_Level]]=Tasks[[#This Row],[_Level]]-1),ROW(Tasks[[#Headers],[_Level]]:Tasks[[#This Row],[_Level]])),0))</f>
        <v>0</v>
      </c>
      <c r="BM204" s="41" t="n">
        <f aca="false">IFERROR(N(INDEX(Tasks[_Level],Tasks[[#This Row],[_Row]]+1)),0)</f>
        <v>0</v>
      </c>
      <c r="BN204" s="102" t="b">
        <f aca="false">AND(Tasks[[#This Row],[Task Name]]&lt;&gt;"",Tasks[[#This Row],[_NextLevel]]&gt;Tasks[[#This Row],[_Level]])</f>
        <v>0</v>
      </c>
      <c r="BO204" s="41" t="n">
        <f aca="false">IF(Tasks[[#This Row],[_IsSummary]],COUNTIF(Tasks[WBS],Tasks[[#This Row],[WBS]]&amp;".*"),0)</f>
        <v>0</v>
      </c>
      <c r="BP204" s="41" t="n">
        <f aca="false">IF(AND(Tasks[[#This Row],[Task Name]]&lt;&gt;"",NOT(Tasks[[#This Row],[_IsSummary]])),1,0)</f>
        <v>0</v>
      </c>
      <c r="BQ204" s="41" t="n">
        <f aca="false">IF(N(Tasks[[#This Row],[Pred1 UID]])=0,0,IFERROR(MATCH(Tasks[[#This Row],[Pred1 UID]],Tasks[UID],0),-1))</f>
        <v>0</v>
      </c>
      <c r="BR204" s="41" t="n">
        <f aca="false">IF(N(Tasks[[#This Row],[Pred2 UID]])=0,0,IFERROR(MATCH(Tasks[[#This Row],[Pred2 UID]],Tasks[UID],0),-1))</f>
        <v>0</v>
      </c>
      <c r="BS204"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4" s="103" t="str">
        <f aca="false">IF(NOT(Tasks[[#This Row],[_IsLeaf]]=1),"",IF(N(Tasks[[#This Row],[Duration]])&lt;=0,Tasks[[#This Row],[_LeafCalcStart]],WORKDAY.INTL(Tasks[[#This Row],[_LeafCalcStart]],Tasks[[#This Row],[Duration]]-1,WorkWeek,Holidays)))</f>
        <v/>
      </c>
      <c r="BU204"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4"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4" s="41" t="n">
        <f aca="false">IF(NOT(Tasks[[#This Row],[_IsLeaf]]=1),0,IF(N(Tasks[[#This Row],[Actual Finish]])&gt;0,1,MIN(1,N(Tasks[[#This Row],[% Complete]]))))</f>
        <v>0</v>
      </c>
      <c r="BX204" s="41" t="n">
        <f aca="false">IF(OR(NOT(Tasks[[#This Row],[_IsLeaf]]=1),Tasks[[#This Row],[Resource]]=""),0,N(Tasks[[#This Row],[Duration]])*HoursPerDay*IF(Tasks[[#This Row],[Units]]="",DefaultUnits,Tasks[[#This Row],[Units]]))</f>
        <v>0</v>
      </c>
      <c r="BY204" s="41" t="n">
        <f aca="false">IF(Tasks[[#This Row],[_LeafWork]]=0,0,Tasks[[#This Row],[_LeafWork]]*IFERROR(INDEX(res_Rate,MATCH(Tasks[[#This Row],[Resource]],res_Name,0)),0))</f>
        <v>0</v>
      </c>
      <c r="BZ2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4" s="41" t="n">
        <f aca="false">IF(NOT(Tasks[[#This Row],[_IsLeaf]]=1),0,MAX(_xlfn.MAXIFS(Tasks[_Row],Tasks[Pred1 UID],Tasks[[#This Row],[UID]]),_xlfn.MAXIFS(Tasks[_Row],Tasks[Pred2 UID],Tasks[[#This Row],[UID]])))</f>
        <v>0</v>
      </c>
      <c r="CE204"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4" s="103" t="str">
        <f aca="false">IF(NOT(Tasks[[#This Row],[_IsLeaf]]=1),"",MIN(ProjectFinish,IF(N(Tasks[[#This Row],[Deadline]])&gt;0,Tasks[[#This Row],[Deadline]],2958465),Tasks[[#This Row],[_SuccessorFinishLimit]]))</f>
        <v/>
      </c>
      <c r="CG204" s="103" t="str">
        <f aca="false">IF(NOT(Tasks[[#This Row],[_IsLeaf]]=1),"",IF(N(Tasks[[#This Row],[Duration]])&lt;=0,Tasks[[#This Row],[_LeafLateFinish]],WORKDAY.INTL(Tasks[[#This Row],[_LeafLateFinish]],-(Tasks[[#This Row],[Duration]]-1),WorkWeek,Holidays)))</f>
        <v/>
      </c>
      <c r="CH2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4" s="102" t="b">
        <f aca="false">AND(Tasks[[#This Row],[_IsLeaf]]=1,Tasks[[#This Row],[_LeafProgress]]&lt;1,N(Tasks[[#This Row],[_LeafTotalSlack]])&lt;=CriticalSlackDays)</f>
        <v>0</v>
      </c>
      <c r="CJ204" s="103" t="str">
        <f aca="false">IF(Tasks[[#This Row],[Task Name]]="","",IF(Tasks[[#This Row],[_IsSummary]],MIN(INDEX(Tasks[_LeafCalcStart],Tasks[[#This Row],[_Row]]+1):INDEX(Tasks[_LeafCalcStart],Tasks[[#This Row],[_Row]]+Tasks[[#This Row],[_Descendants]])),Tasks[[#This Row],[_LeafCalcStart]]))</f>
        <v/>
      </c>
      <c r="CK204" s="103" t="str">
        <f aca="false">IF(Tasks[[#This Row],[Task Name]]="","",IF(Tasks[[#This Row],[_IsSummary]],MAX(INDEX(Tasks[_LeafCalcFinish],Tasks[[#This Row],[_Row]]+1):INDEX(Tasks[_LeafCalcFinish],Tasks[[#This Row],[_Row]]+Tasks[[#This Row],[_Descendants]])),Tasks[[#This Row],[_LeafCalcFinish]]))</f>
        <v/>
      </c>
      <c r="CL2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4"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4"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4"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4"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4" s="41" t="n">
        <f aca="false">IF(AND(Tasks[[#This Row],[_IsLeaf]]=1,Tasks[[#This Row],[_LeafWork]]&gt;0),NETWORKDAYS.INTL(ProjectStart,Tasks[[#This Row],[_LeafFcstStart]],WorkWeek,Holidays),0)</f>
        <v>0</v>
      </c>
      <c r="CS204" s="41" t="n">
        <f aca="false">IF(AND(Tasks[[#This Row],[_IsLeaf]]=1,Tasks[[#This Row],[_LeafWork]]&gt;0),MAX(Tasks[[#This Row],[_StartWorkday]],NETWORKDAYS.INTL(ProjectStart,Tasks[[#This Row],[_LeafFcstFinish]],WorkWeek,Holidays)),0)</f>
        <v>0</v>
      </c>
      <c r="CT204" s="41" t="n">
        <f aca="false">IF(AND(Tasks[[#This Row],[_IsLeaf]]=1,Tasks[[#This Row],[_LeafWork]]&gt;0),Tasks[[#This Row],[_LeafWork]]/(Tasks[[#This Row],[_FinishWorkday]]-Tasks[[#This Row],[_StartWorkday]]+1),0)</f>
        <v>0</v>
      </c>
      <c r="CU204" s="41" t="n">
        <f aca="false">Tasks[[#This Row],[_WorkPerWorkday]]*(Tasks[[#This Row],[_StartWorkday]]-1)</f>
        <v>-0</v>
      </c>
      <c r="CV204" s="41" t="n">
        <f aca="false">IF(Tasks[[#This Row],[_IsLeaf]]=1,MAX(N(Tasks[[#This Row],[Duration]]),0.1),0)</f>
        <v>0</v>
      </c>
      <c r="CW204" s="41" t="n">
        <f aca="false">Tasks[[#This Row],[_WeightDur]]*Tasks[[#This Row],[_LeafProgress]]</f>
        <v>0</v>
      </c>
      <c r="CX2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4" s="41" t="str">
        <f aca="false">IF(Tasks[[#This Row],[Task Name]]="","",Tasks[[#This Row],[_Pred1UIDText]]&amp;IF(AND(Tasks[[#This Row],[_Pred1UIDText]]&lt;&gt;"",Tasks[[#This Row],[_Pred2UIDText]]&lt;&gt;""),",","")&amp;Tasks[[#This Row],[_Pred2UIDText]])</f>
        <v/>
      </c>
      <c r="DC204" s="41" t="str">
        <f aca="false">IF(AND(Tasks[[#This Row],[_IsLeaf]]=1,N(Tasks[[#This Row],[Duration]])=0,Tasks[[#This Row],[_LeafProgress]]&lt;1),Tasks[[#This Row],[_LeafFcstFinish]]+Tasks[[#This Row],[_Row]]/100000,"")</f>
        <v/>
      </c>
      <c r="DD2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4" s="41" t="n">
        <f aca="false">IF(NOT(Tasks[[#This Row],[_IsLeaf]]=1),0,IF(Tasks[[#This Row],[Baseline Cost]]="",Tasks[[#This Row],[_LeafCost]],N(Tasks[[#This Row],[Baseline Cost]])))</f>
        <v>0</v>
      </c>
      <c r="DF204" s="41" t="n">
        <f aca="false">Tasks[[#This Row],[_LeafBudget]]*Tasks[[#This Row],[_PlannedPct]]</f>
        <v>0</v>
      </c>
      <c r="DG204" s="41" t="n">
        <f aca="false">Tasks[[#This Row],[_LeafBudget]]*Tasks[[#This Row],[_LeafProgress]]</f>
        <v>0</v>
      </c>
      <c r="DH204" s="41" t="n">
        <f aca="false">IF(NOT(Tasks[[#This Row],[_IsLeaf]]=1),0,IF(Tasks[[#This Row],[Actual Cost]]="",Tasks[[#This Row],[_LeafCost]]*Tasks[[#This Row],[_LeafProgress]],N(Tasks[[#This Row],[Actual Cost]])))</f>
        <v>0</v>
      </c>
      <c r="DI204" s="41" t="str">
        <f aca="false">IF(Tasks[[#This Row],[Task Name]]="","",LEFT(Tasks[[#This Row],[WBS]],FIND(".",Tasks[[#This Row],[WBS]]&amp;".")-1))</f>
        <v/>
      </c>
      <c r="DJ204" s="41" t="str">
        <f aca="false">IF(AND(Tasks[[#This Row],[Task Name]]&lt;&gt;"",Tasks[[#This Row],[_Level]]=1),Tasks[[#This Row],[_Row]],"")</f>
        <v/>
      </c>
      <c r="DK204" s="41" t="str">
        <f aca="false">IF(AND(Tasks[[#This Row],[_IsLeaf]]=1,N(Tasks[[#This Row],[Duration]])=0),Tasks[[#This Row],[Planned Finish]]+Tasks[[#This Row],[_Row]]/100000,"")</f>
        <v/>
      </c>
      <c r="DL204" s="41" t="str">
        <f aca="false">IF(AND(Tasks[[#This Row],[_IsLeaf]]=1,Tasks[[#This Row],[_LeafProgress]]&lt;1,OR(N(Tasks[[#This Row],[Finish Var]])&gt;0,Tasks[[#This Row],[Status]]="Late Start")),MAX(0,Tasks[[#This Row],[Finish Var]])+1-Tasks[[#This Row],[_Row]]/1000000,"")</f>
        <v/>
      </c>
      <c r="DM204" s="41" t="str">
        <f aca="false">IF(AND(Tasks[[#This Row],[_IsLeaf]]=1,N(Tasks[[#This Row],[Actual Start]])=0,Tasks[[#This Row],[_LeafFcstStart]]&gt;=StatusDate,Tasks[[#This Row],[_LeafFcstStart]]&lt;=LookaheadEnd),Tasks[[#This Row],[_LeafFcstStart]]+Tasks[[#This Row],[_Row]]/100000,"")</f>
        <v/>
      </c>
      <c r="DN204" s="41" t="str">
        <f aca="false">IF(AND(Tasks[[#This Row],[_IsLeaf]]=1,Tasks[[#This Row],[_LeafProgress]]&lt;1,Tasks[[#This Row],[_LeafFcstFinish]]&gt;=StatusDate,Tasks[[#This Row],[_LeafFcstFinish]]&lt;=LookaheadEnd),Tasks[[#This Row],[_LeafFcstFinish]]+Tasks[[#This Row],[_Row]]/100000,"")</f>
        <v/>
      </c>
      <c r="DO204" s="41" t="str">
        <f aca="false">IF(Tasks[[#This Row],[_LeafCritical]],Tasks[[#This Row],[_LeafFcstStart]]+Tasks[[#This Row],[_Row]]/100000,"")</f>
        <v/>
      </c>
      <c r="DP204" s="41" t="n">
        <f aca="false">Tasks[[#This Row],[_LeafWork]]*Tasks[[#This Row],[_LeafProgress]]</f>
        <v>0</v>
      </c>
      <c r="DQ204" s="103" t="str">
        <f aca="false">IF(AND(Tasks[[#This Row],[_IsLeaf]]=1,Tasks[[#This Row],[_LeafProgress]]&gt;=1),IF(N(Tasks[[#This Row],[Actual Finish]])&gt;0,Tasks[[#This Row],[Actual Finish]],Tasks[[#This Row],[_LeafFcstFinish]]),"")</f>
        <v/>
      </c>
      <c r="DR204" s="41" t="n">
        <f aca="false">IF(Tasks[[#This Row],[_IsLeaf]]=1,N(Tasks[[#This Row],[Story Points]]),0)</f>
        <v>0</v>
      </c>
      <c r="DS204" s="41" t="str">
        <f aca="false">IF(AND(Tasks[[#This Row],[_IsLeaf]]=1,CurrentSprint&lt;&gt;"",Tasks[[#This Row],[Sprint]]=CurrentSprint),Tasks[[#This Row],[_Row]],"")</f>
        <v/>
      </c>
    </row>
    <row r="205" customFormat="false" ht="15" hidden="false" customHeight="false" outlineLevel="0" collapsed="false">
      <c r="A205" s="28" t="str">
        <f aca="false">IF(Tasks[[#This Row],[Task Name]]="","",COUNTA(Tasks[[#Headers],[Task Name]]:Tasks[[#This Row],[Task Name]])-1)</f>
        <v/>
      </c>
      <c r="B205" s="29" t="n">
        <v>200</v>
      </c>
      <c r="C2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29"/>
      <c r="E205" s="30"/>
      <c r="F205" s="29"/>
      <c r="G205" s="29"/>
      <c r="H205" s="29"/>
      <c r="I205" s="29"/>
      <c r="J205" s="29"/>
      <c r="K205" s="29"/>
      <c r="L205" s="29"/>
      <c r="M205" s="29"/>
      <c r="N205" s="77"/>
      <c r="O205" s="77"/>
      <c r="P205" s="25" t="str">
        <f aca="false">IF(Tasks[[#This Row],[Task Name]]="","",IF(N(Tasks[[#This Row],[Baseline Start]])&gt;0,Tasks[[#This Row],[Baseline Start]],Tasks[[#This Row],[_CalcStart]]))</f>
        <v/>
      </c>
      <c r="Q205" s="25" t="str">
        <f aca="false">IF(Tasks[[#This Row],[Task Name]]="","",IF(N(Tasks[[#This Row],[Baseline Finish]])&gt;0,Tasks[[#This Row],[Baseline Finish]],Tasks[[#This Row],[_CalcFinish]]))</f>
        <v/>
      </c>
      <c r="R205" s="77"/>
      <c r="S205" s="77"/>
      <c r="T205" s="25" t="str">
        <f aca="false">IF(Tasks[[#This Row],[Task Name]]="","",IF(Tasks[[#This Row],[_IsSummary]],MIN(INDEX(Tasks[_LeafFcstStart],Tasks[[#This Row],[_Row]]+1):INDEX(Tasks[_LeafFcstStart],Tasks[[#This Row],[_Row]]+Tasks[[#This Row],[_Descendants]])),Tasks[[#This Row],[_LeafFcstStart]]))</f>
        <v/>
      </c>
      <c r="U205" s="25" t="str">
        <f aca="false">IF(Tasks[[#This Row],[Task Name]]="","",IF(Tasks[[#This Row],[_IsSummary]],MAX(INDEX(Tasks[_LeafFcstFinish],Tasks[[#This Row],[_Row]]+1):INDEX(Tasks[_LeafFcstFinish],Tasks[[#This Row],[_Row]]+Tasks[[#This Row],[_Descendants]])),Tasks[[#This Row],[_LeafFcstFinish]]))</f>
        <v/>
      </c>
      <c r="V205" s="43" t="str">
        <f aca="false">IF(Tasks[[#This Row],[Task Name]]="","",IF(Tasks[[#This Row],[Forecast Start]]&gt;=Tasks[[#This Row],[Planned Start]],NETWORKDAYS.INTL(Tasks[[#This Row],[Planned Start]],Tasks[[#This Row],[Forecast Start]],WorkWeek,Holidays)-1,1-NETWORKDAYS.INTL(Tasks[[#This Row],[Forecast Start]],Tasks[[#This Row],[Planned Start]],WorkWeek,Holidays)))</f>
        <v/>
      </c>
      <c r="W205" s="43"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5" s="25" t="str">
        <f aca="false">IF(Tasks[[#This Row],[Task Name]]="","",IF(Tasks[[#This Row],[_IsSummary]],MIN(INDEX(Tasks[_LeafLateStart],Tasks[[#This Row],[_Row]]+1):INDEX(Tasks[_LeafLateStart],Tasks[[#This Row],[_Row]]+Tasks[[#This Row],[_Descendants]])),Tasks[[#This Row],[_LeafLateStart]]))</f>
        <v/>
      </c>
      <c r="Y205" s="25" t="str">
        <f aca="false">IF(Tasks[[#This Row],[Task Name]]="","",IF(Tasks[[#This Row],[_IsSummary]],MAX(INDEX(Tasks[_LeafLateFinish],Tasks[[#This Row],[_Row]]+1):INDEX(Tasks[_LeafLateFinish],Tasks[[#This Row],[_Row]]+Tasks[[#This Row],[_Descendants]])),Tasks[[#This Row],[_LeafLateFinish]]))</f>
        <v/>
      </c>
      <c r="Z205" s="43" t="str">
        <f aca="false">IF(Tasks[[#This Row],[Task Name]]="","",IF(Tasks[[#This Row],[_IsSummary]],MIN(INDEX(Tasks[_LeafTotalSlack],Tasks[[#This Row],[_Row]]+1):INDEX(Tasks[_LeafTotalSlack],Tasks[[#This Row],[_Row]]+Tasks[[#This Row],[_Descendants]])),Tasks[[#This Row],[_LeafTotalSlack]]))</f>
        <v/>
      </c>
      <c r="AA2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5" s="28" t="str">
        <f aca="false">IF(Tasks[[#This Row],[Task Name]]="","",IF(IF(Tasks[[#This Row],[_IsSummary]],COUNTIF(INDEX(Tasks[_LeafCritical],Tasks[[#This Row],[_Row]]+1):INDEX(Tasks[_LeafCritical],Tasks[[#This Row],[_Row]]+Tasks[[#This Row],[_Descendants]]),TRUE())&gt;0,Tasks[[#This Row],[_LeafCritical]]),"Yes",""))</f>
        <v/>
      </c>
      <c r="AC2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5" s="24" t="str">
        <f aca="false">IF(Tasks[[#This Row],[Task Name]]="","",TRIM(IF(Tasks[[#This Row],[_Pred1Problem]]&lt;&gt;"","Pred 1: "&amp;Tasks[[#This Row],[_Pred1Problem]]&amp;". ","")&amp;IF(Tasks[[#This Row],[_Pred2Problem]]&lt;&gt;"","Pred 2: "&amp;Tasks[[#This Row],[_Pred2Problem]]&amp;".","")))</f>
        <v/>
      </c>
      <c r="AE205" s="91"/>
      <c r="AF205" s="9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5" s="28" t="str">
        <f aca="false">IF(Tasks[[#This Row],[Task Name]]="","",IF(Tasks[[#This Row],[Progress]]&gt;=1,"Complete",IF(OR(N(Tasks[[#This Row],[Actual Start]])&gt;0,Tasks[[#This Row],[Progress]]&gt;0),IF(Tasks[[#This Row],[Finish Var]]&gt;0,"Behind","In Progress"),IF(Tasks[[#This Row],[Planned Start]]&lt;StatusDate,"Late Start","Not Started"))))</f>
        <v/>
      </c>
      <c r="AH205" s="30"/>
      <c r="AI205" s="91"/>
      <c r="AJ20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5" s="98" t="str">
        <f aca="false">IF(Tasks[[#This Row],[Task Name]]="","",IF(Tasks[[#This Row],[_IsSummary]],SUM(INDEX(Tasks[_LeafWork],Tasks[[#This Row],[_Row]]+1):INDEX(Tasks[_LeafWork],Tasks[[#This Row],[_Row]]+Tasks[[#This Row],[_Descendants]])),Tasks[[#This Row],[_LeafWork]]))</f>
        <v/>
      </c>
      <c r="AL205" s="99" t="str">
        <f aca="false">IF(Tasks[[#This Row],[Task Name]]="","",IF(Tasks[[#This Row],[_IsSummary]],SUM(INDEX(Tasks[_LeafCost],Tasks[[#This Row],[_Row]]+1):INDEX(Tasks[_LeafCost],Tasks[[#This Row],[_Row]]+Tasks[[#This Row],[_Descendants]])),Tasks[[#This Row],[_LeafCost]]))</f>
        <v/>
      </c>
      <c r="AM205" s="100"/>
      <c r="AN205" s="29"/>
      <c r="AO2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5" s="85"/>
      <c r="AQ205" s="24" t="str">
        <f aca="false">IF(Tasks[[#This Row],[Task Name]]="","",Tasks[[#This Row],[_Pred1IDText]]&amp;IF(AND(Tasks[[#This Row],[_Pred1IDText]]&lt;&gt;"",Tasks[[#This Row],[_Pred2IDText]]&lt;&gt;""),",","")&amp;Tasks[[#This Row],[_Pred2IDText]])</f>
        <v/>
      </c>
      <c r="AR205" s="30"/>
      <c r="AS205" s="25" t="str">
        <f aca="false">IF(Tasks[[#This Row],[Task Name]]="","",Tasks[[#This Row],[Forecast Start]])</f>
        <v/>
      </c>
      <c r="AT205" s="25" t="str">
        <f aca="false">IF(Tasks[[#This Row],[Task Name]]="","",Tasks[[#This Row],[Forecast Finish]])</f>
        <v/>
      </c>
      <c r="AU205" s="28" t="str">
        <f aca="false">IF(Tasks[[#This Row],[Task Name]]="","",IF(Tasks[[#This Row],[_IsSummary]],NETWORKDAYS.INTL(Tasks[[#This Row],[Forecast Start]],Tasks[[#This Row],[Forecast Finish]],WorkWeek,Holidays),N(Tasks[[#This Row],[Duration]])))</f>
        <v/>
      </c>
      <c r="AV205" s="98" t="str">
        <f aca="false">IF(Tasks[[#This Row],[Task Name]]="","",Tasks[[#This Row],[Work]])</f>
        <v/>
      </c>
      <c r="AW205" s="99" t="str">
        <f aca="false">IF(Tasks[[#This Row],[Task Name]]="","",Tasks[[#This Row],[Cost]])</f>
        <v/>
      </c>
      <c r="AX205" s="77"/>
      <c r="AY205" s="77"/>
      <c r="AZ205" s="29"/>
      <c r="BA205" s="101"/>
      <c r="BB205" s="100"/>
      <c r="BC205" s="28" t="str">
        <f aca="false">IF(OR(Tasks[[#This Row],[Task Name]]="",Tasks[[#This Row],[Baseline Duration]]=""),"",Tasks[[#This Row],[BL Source Duration]]-N(Tasks[[#This Row],[Baseline Duration]]))</f>
        <v/>
      </c>
      <c r="BD205" s="98" t="str">
        <f aca="false">IF(OR(Tasks[[#This Row],[Task Name]]="",Tasks[[#This Row],[Baseline Work]]=""),"",Tasks[[#This Row],[Work]]-N(Tasks[[#This Row],[Baseline Work]]))</f>
        <v/>
      </c>
      <c r="BE205" s="99" t="str">
        <f aca="false">IF(OR(Tasks[[#This Row],[Task Name]]="",Tasks[[#This Row],[Baseline Cost]]=""),"",Tasks[[#This Row],[Cost]]-N(Tasks[[#This Row],[Baseline Cost]]))</f>
        <v/>
      </c>
      <c r="BF205" s="99" t="str">
        <f aca="false">IF(Tasks[[#This Row],[Task Name]]="","",IF(Tasks[[#This Row],[_IsSummary]],SUM(INDEX(Tasks[_LeafBudget],Tasks[[#This Row],[_Row]]+1):INDEX(Tasks[_LeafBudget],Tasks[[#This Row],[_Row]]+Tasks[[#This Row],[_Descendants]])),Tasks[[#This Row],[_LeafBudget]]))</f>
        <v/>
      </c>
      <c r="BG205" s="99" t="str">
        <f aca="false">IF(Tasks[[#This Row],[Task Name]]="","",IF(Tasks[[#This Row],[_IsSummary]],SUM(INDEX(Tasks[_LeafPV],Tasks[[#This Row],[_Row]]+1):INDEX(Tasks[_LeafPV],Tasks[[#This Row],[_Row]]+Tasks[[#This Row],[_Descendants]])),Tasks[[#This Row],[_LeafPV]]))</f>
        <v/>
      </c>
      <c r="BH205" s="99" t="str">
        <f aca="false">IF(Tasks[[#This Row],[Task Name]]="","",IF(Tasks[[#This Row],[_IsSummary]],SUM(INDEX(Tasks[_LeafEV],Tasks[[#This Row],[_Row]]+1):INDEX(Tasks[_LeafEV],Tasks[[#This Row],[_Row]]+Tasks[[#This Row],[_Descendants]])),Tasks[[#This Row],[_LeafEV]]))</f>
        <v/>
      </c>
      <c r="BI205" s="99" t="str">
        <f aca="false">IF(Tasks[[#This Row],[Task Name]]="","",IF(Tasks[[#This Row],[_IsSummary]],SUM(INDEX(Tasks[_LeafAC],Tasks[[#This Row],[_Row]]+1):INDEX(Tasks[_LeafAC],Tasks[[#This Row],[_Row]]+Tasks[[#This Row],[_Descendants]])),Tasks[[#This Row],[_LeafAC]]))</f>
        <v/>
      </c>
      <c r="BJ205" s="41" t="str">
        <f aca="false">IF(Tasks[[#This Row],[Task Name]]="","",MAX(1,N(Tasks[[#This Row],[Level]])))</f>
        <v/>
      </c>
      <c r="BK205" s="41" t="n">
        <f aca="false">ROW()-ROW(Tasks[[#Headers],[ID]])</f>
        <v>200</v>
      </c>
      <c r="BL205" s="41" t="n">
        <f aca="false">IF(OR(Tasks[[#This Row],[Task Name]]="",Tasks[[#This Row],[_Level]]&lt;=1),0,IFERROR(LOOKUP(2,1/(Tasks[[#Headers],[_Level]]:Tasks[[#This Row],[_Level]]=Tasks[[#This Row],[_Level]]-1),ROW(Tasks[[#Headers],[_Level]]:Tasks[[#This Row],[_Level]])),0))</f>
        <v>0</v>
      </c>
      <c r="BM205" s="41" t="n">
        <f aca="false">IFERROR(N(INDEX(Tasks[_Level],Tasks[[#This Row],[_Row]]+1)),0)</f>
        <v>0</v>
      </c>
      <c r="BN205" s="102" t="b">
        <f aca="false">AND(Tasks[[#This Row],[Task Name]]&lt;&gt;"",Tasks[[#This Row],[_NextLevel]]&gt;Tasks[[#This Row],[_Level]])</f>
        <v>0</v>
      </c>
      <c r="BO205" s="41" t="n">
        <f aca="false">IF(Tasks[[#This Row],[_IsSummary]],COUNTIF(Tasks[WBS],Tasks[[#This Row],[WBS]]&amp;".*"),0)</f>
        <v>0</v>
      </c>
      <c r="BP205" s="41" t="n">
        <f aca="false">IF(AND(Tasks[[#This Row],[Task Name]]&lt;&gt;"",NOT(Tasks[[#This Row],[_IsSummary]])),1,0)</f>
        <v>0</v>
      </c>
      <c r="BQ205" s="41" t="n">
        <f aca="false">IF(N(Tasks[[#This Row],[Pred1 UID]])=0,0,IFERROR(MATCH(Tasks[[#This Row],[Pred1 UID]],Tasks[UID],0),-1))</f>
        <v>0</v>
      </c>
      <c r="BR205" s="41" t="n">
        <f aca="false">IF(N(Tasks[[#This Row],[Pred2 UID]])=0,0,IFERROR(MATCH(Tasks[[#This Row],[Pred2 UID]],Tasks[UID],0),-1))</f>
        <v>0</v>
      </c>
      <c r="BS205" s="103"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5" s="103" t="str">
        <f aca="false">IF(NOT(Tasks[[#This Row],[_IsLeaf]]=1),"",IF(N(Tasks[[#This Row],[Duration]])&lt;=0,Tasks[[#This Row],[_LeafCalcStart]],WORKDAY.INTL(Tasks[[#This Row],[_LeafCalcStart]],Tasks[[#This Row],[Duration]]-1,WorkWeek,Holidays)))</f>
        <v/>
      </c>
      <c r="BU205" s="103"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5" s="103"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5" s="41" t="n">
        <f aca="false">IF(NOT(Tasks[[#This Row],[_IsLeaf]]=1),0,IF(N(Tasks[[#This Row],[Actual Finish]])&gt;0,1,MIN(1,N(Tasks[[#This Row],[% Complete]]))))</f>
        <v>0</v>
      </c>
      <c r="BX205" s="41" t="n">
        <f aca="false">IF(OR(NOT(Tasks[[#This Row],[_IsLeaf]]=1),Tasks[[#This Row],[Resource]]=""),0,N(Tasks[[#This Row],[Duration]])*HoursPerDay*IF(Tasks[[#This Row],[Units]]="",DefaultUnits,Tasks[[#This Row],[Units]]))</f>
        <v>0</v>
      </c>
      <c r="BY205" s="41" t="n">
        <f aca="false">IF(Tasks[[#This Row],[_LeafWork]]=0,0,Tasks[[#This Row],[_LeafWork]]*IFERROR(INDEX(res_Rate,MATCH(Tasks[[#This Row],[Resource]],res_Name,0)),0))</f>
        <v>0</v>
      </c>
      <c r="BZ2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5" s="41" t="n">
        <f aca="false">IF(NOT(Tasks[[#This Row],[_IsLeaf]]=1),0,MAX(_xlfn.MAXIFS(Tasks[_Row],Tasks[Pred1 UID],Tasks[[#This Row],[UID]]),_xlfn.MAXIFS(Tasks[_Row],Tasks[Pred2 UID],Tasks[[#This Row],[UID]])))</f>
        <v>0</v>
      </c>
      <c r="CE205" s="103"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5" s="103" t="str">
        <f aca="false">IF(NOT(Tasks[[#This Row],[_IsLeaf]]=1),"",MIN(ProjectFinish,IF(N(Tasks[[#This Row],[Deadline]])&gt;0,Tasks[[#This Row],[Deadline]],2958465),Tasks[[#This Row],[_SuccessorFinishLimit]]))</f>
        <v/>
      </c>
      <c r="CG205" s="103" t="str">
        <f aca="false">IF(NOT(Tasks[[#This Row],[_IsLeaf]]=1),"",IF(N(Tasks[[#This Row],[Duration]])&lt;=0,Tasks[[#This Row],[_LeafLateFinish]],WORKDAY.INTL(Tasks[[#This Row],[_LeafLateFinish]],-(Tasks[[#This Row],[Duration]]-1),WorkWeek,Holidays)))</f>
        <v/>
      </c>
      <c r="CH2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5" s="102" t="b">
        <f aca="false">AND(Tasks[[#This Row],[_IsLeaf]]=1,Tasks[[#This Row],[_LeafProgress]]&lt;1,N(Tasks[[#This Row],[_LeafTotalSlack]])&lt;=CriticalSlackDays)</f>
        <v>0</v>
      </c>
      <c r="CJ205" s="103" t="str">
        <f aca="false">IF(Tasks[[#This Row],[Task Name]]="","",IF(Tasks[[#This Row],[_IsSummary]],MIN(INDEX(Tasks[_LeafCalcStart],Tasks[[#This Row],[_Row]]+1):INDEX(Tasks[_LeafCalcStart],Tasks[[#This Row],[_Row]]+Tasks[[#This Row],[_Descendants]])),Tasks[[#This Row],[_LeafCalcStart]]))</f>
        <v/>
      </c>
      <c r="CK205" s="103" t="str">
        <f aca="false">IF(Tasks[[#This Row],[Task Name]]="","",IF(Tasks[[#This Row],[_IsSummary]],MAX(INDEX(Tasks[_LeafCalcFinish],Tasks[[#This Row],[_Row]]+1):INDEX(Tasks[_LeafCalcFinish],Tasks[[#This Row],[_Row]]+Tasks[[#This Row],[_Descendants]])),Tasks[[#This Row],[_LeafCalcFinish]]))</f>
        <v/>
      </c>
      <c r="CL2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5" s="103"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5" s="103"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5" s="103"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5" s="103"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5" s="41" t="n">
        <f aca="false">IF(AND(Tasks[[#This Row],[_IsLeaf]]=1,Tasks[[#This Row],[_LeafWork]]&gt;0),NETWORKDAYS.INTL(ProjectStart,Tasks[[#This Row],[_LeafFcstStart]],WorkWeek,Holidays),0)</f>
        <v>0</v>
      </c>
      <c r="CS205" s="41" t="n">
        <f aca="false">IF(AND(Tasks[[#This Row],[_IsLeaf]]=1,Tasks[[#This Row],[_LeafWork]]&gt;0),MAX(Tasks[[#This Row],[_StartWorkday]],NETWORKDAYS.INTL(ProjectStart,Tasks[[#This Row],[_LeafFcstFinish]],WorkWeek,Holidays)),0)</f>
        <v>0</v>
      </c>
      <c r="CT205" s="41" t="n">
        <f aca="false">IF(AND(Tasks[[#This Row],[_IsLeaf]]=1,Tasks[[#This Row],[_LeafWork]]&gt;0),Tasks[[#This Row],[_LeafWork]]/(Tasks[[#This Row],[_FinishWorkday]]-Tasks[[#This Row],[_StartWorkday]]+1),0)</f>
        <v>0</v>
      </c>
      <c r="CU205" s="41" t="n">
        <f aca="false">Tasks[[#This Row],[_WorkPerWorkday]]*(Tasks[[#This Row],[_StartWorkday]]-1)</f>
        <v>-0</v>
      </c>
      <c r="CV205" s="41" t="n">
        <f aca="false">IF(Tasks[[#This Row],[_IsLeaf]]=1,MAX(N(Tasks[[#This Row],[Duration]]),0.1),0)</f>
        <v>0</v>
      </c>
      <c r="CW205" s="41" t="n">
        <f aca="false">Tasks[[#This Row],[_WeightDur]]*Tasks[[#This Row],[_LeafProgress]]</f>
        <v>0</v>
      </c>
      <c r="CX2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5" s="41" t="str">
        <f aca="false">IF(Tasks[[#This Row],[Task Name]]="","",Tasks[[#This Row],[_Pred1UIDText]]&amp;IF(AND(Tasks[[#This Row],[_Pred1UIDText]]&lt;&gt;"",Tasks[[#This Row],[_Pred2UIDText]]&lt;&gt;""),",","")&amp;Tasks[[#This Row],[_Pred2UIDText]])</f>
        <v/>
      </c>
      <c r="DC205" s="41" t="str">
        <f aca="false">IF(AND(Tasks[[#This Row],[_IsLeaf]]=1,N(Tasks[[#This Row],[Duration]])=0,Tasks[[#This Row],[_LeafProgress]]&lt;1),Tasks[[#This Row],[_LeafFcstFinish]]+Tasks[[#This Row],[_Row]]/100000,"")</f>
        <v/>
      </c>
      <c r="DD2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5" s="41" t="n">
        <f aca="false">IF(NOT(Tasks[[#This Row],[_IsLeaf]]=1),0,IF(Tasks[[#This Row],[Baseline Cost]]="",Tasks[[#This Row],[_LeafCost]],N(Tasks[[#This Row],[Baseline Cost]])))</f>
        <v>0</v>
      </c>
      <c r="DF205" s="41" t="n">
        <f aca="false">Tasks[[#This Row],[_LeafBudget]]*Tasks[[#This Row],[_PlannedPct]]</f>
        <v>0</v>
      </c>
      <c r="DG205" s="41" t="n">
        <f aca="false">Tasks[[#This Row],[_LeafBudget]]*Tasks[[#This Row],[_LeafProgress]]</f>
        <v>0</v>
      </c>
      <c r="DH205" s="41" t="n">
        <f aca="false">IF(NOT(Tasks[[#This Row],[_IsLeaf]]=1),0,IF(Tasks[[#This Row],[Actual Cost]]="",Tasks[[#This Row],[_LeafCost]]*Tasks[[#This Row],[_LeafProgress]],N(Tasks[[#This Row],[Actual Cost]])))</f>
        <v>0</v>
      </c>
      <c r="DI205" s="41" t="str">
        <f aca="false">IF(Tasks[[#This Row],[Task Name]]="","",LEFT(Tasks[[#This Row],[WBS]],FIND(".",Tasks[[#This Row],[WBS]]&amp;".")-1))</f>
        <v/>
      </c>
      <c r="DJ205" s="41" t="str">
        <f aca="false">IF(AND(Tasks[[#This Row],[Task Name]]&lt;&gt;"",Tasks[[#This Row],[_Level]]=1),Tasks[[#This Row],[_Row]],"")</f>
        <v/>
      </c>
      <c r="DK205" s="41" t="str">
        <f aca="false">IF(AND(Tasks[[#This Row],[_IsLeaf]]=1,N(Tasks[[#This Row],[Duration]])=0),Tasks[[#This Row],[Planned Finish]]+Tasks[[#This Row],[_Row]]/100000,"")</f>
        <v/>
      </c>
      <c r="DL205" s="41" t="str">
        <f aca="false">IF(AND(Tasks[[#This Row],[_IsLeaf]]=1,Tasks[[#This Row],[_LeafProgress]]&lt;1,OR(N(Tasks[[#This Row],[Finish Var]])&gt;0,Tasks[[#This Row],[Status]]="Late Start")),MAX(0,Tasks[[#This Row],[Finish Var]])+1-Tasks[[#This Row],[_Row]]/1000000,"")</f>
        <v/>
      </c>
      <c r="DM205" s="41" t="str">
        <f aca="false">IF(AND(Tasks[[#This Row],[_IsLeaf]]=1,N(Tasks[[#This Row],[Actual Start]])=0,Tasks[[#This Row],[_LeafFcstStart]]&gt;=StatusDate,Tasks[[#This Row],[_LeafFcstStart]]&lt;=LookaheadEnd),Tasks[[#This Row],[_LeafFcstStart]]+Tasks[[#This Row],[_Row]]/100000,"")</f>
        <v/>
      </c>
      <c r="DN205" s="41" t="str">
        <f aca="false">IF(AND(Tasks[[#This Row],[_IsLeaf]]=1,Tasks[[#This Row],[_LeafProgress]]&lt;1,Tasks[[#This Row],[_LeafFcstFinish]]&gt;=StatusDate,Tasks[[#This Row],[_LeafFcstFinish]]&lt;=LookaheadEnd),Tasks[[#This Row],[_LeafFcstFinish]]+Tasks[[#This Row],[_Row]]/100000,"")</f>
        <v/>
      </c>
      <c r="DO205" s="41" t="str">
        <f aca="false">IF(Tasks[[#This Row],[_LeafCritical]],Tasks[[#This Row],[_LeafFcstStart]]+Tasks[[#This Row],[_Row]]/100000,"")</f>
        <v/>
      </c>
      <c r="DP205" s="41" t="n">
        <f aca="false">Tasks[[#This Row],[_LeafWork]]*Tasks[[#This Row],[_LeafProgress]]</f>
        <v>0</v>
      </c>
      <c r="DQ205" s="103" t="str">
        <f aca="false">IF(AND(Tasks[[#This Row],[_IsLeaf]]=1,Tasks[[#This Row],[_LeafProgress]]&gt;=1),IF(N(Tasks[[#This Row],[Actual Finish]])&gt;0,Tasks[[#This Row],[Actual Finish]],Tasks[[#This Row],[_LeafFcstFinish]]),"")</f>
        <v/>
      </c>
      <c r="DR205" s="41" t="n">
        <f aca="false">IF(Tasks[[#This Row],[_IsLeaf]]=1,N(Tasks[[#This Row],[Story Points]]),0)</f>
        <v>0</v>
      </c>
      <c r="DS205" s="41" t="str">
        <f aca="false">IF(AND(Tasks[[#This Row],[_IsLeaf]]=1,CurrentSprint&lt;&gt;"",Tasks[[#This Row],[Sprint]]=CurrentSprint),Tasks[[#This Row],[_Row]],"")</f>
        <v/>
      </c>
    </row>
  </sheetData>
  <conditionalFormatting sqref="A6:BI205">
    <cfRule type="expression" priority="2" aboveAverage="0" equalAverage="0" bottom="0" percent="0" rank="0" text="" dxfId="35">
      <formula>$BN6=1</formula>
    </cfRule>
  </conditionalFormatting>
  <conditionalFormatting sqref="G6:G205">
    <cfRule type="expression" priority="3" aboveAverage="0" equalAverage="0" bottom="0" percent="0" rank="0" text="" dxfId="36">
      <formula>$BN6=1</formula>
    </cfRule>
  </conditionalFormatting>
  <conditionalFormatting sqref="H6:H205">
    <cfRule type="expression" priority="4" aboveAverage="0" equalAverage="0" bottom="0" percent="0" rank="0" text="" dxfId="36">
      <formula>$BN6=1</formula>
    </cfRule>
  </conditionalFormatting>
  <conditionalFormatting sqref="I6:I205">
    <cfRule type="expression" priority="5" aboveAverage="0" equalAverage="0" bottom="0" percent="0" rank="0" text="" dxfId="36">
      <formula>$BN6=1</formula>
    </cfRule>
  </conditionalFormatting>
  <conditionalFormatting sqref="J6:J205">
    <cfRule type="expression" priority="6" aboveAverage="0" equalAverage="0" bottom="0" percent="0" rank="0" text="" dxfId="36">
      <formula>$BN6=1</formula>
    </cfRule>
  </conditionalFormatting>
  <conditionalFormatting sqref="K6:K205">
    <cfRule type="expression" priority="7" aboveAverage="0" equalAverage="0" bottom="0" percent="0" rank="0" text="" dxfId="36">
      <formula>$BN6=1</formula>
    </cfRule>
  </conditionalFormatting>
  <conditionalFormatting sqref="L6:L205">
    <cfRule type="expression" priority="8" aboveAverage="0" equalAverage="0" bottom="0" percent="0" rank="0" text="" dxfId="36">
      <formula>$BN6=1</formula>
    </cfRule>
  </conditionalFormatting>
  <conditionalFormatting sqref="M6:M205">
    <cfRule type="expression" priority="9" aboveAverage="0" equalAverage="0" bottom="0" percent="0" rank="0" text="" dxfId="36">
      <formula>$BN6=1</formula>
    </cfRule>
  </conditionalFormatting>
  <conditionalFormatting sqref="N6:N205">
    <cfRule type="expression" priority="10" aboveAverage="0" equalAverage="0" bottom="0" percent="0" rank="0" text="" dxfId="36">
      <formula>$BN6=1</formula>
    </cfRule>
  </conditionalFormatting>
  <conditionalFormatting sqref="R6:R205">
    <cfRule type="expression" priority="11" aboveAverage="0" equalAverage="0" bottom="0" percent="0" rank="0" text="" dxfId="36">
      <formula>$BN6=1</formula>
    </cfRule>
  </conditionalFormatting>
  <conditionalFormatting sqref="S6:S205">
    <cfRule type="expression" priority="12" aboveAverage="0" equalAverage="0" bottom="0" percent="0" rank="0" text="" dxfId="36">
      <formula>$BN6=1</formula>
    </cfRule>
  </conditionalFormatting>
  <conditionalFormatting sqref="AE6:AE205">
    <cfRule type="expression" priority="13" aboveAverage="0" equalAverage="0" bottom="0" percent="0" rank="0" text="" dxfId="36">
      <formula>$BN6=1</formula>
    </cfRule>
  </conditionalFormatting>
  <conditionalFormatting sqref="AH6:AH205">
    <cfRule type="expression" priority="14" aboveAverage="0" equalAverage="0" bottom="0" percent="0" rank="0" text="" dxfId="36">
      <formula>$BN6=1</formula>
    </cfRule>
  </conditionalFormatting>
  <conditionalFormatting sqref="AI6:AI205">
    <cfRule type="expression" priority="15" aboveAverage="0" equalAverage="0" bottom="0" percent="0" rank="0" text="" dxfId="36">
      <formula>$BN6=1</formula>
    </cfRule>
  </conditionalFormatting>
  <conditionalFormatting sqref="AM6:AM205">
    <cfRule type="expression" priority="16" aboveAverage="0" equalAverage="0" bottom="0" percent="0" rank="0" text="" dxfId="36">
      <formula>$BN6=1</formula>
    </cfRule>
  </conditionalFormatting>
  <conditionalFormatting sqref="AN6:AN205">
    <cfRule type="expression" priority="17" aboveAverage="0" equalAverage="0" bottom="0" percent="0" rank="0" text="" dxfId="36">
      <formula>$BN6=1</formula>
    </cfRule>
  </conditionalFormatting>
  <conditionalFormatting sqref="AP6:AP205">
    <cfRule type="expression" priority="18" aboveAverage="0" equalAverage="0" bottom="0" percent="0" rank="0" text="" dxfId="36">
      <formula>$BN6=1</formula>
    </cfRule>
  </conditionalFormatting>
  <conditionalFormatting sqref="AG6:AG205">
    <cfRule type="expression" priority="19" aboveAverage="0" equalAverage="0" bottom="0" percent="0" rank="0" text="" dxfId="12">
      <formula>$AG6="Complete"</formula>
    </cfRule>
    <cfRule type="expression" priority="20" aboveAverage="0" equalAverage="0" bottom="0" percent="0" rank="0" text="" dxfId="37">
      <formula>$AG6="In Progress"</formula>
    </cfRule>
    <cfRule type="expression" priority="21" aboveAverage="0" equalAverage="0" bottom="0" percent="0" rank="0" text="" dxfId="24">
      <formula>$AG6="Behind"</formula>
    </cfRule>
    <cfRule type="expression" priority="22" aboveAverage="0" equalAverage="0" bottom="0" percent="0" rank="0" text="" dxfId="30">
      <formula>$AG6="Late Start"</formula>
    </cfRule>
    <cfRule type="expression" priority="23" aboveAverage="0" equalAverage="0" bottom="0" percent="0" rank="0" text="" dxfId="38">
      <formula>$AG6="Not Started"</formula>
    </cfRule>
  </conditionalFormatting>
  <conditionalFormatting sqref="V6:V205">
    <cfRule type="expression" priority="24" aboveAverage="0" equalAverage="0" bottom="0" percent="0" rank="0" text="" dxfId="24">
      <formula>AND(ISNUMBER($V6),$V6&gt;0)</formula>
    </cfRule>
    <cfRule type="expression" priority="25" aboveAverage="0" equalAverage="0" bottom="0" percent="0" rank="0" text="" dxfId="12">
      <formula>AND(ISNUMBER($V6),$V6&lt;0)</formula>
    </cfRule>
  </conditionalFormatting>
  <conditionalFormatting sqref="W6:W205">
    <cfRule type="expression" priority="26" aboveAverage="0" equalAverage="0" bottom="0" percent="0" rank="0" text="" dxfId="24">
      <formula>AND(ISNUMBER($W6),$W6&gt;0)</formula>
    </cfRule>
    <cfRule type="expression" priority="27" aboveAverage="0" equalAverage="0" bottom="0" percent="0" rank="0" text="" dxfId="12">
      <formula>AND(ISNUMBER($W6),$W6&lt;0)</formula>
    </cfRule>
  </conditionalFormatting>
  <conditionalFormatting sqref="BC6:BC205">
    <cfRule type="expression" priority="28" aboveAverage="0" equalAverage="0" bottom="0" percent="0" rank="0" text="" dxfId="24">
      <formula>AND(ISNUMBER($BC6),$BC6&gt;0)</formula>
    </cfRule>
    <cfRule type="expression" priority="29" aboveAverage="0" equalAverage="0" bottom="0" percent="0" rank="0" text="" dxfId="12">
      <formula>AND(ISNUMBER($BC6),$BC6&lt;0)</formula>
    </cfRule>
  </conditionalFormatting>
  <conditionalFormatting sqref="BD6:BD205">
    <cfRule type="expression" priority="30" aboveAverage="0" equalAverage="0" bottom="0" percent="0" rank="0" text="" dxfId="24">
      <formula>AND(ISNUMBER($BD6),$BD6&gt;0)</formula>
    </cfRule>
    <cfRule type="expression" priority="31" aboveAverage="0" equalAverage="0" bottom="0" percent="0" rank="0" text="" dxfId="12">
      <formula>AND(ISNUMBER($BD6),$BD6&lt;0)</formula>
    </cfRule>
  </conditionalFormatting>
  <conditionalFormatting sqref="BE6:BE205">
    <cfRule type="expression" priority="32" aboveAverage="0" equalAverage="0" bottom="0" percent="0" rank="0" text="" dxfId="24">
      <formula>AND(ISNUMBER($BE6),$BE6&gt;0)</formula>
    </cfRule>
    <cfRule type="expression" priority="33" aboveAverage="0" equalAverage="0" bottom="0" percent="0" rank="0" text="" dxfId="12">
      <formula>AND(ISNUMBER($BE6),$BE6&lt;0)</formula>
    </cfRule>
  </conditionalFormatting>
  <conditionalFormatting sqref="E6:E205">
    <cfRule type="expression" priority="34" aboveAverage="0" equalAverage="0" bottom="0" percent="0" rank="0" text="" dxfId="39">
      <formula>AND($BP6=1,N($G6)=0)</formula>
    </cfRule>
  </conditionalFormatting>
  <conditionalFormatting sqref="C6:C205">
    <cfRule type="expression" priority="35" aboveAverage="0" equalAverage="0" bottom="0" percent="0" rank="0" text="" dxfId="40">
      <formula>$C6="?"</formula>
    </cfRule>
  </conditionalFormatting>
  <conditionalFormatting sqref="B6:B205">
    <cfRule type="expression" priority="36" aboveAverage="0" equalAverage="0" bottom="0" percent="0" rank="0" text="" dxfId="15">
      <formula>OR(AND($E6&lt;&gt;"",$B6=""),AND($B6&lt;&gt;"",COUNTIF(tsk_UID,$B6)&gt;1))</formula>
    </cfRule>
  </conditionalFormatting>
  <conditionalFormatting sqref="AD6:AD205">
    <cfRule type="expression" priority="37" aboveAverage="0" equalAverage="0" bottom="0" percent="0" rank="0" text="" dxfId="41">
      <formula>$AD6&lt;&gt;""</formula>
    </cfRule>
  </conditionalFormatting>
  <conditionalFormatting sqref="AC6:AC205">
    <cfRule type="expression" priority="38" aboveAverage="0" equalAverage="0" bottom="0" percent="0" rank="0" text="" dxfId="24">
      <formula>LEFT($AC6,4)="Late"</formula>
    </cfRule>
    <cfRule type="expression" priority="39" aboveAverage="0" equalAverage="0" bottom="0" percent="0" rank="0" text="" dxfId="12">
      <formula>$AC6="OK"</formula>
    </cfRule>
  </conditionalFormatting>
  <conditionalFormatting sqref="AJ6:AJ205">
    <cfRule type="expression" priority="40" aboveAverage="0" equalAverage="0" bottom="0" percent="0" rank="0" text="" dxfId="15">
      <formula>$AJ6="Yes"</formula>
    </cfRule>
  </conditionalFormatting>
  <conditionalFormatting sqref="AB6:AB205">
    <cfRule type="expression" priority="41" aboveAverage="0" equalAverage="0" bottom="0" percent="0" rank="0" text="" dxfId="25">
      <formula>$AB6="Yes"</formula>
    </cfRule>
  </conditionalFormatting>
  <conditionalFormatting sqref="Z6:Z205">
    <cfRule type="expression" priority="42" aboveAverage="0" equalAverage="0" bottom="0" percent="0" rank="0" text="" dxfId="24">
      <formula>AND(ISNUMBER($Z6),$Z6&lt;0)</formula>
    </cfRule>
  </conditionalFormatting>
  <conditionalFormatting sqref="AA6:AA205">
    <cfRule type="expression" priority="43" aboveAverage="0" equalAverage="0" bottom="0" percent="0" rank="0" text="" dxfId="24">
      <formula>AND(ISNUMBER($AA6),$AA6&lt;0)</formula>
    </cfRule>
  </conditionalFormatting>
  <dataValidations count="13">
    <dataValidation allowBlank="false" errorStyle="stop" operator="greaterThan" showDropDown="false" showErrorMessage="false" showInputMessage="false" sqref="N6:O205 R6:S205" type="date">
      <formula1>1</formula1>
      <formula2>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F6:F205" type="list">
      <formula1>L_Mode</formula1>
      <formula2>0</formula2>
    </dataValidation>
    <dataValidation allowBlank="false" error="Duration is in working days (0 = milestone)." errorStyle="stop" operator="greaterThanOrEqual" showDropDown="false" showErrorMessage="true" showInputMessage="false" sqref="G6:G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H6:H205 K6:K205" type="whole">
      <formula1>1</formula1>
      <formula2>0</formula2>
    </dataValidation>
    <dataValidation allowBlank="false" errorStyle="stop" operator="between" showDropDown="false" showErrorMessage="false" showInputMessage="false" sqref="I6:I205 L6:L205" type="list">
      <formula1>L_DepType</formula1>
      <formula2>0</formula2>
    </dataValidation>
    <dataValidation allowBlank="false" errorStyle="stop" operator="between" showDropDown="false" showErrorMessage="false" showInputMessage="false" sqref="J6:J205 M6:M205" type="whole">
      <formula1>-365</formula1>
      <formula2>365</formula2>
    </dataValidation>
    <dataValidation allowBlank="false" error="Enter 0% - 100%." errorStyle="stop" operator="between" showDropDown="false" showErrorMessage="true" showInputMessage="false" sqref="AE6:AE205" type="decimal">
      <formula1>0</formula1>
      <formula2>1</formula2>
    </dataValidation>
    <dataValidation allowBlank="false" errorStyle="stop" operator="between" showDropDown="false" showErrorMessage="false" showInputMessage="false" sqref="AH6:AH205" type="list">
      <formula1>res_Name</formula1>
      <formula2>0</formula2>
    </dataValidation>
    <dataValidation allowBlank="false" errorStyle="stop" operator="between" showDropDown="false" showErrorMessage="false" showInputMessage="false" sqref="AI6:AI205" type="decimal">
      <formula1>0</formula1>
      <formula2>10</formula2>
    </dataValidation>
    <dataValidation allowBlank="false" errorStyle="stop" operator="greaterThanOrEqual" showDropDown="false" showErrorMessage="false" showInputMessage="false" sqref="AM6:AM205 AP6:AP205" type="decimal">
      <formula1>0</formula1>
      <formula2>0</formula2>
    </dataValidation>
    <dataValidation allowBlank="false" errorStyle="stop" operator="between" showDropDown="false" showErrorMessage="false" showInputMessage="false" sqref="AN6:AN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P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2" ySplit="5" topLeftCell="W6" activePane="bottomRight" state="frozen"/>
      <selection pane="topLeft" activeCell="A1" activeCellId="0" sqref="A1"/>
      <selection pane="topRight" activeCell="W1" activeCellId="0" sqref="W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true" outlineLevel="1" max="21" min="12" style="0" width="5"/>
    <col collapsed="false" customWidth="true" hidden="false" outlineLevel="0" max="22" min="22" style="0" width="1"/>
    <col collapsed="false" customWidth="true" hidden="false" outlineLevel="0" max="172" min="23" style="0" width="2.9"/>
  </cols>
  <sheetData>
    <row r="1" customFormat="false" ht="19.7" hidden="false" customHeight="false" outlineLevel="0" collapsed="false">
      <c r="A1" s="26" t="str">
        <f aca="false">ProjectName&amp;"  -  Gantt Chart"</f>
        <v>Customer Portal Implementation  -  Gantt Chart</v>
      </c>
      <c r="W1" s="105"/>
      <c r="X1" s="106" t="s">
        <v>643</v>
      </c>
      <c r="AI1" s="107"/>
      <c r="AJ1" s="106" t="s">
        <v>644</v>
      </c>
      <c r="AU1" s="108"/>
      <c r="AV1" s="106" t="s">
        <v>645</v>
      </c>
      <c r="BG1" s="109"/>
      <c r="BH1" s="106" t="s">
        <v>646</v>
      </c>
      <c r="BS1" s="110"/>
      <c r="BT1" s="106" t="s">
        <v>647</v>
      </c>
    </row>
    <row r="2" customFormat="false" ht="15" hidden="false" customHeight="false" outlineLevel="0" collapsed="false">
      <c r="A2" s="111" t="str">
        <f aca="false">"Status date: "&amp;TEXT(StatusDate,"ddd dd-mmm-yyyy")&amp;"   |   Forecast finish: "&amp;TEXT(MAX(tsk_FcFinish),"dd-mmm-yyyy")&amp;"   |   Planned finish: "&amp;TEXT(MAX(tsk_PlanFinish),"dd-mmm-yyyy")&amp;IF(COUNTA(tsk_Name)&gt;ROWS(GanttView[ID]),"   |   Showing the first "&amp;ROWS(GanttView[ID])&amp;" tasks","")</f>
        <v>Status date: Sun 25-Oct-2026   |   Forecast finish: 06-Jan-2027   |   Planned finish: 06-Jan-2027</v>
      </c>
      <c r="W2" s="112"/>
      <c r="X2" s="106" t="s">
        <v>648</v>
      </c>
      <c r="AI2" s="113"/>
      <c r="AJ2" s="106" t="s">
        <v>649</v>
      </c>
      <c r="AU2" s="114"/>
      <c r="AV2" s="106" t="s">
        <v>221</v>
      </c>
      <c r="BG2" s="115"/>
      <c r="BH2" s="106" t="s">
        <v>377</v>
      </c>
      <c r="BS2" s="116"/>
      <c r="BT2" s="106" t="s">
        <v>650</v>
      </c>
    </row>
    <row r="3" customFormat="false" ht="15" hidden="false" customHeight="false" outlineLevel="0" collapsed="false">
      <c r="A3" s="8" t="s">
        <v>651</v>
      </c>
      <c r="W3" s="117" t="str">
        <f aca="false">IF(GanttPeriod=1,LEFT(TEXT(GanttStart+(COLUMN()-COLUMN(gantt_Origin)-1)*GanttPeriod,"ddd"),1),"")</f>
        <v>M</v>
      </c>
      <c r="X3" s="117" t="str">
        <f aca="false">IF(GanttPeriod=1,LEFT(TEXT(GanttStart+(COLUMN()-COLUMN(gantt_Origin)-1)*GanttPeriod,"ddd"),1),"")</f>
        <v>T</v>
      </c>
      <c r="Y3" s="117" t="str">
        <f aca="false">IF(GanttPeriod=1,LEFT(TEXT(GanttStart+(COLUMN()-COLUMN(gantt_Origin)-1)*GanttPeriod,"ddd"),1),"")</f>
        <v>W</v>
      </c>
      <c r="Z3" s="117" t="str">
        <f aca="false">IF(GanttPeriod=1,LEFT(TEXT(GanttStart+(COLUMN()-COLUMN(gantt_Origin)-1)*GanttPeriod,"ddd"),1),"")</f>
        <v>T</v>
      </c>
      <c r="AA3" s="117" t="str">
        <f aca="false">IF(GanttPeriod=1,LEFT(TEXT(GanttStart+(COLUMN()-COLUMN(gantt_Origin)-1)*GanttPeriod,"ddd"),1),"")</f>
        <v>F</v>
      </c>
      <c r="AB3" s="117" t="str">
        <f aca="false">IF(GanttPeriod=1,LEFT(TEXT(GanttStart+(COLUMN()-COLUMN(gantt_Origin)-1)*GanttPeriod,"ddd"),1),"")</f>
        <v>S</v>
      </c>
      <c r="AC3" s="117" t="str">
        <f aca="false">IF(GanttPeriod=1,LEFT(TEXT(GanttStart+(COLUMN()-COLUMN(gantt_Origin)-1)*GanttPeriod,"ddd"),1),"")</f>
        <v>S</v>
      </c>
      <c r="AD3" s="117" t="str">
        <f aca="false">IF(GanttPeriod=1,LEFT(TEXT(GanttStart+(COLUMN()-COLUMN(gantt_Origin)-1)*GanttPeriod,"ddd"),1),"")</f>
        <v>M</v>
      </c>
      <c r="AE3" s="117" t="str">
        <f aca="false">IF(GanttPeriod=1,LEFT(TEXT(GanttStart+(COLUMN()-COLUMN(gantt_Origin)-1)*GanttPeriod,"ddd"),1),"")</f>
        <v>T</v>
      </c>
      <c r="AF3" s="117" t="str">
        <f aca="false">IF(GanttPeriod=1,LEFT(TEXT(GanttStart+(COLUMN()-COLUMN(gantt_Origin)-1)*GanttPeriod,"ddd"),1),"")</f>
        <v>W</v>
      </c>
      <c r="AG3" s="117" t="str">
        <f aca="false">IF(GanttPeriod=1,LEFT(TEXT(GanttStart+(COLUMN()-COLUMN(gantt_Origin)-1)*GanttPeriod,"ddd"),1),"")</f>
        <v>T</v>
      </c>
      <c r="AH3" s="117" t="str">
        <f aca="false">IF(GanttPeriod=1,LEFT(TEXT(GanttStart+(COLUMN()-COLUMN(gantt_Origin)-1)*GanttPeriod,"ddd"),1),"")</f>
        <v>F</v>
      </c>
      <c r="AI3" s="117" t="str">
        <f aca="false">IF(GanttPeriod=1,LEFT(TEXT(GanttStart+(COLUMN()-COLUMN(gantt_Origin)-1)*GanttPeriod,"ddd"),1),"")</f>
        <v>S</v>
      </c>
      <c r="AJ3" s="117" t="str">
        <f aca="false">IF(GanttPeriod=1,LEFT(TEXT(GanttStart+(COLUMN()-COLUMN(gantt_Origin)-1)*GanttPeriod,"ddd"),1),"")</f>
        <v>S</v>
      </c>
      <c r="AK3" s="117" t="str">
        <f aca="false">IF(GanttPeriod=1,LEFT(TEXT(GanttStart+(COLUMN()-COLUMN(gantt_Origin)-1)*GanttPeriod,"ddd"),1),"")</f>
        <v>M</v>
      </c>
      <c r="AL3" s="117" t="str">
        <f aca="false">IF(GanttPeriod=1,LEFT(TEXT(GanttStart+(COLUMN()-COLUMN(gantt_Origin)-1)*GanttPeriod,"ddd"),1),"")</f>
        <v>T</v>
      </c>
      <c r="AM3" s="117" t="str">
        <f aca="false">IF(GanttPeriod=1,LEFT(TEXT(GanttStart+(COLUMN()-COLUMN(gantt_Origin)-1)*GanttPeriod,"ddd"),1),"")</f>
        <v>W</v>
      </c>
      <c r="AN3" s="117" t="str">
        <f aca="false">IF(GanttPeriod=1,LEFT(TEXT(GanttStart+(COLUMN()-COLUMN(gantt_Origin)-1)*GanttPeriod,"ddd"),1),"")</f>
        <v>T</v>
      </c>
      <c r="AO3" s="117" t="str">
        <f aca="false">IF(GanttPeriod=1,LEFT(TEXT(GanttStart+(COLUMN()-COLUMN(gantt_Origin)-1)*GanttPeriod,"ddd"),1),"")</f>
        <v>F</v>
      </c>
      <c r="AP3" s="117" t="str">
        <f aca="false">IF(GanttPeriod=1,LEFT(TEXT(GanttStart+(COLUMN()-COLUMN(gantt_Origin)-1)*GanttPeriod,"ddd"),1),"")</f>
        <v>S</v>
      </c>
      <c r="AQ3" s="117" t="str">
        <f aca="false">IF(GanttPeriod=1,LEFT(TEXT(GanttStart+(COLUMN()-COLUMN(gantt_Origin)-1)*GanttPeriod,"ddd"),1),"")</f>
        <v>S</v>
      </c>
      <c r="AR3" s="117" t="str">
        <f aca="false">IF(GanttPeriod=1,LEFT(TEXT(GanttStart+(COLUMN()-COLUMN(gantt_Origin)-1)*GanttPeriod,"ddd"),1),"")</f>
        <v>M</v>
      </c>
      <c r="AS3" s="117" t="str">
        <f aca="false">IF(GanttPeriod=1,LEFT(TEXT(GanttStart+(COLUMN()-COLUMN(gantt_Origin)-1)*GanttPeriod,"ddd"),1),"")</f>
        <v>T</v>
      </c>
      <c r="AT3" s="117" t="str">
        <f aca="false">IF(GanttPeriod=1,LEFT(TEXT(GanttStart+(COLUMN()-COLUMN(gantt_Origin)-1)*GanttPeriod,"ddd"),1),"")</f>
        <v>W</v>
      </c>
      <c r="AU3" s="117" t="str">
        <f aca="false">IF(GanttPeriod=1,LEFT(TEXT(GanttStart+(COLUMN()-COLUMN(gantt_Origin)-1)*GanttPeriod,"ddd"),1),"")</f>
        <v>T</v>
      </c>
      <c r="AV3" s="117" t="str">
        <f aca="false">IF(GanttPeriod=1,LEFT(TEXT(GanttStart+(COLUMN()-COLUMN(gantt_Origin)-1)*GanttPeriod,"ddd"),1),"")</f>
        <v>F</v>
      </c>
      <c r="AW3" s="117" t="str">
        <f aca="false">IF(GanttPeriod=1,LEFT(TEXT(GanttStart+(COLUMN()-COLUMN(gantt_Origin)-1)*GanttPeriod,"ddd"),1),"")</f>
        <v>S</v>
      </c>
      <c r="AX3" s="117" t="str">
        <f aca="false">IF(GanttPeriod=1,LEFT(TEXT(GanttStart+(COLUMN()-COLUMN(gantt_Origin)-1)*GanttPeriod,"ddd"),1),"")</f>
        <v>S</v>
      </c>
      <c r="AY3" s="117" t="str">
        <f aca="false">IF(GanttPeriod=1,LEFT(TEXT(GanttStart+(COLUMN()-COLUMN(gantt_Origin)-1)*GanttPeriod,"ddd"),1),"")</f>
        <v>M</v>
      </c>
      <c r="AZ3" s="117" t="str">
        <f aca="false">IF(GanttPeriod=1,LEFT(TEXT(GanttStart+(COLUMN()-COLUMN(gantt_Origin)-1)*GanttPeriod,"ddd"),1),"")</f>
        <v>T</v>
      </c>
      <c r="BA3" s="117" t="str">
        <f aca="false">IF(GanttPeriod=1,LEFT(TEXT(GanttStart+(COLUMN()-COLUMN(gantt_Origin)-1)*GanttPeriod,"ddd"),1),"")</f>
        <v>W</v>
      </c>
      <c r="BB3" s="117" t="str">
        <f aca="false">IF(GanttPeriod=1,LEFT(TEXT(GanttStart+(COLUMN()-COLUMN(gantt_Origin)-1)*GanttPeriod,"ddd"),1),"")</f>
        <v>T</v>
      </c>
      <c r="BC3" s="117" t="str">
        <f aca="false">IF(GanttPeriod=1,LEFT(TEXT(GanttStart+(COLUMN()-COLUMN(gantt_Origin)-1)*GanttPeriod,"ddd"),1),"")</f>
        <v>F</v>
      </c>
      <c r="BD3" s="117" t="str">
        <f aca="false">IF(GanttPeriod=1,LEFT(TEXT(GanttStart+(COLUMN()-COLUMN(gantt_Origin)-1)*GanttPeriod,"ddd"),1),"")</f>
        <v>S</v>
      </c>
      <c r="BE3" s="117" t="str">
        <f aca="false">IF(GanttPeriod=1,LEFT(TEXT(GanttStart+(COLUMN()-COLUMN(gantt_Origin)-1)*GanttPeriod,"ddd"),1),"")</f>
        <v>S</v>
      </c>
      <c r="BF3" s="117" t="str">
        <f aca="false">IF(GanttPeriod=1,LEFT(TEXT(GanttStart+(COLUMN()-COLUMN(gantt_Origin)-1)*GanttPeriod,"ddd"),1),"")</f>
        <v>M</v>
      </c>
      <c r="BG3" s="117" t="str">
        <f aca="false">IF(GanttPeriod=1,LEFT(TEXT(GanttStart+(COLUMN()-COLUMN(gantt_Origin)-1)*GanttPeriod,"ddd"),1),"")</f>
        <v>T</v>
      </c>
      <c r="BH3" s="117" t="str">
        <f aca="false">IF(GanttPeriod=1,LEFT(TEXT(GanttStart+(COLUMN()-COLUMN(gantt_Origin)-1)*GanttPeriod,"ddd"),1),"")</f>
        <v>W</v>
      </c>
      <c r="BI3" s="117" t="str">
        <f aca="false">IF(GanttPeriod=1,LEFT(TEXT(GanttStart+(COLUMN()-COLUMN(gantt_Origin)-1)*GanttPeriod,"ddd"),1),"")</f>
        <v>T</v>
      </c>
      <c r="BJ3" s="117" t="str">
        <f aca="false">IF(GanttPeriod=1,LEFT(TEXT(GanttStart+(COLUMN()-COLUMN(gantt_Origin)-1)*GanttPeriod,"ddd"),1),"")</f>
        <v>F</v>
      </c>
      <c r="BK3" s="117" t="str">
        <f aca="false">IF(GanttPeriod=1,LEFT(TEXT(GanttStart+(COLUMN()-COLUMN(gantt_Origin)-1)*GanttPeriod,"ddd"),1),"")</f>
        <v>S</v>
      </c>
      <c r="BL3" s="117" t="str">
        <f aca="false">IF(GanttPeriod=1,LEFT(TEXT(GanttStart+(COLUMN()-COLUMN(gantt_Origin)-1)*GanttPeriod,"ddd"),1),"")</f>
        <v>S</v>
      </c>
      <c r="BM3" s="117" t="str">
        <f aca="false">IF(GanttPeriod=1,LEFT(TEXT(GanttStart+(COLUMN()-COLUMN(gantt_Origin)-1)*GanttPeriod,"ddd"),1),"")</f>
        <v>M</v>
      </c>
      <c r="BN3" s="117" t="str">
        <f aca="false">IF(GanttPeriod=1,LEFT(TEXT(GanttStart+(COLUMN()-COLUMN(gantt_Origin)-1)*GanttPeriod,"ddd"),1),"")</f>
        <v>T</v>
      </c>
      <c r="BO3" s="117" t="str">
        <f aca="false">IF(GanttPeriod=1,LEFT(TEXT(GanttStart+(COLUMN()-COLUMN(gantt_Origin)-1)*GanttPeriod,"ddd"),1),"")</f>
        <v>W</v>
      </c>
      <c r="BP3" s="117" t="str">
        <f aca="false">IF(GanttPeriod=1,LEFT(TEXT(GanttStart+(COLUMN()-COLUMN(gantt_Origin)-1)*GanttPeriod,"ddd"),1),"")</f>
        <v>T</v>
      </c>
      <c r="BQ3" s="117" t="str">
        <f aca="false">IF(GanttPeriod=1,LEFT(TEXT(GanttStart+(COLUMN()-COLUMN(gantt_Origin)-1)*GanttPeriod,"ddd"),1),"")</f>
        <v>F</v>
      </c>
      <c r="BR3" s="117" t="str">
        <f aca="false">IF(GanttPeriod=1,LEFT(TEXT(GanttStart+(COLUMN()-COLUMN(gantt_Origin)-1)*GanttPeriod,"ddd"),1),"")</f>
        <v>S</v>
      </c>
      <c r="BS3" s="117" t="str">
        <f aca="false">IF(GanttPeriod=1,LEFT(TEXT(GanttStart+(COLUMN()-COLUMN(gantt_Origin)-1)*GanttPeriod,"ddd"),1),"")</f>
        <v>S</v>
      </c>
      <c r="BT3" s="117" t="str">
        <f aca="false">IF(GanttPeriod=1,LEFT(TEXT(GanttStart+(COLUMN()-COLUMN(gantt_Origin)-1)*GanttPeriod,"ddd"),1),"")</f>
        <v>M</v>
      </c>
      <c r="BU3" s="117" t="str">
        <f aca="false">IF(GanttPeriod=1,LEFT(TEXT(GanttStart+(COLUMN()-COLUMN(gantt_Origin)-1)*GanttPeriod,"ddd"),1),"")</f>
        <v>T</v>
      </c>
      <c r="BV3" s="117" t="str">
        <f aca="false">IF(GanttPeriod=1,LEFT(TEXT(GanttStart+(COLUMN()-COLUMN(gantt_Origin)-1)*GanttPeriod,"ddd"),1),"")</f>
        <v>W</v>
      </c>
      <c r="BW3" s="117" t="str">
        <f aca="false">IF(GanttPeriod=1,LEFT(TEXT(GanttStart+(COLUMN()-COLUMN(gantt_Origin)-1)*GanttPeriod,"ddd"),1),"")</f>
        <v>T</v>
      </c>
      <c r="BX3" s="117" t="str">
        <f aca="false">IF(GanttPeriod=1,LEFT(TEXT(GanttStart+(COLUMN()-COLUMN(gantt_Origin)-1)*GanttPeriod,"ddd"),1),"")</f>
        <v>F</v>
      </c>
      <c r="BY3" s="117" t="str">
        <f aca="false">IF(GanttPeriod=1,LEFT(TEXT(GanttStart+(COLUMN()-COLUMN(gantt_Origin)-1)*GanttPeriod,"ddd"),1),"")</f>
        <v>S</v>
      </c>
      <c r="BZ3" s="117" t="str">
        <f aca="false">IF(GanttPeriod=1,LEFT(TEXT(GanttStart+(COLUMN()-COLUMN(gantt_Origin)-1)*GanttPeriod,"ddd"),1),"")</f>
        <v>S</v>
      </c>
      <c r="CA3" s="117" t="str">
        <f aca="false">IF(GanttPeriod=1,LEFT(TEXT(GanttStart+(COLUMN()-COLUMN(gantt_Origin)-1)*GanttPeriod,"ddd"),1),"")</f>
        <v>M</v>
      </c>
      <c r="CB3" s="117" t="str">
        <f aca="false">IF(GanttPeriod=1,LEFT(TEXT(GanttStart+(COLUMN()-COLUMN(gantt_Origin)-1)*GanttPeriod,"ddd"),1),"")</f>
        <v>T</v>
      </c>
      <c r="CC3" s="117" t="str">
        <f aca="false">IF(GanttPeriod=1,LEFT(TEXT(GanttStart+(COLUMN()-COLUMN(gantt_Origin)-1)*GanttPeriod,"ddd"),1),"")</f>
        <v>W</v>
      </c>
      <c r="CD3" s="117" t="str">
        <f aca="false">IF(GanttPeriod=1,LEFT(TEXT(GanttStart+(COLUMN()-COLUMN(gantt_Origin)-1)*GanttPeriod,"ddd"),1),"")</f>
        <v>T</v>
      </c>
      <c r="CE3" s="117" t="str">
        <f aca="false">IF(GanttPeriod=1,LEFT(TEXT(GanttStart+(COLUMN()-COLUMN(gantt_Origin)-1)*GanttPeriod,"ddd"),1),"")</f>
        <v>F</v>
      </c>
      <c r="CF3" s="117" t="str">
        <f aca="false">IF(GanttPeriod=1,LEFT(TEXT(GanttStart+(COLUMN()-COLUMN(gantt_Origin)-1)*GanttPeriod,"ddd"),1),"")</f>
        <v>S</v>
      </c>
      <c r="CG3" s="117" t="str">
        <f aca="false">IF(GanttPeriod=1,LEFT(TEXT(GanttStart+(COLUMN()-COLUMN(gantt_Origin)-1)*GanttPeriod,"ddd"),1),"")</f>
        <v>S</v>
      </c>
      <c r="CH3" s="117" t="str">
        <f aca="false">IF(GanttPeriod=1,LEFT(TEXT(GanttStart+(COLUMN()-COLUMN(gantt_Origin)-1)*GanttPeriod,"ddd"),1),"")</f>
        <v>M</v>
      </c>
      <c r="CI3" s="117" t="str">
        <f aca="false">IF(GanttPeriod=1,LEFT(TEXT(GanttStart+(COLUMN()-COLUMN(gantt_Origin)-1)*GanttPeriod,"ddd"),1),"")</f>
        <v>T</v>
      </c>
      <c r="CJ3" s="117" t="str">
        <f aca="false">IF(GanttPeriod=1,LEFT(TEXT(GanttStart+(COLUMN()-COLUMN(gantt_Origin)-1)*GanttPeriod,"ddd"),1),"")</f>
        <v>W</v>
      </c>
      <c r="CK3" s="117" t="str">
        <f aca="false">IF(GanttPeriod=1,LEFT(TEXT(GanttStart+(COLUMN()-COLUMN(gantt_Origin)-1)*GanttPeriod,"ddd"),1),"")</f>
        <v>T</v>
      </c>
      <c r="CL3" s="117" t="str">
        <f aca="false">IF(GanttPeriod=1,LEFT(TEXT(GanttStart+(COLUMN()-COLUMN(gantt_Origin)-1)*GanttPeriod,"ddd"),1),"")</f>
        <v>F</v>
      </c>
      <c r="CM3" s="117" t="str">
        <f aca="false">IF(GanttPeriod=1,LEFT(TEXT(GanttStart+(COLUMN()-COLUMN(gantt_Origin)-1)*GanttPeriod,"ddd"),1),"")</f>
        <v>S</v>
      </c>
      <c r="CN3" s="117" t="str">
        <f aca="false">IF(GanttPeriod=1,LEFT(TEXT(GanttStart+(COLUMN()-COLUMN(gantt_Origin)-1)*GanttPeriod,"ddd"),1),"")</f>
        <v>S</v>
      </c>
      <c r="CO3" s="117" t="str">
        <f aca="false">IF(GanttPeriod=1,LEFT(TEXT(GanttStart+(COLUMN()-COLUMN(gantt_Origin)-1)*GanttPeriod,"ddd"),1),"")</f>
        <v>M</v>
      </c>
      <c r="CP3" s="117" t="str">
        <f aca="false">IF(GanttPeriod=1,LEFT(TEXT(GanttStart+(COLUMN()-COLUMN(gantt_Origin)-1)*GanttPeriod,"ddd"),1),"")</f>
        <v>T</v>
      </c>
      <c r="CQ3" s="117" t="str">
        <f aca="false">IF(GanttPeriod=1,LEFT(TEXT(GanttStart+(COLUMN()-COLUMN(gantt_Origin)-1)*GanttPeriod,"ddd"),1),"")</f>
        <v>W</v>
      </c>
      <c r="CR3" s="117" t="str">
        <f aca="false">IF(GanttPeriod=1,LEFT(TEXT(GanttStart+(COLUMN()-COLUMN(gantt_Origin)-1)*GanttPeriod,"ddd"),1),"")</f>
        <v>T</v>
      </c>
      <c r="CS3" s="117" t="str">
        <f aca="false">IF(GanttPeriod=1,LEFT(TEXT(GanttStart+(COLUMN()-COLUMN(gantt_Origin)-1)*GanttPeriod,"ddd"),1),"")</f>
        <v>F</v>
      </c>
      <c r="CT3" s="117" t="str">
        <f aca="false">IF(GanttPeriod=1,LEFT(TEXT(GanttStart+(COLUMN()-COLUMN(gantt_Origin)-1)*GanttPeriod,"ddd"),1),"")</f>
        <v>S</v>
      </c>
      <c r="CU3" s="117" t="str">
        <f aca="false">IF(GanttPeriod=1,LEFT(TEXT(GanttStart+(COLUMN()-COLUMN(gantt_Origin)-1)*GanttPeriod,"ddd"),1),"")</f>
        <v>S</v>
      </c>
      <c r="CV3" s="117" t="str">
        <f aca="false">IF(GanttPeriod=1,LEFT(TEXT(GanttStart+(COLUMN()-COLUMN(gantt_Origin)-1)*GanttPeriod,"ddd"),1),"")</f>
        <v>M</v>
      </c>
      <c r="CW3" s="117" t="str">
        <f aca="false">IF(GanttPeriod=1,LEFT(TEXT(GanttStart+(COLUMN()-COLUMN(gantt_Origin)-1)*GanttPeriod,"ddd"),1),"")</f>
        <v>T</v>
      </c>
      <c r="CX3" s="117" t="str">
        <f aca="false">IF(GanttPeriod=1,LEFT(TEXT(GanttStart+(COLUMN()-COLUMN(gantt_Origin)-1)*GanttPeriod,"ddd"),1),"")</f>
        <v>W</v>
      </c>
      <c r="CY3" s="117" t="str">
        <f aca="false">IF(GanttPeriod=1,LEFT(TEXT(GanttStart+(COLUMN()-COLUMN(gantt_Origin)-1)*GanttPeriod,"ddd"),1),"")</f>
        <v>T</v>
      </c>
      <c r="CZ3" s="117" t="str">
        <f aca="false">IF(GanttPeriod=1,LEFT(TEXT(GanttStart+(COLUMN()-COLUMN(gantt_Origin)-1)*GanttPeriod,"ddd"),1),"")</f>
        <v>F</v>
      </c>
      <c r="DA3" s="117" t="str">
        <f aca="false">IF(GanttPeriod=1,LEFT(TEXT(GanttStart+(COLUMN()-COLUMN(gantt_Origin)-1)*GanttPeriod,"ddd"),1),"")</f>
        <v>S</v>
      </c>
      <c r="DB3" s="117" t="str">
        <f aca="false">IF(GanttPeriod=1,LEFT(TEXT(GanttStart+(COLUMN()-COLUMN(gantt_Origin)-1)*GanttPeriod,"ddd"),1),"")</f>
        <v>S</v>
      </c>
      <c r="DC3" s="117" t="str">
        <f aca="false">IF(GanttPeriod=1,LEFT(TEXT(GanttStart+(COLUMN()-COLUMN(gantt_Origin)-1)*GanttPeriod,"ddd"),1),"")</f>
        <v>M</v>
      </c>
      <c r="DD3" s="117" t="str">
        <f aca="false">IF(GanttPeriod=1,LEFT(TEXT(GanttStart+(COLUMN()-COLUMN(gantt_Origin)-1)*GanttPeriod,"ddd"),1),"")</f>
        <v>T</v>
      </c>
      <c r="DE3" s="117" t="str">
        <f aca="false">IF(GanttPeriod=1,LEFT(TEXT(GanttStart+(COLUMN()-COLUMN(gantt_Origin)-1)*GanttPeriod,"ddd"),1),"")</f>
        <v>W</v>
      </c>
      <c r="DF3" s="117" t="str">
        <f aca="false">IF(GanttPeriod=1,LEFT(TEXT(GanttStart+(COLUMN()-COLUMN(gantt_Origin)-1)*GanttPeriod,"ddd"),1),"")</f>
        <v>T</v>
      </c>
      <c r="DG3" s="117" t="str">
        <f aca="false">IF(GanttPeriod=1,LEFT(TEXT(GanttStart+(COLUMN()-COLUMN(gantt_Origin)-1)*GanttPeriod,"ddd"),1),"")</f>
        <v>F</v>
      </c>
      <c r="DH3" s="117" t="str">
        <f aca="false">IF(GanttPeriod=1,LEFT(TEXT(GanttStart+(COLUMN()-COLUMN(gantt_Origin)-1)*GanttPeriod,"ddd"),1),"")</f>
        <v>S</v>
      </c>
      <c r="DI3" s="117" t="str">
        <f aca="false">IF(GanttPeriod=1,LEFT(TEXT(GanttStart+(COLUMN()-COLUMN(gantt_Origin)-1)*GanttPeriod,"ddd"),1),"")</f>
        <v>S</v>
      </c>
      <c r="DJ3" s="117" t="str">
        <f aca="false">IF(GanttPeriod=1,LEFT(TEXT(GanttStart+(COLUMN()-COLUMN(gantt_Origin)-1)*GanttPeriod,"ddd"),1),"")</f>
        <v>M</v>
      </c>
      <c r="DK3" s="117" t="str">
        <f aca="false">IF(GanttPeriod=1,LEFT(TEXT(GanttStart+(COLUMN()-COLUMN(gantt_Origin)-1)*GanttPeriod,"ddd"),1),"")</f>
        <v>T</v>
      </c>
      <c r="DL3" s="117" t="str">
        <f aca="false">IF(GanttPeriod=1,LEFT(TEXT(GanttStart+(COLUMN()-COLUMN(gantt_Origin)-1)*GanttPeriod,"ddd"),1),"")</f>
        <v>W</v>
      </c>
      <c r="DM3" s="117" t="str">
        <f aca="false">IF(GanttPeriod=1,LEFT(TEXT(GanttStart+(COLUMN()-COLUMN(gantt_Origin)-1)*GanttPeriod,"ddd"),1),"")</f>
        <v>T</v>
      </c>
      <c r="DN3" s="117" t="str">
        <f aca="false">IF(GanttPeriod=1,LEFT(TEXT(GanttStart+(COLUMN()-COLUMN(gantt_Origin)-1)*GanttPeriod,"ddd"),1),"")</f>
        <v>F</v>
      </c>
      <c r="DO3" s="117" t="str">
        <f aca="false">IF(GanttPeriod=1,LEFT(TEXT(GanttStart+(COLUMN()-COLUMN(gantt_Origin)-1)*GanttPeriod,"ddd"),1),"")</f>
        <v>S</v>
      </c>
      <c r="DP3" s="117" t="str">
        <f aca="false">IF(GanttPeriod=1,LEFT(TEXT(GanttStart+(COLUMN()-COLUMN(gantt_Origin)-1)*GanttPeriod,"ddd"),1),"")</f>
        <v>S</v>
      </c>
      <c r="DQ3" s="117" t="str">
        <f aca="false">IF(GanttPeriod=1,LEFT(TEXT(GanttStart+(COLUMN()-COLUMN(gantt_Origin)-1)*GanttPeriod,"ddd"),1),"")</f>
        <v>M</v>
      </c>
      <c r="DR3" s="117" t="str">
        <f aca="false">IF(GanttPeriod=1,LEFT(TEXT(GanttStart+(COLUMN()-COLUMN(gantt_Origin)-1)*GanttPeriod,"ddd"),1),"")</f>
        <v>T</v>
      </c>
      <c r="DS3" s="117" t="str">
        <f aca="false">IF(GanttPeriod=1,LEFT(TEXT(GanttStart+(COLUMN()-COLUMN(gantt_Origin)-1)*GanttPeriod,"ddd"),1),"")</f>
        <v>W</v>
      </c>
      <c r="DT3" s="117" t="str">
        <f aca="false">IF(GanttPeriod=1,LEFT(TEXT(GanttStart+(COLUMN()-COLUMN(gantt_Origin)-1)*GanttPeriod,"ddd"),1),"")</f>
        <v>T</v>
      </c>
      <c r="DU3" s="117" t="str">
        <f aca="false">IF(GanttPeriod=1,LEFT(TEXT(GanttStart+(COLUMN()-COLUMN(gantt_Origin)-1)*GanttPeriod,"ddd"),1),"")</f>
        <v>F</v>
      </c>
      <c r="DV3" s="117" t="str">
        <f aca="false">IF(GanttPeriod=1,LEFT(TEXT(GanttStart+(COLUMN()-COLUMN(gantt_Origin)-1)*GanttPeriod,"ddd"),1),"")</f>
        <v>S</v>
      </c>
      <c r="DW3" s="117" t="str">
        <f aca="false">IF(GanttPeriod=1,LEFT(TEXT(GanttStart+(COLUMN()-COLUMN(gantt_Origin)-1)*GanttPeriod,"ddd"),1),"")</f>
        <v>S</v>
      </c>
      <c r="DX3" s="117" t="str">
        <f aca="false">IF(GanttPeriod=1,LEFT(TEXT(GanttStart+(COLUMN()-COLUMN(gantt_Origin)-1)*GanttPeriod,"ddd"),1),"")</f>
        <v>M</v>
      </c>
      <c r="DY3" s="117" t="str">
        <f aca="false">IF(GanttPeriod=1,LEFT(TEXT(GanttStart+(COLUMN()-COLUMN(gantt_Origin)-1)*GanttPeriod,"ddd"),1),"")</f>
        <v>T</v>
      </c>
      <c r="DZ3" s="117" t="str">
        <f aca="false">IF(GanttPeriod=1,LEFT(TEXT(GanttStart+(COLUMN()-COLUMN(gantt_Origin)-1)*GanttPeriod,"ddd"),1),"")</f>
        <v>W</v>
      </c>
      <c r="EA3" s="117" t="str">
        <f aca="false">IF(GanttPeriod=1,LEFT(TEXT(GanttStart+(COLUMN()-COLUMN(gantt_Origin)-1)*GanttPeriod,"ddd"),1),"")</f>
        <v>T</v>
      </c>
      <c r="EB3" s="117" t="str">
        <f aca="false">IF(GanttPeriod=1,LEFT(TEXT(GanttStart+(COLUMN()-COLUMN(gantt_Origin)-1)*GanttPeriod,"ddd"),1),"")</f>
        <v>F</v>
      </c>
      <c r="EC3" s="117" t="str">
        <f aca="false">IF(GanttPeriod=1,LEFT(TEXT(GanttStart+(COLUMN()-COLUMN(gantt_Origin)-1)*GanttPeriod,"ddd"),1),"")</f>
        <v>S</v>
      </c>
      <c r="ED3" s="117" t="str">
        <f aca="false">IF(GanttPeriod=1,LEFT(TEXT(GanttStart+(COLUMN()-COLUMN(gantt_Origin)-1)*GanttPeriod,"ddd"),1),"")</f>
        <v>S</v>
      </c>
      <c r="EE3" s="117" t="str">
        <f aca="false">IF(GanttPeriod=1,LEFT(TEXT(GanttStart+(COLUMN()-COLUMN(gantt_Origin)-1)*GanttPeriod,"ddd"),1),"")</f>
        <v>M</v>
      </c>
      <c r="EF3" s="117" t="str">
        <f aca="false">IF(GanttPeriod=1,LEFT(TEXT(GanttStart+(COLUMN()-COLUMN(gantt_Origin)-1)*GanttPeriod,"ddd"),1),"")</f>
        <v>T</v>
      </c>
      <c r="EG3" s="117" t="str">
        <f aca="false">IF(GanttPeriod=1,LEFT(TEXT(GanttStart+(COLUMN()-COLUMN(gantt_Origin)-1)*GanttPeriod,"ddd"),1),"")</f>
        <v>W</v>
      </c>
      <c r="EH3" s="117" t="str">
        <f aca="false">IF(GanttPeriod=1,LEFT(TEXT(GanttStart+(COLUMN()-COLUMN(gantt_Origin)-1)*GanttPeriod,"ddd"),1),"")</f>
        <v>T</v>
      </c>
      <c r="EI3" s="117" t="str">
        <f aca="false">IF(GanttPeriod=1,LEFT(TEXT(GanttStart+(COLUMN()-COLUMN(gantt_Origin)-1)*GanttPeriod,"ddd"),1),"")</f>
        <v>F</v>
      </c>
      <c r="EJ3" s="117" t="str">
        <f aca="false">IF(GanttPeriod=1,LEFT(TEXT(GanttStart+(COLUMN()-COLUMN(gantt_Origin)-1)*GanttPeriod,"ddd"),1),"")</f>
        <v>S</v>
      </c>
      <c r="EK3" s="117" t="str">
        <f aca="false">IF(GanttPeriod=1,LEFT(TEXT(GanttStart+(COLUMN()-COLUMN(gantt_Origin)-1)*GanttPeriod,"ddd"),1),"")</f>
        <v>S</v>
      </c>
      <c r="EL3" s="117" t="str">
        <f aca="false">IF(GanttPeriod=1,LEFT(TEXT(GanttStart+(COLUMN()-COLUMN(gantt_Origin)-1)*GanttPeriod,"ddd"),1),"")</f>
        <v>M</v>
      </c>
      <c r="EM3" s="117" t="str">
        <f aca="false">IF(GanttPeriod=1,LEFT(TEXT(GanttStart+(COLUMN()-COLUMN(gantt_Origin)-1)*GanttPeriod,"ddd"),1),"")</f>
        <v>T</v>
      </c>
      <c r="EN3" s="117" t="str">
        <f aca="false">IF(GanttPeriod=1,LEFT(TEXT(GanttStart+(COLUMN()-COLUMN(gantt_Origin)-1)*GanttPeriod,"ddd"),1),"")</f>
        <v>W</v>
      </c>
      <c r="EO3" s="117" t="str">
        <f aca="false">IF(GanttPeriod=1,LEFT(TEXT(GanttStart+(COLUMN()-COLUMN(gantt_Origin)-1)*GanttPeriod,"ddd"),1),"")</f>
        <v>T</v>
      </c>
      <c r="EP3" s="117" t="str">
        <f aca="false">IF(GanttPeriod=1,LEFT(TEXT(GanttStart+(COLUMN()-COLUMN(gantt_Origin)-1)*GanttPeriod,"ddd"),1),"")</f>
        <v>F</v>
      </c>
      <c r="EQ3" s="117" t="str">
        <f aca="false">IF(GanttPeriod=1,LEFT(TEXT(GanttStart+(COLUMN()-COLUMN(gantt_Origin)-1)*GanttPeriod,"ddd"),1),"")</f>
        <v>S</v>
      </c>
      <c r="ER3" s="117" t="str">
        <f aca="false">IF(GanttPeriod=1,LEFT(TEXT(GanttStart+(COLUMN()-COLUMN(gantt_Origin)-1)*GanttPeriod,"ddd"),1),"")</f>
        <v>S</v>
      </c>
      <c r="ES3" s="117" t="str">
        <f aca="false">IF(GanttPeriod=1,LEFT(TEXT(GanttStart+(COLUMN()-COLUMN(gantt_Origin)-1)*GanttPeriod,"ddd"),1),"")</f>
        <v>M</v>
      </c>
      <c r="ET3" s="117" t="str">
        <f aca="false">IF(GanttPeriod=1,LEFT(TEXT(GanttStart+(COLUMN()-COLUMN(gantt_Origin)-1)*GanttPeriod,"ddd"),1),"")</f>
        <v>T</v>
      </c>
      <c r="EU3" s="117" t="str">
        <f aca="false">IF(GanttPeriod=1,LEFT(TEXT(GanttStart+(COLUMN()-COLUMN(gantt_Origin)-1)*GanttPeriod,"ddd"),1),"")</f>
        <v>W</v>
      </c>
      <c r="EV3" s="117" t="str">
        <f aca="false">IF(GanttPeriod=1,LEFT(TEXT(GanttStart+(COLUMN()-COLUMN(gantt_Origin)-1)*GanttPeriod,"ddd"),1),"")</f>
        <v>T</v>
      </c>
      <c r="EW3" s="117" t="str">
        <f aca="false">IF(GanttPeriod=1,LEFT(TEXT(GanttStart+(COLUMN()-COLUMN(gantt_Origin)-1)*GanttPeriod,"ddd"),1),"")</f>
        <v>F</v>
      </c>
      <c r="EX3" s="117" t="str">
        <f aca="false">IF(GanttPeriod=1,LEFT(TEXT(GanttStart+(COLUMN()-COLUMN(gantt_Origin)-1)*GanttPeriod,"ddd"),1),"")</f>
        <v>S</v>
      </c>
      <c r="EY3" s="117" t="str">
        <f aca="false">IF(GanttPeriod=1,LEFT(TEXT(GanttStart+(COLUMN()-COLUMN(gantt_Origin)-1)*GanttPeriod,"ddd"),1),"")</f>
        <v>S</v>
      </c>
      <c r="EZ3" s="117" t="str">
        <f aca="false">IF(GanttPeriod=1,LEFT(TEXT(GanttStart+(COLUMN()-COLUMN(gantt_Origin)-1)*GanttPeriod,"ddd"),1),"")</f>
        <v>M</v>
      </c>
      <c r="FA3" s="117" t="str">
        <f aca="false">IF(GanttPeriod=1,LEFT(TEXT(GanttStart+(COLUMN()-COLUMN(gantt_Origin)-1)*GanttPeriod,"ddd"),1),"")</f>
        <v>T</v>
      </c>
      <c r="FB3" s="117" t="str">
        <f aca="false">IF(GanttPeriod=1,LEFT(TEXT(GanttStart+(COLUMN()-COLUMN(gantt_Origin)-1)*GanttPeriod,"ddd"),1),"")</f>
        <v>W</v>
      </c>
      <c r="FC3" s="117" t="str">
        <f aca="false">IF(GanttPeriod=1,LEFT(TEXT(GanttStart+(COLUMN()-COLUMN(gantt_Origin)-1)*GanttPeriod,"ddd"),1),"")</f>
        <v>T</v>
      </c>
      <c r="FD3" s="117" t="str">
        <f aca="false">IF(GanttPeriod=1,LEFT(TEXT(GanttStart+(COLUMN()-COLUMN(gantt_Origin)-1)*GanttPeriod,"ddd"),1),"")</f>
        <v>F</v>
      </c>
      <c r="FE3" s="117" t="str">
        <f aca="false">IF(GanttPeriod=1,LEFT(TEXT(GanttStart+(COLUMN()-COLUMN(gantt_Origin)-1)*GanttPeriod,"ddd"),1),"")</f>
        <v>S</v>
      </c>
      <c r="FF3" s="117" t="str">
        <f aca="false">IF(GanttPeriod=1,LEFT(TEXT(GanttStart+(COLUMN()-COLUMN(gantt_Origin)-1)*GanttPeriod,"ddd"),1),"")</f>
        <v>S</v>
      </c>
      <c r="FG3" s="117" t="str">
        <f aca="false">IF(GanttPeriod=1,LEFT(TEXT(GanttStart+(COLUMN()-COLUMN(gantt_Origin)-1)*GanttPeriod,"ddd"),1),"")</f>
        <v>M</v>
      </c>
      <c r="FH3" s="117" t="str">
        <f aca="false">IF(GanttPeriod=1,LEFT(TEXT(GanttStart+(COLUMN()-COLUMN(gantt_Origin)-1)*GanttPeriod,"ddd"),1),"")</f>
        <v>T</v>
      </c>
      <c r="FI3" s="117" t="str">
        <f aca="false">IF(GanttPeriod=1,LEFT(TEXT(GanttStart+(COLUMN()-COLUMN(gantt_Origin)-1)*GanttPeriod,"ddd"),1),"")</f>
        <v>W</v>
      </c>
      <c r="FJ3" s="117" t="str">
        <f aca="false">IF(GanttPeriod=1,LEFT(TEXT(GanttStart+(COLUMN()-COLUMN(gantt_Origin)-1)*GanttPeriod,"ddd"),1),"")</f>
        <v>T</v>
      </c>
      <c r="FK3" s="117" t="str">
        <f aca="false">IF(GanttPeriod=1,LEFT(TEXT(GanttStart+(COLUMN()-COLUMN(gantt_Origin)-1)*GanttPeriod,"ddd"),1),"")</f>
        <v>F</v>
      </c>
      <c r="FL3" s="117" t="str">
        <f aca="false">IF(GanttPeriod=1,LEFT(TEXT(GanttStart+(COLUMN()-COLUMN(gantt_Origin)-1)*GanttPeriod,"ddd"),1),"")</f>
        <v>S</v>
      </c>
      <c r="FM3" s="117" t="str">
        <f aca="false">IF(GanttPeriod=1,LEFT(TEXT(GanttStart+(COLUMN()-COLUMN(gantt_Origin)-1)*GanttPeriod,"ddd"),1),"")</f>
        <v>S</v>
      </c>
      <c r="FN3" s="117" t="str">
        <f aca="false">IF(GanttPeriod=1,LEFT(TEXT(GanttStart+(COLUMN()-COLUMN(gantt_Origin)-1)*GanttPeriod,"ddd"),1),"")</f>
        <v>M</v>
      </c>
      <c r="FO3" s="117" t="str">
        <f aca="false">IF(GanttPeriod=1,LEFT(TEXT(GanttStart+(COLUMN()-COLUMN(gantt_Origin)-1)*GanttPeriod,"ddd"),1),"")</f>
        <v>T</v>
      </c>
      <c r="FP3" s="117" t="str">
        <f aca="false">IF(GanttPeriod=1,LEFT(TEXT(GanttStart+(COLUMN()-COLUMN(gantt_Origin)-1)*GanttPeriod,"ddd"),1),"")</f>
        <v>W</v>
      </c>
    </row>
    <row r="4" customFormat="false" ht="15" hidden="false" customHeight="false" outlineLevel="0" collapsed="false">
      <c r="W4" s="118" t="str">
        <f aca="false">IF(OR(COLUMN()-COLUMN(gantt_Origin)=1,DAY(GanttStart+(COLUMN()-COLUMN(gantt_Origin)-1)*GanttPeriod)&lt;=GanttPeriod),TEXT(GanttStart+(COLUMN()-COLUMN(gantt_Origin)-1)*GanttPeriod,"mmm yy"),"")</f>
        <v>Sep 26</v>
      </c>
      <c r="X4" s="118" t="str">
        <f aca="false">IF(OR(COLUMN()-COLUMN(gantt_Origin)=1,DAY(GanttStart+(COLUMN()-COLUMN(gantt_Origin)-1)*GanttPeriod)&lt;=GanttPeriod),TEXT(GanttStart+(COLUMN()-COLUMN(gantt_Origin)-1)*GanttPeriod,"mmm yy"),"")</f>
        <v/>
      </c>
      <c r="Y4" s="118" t="str">
        <f aca="false">IF(OR(COLUMN()-COLUMN(gantt_Origin)=1,DAY(GanttStart+(COLUMN()-COLUMN(gantt_Origin)-1)*GanttPeriod)&lt;=GanttPeriod),TEXT(GanttStart+(COLUMN()-COLUMN(gantt_Origin)-1)*GanttPeriod,"mmm yy"),"")</f>
        <v/>
      </c>
      <c r="Z4" s="118" t="str">
        <f aca="false">IF(OR(COLUMN()-COLUMN(gantt_Origin)=1,DAY(GanttStart+(COLUMN()-COLUMN(gantt_Origin)-1)*GanttPeriod)&lt;=GanttPeriod),TEXT(GanttStart+(COLUMN()-COLUMN(gantt_Origin)-1)*GanttPeriod,"mmm yy"),"")</f>
        <v/>
      </c>
      <c r="AA4" s="118" t="str">
        <f aca="false">IF(OR(COLUMN()-COLUMN(gantt_Origin)=1,DAY(GanttStart+(COLUMN()-COLUMN(gantt_Origin)-1)*GanttPeriod)&lt;=GanttPeriod),TEXT(GanttStart+(COLUMN()-COLUMN(gantt_Origin)-1)*GanttPeriod,"mmm yy"),"")</f>
        <v/>
      </c>
      <c r="AB4" s="118" t="str">
        <f aca="false">IF(OR(COLUMN()-COLUMN(gantt_Origin)=1,DAY(GanttStart+(COLUMN()-COLUMN(gantt_Origin)-1)*GanttPeriod)&lt;=GanttPeriod),TEXT(GanttStart+(COLUMN()-COLUMN(gantt_Origin)-1)*GanttPeriod,"mmm yy"),"")</f>
        <v/>
      </c>
      <c r="AC4" s="118" t="str">
        <f aca="false">IF(OR(COLUMN()-COLUMN(gantt_Origin)=1,DAY(GanttStart+(COLUMN()-COLUMN(gantt_Origin)-1)*GanttPeriod)&lt;=GanttPeriod),TEXT(GanttStart+(COLUMN()-COLUMN(gantt_Origin)-1)*GanttPeriod,"mmm yy"),"")</f>
        <v/>
      </c>
      <c r="AD4" s="118" t="str">
        <f aca="false">IF(OR(COLUMN()-COLUMN(gantt_Origin)=1,DAY(GanttStart+(COLUMN()-COLUMN(gantt_Origin)-1)*GanttPeriod)&lt;=GanttPeriod),TEXT(GanttStart+(COLUMN()-COLUMN(gantt_Origin)-1)*GanttPeriod,"mmm yy"),"")</f>
        <v/>
      </c>
      <c r="AE4" s="118" t="str">
        <f aca="false">IF(OR(COLUMN()-COLUMN(gantt_Origin)=1,DAY(GanttStart+(COLUMN()-COLUMN(gantt_Origin)-1)*GanttPeriod)&lt;=GanttPeriod),TEXT(GanttStart+(COLUMN()-COLUMN(gantt_Origin)-1)*GanttPeriod,"mmm yy"),"")</f>
        <v/>
      </c>
      <c r="AF4" s="118" t="str">
        <f aca="false">IF(OR(COLUMN()-COLUMN(gantt_Origin)=1,DAY(GanttStart+(COLUMN()-COLUMN(gantt_Origin)-1)*GanttPeriod)&lt;=GanttPeriod),TEXT(GanttStart+(COLUMN()-COLUMN(gantt_Origin)-1)*GanttPeriod,"mmm yy"),"")</f>
        <v/>
      </c>
      <c r="AG4" s="118" t="str">
        <f aca="false">IF(OR(COLUMN()-COLUMN(gantt_Origin)=1,DAY(GanttStart+(COLUMN()-COLUMN(gantt_Origin)-1)*GanttPeriod)&lt;=GanttPeriod),TEXT(GanttStart+(COLUMN()-COLUMN(gantt_Origin)-1)*GanttPeriod,"mmm yy"),"")</f>
        <v/>
      </c>
      <c r="AH4" s="118" t="str">
        <f aca="false">IF(OR(COLUMN()-COLUMN(gantt_Origin)=1,DAY(GanttStart+(COLUMN()-COLUMN(gantt_Origin)-1)*GanttPeriod)&lt;=GanttPeriod),TEXT(GanttStart+(COLUMN()-COLUMN(gantt_Origin)-1)*GanttPeriod,"mmm yy"),"")</f>
        <v/>
      </c>
      <c r="AI4" s="118" t="str">
        <f aca="false">IF(OR(COLUMN()-COLUMN(gantt_Origin)=1,DAY(GanttStart+(COLUMN()-COLUMN(gantt_Origin)-1)*GanttPeriod)&lt;=GanttPeriod),TEXT(GanttStart+(COLUMN()-COLUMN(gantt_Origin)-1)*GanttPeriod,"mmm yy"),"")</f>
        <v/>
      </c>
      <c r="AJ4" s="118" t="str">
        <f aca="false">IF(OR(COLUMN()-COLUMN(gantt_Origin)=1,DAY(GanttStart+(COLUMN()-COLUMN(gantt_Origin)-1)*GanttPeriod)&lt;=GanttPeriod),TEXT(GanttStart+(COLUMN()-COLUMN(gantt_Origin)-1)*GanttPeriod,"mmm yy"),"")</f>
        <v/>
      </c>
      <c r="AK4" s="118" t="str">
        <f aca="false">IF(OR(COLUMN()-COLUMN(gantt_Origin)=1,DAY(GanttStart+(COLUMN()-COLUMN(gantt_Origin)-1)*GanttPeriod)&lt;=GanttPeriod),TEXT(GanttStart+(COLUMN()-COLUMN(gantt_Origin)-1)*GanttPeriod,"mmm yy"),"")</f>
        <v/>
      </c>
      <c r="AL4" s="118" t="str">
        <f aca="false">IF(OR(COLUMN()-COLUMN(gantt_Origin)=1,DAY(GanttStart+(COLUMN()-COLUMN(gantt_Origin)-1)*GanttPeriod)&lt;=GanttPeriod),TEXT(GanttStart+(COLUMN()-COLUMN(gantt_Origin)-1)*GanttPeriod,"mmm yy"),"")</f>
        <v/>
      </c>
      <c r="AM4" s="118" t="str">
        <f aca="false">IF(OR(COLUMN()-COLUMN(gantt_Origin)=1,DAY(GanttStart+(COLUMN()-COLUMN(gantt_Origin)-1)*GanttPeriod)&lt;=GanttPeriod),TEXT(GanttStart+(COLUMN()-COLUMN(gantt_Origin)-1)*GanttPeriod,"mmm yy"),"")</f>
        <v/>
      </c>
      <c r="AN4" s="118" t="str">
        <f aca="false">IF(OR(COLUMN()-COLUMN(gantt_Origin)=1,DAY(GanttStart+(COLUMN()-COLUMN(gantt_Origin)-1)*GanttPeriod)&lt;=GanttPeriod),TEXT(GanttStart+(COLUMN()-COLUMN(gantt_Origin)-1)*GanttPeriod,"mmm yy"),"")</f>
        <v/>
      </c>
      <c r="AO4" s="118" t="str">
        <f aca="false">IF(OR(COLUMN()-COLUMN(gantt_Origin)=1,DAY(GanttStart+(COLUMN()-COLUMN(gantt_Origin)-1)*GanttPeriod)&lt;=GanttPeriod),TEXT(GanttStart+(COLUMN()-COLUMN(gantt_Origin)-1)*GanttPeriod,"mmm yy"),"")</f>
        <v/>
      </c>
      <c r="AP4" s="118" t="str">
        <f aca="false">IF(OR(COLUMN()-COLUMN(gantt_Origin)=1,DAY(GanttStart+(COLUMN()-COLUMN(gantt_Origin)-1)*GanttPeriod)&lt;=GanttPeriod),TEXT(GanttStart+(COLUMN()-COLUMN(gantt_Origin)-1)*GanttPeriod,"mmm yy"),"")</f>
        <v/>
      </c>
      <c r="AQ4" s="118" t="str">
        <f aca="false">IF(OR(COLUMN()-COLUMN(gantt_Origin)=1,DAY(GanttStart+(COLUMN()-COLUMN(gantt_Origin)-1)*GanttPeriod)&lt;=GanttPeriod),TEXT(GanttStart+(COLUMN()-COLUMN(gantt_Origin)-1)*GanttPeriod,"mmm yy"),"")</f>
        <v/>
      </c>
      <c r="AR4" s="118" t="str">
        <f aca="false">IF(OR(COLUMN()-COLUMN(gantt_Origin)=1,DAY(GanttStart+(COLUMN()-COLUMN(gantt_Origin)-1)*GanttPeriod)&lt;=GanttPeriod),TEXT(GanttStart+(COLUMN()-COLUMN(gantt_Origin)-1)*GanttPeriod,"mmm yy"),"")</f>
        <v/>
      </c>
      <c r="AS4" s="118" t="str">
        <f aca="false">IF(OR(COLUMN()-COLUMN(gantt_Origin)=1,DAY(GanttStart+(COLUMN()-COLUMN(gantt_Origin)-1)*GanttPeriod)&lt;=GanttPeriod),TEXT(GanttStart+(COLUMN()-COLUMN(gantt_Origin)-1)*GanttPeriod,"mmm yy"),"")</f>
        <v/>
      </c>
      <c r="AT4" s="118" t="str">
        <f aca="false">IF(OR(COLUMN()-COLUMN(gantt_Origin)=1,DAY(GanttStart+(COLUMN()-COLUMN(gantt_Origin)-1)*GanttPeriod)&lt;=GanttPeriod),TEXT(GanttStart+(COLUMN()-COLUMN(gantt_Origin)-1)*GanttPeriod,"mmm yy"),"")</f>
        <v/>
      </c>
      <c r="AU4" s="118" t="str">
        <f aca="false">IF(OR(COLUMN()-COLUMN(gantt_Origin)=1,DAY(GanttStart+(COLUMN()-COLUMN(gantt_Origin)-1)*GanttPeriod)&lt;=GanttPeriod),TEXT(GanttStart+(COLUMN()-COLUMN(gantt_Origin)-1)*GanttPeriod,"mmm yy"),"")</f>
        <v>Oct 26</v>
      </c>
      <c r="AV4" s="118" t="str">
        <f aca="false">IF(OR(COLUMN()-COLUMN(gantt_Origin)=1,DAY(GanttStart+(COLUMN()-COLUMN(gantt_Origin)-1)*GanttPeriod)&lt;=GanttPeriod),TEXT(GanttStart+(COLUMN()-COLUMN(gantt_Origin)-1)*GanttPeriod,"mmm yy"),"")</f>
        <v/>
      </c>
      <c r="AW4" s="118" t="str">
        <f aca="false">IF(OR(COLUMN()-COLUMN(gantt_Origin)=1,DAY(GanttStart+(COLUMN()-COLUMN(gantt_Origin)-1)*GanttPeriod)&lt;=GanttPeriod),TEXT(GanttStart+(COLUMN()-COLUMN(gantt_Origin)-1)*GanttPeriod,"mmm yy"),"")</f>
        <v/>
      </c>
      <c r="AX4" s="118" t="str">
        <f aca="false">IF(OR(COLUMN()-COLUMN(gantt_Origin)=1,DAY(GanttStart+(COLUMN()-COLUMN(gantt_Origin)-1)*GanttPeriod)&lt;=GanttPeriod),TEXT(GanttStart+(COLUMN()-COLUMN(gantt_Origin)-1)*GanttPeriod,"mmm yy"),"")</f>
        <v/>
      </c>
      <c r="AY4" s="118" t="str">
        <f aca="false">IF(OR(COLUMN()-COLUMN(gantt_Origin)=1,DAY(GanttStart+(COLUMN()-COLUMN(gantt_Origin)-1)*GanttPeriod)&lt;=GanttPeriod),TEXT(GanttStart+(COLUMN()-COLUMN(gantt_Origin)-1)*GanttPeriod,"mmm yy"),"")</f>
        <v/>
      </c>
      <c r="AZ4" s="118" t="str">
        <f aca="false">IF(OR(COLUMN()-COLUMN(gantt_Origin)=1,DAY(GanttStart+(COLUMN()-COLUMN(gantt_Origin)-1)*GanttPeriod)&lt;=GanttPeriod),TEXT(GanttStart+(COLUMN()-COLUMN(gantt_Origin)-1)*GanttPeriod,"mmm yy"),"")</f>
        <v/>
      </c>
      <c r="BA4" s="118" t="str">
        <f aca="false">IF(OR(COLUMN()-COLUMN(gantt_Origin)=1,DAY(GanttStart+(COLUMN()-COLUMN(gantt_Origin)-1)*GanttPeriod)&lt;=GanttPeriod),TEXT(GanttStart+(COLUMN()-COLUMN(gantt_Origin)-1)*GanttPeriod,"mmm yy"),"")</f>
        <v/>
      </c>
      <c r="BB4" s="118" t="str">
        <f aca="false">IF(OR(COLUMN()-COLUMN(gantt_Origin)=1,DAY(GanttStart+(COLUMN()-COLUMN(gantt_Origin)-1)*GanttPeriod)&lt;=GanttPeriod),TEXT(GanttStart+(COLUMN()-COLUMN(gantt_Origin)-1)*GanttPeriod,"mmm yy"),"")</f>
        <v/>
      </c>
      <c r="BC4" s="118" t="str">
        <f aca="false">IF(OR(COLUMN()-COLUMN(gantt_Origin)=1,DAY(GanttStart+(COLUMN()-COLUMN(gantt_Origin)-1)*GanttPeriod)&lt;=GanttPeriod),TEXT(GanttStart+(COLUMN()-COLUMN(gantt_Origin)-1)*GanttPeriod,"mmm yy"),"")</f>
        <v/>
      </c>
      <c r="BD4" s="118" t="str">
        <f aca="false">IF(OR(COLUMN()-COLUMN(gantt_Origin)=1,DAY(GanttStart+(COLUMN()-COLUMN(gantt_Origin)-1)*GanttPeriod)&lt;=GanttPeriod),TEXT(GanttStart+(COLUMN()-COLUMN(gantt_Origin)-1)*GanttPeriod,"mmm yy"),"")</f>
        <v/>
      </c>
      <c r="BE4" s="118" t="str">
        <f aca="false">IF(OR(COLUMN()-COLUMN(gantt_Origin)=1,DAY(GanttStart+(COLUMN()-COLUMN(gantt_Origin)-1)*GanttPeriod)&lt;=GanttPeriod),TEXT(GanttStart+(COLUMN()-COLUMN(gantt_Origin)-1)*GanttPeriod,"mmm yy"),"")</f>
        <v/>
      </c>
      <c r="BF4" s="118" t="str">
        <f aca="false">IF(OR(COLUMN()-COLUMN(gantt_Origin)=1,DAY(GanttStart+(COLUMN()-COLUMN(gantt_Origin)-1)*GanttPeriod)&lt;=GanttPeriod),TEXT(GanttStart+(COLUMN()-COLUMN(gantt_Origin)-1)*GanttPeriod,"mmm yy"),"")</f>
        <v/>
      </c>
      <c r="BG4" s="118" t="str">
        <f aca="false">IF(OR(COLUMN()-COLUMN(gantt_Origin)=1,DAY(GanttStart+(COLUMN()-COLUMN(gantt_Origin)-1)*GanttPeriod)&lt;=GanttPeriod),TEXT(GanttStart+(COLUMN()-COLUMN(gantt_Origin)-1)*GanttPeriod,"mmm yy"),"")</f>
        <v/>
      </c>
      <c r="BH4" s="118" t="str">
        <f aca="false">IF(OR(COLUMN()-COLUMN(gantt_Origin)=1,DAY(GanttStart+(COLUMN()-COLUMN(gantt_Origin)-1)*GanttPeriod)&lt;=GanttPeriod),TEXT(GanttStart+(COLUMN()-COLUMN(gantt_Origin)-1)*GanttPeriod,"mmm yy"),"")</f>
        <v/>
      </c>
      <c r="BI4" s="118" t="str">
        <f aca="false">IF(OR(COLUMN()-COLUMN(gantt_Origin)=1,DAY(GanttStart+(COLUMN()-COLUMN(gantt_Origin)-1)*GanttPeriod)&lt;=GanttPeriod),TEXT(GanttStart+(COLUMN()-COLUMN(gantt_Origin)-1)*GanttPeriod,"mmm yy"),"")</f>
        <v/>
      </c>
      <c r="BJ4" s="118" t="str">
        <f aca="false">IF(OR(COLUMN()-COLUMN(gantt_Origin)=1,DAY(GanttStart+(COLUMN()-COLUMN(gantt_Origin)-1)*GanttPeriod)&lt;=GanttPeriod),TEXT(GanttStart+(COLUMN()-COLUMN(gantt_Origin)-1)*GanttPeriod,"mmm yy"),"")</f>
        <v/>
      </c>
      <c r="BK4" s="118" t="str">
        <f aca="false">IF(OR(COLUMN()-COLUMN(gantt_Origin)=1,DAY(GanttStart+(COLUMN()-COLUMN(gantt_Origin)-1)*GanttPeriod)&lt;=GanttPeriod),TEXT(GanttStart+(COLUMN()-COLUMN(gantt_Origin)-1)*GanttPeriod,"mmm yy"),"")</f>
        <v/>
      </c>
      <c r="BL4" s="118" t="str">
        <f aca="false">IF(OR(COLUMN()-COLUMN(gantt_Origin)=1,DAY(GanttStart+(COLUMN()-COLUMN(gantt_Origin)-1)*GanttPeriod)&lt;=GanttPeriod),TEXT(GanttStart+(COLUMN()-COLUMN(gantt_Origin)-1)*GanttPeriod,"mmm yy"),"")</f>
        <v/>
      </c>
      <c r="BM4" s="118" t="str">
        <f aca="false">IF(OR(COLUMN()-COLUMN(gantt_Origin)=1,DAY(GanttStart+(COLUMN()-COLUMN(gantt_Origin)-1)*GanttPeriod)&lt;=GanttPeriod),TEXT(GanttStart+(COLUMN()-COLUMN(gantt_Origin)-1)*GanttPeriod,"mmm yy"),"")</f>
        <v/>
      </c>
      <c r="BN4" s="118" t="str">
        <f aca="false">IF(OR(COLUMN()-COLUMN(gantt_Origin)=1,DAY(GanttStart+(COLUMN()-COLUMN(gantt_Origin)-1)*GanttPeriod)&lt;=GanttPeriod),TEXT(GanttStart+(COLUMN()-COLUMN(gantt_Origin)-1)*GanttPeriod,"mmm yy"),"")</f>
        <v/>
      </c>
      <c r="BO4" s="118" t="str">
        <f aca="false">IF(OR(COLUMN()-COLUMN(gantt_Origin)=1,DAY(GanttStart+(COLUMN()-COLUMN(gantt_Origin)-1)*GanttPeriod)&lt;=GanttPeriod),TEXT(GanttStart+(COLUMN()-COLUMN(gantt_Origin)-1)*GanttPeriod,"mmm yy"),"")</f>
        <v/>
      </c>
      <c r="BP4" s="118" t="str">
        <f aca="false">IF(OR(COLUMN()-COLUMN(gantt_Origin)=1,DAY(GanttStart+(COLUMN()-COLUMN(gantt_Origin)-1)*GanttPeriod)&lt;=GanttPeriod),TEXT(GanttStart+(COLUMN()-COLUMN(gantt_Origin)-1)*GanttPeriod,"mmm yy"),"")</f>
        <v/>
      </c>
      <c r="BQ4" s="118" t="str">
        <f aca="false">IF(OR(COLUMN()-COLUMN(gantt_Origin)=1,DAY(GanttStart+(COLUMN()-COLUMN(gantt_Origin)-1)*GanttPeriod)&lt;=GanttPeriod),TEXT(GanttStart+(COLUMN()-COLUMN(gantt_Origin)-1)*GanttPeriod,"mmm yy"),"")</f>
        <v/>
      </c>
      <c r="BR4" s="118" t="str">
        <f aca="false">IF(OR(COLUMN()-COLUMN(gantt_Origin)=1,DAY(GanttStart+(COLUMN()-COLUMN(gantt_Origin)-1)*GanttPeriod)&lt;=GanttPeriod),TEXT(GanttStart+(COLUMN()-COLUMN(gantt_Origin)-1)*GanttPeriod,"mmm yy"),"")</f>
        <v/>
      </c>
      <c r="BS4" s="118" t="str">
        <f aca="false">IF(OR(COLUMN()-COLUMN(gantt_Origin)=1,DAY(GanttStart+(COLUMN()-COLUMN(gantt_Origin)-1)*GanttPeriod)&lt;=GanttPeriod),TEXT(GanttStart+(COLUMN()-COLUMN(gantt_Origin)-1)*GanttPeriod,"mmm yy"),"")</f>
        <v/>
      </c>
      <c r="BT4" s="118" t="str">
        <f aca="false">IF(OR(COLUMN()-COLUMN(gantt_Origin)=1,DAY(GanttStart+(COLUMN()-COLUMN(gantt_Origin)-1)*GanttPeriod)&lt;=GanttPeriod),TEXT(GanttStart+(COLUMN()-COLUMN(gantt_Origin)-1)*GanttPeriod,"mmm yy"),"")</f>
        <v/>
      </c>
      <c r="BU4" s="118" t="str">
        <f aca="false">IF(OR(COLUMN()-COLUMN(gantt_Origin)=1,DAY(GanttStart+(COLUMN()-COLUMN(gantt_Origin)-1)*GanttPeriod)&lt;=GanttPeriod),TEXT(GanttStart+(COLUMN()-COLUMN(gantt_Origin)-1)*GanttPeriod,"mmm yy"),"")</f>
        <v/>
      </c>
      <c r="BV4" s="118" t="str">
        <f aca="false">IF(OR(COLUMN()-COLUMN(gantt_Origin)=1,DAY(GanttStart+(COLUMN()-COLUMN(gantt_Origin)-1)*GanttPeriod)&lt;=GanttPeriod),TEXT(GanttStart+(COLUMN()-COLUMN(gantt_Origin)-1)*GanttPeriod,"mmm yy"),"")</f>
        <v/>
      </c>
      <c r="BW4" s="118" t="str">
        <f aca="false">IF(OR(COLUMN()-COLUMN(gantt_Origin)=1,DAY(GanttStart+(COLUMN()-COLUMN(gantt_Origin)-1)*GanttPeriod)&lt;=GanttPeriod),TEXT(GanttStart+(COLUMN()-COLUMN(gantt_Origin)-1)*GanttPeriod,"mmm yy"),"")</f>
        <v/>
      </c>
      <c r="BX4" s="118" t="str">
        <f aca="false">IF(OR(COLUMN()-COLUMN(gantt_Origin)=1,DAY(GanttStart+(COLUMN()-COLUMN(gantt_Origin)-1)*GanttPeriod)&lt;=GanttPeriod),TEXT(GanttStart+(COLUMN()-COLUMN(gantt_Origin)-1)*GanttPeriod,"mmm yy"),"")</f>
        <v/>
      </c>
      <c r="BY4" s="118" t="str">
        <f aca="false">IF(OR(COLUMN()-COLUMN(gantt_Origin)=1,DAY(GanttStart+(COLUMN()-COLUMN(gantt_Origin)-1)*GanttPeriod)&lt;=GanttPeriod),TEXT(GanttStart+(COLUMN()-COLUMN(gantt_Origin)-1)*GanttPeriod,"mmm yy"),"")</f>
        <v/>
      </c>
      <c r="BZ4" s="118" t="str">
        <f aca="false">IF(OR(COLUMN()-COLUMN(gantt_Origin)=1,DAY(GanttStart+(COLUMN()-COLUMN(gantt_Origin)-1)*GanttPeriod)&lt;=GanttPeriod),TEXT(GanttStart+(COLUMN()-COLUMN(gantt_Origin)-1)*GanttPeriod,"mmm yy"),"")</f>
        <v>Nov 26</v>
      </c>
      <c r="CA4" s="118" t="str">
        <f aca="false">IF(OR(COLUMN()-COLUMN(gantt_Origin)=1,DAY(GanttStart+(COLUMN()-COLUMN(gantt_Origin)-1)*GanttPeriod)&lt;=GanttPeriod),TEXT(GanttStart+(COLUMN()-COLUMN(gantt_Origin)-1)*GanttPeriod,"mmm yy"),"")</f>
        <v/>
      </c>
      <c r="CB4" s="118" t="str">
        <f aca="false">IF(OR(COLUMN()-COLUMN(gantt_Origin)=1,DAY(GanttStart+(COLUMN()-COLUMN(gantt_Origin)-1)*GanttPeriod)&lt;=GanttPeriod),TEXT(GanttStart+(COLUMN()-COLUMN(gantt_Origin)-1)*GanttPeriod,"mmm yy"),"")</f>
        <v/>
      </c>
      <c r="CC4" s="118" t="str">
        <f aca="false">IF(OR(COLUMN()-COLUMN(gantt_Origin)=1,DAY(GanttStart+(COLUMN()-COLUMN(gantt_Origin)-1)*GanttPeriod)&lt;=GanttPeriod),TEXT(GanttStart+(COLUMN()-COLUMN(gantt_Origin)-1)*GanttPeriod,"mmm yy"),"")</f>
        <v/>
      </c>
      <c r="CD4" s="118" t="str">
        <f aca="false">IF(OR(COLUMN()-COLUMN(gantt_Origin)=1,DAY(GanttStart+(COLUMN()-COLUMN(gantt_Origin)-1)*GanttPeriod)&lt;=GanttPeriod),TEXT(GanttStart+(COLUMN()-COLUMN(gantt_Origin)-1)*GanttPeriod,"mmm yy"),"")</f>
        <v/>
      </c>
      <c r="CE4" s="118" t="str">
        <f aca="false">IF(OR(COLUMN()-COLUMN(gantt_Origin)=1,DAY(GanttStart+(COLUMN()-COLUMN(gantt_Origin)-1)*GanttPeriod)&lt;=GanttPeriod),TEXT(GanttStart+(COLUMN()-COLUMN(gantt_Origin)-1)*GanttPeriod,"mmm yy"),"")</f>
        <v/>
      </c>
      <c r="CF4" s="118" t="str">
        <f aca="false">IF(OR(COLUMN()-COLUMN(gantt_Origin)=1,DAY(GanttStart+(COLUMN()-COLUMN(gantt_Origin)-1)*GanttPeriod)&lt;=GanttPeriod),TEXT(GanttStart+(COLUMN()-COLUMN(gantt_Origin)-1)*GanttPeriod,"mmm yy"),"")</f>
        <v/>
      </c>
      <c r="CG4" s="118" t="str">
        <f aca="false">IF(OR(COLUMN()-COLUMN(gantt_Origin)=1,DAY(GanttStart+(COLUMN()-COLUMN(gantt_Origin)-1)*GanttPeriod)&lt;=GanttPeriod),TEXT(GanttStart+(COLUMN()-COLUMN(gantt_Origin)-1)*GanttPeriod,"mmm yy"),"")</f>
        <v/>
      </c>
      <c r="CH4" s="118" t="str">
        <f aca="false">IF(OR(COLUMN()-COLUMN(gantt_Origin)=1,DAY(GanttStart+(COLUMN()-COLUMN(gantt_Origin)-1)*GanttPeriod)&lt;=GanttPeriod),TEXT(GanttStart+(COLUMN()-COLUMN(gantt_Origin)-1)*GanttPeriod,"mmm yy"),"")</f>
        <v/>
      </c>
      <c r="CI4" s="118" t="str">
        <f aca="false">IF(OR(COLUMN()-COLUMN(gantt_Origin)=1,DAY(GanttStart+(COLUMN()-COLUMN(gantt_Origin)-1)*GanttPeriod)&lt;=GanttPeriod),TEXT(GanttStart+(COLUMN()-COLUMN(gantt_Origin)-1)*GanttPeriod,"mmm yy"),"")</f>
        <v/>
      </c>
      <c r="CJ4" s="118" t="str">
        <f aca="false">IF(OR(COLUMN()-COLUMN(gantt_Origin)=1,DAY(GanttStart+(COLUMN()-COLUMN(gantt_Origin)-1)*GanttPeriod)&lt;=GanttPeriod),TEXT(GanttStart+(COLUMN()-COLUMN(gantt_Origin)-1)*GanttPeriod,"mmm yy"),"")</f>
        <v/>
      </c>
      <c r="CK4" s="118" t="str">
        <f aca="false">IF(OR(COLUMN()-COLUMN(gantt_Origin)=1,DAY(GanttStart+(COLUMN()-COLUMN(gantt_Origin)-1)*GanttPeriod)&lt;=GanttPeriod),TEXT(GanttStart+(COLUMN()-COLUMN(gantt_Origin)-1)*GanttPeriod,"mmm yy"),"")</f>
        <v/>
      </c>
      <c r="CL4" s="118" t="str">
        <f aca="false">IF(OR(COLUMN()-COLUMN(gantt_Origin)=1,DAY(GanttStart+(COLUMN()-COLUMN(gantt_Origin)-1)*GanttPeriod)&lt;=GanttPeriod),TEXT(GanttStart+(COLUMN()-COLUMN(gantt_Origin)-1)*GanttPeriod,"mmm yy"),"")</f>
        <v/>
      </c>
      <c r="CM4" s="118" t="str">
        <f aca="false">IF(OR(COLUMN()-COLUMN(gantt_Origin)=1,DAY(GanttStart+(COLUMN()-COLUMN(gantt_Origin)-1)*GanttPeriod)&lt;=GanttPeriod),TEXT(GanttStart+(COLUMN()-COLUMN(gantt_Origin)-1)*GanttPeriod,"mmm yy"),"")</f>
        <v/>
      </c>
      <c r="CN4" s="118" t="str">
        <f aca="false">IF(OR(COLUMN()-COLUMN(gantt_Origin)=1,DAY(GanttStart+(COLUMN()-COLUMN(gantt_Origin)-1)*GanttPeriod)&lt;=GanttPeriod),TEXT(GanttStart+(COLUMN()-COLUMN(gantt_Origin)-1)*GanttPeriod,"mmm yy"),"")</f>
        <v/>
      </c>
      <c r="CO4" s="118" t="str">
        <f aca="false">IF(OR(COLUMN()-COLUMN(gantt_Origin)=1,DAY(GanttStart+(COLUMN()-COLUMN(gantt_Origin)-1)*GanttPeriod)&lt;=GanttPeriod),TEXT(GanttStart+(COLUMN()-COLUMN(gantt_Origin)-1)*GanttPeriod,"mmm yy"),"")</f>
        <v/>
      </c>
      <c r="CP4" s="118" t="str">
        <f aca="false">IF(OR(COLUMN()-COLUMN(gantt_Origin)=1,DAY(GanttStart+(COLUMN()-COLUMN(gantt_Origin)-1)*GanttPeriod)&lt;=GanttPeriod),TEXT(GanttStart+(COLUMN()-COLUMN(gantt_Origin)-1)*GanttPeriod,"mmm yy"),"")</f>
        <v/>
      </c>
      <c r="CQ4" s="118" t="str">
        <f aca="false">IF(OR(COLUMN()-COLUMN(gantt_Origin)=1,DAY(GanttStart+(COLUMN()-COLUMN(gantt_Origin)-1)*GanttPeriod)&lt;=GanttPeriod),TEXT(GanttStart+(COLUMN()-COLUMN(gantt_Origin)-1)*GanttPeriod,"mmm yy"),"")</f>
        <v/>
      </c>
      <c r="CR4" s="118" t="str">
        <f aca="false">IF(OR(COLUMN()-COLUMN(gantt_Origin)=1,DAY(GanttStart+(COLUMN()-COLUMN(gantt_Origin)-1)*GanttPeriod)&lt;=GanttPeriod),TEXT(GanttStart+(COLUMN()-COLUMN(gantt_Origin)-1)*GanttPeriod,"mmm yy"),"")</f>
        <v/>
      </c>
      <c r="CS4" s="118" t="str">
        <f aca="false">IF(OR(COLUMN()-COLUMN(gantt_Origin)=1,DAY(GanttStart+(COLUMN()-COLUMN(gantt_Origin)-1)*GanttPeriod)&lt;=GanttPeriod),TEXT(GanttStart+(COLUMN()-COLUMN(gantt_Origin)-1)*GanttPeriod,"mmm yy"),"")</f>
        <v/>
      </c>
      <c r="CT4" s="118" t="str">
        <f aca="false">IF(OR(COLUMN()-COLUMN(gantt_Origin)=1,DAY(GanttStart+(COLUMN()-COLUMN(gantt_Origin)-1)*GanttPeriod)&lt;=GanttPeriod),TEXT(GanttStart+(COLUMN()-COLUMN(gantt_Origin)-1)*GanttPeriod,"mmm yy"),"")</f>
        <v/>
      </c>
      <c r="CU4" s="118" t="str">
        <f aca="false">IF(OR(COLUMN()-COLUMN(gantt_Origin)=1,DAY(GanttStart+(COLUMN()-COLUMN(gantt_Origin)-1)*GanttPeriod)&lt;=GanttPeriod),TEXT(GanttStart+(COLUMN()-COLUMN(gantt_Origin)-1)*GanttPeriod,"mmm yy"),"")</f>
        <v/>
      </c>
      <c r="CV4" s="118" t="str">
        <f aca="false">IF(OR(COLUMN()-COLUMN(gantt_Origin)=1,DAY(GanttStart+(COLUMN()-COLUMN(gantt_Origin)-1)*GanttPeriod)&lt;=GanttPeriod),TEXT(GanttStart+(COLUMN()-COLUMN(gantt_Origin)-1)*GanttPeriod,"mmm yy"),"")</f>
        <v/>
      </c>
      <c r="CW4" s="118" t="str">
        <f aca="false">IF(OR(COLUMN()-COLUMN(gantt_Origin)=1,DAY(GanttStart+(COLUMN()-COLUMN(gantt_Origin)-1)*GanttPeriod)&lt;=GanttPeriod),TEXT(GanttStart+(COLUMN()-COLUMN(gantt_Origin)-1)*GanttPeriod,"mmm yy"),"")</f>
        <v/>
      </c>
      <c r="CX4" s="118" t="str">
        <f aca="false">IF(OR(COLUMN()-COLUMN(gantt_Origin)=1,DAY(GanttStart+(COLUMN()-COLUMN(gantt_Origin)-1)*GanttPeriod)&lt;=GanttPeriod),TEXT(GanttStart+(COLUMN()-COLUMN(gantt_Origin)-1)*GanttPeriod,"mmm yy"),"")</f>
        <v/>
      </c>
      <c r="CY4" s="118" t="str">
        <f aca="false">IF(OR(COLUMN()-COLUMN(gantt_Origin)=1,DAY(GanttStart+(COLUMN()-COLUMN(gantt_Origin)-1)*GanttPeriod)&lt;=GanttPeriod),TEXT(GanttStart+(COLUMN()-COLUMN(gantt_Origin)-1)*GanttPeriod,"mmm yy"),"")</f>
        <v/>
      </c>
      <c r="CZ4" s="118" t="str">
        <f aca="false">IF(OR(COLUMN()-COLUMN(gantt_Origin)=1,DAY(GanttStart+(COLUMN()-COLUMN(gantt_Origin)-1)*GanttPeriod)&lt;=GanttPeriod),TEXT(GanttStart+(COLUMN()-COLUMN(gantt_Origin)-1)*GanttPeriod,"mmm yy"),"")</f>
        <v/>
      </c>
      <c r="DA4" s="118" t="str">
        <f aca="false">IF(OR(COLUMN()-COLUMN(gantt_Origin)=1,DAY(GanttStart+(COLUMN()-COLUMN(gantt_Origin)-1)*GanttPeriod)&lt;=GanttPeriod),TEXT(GanttStart+(COLUMN()-COLUMN(gantt_Origin)-1)*GanttPeriod,"mmm yy"),"")</f>
        <v/>
      </c>
      <c r="DB4" s="118" t="str">
        <f aca="false">IF(OR(COLUMN()-COLUMN(gantt_Origin)=1,DAY(GanttStart+(COLUMN()-COLUMN(gantt_Origin)-1)*GanttPeriod)&lt;=GanttPeriod),TEXT(GanttStart+(COLUMN()-COLUMN(gantt_Origin)-1)*GanttPeriod,"mmm yy"),"")</f>
        <v/>
      </c>
      <c r="DC4" s="118" t="str">
        <f aca="false">IF(OR(COLUMN()-COLUMN(gantt_Origin)=1,DAY(GanttStart+(COLUMN()-COLUMN(gantt_Origin)-1)*GanttPeriod)&lt;=GanttPeriod),TEXT(GanttStart+(COLUMN()-COLUMN(gantt_Origin)-1)*GanttPeriod,"mmm yy"),"")</f>
        <v/>
      </c>
      <c r="DD4" s="118" t="str">
        <f aca="false">IF(OR(COLUMN()-COLUMN(gantt_Origin)=1,DAY(GanttStart+(COLUMN()-COLUMN(gantt_Origin)-1)*GanttPeriod)&lt;=GanttPeriod),TEXT(GanttStart+(COLUMN()-COLUMN(gantt_Origin)-1)*GanttPeriod,"mmm yy"),"")</f>
        <v>Dec 26</v>
      </c>
      <c r="DE4" s="118" t="str">
        <f aca="false">IF(OR(COLUMN()-COLUMN(gantt_Origin)=1,DAY(GanttStart+(COLUMN()-COLUMN(gantt_Origin)-1)*GanttPeriod)&lt;=GanttPeriod),TEXT(GanttStart+(COLUMN()-COLUMN(gantt_Origin)-1)*GanttPeriod,"mmm yy"),"")</f>
        <v/>
      </c>
      <c r="DF4" s="118" t="str">
        <f aca="false">IF(OR(COLUMN()-COLUMN(gantt_Origin)=1,DAY(GanttStart+(COLUMN()-COLUMN(gantt_Origin)-1)*GanttPeriod)&lt;=GanttPeriod),TEXT(GanttStart+(COLUMN()-COLUMN(gantt_Origin)-1)*GanttPeriod,"mmm yy"),"")</f>
        <v/>
      </c>
      <c r="DG4" s="118" t="str">
        <f aca="false">IF(OR(COLUMN()-COLUMN(gantt_Origin)=1,DAY(GanttStart+(COLUMN()-COLUMN(gantt_Origin)-1)*GanttPeriod)&lt;=GanttPeriod),TEXT(GanttStart+(COLUMN()-COLUMN(gantt_Origin)-1)*GanttPeriod,"mmm yy"),"")</f>
        <v/>
      </c>
      <c r="DH4" s="118" t="str">
        <f aca="false">IF(OR(COLUMN()-COLUMN(gantt_Origin)=1,DAY(GanttStart+(COLUMN()-COLUMN(gantt_Origin)-1)*GanttPeriod)&lt;=GanttPeriod),TEXT(GanttStart+(COLUMN()-COLUMN(gantt_Origin)-1)*GanttPeriod,"mmm yy"),"")</f>
        <v/>
      </c>
      <c r="DI4" s="118" t="str">
        <f aca="false">IF(OR(COLUMN()-COLUMN(gantt_Origin)=1,DAY(GanttStart+(COLUMN()-COLUMN(gantt_Origin)-1)*GanttPeriod)&lt;=GanttPeriod),TEXT(GanttStart+(COLUMN()-COLUMN(gantt_Origin)-1)*GanttPeriod,"mmm yy"),"")</f>
        <v/>
      </c>
      <c r="DJ4" s="118" t="str">
        <f aca="false">IF(OR(COLUMN()-COLUMN(gantt_Origin)=1,DAY(GanttStart+(COLUMN()-COLUMN(gantt_Origin)-1)*GanttPeriod)&lt;=GanttPeriod),TEXT(GanttStart+(COLUMN()-COLUMN(gantt_Origin)-1)*GanttPeriod,"mmm yy"),"")</f>
        <v/>
      </c>
      <c r="DK4" s="118" t="str">
        <f aca="false">IF(OR(COLUMN()-COLUMN(gantt_Origin)=1,DAY(GanttStart+(COLUMN()-COLUMN(gantt_Origin)-1)*GanttPeriod)&lt;=GanttPeriod),TEXT(GanttStart+(COLUMN()-COLUMN(gantt_Origin)-1)*GanttPeriod,"mmm yy"),"")</f>
        <v/>
      </c>
      <c r="DL4" s="118" t="str">
        <f aca="false">IF(OR(COLUMN()-COLUMN(gantt_Origin)=1,DAY(GanttStart+(COLUMN()-COLUMN(gantt_Origin)-1)*GanttPeriod)&lt;=GanttPeriod),TEXT(GanttStart+(COLUMN()-COLUMN(gantt_Origin)-1)*GanttPeriod,"mmm yy"),"")</f>
        <v/>
      </c>
      <c r="DM4" s="118" t="str">
        <f aca="false">IF(OR(COLUMN()-COLUMN(gantt_Origin)=1,DAY(GanttStart+(COLUMN()-COLUMN(gantt_Origin)-1)*GanttPeriod)&lt;=GanttPeriod),TEXT(GanttStart+(COLUMN()-COLUMN(gantt_Origin)-1)*GanttPeriod,"mmm yy"),"")</f>
        <v/>
      </c>
      <c r="DN4" s="118" t="str">
        <f aca="false">IF(OR(COLUMN()-COLUMN(gantt_Origin)=1,DAY(GanttStart+(COLUMN()-COLUMN(gantt_Origin)-1)*GanttPeriod)&lt;=GanttPeriod),TEXT(GanttStart+(COLUMN()-COLUMN(gantt_Origin)-1)*GanttPeriod,"mmm yy"),"")</f>
        <v/>
      </c>
      <c r="DO4" s="118" t="str">
        <f aca="false">IF(OR(COLUMN()-COLUMN(gantt_Origin)=1,DAY(GanttStart+(COLUMN()-COLUMN(gantt_Origin)-1)*GanttPeriod)&lt;=GanttPeriod),TEXT(GanttStart+(COLUMN()-COLUMN(gantt_Origin)-1)*GanttPeriod,"mmm yy"),"")</f>
        <v/>
      </c>
      <c r="DP4" s="118" t="str">
        <f aca="false">IF(OR(COLUMN()-COLUMN(gantt_Origin)=1,DAY(GanttStart+(COLUMN()-COLUMN(gantt_Origin)-1)*GanttPeriod)&lt;=GanttPeriod),TEXT(GanttStart+(COLUMN()-COLUMN(gantt_Origin)-1)*GanttPeriod,"mmm yy"),"")</f>
        <v/>
      </c>
      <c r="DQ4" s="118" t="str">
        <f aca="false">IF(OR(COLUMN()-COLUMN(gantt_Origin)=1,DAY(GanttStart+(COLUMN()-COLUMN(gantt_Origin)-1)*GanttPeriod)&lt;=GanttPeriod),TEXT(GanttStart+(COLUMN()-COLUMN(gantt_Origin)-1)*GanttPeriod,"mmm yy"),"")</f>
        <v/>
      </c>
      <c r="DR4" s="118" t="str">
        <f aca="false">IF(OR(COLUMN()-COLUMN(gantt_Origin)=1,DAY(GanttStart+(COLUMN()-COLUMN(gantt_Origin)-1)*GanttPeriod)&lt;=GanttPeriod),TEXT(GanttStart+(COLUMN()-COLUMN(gantt_Origin)-1)*GanttPeriod,"mmm yy"),"")</f>
        <v/>
      </c>
      <c r="DS4" s="118" t="str">
        <f aca="false">IF(OR(COLUMN()-COLUMN(gantt_Origin)=1,DAY(GanttStart+(COLUMN()-COLUMN(gantt_Origin)-1)*GanttPeriod)&lt;=GanttPeriod),TEXT(GanttStart+(COLUMN()-COLUMN(gantt_Origin)-1)*GanttPeriod,"mmm yy"),"")</f>
        <v/>
      </c>
      <c r="DT4" s="118" t="str">
        <f aca="false">IF(OR(COLUMN()-COLUMN(gantt_Origin)=1,DAY(GanttStart+(COLUMN()-COLUMN(gantt_Origin)-1)*GanttPeriod)&lt;=GanttPeriod),TEXT(GanttStart+(COLUMN()-COLUMN(gantt_Origin)-1)*GanttPeriod,"mmm yy"),"")</f>
        <v/>
      </c>
      <c r="DU4" s="118" t="str">
        <f aca="false">IF(OR(COLUMN()-COLUMN(gantt_Origin)=1,DAY(GanttStart+(COLUMN()-COLUMN(gantt_Origin)-1)*GanttPeriod)&lt;=GanttPeriod),TEXT(GanttStart+(COLUMN()-COLUMN(gantt_Origin)-1)*GanttPeriod,"mmm yy"),"")</f>
        <v/>
      </c>
      <c r="DV4" s="118" t="str">
        <f aca="false">IF(OR(COLUMN()-COLUMN(gantt_Origin)=1,DAY(GanttStart+(COLUMN()-COLUMN(gantt_Origin)-1)*GanttPeriod)&lt;=GanttPeriod),TEXT(GanttStart+(COLUMN()-COLUMN(gantt_Origin)-1)*GanttPeriod,"mmm yy"),"")</f>
        <v/>
      </c>
      <c r="DW4" s="118" t="str">
        <f aca="false">IF(OR(COLUMN()-COLUMN(gantt_Origin)=1,DAY(GanttStart+(COLUMN()-COLUMN(gantt_Origin)-1)*GanttPeriod)&lt;=GanttPeriod),TEXT(GanttStart+(COLUMN()-COLUMN(gantt_Origin)-1)*GanttPeriod,"mmm yy"),"")</f>
        <v/>
      </c>
      <c r="DX4" s="118" t="str">
        <f aca="false">IF(OR(COLUMN()-COLUMN(gantt_Origin)=1,DAY(GanttStart+(COLUMN()-COLUMN(gantt_Origin)-1)*GanttPeriod)&lt;=GanttPeriod),TEXT(GanttStart+(COLUMN()-COLUMN(gantt_Origin)-1)*GanttPeriod,"mmm yy"),"")</f>
        <v/>
      </c>
      <c r="DY4" s="118" t="str">
        <f aca="false">IF(OR(COLUMN()-COLUMN(gantt_Origin)=1,DAY(GanttStart+(COLUMN()-COLUMN(gantt_Origin)-1)*GanttPeriod)&lt;=GanttPeriod),TEXT(GanttStart+(COLUMN()-COLUMN(gantt_Origin)-1)*GanttPeriod,"mmm yy"),"")</f>
        <v/>
      </c>
      <c r="DZ4" s="118" t="str">
        <f aca="false">IF(OR(COLUMN()-COLUMN(gantt_Origin)=1,DAY(GanttStart+(COLUMN()-COLUMN(gantt_Origin)-1)*GanttPeriod)&lt;=GanttPeriod),TEXT(GanttStart+(COLUMN()-COLUMN(gantt_Origin)-1)*GanttPeriod,"mmm yy"),"")</f>
        <v/>
      </c>
      <c r="EA4" s="118" t="str">
        <f aca="false">IF(OR(COLUMN()-COLUMN(gantt_Origin)=1,DAY(GanttStart+(COLUMN()-COLUMN(gantt_Origin)-1)*GanttPeriod)&lt;=GanttPeriod),TEXT(GanttStart+(COLUMN()-COLUMN(gantt_Origin)-1)*GanttPeriod,"mmm yy"),"")</f>
        <v/>
      </c>
      <c r="EB4" s="118" t="str">
        <f aca="false">IF(OR(COLUMN()-COLUMN(gantt_Origin)=1,DAY(GanttStart+(COLUMN()-COLUMN(gantt_Origin)-1)*GanttPeriod)&lt;=GanttPeriod),TEXT(GanttStart+(COLUMN()-COLUMN(gantt_Origin)-1)*GanttPeriod,"mmm yy"),"")</f>
        <v/>
      </c>
      <c r="EC4" s="118" t="str">
        <f aca="false">IF(OR(COLUMN()-COLUMN(gantt_Origin)=1,DAY(GanttStart+(COLUMN()-COLUMN(gantt_Origin)-1)*GanttPeriod)&lt;=GanttPeriod),TEXT(GanttStart+(COLUMN()-COLUMN(gantt_Origin)-1)*GanttPeriod,"mmm yy"),"")</f>
        <v/>
      </c>
      <c r="ED4" s="118" t="str">
        <f aca="false">IF(OR(COLUMN()-COLUMN(gantt_Origin)=1,DAY(GanttStart+(COLUMN()-COLUMN(gantt_Origin)-1)*GanttPeriod)&lt;=GanttPeriod),TEXT(GanttStart+(COLUMN()-COLUMN(gantt_Origin)-1)*GanttPeriod,"mmm yy"),"")</f>
        <v/>
      </c>
      <c r="EE4" s="118" t="str">
        <f aca="false">IF(OR(COLUMN()-COLUMN(gantt_Origin)=1,DAY(GanttStart+(COLUMN()-COLUMN(gantt_Origin)-1)*GanttPeriod)&lt;=GanttPeriod),TEXT(GanttStart+(COLUMN()-COLUMN(gantt_Origin)-1)*GanttPeriod,"mmm yy"),"")</f>
        <v/>
      </c>
      <c r="EF4" s="118" t="str">
        <f aca="false">IF(OR(COLUMN()-COLUMN(gantt_Origin)=1,DAY(GanttStart+(COLUMN()-COLUMN(gantt_Origin)-1)*GanttPeriod)&lt;=GanttPeriod),TEXT(GanttStart+(COLUMN()-COLUMN(gantt_Origin)-1)*GanttPeriod,"mmm yy"),"")</f>
        <v/>
      </c>
      <c r="EG4" s="118" t="str">
        <f aca="false">IF(OR(COLUMN()-COLUMN(gantt_Origin)=1,DAY(GanttStart+(COLUMN()-COLUMN(gantt_Origin)-1)*GanttPeriod)&lt;=GanttPeriod),TEXT(GanttStart+(COLUMN()-COLUMN(gantt_Origin)-1)*GanttPeriod,"mmm yy"),"")</f>
        <v/>
      </c>
      <c r="EH4" s="118" t="str">
        <f aca="false">IF(OR(COLUMN()-COLUMN(gantt_Origin)=1,DAY(GanttStart+(COLUMN()-COLUMN(gantt_Origin)-1)*GanttPeriod)&lt;=GanttPeriod),TEXT(GanttStart+(COLUMN()-COLUMN(gantt_Origin)-1)*GanttPeriod,"mmm yy"),"")</f>
        <v/>
      </c>
      <c r="EI4" s="118" t="str">
        <f aca="false">IF(OR(COLUMN()-COLUMN(gantt_Origin)=1,DAY(GanttStart+(COLUMN()-COLUMN(gantt_Origin)-1)*GanttPeriod)&lt;=GanttPeriod),TEXT(GanttStart+(COLUMN()-COLUMN(gantt_Origin)-1)*GanttPeriod,"mmm yy"),"")</f>
        <v>Jan 27</v>
      </c>
      <c r="EJ4" s="118" t="str">
        <f aca="false">IF(OR(COLUMN()-COLUMN(gantt_Origin)=1,DAY(GanttStart+(COLUMN()-COLUMN(gantt_Origin)-1)*GanttPeriod)&lt;=GanttPeriod),TEXT(GanttStart+(COLUMN()-COLUMN(gantt_Origin)-1)*GanttPeriod,"mmm yy"),"")</f>
        <v/>
      </c>
      <c r="EK4" s="118" t="str">
        <f aca="false">IF(OR(COLUMN()-COLUMN(gantt_Origin)=1,DAY(GanttStart+(COLUMN()-COLUMN(gantt_Origin)-1)*GanttPeriod)&lt;=GanttPeriod),TEXT(GanttStart+(COLUMN()-COLUMN(gantt_Origin)-1)*GanttPeriod,"mmm yy"),"")</f>
        <v/>
      </c>
      <c r="EL4" s="118" t="str">
        <f aca="false">IF(OR(COLUMN()-COLUMN(gantt_Origin)=1,DAY(GanttStart+(COLUMN()-COLUMN(gantt_Origin)-1)*GanttPeriod)&lt;=GanttPeriod),TEXT(GanttStart+(COLUMN()-COLUMN(gantt_Origin)-1)*GanttPeriod,"mmm yy"),"")</f>
        <v/>
      </c>
      <c r="EM4" s="118" t="str">
        <f aca="false">IF(OR(COLUMN()-COLUMN(gantt_Origin)=1,DAY(GanttStart+(COLUMN()-COLUMN(gantt_Origin)-1)*GanttPeriod)&lt;=GanttPeriod),TEXT(GanttStart+(COLUMN()-COLUMN(gantt_Origin)-1)*GanttPeriod,"mmm yy"),"")</f>
        <v/>
      </c>
      <c r="EN4" s="118" t="str">
        <f aca="false">IF(OR(COLUMN()-COLUMN(gantt_Origin)=1,DAY(GanttStart+(COLUMN()-COLUMN(gantt_Origin)-1)*GanttPeriod)&lt;=GanttPeriod),TEXT(GanttStart+(COLUMN()-COLUMN(gantt_Origin)-1)*GanttPeriod,"mmm yy"),"")</f>
        <v/>
      </c>
      <c r="EO4" s="118" t="str">
        <f aca="false">IF(OR(COLUMN()-COLUMN(gantt_Origin)=1,DAY(GanttStart+(COLUMN()-COLUMN(gantt_Origin)-1)*GanttPeriod)&lt;=GanttPeriod),TEXT(GanttStart+(COLUMN()-COLUMN(gantt_Origin)-1)*GanttPeriod,"mmm yy"),"")</f>
        <v/>
      </c>
      <c r="EP4" s="118" t="str">
        <f aca="false">IF(OR(COLUMN()-COLUMN(gantt_Origin)=1,DAY(GanttStart+(COLUMN()-COLUMN(gantt_Origin)-1)*GanttPeriod)&lt;=GanttPeriod),TEXT(GanttStart+(COLUMN()-COLUMN(gantt_Origin)-1)*GanttPeriod,"mmm yy"),"")</f>
        <v/>
      </c>
      <c r="EQ4" s="118" t="str">
        <f aca="false">IF(OR(COLUMN()-COLUMN(gantt_Origin)=1,DAY(GanttStart+(COLUMN()-COLUMN(gantt_Origin)-1)*GanttPeriod)&lt;=GanttPeriod),TEXT(GanttStart+(COLUMN()-COLUMN(gantt_Origin)-1)*GanttPeriod,"mmm yy"),"")</f>
        <v/>
      </c>
      <c r="ER4" s="118" t="str">
        <f aca="false">IF(OR(COLUMN()-COLUMN(gantt_Origin)=1,DAY(GanttStart+(COLUMN()-COLUMN(gantt_Origin)-1)*GanttPeriod)&lt;=GanttPeriod),TEXT(GanttStart+(COLUMN()-COLUMN(gantt_Origin)-1)*GanttPeriod,"mmm yy"),"")</f>
        <v/>
      </c>
      <c r="ES4" s="118" t="str">
        <f aca="false">IF(OR(COLUMN()-COLUMN(gantt_Origin)=1,DAY(GanttStart+(COLUMN()-COLUMN(gantt_Origin)-1)*GanttPeriod)&lt;=GanttPeriod),TEXT(GanttStart+(COLUMN()-COLUMN(gantt_Origin)-1)*GanttPeriod,"mmm yy"),"")</f>
        <v/>
      </c>
      <c r="ET4" s="118" t="str">
        <f aca="false">IF(OR(COLUMN()-COLUMN(gantt_Origin)=1,DAY(GanttStart+(COLUMN()-COLUMN(gantt_Origin)-1)*GanttPeriod)&lt;=GanttPeriod),TEXT(GanttStart+(COLUMN()-COLUMN(gantt_Origin)-1)*GanttPeriod,"mmm yy"),"")</f>
        <v/>
      </c>
      <c r="EU4" s="118" t="str">
        <f aca="false">IF(OR(COLUMN()-COLUMN(gantt_Origin)=1,DAY(GanttStart+(COLUMN()-COLUMN(gantt_Origin)-1)*GanttPeriod)&lt;=GanttPeriod),TEXT(GanttStart+(COLUMN()-COLUMN(gantt_Origin)-1)*GanttPeriod,"mmm yy"),"")</f>
        <v/>
      </c>
      <c r="EV4" s="118" t="str">
        <f aca="false">IF(OR(COLUMN()-COLUMN(gantt_Origin)=1,DAY(GanttStart+(COLUMN()-COLUMN(gantt_Origin)-1)*GanttPeriod)&lt;=GanttPeriod),TEXT(GanttStart+(COLUMN()-COLUMN(gantt_Origin)-1)*GanttPeriod,"mmm yy"),"")</f>
        <v/>
      </c>
      <c r="EW4" s="118" t="str">
        <f aca="false">IF(OR(COLUMN()-COLUMN(gantt_Origin)=1,DAY(GanttStart+(COLUMN()-COLUMN(gantt_Origin)-1)*GanttPeriod)&lt;=GanttPeriod),TEXT(GanttStart+(COLUMN()-COLUMN(gantt_Origin)-1)*GanttPeriod,"mmm yy"),"")</f>
        <v/>
      </c>
      <c r="EX4" s="118" t="str">
        <f aca="false">IF(OR(COLUMN()-COLUMN(gantt_Origin)=1,DAY(GanttStart+(COLUMN()-COLUMN(gantt_Origin)-1)*GanttPeriod)&lt;=GanttPeriod),TEXT(GanttStart+(COLUMN()-COLUMN(gantt_Origin)-1)*GanttPeriod,"mmm yy"),"")</f>
        <v/>
      </c>
      <c r="EY4" s="118" t="str">
        <f aca="false">IF(OR(COLUMN()-COLUMN(gantt_Origin)=1,DAY(GanttStart+(COLUMN()-COLUMN(gantt_Origin)-1)*GanttPeriod)&lt;=GanttPeriod),TEXT(GanttStart+(COLUMN()-COLUMN(gantt_Origin)-1)*GanttPeriod,"mmm yy"),"")</f>
        <v/>
      </c>
      <c r="EZ4" s="118" t="str">
        <f aca="false">IF(OR(COLUMN()-COLUMN(gantt_Origin)=1,DAY(GanttStart+(COLUMN()-COLUMN(gantt_Origin)-1)*GanttPeriod)&lt;=GanttPeriod),TEXT(GanttStart+(COLUMN()-COLUMN(gantt_Origin)-1)*GanttPeriod,"mmm yy"),"")</f>
        <v/>
      </c>
      <c r="FA4" s="118" t="str">
        <f aca="false">IF(OR(COLUMN()-COLUMN(gantt_Origin)=1,DAY(GanttStart+(COLUMN()-COLUMN(gantt_Origin)-1)*GanttPeriod)&lt;=GanttPeriod),TEXT(GanttStart+(COLUMN()-COLUMN(gantt_Origin)-1)*GanttPeriod,"mmm yy"),"")</f>
        <v/>
      </c>
      <c r="FB4" s="118" t="str">
        <f aca="false">IF(OR(COLUMN()-COLUMN(gantt_Origin)=1,DAY(GanttStart+(COLUMN()-COLUMN(gantt_Origin)-1)*GanttPeriod)&lt;=GanttPeriod),TEXT(GanttStart+(COLUMN()-COLUMN(gantt_Origin)-1)*GanttPeriod,"mmm yy"),"")</f>
        <v/>
      </c>
      <c r="FC4" s="118" t="str">
        <f aca="false">IF(OR(COLUMN()-COLUMN(gantt_Origin)=1,DAY(GanttStart+(COLUMN()-COLUMN(gantt_Origin)-1)*GanttPeriod)&lt;=GanttPeriod),TEXT(GanttStart+(COLUMN()-COLUMN(gantt_Origin)-1)*GanttPeriod,"mmm yy"),"")</f>
        <v/>
      </c>
      <c r="FD4" s="118" t="str">
        <f aca="false">IF(OR(COLUMN()-COLUMN(gantt_Origin)=1,DAY(GanttStart+(COLUMN()-COLUMN(gantt_Origin)-1)*GanttPeriod)&lt;=GanttPeriod),TEXT(GanttStart+(COLUMN()-COLUMN(gantt_Origin)-1)*GanttPeriod,"mmm yy"),"")</f>
        <v/>
      </c>
      <c r="FE4" s="118" t="str">
        <f aca="false">IF(OR(COLUMN()-COLUMN(gantt_Origin)=1,DAY(GanttStart+(COLUMN()-COLUMN(gantt_Origin)-1)*GanttPeriod)&lt;=GanttPeriod),TEXT(GanttStart+(COLUMN()-COLUMN(gantt_Origin)-1)*GanttPeriod,"mmm yy"),"")</f>
        <v/>
      </c>
      <c r="FF4" s="118" t="str">
        <f aca="false">IF(OR(COLUMN()-COLUMN(gantt_Origin)=1,DAY(GanttStart+(COLUMN()-COLUMN(gantt_Origin)-1)*GanttPeriod)&lt;=GanttPeriod),TEXT(GanttStart+(COLUMN()-COLUMN(gantt_Origin)-1)*GanttPeriod,"mmm yy"),"")</f>
        <v/>
      </c>
      <c r="FG4" s="118" t="str">
        <f aca="false">IF(OR(COLUMN()-COLUMN(gantt_Origin)=1,DAY(GanttStart+(COLUMN()-COLUMN(gantt_Origin)-1)*GanttPeriod)&lt;=GanttPeriod),TEXT(GanttStart+(COLUMN()-COLUMN(gantt_Origin)-1)*GanttPeriod,"mmm yy"),"")</f>
        <v/>
      </c>
      <c r="FH4" s="118" t="str">
        <f aca="false">IF(OR(COLUMN()-COLUMN(gantt_Origin)=1,DAY(GanttStart+(COLUMN()-COLUMN(gantt_Origin)-1)*GanttPeriod)&lt;=GanttPeriod),TEXT(GanttStart+(COLUMN()-COLUMN(gantt_Origin)-1)*GanttPeriod,"mmm yy"),"")</f>
        <v/>
      </c>
      <c r="FI4" s="118" t="str">
        <f aca="false">IF(OR(COLUMN()-COLUMN(gantt_Origin)=1,DAY(GanttStart+(COLUMN()-COLUMN(gantt_Origin)-1)*GanttPeriod)&lt;=GanttPeriod),TEXT(GanttStart+(COLUMN()-COLUMN(gantt_Origin)-1)*GanttPeriod,"mmm yy"),"")</f>
        <v/>
      </c>
      <c r="FJ4" s="118" t="str">
        <f aca="false">IF(OR(COLUMN()-COLUMN(gantt_Origin)=1,DAY(GanttStart+(COLUMN()-COLUMN(gantt_Origin)-1)*GanttPeriod)&lt;=GanttPeriod),TEXT(GanttStart+(COLUMN()-COLUMN(gantt_Origin)-1)*GanttPeriod,"mmm yy"),"")</f>
        <v/>
      </c>
      <c r="FK4" s="118" t="str">
        <f aca="false">IF(OR(COLUMN()-COLUMN(gantt_Origin)=1,DAY(GanttStart+(COLUMN()-COLUMN(gantt_Origin)-1)*GanttPeriod)&lt;=GanttPeriod),TEXT(GanttStart+(COLUMN()-COLUMN(gantt_Origin)-1)*GanttPeriod,"mmm yy"),"")</f>
        <v/>
      </c>
      <c r="FL4" s="118" t="str">
        <f aca="false">IF(OR(COLUMN()-COLUMN(gantt_Origin)=1,DAY(GanttStart+(COLUMN()-COLUMN(gantt_Origin)-1)*GanttPeriod)&lt;=GanttPeriod),TEXT(GanttStart+(COLUMN()-COLUMN(gantt_Origin)-1)*GanttPeriod,"mmm yy"),"")</f>
        <v/>
      </c>
      <c r="FM4" s="118" t="str">
        <f aca="false">IF(OR(COLUMN()-COLUMN(gantt_Origin)=1,DAY(GanttStart+(COLUMN()-COLUMN(gantt_Origin)-1)*GanttPeriod)&lt;=GanttPeriod),TEXT(GanttStart+(COLUMN()-COLUMN(gantt_Origin)-1)*GanttPeriod,"mmm yy"),"")</f>
        <v/>
      </c>
      <c r="FN4" s="118" t="str">
        <f aca="false">IF(OR(COLUMN()-COLUMN(gantt_Origin)=1,DAY(GanttStart+(COLUMN()-COLUMN(gantt_Origin)-1)*GanttPeriod)&lt;=GanttPeriod),TEXT(GanttStart+(COLUMN()-COLUMN(gantt_Origin)-1)*GanttPeriod,"mmm yy"),"")</f>
        <v>Feb 27</v>
      </c>
      <c r="FO4" s="118" t="str">
        <f aca="false">IF(OR(COLUMN()-COLUMN(gantt_Origin)=1,DAY(GanttStart+(COLUMN()-COLUMN(gantt_Origin)-1)*GanttPeriod)&lt;=GanttPeriod),TEXT(GanttStart+(COLUMN()-COLUMN(gantt_Origin)-1)*GanttPeriod,"mmm yy"),"")</f>
        <v/>
      </c>
      <c r="FP4" s="118" t="str">
        <f aca="false">IF(OR(COLUMN()-COLUMN(gantt_Origin)=1,DAY(GanttStart+(COLUMN()-COLUMN(gantt_Origin)-1)*GanttPeriod)&lt;=GanttPeriod),TEXT(GanttStart+(COLUMN()-COLUMN(gantt_Origin)-1)*GanttPeriod,"mmm yy"),"")</f>
        <v/>
      </c>
    </row>
    <row r="5" customFormat="false" ht="30" hidden="false" customHeight="true" outlineLevel="0" collapsed="false">
      <c r="A5" s="9" t="s">
        <v>496</v>
      </c>
      <c r="B5" s="9" t="s">
        <v>205</v>
      </c>
      <c r="C5" s="9" t="s">
        <v>185</v>
      </c>
      <c r="D5" s="9" t="s">
        <v>652</v>
      </c>
      <c r="E5" s="9" t="s">
        <v>507</v>
      </c>
      <c r="F5" s="9" t="s">
        <v>207</v>
      </c>
      <c r="G5" s="9" t="s">
        <v>225</v>
      </c>
      <c r="H5" s="9" t="s">
        <v>208</v>
      </c>
      <c r="I5" s="9" t="s">
        <v>653</v>
      </c>
      <c r="J5" s="9" t="s">
        <v>223</v>
      </c>
      <c r="K5" s="9" t="s">
        <v>95</v>
      </c>
      <c r="L5" s="40" t="s">
        <v>533</v>
      </c>
      <c r="M5" s="40" t="s">
        <v>536</v>
      </c>
      <c r="N5" s="40" t="s">
        <v>654</v>
      </c>
      <c r="O5" s="40" t="s">
        <v>655</v>
      </c>
      <c r="P5" s="40" t="s">
        <v>656</v>
      </c>
      <c r="Q5" s="40" t="s">
        <v>657</v>
      </c>
      <c r="R5" s="40" t="s">
        <v>658</v>
      </c>
      <c r="S5" s="40" t="s">
        <v>659</v>
      </c>
      <c r="T5" s="40" t="s">
        <v>660</v>
      </c>
      <c r="U5" s="40" t="s">
        <v>661</v>
      </c>
      <c r="W5" s="119" t="n">
        <f aca="false">GanttStart+(COLUMN()-COLUMN(gantt_Origin)-1)*GanttPeriod</f>
        <v>46272</v>
      </c>
      <c r="X5" s="119" t="n">
        <f aca="false">GanttStart+(COLUMN()-COLUMN(gantt_Origin)-1)*GanttPeriod</f>
        <v>46273</v>
      </c>
      <c r="Y5" s="119" t="n">
        <f aca="false">GanttStart+(COLUMN()-COLUMN(gantt_Origin)-1)*GanttPeriod</f>
        <v>46274</v>
      </c>
      <c r="Z5" s="119" t="n">
        <f aca="false">GanttStart+(COLUMN()-COLUMN(gantt_Origin)-1)*GanttPeriod</f>
        <v>46275</v>
      </c>
      <c r="AA5" s="119" t="n">
        <f aca="false">GanttStart+(COLUMN()-COLUMN(gantt_Origin)-1)*GanttPeriod</f>
        <v>46276</v>
      </c>
      <c r="AB5" s="119" t="n">
        <f aca="false">GanttStart+(COLUMN()-COLUMN(gantt_Origin)-1)*GanttPeriod</f>
        <v>46277</v>
      </c>
      <c r="AC5" s="119" t="n">
        <f aca="false">GanttStart+(COLUMN()-COLUMN(gantt_Origin)-1)*GanttPeriod</f>
        <v>46278</v>
      </c>
      <c r="AD5" s="119" t="n">
        <f aca="false">GanttStart+(COLUMN()-COLUMN(gantt_Origin)-1)*GanttPeriod</f>
        <v>46279</v>
      </c>
      <c r="AE5" s="119" t="n">
        <f aca="false">GanttStart+(COLUMN()-COLUMN(gantt_Origin)-1)*GanttPeriod</f>
        <v>46280</v>
      </c>
      <c r="AF5" s="119" t="n">
        <f aca="false">GanttStart+(COLUMN()-COLUMN(gantt_Origin)-1)*GanttPeriod</f>
        <v>46281</v>
      </c>
      <c r="AG5" s="119" t="n">
        <f aca="false">GanttStart+(COLUMN()-COLUMN(gantt_Origin)-1)*GanttPeriod</f>
        <v>46282</v>
      </c>
      <c r="AH5" s="119" t="n">
        <f aca="false">GanttStart+(COLUMN()-COLUMN(gantt_Origin)-1)*GanttPeriod</f>
        <v>46283</v>
      </c>
      <c r="AI5" s="119" t="n">
        <f aca="false">GanttStart+(COLUMN()-COLUMN(gantt_Origin)-1)*GanttPeriod</f>
        <v>46284</v>
      </c>
      <c r="AJ5" s="119" t="n">
        <f aca="false">GanttStart+(COLUMN()-COLUMN(gantt_Origin)-1)*GanttPeriod</f>
        <v>46285</v>
      </c>
      <c r="AK5" s="119" t="n">
        <f aca="false">GanttStart+(COLUMN()-COLUMN(gantt_Origin)-1)*GanttPeriod</f>
        <v>46286</v>
      </c>
      <c r="AL5" s="119" t="n">
        <f aca="false">GanttStart+(COLUMN()-COLUMN(gantt_Origin)-1)*GanttPeriod</f>
        <v>46287</v>
      </c>
      <c r="AM5" s="119" t="n">
        <f aca="false">GanttStart+(COLUMN()-COLUMN(gantt_Origin)-1)*GanttPeriod</f>
        <v>46288</v>
      </c>
      <c r="AN5" s="119" t="n">
        <f aca="false">GanttStart+(COLUMN()-COLUMN(gantt_Origin)-1)*GanttPeriod</f>
        <v>46289</v>
      </c>
      <c r="AO5" s="119" t="n">
        <f aca="false">GanttStart+(COLUMN()-COLUMN(gantt_Origin)-1)*GanttPeriod</f>
        <v>46290</v>
      </c>
      <c r="AP5" s="119" t="n">
        <f aca="false">GanttStart+(COLUMN()-COLUMN(gantt_Origin)-1)*GanttPeriod</f>
        <v>46291</v>
      </c>
      <c r="AQ5" s="119" t="n">
        <f aca="false">GanttStart+(COLUMN()-COLUMN(gantt_Origin)-1)*GanttPeriod</f>
        <v>46292</v>
      </c>
      <c r="AR5" s="119" t="n">
        <f aca="false">GanttStart+(COLUMN()-COLUMN(gantt_Origin)-1)*GanttPeriod</f>
        <v>46293</v>
      </c>
      <c r="AS5" s="119" t="n">
        <f aca="false">GanttStart+(COLUMN()-COLUMN(gantt_Origin)-1)*GanttPeriod</f>
        <v>46294</v>
      </c>
      <c r="AT5" s="119" t="n">
        <f aca="false">GanttStart+(COLUMN()-COLUMN(gantt_Origin)-1)*GanttPeriod</f>
        <v>46295</v>
      </c>
      <c r="AU5" s="119" t="n">
        <f aca="false">GanttStart+(COLUMN()-COLUMN(gantt_Origin)-1)*GanttPeriod</f>
        <v>46296</v>
      </c>
      <c r="AV5" s="119" t="n">
        <f aca="false">GanttStart+(COLUMN()-COLUMN(gantt_Origin)-1)*GanttPeriod</f>
        <v>46297</v>
      </c>
      <c r="AW5" s="119" t="n">
        <f aca="false">GanttStart+(COLUMN()-COLUMN(gantt_Origin)-1)*GanttPeriod</f>
        <v>46298</v>
      </c>
      <c r="AX5" s="119" t="n">
        <f aca="false">GanttStart+(COLUMN()-COLUMN(gantt_Origin)-1)*GanttPeriod</f>
        <v>46299</v>
      </c>
      <c r="AY5" s="119" t="n">
        <f aca="false">GanttStart+(COLUMN()-COLUMN(gantt_Origin)-1)*GanttPeriod</f>
        <v>46300</v>
      </c>
      <c r="AZ5" s="119" t="n">
        <f aca="false">GanttStart+(COLUMN()-COLUMN(gantt_Origin)-1)*GanttPeriod</f>
        <v>46301</v>
      </c>
      <c r="BA5" s="119" t="n">
        <f aca="false">GanttStart+(COLUMN()-COLUMN(gantt_Origin)-1)*GanttPeriod</f>
        <v>46302</v>
      </c>
      <c r="BB5" s="119" t="n">
        <f aca="false">GanttStart+(COLUMN()-COLUMN(gantt_Origin)-1)*GanttPeriod</f>
        <v>46303</v>
      </c>
      <c r="BC5" s="119" t="n">
        <f aca="false">GanttStart+(COLUMN()-COLUMN(gantt_Origin)-1)*GanttPeriod</f>
        <v>46304</v>
      </c>
      <c r="BD5" s="119" t="n">
        <f aca="false">GanttStart+(COLUMN()-COLUMN(gantt_Origin)-1)*GanttPeriod</f>
        <v>46305</v>
      </c>
      <c r="BE5" s="119" t="n">
        <f aca="false">GanttStart+(COLUMN()-COLUMN(gantt_Origin)-1)*GanttPeriod</f>
        <v>46306</v>
      </c>
      <c r="BF5" s="119" t="n">
        <f aca="false">GanttStart+(COLUMN()-COLUMN(gantt_Origin)-1)*GanttPeriod</f>
        <v>46307</v>
      </c>
      <c r="BG5" s="119" t="n">
        <f aca="false">GanttStart+(COLUMN()-COLUMN(gantt_Origin)-1)*GanttPeriod</f>
        <v>46308</v>
      </c>
      <c r="BH5" s="119" t="n">
        <f aca="false">GanttStart+(COLUMN()-COLUMN(gantt_Origin)-1)*GanttPeriod</f>
        <v>46309</v>
      </c>
      <c r="BI5" s="119" t="n">
        <f aca="false">GanttStart+(COLUMN()-COLUMN(gantt_Origin)-1)*GanttPeriod</f>
        <v>46310</v>
      </c>
      <c r="BJ5" s="119" t="n">
        <f aca="false">GanttStart+(COLUMN()-COLUMN(gantt_Origin)-1)*GanttPeriod</f>
        <v>46311</v>
      </c>
      <c r="BK5" s="119" t="n">
        <f aca="false">GanttStart+(COLUMN()-COLUMN(gantt_Origin)-1)*GanttPeriod</f>
        <v>46312</v>
      </c>
      <c r="BL5" s="119" t="n">
        <f aca="false">GanttStart+(COLUMN()-COLUMN(gantt_Origin)-1)*GanttPeriod</f>
        <v>46313</v>
      </c>
      <c r="BM5" s="119" t="n">
        <f aca="false">GanttStart+(COLUMN()-COLUMN(gantt_Origin)-1)*GanttPeriod</f>
        <v>46314</v>
      </c>
      <c r="BN5" s="119" t="n">
        <f aca="false">GanttStart+(COLUMN()-COLUMN(gantt_Origin)-1)*GanttPeriod</f>
        <v>46315</v>
      </c>
      <c r="BO5" s="119" t="n">
        <f aca="false">GanttStart+(COLUMN()-COLUMN(gantt_Origin)-1)*GanttPeriod</f>
        <v>46316</v>
      </c>
      <c r="BP5" s="119" t="n">
        <f aca="false">GanttStart+(COLUMN()-COLUMN(gantt_Origin)-1)*GanttPeriod</f>
        <v>46317</v>
      </c>
      <c r="BQ5" s="119" t="n">
        <f aca="false">GanttStart+(COLUMN()-COLUMN(gantt_Origin)-1)*GanttPeriod</f>
        <v>46318</v>
      </c>
      <c r="BR5" s="119" t="n">
        <f aca="false">GanttStart+(COLUMN()-COLUMN(gantt_Origin)-1)*GanttPeriod</f>
        <v>46319</v>
      </c>
      <c r="BS5" s="119" t="n">
        <f aca="false">GanttStart+(COLUMN()-COLUMN(gantt_Origin)-1)*GanttPeriod</f>
        <v>46320</v>
      </c>
      <c r="BT5" s="119" t="n">
        <f aca="false">GanttStart+(COLUMN()-COLUMN(gantt_Origin)-1)*GanttPeriod</f>
        <v>46321</v>
      </c>
      <c r="BU5" s="119" t="n">
        <f aca="false">GanttStart+(COLUMN()-COLUMN(gantt_Origin)-1)*GanttPeriod</f>
        <v>46322</v>
      </c>
      <c r="BV5" s="119" t="n">
        <f aca="false">GanttStart+(COLUMN()-COLUMN(gantt_Origin)-1)*GanttPeriod</f>
        <v>46323</v>
      </c>
      <c r="BW5" s="119" t="n">
        <f aca="false">GanttStart+(COLUMN()-COLUMN(gantt_Origin)-1)*GanttPeriod</f>
        <v>46324</v>
      </c>
      <c r="BX5" s="119" t="n">
        <f aca="false">GanttStart+(COLUMN()-COLUMN(gantt_Origin)-1)*GanttPeriod</f>
        <v>46325</v>
      </c>
      <c r="BY5" s="119" t="n">
        <f aca="false">GanttStart+(COLUMN()-COLUMN(gantt_Origin)-1)*GanttPeriod</f>
        <v>46326</v>
      </c>
      <c r="BZ5" s="119" t="n">
        <f aca="false">GanttStart+(COLUMN()-COLUMN(gantt_Origin)-1)*GanttPeriod</f>
        <v>46327</v>
      </c>
      <c r="CA5" s="119" t="n">
        <f aca="false">GanttStart+(COLUMN()-COLUMN(gantt_Origin)-1)*GanttPeriod</f>
        <v>46328</v>
      </c>
      <c r="CB5" s="119" t="n">
        <f aca="false">GanttStart+(COLUMN()-COLUMN(gantt_Origin)-1)*GanttPeriod</f>
        <v>46329</v>
      </c>
      <c r="CC5" s="119" t="n">
        <f aca="false">GanttStart+(COLUMN()-COLUMN(gantt_Origin)-1)*GanttPeriod</f>
        <v>46330</v>
      </c>
      <c r="CD5" s="119" t="n">
        <f aca="false">GanttStart+(COLUMN()-COLUMN(gantt_Origin)-1)*GanttPeriod</f>
        <v>46331</v>
      </c>
      <c r="CE5" s="119" t="n">
        <f aca="false">GanttStart+(COLUMN()-COLUMN(gantt_Origin)-1)*GanttPeriod</f>
        <v>46332</v>
      </c>
      <c r="CF5" s="119" t="n">
        <f aca="false">GanttStart+(COLUMN()-COLUMN(gantt_Origin)-1)*GanttPeriod</f>
        <v>46333</v>
      </c>
      <c r="CG5" s="119" t="n">
        <f aca="false">GanttStart+(COLUMN()-COLUMN(gantt_Origin)-1)*GanttPeriod</f>
        <v>46334</v>
      </c>
      <c r="CH5" s="119" t="n">
        <f aca="false">GanttStart+(COLUMN()-COLUMN(gantt_Origin)-1)*GanttPeriod</f>
        <v>46335</v>
      </c>
      <c r="CI5" s="119" t="n">
        <f aca="false">GanttStart+(COLUMN()-COLUMN(gantt_Origin)-1)*GanttPeriod</f>
        <v>46336</v>
      </c>
      <c r="CJ5" s="119" t="n">
        <f aca="false">GanttStart+(COLUMN()-COLUMN(gantt_Origin)-1)*GanttPeriod</f>
        <v>46337</v>
      </c>
      <c r="CK5" s="119" t="n">
        <f aca="false">GanttStart+(COLUMN()-COLUMN(gantt_Origin)-1)*GanttPeriod</f>
        <v>46338</v>
      </c>
      <c r="CL5" s="119" t="n">
        <f aca="false">GanttStart+(COLUMN()-COLUMN(gantt_Origin)-1)*GanttPeriod</f>
        <v>46339</v>
      </c>
      <c r="CM5" s="119" t="n">
        <f aca="false">GanttStart+(COLUMN()-COLUMN(gantt_Origin)-1)*GanttPeriod</f>
        <v>46340</v>
      </c>
      <c r="CN5" s="119" t="n">
        <f aca="false">GanttStart+(COLUMN()-COLUMN(gantt_Origin)-1)*GanttPeriod</f>
        <v>46341</v>
      </c>
      <c r="CO5" s="119" t="n">
        <f aca="false">GanttStart+(COLUMN()-COLUMN(gantt_Origin)-1)*GanttPeriod</f>
        <v>46342</v>
      </c>
      <c r="CP5" s="119" t="n">
        <f aca="false">GanttStart+(COLUMN()-COLUMN(gantt_Origin)-1)*GanttPeriod</f>
        <v>46343</v>
      </c>
      <c r="CQ5" s="119" t="n">
        <f aca="false">GanttStart+(COLUMN()-COLUMN(gantt_Origin)-1)*GanttPeriod</f>
        <v>46344</v>
      </c>
      <c r="CR5" s="119" t="n">
        <f aca="false">GanttStart+(COLUMN()-COLUMN(gantt_Origin)-1)*GanttPeriod</f>
        <v>46345</v>
      </c>
      <c r="CS5" s="119" t="n">
        <f aca="false">GanttStart+(COLUMN()-COLUMN(gantt_Origin)-1)*GanttPeriod</f>
        <v>46346</v>
      </c>
      <c r="CT5" s="119" t="n">
        <f aca="false">GanttStart+(COLUMN()-COLUMN(gantt_Origin)-1)*GanttPeriod</f>
        <v>46347</v>
      </c>
      <c r="CU5" s="119" t="n">
        <f aca="false">GanttStart+(COLUMN()-COLUMN(gantt_Origin)-1)*GanttPeriod</f>
        <v>46348</v>
      </c>
      <c r="CV5" s="119" t="n">
        <f aca="false">GanttStart+(COLUMN()-COLUMN(gantt_Origin)-1)*GanttPeriod</f>
        <v>46349</v>
      </c>
      <c r="CW5" s="119" t="n">
        <f aca="false">GanttStart+(COLUMN()-COLUMN(gantt_Origin)-1)*GanttPeriod</f>
        <v>46350</v>
      </c>
      <c r="CX5" s="119" t="n">
        <f aca="false">GanttStart+(COLUMN()-COLUMN(gantt_Origin)-1)*GanttPeriod</f>
        <v>46351</v>
      </c>
      <c r="CY5" s="119" t="n">
        <f aca="false">GanttStart+(COLUMN()-COLUMN(gantt_Origin)-1)*GanttPeriod</f>
        <v>46352</v>
      </c>
      <c r="CZ5" s="119" t="n">
        <f aca="false">GanttStart+(COLUMN()-COLUMN(gantt_Origin)-1)*GanttPeriod</f>
        <v>46353</v>
      </c>
      <c r="DA5" s="119" t="n">
        <f aca="false">GanttStart+(COLUMN()-COLUMN(gantt_Origin)-1)*GanttPeriod</f>
        <v>46354</v>
      </c>
      <c r="DB5" s="119" t="n">
        <f aca="false">GanttStart+(COLUMN()-COLUMN(gantt_Origin)-1)*GanttPeriod</f>
        <v>46355</v>
      </c>
      <c r="DC5" s="119" t="n">
        <f aca="false">GanttStart+(COLUMN()-COLUMN(gantt_Origin)-1)*GanttPeriod</f>
        <v>46356</v>
      </c>
      <c r="DD5" s="119" t="n">
        <f aca="false">GanttStart+(COLUMN()-COLUMN(gantt_Origin)-1)*GanttPeriod</f>
        <v>46357</v>
      </c>
      <c r="DE5" s="119" t="n">
        <f aca="false">GanttStart+(COLUMN()-COLUMN(gantt_Origin)-1)*GanttPeriod</f>
        <v>46358</v>
      </c>
      <c r="DF5" s="119" t="n">
        <f aca="false">GanttStart+(COLUMN()-COLUMN(gantt_Origin)-1)*GanttPeriod</f>
        <v>46359</v>
      </c>
      <c r="DG5" s="119" t="n">
        <f aca="false">GanttStart+(COLUMN()-COLUMN(gantt_Origin)-1)*GanttPeriod</f>
        <v>46360</v>
      </c>
      <c r="DH5" s="119" t="n">
        <f aca="false">GanttStart+(COLUMN()-COLUMN(gantt_Origin)-1)*GanttPeriod</f>
        <v>46361</v>
      </c>
      <c r="DI5" s="119" t="n">
        <f aca="false">GanttStart+(COLUMN()-COLUMN(gantt_Origin)-1)*GanttPeriod</f>
        <v>46362</v>
      </c>
      <c r="DJ5" s="119" t="n">
        <f aca="false">GanttStart+(COLUMN()-COLUMN(gantt_Origin)-1)*GanttPeriod</f>
        <v>46363</v>
      </c>
      <c r="DK5" s="119" t="n">
        <f aca="false">GanttStart+(COLUMN()-COLUMN(gantt_Origin)-1)*GanttPeriod</f>
        <v>46364</v>
      </c>
      <c r="DL5" s="119" t="n">
        <f aca="false">GanttStart+(COLUMN()-COLUMN(gantt_Origin)-1)*GanttPeriod</f>
        <v>46365</v>
      </c>
      <c r="DM5" s="119" t="n">
        <f aca="false">GanttStart+(COLUMN()-COLUMN(gantt_Origin)-1)*GanttPeriod</f>
        <v>46366</v>
      </c>
      <c r="DN5" s="119" t="n">
        <f aca="false">GanttStart+(COLUMN()-COLUMN(gantt_Origin)-1)*GanttPeriod</f>
        <v>46367</v>
      </c>
      <c r="DO5" s="119" t="n">
        <f aca="false">GanttStart+(COLUMN()-COLUMN(gantt_Origin)-1)*GanttPeriod</f>
        <v>46368</v>
      </c>
      <c r="DP5" s="119" t="n">
        <f aca="false">GanttStart+(COLUMN()-COLUMN(gantt_Origin)-1)*GanttPeriod</f>
        <v>46369</v>
      </c>
      <c r="DQ5" s="119" t="n">
        <f aca="false">GanttStart+(COLUMN()-COLUMN(gantt_Origin)-1)*GanttPeriod</f>
        <v>46370</v>
      </c>
      <c r="DR5" s="119" t="n">
        <f aca="false">GanttStart+(COLUMN()-COLUMN(gantt_Origin)-1)*GanttPeriod</f>
        <v>46371</v>
      </c>
      <c r="DS5" s="119" t="n">
        <f aca="false">GanttStart+(COLUMN()-COLUMN(gantt_Origin)-1)*GanttPeriod</f>
        <v>46372</v>
      </c>
      <c r="DT5" s="119" t="n">
        <f aca="false">GanttStart+(COLUMN()-COLUMN(gantt_Origin)-1)*GanttPeriod</f>
        <v>46373</v>
      </c>
      <c r="DU5" s="119" t="n">
        <f aca="false">GanttStart+(COLUMN()-COLUMN(gantt_Origin)-1)*GanttPeriod</f>
        <v>46374</v>
      </c>
      <c r="DV5" s="119" t="n">
        <f aca="false">GanttStart+(COLUMN()-COLUMN(gantt_Origin)-1)*GanttPeriod</f>
        <v>46375</v>
      </c>
      <c r="DW5" s="119" t="n">
        <f aca="false">GanttStart+(COLUMN()-COLUMN(gantt_Origin)-1)*GanttPeriod</f>
        <v>46376</v>
      </c>
      <c r="DX5" s="119" t="n">
        <f aca="false">GanttStart+(COLUMN()-COLUMN(gantt_Origin)-1)*GanttPeriod</f>
        <v>46377</v>
      </c>
      <c r="DY5" s="119" t="n">
        <f aca="false">GanttStart+(COLUMN()-COLUMN(gantt_Origin)-1)*GanttPeriod</f>
        <v>46378</v>
      </c>
      <c r="DZ5" s="119" t="n">
        <f aca="false">GanttStart+(COLUMN()-COLUMN(gantt_Origin)-1)*GanttPeriod</f>
        <v>46379</v>
      </c>
      <c r="EA5" s="119" t="n">
        <f aca="false">GanttStart+(COLUMN()-COLUMN(gantt_Origin)-1)*GanttPeriod</f>
        <v>46380</v>
      </c>
      <c r="EB5" s="119" t="n">
        <f aca="false">GanttStart+(COLUMN()-COLUMN(gantt_Origin)-1)*GanttPeriod</f>
        <v>46381</v>
      </c>
      <c r="EC5" s="119" t="n">
        <f aca="false">GanttStart+(COLUMN()-COLUMN(gantt_Origin)-1)*GanttPeriod</f>
        <v>46382</v>
      </c>
      <c r="ED5" s="119" t="n">
        <f aca="false">GanttStart+(COLUMN()-COLUMN(gantt_Origin)-1)*GanttPeriod</f>
        <v>46383</v>
      </c>
      <c r="EE5" s="119" t="n">
        <f aca="false">GanttStart+(COLUMN()-COLUMN(gantt_Origin)-1)*GanttPeriod</f>
        <v>46384</v>
      </c>
      <c r="EF5" s="119" t="n">
        <f aca="false">GanttStart+(COLUMN()-COLUMN(gantt_Origin)-1)*GanttPeriod</f>
        <v>46385</v>
      </c>
      <c r="EG5" s="119" t="n">
        <f aca="false">GanttStart+(COLUMN()-COLUMN(gantt_Origin)-1)*GanttPeriod</f>
        <v>46386</v>
      </c>
      <c r="EH5" s="119" t="n">
        <f aca="false">GanttStart+(COLUMN()-COLUMN(gantt_Origin)-1)*GanttPeriod</f>
        <v>46387</v>
      </c>
      <c r="EI5" s="119" t="n">
        <f aca="false">GanttStart+(COLUMN()-COLUMN(gantt_Origin)-1)*GanttPeriod</f>
        <v>46388</v>
      </c>
      <c r="EJ5" s="119" t="n">
        <f aca="false">GanttStart+(COLUMN()-COLUMN(gantt_Origin)-1)*GanttPeriod</f>
        <v>46389</v>
      </c>
      <c r="EK5" s="119" t="n">
        <f aca="false">GanttStart+(COLUMN()-COLUMN(gantt_Origin)-1)*GanttPeriod</f>
        <v>46390</v>
      </c>
      <c r="EL5" s="119" t="n">
        <f aca="false">GanttStart+(COLUMN()-COLUMN(gantt_Origin)-1)*GanttPeriod</f>
        <v>46391</v>
      </c>
      <c r="EM5" s="119" t="n">
        <f aca="false">GanttStart+(COLUMN()-COLUMN(gantt_Origin)-1)*GanttPeriod</f>
        <v>46392</v>
      </c>
      <c r="EN5" s="119" t="n">
        <f aca="false">GanttStart+(COLUMN()-COLUMN(gantt_Origin)-1)*GanttPeriod</f>
        <v>46393</v>
      </c>
      <c r="EO5" s="119" t="n">
        <f aca="false">GanttStart+(COLUMN()-COLUMN(gantt_Origin)-1)*GanttPeriod</f>
        <v>46394</v>
      </c>
      <c r="EP5" s="119" t="n">
        <f aca="false">GanttStart+(COLUMN()-COLUMN(gantt_Origin)-1)*GanttPeriod</f>
        <v>46395</v>
      </c>
      <c r="EQ5" s="119" t="n">
        <f aca="false">GanttStart+(COLUMN()-COLUMN(gantt_Origin)-1)*GanttPeriod</f>
        <v>46396</v>
      </c>
      <c r="ER5" s="119" t="n">
        <f aca="false">GanttStart+(COLUMN()-COLUMN(gantt_Origin)-1)*GanttPeriod</f>
        <v>46397</v>
      </c>
      <c r="ES5" s="119" t="n">
        <f aca="false">GanttStart+(COLUMN()-COLUMN(gantt_Origin)-1)*GanttPeriod</f>
        <v>46398</v>
      </c>
      <c r="ET5" s="119" t="n">
        <f aca="false">GanttStart+(COLUMN()-COLUMN(gantt_Origin)-1)*GanttPeriod</f>
        <v>46399</v>
      </c>
      <c r="EU5" s="119" t="n">
        <f aca="false">GanttStart+(COLUMN()-COLUMN(gantt_Origin)-1)*GanttPeriod</f>
        <v>46400</v>
      </c>
      <c r="EV5" s="119" t="n">
        <f aca="false">GanttStart+(COLUMN()-COLUMN(gantt_Origin)-1)*GanttPeriod</f>
        <v>46401</v>
      </c>
      <c r="EW5" s="119" t="n">
        <f aca="false">GanttStart+(COLUMN()-COLUMN(gantt_Origin)-1)*GanttPeriod</f>
        <v>46402</v>
      </c>
      <c r="EX5" s="119" t="n">
        <f aca="false">GanttStart+(COLUMN()-COLUMN(gantt_Origin)-1)*GanttPeriod</f>
        <v>46403</v>
      </c>
      <c r="EY5" s="119" t="n">
        <f aca="false">GanttStart+(COLUMN()-COLUMN(gantt_Origin)-1)*GanttPeriod</f>
        <v>46404</v>
      </c>
      <c r="EZ5" s="119" t="n">
        <f aca="false">GanttStart+(COLUMN()-COLUMN(gantt_Origin)-1)*GanttPeriod</f>
        <v>46405</v>
      </c>
      <c r="FA5" s="119" t="n">
        <f aca="false">GanttStart+(COLUMN()-COLUMN(gantt_Origin)-1)*GanttPeriod</f>
        <v>46406</v>
      </c>
      <c r="FB5" s="119" t="n">
        <f aca="false">GanttStart+(COLUMN()-COLUMN(gantt_Origin)-1)*GanttPeriod</f>
        <v>46407</v>
      </c>
      <c r="FC5" s="119" t="n">
        <f aca="false">GanttStart+(COLUMN()-COLUMN(gantt_Origin)-1)*GanttPeriod</f>
        <v>46408</v>
      </c>
      <c r="FD5" s="119" t="n">
        <f aca="false">GanttStart+(COLUMN()-COLUMN(gantt_Origin)-1)*GanttPeriod</f>
        <v>46409</v>
      </c>
      <c r="FE5" s="119" t="n">
        <f aca="false">GanttStart+(COLUMN()-COLUMN(gantt_Origin)-1)*GanttPeriod</f>
        <v>46410</v>
      </c>
      <c r="FF5" s="119" t="n">
        <f aca="false">GanttStart+(COLUMN()-COLUMN(gantt_Origin)-1)*GanttPeriod</f>
        <v>46411</v>
      </c>
      <c r="FG5" s="119" t="n">
        <f aca="false">GanttStart+(COLUMN()-COLUMN(gantt_Origin)-1)*GanttPeriod</f>
        <v>46412</v>
      </c>
      <c r="FH5" s="119" t="n">
        <f aca="false">GanttStart+(COLUMN()-COLUMN(gantt_Origin)-1)*GanttPeriod</f>
        <v>46413</v>
      </c>
      <c r="FI5" s="119" t="n">
        <f aca="false">GanttStart+(COLUMN()-COLUMN(gantt_Origin)-1)*GanttPeriod</f>
        <v>46414</v>
      </c>
      <c r="FJ5" s="119" t="n">
        <f aca="false">GanttStart+(COLUMN()-COLUMN(gantt_Origin)-1)*GanttPeriod</f>
        <v>46415</v>
      </c>
      <c r="FK5" s="119" t="n">
        <f aca="false">GanttStart+(COLUMN()-COLUMN(gantt_Origin)-1)*GanttPeriod</f>
        <v>46416</v>
      </c>
      <c r="FL5" s="119" t="n">
        <f aca="false">GanttStart+(COLUMN()-COLUMN(gantt_Origin)-1)*GanttPeriod</f>
        <v>46417</v>
      </c>
      <c r="FM5" s="119" t="n">
        <f aca="false">GanttStart+(COLUMN()-COLUMN(gantt_Origin)-1)*GanttPeriod</f>
        <v>46418</v>
      </c>
      <c r="FN5" s="119" t="n">
        <f aca="false">GanttStart+(COLUMN()-COLUMN(gantt_Origin)-1)*GanttPeriod</f>
        <v>46419</v>
      </c>
      <c r="FO5" s="119" t="n">
        <f aca="false">GanttStart+(COLUMN()-COLUMN(gantt_Origin)-1)*GanttPeriod</f>
        <v>46420</v>
      </c>
      <c r="FP5" s="119" t="n">
        <f aca="false">GanttStart+(COLUMN()-COLUMN(gantt_Origin)-1)*GanttPeriod</f>
        <v>46421</v>
      </c>
    </row>
    <row r="6" customFormat="false" ht="15" hidden="false" customHeight="false" outlineLevel="0" collapsed="false">
      <c r="A6" s="120" t="n">
        <f aca="false">IF(IFERROR(INDEX(tsk_Name,GanttView[[#This Row],[_Row]])="",TRUE()),"",INDEX(tsk_ID,GanttView[[#This Row],[_Row]]))</f>
        <v>1</v>
      </c>
      <c r="B6" s="120" t="str">
        <f aca="false">IF(IFERROR(INDEX(tsk_Name,GanttView[[#This Row],[_Row]])="",TRUE()),"",INDEX(tsk_WBS,GanttView[[#This Row],[_Row]]))</f>
        <v>1</v>
      </c>
      <c r="C6" s="121" t="str">
        <f aca="false">IF(IFERROR(INDEX(tsk_Name,GanttView[[#This Row],[_Row]])="",TRUE()),"",REPT("    ",INDEX(tsk_Level,GanttView[[#This Row],[_Row]])-1)&amp;INDEX(tsk_Name,GanttView[[#This Row],[_Row]]))</f>
        <v>Initiation</v>
      </c>
      <c r="D6" s="120" t="n">
        <f aca="false">IF(IFERROR(INDEX(tsk_Name,GanttView[[#This Row],[_Row]])="",TRUE()),"",IF(INDEX(tsk_IsSummary,GanttView[[#This Row],[_Row]]),NETWORKDAYS.INTL(INDEX(tsk_FcStart,GanttView[[#This Row],[_Row]]),INDEX(tsk_FcFinish,GanttView[[#This Row],[_Row]]),WorkWeek,Holidays),N(INDEX(tsk_Duration,GanttView[[#This Row],[_Row]]))))</f>
        <v>6</v>
      </c>
      <c r="E6" s="122" t="n">
        <f aca="false">IF(IFERROR(INDEX(tsk_Name,GanttView[[#This Row],[_Row]])="",TRUE()),"",INDEX(tsk_PlanStart,GanttView[[#This Row],[_Row]]))</f>
        <v>46272</v>
      </c>
      <c r="F6" s="122" t="n">
        <f aca="false">IF(IFERROR(INDEX(tsk_Name,GanttView[[#This Row],[_Row]])="",TRUE()),"",INDEX(tsk_PlanFinish,GanttView[[#This Row],[_Row]]))</f>
        <v>46276</v>
      </c>
      <c r="G6" s="122" t="n">
        <f aca="false">IF(IFERROR(INDEX(tsk_Name,GanttView[[#This Row],[_Row]])="",TRUE()),"",INDEX(tsk_FcStart,GanttView[[#This Row],[_Row]]))</f>
        <v>46272</v>
      </c>
      <c r="H6" s="122" t="n">
        <f aca="false">IF(IFERROR(INDEX(tsk_Name,GanttView[[#This Row],[_Row]])="",TRUE()),"",INDEX(tsk_FcFinish,GanttView[[#This Row],[_Row]]))</f>
        <v>46279</v>
      </c>
      <c r="I6" s="123" t="n">
        <f aca="false">IF(IFERROR(INDEX(tsk_Name,GanttView[[#This Row],[_Row]])="",TRUE()),"",INDEX(tsk_Progress,GanttView[[#This Row],[_Row]]))</f>
        <v>1</v>
      </c>
      <c r="J6" s="121" t="str">
        <f aca="false">IF(IFERROR(INDEX(tsk_Name,GanttView[[#This Row],[_Row]])="",TRUE()),"",INDEX(tsk_Resource,GanttView[[#This Row],[_Row]])&amp;"")</f>
        <v/>
      </c>
      <c r="K6" s="124" t="str">
        <f aca="false">IF(IFERROR(INDEX(tsk_Name,GanttView[[#This Row],[_Row]])="",TRUE()),"",INDEX(tsk_Status,GanttView[[#This Row],[_Row]]))</f>
        <v>Complete</v>
      </c>
      <c r="L6" s="125" t="n">
        <f aca="false">ROW()-ROW(GanttView[[#Headers],[ID]])</f>
        <v>1</v>
      </c>
      <c r="M6" s="126" t="b">
        <f aca="false">IF(IFERROR(INDEX(tsk_Name,GanttView[[#This Row],[_Row]])="",TRUE()),FALSE(),INDEX(tsk_IsSummary,GanttView[[#This Row],[_Row]]))</f>
        <v>1</v>
      </c>
      <c r="N6" s="126" t="b">
        <f aca="false">IF(IFERROR(INDEX(tsk_Name,GanttView[[#This Row],[_Row]])="",TRUE()),FALSE(),AND(INDEX(tsk_IsLeaf,GanttView[[#This Row],[_Row]])=1,N(INDEX(tsk_Duration,GanttView[[#This Row],[_Row]]))=0))</f>
        <v>0</v>
      </c>
      <c r="O6" s="127" t="n">
        <f aca="false">IF(IFERROR(INDEX(tsk_Name,GanttView[[#This Row],[_Row]])="",TRUE()),0,IF(AND(INDEX(tsk_IsLeaf,GanttView[[#This Row],[_Row]])=1,NOT(GanttView[[#This Row],[_IsMilestone]]),N(GanttView[[#This Row],[%]])&gt;0),GanttView[[#This Row],[Forecast Start]],0))</f>
        <v>0</v>
      </c>
      <c r="P6" s="127" t="n">
        <f aca="false">IF(GanttView[[#This Row],[_DoneFrom]]=0,0,IF(GanttView[[#This Row],[%]]&gt;=1,GanttView[[#This Row],[Forecast Finish]],MAX(GanttView[[#This Row],[_DoneFrom]],GanttView[[#This Row],[Forecast Start]]+ROUND((GanttView[[#This Row],[Forecast Finish]]-GanttView[[#This Row],[Forecast Start]]+1)*GanttView[[#This Row],[%]],0)-1)))</f>
        <v>0</v>
      </c>
      <c r="Q6" s="127" t="n">
        <f aca="false">IF(IFERROR(INDEX(tsk_Name,GanttView[[#This Row],[_Row]])="",TRUE()),0,IF(OR(INDEX(tsk_IsLeaf,GanttView[[#This Row],[_Row]])&lt;&gt;1,GanttView[[#This Row],[_IsMilestone]],N(GanttView[[#This Row],[%]])&gt;=1),0,IF(GanttView[[#This Row],[_DoneTo]]&gt;0,GanttView[[#This Row],[_DoneTo]]+1,GanttView[[#This Row],[Forecast Start]])))</f>
        <v>0</v>
      </c>
      <c r="R6" s="127" t="n">
        <f aca="false">IF(GanttView[[#This Row],[_RemFrom]]=0,0,GanttView[[#This Row],[Forecast Finish]])</f>
        <v>0</v>
      </c>
      <c r="S6" s="126" t="b">
        <f aca="false">IF(IFERROR(INDEX(tsk_Name,GanttView[[#This Row],[_Row]])="",TRUE()),FALSE(),N(INDEX(tsk_Variance,GanttView[[#This Row],[_Row]]))&gt;0)</f>
        <v>1</v>
      </c>
      <c r="T6" s="127" t="n">
        <f aca="false">IF(IFERROR(INDEX(tsk_Name,GanttView[[#This Row],[_Row]])="",TRUE()),0,N(INDEX(tsk_Deadline,GanttView[[#This Row],[_Row]])))</f>
        <v>0</v>
      </c>
      <c r="U6" s="126" t="b">
        <f aca="false">IF(IFERROR(INDEX(tsk_Name,GanttView[[#This Row],[_Row]])="",TRUE()),FALSE(),INDEX(tsk_Critical,GanttView[[#This Row],[_Row]])="Yes")</f>
        <v>0</v>
      </c>
    </row>
    <row r="7" customFormat="false" ht="15" hidden="false" customHeight="false" outlineLevel="0" collapsed="false">
      <c r="A7" s="120" t="n">
        <f aca="false">IF(IFERROR(INDEX(tsk_Name,GanttView[[#This Row],[_Row]])="",TRUE()),"",INDEX(tsk_ID,GanttView[[#This Row],[_Row]]))</f>
        <v>2</v>
      </c>
      <c r="B7" s="120" t="str">
        <f aca="false">IF(IFERROR(INDEX(tsk_Name,GanttView[[#This Row],[_Row]])="",TRUE()),"",INDEX(tsk_WBS,GanttView[[#This Row],[_Row]]))</f>
        <v>1.1</v>
      </c>
      <c r="C7" s="121" t="str">
        <f aca="false">IF(IFERROR(INDEX(tsk_Name,GanttView[[#This Row],[_Row]])="",TRUE()),"",REPT("    ",INDEX(tsk_Level,GanttView[[#This Row],[_Row]])-1)&amp;INDEX(tsk_Name,GanttView[[#This Row],[_Row]]))</f>
        <v>    Project charter &amp; scope statement</v>
      </c>
      <c r="D7" s="120" t="n">
        <f aca="false">IF(IFERROR(INDEX(tsk_Name,GanttView[[#This Row],[_Row]])="",TRUE()),"",IF(INDEX(tsk_IsSummary,GanttView[[#This Row],[_Row]]),NETWORKDAYS.INTL(INDEX(tsk_FcStart,GanttView[[#This Row],[_Row]]),INDEX(tsk_FcFinish,GanttView[[#This Row],[_Row]]),WorkWeek,Holidays),N(INDEX(tsk_Duration,GanttView[[#This Row],[_Row]]))))</f>
        <v>3</v>
      </c>
      <c r="E7" s="122" t="n">
        <f aca="false">IF(IFERROR(INDEX(tsk_Name,GanttView[[#This Row],[_Row]])="",TRUE()),"",INDEX(tsk_PlanStart,GanttView[[#This Row],[_Row]]))</f>
        <v>46272</v>
      </c>
      <c r="F7" s="122" t="n">
        <f aca="false">IF(IFERROR(INDEX(tsk_Name,GanttView[[#This Row],[_Row]])="",TRUE()),"",INDEX(tsk_PlanFinish,GanttView[[#This Row],[_Row]]))</f>
        <v>46274</v>
      </c>
      <c r="G7" s="122" t="n">
        <f aca="false">IF(IFERROR(INDEX(tsk_Name,GanttView[[#This Row],[_Row]])="",TRUE()),"",INDEX(tsk_FcStart,GanttView[[#This Row],[_Row]]))</f>
        <v>46272</v>
      </c>
      <c r="H7" s="122" t="n">
        <f aca="false">IF(IFERROR(INDEX(tsk_Name,GanttView[[#This Row],[_Row]])="",TRUE()),"",INDEX(tsk_FcFinish,GanttView[[#This Row],[_Row]]))</f>
        <v>46275</v>
      </c>
      <c r="I7" s="123" t="n">
        <f aca="false">IF(IFERROR(INDEX(tsk_Name,GanttView[[#This Row],[_Row]])="",TRUE()),"",INDEX(tsk_Progress,GanttView[[#This Row],[_Row]]))</f>
        <v>1</v>
      </c>
      <c r="J7" s="121" t="str">
        <f aca="false">IF(IFERROR(INDEX(tsk_Name,GanttView[[#This Row],[_Row]])="",TRUE()),"",INDEX(tsk_Resource,GanttView[[#This Row],[_Row]])&amp;"")</f>
        <v>Priya Sharma</v>
      </c>
      <c r="K7" s="124" t="str">
        <f aca="false">IF(IFERROR(INDEX(tsk_Name,GanttView[[#This Row],[_Row]])="",TRUE()),"",INDEX(tsk_Status,GanttView[[#This Row],[_Row]]))</f>
        <v>Complete</v>
      </c>
      <c r="L7" s="125" t="n">
        <f aca="false">ROW()-ROW(GanttView[[#Headers],[ID]])</f>
        <v>2</v>
      </c>
      <c r="M7" s="126" t="b">
        <f aca="false">IF(IFERROR(INDEX(tsk_Name,GanttView[[#This Row],[_Row]])="",TRUE()),FALSE(),INDEX(tsk_IsSummary,GanttView[[#This Row],[_Row]]))</f>
        <v>0</v>
      </c>
      <c r="N7" s="126" t="b">
        <f aca="false">IF(IFERROR(INDEX(tsk_Name,GanttView[[#This Row],[_Row]])="",TRUE()),FALSE(),AND(INDEX(tsk_IsLeaf,GanttView[[#This Row],[_Row]])=1,N(INDEX(tsk_Duration,GanttView[[#This Row],[_Row]]))=0))</f>
        <v>0</v>
      </c>
      <c r="O7" s="127" t="n">
        <f aca="false">IF(IFERROR(INDEX(tsk_Name,GanttView[[#This Row],[_Row]])="",TRUE()),0,IF(AND(INDEX(tsk_IsLeaf,GanttView[[#This Row],[_Row]])=1,NOT(GanttView[[#This Row],[_IsMilestone]]),N(GanttView[[#This Row],[%]])&gt;0),GanttView[[#This Row],[Forecast Start]],0))</f>
        <v>46272</v>
      </c>
      <c r="P7" s="127" t="n">
        <f aca="false">IF(GanttView[[#This Row],[_DoneFrom]]=0,0,IF(GanttView[[#This Row],[%]]&gt;=1,GanttView[[#This Row],[Forecast Finish]],MAX(GanttView[[#This Row],[_DoneFrom]],GanttView[[#This Row],[Forecast Start]]+ROUND((GanttView[[#This Row],[Forecast Finish]]-GanttView[[#This Row],[Forecast Start]]+1)*GanttView[[#This Row],[%]],0)-1)))</f>
        <v>46275</v>
      </c>
      <c r="Q7" s="127" t="n">
        <f aca="false">IF(IFERROR(INDEX(tsk_Name,GanttView[[#This Row],[_Row]])="",TRUE()),0,IF(OR(INDEX(tsk_IsLeaf,GanttView[[#This Row],[_Row]])&lt;&gt;1,GanttView[[#This Row],[_IsMilestone]],N(GanttView[[#This Row],[%]])&gt;=1),0,IF(GanttView[[#This Row],[_DoneTo]]&gt;0,GanttView[[#This Row],[_DoneTo]]+1,GanttView[[#This Row],[Forecast Start]])))</f>
        <v>0</v>
      </c>
      <c r="R7" s="127" t="n">
        <f aca="false">IF(GanttView[[#This Row],[_RemFrom]]=0,0,GanttView[[#This Row],[Forecast Finish]])</f>
        <v>0</v>
      </c>
      <c r="S7" s="126" t="b">
        <f aca="false">IF(IFERROR(INDEX(tsk_Name,GanttView[[#This Row],[_Row]])="",TRUE()),FALSE(),N(INDEX(tsk_Variance,GanttView[[#This Row],[_Row]]))&gt;0)</f>
        <v>1</v>
      </c>
      <c r="T7" s="127" t="n">
        <f aca="false">IF(IFERROR(INDEX(tsk_Name,GanttView[[#This Row],[_Row]])="",TRUE()),0,N(INDEX(tsk_Deadline,GanttView[[#This Row],[_Row]])))</f>
        <v>0</v>
      </c>
      <c r="U7" s="126" t="b">
        <f aca="false">IF(IFERROR(INDEX(tsk_Name,GanttView[[#This Row],[_Row]])="",TRUE()),FALSE(),INDEX(tsk_Critical,GanttView[[#This Row],[_Row]])="Yes")</f>
        <v>0</v>
      </c>
    </row>
    <row r="8" customFormat="false" ht="15" hidden="false" customHeight="false" outlineLevel="0" collapsed="false">
      <c r="A8" s="120" t="n">
        <f aca="false">IF(IFERROR(INDEX(tsk_Name,GanttView[[#This Row],[_Row]])="",TRUE()),"",INDEX(tsk_ID,GanttView[[#This Row],[_Row]]))</f>
        <v>3</v>
      </c>
      <c r="B8" s="120" t="str">
        <f aca="false">IF(IFERROR(INDEX(tsk_Name,GanttView[[#This Row],[_Row]])="",TRUE()),"",INDEX(tsk_WBS,GanttView[[#This Row],[_Row]]))</f>
        <v>1.2</v>
      </c>
      <c r="C8" s="121" t="str">
        <f aca="false">IF(IFERROR(INDEX(tsk_Name,GanttView[[#This Row],[_Row]])="",TRUE()),"",REPT("    ",INDEX(tsk_Level,GanttView[[#This Row],[_Row]])-1)&amp;INDEX(tsk_Name,GanttView[[#This Row],[_Row]]))</f>
        <v>    Stakeholder kickoff workshop</v>
      </c>
      <c r="D8" s="120" t="n">
        <f aca="false">IF(IFERROR(INDEX(tsk_Name,GanttView[[#This Row],[_Row]])="",TRUE()),"",IF(INDEX(tsk_IsSummary,GanttView[[#This Row],[_Row]]),NETWORKDAYS.INTL(INDEX(tsk_FcStart,GanttView[[#This Row],[_Row]]),INDEX(tsk_FcFinish,GanttView[[#This Row],[_Row]]),WorkWeek,Holidays),N(INDEX(tsk_Duration,GanttView[[#This Row],[_Row]]))))</f>
        <v>2</v>
      </c>
      <c r="E8" s="122" t="n">
        <f aca="false">IF(IFERROR(INDEX(tsk_Name,GanttView[[#This Row],[_Row]])="",TRUE()),"",INDEX(tsk_PlanStart,GanttView[[#This Row],[_Row]]))</f>
        <v>46275</v>
      </c>
      <c r="F8" s="122" t="n">
        <f aca="false">IF(IFERROR(INDEX(tsk_Name,GanttView[[#This Row],[_Row]])="",TRUE()),"",INDEX(tsk_PlanFinish,GanttView[[#This Row],[_Row]]))</f>
        <v>46276</v>
      </c>
      <c r="G8" s="122" t="n">
        <f aca="false">IF(IFERROR(INDEX(tsk_Name,GanttView[[#This Row],[_Row]])="",TRUE()),"",INDEX(tsk_FcStart,GanttView[[#This Row],[_Row]]))</f>
        <v>46276</v>
      </c>
      <c r="H8" s="122" t="n">
        <f aca="false">IF(IFERROR(INDEX(tsk_Name,GanttView[[#This Row],[_Row]])="",TRUE()),"",INDEX(tsk_FcFinish,GanttView[[#This Row],[_Row]]))</f>
        <v>46279</v>
      </c>
      <c r="I8" s="123" t="n">
        <f aca="false">IF(IFERROR(INDEX(tsk_Name,GanttView[[#This Row],[_Row]])="",TRUE()),"",INDEX(tsk_Progress,GanttView[[#This Row],[_Row]]))</f>
        <v>1</v>
      </c>
      <c r="J8" s="121" t="str">
        <f aca="false">IF(IFERROR(INDEX(tsk_Name,GanttView[[#This Row],[_Row]])="",TRUE()),"",INDEX(tsk_Resource,GanttView[[#This Row],[_Row]])&amp;"")</f>
        <v>Morgan Patel</v>
      </c>
      <c r="K8" s="124" t="str">
        <f aca="false">IF(IFERROR(INDEX(tsk_Name,GanttView[[#This Row],[_Row]])="",TRUE()),"",INDEX(tsk_Status,GanttView[[#This Row],[_Row]]))</f>
        <v>Complete</v>
      </c>
      <c r="L8" s="125" t="n">
        <f aca="false">ROW()-ROW(GanttView[[#Headers],[ID]])</f>
        <v>3</v>
      </c>
      <c r="M8" s="126" t="b">
        <f aca="false">IF(IFERROR(INDEX(tsk_Name,GanttView[[#This Row],[_Row]])="",TRUE()),FALSE(),INDEX(tsk_IsSummary,GanttView[[#This Row],[_Row]]))</f>
        <v>0</v>
      </c>
      <c r="N8" s="126" t="b">
        <f aca="false">IF(IFERROR(INDEX(tsk_Name,GanttView[[#This Row],[_Row]])="",TRUE()),FALSE(),AND(INDEX(tsk_IsLeaf,GanttView[[#This Row],[_Row]])=1,N(INDEX(tsk_Duration,GanttView[[#This Row],[_Row]]))=0))</f>
        <v>0</v>
      </c>
      <c r="O8" s="127" t="n">
        <f aca="false">IF(IFERROR(INDEX(tsk_Name,GanttView[[#This Row],[_Row]])="",TRUE()),0,IF(AND(INDEX(tsk_IsLeaf,GanttView[[#This Row],[_Row]])=1,NOT(GanttView[[#This Row],[_IsMilestone]]),N(GanttView[[#This Row],[%]])&gt;0),GanttView[[#This Row],[Forecast Start]],0))</f>
        <v>46276</v>
      </c>
      <c r="P8" s="127" t="n">
        <f aca="false">IF(GanttView[[#This Row],[_DoneFrom]]=0,0,IF(GanttView[[#This Row],[%]]&gt;=1,GanttView[[#This Row],[Forecast Finish]],MAX(GanttView[[#This Row],[_DoneFrom]],GanttView[[#This Row],[Forecast Start]]+ROUND((GanttView[[#This Row],[Forecast Finish]]-GanttView[[#This Row],[Forecast Start]]+1)*GanttView[[#This Row],[%]],0)-1)))</f>
        <v>46279</v>
      </c>
      <c r="Q8" s="127" t="n">
        <f aca="false">IF(IFERROR(INDEX(tsk_Name,GanttView[[#This Row],[_Row]])="",TRUE()),0,IF(OR(INDEX(tsk_IsLeaf,GanttView[[#This Row],[_Row]])&lt;&gt;1,GanttView[[#This Row],[_IsMilestone]],N(GanttView[[#This Row],[%]])&gt;=1),0,IF(GanttView[[#This Row],[_DoneTo]]&gt;0,GanttView[[#This Row],[_DoneTo]]+1,GanttView[[#This Row],[Forecast Start]])))</f>
        <v>0</v>
      </c>
      <c r="R8" s="127" t="n">
        <f aca="false">IF(GanttView[[#This Row],[_RemFrom]]=0,0,GanttView[[#This Row],[Forecast Finish]])</f>
        <v>0</v>
      </c>
      <c r="S8" s="126" t="b">
        <f aca="false">IF(IFERROR(INDEX(tsk_Name,GanttView[[#This Row],[_Row]])="",TRUE()),FALSE(),N(INDEX(tsk_Variance,GanttView[[#This Row],[_Row]]))&gt;0)</f>
        <v>1</v>
      </c>
      <c r="T8" s="127" t="n">
        <f aca="false">IF(IFERROR(INDEX(tsk_Name,GanttView[[#This Row],[_Row]])="",TRUE()),0,N(INDEX(tsk_Deadline,GanttView[[#This Row],[_Row]])))</f>
        <v>0</v>
      </c>
      <c r="U8" s="126" t="b">
        <f aca="false">IF(IFERROR(INDEX(tsk_Name,GanttView[[#This Row],[_Row]])="",TRUE()),FALSE(),INDEX(tsk_Critical,GanttView[[#This Row],[_Row]])="Yes")</f>
        <v>0</v>
      </c>
    </row>
    <row r="9" customFormat="false" ht="15" hidden="false" customHeight="false" outlineLevel="0" collapsed="false">
      <c r="A9" s="120" t="n">
        <f aca="false">IF(IFERROR(INDEX(tsk_Name,GanttView[[#This Row],[_Row]])="",TRUE()),"",INDEX(tsk_ID,GanttView[[#This Row],[_Row]]))</f>
        <v>4</v>
      </c>
      <c r="B9" s="120" t="str">
        <f aca="false">IF(IFERROR(INDEX(tsk_Name,GanttView[[#This Row],[_Row]])="",TRUE()),"",INDEX(tsk_WBS,GanttView[[#This Row],[_Row]]))</f>
        <v>1.3</v>
      </c>
      <c r="C9" s="121" t="str">
        <f aca="false">IF(IFERROR(INDEX(tsk_Name,GanttView[[#This Row],[_Row]])="",TRUE()),"",REPT("    ",INDEX(tsk_Level,GanttView[[#This Row],[_Row]])-1)&amp;INDEX(tsk_Name,GanttView[[#This Row],[_Row]]))</f>
        <v>    Kickoff complete</v>
      </c>
      <c r="D9" s="120" t="n">
        <f aca="false">IF(IFERROR(INDEX(tsk_Name,GanttView[[#This Row],[_Row]])="",TRUE()),"",IF(INDEX(tsk_IsSummary,GanttView[[#This Row],[_Row]]),NETWORKDAYS.INTL(INDEX(tsk_FcStart,GanttView[[#This Row],[_Row]]),INDEX(tsk_FcFinish,GanttView[[#This Row],[_Row]]),WorkWeek,Holidays),N(INDEX(tsk_Duration,GanttView[[#This Row],[_Row]]))))</f>
        <v>0</v>
      </c>
      <c r="E9" s="122" t="n">
        <f aca="false">IF(IFERROR(INDEX(tsk_Name,GanttView[[#This Row],[_Row]])="",TRUE()),"",INDEX(tsk_PlanStart,GanttView[[#This Row],[_Row]]))</f>
        <v>46276</v>
      </c>
      <c r="F9" s="122" t="n">
        <f aca="false">IF(IFERROR(INDEX(tsk_Name,GanttView[[#This Row],[_Row]])="",TRUE()),"",INDEX(tsk_PlanFinish,GanttView[[#This Row],[_Row]]))</f>
        <v>46276</v>
      </c>
      <c r="G9" s="122" t="n">
        <f aca="false">IF(IFERROR(INDEX(tsk_Name,GanttView[[#This Row],[_Row]])="",TRUE()),"",INDEX(tsk_FcStart,GanttView[[#This Row],[_Row]]))</f>
        <v>46279</v>
      </c>
      <c r="H9" s="122" t="n">
        <f aca="false">IF(IFERROR(INDEX(tsk_Name,GanttView[[#This Row],[_Row]])="",TRUE()),"",INDEX(tsk_FcFinish,GanttView[[#This Row],[_Row]]))</f>
        <v>46279</v>
      </c>
      <c r="I9" s="123" t="n">
        <f aca="false">IF(IFERROR(INDEX(tsk_Name,GanttView[[#This Row],[_Row]])="",TRUE()),"",INDEX(tsk_Progress,GanttView[[#This Row],[_Row]]))</f>
        <v>1</v>
      </c>
      <c r="J9" s="121" t="str">
        <f aca="false">IF(IFERROR(INDEX(tsk_Name,GanttView[[#This Row],[_Row]])="",TRUE()),"",INDEX(tsk_Resource,GanttView[[#This Row],[_Row]])&amp;"")</f>
        <v/>
      </c>
      <c r="K9" s="124" t="str">
        <f aca="false">IF(IFERROR(INDEX(tsk_Name,GanttView[[#This Row],[_Row]])="",TRUE()),"",INDEX(tsk_Status,GanttView[[#This Row],[_Row]]))</f>
        <v>Complete</v>
      </c>
      <c r="L9" s="125" t="n">
        <f aca="false">ROW()-ROW(GanttView[[#Headers],[ID]])</f>
        <v>4</v>
      </c>
      <c r="M9" s="126" t="b">
        <f aca="false">IF(IFERROR(INDEX(tsk_Name,GanttView[[#This Row],[_Row]])="",TRUE()),FALSE(),INDEX(tsk_IsSummary,GanttView[[#This Row],[_Row]]))</f>
        <v>0</v>
      </c>
      <c r="N9" s="126" t="b">
        <f aca="false">IF(IFERROR(INDEX(tsk_Name,GanttView[[#This Row],[_Row]])="",TRUE()),FALSE(),AND(INDEX(tsk_IsLeaf,GanttView[[#This Row],[_Row]])=1,N(INDEX(tsk_Duration,GanttView[[#This Row],[_Row]]))=0))</f>
        <v>1</v>
      </c>
      <c r="O9" s="127" t="n">
        <f aca="false">IF(IFERROR(INDEX(tsk_Name,GanttView[[#This Row],[_Row]])="",TRUE()),0,IF(AND(INDEX(tsk_IsLeaf,GanttView[[#This Row],[_Row]])=1,NOT(GanttView[[#This Row],[_IsMilestone]]),N(GanttView[[#This Row],[%]])&gt;0),GanttView[[#This Row],[Forecast Start]],0))</f>
        <v>0</v>
      </c>
      <c r="P9" s="127" t="n">
        <f aca="false">IF(GanttView[[#This Row],[_DoneFrom]]=0,0,IF(GanttView[[#This Row],[%]]&gt;=1,GanttView[[#This Row],[Forecast Finish]],MAX(GanttView[[#This Row],[_DoneFrom]],GanttView[[#This Row],[Forecast Start]]+ROUND((GanttView[[#This Row],[Forecast Finish]]-GanttView[[#This Row],[Forecast Start]]+1)*GanttView[[#This Row],[%]],0)-1)))</f>
        <v>0</v>
      </c>
      <c r="Q9" s="127" t="n">
        <f aca="false">IF(IFERROR(INDEX(tsk_Name,GanttView[[#This Row],[_Row]])="",TRUE()),0,IF(OR(INDEX(tsk_IsLeaf,GanttView[[#This Row],[_Row]])&lt;&gt;1,GanttView[[#This Row],[_IsMilestone]],N(GanttView[[#This Row],[%]])&gt;=1),0,IF(GanttView[[#This Row],[_DoneTo]]&gt;0,GanttView[[#This Row],[_DoneTo]]+1,GanttView[[#This Row],[Forecast Start]])))</f>
        <v>0</v>
      </c>
      <c r="R9" s="127" t="n">
        <f aca="false">IF(GanttView[[#This Row],[_RemFrom]]=0,0,GanttView[[#This Row],[Forecast Finish]])</f>
        <v>0</v>
      </c>
      <c r="S9" s="126" t="b">
        <f aca="false">IF(IFERROR(INDEX(tsk_Name,GanttView[[#This Row],[_Row]])="",TRUE()),FALSE(),N(INDEX(tsk_Variance,GanttView[[#This Row],[_Row]]))&gt;0)</f>
        <v>1</v>
      </c>
      <c r="T9" s="127" t="n">
        <f aca="false">IF(IFERROR(INDEX(tsk_Name,GanttView[[#This Row],[_Row]])="",TRUE()),0,N(INDEX(tsk_Deadline,GanttView[[#This Row],[_Row]])))</f>
        <v>0</v>
      </c>
      <c r="U9" s="126" t="b">
        <f aca="false">IF(IFERROR(INDEX(tsk_Name,GanttView[[#This Row],[_Row]])="",TRUE()),FALSE(),INDEX(tsk_Critical,GanttView[[#This Row],[_Row]])="Yes")</f>
        <v>0</v>
      </c>
    </row>
    <row r="10" customFormat="false" ht="15" hidden="false" customHeight="false" outlineLevel="0" collapsed="false">
      <c r="A10" s="120" t="n">
        <f aca="false">IF(IFERROR(INDEX(tsk_Name,GanttView[[#This Row],[_Row]])="",TRUE()),"",INDEX(tsk_ID,GanttView[[#This Row],[_Row]]))</f>
        <v>5</v>
      </c>
      <c r="B10" s="120" t="str">
        <f aca="false">IF(IFERROR(INDEX(tsk_Name,GanttView[[#This Row],[_Row]])="",TRUE()),"",INDEX(tsk_WBS,GanttView[[#This Row],[_Row]]))</f>
        <v>2</v>
      </c>
      <c r="C10" s="121" t="str">
        <f aca="false">IF(IFERROR(INDEX(tsk_Name,GanttView[[#This Row],[_Row]])="",TRUE()),"",REPT("    ",INDEX(tsk_Level,GanttView[[#This Row],[_Row]])-1)&amp;INDEX(tsk_Name,GanttView[[#This Row],[_Row]]))</f>
        <v>Requirements &amp; Design</v>
      </c>
      <c r="D10" s="120" t="n">
        <f aca="false">IF(IFERROR(INDEX(tsk_Name,GanttView[[#This Row],[_Row]])="",TRUE()),"",IF(INDEX(tsk_IsSummary,GanttView[[#This Row],[_Row]]),NETWORKDAYS.INTL(INDEX(tsk_FcStart,GanttView[[#This Row],[_Row]]),INDEX(tsk_FcFinish,GanttView[[#This Row],[_Row]]),WorkWeek,Holidays),N(INDEX(tsk_Duration,GanttView[[#This Row],[_Row]]))))</f>
        <v>16</v>
      </c>
      <c r="E10" s="122" t="n">
        <f aca="false">IF(IFERROR(INDEX(tsk_Name,GanttView[[#This Row],[_Row]])="",TRUE()),"",INDEX(tsk_PlanStart,GanttView[[#This Row],[_Row]]))</f>
        <v>46279</v>
      </c>
      <c r="F10" s="122" t="n">
        <f aca="false">IF(IFERROR(INDEX(tsk_Name,GanttView[[#This Row],[_Row]])="",TRUE()),"",INDEX(tsk_PlanFinish,GanttView[[#This Row],[_Row]]))</f>
        <v>46296</v>
      </c>
      <c r="G10" s="122" t="n">
        <f aca="false">IF(IFERROR(INDEX(tsk_Name,GanttView[[#This Row],[_Row]])="",TRUE()),"",INDEX(tsk_FcStart,GanttView[[#This Row],[_Row]]))</f>
        <v>46280</v>
      </c>
      <c r="H10" s="122" t="n">
        <f aca="false">IF(IFERROR(INDEX(tsk_Name,GanttView[[#This Row],[_Row]])="",TRUE()),"",INDEX(tsk_FcFinish,GanttView[[#This Row],[_Row]]))</f>
        <v>46301</v>
      </c>
      <c r="I10" s="123" t="n">
        <f aca="false">IF(IFERROR(INDEX(tsk_Name,GanttView[[#This Row],[_Row]])="",TRUE()),"",INDEX(tsk_Progress,GanttView[[#This Row],[_Row]]))</f>
        <v>1</v>
      </c>
      <c r="J10" s="121" t="str">
        <f aca="false">IF(IFERROR(INDEX(tsk_Name,GanttView[[#This Row],[_Row]])="",TRUE()),"",INDEX(tsk_Resource,GanttView[[#This Row],[_Row]])&amp;"")</f>
        <v/>
      </c>
      <c r="K10" s="124" t="str">
        <f aca="false">IF(IFERROR(INDEX(tsk_Name,GanttView[[#This Row],[_Row]])="",TRUE()),"",INDEX(tsk_Status,GanttView[[#This Row],[_Row]]))</f>
        <v>Complete</v>
      </c>
      <c r="L10" s="125" t="n">
        <f aca="false">ROW()-ROW(GanttView[[#Headers],[ID]])</f>
        <v>5</v>
      </c>
      <c r="M10" s="126" t="b">
        <f aca="false">IF(IFERROR(INDEX(tsk_Name,GanttView[[#This Row],[_Row]])="",TRUE()),FALSE(),INDEX(tsk_IsSummary,GanttView[[#This Row],[_Row]]))</f>
        <v>1</v>
      </c>
      <c r="N10" s="126" t="b">
        <f aca="false">IF(IFERROR(INDEX(tsk_Name,GanttView[[#This Row],[_Row]])="",TRUE()),FALSE(),AND(INDEX(tsk_IsLeaf,GanttView[[#This Row],[_Row]])=1,N(INDEX(tsk_Duration,GanttView[[#This Row],[_Row]]))=0))</f>
        <v>0</v>
      </c>
      <c r="O10" s="127" t="n">
        <f aca="false">IF(IFERROR(INDEX(tsk_Name,GanttView[[#This Row],[_Row]])="",TRUE()),0,IF(AND(INDEX(tsk_IsLeaf,GanttView[[#This Row],[_Row]])=1,NOT(GanttView[[#This Row],[_IsMilestone]]),N(GanttView[[#This Row],[%]])&gt;0),GanttView[[#This Row],[Forecast Start]],0))</f>
        <v>0</v>
      </c>
      <c r="P10" s="127" t="n">
        <f aca="false">IF(GanttView[[#This Row],[_DoneFrom]]=0,0,IF(GanttView[[#This Row],[%]]&gt;=1,GanttView[[#This Row],[Forecast Finish]],MAX(GanttView[[#This Row],[_DoneFrom]],GanttView[[#This Row],[Forecast Start]]+ROUND((GanttView[[#This Row],[Forecast Finish]]-GanttView[[#This Row],[Forecast Start]]+1)*GanttView[[#This Row],[%]],0)-1)))</f>
        <v>0</v>
      </c>
      <c r="Q10" s="127" t="n">
        <f aca="false">IF(IFERROR(INDEX(tsk_Name,GanttView[[#This Row],[_Row]])="",TRUE()),0,IF(OR(INDEX(tsk_IsLeaf,GanttView[[#This Row],[_Row]])&lt;&gt;1,GanttView[[#This Row],[_IsMilestone]],N(GanttView[[#This Row],[%]])&gt;=1),0,IF(GanttView[[#This Row],[_DoneTo]]&gt;0,GanttView[[#This Row],[_DoneTo]]+1,GanttView[[#This Row],[Forecast Start]])))</f>
        <v>0</v>
      </c>
      <c r="R10" s="127" t="n">
        <f aca="false">IF(GanttView[[#This Row],[_RemFrom]]=0,0,GanttView[[#This Row],[Forecast Finish]])</f>
        <v>0</v>
      </c>
      <c r="S10" s="126" t="b">
        <f aca="false">IF(IFERROR(INDEX(tsk_Name,GanttView[[#This Row],[_Row]])="",TRUE()),FALSE(),N(INDEX(tsk_Variance,GanttView[[#This Row],[_Row]]))&gt;0)</f>
        <v>1</v>
      </c>
      <c r="T10" s="127" t="n">
        <f aca="false">IF(IFERROR(INDEX(tsk_Name,GanttView[[#This Row],[_Row]])="",TRUE()),0,N(INDEX(tsk_Deadline,GanttView[[#This Row],[_Row]])))</f>
        <v>0</v>
      </c>
      <c r="U10" s="126" t="b">
        <f aca="false">IF(IFERROR(INDEX(tsk_Name,GanttView[[#This Row],[_Row]])="",TRUE()),FALSE(),INDEX(tsk_Critical,GanttView[[#This Row],[_Row]])="Yes")</f>
        <v>0</v>
      </c>
    </row>
    <row r="11" customFormat="false" ht="15" hidden="false" customHeight="false" outlineLevel="0" collapsed="false">
      <c r="A11" s="120" t="n">
        <f aca="false">IF(IFERROR(INDEX(tsk_Name,GanttView[[#This Row],[_Row]])="",TRUE()),"",INDEX(tsk_ID,GanttView[[#This Row],[_Row]]))</f>
        <v>6</v>
      </c>
      <c r="B11" s="120" t="str">
        <f aca="false">IF(IFERROR(INDEX(tsk_Name,GanttView[[#This Row],[_Row]])="",TRUE()),"",INDEX(tsk_WBS,GanttView[[#This Row],[_Row]]))</f>
        <v>2.1</v>
      </c>
      <c r="C11" s="121" t="str">
        <f aca="false">IF(IFERROR(INDEX(tsk_Name,GanttView[[#This Row],[_Row]])="",TRUE()),"",REPT("    ",INDEX(tsk_Level,GanttView[[#This Row],[_Row]])-1)&amp;INDEX(tsk_Name,GanttView[[#This Row],[_Row]]))</f>
        <v>    Requirements gathering</v>
      </c>
      <c r="D11" s="120" t="n">
        <f aca="false">IF(IFERROR(INDEX(tsk_Name,GanttView[[#This Row],[_Row]])="",TRUE()),"",IF(INDEX(tsk_IsSummary,GanttView[[#This Row],[_Row]]),NETWORKDAYS.INTL(INDEX(tsk_FcStart,GanttView[[#This Row],[_Row]]),INDEX(tsk_FcFinish,GanttView[[#This Row],[_Row]]),WorkWeek,Holidays),N(INDEX(tsk_Duration,GanttView[[#This Row],[_Row]]))))</f>
        <v>8</v>
      </c>
      <c r="E11" s="122" t="n">
        <f aca="false">IF(IFERROR(INDEX(tsk_Name,GanttView[[#This Row],[_Row]])="",TRUE()),"",INDEX(tsk_PlanStart,GanttView[[#This Row],[_Row]]))</f>
        <v>46279</v>
      </c>
      <c r="F11" s="122" t="n">
        <f aca="false">IF(IFERROR(INDEX(tsk_Name,GanttView[[#This Row],[_Row]])="",TRUE()),"",INDEX(tsk_PlanFinish,GanttView[[#This Row],[_Row]]))</f>
        <v>46288</v>
      </c>
      <c r="G11" s="122" t="n">
        <f aca="false">IF(IFERROR(INDEX(tsk_Name,GanttView[[#This Row],[_Row]])="",TRUE()),"",INDEX(tsk_FcStart,GanttView[[#This Row],[_Row]]))</f>
        <v>46280</v>
      </c>
      <c r="H11" s="122" t="n">
        <f aca="false">IF(IFERROR(INDEX(tsk_Name,GanttView[[#This Row],[_Row]])="",TRUE()),"",INDEX(tsk_FcFinish,GanttView[[#This Row],[_Row]]))</f>
        <v>46290</v>
      </c>
      <c r="I11" s="123" t="n">
        <f aca="false">IF(IFERROR(INDEX(tsk_Name,GanttView[[#This Row],[_Row]])="",TRUE()),"",INDEX(tsk_Progress,GanttView[[#This Row],[_Row]]))</f>
        <v>1</v>
      </c>
      <c r="J11" s="121" t="str">
        <f aca="false">IF(IFERROR(INDEX(tsk_Name,GanttView[[#This Row],[_Row]])="",TRUE()),"",INDEX(tsk_Resource,GanttView[[#This Row],[_Row]])&amp;"")</f>
        <v>Morgan Patel</v>
      </c>
      <c r="K11" s="124" t="str">
        <f aca="false">IF(IFERROR(INDEX(tsk_Name,GanttView[[#This Row],[_Row]])="",TRUE()),"",INDEX(tsk_Status,GanttView[[#This Row],[_Row]]))</f>
        <v>Complete</v>
      </c>
      <c r="L11" s="125" t="n">
        <f aca="false">ROW()-ROW(GanttView[[#Headers],[ID]])</f>
        <v>6</v>
      </c>
      <c r="M11" s="126" t="b">
        <f aca="false">IF(IFERROR(INDEX(tsk_Name,GanttView[[#This Row],[_Row]])="",TRUE()),FALSE(),INDEX(tsk_IsSummary,GanttView[[#This Row],[_Row]]))</f>
        <v>0</v>
      </c>
      <c r="N11" s="126" t="b">
        <f aca="false">IF(IFERROR(INDEX(tsk_Name,GanttView[[#This Row],[_Row]])="",TRUE()),FALSE(),AND(INDEX(tsk_IsLeaf,GanttView[[#This Row],[_Row]])=1,N(INDEX(tsk_Duration,GanttView[[#This Row],[_Row]]))=0))</f>
        <v>0</v>
      </c>
      <c r="O11" s="127" t="n">
        <f aca="false">IF(IFERROR(INDEX(tsk_Name,GanttView[[#This Row],[_Row]])="",TRUE()),0,IF(AND(INDEX(tsk_IsLeaf,GanttView[[#This Row],[_Row]])=1,NOT(GanttView[[#This Row],[_IsMilestone]]),N(GanttView[[#This Row],[%]])&gt;0),GanttView[[#This Row],[Forecast Start]],0))</f>
        <v>46280</v>
      </c>
      <c r="P11" s="127" t="n">
        <f aca="false">IF(GanttView[[#This Row],[_DoneFrom]]=0,0,IF(GanttView[[#This Row],[%]]&gt;=1,GanttView[[#This Row],[Forecast Finish]],MAX(GanttView[[#This Row],[_DoneFrom]],GanttView[[#This Row],[Forecast Start]]+ROUND((GanttView[[#This Row],[Forecast Finish]]-GanttView[[#This Row],[Forecast Start]]+1)*GanttView[[#This Row],[%]],0)-1)))</f>
        <v>46290</v>
      </c>
      <c r="Q11" s="127" t="n">
        <f aca="false">IF(IFERROR(INDEX(tsk_Name,GanttView[[#This Row],[_Row]])="",TRUE()),0,IF(OR(INDEX(tsk_IsLeaf,GanttView[[#This Row],[_Row]])&lt;&gt;1,GanttView[[#This Row],[_IsMilestone]],N(GanttView[[#This Row],[%]])&gt;=1),0,IF(GanttView[[#This Row],[_DoneTo]]&gt;0,GanttView[[#This Row],[_DoneTo]]+1,GanttView[[#This Row],[Forecast Start]])))</f>
        <v>0</v>
      </c>
      <c r="R11" s="127" t="n">
        <f aca="false">IF(GanttView[[#This Row],[_RemFrom]]=0,0,GanttView[[#This Row],[Forecast Finish]])</f>
        <v>0</v>
      </c>
      <c r="S11" s="126" t="b">
        <f aca="false">IF(IFERROR(INDEX(tsk_Name,GanttView[[#This Row],[_Row]])="",TRUE()),FALSE(),N(INDEX(tsk_Variance,GanttView[[#This Row],[_Row]]))&gt;0)</f>
        <v>1</v>
      </c>
      <c r="T11" s="127" t="n">
        <f aca="false">IF(IFERROR(INDEX(tsk_Name,GanttView[[#This Row],[_Row]])="",TRUE()),0,N(INDEX(tsk_Deadline,GanttView[[#This Row],[_Row]])))</f>
        <v>0</v>
      </c>
      <c r="U11" s="126" t="b">
        <f aca="false">IF(IFERROR(INDEX(tsk_Name,GanttView[[#This Row],[_Row]])="",TRUE()),FALSE(),INDEX(tsk_Critical,GanttView[[#This Row],[_Row]])="Yes")</f>
        <v>0</v>
      </c>
    </row>
    <row r="12" customFormat="false" ht="15" hidden="false" customHeight="false" outlineLevel="0" collapsed="false">
      <c r="A12" s="120" t="n">
        <f aca="false">IF(IFERROR(INDEX(tsk_Name,GanttView[[#This Row],[_Row]])="",TRUE()),"",INDEX(tsk_ID,GanttView[[#This Row],[_Row]]))</f>
        <v>7</v>
      </c>
      <c r="B12" s="120" t="str">
        <f aca="false">IF(IFERROR(INDEX(tsk_Name,GanttView[[#This Row],[_Row]])="",TRUE()),"",INDEX(tsk_WBS,GanttView[[#This Row],[_Row]]))</f>
        <v>2.2</v>
      </c>
      <c r="C12" s="121" t="str">
        <f aca="false">IF(IFERROR(INDEX(tsk_Name,GanttView[[#This Row],[_Row]])="",TRUE()),"",REPT("    ",INDEX(tsk_Level,GanttView[[#This Row],[_Row]])-1)&amp;INDEX(tsk_Name,GanttView[[#This Row],[_Row]]))</f>
        <v>    Solution architecture</v>
      </c>
      <c r="D12" s="120" t="n">
        <f aca="false">IF(IFERROR(INDEX(tsk_Name,GanttView[[#This Row],[_Row]])="",TRUE()),"",IF(INDEX(tsk_IsSummary,GanttView[[#This Row],[_Row]]),NETWORKDAYS.INTL(INDEX(tsk_FcStart,GanttView[[#This Row],[_Row]]),INDEX(tsk_FcFinish,GanttView[[#This Row],[_Row]]),WorkWeek,Holidays),N(INDEX(tsk_Duration,GanttView[[#This Row],[_Row]]))))</f>
        <v>5</v>
      </c>
      <c r="E12" s="122" t="n">
        <f aca="false">IF(IFERROR(INDEX(tsk_Name,GanttView[[#This Row],[_Row]])="",TRUE()),"",INDEX(tsk_PlanStart,GanttView[[#This Row],[_Row]]))</f>
        <v>46282</v>
      </c>
      <c r="F12" s="122" t="n">
        <f aca="false">IF(IFERROR(INDEX(tsk_Name,GanttView[[#This Row],[_Row]])="",TRUE()),"",INDEX(tsk_PlanFinish,GanttView[[#This Row],[_Row]]))</f>
        <v>46288</v>
      </c>
      <c r="G12" s="122" t="n">
        <f aca="false">IF(IFERROR(INDEX(tsk_Name,GanttView[[#This Row],[_Row]])="",TRUE()),"",INDEX(tsk_FcStart,GanttView[[#This Row],[_Row]]))</f>
        <v>46283</v>
      </c>
      <c r="H12" s="122" t="n">
        <f aca="false">IF(IFERROR(INDEX(tsk_Name,GanttView[[#This Row],[_Row]])="",TRUE()),"",INDEX(tsk_FcFinish,GanttView[[#This Row],[_Row]]))</f>
        <v>46290</v>
      </c>
      <c r="I12" s="123" t="n">
        <f aca="false">IF(IFERROR(INDEX(tsk_Name,GanttView[[#This Row],[_Row]])="",TRUE()),"",INDEX(tsk_Progress,GanttView[[#This Row],[_Row]]))</f>
        <v>1</v>
      </c>
      <c r="J12" s="121" t="str">
        <f aca="false">IF(IFERROR(INDEX(tsk_Name,GanttView[[#This Row],[_Row]])="",TRUE()),"",INDEX(tsk_Resource,GanttView[[#This Row],[_Row]])&amp;"")</f>
        <v>Alex Chen</v>
      </c>
      <c r="K12" s="124" t="str">
        <f aca="false">IF(IFERROR(INDEX(tsk_Name,GanttView[[#This Row],[_Row]])="",TRUE()),"",INDEX(tsk_Status,GanttView[[#This Row],[_Row]]))</f>
        <v>Complete</v>
      </c>
      <c r="L12" s="125" t="n">
        <f aca="false">ROW()-ROW(GanttView[[#Headers],[ID]])</f>
        <v>7</v>
      </c>
      <c r="M12" s="126" t="b">
        <f aca="false">IF(IFERROR(INDEX(tsk_Name,GanttView[[#This Row],[_Row]])="",TRUE()),FALSE(),INDEX(tsk_IsSummary,GanttView[[#This Row],[_Row]]))</f>
        <v>0</v>
      </c>
      <c r="N12" s="126" t="b">
        <f aca="false">IF(IFERROR(INDEX(tsk_Name,GanttView[[#This Row],[_Row]])="",TRUE()),FALSE(),AND(INDEX(tsk_IsLeaf,GanttView[[#This Row],[_Row]])=1,N(INDEX(tsk_Duration,GanttView[[#This Row],[_Row]]))=0))</f>
        <v>0</v>
      </c>
      <c r="O12" s="127" t="n">
        <f aca="false">IF(IFERROR(INDEX(tsk_Name,GanttView[[#This Row],[_Row]])="",TRUE()),0,IF(AND(INDEX(tsk_IsLeaf,GanttView[[#This Row],[_Row]])=1,NOT(GanttView[[#This Row],[_IsMilestone]]),N(GanttView[[#This Row],[%]])&gt;0),GanttView[[#This Row],[Forecast Start]],0))</f>
        <v>46283</v>
      </c>
      <c r="P12" s="127" t="n">
        <f aca="false">IF(GanttView[[#This Row],[_DoneFrom]]=0,0,IF(GanttView[[#This Row],[%]]&gt;=1,GanttView[[#This Row],[Forecast Finish]],MAX(GanttView[[#This Row],[_DoneFrom]],GanttView[[#This Row],[Forecast Start]]+ROUND((GanttView[[#This Row],[Forecast Finish]]-GanttView[[#This Row],[Forecast Start]]+1)*GanttView[[#This Row],[%]],0)-1)))</f>
        <v>46290</v>
      </c>
      <c r="Q12" s="127" t="n">
        <f aca="false">IF(IFERROR(INDEX(tsk_Name,GanttView[[#This Row],[_Row]])="",TRUE()),0,IF(OR(INDEX(tsk_IsLeaf,GanttView[[#This Row],[_Row]])&lt;&gt;1,GanttView[[#This Row],[_IsMilestone]],N(GanttView[[#This Row],[%]])&gt;=1),0,IF(GanttView[[#This Row],[_DoneTo]]&gt;0,GanttView[[#This Row],[_DoneTo]]+1,GanttView[[#This Row],[Forecast Start]])))</f>
        <v>0</v>
      </c>
      <c r="R12" s="127" t="n">
        <f aca="false">IF(GanttView[[#This Row],[_RemFrom]]=0,0,GanttView[[#This Row],[Forecast Finish]])</f>
        <v>0</v>
      </c>
      <c r="S12" s="126" t="b">
        <f aca="false">IF(IFERROR(INDEX(tsk_Name,GanttView[[#This Row],[_Row]])="",TRUE()),FALSE(),N(INDEX(tsk_Variance,GanttView[[#This Row],[_Row]]))&gt;0)</f>
        <v>1</v>
      </c>
      <c r="T12" s="127" t="n">
        <f aca="false">IF(IFERROR(INDEX(tsk_Name,GanttView[[#This Row],[_Row]])="",TRUE()),0,N(INDEX(tsk_Deadline,GanttView[[#This Row],[_Row]])))</f>
        <v>0</v>
      </c>
      <c r="U12" s="126" t="b">
        <f aca="false">IF(IFERROR(INDEX(tsk_Name,GanttView[[#This Row],[_Row]])="",TRUE()),FALSE(),INDEX(tsk_Critical,GanttView[[#This Row],[_Row]])="Yes")</f>
        <v>0</v>
      </c>
    </row>
    <row r="13" customFormat="false" ht="15" hidden="false" customHeight="false" outlineLevel="0" collapsed="false">
      <c r="A13" s="120" t="n">
        <f aca="false">IF(IFERROR(INDEX(tsk_Name,GanttView[[#This Row],[_Row]])="",TRUE()),"",INDEX(tsk_ID,GanttView[[#This Row],[_Row]]))</f>
        <v>8</v>
      </c>
      <c r="B13" s="120" t="str">
        <f aca="false">IF(IFERROR(INDEX(tsk_Name,GanttView[[#This Row],[_Row]])="",TRUE()),"",INDEX(tsk_WBS,GanttView[[#This Row],[_Row]]))</f>
        <v>2.3</v>
      </c>
      <c r="C13" s="121" t="str">
        <f aca="false">IF(IFERROR(INDEX(tsk_Name,GanttView[[#This Row],[_Row]])="",TRUE()),"",REPT("    ",INDEX(tsk_Level,GanttView[[#This Row],[_Row]])-1)&amp;INDEX(tsk_Name,GanttView[[#This Row],[_Row]]))</f>
        <v>    UX wireframes &amp; prototype</v>
      </c>
      <c r="D13" s="120" t="n">
        <f aca="false">IF(IFERROR(INDEX(tsk_Name,GanttView[[#This Row],[_Row]])="",TRUE()),"",IF(INDEX(tsk_IsSummary,GanttView[[#This Row],[_Row]]),NETWORKDAYS.INTL(INDEX(tsk_FcStart,GanttView[[#This Row],[_Row]]),INDEX(tsk_FcFinish,GanttView[[#This Row],[_Row]]),WorkWeek,Holidays),N(INDEX(tsk_Duration,GanttView[[#This Row],[_Row]]))))</f>
        <v>6</v>
      </c>
      <c r="E13" s="122" t="n">
        <f aca="false">IF(IFERROR(INDEX(tsk_Name,GanttView[[#This Row],[_Row]])="",TRUE()),"",INDEX(tsk_PlanStart,GanttView[[#This Row],[_Row]]))</f>
        <v>46289</v>
      </c>
      <c r="F13" s="122" t="n">
        <f aca="false">IF(IFERROR(INDEX(tsk_Name,GanttView[[#This Row],[_Row]])="",TRUE()),"",INDEX(tsk_PlanFinish,GanttView[[#This Row],[_Row]]))</f>
        <v>46296</v>
      </c>
      <c r="G13" s="122" t="n">
        <f aca="false">IF(IFERROR(INDEX(tsk_Name,GanttView[[#This Row],[_Row]])="",TRUE()),"",INDEX(tsk_FcStart,GanttView[[#This Row],[_Row]]))</f>
        <v>46293</v>
      </c>
      <c r="H13" s="122" t="n">
        <f aca="false">IF(IFERROR(INDEX(tsk_Name,GanttView[[#This Row],[_Row]])="",TRUE()),"",INDEX(tsk_FcFinish,GanttView[[#This Row],[_Row]]))</f>
        <v>46301</v>
      </c>
      <c r="I13" s="123" t="n">
        <f aca="false">IF(IFERROR(INDEX(tsk_Name,GanttView[[#This Row],[_Row]])="",TRUE()),"",INDEX(tsk_Progress,GanttView[[#This Row],[_Row]]))</f>
        <v>1</v>
      </c>
      <c r="J13" s="121" t="str">
        <f aca="false">IF(IFERROR(INDEX(tsk_Name,GanttView[[#This Row],[_Row]])="",TRUE()),"",INDEX(tsk_Resource,GanttView[[#This Row],[_Row]])&amp;"")</f>
        <v>Casey Kim</v>
      </c>
      <c r="K13" s="124" t="str">
        <f aca="false">IF(IFERROR(INDEX(tsk_Name,GanttView[[#This Row],[_Row]])="",TRUE()),"",INDEX(tsk_Status,GanttView[[#This Row],[_Row]]))</f>
        <v>Complete</v>
      </c>
      <c r="L13" s="125" t="n">
        <f aca="false">ROW()-ROW(GanttView[[#Headers],[ID]])</f>
        <v>8</v>
      </c>
      <c r="M13" s="126" t="b">
        <f aca="false">IF(IFERROR(INDEX(tsk_Name,GanttView[[#This Row],[_Row]])="",TRUE()),FALSE(),INDEX(tsk_IsSummary,GanttView[[#This Row],[_Row]]))</f>
        <v>0</v>
      </c>
      <c r="N13" s="126" t="b">
        <f aca="false">IF(IFERROR(INDEX(tsk_Name,GanttView[[#This Row],[_Row]])="",TRUE()),FALSE(),AND(INDEX(tsk_IsLeaf,GanttView[[#This Row],[_Row]])=1,N(INDEX(tsk_Duration,GanttView[[#This Row],[_Row]]))=0))</f>
        <v>0</v>
      </c>
      <c r="O13" s="127" t="n">
        <f aca="false">IF(IFERROR(INDEX(tsk_Name,GanttView[[#This Row],[_Row]])="",TRUE()),0,IF(AND(INDEX(tsk_IsLeaf,GanttView[[#This Row],[_Row]])=1,NOT(GanttView[[#This Row],[_IsMilestone]]),N(GanttView[[#This Row],[%]])&gt;0),GanttView[[#This Row],[Forecast Start]],0))</f>
        <v>46293</v>
      </c>
      <c r="P13" s="127" t="n">
        <f aca="false">IF(GanttView[[#This Row],[_DoneFrom]]=0,0,IF(GanttView[[#This Row],[%]]&gt;=1,GanttView[[#This Row],[Forecast Finish]],MAX(GanttView[[#This Row],[_DoneFrom]],GanttView[[#This Row],[Forecast Start]]+ROUND((GanttView[[#This Row],[Forecast Finish]]-GanttView[[#This Row],[Forecast Start]]+1)*GanttView[[#This Row],[%]],0)-1)))</f>
        <v>46301</v>
      </c>
      <c r="Q13" s="127" t="n">
        <f aca="false">IF(IFERROR(INDEX(tsk_Name,GanttView[[#This Row],[_Row]])="",TRUE()),0,IF(OR(INDEX(tsk_IsLeaf,GanttView[[#This Row],[_Row]])&lt;&gt;1,GanttView[[#This Row],[_IsMilestone]],N(GanttView[[#This Row],[%]])&gt;=1),0,IF(GanttView[[#This Row],[_DoneTo]]&gt;0,GanttView[[#This Row],[_DoneTo]]+1,GanttView[[#This Row],[Forecast Start]])))</f>
        <v>0</v>
      </c>
      <c r="R13" s="127" t="n">
        <f aca="false">IF(GanttView[[#This Row],[_RemFrom]]=0,0,GanttView[[#This Row],[Forecast Finish]])</f>
        <v>0</v>
      </c>
      <c r="S13" s="126" t="b">
        <f aca="false">IF(IFERROR(INDEX(tsk_Name,GanttView[[#This Row],[_Row]])="",TRUE()),FALSE(),N(INDEX(tsk_Variance,GanttView[[#This Row],[_Row]]))&gt;0)</f>
        <v>1</v>
      </c>
      <c r="T13" s="127" t="n">
        <f aca="false">IF(IFERROR(INDEX(tsk_Name,GanttView[[#This Row],[_Row]])="",TRUE()),0,N(INDEX(tsk_Deadline,GanttView[[#This Row],[_Row]])))</f>
        <v>0</v>
      </c>
      <c r="U13" s="126" t="b">
        <f aca="false">IF(IFERROR(INDEX(tsk_Name,GanttView[[#This Row],[_Row]])="",TRUE()),FALSE(),INDEX(tsk_Critical,GanttView[[#This Row],[_Row]])="Yes")</f>
        <v>0</v>
      </c>
    </row>
    <row r="14" customFormat="false" ht="15" hidden="false" customHeight="false" outlineLevel="0" collapsed="false">
      <c r="A14" s="120" t="n">
        <f aca="false">IF(IFERROR(INDEX(tsk_Name,GanttView[[#This Row],[_Row]])="",TRUE()),"",INDEX(tsk_ID,GanttView[[#This Row],[_Row]]))</f>
        <v>9</v>
      </c>
      <c r="B14" s="120" t="str">
        <f aca="false">IF(IFERROR(INDEX(tsk_Name,GanttView[[#This Row],[_Row]])="",TRUE()),"",INDEX(tsk_WBS,GanttView[[#This Row],[_Row]]))</f>
        <v>2.4</v>
      </c>
      <c r="C14" s="121" t="str">
        <f aca="false">IF(IFERROR(INDEX(tsk_Name,GanttView[[#This Row],[_Row]])="",TRUE()),"",REPT("    ",INDEX(tsk_Level,GanttView[[#This Row],[_Row]])-1)&amp;INDEX(tsk_Name,GanttView[[#This Row],[_Row]]))</f>
        <v>    Design sign-off</v>
      </c>
      <c r="D14" s="120" t="n">
        <f aca="false">IF(IFERROR(INDEX(tsk_Name,GanttView[[#This Row],[_Row]])="",TRUE()),"",IF(INDEX(tsk_IsSummary,GanttView[[#This Row],[_Row]]),NETWORKDAYS.INTL(INDEX(tsk_FcStart,GanttView[[#This Row],[_Row]]),INDEX(tsk_FcFinish,GanttView[[#This Row],[_Row]]),WorkWeek,Holidays),N(INDEX(tsk_Duration,GanttView[[#This Row],[_Row]]))))</f>
        <v>0</v>
      </c>
      <c r="E14" s="122" t="n">
        <f aca="false">IF(IFERROR(INDEX(tsk_Name,GanttView[[#This Row],[_Row]])="",TRUE()),"",INDEX(tsk_PlanStart,GanttView[[#This Row],[_Row]]))</f>
        <v>46296</v>
      </c>
      <c r="F14" s="122" t="n">
        <f aca="false">IF(IFERROR(INDEX(tsk_Name,GanttView[[#This Row],[_Row]])="",TRUE()),"",INDEX(tsk_PlanFinish,GanttView[[#This Row],[_Row]]))</f>
        <v>46296</v>
      </c>
      <c r="G14" s="122" t="n">
        <f aca="false">IF(IFERROR(INDEX(tsk_Name,GanttView[[#This Row],[_Row]])="",TRUE()),"",INDEX(tsk_FcStart,GanttView[[#This Row],[_Row]]))</f>
        <v>46301</v>
      </c>
      <c r="H14" s="122" t="n">
        <f aca="false">IF(IFERROR(INDEX(tsk_Name,GanttView[[#This Row],[_Row]])="",TRUE()),"",INDEX(tsk_FcFinish,GanttView[[#This Row],[_Row]]))</f>
        <v>46301</v>
      </c>
      <c r="I14" s="123" t="n">
        <f aca="false">IF(IFERROR(INDEX(tsk_Name,GanttView[[#This Row],[_Row]])="",TRUE()),"",INDEX(tsk_Progress,GanttView[[#This Row],[_Row]]))</f>
        <v>1</v>
      </c>
      <c r="J14" s="121" t="str">
        <f aca="false">IF(IFERROR(INDEX(tsk_Name,GanttView[[#This Row],[_Row]])="",TRUE()),"",INDEX(tsk_Resource,GanttView[[#This Row],[_Row]])&amp;"")</f>
        <v/>
      </c>
      <c r="K14" s="124" t="str">
        <f aca="false">IF(IFERROR(INDEX(tsk_Name,GanttView[[#This Row],[_Row]])="",TRUE()),"",INDEX(tsk_Status,GanttView[[#This Row],[_Row]]))</f>
        <v>Complete</v>
      </c>
      <c r="L14" s="125" t="n">
        <f aca="false">ROW()-ROW(GanttView[[#Headers],[ID]])</f>
        <v>9</v>
      </c>
      <c r="M14" s="126" t="b">
        <f aca="false">IF(IFERROR(INDEX(tsk_Name,GanttView[[#This Row],[_Row]])="",TRUE()),FALSE(),INDEX(tsk_IsSummary,GanttView[[#This Row],[_Row]]))</f>
        <v>0</v>
      </c>
      <c r="N14" s="126" t="b">
        <f aca="false">IF(IFERROR(INDEX(tsk_Name,GanttView[[#This Row],[_Row]])="",TRUE()),FALSE(),AND(INDEX(tsk_IsLeaf,GanttView[[#This Row],[_Row]])=1,N(INDEX(tsk_Duration,GanttView[[#This Row],[_Row]]))=0))</f>
        <v>1</v>
      </c>
      <c r="O14" s="127" t="n">
        <f aca="false">IF(IFERROR(INDEX(tsk_Name,GanttView[[#This Row],[_Row]])="",TRUE()),0,IF(AND(INDEX(tsk_IsLeaf,GanttView[[#This Row],[_Row]])=1,NOT(GanttView[[#This Row],[_IsMilestone]]),N(GanttView[[#This Row],[%]])&gt;0),GanttView[[#This Row],[Forecast Start]],0))</f>
        <v>0</v>
      </c>
      <c r="P14" s="127" t="n">
        <f aca="false">IF(GanttView[[#This Row],[_DoneFrom]]=0,0,IF(GanttView[[#This Row],[%]]&gt;=1,GanttView[[#This Row],[Forecast Finish]],MAX(GanttView[[#This Row],[_DoneFrom]],GanttView[[#This Row],[Forecast Start]]+ROUND((GanttView[[#This Row],[Forecast Finish]]-GanttView[[#This Row],[Forecast Start]]+1)*GanttView[[#This Row],[%]],0)-1)))</f>
        <v>0</v>
      </c>
      <c r="Q14" s="127" t="n">
        <f aca="false">IF(IFERROR(INDEX(tsk_Name,GanttView[[#This Row],[_Row]])="",TRUE()),0,IF(OR(INDEX(tsk_IsLeaf,GanttView[[#This Row],[_Row]])&lt;&gt;1,GanttView[[#This Row],[_IsMilestone]],N(GanttView[[#This Row],[%]])&gt;=1),0,IF(GanttView[[#This Row],[_DoneTo]]&gt;0,GanttView[[#This Row],[_DoneTo]]+1,GanttView[[#This Row],[Forecast Start]])))</f>
        <v>0</v>
      </c>
      <c r="R14" s="127" t="n">
        <f aca="false">IF(GanttView[[#This Row],[_RemFrom]]=0,0,GanttView[[#This Row],[Forecast Finish]])</f>
        <v>0</v>
      </c>
      <c r="S14" s="126" t="b">
        <f aca="false">IF(IFERROR(INDEX(tsk_Name,GanttView[[#This Row],[_Row]])="",TRUE()),FALSE(),N(INDEX(tsk_Variance,GanttView[[#This Row],[_Row]]))&gt;0)</f>
        <v>1</v>
      </c>
      <c r="T14" s="127" t="n">
        <f aca="false">IF(IFERROR(INDEX(tsk_Name,GanttView[[#This Row],[_Row]])="",TRUE()),0,N(INDEX(tsk_Deadline,GanttView[[#This Row],[_Row]])))</f>
        <v>0</v>
      </c>
      <c r="U14" s="126" t="b">
        <f aca="false">IF(IFERROR(INDEX(tsk_Name,GanttView[[#This Row],[_Row]])="",TRUE()),FALSE(),INDEX(tsk_Critical,GanttView[[#This Row],[_Row]])="Yes")</f>
        <v>0</v>
      </c>
    </row>
    <row r="15" customFormat="false" ht="15" hidden="false" customHeight="false" outlineLevel="0" collapsed="false">
      <c r="A15" s="120" t="n">
        <f aca="false">IF(IFERROR(INDEX(tsk_Name,GanttView[[#This Row],[_Row]])="",TRUE()),"",INDEX(tsk_ID,GanttView[[#This Row],[_Row]]))</f>
        <v>10</v>
      </c>
      <c r="B15" s="120" t="str">
        <f aca="false">IF(IFERROR(INDEX(tsk_Name,GanttView[[#This Row],[_Row]])="",TRUE()),"",INDEX(tsk_WBS,GanttView[[#This Row],[_Row]]))</f>
        <v>3</v>
      </c>
      <c r="C15" s="121" t="str">
        <f aca="false">IF(IFERROR(INDEX(tsk_Name,GanttView[[#This Row],[_Row]])="",TRUE()),"",REPT("    ",INDEX(tsk_Level,GanttView[[#This Row],[_Row]])-1)&amp;INDEX(tsk_Name,GanttView[[#This Row],[_Row]]))</f>
        <v>Build</v>
      </c>
      <c r="D15" s="120" t="n">
        <f aca="false">IF(IFERROR(INDEX(tsk_Name,GanttView[[#This Row],[_Row]])="",TRUE()),"",IF(INDEX(tsk_IsSummary,GanttView[[#This Row],[_Row]]),NETWORKDAYS.INTL(INDEX(tsk_FcStart,GanttView[[#This Row],[_Row]]),INDEX(tsk_FcFinish,GanttView[[#This Row],[_Row]]),WorkWeek,Holidays),N(INDEX(tsk_Duration,GanttView[[#This Row],[_Row]]))))</f>
        <v>24</v>
      </c>
      <c r="E15" s="122" t="n">
        <f aca="false">IF(IFERROR(INDEX(tsk_Name,GanttView[[#This Row],[_Row]])="",TRUE()),"",INDEX(tsk_PlanStart,GanttView[[#This Row],[_Row]]))</f>
        <v>46297</v>
      </c>
      <c r="F15" s="122" t="n">
        <f aca="false">IF(IFERROR(INDEX(tsk_Name,GanttView[[#This Row],[_Row]])="",TRUE()),"",INDEX(tsk_PlanFinish,GanttView[[#This Row],[_Row]]))</f>
        <v>46325</v>
      </c>
      <c r="G15" s="122" t="n">
        <f aca="false">IF(IFERROR(INDEX(tsk_Name,GanttView[[#This Row],[_Row]])="",TRUE()),"",INDEX(tsk_FcStart,GanttView[[#This Row],[_Row]]))</f>
        <v>46302</v>
      </c>
      <c r="H15" s="122" t="n">
        <f aca="false">IF(IFERROR(INDEX(tsk_Name,GanttView[[#This Row],[_Row]])="",TRUE()),"",INDEX(tsk_FcFinish,GanttView[[#This Row],[_Row]]))</f>
        <v>46335</v>
      </c>
      <c r="I15" s="123" t="n">
        <f aca="false">IF(IFERROR(INDEX(tsk_Name,GanttView[[#This Row],[_Row]])="",TRUE()),"",INDEX(tsk_Progress,GanttView[[#This Row],[_Row]]))</f>
        <v>0.451306413301663</v>
      </c>
      <c r="J15" s="121" t="str">
        <f aca="false">IF(IFERROR(INDEX(tsk_Name,GanttView[[#This Row],[_Row]])="",TRUE()),"",INDEX(tsk_Resource,GanttView[[#This Row],[_Row]])&amp;"")</f>
        <v/>
      </c>
      <c r="K15" s="124" t="str">
        <f aca="false">IF(IFERROR(INDEX(tsk_Name,GanttView[[#This Row],[_Row]])="",TRUE()),"",INDEX(tsk_Status,GanttView[[#This Row],[_Row]]))</f>
        <v>Behind</v>
      </c>
      <c r="L15" s="125" t="n">
        <f aca="false">ROW()-ROW(GanttView[[#Headers],[ID]])</f>
        <v>10</v>
      </c>
      <c r="M15" s="126" t="b">
        <f aca="false">IF(IFERROR(INDEX(tsk_Name,GanttView[[#This Row],[_Row]])="",TRUE()),FALSE(),INDEX(tsk_IsSummary,GanttView[[#This Row],[_Row]]))</f>
        <v>1</v>
      </c>
      <c r="N15" s="126" t="b">
        <f aca="false">IF(IFERROR(INDEX(tsk_Name,GanttView[[#This Row],[_Row]])="",TRUE()),FALSE(),AND(INDEX(tsk_IsLeaf,GanttView[[#This Row],[_Row]])=1,N(INDEX(tsk_Duration,GanttView[[#This Row],[_Row]]))=0))</f>
        <v>0</v>
      </c>
      <c r="O15" s="127" t="n">
        <f aca="false">IF(IFERROR(INDEX(tsk_Name,GanttView[[#This Row],[_Row]])="",TRUE()),0,IF(AND(INDEX(tsk_IsLeaf,GanttView[[#This Row],[_Row]])=1,NOT(GanttView[[#This Row],[_IsMilestone]]),N(GanttView[[#This Row],[%]])&gt;0),GanttView[[#This Row],[Forecast Start]],0))</f>
        <v>0</v>
      </c>
      <c r="P15" s="127" t="n">
        <f aca="false">IF(GanttView[[#This Row],[_DoneFrom]]=0,0,IF(GanttView[[#This Row],[%]]&gt;=1,GanttView[[#This Row],[Forecast Finish]],MAX(GanttView[[#This Row],[_DoneFrom]],GanttView[[#This Row],[Forecast Start]]+ROUND((GanttView[[#This Row],[Forecast Finish]]-GanttView[[#This Row],[Forecast Start]]+1)*GanttView[[#This Row],[%]],0)-1)))</f>
        <v>0</v>
      </c>
      <c r="Q15" s="127" t="n">
        <f aca="false">IF(IFERROR(INDEX(tsk_Name,GanttView[[#This Row],[_Row]])="",TRUE()),0,IF(OR(INDEX(tsk_IsLeaf,GanttView[[#This Row],[_Row]])&lt;&gt;1,GanttView[[#This Row],[_IsMilestone]],N(GanttView[[#This Row],[%]])&gt;=1),0,IF(GanttView[[#This Row],[_DoneTo]]&gt;0,GanttView[[#This Row],[_DoneTo]]+1,GanttView[[#This Row],[Forecast Start]])))</f>
        <v>0</v>
      </c>
      <c r="R15" s="127" t="n">
        <f aca="false">IF(GanttView[[#This Row],[_RemFrom]]=0,0,GanttView[[#This Row],[Forecast Finish]])</f>
        <v>0</v>
      </c>
      <c r="S15" s="126" t="b">
        <f aca="false">IF(IFERROR(INDEX(tsk_Name,GanttView[[#This Row],[_Row]])="",TRUE()),FALSE(),N(INDEX(tsk_Variance,GanttView[[#This Row],[_Row]]))&gt;0)</f>
        <v>1</v>
      </c>
      <c r="T15" s="127" t="n">
        <f aca="false">IF(IFERROR(INDEX(tsk_Name,GanttView[[#This Row],[_Row]])="",TRUE()),0,N(INDEX(tsk_Deadline,GanttView[[#This Row],[_Row]])))</f>
        <v>0</v>
      </c>
      <c r="U15" s="126" t="b">
        <f aca="false">IF(IFERROR(INDEX(tsk_Name,GanttView[[#This Row],[_Row]])="",TRUE()),FALSE(),INDEX(tsk_Critical,GanttView[[#This Row],[_Row]])="Yes")</f>
        <v>1</v>
      </c>
    </row>
    <row r="16" customFormat="false" ht="15" hidden="false" customHeight="false" outlineLevel="0" collapsed="false">
      <c r="A16" s="120" t="n">
        <f aca="false">IF(IFERROR(INDEX(tsk_Name,GanttView[[#This Row],[_Row]])="",TRUE()),"",INDEX(tsk_ID,GanttView[[#This Row],[_Row]]))</f>
        <v>11</v>
      </c>
      <c r="B16" s="120" t="str">
        <f aca="false">IF(IFERROR(INDEX(tsk_Name,GanttView[[#This Row],[_Row]])="",TRUE()),"",INDEX(tsk_WBS,GanttView[[#This Row],[_Row]]))</f>
        <v>3.1</v>
      </c>
      <c r="C16" s="121" t="str">
        <f aca="false">IF(IFERROR(INDEX(tsk_Name,GanttView[[#This Row],[_Row]])="",TRUE()),"",REPT("    ",INDEX(tsk_Level,GanttView[[#This Row],[_Row]])-1)&amp;INDEX(tsk_Name,GanttView[[#This Row],[_Row]]))</f>
        <v>    Backend</v>
      </c>
      <c r="D16" s="120" t="n">
        <f aca="false">IF(IFERROR(INDEX(tsk_Name,GanttView[[#This Row],[_Row]])="",TRUE()),"",IF(INDEX(tsk_IsSummary,GanttView[[#This Row],[_Row]]),NETWORKDAYS.INTL(INDEX(tsk_FcStart,GanttView[[#This Row],[_Row]]),INDEX(tsk_FcFinish,GanttView[[#This Row],[_Row]]),WorkWeek,Holidays),N(INDEX(tsk_Duration,GanttView[[#This Row],[_Row]]))))</f>
        <v>24</v>
      </c>
      <c r="E16" s="122" t="n">
        <f aca="false">IF(IFERROR(INDEX(tsk_Name,GanttView[[#This Row],[_Row]])="",TRUE()),"",INDEX(tsk_PlanStart,GanttView[[#This Row],[_Row]]))</f>
        <v>46297</v>
      </c>
      <c r="F16" s="122" t="n">
        <f aca="false">IF(IFERROR(INDEX(tsk_Name,GanttView[[#This Row],[_Row]])="",TRUE()),"",INDEX(tsk_PlanFinish,GanttView[[#This Row],[_Row]]))</f>
        <v>46325</v>
      </c>
      <c r="G16" s="122" t="n">
        <f aca="false">IF(IFERROR(INDEX(tsk_Name,GanttView[[#This Row],[_Row]])="",TRUE()),"",INDEX(tsk_FcStart,GanttView[[#This Row],[_Row]]))</f>
        <v>46302</v>
      </c>
      <c r="H16" s="122" t="n">
        <f aca="false">IF(IFERROR(INDEX(tsk_Name,GanttView[[#This Row],[_Row]])="",TRUE()),"",INDEX(tsk_FcFinish,GanttView[[#This Row],[_Row]]))</f>
        <v>46335</v>
      </c>
      <c r="I16" s="123" t="n">
        <f aca="false">IF(IFERROR(INDEX(tsk_Name,GanttView[[#This Row],[_Row]])="",TRUE()),"",INDEX(tsk_Progress,GanttView[[#This Row],[_Row]]))</f>
        <v>0.476190476190476</v>
      </c>
      <c r="J16" s="121" t="str">
        <f aca="false">IF(IFERROR(INDEX(tsk_Name,GanttView[[#This Row],[_Row]])="",TRUE()),"",INDEX(tsk_Resource,GanttView[[#This Row],[_Row]])&amp;"")</f>
        <v/>
      </c>
      <c r="K16" s="124" t="str">
        <f aca="false">IF(IFERROR(INDEX(tsk_Name,GanttView[[#This Row],[_Row]])="",TRUE()),"",INDEX(tsk_Status,GanttView[[#This Row],[_Row]]))</f>
        <v>Behind</v>
      </c>
      <c r="L16" s="125" t="n">
        <f aca="false">ROW()-ROW(GanttView[[#Headers],[ID]])</f>
        <v>11</v>
      </c>
      <c r="M16" s="126" t="b">
        <f aca="false">IF(IFERROR(INDEX(tsk_Name,GanttView[[#This Row],[_Row]])="",TRUE()),FALSE(),INDEX(tsk_IsSummary,GanttView[[#This Row],[_Row]]))</f>
        <v>1</v>
      </c>
      <c r="N16" s="126" t="b">
        <f aca="false">IF(IFERROR(INDEX(tsk_Name,GanttView[[#This Row],[_Row]])="",TRUE()),FALSE(),AND(INDEX(tsk_IsLeaf,GanttView[[#This Row],[_Row]])=1,N(INDEX(tsk_Duration,GanttView[[#This Row],[_Row]]))=0))</f>
        <v>0</v>
      </c>
      <c r="O16" s="127" t="n">
        <f aca="false">IF(IFERROR(INDEX(tsk_Name,GanttView[[#This Row],[_Row]])="",TRUE()),0,IF(AND(INDEX(tsk_IsLeaf,GanttView[[#This Row],[_Row]])=1,NOT(GanttView[[#This Row],[_IsMilestone]]),N(GanttView[[#This Row],[%]])&gt;0),GanttView[[#This Row],[Forecast Start]],0))</f>
        <v>0</v>
      </c>
      <c r="P16" s="127" t="n">
        <f aca="false">IF(GanttView[[#This Row],[_DoneFrom]]=0,0,IF(GanttView[[#This Row],[%]]&gt;=1,GanttView[[#This Row],[Forecast Finish]],MAX(GanttView[[#This Row],[_DoneFrom]],GanttView[[#This Row],[Forecast Start]]+ROUND((GanttView[[#This Row],[Forecast Finish]]-GanttView[[#This Row],[Forecast Start]]+1)*GanttView[[#This Row],[%]],0)-1)))</f>
        <v>0</v>
      </c>
      <c r="Q16" s="127" t="n">
        <f aca="false">IF(IFERROR(INDEX(tsk_Name,GanttView[[#This Row],[_Row]])="",TRUE()),0,IF(OR(INDEX(tsk_IsLeaf,GanttView[[#This Row],[_Row]])&lt;&gt;1,GanttView[[#This Row],[_IsMilestone]],N(GanttView[[#This Row],[%]])&gt;=1),0,IF(GanttView[[#This Row],[_DoneTo]]&gt;0,GanttView[[#This Row],[_DoneTo]]+1,GanttView[[#This Row],[Forecast Start]])))</f>
        <v>0</v>
      </c>
      <c r="R16" s="127" t="n">
        <f aca="false">IF(GanttView[[#This Row],[_RemFrom]]=0,0,GanttView[[#This Row],[Forecast Finish]])</f>
        <v>0</v>
      </c>
      <c r="S16" s="126" t="b">
        <f aca="false">IF(IFERROR(INDEX(tsk_Name,GanttView[[#This Row],[_Row]])="",TRUE()),FALSE(),N(INDEX(tsk_Variance,GanttView[[#This Row],[_Row]]))&gt;0)</f>
        <v>1</v>
      </c>
      <c r="T16" s="127" t="n">
        <f aca="false">IF(IFERROR(INDEX(tsk_Name,GanttView[[#This Row],[_Row]])="",TRUE()),0,N(INDEX(tsk_Deadline,GanttView[[#This Row],[_Row]])))</f>
        <v>0</v>
      </c>
      <c r="U16" s="126" t="b">
        <f aca="false">IF(IFERROR(INDEX(tsk_Name,GanttView[[#This Row],[_Row]])="",TRUE()),FALSE(),INDEX(tsk_Critical,GanttView[[#This Row],[_Row]])="Yes")</f>
        <v>1</v>
      </c>
    </row>
    <row r="17" customFormat="false" ht="15" hidden="false" customHeight="false" outlineLevel="0" collapsed="false">
      <c r="A17" s="120" t="n">
        <f aca="false">IF(IFERROR(INDEX(tsk_Name,GanttView[[#This Row],[_Row]])="",TRUE()),"",INDEX(tsk_ID,GanttView[[#This Row],[_Row]]))</f>
        <v>12</v>
      </c>
      <c r="B17" s="120" t="str">
        <f aca="false">IF(IFERROR(INDEX(tsk_Name,GanttView[[#This Row],[_Row]])="",TRUE()),"",INDEX(tsk_WBS,GanttView[[#This Row],[_Row]]))</f>
        <v>3.1.1</v>
      </c>
      <c r="C17" s="121" t="str">
        <f aca="false">IF(IFERROR(INDEX(tsk_Name,GanttView[[#This Row],[_Row]])="",TRUE()),"",REPT("    ",INDEX(tsk_Level,GanttView[[#This Row],[_Row]])-1)&amp;INDEX(tsk_Name,GanttView[[#This Row],[_Row]]))</f>
        <v>        Data model &amp; database setup</v>
      </c>
      <c r="D17" s="120" t="n">
        <f aca="false">IF(IFERROR(INDEX(tsk_Name,GanttView[[#This Row],[_Row]])="",TRUE()),"",IF(INDEX(tsk_IsSummary,GanttView[[#This Row],[_Row]]),NETWORKDAYS.INTL(INDEX(tsk_FcStart,GanttView[[#This Row],[_Row]]),INDEX(tsk_FcFinish,GanttView[[#This Row],[_Row]]),WorkWeek,Holidays),N(INDEX(tsk_Duration,GanttView[[#This Row],[_Row]]))))</f>
        <v>5</v>
      </c>
      <c r="E17" s="122" t="n">
        <f aca="false">IF(IFERROR(INDEX(tsk_Name,GanttView[[#This Row],[_Row]])="",TRUE()),"",INDEX(tsk_PlanStart,GanttView[[#This Row],[_Row]]))</f>
        <v>46297</v>
      </c>
      <c r="F17" s="122" t="n">
        <f aca="false">IF(IFERROR(INDEX(tsk_Name,GanttView[[#This Row],[_Row]])="",TRUE()),"",INDEX(tsk_PlanFinish,GanttView[[#This Row],[_Row]]))</f>
        <v>46303</v>
      </c>
      <c r="G17" s="122" t="n">
        <f aca="false">IF(IFERROR(INDEX(tsk_Name,GanttView[[#This Row],[_Row]])="",TRUE()),"",INDEX(tsk_FcStart,GanttView[[#This Row],[_Row]]))</f>
        <v>46302</v>
      </c>
      <c r="H17" s="122" t="n">
        <f aca="false">IF(IFERROR(INDEX(tsk_Name,GanttView[[#This Row],[_Row]])="",TRUE()),"",INDEX(tsk_FcFinish,GanttView[[#This Row],[_Row]]))</f>
        <v>46309</v>
      </c>
      <c r="I17" s="123" t="n">
        <f aca="false">IF(IFERROR(INDEX(tsk_Name,GanttView[[#This Row],[_Row]])="",TRUE()),"",INDEX(tsk_Progress,GanttView[[#This Row],[_Row]]))</f>
        <v>1</v>
      </c>
      <c r="J17" s="121" t="str">
        <f aca="false">IF(IFERROR(INDEX(tsk_Name,GanttView[[#This Row],[_Row]])="",TRUE()),"",INDEX(tsk_Resource,GanttView[[#This Row],[_Row]])&amp;"")</f>
        <v>Jordan Lee</v>
      </c>
      <c r="K17" s="124" t="str">
        <f aca="false">IF(IFERROR(INDEX(tsk_Name,GanttView[[#This Row],[_Row]])="",TRUE()),"",INDEX(tsk_Status,GanttView[[#This Row],[_Row]]))</f>
        <v>Complete</v>
      </c>
      <c r="L17" s="125" t="n">
        <f aca="false">ROW()-ROW(GanttView[[#Headers],[ID]])</f>
        <v>12</v>
      </c>
      <c r="M17" s="126" t="b">
        <f aca="false">IF(IFERROR(INDEX(tsk_Name,GanttView[[#This Row],[_Row]])="",TRUE()),FALSE(),INDEX(tsk_IsSummary,GanttView[[#This Row],[_Row]]))</f>
        <v>0</v>
      </c>
      <c r="N17" s="126" t="b">
        <f aca="false">IF(IFERROR(INDEX(tsk_Name,GanttView[[#This Row],[_Row]])="",TRUE()),FALSE(),AND(INDEX(tsk_IsLeaf,GanttView[[#This Row],[_Row]])=1,N(INDEX(tsk_Duration,GanttView[[#This Row],[_Row]]))=0))</f>
        <v>0</v>
      </c>
      <c r="O17" s="127" t="n">
        <f aca="false">IF(IFERROR(INDEX(tsk_Name,GanttView[[#This Row],[_Row]])="",TRUE()),0,IF(AND(INDEX(tsk_IsLeaf,GanttView[[#This Row],[_Row]])=1,NOT(GanttView[[#This Row],[_IsMilestone]]),N(GanttView[[#This Row],[%]])&gt;0),GanttView[[#This Row],[Forecast Start]],0))</f>
        <v>46302</v>
      </c>
      <c r="P17" s="127" t="n">
        <f aca="false">IF(GanttView[[#This Row],[_DoneFrom]]=0,0,IF(GanttView[[#This Row],[%]]&gt;=1,GanttView[[#This Row],[Forecast Finish]],MAX(GanttView[[#This Row],[_DoneFrom]],GanttView[[#This Row],[Forecast Start]]+ROUND((GanttView[[#This Row],[Forecast Finish]]-GanttView[[#This Row],[Forecast Start]]+1)*GanttView[[#This Row],[%]],0)-1)))</f>
        <v>46309</v>
      </c>
      <c r="Q17" s="127" t="n">
        <f aca="false">IF(IFERROR(INDEX(tsk_Name,GanttView[[#This Row],[_Row]])="",TRUE()),0,IF(OR(INDEX(tsk_IsLeaf,GanttView[[#This Row],[_Row]])&lt;&gt;1,GanttView[[#This Row],[_IsMilestone]],N(GanttView[[#This Row],[%]])&gt;=1),0,IF(GanttView[[#This Row],[_DoneTo]]&gt;0,GanttView[[#This Row],[_DoneTo]]+1,GanttView[[#This Row],[Forecast Start]])))</f>
        <v>0</v>
      </c>
      <c r="R17" s="127" t="n">
        <f aca="false">IF(GanttView[[#This Row],[_RemFrom]]=0,0,GanttView[[#This Row],[Forecast Finish]])</f>
        <v>0</v>
      </c>
      <c r="S17" s="126" t="b">
        <f aca="false">IF(IFERROR(INDEX(tsk_Name,GanttView[[#This Row],[_Row]])="",TRUE()),FALSE(),N(INDEX(tsk_Variance,GanttView[[#This Row],[_Row]]))&gt;0)</f>
        <v>1</v>
      </c>
      <c r="T17" s="127" t="n">
        <f aca="false">IF(IFERROR(INDEX(tsk_Name,GanttView[[#This Row],[_Row]])="",TRUE()),0,N(INDEX(tsk_Deadline,GanttView[[#This Row],[_Row]])))</f>
        <v>0</v>
      </c>
      <c r="U17" s="126" t="b">
        <f aca="false">IF(IFERROR(INDEX(tsk_Name,GanttView[[#This Row],[_Row]])="",TRUE()),FALSE(),INDEX(tsk_Critical,GanttView[[#This Row],[_Row]])="Yes")</f>
        <v>0</v>
      </c>
    </row>
    <row r="18" customFormat="false" ht="15" hidden="false" customHeight="false" outlineLevel="0" collapsed="false">
      <c r="A18" s="120" t="n">
        <f aca="false">IF(IFERROR(INDEX(tsk_Name,GanttView[[#This Row],[_Row]])="",TRUE()),"",INDEX(tsk_ID,GanttView[[#This Row],[_Row]]))</f>
        <v>13</v>
      </c>
      <c r="B18" s="120" t="str">
        <f aca="false">IF(IFERROR(INDEX(tsk_Name,GanttView[[#This Row],[_Row]])="",TRUE()),"",INDEX(tsk_WBS,GanttView[[#This Row],[_Row]]))</f>
        <v>3.1.2</v>
      </c>
      <c r="C18" s="121" t="str">
        <f aca="false">IF(IFERROR(INDEX(tsk_Name,GanttView[[#This Row],[_Row]])="",TRUE()),"",REPT("    ",INDEX(tsk_Level,GanttView[[#This Row],[_Row]])-1)&amp;INDEX(tsk_Name,GanttView[[#This Row],[_Row]]))</f>
        <v>        Core API endpoints</v>
      </c>
      <c r="D18" s="120" t="n">
        <f aca="false">IF(IFERROR(INDEX(tsk_Name,GanttView[[#This Row],[_Row]])="",TRUE()),"",IF(INDEX(tsk_IsSummary,GanttView[[#This Row],[_Row]]),NETWORKDAYS.INTL(INDEX(tsk_FcStart,GanttView[[#This Row],[_Row]]),INDEX(tsk_FcFinish,GanttView[[#This Row],[_Row]]),WorkWeek,Holidays),N(INDEX(tsk_Duration,GanttView[[#This Row],[_Row]]))))</f>
        <v>10</v>
      </c>
      <c r="E18" s="122" t="n">
        <f aca="false">IF(IFERROR(INDEX(tsk_Name,GanttView[[#This Row],[_Row]])="",TRUE()),"",INDEX(tsk_PlanStart,GanttView[[#This Row],[_Row]]))</f>
        <v>46304</v>
      </c>
      <c r="F18" s="122" t="n">
        <f aca="false">IF(IFERROR(INDEX(tsk_Name,GanttView[[#This Row],[_Row]])="",TRUE()),"",INDEX(tsk_PlanFinish,GanttView[[#This Row],[_Row]]))</f>
        <v>46317</v>
      </c>
      <c r="G18" s="122" t="n">
        <f aca="false">IF(IFERROR(INDEX(tsk_Name,GanttView[[#This Row],[_Row]])="",TRUE()),"",INDEX(tsk_FcStart,GanttView[[#This Row],[_Row]]))</f>
        <v>46310</v>
      </c>
      <c r="H18" s="122" t="n">
        <f aca="false">IF(IFERROR(INDEX(tsk_Name,GanttView[[#This Row],[_Row]])="",TRUE()),"",INDEX(tsk_FcFinish,GanttView[[#This Row],[_Row]]))</f>
        <v>46325</v>
      </c>
      <c r="I18" s="123" t="n">
        <f aca="false">IF(IFERROR(INDEX(tsk_Name,GanttView[[#This Row],[_Row]])="",TRUE()),"",INDEX(tsk_Progress,GanttView[[#This Row],[_Row]]))</f>
        <v>0.5</v>
      </c>
      <c r="J18" s="121" t="str">
        <f aca="false">IF(IFERROR(INDEX(tsk_Name,GanttView[[#This Row],[_Row]])="",TRUE()),"",INDEX(tsk_Resource,GanttView[[#This Row],[_Row]])&amp;"")</f>
        <v>Jordan Lee</v>
      </c>
      <c r="K18" s="124" t="str">
        <f aca="false">IF(IFERROR(INDEX(tsk_Name,GanttView[[#This Row],[_Row]])="",TRUE()),"",INDEX(tsk_Status,GanttView[[#This Row],[_Row]]))</f>
        <v>Behind</v>
      </c>
      <c r="L18" s="125" t="n">
        <f aca="false">ROW()-ROW(GanttView[[#Headers],[ID]])</f>
        <v>13</v>
      </c>
      <c r="M18" s="126" t="b">
        <f aca="false">IF(IFERROR(INDEX(tsk_Name,GanttView[[#This Row],[_Row]])="",TRUE()),FALSE(),INDEX(tsk_IsSummary,GanttView[[#This Row],[_Row]]))</f>
        <v>0</v>
      </c>
      <c r="N18" s="126" t="b">
        <f aca="false">IF(IFERROR(INDEX(tsk_Name,GanttView[[#This Row],[_Row]])="",TRUE()),FALSE(),AND(INDEX(tsk_IsLeaf,GanttView[[#This Row],[_Row]])=1,N(INDEX(tsk_Duration,GanttView[[#This Row],[_Row]]))=0))</f>
        <v>0</v>
      </c>
      <c r="O18" s="127" t="n">
        <f aca="false">IF(IFERROR(INDEX(tsk_Name,GanttView[[#This Row],[_Row]])="",TRUE()),0,IF(AND(INDEX(tsk_IsLeaf,GanttView[[#This Row],[_Row]])=1,NOT(GanttView[[#This Row],[_IsMilestone]]),N(GanttView[[#This Row],[%]])&gt;0),GanttView[[#This Row],[Forecast Start]],0))</f>
        <v>46310</v>
      </c>
      <c r="P18" s="127" t="n">
        <f aca="false">IF(GanttView[[#This Row],[_DoneFrom]]=0,0,IF(GanttView[[#This Row],[%]]&gt;=1,GanttView[[#This Row],[Forecast Finish]],MAX(GanttView[[#This Row],[_DoneFrom]],GanttView[[#This Row],[Forecast Start]]+ROUND((GanttView[[#This Row],[Forecast Finish]]-GanttView[[#This Row],[Forecast Start]]+1)*GanttView[[#This Row],[%]],0)-1)))</f>
        <v>46317</v>
      </c>
      <c r="Q18" s="127" t="n">
        <f aca="false">IF(IFERROR(INDEX(tsk_Name,GanttView[[#This Row],[_Row]])="",TRUE()),0,IF(OR(INDEX(tsk_IsLeaf,GanttView[[#This Row],[_Row]])&lt;&gt;1,GanttView[[#This Row],[_IsMilestone]],N(GanttView[[#This Row],[%]])&gt;=1),0,IF(GanttView[[#This Row],[_DoneTo]]&gt;0,GanttView[[#This Row],[_DoneTo]]+1,GanttView[[#This Row],[Forecast Start]])))</f>
        <v>46318</v>
      </c>
      <c r="R18" s="127" t="n">
        <f aca="false">IF(GanttView[[#This Row],[_RemFrom]]=0,0,GanttView[[#This Row],[Forecast Finish]])</f>
        <v>46325</v>
      </c>
      <c r="S18" s="126" t="b">
        <f aca="false">IF(IFERROR(INDEX(tsk_Name,GanttView[[#This Row],[_Row]])="",TRUE()),FALSE(),N(INDEX(tsk_Variance,GanttView[[#This Row],[_Row]]))&gt;0)</f>
        <v>1</v>
      </c>
      <c r="T18" s="127" t="n">
        <f aca="false">IF(IFERROR(INDEX(tsk_Name,GanttView[[#This Row],[_Row]])="",TRUE()),0,N(INDEX(tsk_Deadline,GanttView[[#This Row],[_Row]])))</f>
        <v>0</v>
      </c>
      <c r="U18" s="126" t="b">
        <f aca="false">IF(IFERROR(INDEX(tsk_Name,GanttView[[#This Row],[_Row]])="",TRUE()),FALSE(),INDEX(tsk_Critical,GanttView[[#This Row],[_Row]])="Yes")</f>
        <v>1</v>
      </c>
    </row>
    <row r="19" customFormat="false" ht="15" hidden="false" customHeight="false" outlineLevel="0" collapsed="false">
      <c r="A19" s="120" t="n">
        <f aca="false">IF(IFERROR(INDEX(tsk_Name,GanttView[[#This Row],[_Row]])="",TRUE()),"",INDEX(tsk_ID,GanttView[[#This Row],[_Row]]))</f>
        <v>14</v>
      </c>
      <c r="B19" s="120" t="str">
        <f aca="false">IF(IFERROR(INDEX(tsk_Name,GanttView[[#This Row],[_Row]])="",TRUE()),"",INDEX(tsk_WBS,GanttView[[#This Row],[_Row]]))</f>
        <v>3.1.3</v>
      </c>
      <c r="C19" s="121" t="str">
        <f aca="false">IF(IFERROR(INDEX(tsk_Name,GanttView[[#This Row],[_Row]])="",TRUE()),"",REPT("    ",INDEX(tsk_Level,GanttView[[#This Row],[_Row]])-1)&amp;INDEX(tsk_Name,GanttView[[#This Row],[_Row]]))</f>
        <v>        Payment gateway integration</v>
      </c>
      <c r="D19" s="120" t="n">
        <f aca="false">IF(IFERROR(INDEX(tsk_Name,GanttView[[#This Row],[_Row]])="",TRUE()),"",IF(INDEX(tsk_IsSummary,GanttView[[#This Row],[_Row]]),NETWORKDAYS.INTL(INDEX(tsk_FcStart,GanttView[[#This Row],[_Row]]),INDEX(tsk_FcFinish,GanttView[[#This Row],[_Row]]),WorkWeek,Holidays),N(INDEX(tsk_Duration,GanttView[[#This Row],[_Row]]))))</f>
        <v>6</v>
      </c>
      <c r="E19" s="122" t="n">
        <f aca="false">IF(IFERROR(INDEX(tsk_Name,GanttView[[#This Row],[_Row]])="",TRUE()),"",INDEX(tsk_PlanStart,GanttView[[#This Row],[_Row]]))</f>
        <v>46318</v>
      </c>
      <c r="F19" s="122" t="n">
        <f aca="false">IF(IFERROR(INDEX(tsk_Name,GanttView[[#This Row],[_Row]])="",TRUE()),"",INDEX(tsk_PlanFinish,GanttView[[#This Row],[_Row]]))</f>
        <v>46325</v>
      </c>
      <c r="G19" s="122" t="n">
        <f aca="false">IF(IFERROR(INDEX(tsk_Name,GanttView[[#This Row],[_Row]])="",TRUE()),"",INDEX(tsk_FcStart,GanttView[[#This Row],[_Row]]))</f>
        <v>46328</v>
      </c>
      <c r="H19" s="122" t="n">
        <f aca="false">IF(IFERROR(INDEX(tsk_Name,GanttView[[#This Row],[_Row]])="",TRUE()),"",INDEX(tsk_FcFinish,GanttView[[#This Row],[_Row]]))</f>
        <v>46335</v>
      </c>
      <c r="I19" s="123" t="n">
        <f aca="false">IF(IFERROR(INDEX(tsk_Name,GanttView[[#This Row],[_Row]])="",TRUE()),"",INDEX(tsk_Progress,GanttView[[#This Row],[_Row]]))</f>
        <v>0</v>
      </c>
      <c r="J19" s="121" t="str">
        <f aca="false">IF(IFERROR(INDEX(tsk_Name,GanttView[[#This Row],[_Row]])="",TRUE()),"",INDEX(tsk_Resource,GanttView[[#This Row],[_Row]])&amp;"")</f>
        <v>Jordan Lee</v>
      </c>
      <c r="K19" s="124" t="str">
        <f aca="false">IF(IFERROR(INDEX(tsk_Name,GanttView[[#This Row],[_Row]])="",TRUE()),"",INDEX(tsk_Status,GanttView[[#This Row],[_Row]]))</f>
        <v>Late Start</v>
      </c>
      <c r="L19" s="125" t="n">
        <f aca="false">ROW()-ROW(GanttView[[#Headers],[ID]])</f>
        <v>14</v>
      </c>
      <c r="M19" s="126" t="b">
        <f aca="false">IF(IFERROR(INDEX(tsk_Name,GanttView[[#This Row],[_Row]])="",TRUE()),FALSE(),INDEX(tsk_IsSummary,GanttView[[#This Row],[_Row]]))</f>
        <v>0</v>
      </c>
      <c r="N19" s="126" t="b">
        <f aca="false">IF(IFERROR(INDEX(tsk_Name,GanttView[[#This Row],[_Row]])="",TRUE()),FALSE(),AND(INDEX(tsk_IsLeaf,GanttView[[#This Row],[_Row]])=1,N(INDEX(tsk_Duration,GanttView[[#This Row],[_Row]]))=0))</f>
        <v>0</v>
      </c>
      <c r="O19" s="127" t="n">
        <f aca="false">IF(IFERROR(INDEX(tsk_Name,GanttView[[#This Row],[_Row]])="",TRUE()),0,IF(AND(INDEX(tsk_IsLeaf,GanttView[[#This Row],[_Row]])=1,NOT(GanttView[[#This Row],[_IsMilestone]]),N(GanttView[[#This Row],[%]])&gt;0),GanttView[[#This Row],[Forecast Start]],0))</f>
        <v>0</v>
      </c>
      <c r="P19" s="127" t="n">
        <f aca="false">IF(GanttView[[#This Row],[_DoneFrom]]=0,0,IF(GanttView[[#This Row],[%]]&gt;=1,GanttView[[#This Row],[Forecast Finish]],MAX(GanttView[[#This Row],[_DoneFrom]],GanttView[[#This Row],[Forecast Start]]+ROUND((GanttView[[#This Row],[Forecast Finish]]-GanttView[[#This Row],[Forecast Start]]+1)*GanttView[[#This Row],[%]],0)-1)))</f>
        <v>0</v>
      </c>
      <c r="Q19" s="127" t="n">
        <f aca="false">IF(IFERROR(INDEX(tsk_Name,GanttView[[#This Row],[_Row]])="",TRUE()),0,IF(OR(INDEX(tsk_IsLeaf,GanttView[[#This Row],[_Row]])&lt;&gt;1,GanttView[[#This Row],[_IsMilestone]],N(GanttView[[#This Row],[%]])&gt;=1),0,IF(GanttView[[#This Row],[_DoneTo]]&gt;0,GanttView[[#This Row],[_DoneTo]]+1,GanttView[[#This Row],[Forecast Start]])))</f>
        <v>46328</v>
      </c>
      <c r="R19" s="127" t="n">
        <f aca="false">IF(GanttView[[#This Row],[_RemFrom]]=0,0,GanttView[[#This Row],[Forecast Finish]])</f>
        <v>46335</v>
      </c>
      <c r="S19" s="126" t="b">
        <f aca="false">IF(IFERROR(INDEX(tsk_Name,GanttView[[#This Row],[_Row]])="",TRUE()),FALSE(),N(INDEX(tsk_Variance,GanttView[[#This Row],[_Row]]))&gt;0)</f>
        <v>1</v>
      </c>
      <c r="T19" s="127" t="n">
        <f aca="false">IF(IFERROR(INDEX(tsk_Name,GanttView[[#This Row],[_Row]])="",TRUE()),0,N(INDEX(tsk_Deadline,GanttView[[#This Row],[_Row]])))</f>
        <v>0</v>
      </c>
      <c r="U19" s="126" t="b">
        <f aca="false">IF(IFERROR(INDEX(tsk_Name,GanttView[[#This Row],[_Row]])="",TRUE()),FALSE(),INDEX(tsk_Critical,GanttView[[#This Row],[_Row]])="Yes")</f>
        <v>1</v>
      </c>
    </row>
    <row r="20" customFormat="false" ht="15" hidden="false" customHeight="false" outlineLevel="0" collapsed="false">
      <c r="A20" s="120" t="n">
        <f aca="false">IF(IFERROR(INDEX(tsk_Name,GanttView[[#This Row],[_Row]])="",TRUE()),"",INDEX(tsk_ID,GanttView[[#This Row],[_Row]]))</f>
        <v>15</v>
      </c>
      <c r="B20" s="120" t="str">
        <f aca="false">IF(IFERROR(INDEX(tsk_Name,GanttView[[#This Row],[_Row]])="",TRUE()),"",INDEX(tsk_WBS,GanttView[[#This Row],[_Row]]))</f>
        <v>3.2</v>
      </c>
      <c r="C20" s="121" t="str">
        <f aca="false">IF(IFERROR(INDEX(tsk_Name,GanttView[[#This Row],[_Row]])="",TRUE()),"",REPT("    ",INDEX(tsk_Level,GanttView[[#This Row],[_Row]])-1)&amp;INDEX(tsk_Name,GanttView[[#This Row],[_Row]]))</f>
        <v>    Frontend</v>
      </c>
      <c r="D20" s="120" t="n">
        <f aca="false">IF(IFERROR(INDEX(tsk_Name,GanttView[[#This Row],[_Row]])="",TRUE()),"",IF(INDEX(tsk_IsSummary,GanttView[[#This Row],[_Row]]),NETWORKDAYS.INTL(INDEX(tsk_FcStart,GanttView[[#This Row],[_Row]]),INDEX(tsk_FcFinish,GanttView[[#This Row],[_Row]]),WorkWeek,Holidays),N(INDEX(tsk_Duration,GanttView[[#This Row],[_Row]]))))</f>
        <v>23</v>
      </c>
      <c r="E20" s="122" t="n">
        <f aca="false">IF(IFERROR(INDEX(tsk_Name,GanttView[[#This Row],[_Row]])="",TRUE()),"",INDEX(tsk_PlanStart,GanttView[[#This Row],[_Row]]))</f>
        <v>46297</v>
      </c>
      <c r="F20" s="122" t="n">
        <f aca="false">IF(IFERROR(INDEX(tsk_Name,GanttView[[#This Row],[_Row]])="",TRUE()),"",INDEX(tsk_PlanFinish,GanttView[[#This Row],[_Row]]))</f>
        <v>46324</v>
      </c>
      <c r="G20" s="122" t="n">
        <f aca="false">IF(IFERROR(INDEX(tsk_Name,GanttView[[#This Row],[_Row]])="",TRUE()),"",INDEX(tsk_FcStart,GanttView[[#This Row],[_Row]]))</f>
        <v>46302</v>
      </c>
      <c r="H20" s="122" t="n">
        <f aca="false">IF(IFERROR(INDEX(tsk_Name,GanttView[[#This Row],[_Row]])="",TRUE()),"",INDEX(tsk_FcFinish,GanttView[[#This Row],[_Row]]))</f>
        <v>46332</v>
      </c>
      <c r="I20" s="123" t="n">
        <f aca="false">IF(IFERROR(INDEX(tsk_Name,GanttView[[#This Row],[_Row]])="",TRUE()),"",INDEX(tsk_Progress,GanttView[[#This Row],[_Row]]))</f>
        <v>0.428571428571429</v>
      </c>
      <c r="J20" s="121" t="str">
        <f aca="false">IF(IFERROR(INDEX(tsk_Name,GanttView[[#This Row],[_Row]])="",TRUE()),"",INDEX(tsk_Resource,GanttView[[#This Row],[_Row]])&amp;"")</f>
        <v/>
      </c>
      <c r="K20" s="124" t="str">
        <f aca="false">IF(IFERROR(INDEX(tsk_Name,GanttView[[#This Row],[_Row]])="",TRUE()),"",INDEX(tsk_Status,GanttView[[#This Row],[_Row]]))</f>
        <v>Behind</v>
      </c>
      <c r="L20" s="125" t="n">
        <f aca="false">ROW()-ROW(GanttView[[#Headers],[ID]])</f>
        <v>15</v>
      </c>
      <c r="M20" s="126" t="b">
        <f aca="false">IF(IFERROR(INDEX(tsk_Name,GanttView[[#This Row],[_Row]])="",TRUE()),FALSE(),INDEX(tsk_IsSummary,GanttView[[#This Row],[_Row]]))</f>
        <v>1</v>
      </c>
      <c r="N20" s="126" t="b">
        <f aca="false">IF(IFERROR(INDEX(tsk_Name,GanttView[[#This Row],[_Row]])="",TRUE()),FALSE(),AND(INDEX(tsk_IsLeaf,GanttView[[#This Row],[_Row]])=1,N(INDEX(tsk_Duration,GanttView[[#This Row],[_Row]]))=0))</f>
        <v>0</v>
      </c>
      <c r="O20" s="127" t="n">
        <f aca="false">IF(IFERROR(INDEX(tsk_Name,GanttView[[#This Row],[_Row]])="",TRUE()),0,IF(AND(INDEX(tsk_IsLeaf,GanttView[[#This Row],[_Row]])=1,NOT(GanttView[[#This Row],[_IsMilestone]]),N(GanttView[[#This Row],[%]])&gt;0),GanttView[[#This Row],[Forecast Start]],0))</f>
        <v>0</v>
      </c>
      <c r="P20" s="127" t="n">
        <f aca="false">IF(GanttView[[#This Row],[_DoneFrom]]=0,0,IF(GanttView[[#This Row],[%]]&gt;=1,GanttView[[#This Row],[Forecast Finish]],MAX(GanttView[[#This Row],[_DoneFrom]],GanttView[[#This Row],[Forecast Start]]+ROUND((GanttView[[#This Row],[Forecast Finish]]-GanttView[[#This Row],[Forecast Start]]+1)*GanttView[[#This Row],[%]],0)-1)))</f>
        <v>0</v>
      </c>
      <c r="Q20" s="127" t="n">
        <f aca="false">IF(IFERROR(INDEX(tsk_Name,GanttView[[#This Row],[_Row]])="",TRUE()),0,IF(OR(INDEX(tsk_IsLeaf,GanttView[[#This Row],[_Row]])&lt;&gt;1,GanttView[[#This Row],[_IsMilestone]],N(GanttView[[#This Row],[%]])&gt;=1),0,IF(GanttView[[#This Row],[_DoneTo]]&gt;0,GanttView[[#This Row],[_DoneTo]]+1,GanttView[[#This Row],[Forecast Start]])))</f>
        <v>0</v>
      </c>
      <c r="R20" s="127" t="n">
        <f aca="false">IF(GanttView[[#This Row],[_RemFrom]]=0,0,GanttView[[#This Row],[Forecast Finish]])</f>
        <v>0</v>
      </c>
      <c r="S20" s="126" t="b">
        <f aca="false">IF(IFERROR(INDEX(tsk_Name,GanttView[[#This Row],[_Row]])="",TRUE()),FALSE(),N(INDEX(tsk_Variance,GanttView[[#This Row],[_Row]]))&gt;0)</f>
        <v>1</v>
      </c>
      <c r="T20" s="127" t="n">
        <f aca="false">IF(IFERROR(INDEX(tsk_Name,GanttView[[#This Row],[_Row]])="",TRUE()),0,N(INDEX(tsk_Deadline,GanttView[[#This Row],[_Row]])))</f>
        <v>0</v>
      </c>
      <c r="U20" s="126" t="b">
        <f aca="false">IF(IFERROR(INDEX(tsk_Name,GanttView[[#This Row],[_Row]])="",TRUE()),FALSE(),INDEX(tsk_Critical,GanttView[[#This Row],[_Row]])="Yes")</f>
        <v>1</v>
      </c>
    </row>
    <row r="21" customFormat="false" ht="15" hidden="false" customHeight="false" outlineLevel="0" collapsed="false">
      <c r="A21" s="120" t="n">
        <f aca="false">IF(IFERROR(INDEX(tsk_Name,GanttView[[#This Row],[_Row]])="",TRUE()),"",INDEX(tsk_ID,GanttView[[#This Row],[_Row]]))</f>
        <v>16</v>
      </c>
      <c r="B21" s="120" t="str">
        <f aca="false">IF(IFERROR(INDEX(tsk_Name,GanttView[[#This Row],[_Row]])="",TRUE()),"",INDEX(tsk_WBS,GanttView[[#This Row],[_Row]]))</f>
        <v>3.2.1</v>
      </c>
      <c r="C21" s="121" t="str">
        <f aca="false">IF(IFERROR(INDEX(tsk_Name,GanttView[[#This Row],[_Row]])="",TRUE()),"",REPT("    ",INDEX(tsk_Level,GanttView[[#This Row],[_Row]])-1)&amp;INDEX(tsk_Name,GanttView[[#This Row],[_Row]]))</f>
        <v>        UI component library</v>
      </c>
      <c r="D21" s="120" t="n">
        <f aca="false">IF(IFERROR(INDEX(tsk_Name,GanttView[[#This Row],[_Row]])="",TRUE()),"",IF(INDEX(tsk_IsSummary,GanttView[[#This Row],[_Row]]),NETWORKDAYS.INTL(INDEX(tsk_FcStart,GanttView[[#This Row],[_Row]]),INDEX(tsk_FcFinish,GanttView[[#This Row],[_Row]]),WorkWeek,Holidays),N(INDEX(tsk_Duration,GanttView[[#This Row],[_Row]]))))</f>
        <v>6</v>
      </c>
      <c r="E21" s="122" t="n">
        <f aca="false">IF(IFERROR(INDEX(tsk_Name,GanttView[[#This Row],[_Row]])="",TRUE()),"",INDEX(tsk_PlanStart,GanttView[[#This Row],[_Row]]))</f>
        <v>46297</v>
      </c>
      <c r="F21" s="122" t="n">
        <f aca="false">IF(IFERROR(INDEX(tsk_Name,GanttView[[#This Row],[_Row]])="",TRUE()),"",INDEX(tsk_PlanFinish,GanttView[[#This Row],[_Row]]))</f>
        <v>46304</v>
      </c>
      <c r="G21" s="122" t="n">
        <f aca="false">IF(IFERROR(INDEX(tsk_Name,GanttView[[#This Row],[_Row]])="",TRUE()),"",INDEX(tsk_FcStart,GanttView[[#This Row],[_Row]]))</f>
        <v>46302</v>
      </c>
      <c r="H21" s="122" t="n">
        <f aca="false">IF(IFERROR(INDEX(tsk_Name,GanttView[[#This Row],[_Row]])="",TRUE()),"",INDEX(tsk_FcFinish,GanttView[[#This Row],[_Row]]))</f>
        <v>46311</v>
      </c>
      <c r="I21" s="123" t="n">
        <f aca="false">IF(IFERROR(INDEX(tsk_Name,GanttView[[#This Row],[_Row]])="",TRUE()),"",INDEX(tsk_Progress,GanttView[[#This Row],[_Row]]))</f>
        <v>1</v>
      </c>
      <c r="J21" s="121" t="str">
        <f aca="false">IF(IFERROR(INDEX(tsk_Name,GanttView[[#This Row],[_Row]])="",TRUE()),"",INDEX(tsk_Resource,GanttView[[#This Row],[_Row]])&amp;"")</f>
        <v>Sam Rivera</v>
      </c>
      <c r="K21" s="124" t="str">
        <f aca="false">IF(IFERROR(INDEX(tsk_Name,GanttView[[#This Row],[_Row]])="",TRUE()),"",INDEX(tsk_Status,GanttView[[#This Row],[_Row]]))</f>
        <v>Complete</v>
      </c>
      <c r="L21" s="125" t="n">
        <f aca="false">ROW()-ROW(GanttView[[#Headers],[ID]])</f>
        <v>16</v>
      </c>
      <c r="M21" s="126" t="b">
        <f aca="false">IF(IFERROR(INDEX(tsk_Name,GanttView[[#This Row],[_Row]])="",TRUE()),FALSE(),INDEX(tsk_IsSummary,GanttView[[#This Row],[_Row]]))</f>
        <v>0</v>
      </c>
      <c r="N21" s="126" t="b">
        <f aca="false">IF(IFERROR(INDEX(tsk_Name,GanttView[[#This Row],[_Row]])="",TRUE()),FALSE(),AND(INDEX(tsk_IsLeaf,GanttView[[#This Row],[_Row]])=1,N(INDEX(tsk_Duration,GanttView[[#This Row],[_Row]]))=0))</f>
        <v>0</v>
      </c>
      <c r="O21" s="127" t="n">
        <f aca="false">IF(IFERROR(INDEX(tsk_Name,GanttView[[#This Row],[_Row]])="",TRUE()),0,IF(AND(INDEX(tsk_IsLeaf,GanttView[[#This Row],[_Row]])=1,NOT(GanttView[[#This Row],[_IsMilestone]]),N(GanttView[[#This Row],[%]])&gt;0),GanttView[[#This Row],[Forecast Start]],0))</f>
        <v>46302</v>
      </c>
      <c r="P21" s="127" t="n">
        <f aca="false">IF(GanttView[[#This Row],[_DoneFrom]]=0,0,IF(GanttView[[#This Row],[%]]&gt;=1,GanttView[[#This Row],[Forecast Finish]],MAX(GanttView[[#This Row],[_DoneFrom]],GanttView[[#This Row],[Forecast Start]]+ROUND((GanttView[[#This Row],[Forecast Finish]]-GanttView[[#This Row],[Forecast Start]]+1)*GanttView[[#This Row],[%]],0)-1)))</f>
        <v>46311</v>
      </c>
      <c r="Q21" s="127" t="n">
        <f aca="false">IF(IFERROR(INDEX(tsk_Name,GanttView[[#This Row],[_Row]])="",TRUE()),0,IF(OR(INDEX(tsk_IsLeaf,GanttView[[#This Row],[_Row]])&lt;&gt;1,GanttView[[#This Row],[_IsMilestone]],N(GanttView[[#This Row],[%]])&gt;=1),0,IF(GanttView[[#This Row],[_DoneTo]]&gt;0,GanttView[[#This Row],[_DoneTo]]+1,GanttView[[#This Row],[Forecast Start]])))</f>
        <v>0</v>
      </c>
      <c r="R21" s="127" t="n">
        <f aca="false">IF(GanttView[[#This Row],[_RemFrom]]=0,0,GanttView[[#This Row],[Forecast Finish]])</f>
        <v>0</v>
      </c>
      <c r="S21" s="126" t="b">
        <f aca="false">IF(IFERROR(INDEX(tsk_Name,GanttView[[#This Row],[_Row]])="",TRUE()),FALSE(),N(INDEX(tsk_Variance,GanttView[[#This Row],[_Row]]))&gt;0)</f>
        <v>1</v>
      </c>
      <c r="T21" s="127" t="n">
        <f aca="false">IF(IFERROR(INDEX(tsk_Name,GanttView[[#This Row],[_Row]])="",TRUE()),0,N(INDEX(tsk_Deadline,GanttView[[#This Row],[_Row]])))</f>
        <v>0</v>
      </c>
      <c r="U21" s="126" t="b">
        <f aca="false">IF(IFERROR(INDEX(tsk_Name,GanttView[[#This Row],[_Row]])="",TRUE()),FALSE(),INDEX(tsk_Critical,GanttView[[#This Row],[_Row]])="Yes")</f>
        <v>0</v>
      </c>
    </row>
    <row r="22" customFormat="false" ht="15" hidden="false" customHeight="false" outlineLevel="0" collapsed="false">
      <c r="A22" s="120" t="n">
        <f aca="false">IF(IFERROR(INDEX(tsk_Name,GanttView[[#This Row],[_Row]])="",TRUE()),"",INDEX(tsk_ID,GanttView[[#This Row],[_Row]]))</f>
        <v>17</v>
      </c>
      <c r="B22" s="120" t="str">
        <f aca="false">IF(IFERROR(INDEX(tsk_Name,GanttView[[#This Row],[_Row]])="",TRUE()),"",INDEX(tsk_WBS,GanttView[[#This Row],[_Row]]))</f>
        <v>3.2.2</v>
      </c>
      <c r="C22" s="121" t="str">
        <f aca="false">IF(IFERROR(INDEX(tsk_Name,GanttView[[#This Row],[_Row]])="",TRUE()),"",REPT("    ",INDEX(tsk_Level,GanttView[[#This Row],[_Row]])-1)&amp;INDEX(tsk_Name,GanttView[[#This Row],[_Row]]))</f>
        <v>        Feature screens</v>
      </c>
      <c r="D22" s="120" t="n">
        <f aca="false">IF(IFERROR(INDEX(tsk_Name,GanttView[[#This Row],[_Row]])="",TRUE()),"",IF(INDEX(tsk_IsSummary,GanttView[[#This Row],[_Row]]),NETWORKDAYS.INTL(INDEX(tsk_FcStart,GanttView[[#This Row],[_Row]]),INDEX(tsk_FcFinish,GanttView[[#This Row],[_Row]]),WorkWeek,Holidays),N(INDEX(tsk_Duration,GanttView[[#This Row],[_Row]]))))</f>
        <v>12</v>
      </c>
      <c r="E22" s="122" t="n">
        <f aca="false">IF(IFERROR(INDEX(tsk_Name,GanttView[[#This Row],[_Row]])="",TRUE()),"",INDEX(tsk_PlanStart,GanttView[[#This Row],[_Row]]))</f>
        <v>46308</v>
      </c>
      <c r="F22" s="122" t="n">
        <f aca="false">IF(IFERROR(INDEX(tsk_Name,GanttView[[#This Row],[_Row]])="",TRUE()),"",INDEX(tsk_PlanFinish,GanttView[[#This Row],[_Row]]))</f>
        <v>46323</v>
      </c>
      <c r="G22" s="122" t="n">
        <f aca="false">IF(IFERROR(INDEX(tsk_Name,GanttView[[#This Row],[_Row]])="",TRUE()),"",INDEX(tsk_FcStart,GanttView[[#This Row],[_Row]]))</f>
        <v>46314</v>
      </c>
      <c r="H22" s="122" t="n">
        <f aca="false">IF(IFERROR(INDEX(tsk_Name,GanttView[[#This Row],[_Row]])="",TRUE()),"",INDEX(tsk_FcFinish,GanttView[[#This Row],[_Row]]))</f>
        <v>46331</v>
      </c>
      <c r="I22" s="123" t="n">
        <f aca="false">IF(IFERROR(INDEX(tsk_Name,GanttView[[#This Row],[_Row]])="",TRUE()),"",INDEX(tsk_Progress,GanttView[[#This Row],[_Row]]))</f>
        <v>0.25</v>
      </c>
      <c r="J22" s="121" t="str">
        <f aca="false">IF(IFERROR(INDEX(tsk_Name,GanttView[[#This Row],[_Row]])="",TRUE()),"",INDEX(tsk_Resource,GanttView[[#This Row],[_Row]])&amp;"")</f>
        <v>Sam Rivera</v>
      </c>
      <c r="K22" s="124" t="str">
        <f aca="false">IF(IFERROR(INDEX(tsk_Name,GanttView[[#This Row],[_Row]])="",TRUE()),"",INDEX(tsk_Status,GanttView[[#This Row],[_Row]]))</f>
        <v>Behind</v>
      </c>
      <c r="L22" s="125" t="n">
        <f aca="false">ROW()-ROW(GanttView[[#Headers],[ID]])</f>
        <v>17</v>
      </c>
      <c r="M22" s="126" t="b">
        <f aca="false">IF(IFERROR(INDEX(tsk_Name,GanttView[[#This Row],[_Row]])="",TRUE()),FALSE(),INDEX(tsk_IsSummary,GanttView[[#This Row],[_Row]]))</f>
        <v>0</v>
      </c>
      <c r="N22" s="126" t="b">
        <f aca="false">IF(IFERROR(INDEX(tsk_Name,GanttView[[#This Row],[_Row]])="",TRUE()),FALSE(),AND(INDEX(tsk_IsLeaf,GanttView[[#This Row],[_Row]])=1,N(INDEX(tsk_Duration,GanttView[[#This Row],[_Row]]))=0))</f>
        <v>0</v>
      </c>
      <c r="O22" s="127" t="n">
        <f aca="false">IF(IFERROR(INDEX(tsk_Name,GanttView[[#This Row],[_Row]])="",TRUE()),0,IF(AND(INDEX(tsk_IsLeaf,GanttView[[#This Row],[_Row]])=1,NOT(GanttView[[#This Row],[_IsMilestone]]),N(GanttView[[#This Row],[%]])&gt;0),GanttView[[#This Row],[Forecast Start]],0))</f>
        <v>46314</v>
      </c>
      <c r="P22" s="127" t="n">
        <f aca="false">IF(GanttView[[#This Row],[_DoneFrom]]=0,0,IF(GanttView[[#This Row],[%]]&gt;=1,GanttView[[#This Row],[Forecast Finish]],MAX(GanttView[[#This Row],[_DoneFrom]],GanttView[[#This Row],[Forecast Start]]+ROUND((GanttView[[#This Row],[Forecast Finish]]-GanttView[[#This Row],[Forecast Start]]+1)*GanttView[[#This Row],[%]],0)-1)))</f>
        <v>46318</v>
      </c>
      <c r="Q22" s="127" t="n">
        <f aca="false">IF(IFERROR(INDEX(tsk_Name,GanttView[[#This Row],[_Row]])="",TRUE()),0,IF(OR(INDEX(tsk_IsLeaf,GanttView[[#This Row],[_Row]])&lt;&gt;1,GanttView[[#This Row],[_IsMilestone]],N(GanttView[[#This Row],[%]])&gt;=1),0,IF(GanttView[[#This Row],[_DoneTo]]&gt;0,GanttView[[#This Row],[_DoneTo]]+1,GanttView[[#This Row],[Forecast Start]])))</f>
        <v>46319</v>
      </c>
      <c r="R22" s="127" t="n">
        <f aca="false">IF(GanttView[[#This Row],[_RemFrom]]=0,0,GanttView[[#This Row],[Forecast Finish]])</f>
        <v>46331</v>
      </c>
      <c r="S22" s="126" t="b">
        <f aca="false">IF(IFERROR(INDEX(tsk_Name,GanttView[[#This Row],[_Row]])="",TRUE()),FALSE(),N(INDEX(tsk_Variance,GanttView[[#This Row],[_Row]]))&gt;0)</f>
        <v>1</v>
      </c>
      <c r="T22" s="127" t="n">
        <f aca="false">IF(IFERROR(INDEX(tsk_Name,GanttView[[#This Row],[_Row]])="",TRUE()),0,N(INDEX(tsk_Deadline,GanttView[[#This Row],[_Row]])))</f>
        <v>0</v>
      </c>
      <c r="U22" s="126" t="b">
        <f aca="false">IF(IFERROR(INDEX(tsk_Name,GanttView[[#This Row],[_Row]])="",TRUE()),FALSE(),INDEX(tsk_Critical,GanttView[[#This Row],[_Row]])="Yes")</f>
        <v>1</v>
      </c>
    </row>
    <row r="23" customFormat="false" ht="15" hidden="false" customHeight="false" outlineLevel="0" collapsed="false">
      <c r="A23" s="120" t="n">
        <f aca="false">IF(IFERROR(INDEX(tsk_Name,GanttView[[#This Row],[_Row]])="",TRUE()),"",INDEX(tsk_ID,GanttView[[#This Row],[_Row]]))</f>
        <v>18</v>
      </c>
      <c r="B23" s="120" t="str">
        <f aca="false">IF(IFERROR(INDEX(tsk_Name,GanttView[[#This Row],[_Row]])="",TRUE()),"",INDEX(tsk_WBS,GanttView[[#This Row],[_Row]]))</f>
        <v>3.2.3</v>
      </c>
      <c r="C23" s="121" t="str">
        <f aca="false">IF(IFERROR(INDEX(tsk_Name,GanttView[[#This Row],[_Row]])="",TRUE()),"",REPT("    ",INDEX(tsk_Level,GanttView[[#This Row],[_Row]])-1)&amp;INDEX(tsk_Name,GanttView[[#This Row],[_Row]]))</f>
        <v>        Accessibility review</v>
      </c>
      <c r="D23" s="120" t="n">
        <f aca="false">IF(IFERROR(INDEX(tsk_Name,GanttView[[#This Row],[_Row]])="",TRUE()),"",IF(INDEX(tsk_IsSummary,GanttView[[#This Row],[_Row]]),NETWORKDAYS.INTL(INDEX(tsk_FcStart,GanttView[[#This Row],[_Row]]),INDEX(tsk_FcFinish,GanttView[[#This Row],[_Row]]),WorkWeek,Holidays),N(INDEX(tsk_Duration,GanttView[[#This Row],[_Row]]))))</f>
        <v>3</v>
      </c>
      <c r="E23" s="122" t="n">
        <f aca="false">IF(IFERROR(INDEX(tsk_Name,GanttView[[#This Row],[_Row]])="",TRUE()),"",INDEX(tsk_PlanStart,GanttView[[#This Row],[_Row]]))</f>
        <v>46322</v>
      </c>
      <c r="F23" s="122" t="n">
        <f aca="false">IF(IFERROR(INDEX(tsk_Name,GanttView[[#This Row],[_Row]])="",TRUE()),"",INDEX(tsk_PlanFinish,GanttView[[#This Row],[_Row]]))</f>
        <v>46324</v>
      </c>
      <c r="G23" s="122" t="n">
        <f aca="false">IF(IFERROR(INDEX(tsk_Name,GanttView[[#This Row],[_Row]])="",TRUE()),"",INDEX(tsk_FcStart,GanttView[[#This Row],[_Row]]))</f>
        <v>46330</v>
      </c>
      <c r="H23" s="122" t="n">
        <f aca="false">IF(IFERROR(INDEX(tsk_Name,GanttView[[#This Row],[_Row]])="",TRUE()),"",INDEX(tsk_FcFinish,GanttView[[#This Row],[_Row]]))</f>
        <v>46332</v>
      </c>
      <c r="I23" s="123" t="n">
        <f aca="false">IF(IFERROR(INDEX(tsk_Name,GanttView[[#This Row],[_Row]])="",TRUE()),"",INDEX(tsk_Progress,GanttView[[#This Row],[_Row]]))</f>
        <v>0</v>
      </c>
      <c r="J23" s="121" t="str">
        <f aca="false">IF(IFERROR(INDEX(tsk_Name,GanttView[[#This Row],[_Row]])="",TRUE()),"",INDEX(tsk_Resource,GanttView[[#This Row],[_Row]])&amp;"")</f>
        <v>Casey Kim</v>
      </c>
      <c r="K23" s="124" t="str">
        <f aca="false">IF(IFERROR(INDEX(tsk_Name,GanttView[[#This Row],[_Row]])="",TRUE()),"",INDEX(tsk_Status,GanttView[[#This Row],[_Row]]))</f>
        <v>Not Started</v>
      </c>
      <c r="L23" s="125" t="n">
        <f aca="false">ROW()-ROW(GanttView[[#Headers],[ID]])</f>
        <v>18</v>
      </c>
      <c r="M23" s="126" t="b">
        <f aca="false">IF(IFERROR(INDEX(tsk_Name,GanttView[[#This Row],[_Row]])="",TRUE()),FALSE(),INDEX(tsk_IsSummary,GanttView[[#This Row],[_Row]]))</f>
        <v>0</v>
      </c>
      <c r="N23" s="126" t="b">
        <f aca="false">IF(IFERROR(INDEX(tsk_Name,GanttView[[#This Row],[_Row]])="",TRUE()),FALSE(),AND(INDEX(tsk_IsLeaf,GanttView[[#This Row],[_Row]])=1,N(INDEX(tsk_Duration,GanttView[[#This Row],[_Row]]))=0))</f>
        <v>0</v>
      </c>
      <c r="O23" s="127" t="n">
        <f aca="false">IF(IFERROR(INDEX(tsk_Name,GanttView[[#This Row],[_Row]])="",TRUE()),0,IF(AND(INDEX(tsk_IsLeaf,GanttView[[#This Row],[_Row]])=1,NOT(GanttView[[#This Row],[_IsMilestone]]),N(GanttView[[#This Row],[%]])&gt;0),GanttView[[#This Row],[Forecast Start]],0))</f>
        <v>0</v>
      </c>
      <c r="P23" s="127" t="n">
        <f aca="false">IF(GanttView[[#This Row],[_DoneFrom]]=0,0,IF(GanttView[[#This Row],[%]]&gt;=1,GanttView[[#This Row],[Forecast Finish]],MAX(GanttView[[#This Row],[_DoneFrom]],GanttView[[#This Row],[Forecast Start]]+ROUND((GanttView[[#This Row],[Forecast Finish]]-GanttView[[#This Row],[Forecast Start]]+1)*GanttView[[#This Row],[%]],0)-1)))</f>
        <v>0</v>
      </c>
      <c r="Q23" s="127" t="n">
        <f aca="false">IF(IFERROR(INDEX(tsk_Name,GanttView[[#This Row],[_Row]])="",TRUE()),0,IF(OR(INDEX(tsk_IsLeaf,GanttView[[#This Row],[_Row]])&lt;&gt;1,GanttView[[#This Row],[_IsMilestone]],N(GanttView[[#This Row],[%]])&gt;=1),0,IF(GanttView[[#This Row],[_DoneTo]]&gt;0,GanttView[[#This Row],[_DoneTo]]+1,GanttView[[#This Row],[Forecast Start]])))</f>
        <v>46330</v>
      </c>
      <c r="R23" s="127" t="n">
        <f aca="false">IF(GanttView[[#This Row],[_RemFrom]]=0,0,GanttView[[#This Row],[Forecast Finish]])</f>
        <v>46332</v>
      </c>
      <c r="S23" s="126" t="b">
        <f aca="false">IF(IFERROR(INDEX(tsk_Name,GanttView[[#This Row],[_Row]])="",TRUE()),FALSE(),N(INDEX(tsk_Variance,GanttView[[#This Row],[_Row]]))&gt;0)</f>
        <v>1</v>
      </c>
      <c r="T23" s="127" t="n">
        <f aca="false">IF(IFERROR(INDEX(tsk_Name,GanttView[[#This Row],[_Row]])="",TRUE()),0,N(INDEX(tsk_Deadline,GanttView[[#This Row],[_Row]])))</f>
        <v>0</v>
      </c>
      <c r="U23" s="126" t="b">
        <f aca="false">IF(IFERROR(INDEX(tsk_Name,GanttView[[#This Row],[_Row]])="",TRUE()),FALSE(),INDEX(tsk_Critical,GanttView[[#This Row],[_Row]])="Yes")</f>
        <v>1</v>
      </c>
    </row>
    <row r="24" customFormat="false" ht="15" hidden="false" customHeight="false" outlineLevel="0" collapsed="false">
      <c r="A24" s="120" t="n">
        <f aca="false">IF(IFERROR(INDEX(tsk_Name,GanttView[[#This Row],[_Row]])="",TRUE()),"",INDEX(tsk_ID,GanttView[[#This Row],[_Row]]))</f>
        <v>19</v>
      </c>
      <c r="B24" s="120" t="str">
        <f aca="false">IF(IFERROR(INDEX(tsk_Name,GanttView[[#This Row],[_Row]])="",TRUE()),"",INDEX(tsk_WBS,GanttView[[#This Row],[_Row]]))</f>
        <v>3.3</v>
      </c>
      <c r="C24" s="121" t="str">
        <f aca="false">IF(IFERROR(INDEX(tsk_Name,GanttView[[#This Row],[_Row]])="",TRUE()),"",REPT("    ",INDEX(tsk_Level,GanttView[[#This Row],[_Row]])-1)&amp;INDEX(tsk_Name,GanttView[[#This Row],[_Row]]))</f>
        <v>    Build complete</v>
      </c>
      <c r="D24" s="120" t="n">
        <f aca="false">IF(IFERROR(INDEX(tsk_Name,GanttView[[#This Row],[_Row]])="",TRUE()),"",IF(INDEX(tsk_IsSummary,GanttView[[#This Row],[_Row]]),NETWORKDAYS.INTL(INDEX(tsk_FcStart,GanttView[[#This Row],[_Row]]),INDEX(tsk_FcFinish,GanttView[[#This Row],[_Row]]),WorkWeek,Holidays),N(INDEX(tsk_Duration,GanttView[[#This Row],[_Row]]))))</f>
        <v>0</v>
      </c>
      <c r="E24" s="122" t="n">
        <f aca="false">IF(IFERROR(INDEX(tsk_Name,GanttView[[#This Row],[_Row]])="",TRUE()),"",INDEX(tsk_PlanStart,GanttView[[#This Row],[_Row]]))</f>
        <v>46325</v>
      </c>
      <c r="F24" s="122" t="n">
        <f aca="false">IF(IFERROR(INDEX(tsk_Name,GanttView[[#This Row],[_Row]])="",TRUE()),"",INDEX(tsk_PlanFinish,GanttView[[#This Row],[_Row]]))</f>
        <v>46325</v>
      </c>
      <c r="G24" s="122" t="n">
        <f aca="false">IF(IFERROR(INDEX(tsk_Name,GanttView[[#This Row],[_Row]])="",TRUE()),"",INDEX(tsk_FcStart,GanttView[[#This Row],[_Row]]))</f>
        <v>46335</v>
      </c>
      <c r="H24" s="122" t="n">
        <f aca="false">IF(IFERROR(INDEX(tsk_Name,GanttView[[#This Row],[_Row]])="",TRUE()),"",INDEX(tsk_FcFinish,GanttView[[#This Row],[_Row]]))</f>
        <v>46335</v>
      </c>
      <c r="I24" s="123" t="n">
        <f aca="false">IF(IFERROR(INDEX(tsk_Name,GanttView[[#This Row],[_Row]])="",TRUE()),"",INDEX(tsk_Progress,GanttView[[#This Row],[_Row]]))</f>
        <v>0</v>
      </c>
      <c r="J24" s="121" t="str">
        <f aca="false">IF(IFERROR(INDEX(tsk_Name,GanttView[[#This Row],[_Row]])="",TRUE()),"",INDEX(tsk_Resource,GanttView[[#This Row],[_Row]])&amp;"")</f>
        <v/>
      </c>
      <c r="K24" s="124" t="str">
        <f aca="false">IF(IFERROR(INDEX(tsk_Name,GanttView[[#This Row],[_Row]])="",TRUE()),"",INDEX(tsk_Status,GanttView[[#This Row],[_Row]]))</f>
        <v>Not Started</v>
      </c>
      <c r="L24" s="125" t="n">
        <f aca="false">ROW()-ROW(GanttView[[#Headers],[ID]])</f>
        <v>19</v>
      </c>
      <c r="M24" s="126" t="b">
        <f aca="false">IF(IFERROR(INDEX(tsk_Name,GanttView[[#This Row],[_Row]])="",TRUE()),FALSE(),INDEX(tsk_IsSummary,GanttView[[#This Row],[_Row]]))</f>
        <v>0</v>
      </c>
      <c r="N24" s="126" t="b">
        <f aca="false">IF(IFERROR(INDEX(tsk_Name,GanttView[[#This Row],[_Row]])="",TRUE()),FALSE(),AND(INDEX(tsk_IsLeaf,GanttView[[#This Row],[_Row]])=1,N(INDEX(tsk_Duration,GanttView[[#This Row],[_Row]]))=0))</f>
        <v>1</v>
      </c>
      <c r="O24" s="127" t="n">
        <f aca="false">IF(IFERROR(INDEX(tsk_Name,GanttView[[#This Row],[_Row]])="",TRUE()),0,IF(AND(INDEX(tsk_IsLeaf,GanttView[[#This Row],[_Row]])=1,NOT(GanttView[[#This Row],[_IsMilestone]]),N(GanttView[[#This Row],[%]])&gt;0),GanttView[[#This Row],[Forecast Start]],0))</f>
        <v>0</v>
      </c>
      <c r="P24" s="127" t="n">
        <f aca="false">IF(GanttView[[#This Row],[_DoneFrom]]=0,0,IF(GanttView[[#This Row],[%]]&gt;=1,GanttView[[#This Row],[Forecast Finish]],MAX(GanttView[[#This Row],[_DoneFrom]],GanttView[[#This Row],[Forecast Start]]+ROUND((GanttView[[#This Row],[Forecast Finish]]-GanttView[[#This Row],[Forecast Start]]+1)*GanttView[[#This Row],[%]],0)-1)))</f>
        <v>0</v>
      </c>
      <c r="Q24" s="127" t="n">
        <f aca="false">IF(IFERROR(INDEX(tsk_Name,GanttView[[#This Row],[_Row]])="",TRUE()),0,IF(OR(INDEX(tsk_IsLeaf,GanttView[[#This Row],[_Row]])&lt;&gt;1,GanttView[[#This Row],[_IsMilestone]],N(GanttView[[#This Row],[%]])&gt;=1),0,IF(GanttView[[#This Row],[_DoneTo]]&gt;0,GanttView[[#This Row],[_DoneTo]]+1,GanttView[[#This Row],[Forecast Start]])))</f>
        <v>0</v>
      </c>
      <c r="R24" s="127" t="n">
        <f aca="false">IF(GanttView[[#This Row],[_RemFrom]]=0,0,GanttView[[#This Row],[Forecast Finish]])</f>
        <v>0</v>
      </c>
      <c r="S24" s="126" t="b">
        <f aca="false">IF(IFERROR(INDEX(tsk_Name,GanttView[[#This Row],[_Row]])="",TRUE()),FALSE(),N(INDEX(tsk_Variance,GanttView[[#This Row],[_Row]]))&gt;0)</f>
        <v>1</v>
      </c>
      <c r="T24" s="127" t="n">
        <f aca="false">IF(IFERROR(INDEX(tsk_Name,GanttView[[#This Row],[_Row]])="",TRUE()),0,N(INDEX(tsk_Deadline,GanttView[[#This Row],[_Row]])))</f>
        <v>46332</v>
      </c>
      <c r="U24" s="126" t="b">
        <f aca="false">IF(IFERROR(INDEX(tsk_Name,GanttView[[#This Row],[_Row]])="",TRUE()),FALSE(),INDEX(tsk_Critical,GanttView[[#This Row],[_Row]])="Yes")</f>
        <v>1</v>
      </c>
    </row>
    <row r="25" customFormat="false" ht="15" hidden="false" customHeight="false" outlineLevel="0" collapsed="false">
      <c r="A25" s="120" t="n">
        <f aca="false">IF(IFERROR(INDEX(tsk_Name,GanttView[[#This Row],[_Row]])="",TRUE()),"",INDEX(tsk_ID,GanttView[[#This Row],[_Row]]))</f>
        <v>20</v>
      </c>
      <c r="B25" s="120" t="str">
        <f aca="false">IF(IFERROR(INDEX(tsk_Name,GanttView[[#This Row],[_Row]])="",TRUE()),"",INDEX(tsk_WBS,GanttView[[#This Row],[_Row]]))</f>
        <v>4</v>
      </c>
      <c r="C25" s="121" t="str">
        <f aca="false">IF(IFERROR(INDEX(tsk_Name,GanttView[[#This Row],[_Row]])="",TRUE()),"",REPT("    ",INDEX(tsk_Level,GanttView[[#This Row],[_Row]])-1)&amp;INDEX(tsk_Name,GanttView[[#This Row],[_Row]]))</f>
        <v>Test &amp; Release</v>
      </c>
      <c r="D25" s="120" t="n">
        <f aca="false">IF(IFERROR(INDEX(tsk_Name,GanttView[[#This Row],[_Row]])="",TRUE()),"",IF(INDEX(tsk_IsSummary,GanttView[[#This Row],[_Row]]),NETWORKDAYS.INTL(INDEX(tsk_FcStart,GanttView[[#This Row],[_Row]]),INDEX(tsk_FcFinish,GanttView[[#This Row],[_Row]]),WorkWeek,Holidays),N(INDEX(tsk_Duration,GanttView[[#This Row],[_Row]]))))</f>
        <v>36</v>
      </c>
      <c r="E25" s="122" t="n">
        <f aca="false">IF(IFERROR(INDEX(tsk_Name,GanttView[[#This Row],[_Row]])="",TRUE()),"",INDEX(tsk_PlanStart,GanttView[[#This Row],[_Row]]))</f>
        <v>46328</v>
      </c>
      <c r="F25" s="122" t="n">
        <f aca="false">IF(IFERROR(INDEX(tsk_Name,GanttView[[#This Row],[_Row]])="",TRUE()),"",INDEX(tsk_PlanFinish,GanttView[[#This Row],[_Row]]))</f>
        <v>46391</v>
      </c>
      <c r="G25" s="122" t="n">
        <f aca="false">IF(IFERROR(INDEX(tsk_Name,GanttView[[#This Row],[_Row]])="",TRUE()),"",INDEX(tsk_FcStart,GanttView[[#This Row],[_Row]]))</f>
        <v>46336</v>
      </c>
      <c r="H25" s="122" t="n">
        <f aca="false">IF(IFERROR(INDEX(tsk_Name,GanttView[[#This Row],[_Row]])="",TRUE()),"",INDEX(tsk_FcFinish,GanttView[[#This Row],[_Row]]))</f>
        <v>46391</v>
      </c>
      <c r="I25" s="123" t="n">
        <f aca="false">IF(IFERROR(INDEX(tsk_Name,GanttView[[#This Row],[_Row]])="",TRUE()),"",INDEX(tsk_Progress,GanttView[[#This Row],[_Row]]))</f>
        <v>0</v>
      </c>
      <c r="J25" s="121" t="str">
        <f aca="false">IF(IFERROR(INDEX(tsk_Name,GanttView[[#This Row],[_Row]])="",TRUE()),"",INDEX(tsk_Resource,GanttView[[#This Row],[_Row]])&amp;"")</f>
        <v/>
      </c>
      <c r="K25" s="124" t="str">
        <f aca="false">IF(IFERROR(INDEX(tsk_Name,GanttView[[#This Row],[_Row]])="",TRUE()),"",INDEX(tsk_Status,GanttView[[#This Row],[_Row]]))</f>
        <v>Not Started</v>
      </c>
      <c r="L25" s="125" t="n">
        <f aca="false">ROW()-ROW(GanttView[[#Headers],[ID]])</f>
        <v>20</v>
      </c>
      <c r="M25" s="126" t="b">
        <f aca="false">IF(IFERROR(INDEX(tsk_Name,GanttView[[#This Row],[_Row]])="",TRUE()),FALSE(),INDEX(tsk_IsSummary,GanttView[[#This Row],[_Row]]))</f>
        <v>1</v>
      </c>
      <c r="N25" s="126" t="b">
        <f aca="false">IF(IFERROR(INDEX(tsk_Name,GanttView[[#This Row],[_Row]])="",TRUE()),FALSE(),AND(INDEX(tsk_IsLeaf,GanttView[[#This Row],[_Row]])=1,N(INDEX(tsk_Duration,GanttView[[#This Row],[_Row]]))=0))</f>
        <v>0</v>
      </c>
      <c r="O25" s="127" t="n">
        <f aca="false">IF(IFERROR(INDEX(tsk_Name,GanttView[[#This Row],[_Row]])="",TRUE()),0,IF(AND(INDEX(tsk_IsLeaf,GanttView[[#This Row],[_Row]])=1,NOT(GanttView[[#This Row],[_IsMilestone]]),N(GanttView[[#This Row],[%]])&gt;0),GanttView[[#This Row],[Forecast Start]],0))</f>
        <v>0</v>
      </c>
      <c r="P25" s="127" t="n">
        <f aca="false">IF(GanttView[[#This Row],[_DoneFrom]]=0,0,IF(GanttView[[#This Row],[%]]&gt;=1,GanttView[[#This Row],[Forecast Finish]],MAX(GanttView[[#This Row],[_DoneFrom]],GanttView[[#This Row],[Forecast Start]]+ROUND((GanttView[[#This Row],[Forecast Finish]]-GanttView[[#This Row],[Forecast Start]]+1)*GanttView[[#This Row],[%]],0)-1)))</f>
        <v>0</v>
      </c>
      <c r="Q25" s="127" t="n">
        <f aca="false">IF(IFERROR(INDEX(tsk_Name,GanttView[[#This Row],[_Row]])="",TRUE()),0,IF(OR(INDEX(tsk_IsLeaf,GanttView[[#This Row],[_Row]])&lt;&gt;1,GanttView[[#This Row],[_IsMilestone]],N(GanttView[[#This Row],[%]])&gt;=1),0,IF(GanttView[[#This Row],[_DoneTo]]&gt;0,GanttView[[#This Row],[_DoneTo]]+1,GanttView[[#This Row],[Forecast Start]])))</f>
        <v>0</v>
      </c>
      <c r="R25" s="127" t="n">
        <f aca="false">IF(GanttView[[#This Row],[_RemFrom]]=0,0,GanttView[[#This Row],[Forecast Finish]])</f>
        <v>0</v>
      </c>
      <c r="S25" s="126" t="b">
        <f aca="false">IF(IFERROR(INDEX(tsk_Name,GanttView[[#This Row],[_Row]])="",TRUE()),FALSE(),N(INDEX(tsk_Variance,GanttView[[#This Row],[_Row]]))&gt;0)</f>
        <v>0</v>
      </c>
      <c r="T25" s="127" t="n">
        <f aca="false">IF(IFERROR(INDEX(tsk_Name,GanttView[[#This Row],[_Row]])="",TRUE()),0,N(INDEX(tsk_Deadline,GanttView[[#This Row],[_Row]])))</f>
        <v>0</v>
      </c>
      <c r="U25" s="126" t="b">
        <f aca="false">IF(IFERROR(INDEX(tsk_Name,GanttView[[#This Row],[_Row]])="",TRUE()),FALSE(),INDEX(tsk_Critical,GanttView[[#This Row],[_Row]])="Yes")</f>
        <v>1</v>
      </c>
    </row>
    <row r="26" customFormat="false" ht="15" hidden="false" customHeight="false" outlineLevel="0" collapsed="false">
      <c r="A26" s="120" t="n">
        <f aca="false">IF(IFERROR(INDEX(tsk_Name,GanttView[[#This Row],[_Row]])="",TRUE()),"",INDEX(tsk_ID,GanttView[[#This Row],[_Row]]))</f>
        <v>21</v>
      </c>
      <c r="B26" s="120" t="str">
        <f aca="false">IF(IFERROR(INDEX(tsk_Name,GanttView[[#This Row],[_Row]])="",TRUE()),"",INDEX(tsk_WBS,GanttView[[#This Row],[_Row]]))</f>
        <v>4.1</v>
      </c>
      <c r="C26" s="121" t="str">
        <f aca="false">IF(IFERROR(INDEX(tsk_Name,GanttView[[#This Row],[_Row]])="",TRUE()),"",REPT("    ",INDEX(tsk_Level,GanttView[[#This Row],[_Row]])-1)&amp;INDEX(tsk_Name,GanttView[[#This Row],[_Row]]))</f>
        <v>    System integration testing</v>
      </c>
      <c r="D26" s="120" t="n">
        <f aca="false">IF(IFERROR(INDEX(tsk_Name,GanttView[[#This Row],[_Row]])="",TRUE()),"",IF(INDEX(tsk_IsSummary,GanttView[[#This Row],[_Row]]),NETWORKDAYS.INTL(INDEX(tsk_FcStart,GanttView[[#This Row],[_Row]]),INDEX(tsk_FcFinish,GanttView[[#This Row],[_Row]]),WorkWeek,Holidays),N(INDEX(tsk_Duration,GanttView[[#This Row],[_Row]]))))</f>
        <v>8</v>
      </c>
      <c r="E26" s="122" t="n">
        <f aca="false">IF(IFERROR(INDEX(tsk_Name,GanttView[[#This Row],[_Row]])="",TRUE()),"",INDEX(tsk_PlanStart,GanttView[[#This Row],[_Row]]))</f>
        <v>46328</v>
      </c>
      <c r="F26" s="122" t="n">
        <f aca="false">IF(IFERROR(INDEX(tsk_Name,GanttView[[#This Row],[_Row]])="",TRUE()),"",INDEX(tsk_PlanFinish,GanttView[[#This Row],[_Row]]))</f>
        <v>46337</v>
      </c>
      <c r="G26" s="122" t="n">
        <f aca="false">IF(IFERROR(INDEX(tsk_Name,GanttView[[#This Row],[_Row]])="",TRUE()),"",INDEX(tsk_FcStart,GanttView[[#This Row],[_Row]]))</f>
        <v>46336</v>
      </c>
      <c r="H26" s="122" t="n">
        <f aca="false">IF(IFERROR(INDEX(tsk_Name,GanttView[[#This Row],[_Row]])="",TRUE()),"",INDEX(tsk_FcFinish,GanttView[[#This Row],[_Row]]))</f>
        <v>46345</v>
      </c>
      <c r="I26" s="123" t="n">
        <f aca="false">IF(IFERROR(INDEX(tsk_Name,GanttView[[#This Row],[_Row]])="",TRUE()),"",INDEX(tsk_Progress,GanttView[[#This Row],[_Row]]))</f>
        <v>0</v>
      </c>
      <c r="J26" s="121" t="str">
        <f aca="false">IF(IFERROR(INDEX(tsk_Name,GanttView[[#This Row],[_Row]])="",TRUE()),"",INDEX(tsk_Resource,GanttView[[#This Row],[_Row]])&amp;"")</f>
        <v>Taylor Morgan</v>
      </c>
      <c r="K26" s="124" t="str">
        <f aca="false">IF(IFERROR(INDEX(tsk_Name,GanttView[[#This Row],[_Row]])="",TRUE()),"",INDEX(tsk_Status,GanttView[[#This Row],[_Row]]))</f>
        <v>Not Started</v>
      </c>
      <c r="L26" s="125" t="n">
        <f aca="false">ROW()-ROW(GanttView[[#Headers],[ID]])</f>
        <v>21</v>
      </c>
      <c r="M26" s="126" t="b">
        <f aca="false">IF(IFERROR(INDEX(tsk_Name,GanttView[[#This Row],[_Row]])="",TRUE()),FALSE(),INDEX(tsk_IsSummary,GanttView[[#This Row],[_Row]]))</f>
        <v>0</v>
      </c>
      <c r="N26" s="126" t="b">
        <f aca="false">IF(IFERROR(INDEX(tsk_Name,GanttView[[#This Row],[_Row]])="",TRUE()),FALSE(),AND(INDEX(tsk_IsLeaf,GanttView[[#This Row],[_Row]])=1,N(INDEX(tsk_Duration,GanttView[[#This Row],[_Row]]))=0))</f>
        <v>0</v>
      </c>
      <c r="O26" s="127" t="n">
        <f aca="false">IF(IFERROR(INDEX(tsk_Name,GanttView[[#This Row],[_Row]])="",TRUE()),0,IF(AND(INDEX(tsk_IsLeaf,GanttView[[#This Row],[_Row]])=1,NOT(GanttView[[#This Row],[_IsMilestone]]),N(GanttView[[#This Row],[%]])&gt;0),GanttView[[#This Row],[Forecast Start]],0))</f>
        <v>0</v>
      </c>
      <c r="P26" s="127" t="n">
        <f aca="false">IF(GanttView[[#This Row],[_DoneFrom]]=0,0,IF(GanttView[[#This Row],[%]]&gt;=1,GanttView[[#This Row],[Forecast Finish]],MAX(GanttView[[#This Row],[_DoneFrom]],GanttView[[#This Row],[Forecast Start]]+ROUND((GanttView[[#This Row],[Forecast Finish]]-GanttView[[#This Row],[Forecast Start]]+1)*GanttView[[#This Row],[%]],0)-1)))</f>
        <v>0</v>
      </c>
      <c r="Q26" s="127" t="n">
        <f aca="false">IF(IFERROR(INDEX(tsk_Name,GanttView[[#This Row],[_Row]])="",TRUE()),0,IF(OR(INDEX(tsk_IsLeaf,GanttView[[#This Row],[_Row]])&lt;&gt;1,GanttView[[#This Row],[_IsMilestone]],N(GanttView[[#This Row],[%]])&gt;=1),0,IF(GanttView[[#This Row],[_DoneTo]]&gt;0,GanttView[[#This Row],[_DoneTo]]+1,GanttView[[#This Row],[Forecast Start]])))</f>
        <v>46336</v>
      </c>
      <c r="R26" s="127" t="n">
        <f aca="false">IF(GanttView[[#This Row],[_RemFrom]]=0,0,GanttView[[#This Row],[Forecast Finish]])</f>
        <v>46345</v>
      </c>
      <c r="S26" s="126" t="b">
        <f aca="false">IF(IFERROR(INDEX(tsk_Name,GanttView[[#This Row],[_Row]])="",TRUE()),FALSE(),N(INDEX(tsk_Variance,GanttView[[#This Row],[_Row]]))&gt;0)</f>
        <v>1</v>
      </c>
      <c r="T26" s="127" t="n">
        <f aca="false">IF(IFERROR(INDEX(tsk_Name,GanttView[[#This Row],[_Row]])="",TRUE()),0,N(INDEX(tsk_Deadline,GanttView[[#This Row],[_Row]])))</f>
        <v>0</v>
      </c>
      <c r="U26" s="126" t="b">
        <f aca="false">IF(IFERROR(INDEX(tsk_Name,GanttView[[#This Row],[_Row]])="",TRUE()),FALSE(),INDEX(tsk_Critical,GanttView[[#This Row],[_Row]])="Yes")</f>
        <v>0</v>
      </c>
    </row>
    <row r="27" customFormat="false" ht="15" hidden="false" customHeight="false" outlineLevel="0" collapsed="false">
      <c r="A27" s="120" t="n">
        <f aca="false">IF(IFERROR(INDEX(tsk_Name,GanttView[[#This Row],[_Row]])="",TRUE()),"",INDEX(tsk_ID,GanttView[[#This Row],[_Row]]))</f>
        <v>22</v>
      </c>
      <c r="B27" s="120" t="str">
        <f aca="false">IF(IFERROR(INDEX(tsk_Name,GanttView[[#This Row],[_Row]])="",TRUE()),"",INDEX(tsk_WBS,GanttView[[#This Row],[_Row]]))</f>
        <v>4.2</v>
      </c>
      <c r="C27" s="121" t="str">
        <f aca="false">IF(IFERROR(INDEX(tsk_Name,GanttView[[#This Row],[_Row]])="",TRUE()),"",REPT("    ",INDEX(tsk_Level,GanttView[[#This Row],[_Row]])-1)&amp;INDEX(tsk_Name,GanttView[[#This Row],[_Row]]))</f>
        <v>    User acceptance testing</v>
      </c>
      <c r="D27" s="120" t="n">
        <f aca="false">IF(IFERROR(INDEX(tsk_Name,GanttView[[#This Row],[_Row]])="",TRUE()),"",IF(INDEX(tsk_IsSummary,GanttView[[#This Row],[_Row]]),NETWORKDAYS.INTL(INDEX(tsk_FcStart,GanttView[[#This Row],[_Row]]),INDEX(tsk_FcFinish,GanttView[[#This Row],[_Row]]),WorkWeek,Holidays),N(INDEX(tsk_Duration,GanttView[[#This Row],[_Row]]))))</f>
        <v>6</v>
      </c>
      <c r="E27" s="122" t="n">
        <f aca="false">IF(IFERROR(INDEX(tsk_Name,GanttView[[#This Row],[_Row]])="",TRUE()),"",INDEX(tsk_PlanStart,GanttView[[#This Row],[_Row]]))</f>
        <v>46363</v>
      </c>
      <c r="F27" s="122" t="n">
        <f aca="false">IF(IFERROR(INDEX(tsk_Name,GanttView[[#This Row],[_Row]])="",TRUE()),"",INDEX(tsk_PlanFinish,GanttView[[#This Row],[_Row]]))</f>
        <v>46370</v>
      </c>
      <c r="G27" s="122" t="n">
        <f aca="false">IF(IFERROR(INDEX(tsk_Name,GanttView[[#This Row],[_Row]])="",TRUE()),"",INDEX(tsk_FcStart,GanttView[[#This Row],[_Row]]))</f>
        <v>46363</v>
      </c>
      <c r="H27" s="122" t="n">
        <f aca="false">IF(IFERROR(INDEX(tsk_Name,GanttView[[#This Row],[_Row]])="",TRUE()),"",INDEX(tsk_FcFinish,GanttView[[#This Row],[_Row]]))</f>
        <v>46370</v>
      </c>
      <c r="I27" s="123" t="n">
        <f aca="false">IF(IFERROR(INDEX(tsk_Name,GanttView[[#This Row],[_Row]])="",TRUE()),"",INDEX(tsk_Progress,GanttView[[#This Row],[_Row]]))</f>
        <v>0</v>
      </c>
      <c r="J27" s="121" t="str">
        <f aca="false">IF(IFERROR(INDEX(tsk_Name,GanttView[[#This Row],[_Row]])="",TRUE()),"",INDEX(tsk_Resource,GanttView[[#This Row],[_Row]])&amp;"")</f>
        <v>Morgan Patel</v>
      </c>
      <c r="K27" s="124" t="str">
        <f aca="false">IF(IFERROR(INDEX(tsk_Name,GanttView[[#This Row],[_Row]])="",TRUE()),"",INDEX(tsk_Status,GanttView[[#This Row],[_Row]]))</f>
        <v>Not Started</v>
      </c>
      <c r="L27" s="125" t="n">
        <f aca="false">ROW()-ROW(GanttView[[#Headers],[ID]])</f>
        <v>22</v>
      </c>
      <c r="M27" s="126" t="b">
        <f aca="false">IF(IFERROR(INDEX(tsk_Name,GanttView[[#This Row],[_Row]])="",TRUE()),FALSE(),INDEX(tsk_IsSummary,GanttView[[#This Row],[_Row]]))</f>
        <v>0</v>
      </c>
      <c r="N27" s="126" t="b">
        <f aca="false">IF(IFERROR(INDEX(tsk_Name,GanttView[[#This Row],[_Row]])="",TRUE()),FALSE(),AND(INDEX(tsk_IsLeaf,GanttView[[#This Row],[_Row]])=1,N(INDEX(tsk_Duration,GanttView[[#This Row],[_Row]]))=0))</f>
        <v>0</v>
      </c>
      <c r="O27" s="127" t="n">
        <f aca="false">IF(IFERROR(INDEX(tsk_Name,GanttView[[#This Row],[_Row]])="",TRUE()),0,IF(AND(INDEX(tsk_IsLeaf,GanttView[[#This Row],[_Row]])=1,NOT(GanttView[[#This Row],[_IsMilestone]]),N(GanttView[[#This Row],[%]])&gt;0),GanttView[[#This Row],[Forecast Start]],0))</f>
        <v>0</v>
      </c>
      <c r="P27" s="127" t="n">
        <f aca="false">IF(GanttView[[#This Row],[_DoneFrom]]=0,0,IF(GanttView[[#This Row],[%]]&gt;=1,GanttView[[#This Row],[Forecast Finish]],MAX(GanttView[[#This Row],[_DoneFrom]],GanttView[[#This Row],[Forecast Start]]+ROUND((GanttView[[#This Row],[Forecast Finish]]-GanttView[[#This Row],[Forecast Start]]+1)*GanttView[[#This Row],[%]],0)-1)))</f>
        <v>0</v>
      </c>
      <c r="Q27" s="127" t="n">
        <f aca="false">IF(IFERROR(INDEX(tsk_Name,GanttView[[#This Row],[_Row]])="",TRUE()),0,IF(OR(INDEX(tsk_IsLeaf,GanttView[[#This Row],[_Row]])&lt;&gt;1,GanttView[[#This Row],[_IsMilestone]],N(GanttView[[#This Row],[%]])&gt;=1),0,IF(GanttView[[#This Row],[_DoneTo]]&gt;0,GanttView[[#This Row],[_DoneTo]]+1,GanttView[[#This Row],[Forecast Start]])))</f>
        <v>46363</v>
      </c>
      <c r="R27" s="127" t="n">
        <f aca="false">IF(GanttView[[#This Row],[_RemFrom]]=0,0,GanttView[[#This Row],[Forecast Finish]])</f>
        <v>46370</v>
      </c>
      <c r="S27" s="126" t="b">
        <f aca="false">IF(IFERROR(INDEX(tsk_Name,GanttView[[#This Row],[_Row]])="",TRUE()),FALSE(),N(INDEX(tsk_Variance,GanttView[[#This Row],[_Row]]))&gt;0)</f>
        <v>0</v>
      </c>
      <c r="T27" s="127" t="n">
        <f aca="false">IF(IFERROR(INDEX(tsk_Name,GanttView[[#This Row],[_Row]])="",TRUE()),0,N(INDEX(tsk_Deadline,GanttView[[#This Row],[_Row]])))</f>
        <v>0</v>
      </c>
      <c r="U27" s="126" t="b">
        <f aca="false">IF(IFERROR(INDEX(tsk_Name,GanttView[[#This Row],[_Row]])="",TRUE()),FALSE(),INDEX(tsk_Critical,GanttView[[#This Row],[_Row]])="Yes")</f>
        <v>1</v>
      </c>
    </row>
    <row r="28" customFormat="false" ht="15" hidden="false" customHeight="false" outlineLevel="0" collapsed="false">
      <c r="A28" s="120" t="n">
        <f aca="false">IF(IFERROR(INDEX(tsk_Name,GanttView[[#This Row],[_Row]])="",TRUE()),"",INDEX(tsk_ID,GanttView[[#This Row],[_Row]]))</f>
        <v>23</v>
      </c>
      <c r="B28" s="120" t="str">
        <f aca="false">IF(IFERROR(INDEX(tsk_Name,GanttView[[#This Row],[_Row]])="",TRUE()),"",INDEX(tsk_WBS,GanttView[[#This Row],[_Row]]))</f>
        <v>4.3</v>
      </c>
      <c r="C28" s="121" t="str">
        <f aca="false">IF(IFERROR(INDEX(tsk_Name,GanttView[[#This Row],[_Row]])="",TRUE()),"",REPT("    ",INDEX(tsk_Level,GanttView[[#This Row],[_Row]])-1)&amp;INDEX(tsk_Name,GanttView[[#This Row],[_Row]]))</f>
        <v>    Training &amp; user guides</v>
      </c>
      <c r="D28" s="120" t="n">
        <f aca="false">IF(IFERROR(INDEX(tsk_Name,GanttView[[#This Row],[_Row]])="",TRUE()),"",IF(INDEX(tsk_IsSummary,GanttView[[#This Row],[_Row]]),NETWORKDAYS.INTL(INDEX(tsk_FcStart,GanttView[[#This Row],[_Row]]),INDEX(tsk_FcFinish,GanttView[[#This Row],[_Row]]),WorkWeek,Holidays),N(INDEX(tsk_Duration,GanttView[[#This Row],[_Row]]))))</f>
        <v>5</v>
      </c>
      <c r="E28" s="122" t="n">
        <f aca="false">IF(IFERROR(INDEX(tsk_Name,GanttView[[#This Row],[_Row]])="",TRUE()),"",INDEX(tsk_PlanStart,GanttView[[#This Row],[_Row]]))</f>
        <v>46330</v>
      </c>
      <c r="F28" s="122" t="n">
        <f aca="false">IF(IFERROR(INDEX(tsk_Name,GanttView[[#This Row],[_Row]])="",TRUE()),"",INDEX(tsk_PlanFinish,GanttView[[#This Row],[_Row]]))</f>
        <v>46336</v>
      </c>
      <c r="G28" s="122" t="n">
        <f aca="false">IF(IFERROR(INDEX(tsk_Name,GanttView[[#This Row],[_Row]])="",TRUE()),"",INDEX(tsk_FcStart,GanttView[[#This Row],[_Row]]))</f>
        <v>46338</v>
      </c>
      <c r="H28" s="122" t="n">
        <f aca="false">IF(IFERROR(INDEX(tsk_Name,GanttView[[#This Row],[_Row]])="",TRUE()),"",INDEX(tsk_FcFinish,GanttView[[#This Row],[_Row]]))</f>
        <v>46344</v>
      </c>
      <c r="I28" s="123" t="n">
        <f aca="false">IF(IFERROR(INDEX(tsk_Name,GanttView[[#This Row],[_Row]])="",TRUE()),"",INDEX(tsk_Progress,GanttView[[#This Row],[_Row]]))</f>
        <v>0</v>
      </c>
      <c r="J28" s="121" t="str">
        <f aca="false">IF(IFERROR(INDEX(tsk_Name,GanttView[[#This Row],[_Row]])="",TRUE()),"",INDEX(tsk_Resource,GanttView[[#This Row],[_Row]])&amp;"")</f>
        <v>Casey Kim</v>
      </c>
      <c r="K28" s="124" t="str">
        <f aca="false">IF(IFERROR(INDEX(tsk_Name,GanttView[[#This Row],[_Row]])="",TRUE()),"",INDEX(tsk_Status,GanttView[[#This Row],[_Row]]))</f>
        <v>Not Started</v>
      </c>
      <c r="L28" s="125" t="n">
        <f aca="false">ROW()-ROW(GanttView[[#Headers],[ID]])</f>
        <v>23</v>
      </c>
      <c r="M28" s="126" t="b">
        <f aca="false">IF(IFERROR(INDEX(tsk_Name,GanttView[[#This Row],[_Row]])="",TRUE()),FALSE(),INDEX(tsk_IsSummary,GanttView[[#This Row],[_Row]]))</f>
        <v>0</v>
      </c>
      <c r="N28" s="126" t="b">
        <f aca="false">IF(IFERROR(INDEX(tsk_Name,GanttView[[#This Row],[_Row]])="",TRUE()),FALSE(),AND(INDEX(tsk_IsLeaf,GanttView[[#This Row],[_Row]])=1,N(INDEX(tsk_Duration,GanttView[[#This Row],[_Row]]))=0))</f>
        <v>0</v>
      </c>
      <c r="O28" s="127" t="n">
        <f aca="false">IF(IFERROR(INDEX(tsk_Name,GanttView[[#This Row],[_Row]])="",TRUE()),0,IF(AND(INDEX(tsk_IsLeaf,GanttView[[#This Row],[_Row]])=1,NOT(GanttView[[#This Row],[_IsMilestone]]),N(GanttView[[#This Row],[%]])&gt;0),GanttView[[#This Row],[Forecast Start]],0))</f>
        <v>0</v>
      </c>
      <c r="P28" s="127" t="n">
        <f aca="false">IF(GanttView[[#This Row],[_DoneFrom]]=0,0,IF(GanttView[[#This Row],[%]]&gt;=1,GanttView[[#This Row],[Forecast Finish]],MAX(GanttView[[#This Row],[_DoneFrom]],GanttView[[#This Row],[Forecast Start]]+ROUND((GanttView[[#This Row],[Forecast Finish]]-GanttView[[#This Row],[Forecast Start]]+1)*GanttView[[#This Row],[%]],0)-1)))</f>
        <v>0</v>
      </c>
      <c r="Q28" s="127" t="n">
        <f aca="false">IF(IFERROR(INDEX(tsk_Name,GanttView[[#This Row],[_Row]])="",TRUE()),0,IF(OR(INDEX(tsk_IsLeaf,GanttView[[#This Row],[_Row]])&lt;&gt;1,GanttView[[#This Row],[_IsMilestone]],N(GanttView[[#This Row],[%]])&gt;=1),0,IF(GanttView[[#This Row],[_DoneTo]]&gt;0,GanttView[[#This Row],[_DoneTo]]+1,GanttView[[#This Row],[Forecast Start]])))</f>
        <v>46338</v>
      </c>
      <c r="R28" s="127" t="n">
        <f aca="false">IF(GanttView[[#This Row],[_RemFrom]]=0,0,GanttView[[#This Row],[Forecast Finish]])</f>
        <v>46344</v>
      </c>
      <c r="S28" s="126" t="b">
        <f aca="false">IF(IFERROR(INDEX(tsk_Name,GanttView[[#This Row],[_Row]])="",TRUE()),FALSE(),N(INDEX(tsk_Variance,GanttView[[#This Row],[_Row]]))&gt;0)</f>
        <v>1</v>
      </c>
      <c r="T28" s="127" t="n">
        <f aca="false">IF(IFERROR(INDEX(tsk_Name,GanttView[[#This Row],[_Row]])="",TRUE()),0,N(INDEX(tsk_Deadline,GanttView[[#This Row],[_Row]])))</f>
        <v>0</v>
      </c>
      <c r="U28" s="126" t="b">
        <f aca="false">IF(IFERROR(INDEX(tsk_Name,GanttView[[#This Row],[_Row]])="",TRUE()),FALSE(),INDEX(tsk_Critical,GanttView[[#This Row],[_Row]])="Yes")</f>
        <v>0</v>
      </c>
    </row>
    <row r="29" customFormat="false" ht="15" hidden="false" customHeight="false" outlineLevel="0" collapsed="false">
      <c r="A29" s="120" t="n">
        <f aca="false">IF(IFERROR(INDEX(tsk_Name,GanttView[[#This Row],[_Row]])="",TRUE()),"",INDEX(tsk_ID,GanttView[[#This Row],[_Row]]))</f>
        <v>24</v>
      </c>
      <c r="B29" s="120" t="str">
        <f aca="false">IF(IFERROR(INDEX(tsk_Name,GanttView[[#This Row],[_Row]])="",TRUE()),"",INDEX(tsk_WBS,GanttView[[#This Row],[_Row]]))</f>
        <v>4.4</v>
      </c>
      <c r="C29" s="121" t="str">
        <f aca="false">IF(IFERROR(INDEX(tsk_Name,GanttView[[#This Row],[_Row]])="",TRUE()),"",REPT("    ",INDEX(tsk_Level,GanttView[[#This Row],[_Row]])-1)&amp;INDEX(tsk_Name,GanttView[[#This Row],[_Row]]))</f>
        <v>    Go-live readiness review</v>
      </c>
      <c r="D29" s="120" t="n">
        <f aca="false">IF(IFERROR(INDEX(tsk_Name,GanttView[[#This Row],[_Row]])="",TRUE()),"",IF(INDEX(tsk_IsSummary,GanttView[[#This Row],[_Row]]),NETWORKDAYS.INTL(INDEX(tsk_FcStart,GanttView[[#This Row],[_Row]]),INDEX(tsk_FcFinish,GanttView[[#This Row],[_Row]]),WorkWeek,Holidays),N(INDEX(tsk_Duration,GanttView[[#This Row],[_Row]]))))</f>
        <v>1</v>
      </c>
      <c r="E29" s="122" t="n">
        <f aca="false">IF(IFERROR(INDEX(tsk_Name,GanttView[[#This Row],[_Row]])="",TRUE()),"",INDEX(tsk_PlanStart,GanttView[[#This Row],[_Row]]))</f>
        <v>46371</v>
      </c>
      <c r="F29" s="122" t="n">
        <f aca="false">IF(IFERROR(INDEX(tsk_Name,GanttView[[#This Row],[_Row]])="",TRUE()),"",INDEX(tsk_PlanFinish,GanttView[[#This Row],[_Row]]))</f>
        <v>46371</v>
      </c>
      <c r="G29" s="122" t="n">
        <f aca="false">IF(IFERROR(INDEX(tsk_Name,GanttView[[#This Row],[_Row]])="",TRUE()),"",INDEX(tsk_FcStart,GanttView[[#This Row],[_Row]]))</f>
        <v>46371</v>
      </c>
      <c r="H29" s="122" t="n">
        <f aca="false">IF(IFERROR(INDEX(tsk_Name,GanttView[[#This Row],[_Row]])="",TRUE()),"",INDEX(tsk_FcFinish,GanttView[[#This Row],[_Row]]))</f>
        <v>46371</v>
      </c>
      <c r="I29" s="123" t="n">
        <f aca="false">IF(IFERROR(INDEX(tsk_Name,GanttView[[#This Row],[_Row]])="",TRUE()),"",INDEX(tsk_Progress,GanttView[[#This Row],[_Row]]))</f>
        <v>0</v>
      </c>
      <c r="J29" s="121" t="str">
        <f aca="false">IF(IFERROR(INDEX(tsk_Name,GanttView[[#This Row],[_Row]])="",TRUE()),"",INDEX(tsk_Resource,GanttView[[#This Row],[_Row]])&amp;"")</f>
        <v>Priya Sharma</v>
      </c>
      <c r="K29" s="124" t="str">
        <f aca="false">IF(IFERROR(INDEX(tsk_Name,GanttView[[#This Row],[_Row]])="",TRUE()),"",INDEX(tsk_Status,GanttView[[#This Row],[_Row]]))</f>
        <v>Not Started</v>
      </c>
      <c r="L29" s="125" t="n">
        <f aca="false">ROW()-ROW(GanttView[[#Headers],[ID]])</f>
        <v>24</v>
      </c>
      <c r="M29" s="126" t="b">
        <f aca="false">IF(IFERROR(INDEX(tsk_Name,GanttView[[#This Row],[_Row]])="",TRUE()),FALSE(),INDEX(tsk_IsSummary,GanttView[[#This Row],[_Row]]))</f>
        <v>0</v>
      </c>
      <c r="N29" s="126" t="b">
        <f aca="false">IF(IFERROR(INDEX(tsk_Name,GanttView[[#This Row],[_Row]])="",TRUE()),FALSE(),AND(INDEX(tsk_IsLeaf,GanttView[[#This Row],[_Row]])=1,N(INDEX(tsk_Duration,GanttView[[#This Row],[_Row]]))=0))</f>
        <v>0</v>
      </c>
      <c r="O29" s="127" t="n">
        <f aca="false">IF(IFERROR(INDEX(tsk_Name,GanttView[[#This Row],[_Row]])="",TRUE()),0,IF(AND(INDEX(tsk_IsLeaf,GanttView[[#This Row],[_Row]])=1,NOT(GanttView[[#This Row],[_IsMilestone]]),N(GanttView[[#This Row],[%]])&gt;0),GanttView[[#This Row],[Forecast Start]],0))</f>
        <v>0</v>
      </c>
      <c r="P29" s="127" t="n">
        <f aca="false">IF(GanttView[[#This Row],[_DoneFrom]]=0,0,IF(GanttView[[#This Row],[%]]&gt;=1,GanttView[[#This Row],[Forecast Finish]],MAX(GanttView[[#This Row],[_DoneFrom]],GanttView[[#This Row],[Forecast Start]]+ROUND((GanttView[[#This Row],[Forecast Finish]]-GanttView[[#This Row],[Forecast Start]]+1)*GanttView[[#This Row],[%]],0)-1)))</f>
        <v>0</v>
      </c>
      <c r="Q29" s="127" t="n">
        <f aca="false">IF(IFERROR(INDEX(tsk_Name,GanttView[[#This Row],[_Row]])="",TRUE()),0,IF(OR(INDEX(tsk_IsLeaf,GanttView[[#This Row],[_Row]])&lt;&gt;1,GanttView[[#This Row],[_IsMilestone]],N(GanttView[[#This Row],[%]])&gt;=1),0,IF(GanttView[[#This Row],[_DoneTo]]&gt;0,GanttView[[#This Row],[_DoneTo]]+1,GanttView[[#This Row],[Forecast Start]])))</f>
        <v>46371</v>
      </c>
      <c r="R29" s="127" t="n">
        <f aca="false">IF(GanttView[[#This Row],[_RemFrom]]=0,0,GanttView[[#This Row],[Forecast Finish]])</f>
        <v>46371</v>
      </c>
      <c r="S29" s="126" t="b">
        <f aca="false">IF(IFERROR(INDEX(tsk_Name,GanttView[[#This Row],[_Row]])="",TRUE()),FALSE(),N(INDEX(tsk_Variance,GanttView[[#This Row],[_Row]]))&gt;0)</f>
        <v>0</v>
      </c>
      <c r="T29" s="127" t="n">
        <f aca="false">IF(IFERROR(INDEX(tsk_Name,GanttView[[#This Row],[_Row]])="",TRUE()),0,N(INDEX(tsk_Deadline,GanttView[[#This Row],[_Row]])))</f>
        <v>0</v>
      </c>
      <c r="U29" s="126" t="b">
        <f aca="false">IF(IFERROR(INDEX(tsk_Name,GanttView[[#This Row],[_Row]])="",TRUE()),FALSE(),INDEX(tsk_Critical,GanttView[[#This Row],[_Row]])="Yes")</f>
        <v>1</v>
      </c>
    </row>
    <row r="30" customFormat="false" ht="15" hidden="false" customHeight="false" outlineLevel="0" collapsed="false">
      <c r="A30" s="120" t="n">
        <f aca="false">IF(IFERROR(INDEX(tsk_Name,GanttView[[#This Row],[_Row]])="",TRUE()),"",INDEX(tsk_ID,GanttView[[#This Row],[_Row]]))</f>
        <v>25</v>
      </c>
      <c r="B30" s="120" t="str">
        <f aca="false">IF(IFERROR(INDEX(tsk_Name,GanttView[[#This Row],[_Row]])="",TRUE()),"",INDEX(tsk_WBS,GanttView[[#This Row],[_Row]]))</f>
        <v>4.5</v>
      </c>
      <c r="C30" s="121" t="str">
        <f aca="false">IF(IFERROR(INDEX(tsk_Name,GanttView[[#This Row],[_Row]])="",TRUE()),"",REPT("    ",INDEX(tsk_Level,GanttView[[#This Row],[_Row]])-1)&amp;INDEX(tsk_Name,GanttView[[#This Row],[_Row]]))</f>
        <v>    Go-live</v>
      </c>
      <c r="D30" s="120" t="n">
        <f aca="false">IF(IFERROR(INDEX(tsk_Name,GanttView[[#This Row],[_Row]])="",TRUE()),"",IF(INDEX(tsk_IsSummary,GanttView[[#This Row],[_Row]]),NETWORKDAYS.INTL(INDEX(tsk_FcStart,GanttView[[#This Row],[_Row]]),INDEX(tsk_FcFinish,GanttView[[#This Row],[_Row]]),WorkWeek,Holidays),N(INDEX(tsk_Duration,GanttView[[#This Row],[_Row]]))))</f>
        <v>0</v>
      </c>
      <c r="E30" s="122" t="n">
        <f aca="false">IF(IFERROR(INDEX(tsk_Name,GanttView[[#This Row],[_Row]])="",TRUE()),"",INDEX(tsk_PlanStart,GanttView[[#This Row],[_Row]]))</f>
        <v>46371</v>
      </c>
      <c r="F30" s="122" t="n">
        <f aca="false">IF(IFERROR(INDEX(tsk_Name,GanttView[[#This Row],[_Row]])="",TRUE()),"",INDEX(tsk_PlanFinish,GanttView[[#This Row],[_Row]]))</f>
        <v>46371</v>
      </c>
      <c r="G30" s="122" t="n">
        <f aca="false">IF(IFERROR(INDEX(tsk_Name,GanttView[[#This Row],[_Row]])="",TRUE()),"",INDEX(tsk_FcStart,GanttView[[#This Row],[_Row]]))</f>
        <v>46371</v>
      </c>
      <c r="H30" s="122" t="n">
        <f aca="false">IF(IFERROR(INDEX(tsk_Name,GanttView[[#This Row],[_Row]])="",TRUE()),"",INDEX(tsk_FcFinish,GanttView[[#This Row],[_Row]]))</f>
        <v>46371</v>
      </c>
      <c r="I30" s="123" t="n">
        <f aca="false">IF(IFERROR(INDEX(tsk_Name,GanttView[[#This Row],[_Row]])="",TRUE()),"",INDEX(tsk_Progress,GanttView[[#This Row],[_Row]]))</f>
        <v>0</v>
      </c>
      <c r="J30" s="121" t="str">
        <f aca="false">IF(IFERROR(INDEX(tsk_Name,GanttView[[#This Row],[_Row]])="",TRUE()),"",INDEX(tsk_Resource,GanttView[[#This Row],[_Row]])&amp;"")</f>
        <v/>
      </c>
      <c r="K30" s="124" t="str">
        <f aca="false">IF(IFERROR(INDEX(tsk_Name,GanttView[[#This Row],[_Row]])="",TRUE()),"",INDEX(tsk_Status,GanttView[[#This Row],[_Row]]))</f>
        <v>Not Started</v>
      </c>
      <c r="L30" s="125" t="n">
        <f aca="false">ROW()-ROW(GanttView[[#Headers],[ID]])</f>
        <v>25</v>
      </c>
      <c r="M30" s="126" t="b">
        <f aca="false">IF(IFERROR(INDEX(tsk_Name,GanttView[[#This Row],[_Row]])="",TRUE()),FALSE(),INDEX(tsk_IsSummary,GanttView[[#This Row],[_Row]]))</f>
        <v>0</v>
      </c>
      <c r="N30" s="126" t="b">
        <f aca="false">IF(IFERROR(INDEX(tsk_Name,GanttView[[#This Row],[_Row]])="",TRUE()),FALSE(),AND(INDEX(tsk_IsLeaf,GanttView[[#This Row],[_Row]])=1,N(INDEX(tsk_Duration,GanttView[[#This Row],[_Row]]))=0))</f>
        <v>1</v>
      </c>
      <c r="O30" s="127" t="n">
        <f aca="false">IF(IFERROR(INDEX(tsk_Name,GanttView[[#This Row],[_Row]])="",TRUE()),0,IF(AND(INDEX(tsk_IsLeaf,GanttView[[#This Row],[_Row]])=1,NOT(GanttView[[#This Row],[_IsMilestone]]),N(GanttView[[#This Row],[%]])&gt;0),GanttView[[#This Row],[Forecast Start]],0))</f>
        <v>0</v>
      </c>
      <c r="P30" s="127" t="n">
        <f aca="false">IF(GanttView[[#This Row],[_DoneFrom]]=0,0,IF(GanttView[[#This Row],[%]]&gt;=1,GanttView[[#This Row],[Forecast Finish]],MAX(GanttView[[#This Row],[_DoneFrom]],GanttView[[#This Row],[Forecast Start]]+ROUND((GanttView[[#This Row],[Forecast Finish]]-GanttView[[#This Row],[Forecast Start]]+1)*GanttView[[#This Row],[%]],0)-1)))</f>
        <v>0</v>
      </c>
      <c r="Q30" s="127" t="n">
        <f aca="false">IF(IFERROR(INDEX(tsk_Name,GanttView[[#This Row],[_Row]])="",TRUE()),0,IF(OR(INDEX(tsk_IsLeaf,GanttView[[#This Row],[_Row]])&lt;&gt;1,GanttView[[#This Row],[_IsMilestone]],N(GanttView[[#This Row],[%]])&gt;=1),0,IF(GanttView[[#This Row],[_DoneTo]]&gt;0,GanttView[[#This Row],[_DoneTo]]+1,GanttView[[#This Row],[Forecast Start]])))</f>
        <v>0</v>
      </c>
      <c r="R30" s="127" t="n">
        <f aca="false">IF(GanttView[[#This Row],[_RemFrom]]=0,0,GanttView[[#This Row],[Forecast Finish]])</f>
        <v>0</v>
      </c>
      <c r="S30" s="126" t="b">
        <f aca="false">IF(IFERROR(INDEX(tsk_Name,GanttView[[#This Row],[_Row]])="",TRUE()),FALSE(),N(INDEX(tsk_Variance,GanttView[[#This Row],[_Row]]))&gt;0)</f>
        <v>0</v>
      </c>
      <c r="T30" s="127" t="n">
        <f aca="false">IF(IFERROR(INDEX(tsk_Name,GanttView[[#This Row],[_Row]])="",TRUE()),0,N(INDEX(tsk_Deadline,GanttView[[#This Row],[_Row]])))</f>
        <v>46374</v>
      </c>
      <c r="U30" s="126" t="b">
        <f aca="false">IF(IFERROR(INDEX(tsk_Name,GanttView[[#This Row],[_Row]])="",TRUE()),FALSE(),INDEX(tsk_Critical,GanttView[[#This Row],[_Row]])="Yes")</f>
        <v>1</v>
      </c>
    </row>
    <row r="31" customFormat="false" ht="15" hidden="false" customHeight="false" outlineLevel="0" collapsed="false">
      <c r="A31" s="120" t="n">
        <f aca="false">IF(IFERROR(INDEX(tsk_Name,GanttView[[#This Row],[_Row]])="",TRUE()),"",INDEX(tsk_ID,GanttView[[#This Row],[_Row]]))</f>
        <v>26</v>
      </c>
      <c r="B31" s="120" t="str">
        <f aca="false">IF(IFERROR(INDEX(tsk_Name,GanttView[[#This Row],[_Row]])="",TRUE()),"",INDEX(tsk_WBS,GanttView[[#This Row],[_Row]]))</f>
        <v>4.6</v>
      </c>
      <c r="C31" s="121" t="str">
        <f aca="false">IF(IFERROR(INDEX(tsk_Name,GanttView[[#This Row],[_Row]])="",TRUE()),"",REPT("    ",INDEX(tsk_Level,GanttView[[#This Row],[_Row]])-1)&amp;INDEX(tsk_Name,GanttView[[#This Row],[_Row]]))</f>
        <v>    Hypercare support</v>
      </c>
      <c r="D31" s="120" t="n">
        <f aca="false">IF(IFERROR(INDEX(tsk_Name,GanttView[[#This Row],[_Row]])="",TRUE()),"",IF(INDEX(tsk_IsSummary,GanttView[[#This Row],[_Row]]),NETWORKDAYS.INTL(INDEX(tsk_FcStart,GanttView[[#This Row],[_Row]]),INDEX(tsk_FcFinish,GanttView[[#This Row],[_Row]]),WorkWeek,Holidays),N(INDEX(tsk_Duration,GanttView[[#This Row],[_Row]]))))</f>
        <v>10</v>
      </c>
      <c r="E31" s="122" t="n">
        <f aca="false">IF(IFERROR(INDEX(tsk_Name,GanttView[[#This Row],[_Row]])="",TRUE()),"",INDEX(tsk_PlanStart,GanttView[[#This Row],[_Row]]))</f>
        <v>46372</v>
      </c>
      <c r="F31" s="122" t="n">
        <f aca="false">IF(IFERROR(INDEX(tsk_Name,GanttView[[#This Row],[_Row]])="",TRUE()),"",INDEX(tsk_PlanFinish,GanttView[[#This Row],[_Row]]))</f>
        <v>46391</v>
      </c>
      <c r="G31" s="122" t="n">
        <f aca="false">IF(IFERROR(INDEX(tsk_Name,GanttView[[#This Row],[_Row]])="",TRUE()),"",INDEX(tsk_FcStart,GanttView[[#This Row],[_Row]]))</f>
        <v>46372</v>
      </c>
      <c r="H31" s="122" t="n">
        <f aca="false">IF(IFERROR(INDEX(tsk_Name,GanttView[[#This Row],[_Row]])="",TRUE()),"",INDEX(tsk_FcFinish,GanttView[[#This Row],[_Row]]))</f>
        <v>46391</v>
      </c>
      <c r="I31" s="123" t="n">
        <f aca="false">IF(IFERROR(INDEX(tsk_Name,GanttView[[#This Row],[_Row]])="",TRUE()),"",INDEX(tsk_Progress,GanttView[[#This Row],[_Row]]))</f>
        <v>0</v>
      </c>
      <c r="J31" s="121" t="str">
        <f aca="false">IF(IFERROR(INDEX(tsk_Name,GanttView[[#This Row],[_Row]])="",TRUE()),"",INDEX(tsk_Resource,GanttView[[#This Row],[_Row]])&amp;"")</f>
        <v>Jordan Lee</v>
      </c>
      <c r="K31" s="124" t="str">
        <f aca="false">IF(IFERROR(INDEX(tsk_Name,GanttView[[#This Row],[_Row]])="",TRUE()),"",INDEX(tsk_Status,GanttView[[#This Row],[_Row]]))</f>
        <v>Not Started</v>
      </c>
      <c r="L31" s="125" t="n">
        <f aca="false">ROW()-ROW(GanttView[[#Headers],[ID]])</f>
        <v>26</v>
      </c>
      <c r="M31" s="126" t="b">
        <f aca="false">IF(IFERROR(INDEX(tsk_Name,GanttView[[#This Row],[_Row]])="",TRUE()),FALSE(),INDEX(tsk_IsSummary,GanttView[[#This Row],[_Row]]))</f>
        <v>0</v>
      </c>
      <c r="N31" s="126" t="b">
        <f aca="false">IF(IFERROR(INDEX(tsk_Name,GanttView[[#This Row],[_Row]])="",TRUE()),FALSE(),AND(INDEX(tsk_IsLeaf,GanttView[[#This Row],[_Row]])=1,N(INDEX(tsk_Duration,GanttView[[#This Row],[_Row]]))=0))</f>
        <v>0</v>
      </c>
      <c r="O31" s="127" t="n">
        <f aca="false">IF(IFERROR(INDEX(tsk_Name,GanttView[[#This Row],[_Row]])="",TRUE()),0,IF(AND(INDEX(tsk_IsLeaf,GanttView[[#This Row],[_Row]])=1,NOT(GanttView[[#This Row],[_IsMilestone]]),N(GanttView[[#This Row],[%]])&gt;0),GanttView[[#This Row],[Forecast Start]],0))</f>
        <v>0</v>
      </c>
      <c r="P31" s="127" t="n">
        <f aca="false">IF(GanttView[[#This Row],[_DoneFrom]]=0,0,IF(GanttView[[#This Row],[%]]&gt;=1,GanttView[[#This Row],[Forecast Finish]],MAX(GanttView[[#This Row],[_DoneFrom]],GanttView[[#This Row],[Forecast Start]]+ROUND((GanttView[[#This Row],[Forecast Finish]]-GanttView[[#This Row],[Forecast Start]]+1)*GanttView[[#This Row],[%]],0)-1)))</f>
        <v>0</v>
      </c>
      <c r="Q31" s="127" t="n">
        <f aca="false">IF(IFERROR(INDEX(tsk_Name,GanttView[[#This Row],[_Row]])="",TRUE()),0,IF(OR(INDEX(tsk_IsLeaf,GanttView[[#This Row],[_Row]])&lt;&gt;1,GanttView[[#This Row],[_IsMilestone]],N(GanttView[[#This Row],[%]])&gt;=1),0,IF(GanttView[[#This Row],[_DoneTo]]&gt;0,GanttView[[#This Row],[_DoneTo]]+1,GanttView[[#This Row],[Forecast Start]])))</f>
        <v>46372</v>
      </c>
      <c r="R31" s="127" t="n">
        <f aca="false">IF(GanttView[[#This Row],[_RemFrom]]=0,0,GanttView[[#This Row],[Forecast Finish]])</f>
        <v>46391</v>
      </c>
      <c r="S31" s="126" t="b">
        <f aca="false">IF(IFERROR(INDEX(tsk_Name,GanttView[[#This Row],[_Row]])="",TRUE()),FALSE(),N(INDEX(tsk_Variance,GanttView[[#This Row],[_Row]]))&gt;0)</f>
        <v>0</v>
      </c>
      <c r="T31" s="127" t="n">
        <f aca="false">IF(IFERROR(INDEX(tsk_Name,GanttView[[#This Row],[_Row]])="",TRUE()),0,N(INDEX(tsk_Deadline,GanttView[[#This Row],[_Row]])))</f>
        <v>0</v>
      </c>
      <c r="U31" s="126" t="b">
        <f aca="false">IF(IFERROR(INDEX(tsk_Name,GanttView[[#This Row],[_Row]])="",TRUE()),FALSE(),INDEX(tsk_Critical,GanttView[[#This Row],[_Row]])="Yes")</f>
        <v>1</v>
      </c>
    </row>
    <row r="32" customFormat="false" ht="15" hidden="false" customHeight="false" outlineLevel="0" collapsed="false">
      <c r="A32" s="120" t="n">
        <f aca="false">IF(IFERROR(INDEX(tsk_Name,GanttView[[#This Row],[_Row]])="",TRUE()),"",INDEX(tsk_ID,GanttView[[#This Row],[_Row]]))</f>
        <v>27</v>
      </c>
      <c r="B32" s="120" t="str">
        <f aca="false">IF(IFERROR(INDEX(tsk_Name,GanttView[[#This Row],[_Row]])="",TRUE()),"",INDEX(tsk_WBS,GanttView[[#This Row],[_Row]]))</f>
        <v>5</v>
      </c>
      <c r="C32" s="121" t="str">
        <f aca="false">IF(IFERROR(INDEX(tsk_Name,GanttView[[#This Row],[_Row]])="",TRUE()),"",REPT("    ",INDEX(tsk_Level,GanttView[[#This Row],[_Row]])-1)&amp;INDEX(tsk_Name,GanttView[[#This Row],[_Row]]))</f>
        <v>Project Close</v>
      </c>
      <c r="D32" s="120" t="n">
        <f aca="false">IF(IFERROR(INDEX(tsk_Name,GanttView[[#This Row],[_Row]])="",TRUE()),"",IF(INDEX(tsk_IsSummary,GanttView[[#This Row],[_Row]]),NETWORKDAYS.INTL(INDEX(tsk_FcStart,GanttView[[#This Row],[_Row]]),INDEX(tsk_FcFinish,GanttView[[#This Row],[_Row]]),WorkWeek,Holidays),N(INDEX(tsk_Duration,GanttView[[#This Row],[_Row]]))))</f>
        <v>34</v>
      </c>
      <c r="E32" s="122" t="n">
        <f aca="false">IF(IFERROR(INDEX(tsk_Name,GanttView[[#This Row],[_Row]])="",TRUE()),"",INDEX(tsk_PlanStart,GanttView[[#This Row],[_Row]]))</f>
        <v>46342</v>
      </c>
      <c r="F32" s="122" t="n">
        <f aca="false">IF(IFERROR(INDEX(tsk_Name,GanttView[[#This Row],[_Row]])="",TRUE()),"",INDEX(tsk_PlanFinish,GanttView[[#This Row],[_Row]]))</f>
        <v>46393</v>
      </c>
      <c r="G32" s="122" t="n">
        <f aca="false">IF(IFERROR(INDEX(tsk_Name,GanttView[[#This Row],[_Row]])="",TRUE()),"",INDEX(tsk_FcStart,GanttView[[#This Row],[_Row]]))</f>
        <v>46342</v>
      </c>
      <c r="H32" s="122" t="n">
        <f aca="false">IF(IFERROR(INDEX(tsk_Name,GanttView[[#This Row],[_Row]])="",TRUE()),"",INDEX(tsk_FcFinish,GanttView[[#This Row],[_Row]]))</f>
        <v>46393</v>
      </c>
      <c r="I32" s="123" t="n">
        <f aca="false">IF(IFERROR(INDEX(tsk_Name,GanttView[[#This Row],[_Row]])="",TRUE()),"",INDEX(tsk_Progress,GanttView[[#This Row],[_Row]]))</f>
        <v>0</v>
      </c>
      <c r="J32" s="121" t="str">
        <f aca="false">IF(IFERROR(INDEX(tsk_Name,GanttView[[#This Row],[_Row]])="",TRUE()),"",INDEX(tsk_Resource,GanttView[[#This Row],[_Row]])&amp;"")</f>
        <v/>
      </c>
      <c r="K32" s="124" t="str">
        <f aca="false">IF(IFERROR(INDEX(tsk_Name,GanttView[[#This Row],[_Row]])="",TRUE()),"",INDEX(tsk_Status,GanttView[[#This Row],[_Row]]))</f>
        <v>Not Started</v>
      </c>
      <c r="L32" s="125" t="n">
        <f aca="false">ROW()-ROW(GanttView[[#Headers],[ID]])</f>
        <v>27</v>
      </c>
      <c r="M32" s="126" t="b">
        <f aca="false">IF(IFERROR(INDEX(tsk_Name,GanttView[[#This Row],[_Row]])="",TRUE()),FALSE(),INDEX(tsk_IsSummary,GanttView[[#This Row],[_Row]]))</f>
        <v>1</v>
      </c>
      <c r="N32" s="126" t="b">
        <f aca="false">IF(IFERROR(INDEX(tsk_Name,GanttView[[#This Row],[_Row]])="",TRUE()),FALSE(),AND(INDEX(tsk_IsLeaf,GanttView[[#This Row],[_Row]])=1,N(INDEX(tsk_Duration,GanttView[[#This Row],[_Row]]))=0))</f>
        <v>0</v>
      </c>
      <c r="O32" s="127" t="n">
        <f aca="false">IF(IFERROR(INDEX(tsk_Name,GanttView[[#This Row],[_Row]])="",TRUE()),0,IF(AND(INDEX(tsk_IsLeaf,GanttView[[#This Row],[_Row]])=1,NOT(GanttView[[#This Row],[_IsMilestone]]),N(GanttView[[#This Row],[%]])&gt;0),GanttView[[#This Row],[Forecast Start]],0))</f>
        <v>0</v>
      </c>
      <c r="P32" s="127" t="n">
        <f aca="false">IF(GanttView[[#This Row],[_DoneFrom]]=0,0,IF(GanttView[[#This Row],[%]]&gt;=1,GanttView[[#This Row],[Forecast Finish]],MAX(GanttView[[#This Row],[_DoneFrom]],GanttView[[#This Row],[Forecast Start]]+ROUND((GanttView[[#This Row],[Forecast Finish]]-GanttView[[#This Row],[Forecast Start]]+1)*GanttView[[#This Row],[%]],0)-1)))</f>
        <v>0</v>
      </c>
      <c r="Q32" s="127" t="n">
        <f aca="false">IF(IFERROR(INDEX(tsk_Name,GanttView[[#This Row],[_Row]])="",TRUE()),0,IF(OR(INDEX(tsk_IsLeaf,GanttView[[#This Row],[_Row]])&lt;&gt;1,GanttView[[#This Row],[_IsMilestone]],N(GanttView[[#This Row],[%]])&gt;=1),0,IF(GanttView[[#This Row],[_DoneTo]]&gt;0,GanttView[[#This Row],[_DoneTo]]+1,GanttView[[#This Row],[Forecast Start]])))</f>
        <v>0</v>
      </c>
      <c r="R32" s="127" t="n">
        <f aca="false">IF(GanttView[[#This Row],[_RemFrom]]=0,0,GanttView[[#This Row],[Forecast Finish]])</f>
        <v>0</v>
      </c>
      <c r="S32" s="126" t="b">
        <f aca="false">IF(IFERROR(INDEX(tsk_Name,GanttView[[#This Row],[_Row]])="",TRUE()),FALSE(),N(INDEX(tsk_Variance,GanttView[[#This Row],[_Row]]))&gt;0)</f>
        <v>0</v>
      </c>
      <c r="T32" s="127" t="n">
        <f aca="false">IF(IFERROR(INDEX(tsk_Name,GanttView[[#This Row],[_Row]])="",TRUE()),0,N(INDEX(tsk_Deadline,GanttView[[#This Row],[_Row]])))</f>
        <v>0</v>
      </c>
      <c r="U32" s="126" t="b">
        <f aca="false">IF(IFERROR(INDEX(tsk_Name,GanttView[[#This Row],[_Row]])="",TRUE()),FALSE(),INDEX(tsk_Critical,GanttView[[#This Row],[_Row]])="Yes")</f>
        <v>1</v>
      </c>
    </row>
    <row r="33" customFormat="false" ht="15" hidden="false" customHeight="false" outlineLevel="0" collapsed="false">
      <c r="A33" s="120" t="n">
        <f aca="false">IF(IFERROR(INDEX(tsk_Name,GanttView[[#This Row],[_Row]])="",TRUE()),"",INDEX(tsk_ID,GanttView[[#This Row],[_Row]]))</f>
        <v>28</v>
      </c>
      <c r="B33" s="120" t="str">
        <f aca="false">IF(IFERROR(INDEX(tsk_Name,GanttView[[#This Row],[_Row]])="",TRUE()),"",INDEX(tsk_WBS,GanttView[[#This Row],[_Row]]))</f>
        <v>5.1</v>
      </c>
      <c r="C33" s="121" t="str">
        <f aca="false">IF(IFERROR(INDEX(tsk_Name,GanttView[[#This Row],[_Row]])="",TRUE()),"",REPT("    ",INDEX(tsk_Level,GanttView[[#This Row],[_Row]])-1)&amp;INDEX(tsk_Name,GanttView[[#This Row],[_Row]]))</f>
        <v>    Steering committee update</v>
      </c>
      <c r="D33" s="120" t="n">
        <f aca="false">IF(IFERROR(INDEX(tsk_Name,GanttView[[#This Row],[_Row]])="",TRUE()),"",IF(INDEX(tsk_IsSummary,GanttView[[#This Row],[_Row]]),NETWORKDAYS.INTL(INDEX(tsk_FcStart,GanttView[[#This Row],[_Row]]),INDEX(tsk_FcFinish,GanttView[[#This Row],[_Row]]),WorkWeek,Holidays),N(INDEX(tsk_Duration,GanttView[[#This Row],[_Row]]))))</f>
        <v>1</v>
      </c>
      <c r="E33" s="122" t="n">
        <f aca="false">IF(IFERROR(INDEX(tsk_Name,GanttView[[#This Row],[_Row]])="",TRUE()),"",INDEX(tsk_PlanStart,GanttView[[#This Row],[_Row]]))</f>
        <v>46342</v>
      </c>
      <c r="F33" s="122" t="n">
        <f aca="false">IF(IFERROR(INDEX(tsk_Name,GanttView[[#This Row],[_Row]])="",TRUE()),"",INDEX(tsk_PlanFinish,GanttView[[#This Row],[_Row]]))</f>
        <v>46342</v>
      </c>
      <c r="G33" s="122" t="n">
        <f aca="false">IF(IFERROR(INDEX(tsk_Name,GanttView[[#This Row],[_Row]])="",TRUE()),"",INDEX(tsk_FcStart,GanttView[[#This Row],[_Row]]))</f>
        <v>46342</v>
      </c>
      <c r="H33" s="122" t="n">
        <f aca="false">IF(IFERROR(INDEX(tsk_Name,GanttView[[#This Row],[_Row]])="",TRUE()),"",INDEX(tsk_FcFinish,GanttView[[#This Row],[_Row]]))</f>
        <v>46342</v>
      </c>
      <c r="I33" s="123" t="n">
        <f aca="false">IF(IFERROR(INDEX(tsk_Name,GanttView[[#This Row],[_Row]])="",TRUE()),"",INDEX(tsk_Progress,GanttView[[#This Row],[_Row]]))</f>
        <v>0</v>
      </c>
      <c r="J33" s="121" t="str">
        <f aca="false">IF(IFERROR(INDEX(tsk_Name,GanttView[[#This Row],[_Row]])="",TRUE()),"",INDEX(tsk_Resource,GanttView[[#This Row],[_Row]])&amp;"")</f>
        <v>Priya Sharma</v>
      </c>
      <c r="K33" s="124" t="str">
        <f aca="false">IF(IFERROR(INDEX(tsk_Name,GanttView[[#This Row],[_Row]])="",TRUE()),"",INDEX(tsk_Status,GanttView[[#This Row],[_Row]]))</f>
        <v>Not Started</v>
      </c>
      <c r="L33" s="125" t="n">
        <f aca="false">ROW()-ROW(GanttView[[#Headers],[ID]])</f>
        <v>28</v>
      </c>
      <c r="M33" s="126" t="b">
        <f aca="false">IF(IFERROR(INDEX(tsk_Name,GanttView[[#This Row],[_Row]])="",TRUE()),FALSE(),INDEX(tsk_IsSummary,GanttView[[#This Row],[_Row]]))</f>
        <v>0</v>
      </c>
      <c r="N33" s="126" t="b">
        <f aca="false">IF(IFERROR(INDEX(tsk_Name,GanttView[[#This Row],[_Row]])="",TRUE()),FALSE(),AND(INDEX(tsk_IsLeaf,GanttView[[#This Row],[_Row]])=1,N(INDEX(tsk_Duration,GanttView[[#This Row],[_Row]]))=0))</f>
        <v>0</v>
      </c>
      <c r="O33" s="127" t="n">
        <f aca="false">IF(IFERROR(INDEX(tsk_Name,GanttView[[#This Row],[_Row]])="",TRUE()),0,IF(AND(INDEX(tsk_IsLeaf,GanttView[[#This Row],[_Row]])=1,NOT(GanttView[[#This Row],[_IsMilestone]]),N(GanttView[[#This Row],[%]])&gt;0),GanttView[[#This Row],[Forecast Start]],0))</f>
        <v>0</v>
      </c>
      <c r="P33" s="127" t="n">
        <f aca="false">IF(GanttView[[#This Row],[_DoneFrom]]=0,0,IF(GanttView[[#This Row],[%]]&gt;=1,GanttView[[#This Row],[Forecast Finish]],MAX(GanttView[[#This Row],[_DoneFrom]],GanttView[[#This Row],[Forecast Start]]+ROUND((GanttView[[#This Row],[Forecast Finish]]-GanttView[[#This Row],[Forecast Start]]+1)*GanttView[[#This Row],[%]],0)-1)))</f>
        <v>0</v>
      </c>
      <c r="Q33" s="127" t="n">
        <f aca="false">IF(IFERROR(INDEX(tsk_Name,GanttView[[#This Row],[_Row]])="",TRUE()),0,IF(OR(INDEX(tsk_IsLeaf,GanttView[[#This Row],[_Row]])&lt;&gt;1,GanttView[[#This Row],[_IsMilestone]],N(GanttView[[#This Row],[%]])&gt;=1),0,IF(GanttView[[#This Row],[_DoneTo]]&gt;0,GanttView[[#This Row],[_DoneTo]]+1,GanttView[[#This Row],[Forecast Start]])))</f>
        <v>46342</v>
      </c>
      <c r="R33" s="127" t="n">
        <f aca="false">IF(GanttView[[#This Row],[_RemFrom]]=0,0,GanttView[[#This Row],[Forecast Finish]])</f>
        <v>46342</v>
      </c>
      <c r="S33" s="126" t="b">
        <f aca="false">IF(IFERROR(INDEX(tsk_Name,GanttView[[#This Row],[_Row]])="",TRUE()),FALSE(),N(INDEX(tsk_Variance,GanttView[[#This Row],[_Row]]))&gt;0)</f>
        <v>0</v>
      </c>
      <c r="T33" s="127" t="n">
        <f aca="false">IF(IFERROR(INDEX(tsk_Name,GanttView[[#This Row],[_Row]])="",TRUE()),0,N(INDEX(tsk_Deadline,GanttView[[#This Row],[_Row]])))</f>
        <v>0</v>
      </c>
      <c r="U33" s="126" t="b">
        <f aca="false">IF(IFERROR(INDEX(tsk_Name,GanttView[[#This Row],[_Row]])="",TRUE()),FALSE(),INDEX(tsk_Critical,GanttView[[#This Row],[_Row]])="Yes")</f>
        <v>0</v>
      </c>
    </row>
    <row r="34" customFormat="false" ht="15" hidden="false" customHeight="false" outlineLevel="0" collapsed="false">
      <c r="A34" s="120" t="n">
        <f aca="false">IF(IFERROR(INDEX(tsk_Name,GanttView[[#This Row],[_Row]])="",TRUE()),"",INDEX(tsk_ID,GanttView[[#This Row],[_Row]]))</f>
        <v>29</v>
      </c>
      <c r="B34" s="120" t="str">
        <f aca="false">IF(IFERROR(INDEX(tsk_Name,GanttView[[#This Row],[_Row]])="",TRUE()),"",INDEX(tsk_WBS,GanttView[[#This Row],[_Row]]))</f>
        <v>5.2</v>
      </c>
      <c r="C34" s="121" t="str">
        <f aca="false">IF(IFERROR(INDEX(tsk_Name,GanttView[[#This Row],[_Row]])="",TRUE()),"",REPT("    ",INDEX(tsk_Level,GanttView[[#This Row],[_Row]])-1)&amp;INDEX(tsk_Name,GanttView[[#This Row],[_Row]]))</f>
        <v>    Lessons learned</v>
      </c>
      <c r="D34" s="120" t="n">
        <f aca="false">IF(IFERROR(INDEX(tsk_Name,GanttView[[#This Row],[_Row]])="",TRUE()),"",IF(INDEX(tsk_IsSummary,GanttView[[#This Row],[_Row]]),NETWORKDAYS.INTL(INDEX(tsk_FcStart,GanttView[[#This Row],[_Row]]),INDEX(tsk_FcFinish,GanttView[[#This Row],[_Row]]),WorkWeek,Holidays),N(INDEX(tsk_Duration,GanttView[[#This Row],[_Row]]))))</f>
        <v>2</v>
      </c>
      <c r="E34" s="122" t="n">
        <f aca="false">IF(IFERROR(INDEX(tsk_Name,GanttView[[#This Row],[_Row]])="",TRUE()),"",INDEX(tsk_PlanStart,GanttView[[#This Row],[_Row]]))</f>
        <v>46392</v>
      </c>
      <c r="F34" s="122" t="n">
        <f aca="false">IF(IFERROR(INDEX(tsk_Name,GanttView[[#This Row],[_Row]])="",TRUE()),"",INDEX(tsk_PlanFinish,GanttView[[#This Row],[_Row]]))</f>
        <v>46393</v>
      </c>
      <c r="G34" s="122" t="n">
        <f aca="false">IF(IFERROR(INDEX(tsk_Name,GanttView[[#This Row],[_Row]])="",TRUE()),"",INDEX(tsk_FcStart,GanttView[[#This Row],[_Row]]))</f>
        <v>46392</v>
      </c>
      <c r="H34" s="122" t="n">
        <f aca="false">IF(IFERROR(INDEX(tsk_Name,GanttView[[#This Row],[_Row]])="",TRUE()),"",INDEX(tsk_FcFinish,GanttView[[#This Row],[_Row]]))</f>
        <v>46393</v>
      </c>
      <c r="I34" s="123" t="n">
        <f aca="false">IF(IFERROR(INDEX(tsk_Name,GanttView[[#This Row],[_Row]])="",TRUE()),"",INDEX(tsk_Progress,GanttView[[#This Row],[_Row]]))</f>
        <v>0</v>
      </c>
      <c r="J34" s="121" t="str">
        <f aca="false">IF(IFERROR(INDEX(tsk_Name,GanttView[[#This Row],[_Row]])="",TRUE()),"",INDEX(tsk_Resource,GanttView[[#This Row],[_Row]])&amp;"")</f>
        <v>Priya Sharma</v>
      </c>
      <c r="K34" s="124" t="str">
        <f aca="false">IF(IFERROR(INDEX(tsk_Name,GanttView[[#This Row],[_Row]])="",TRUE()),"",INDEX(tsk_Status,GanttView[[#This Row],[_Row]]))</f>
        <v>Not Started</v>
      </c>
      <c r="L34" s="125" t="n">
        <f aca="false">ROW()-ROW(GanttView[[#Headers],[ID]])</f>
        <v>29</v>
      </c>
      <c r="M34" s="126" t="b">
        <f aca="false">IF(IFERROR(INDEX(tsk_Name,GanttView[[#This Row],[_Row]])="",TRUE()),FALSE(),INDEX(tsk_IsSummary,GanttView[[#This Row],[_Row]]))</f>
        <v>0</v>
      </c>
      <c r="N34" s="126" t="b">
        <f aca="false">IF(IFERROR(INDEX(tsk_Name,GanttView[[#This Row],[_Row]])="",TRUE()),FALSE(),AND(INDEX(tsk_IsLeaf,GanttView[[#This Row],[_Row]])=1,N(INDEX(tsk_Duration,GanttView[[#This Row],[_Row]]))=0))</f>
        <v>0</v>
      </c>
      <c r="O34" s="127" t="n">
        <f aca="false">IF(IFERROR(INDEX(tsk_Name,GanttView[[#This Row],[_Row]])="",TRUE()),0,IF(AND(INDEX(tsk_IsLeaf,GanttView[[#This Row],[_Row]])=1,NOT(GanttView[[#This Row],[_IsMilestone]]),N(GanttView[[#This Row],[%]])&gt;0),GanttView[[#This Row],[Forecast Start]],0))</f>
        <v>0</v>
      </c>
      <c r="P34" s="127" t="n">
        <f aca="false">IF(GanttView[[#This Row],[_DoneFrom]]=0,0,IF(GanttView[[#This Row],[%]]&gt;=1,GanttView[[#This Row],[Forecast Finish]],MAX(GanttView[[#This Row],[_DoneFrom]],GanttView[[#This Row],[Forecast Start]]+ROUND((GanttView[[#This Row],[Forecast Finish]]-GanttView[[#This Row],[Forecast Start]]+1)*GanttView[[#This Row],[%]],0)-1)))</f>
        <v>0</v>
      </c>
      <c r="Q34" s="127" t="n">
        <f aca="false">IF(IFERROR(INDEX(tsk_Name,GanttView[[#This Row],[_Row]])="",TRUE()),0,IF(OR(INDEX(tsk_IsLeaf,GanttView[[#This Row],[_Row]])&lt;&gt;1,GanttView[[#This Row],[_IsMilestone]],N(GanttView[[#This Row],[%]])&gt;=1),0,IF(GanttView[[#This Row],[_DoneTo]]&gt;0,GanttView[[#This Row],[_DoneTo]]+1,GanttView[[#This Row],[Forecast Start]])))</f>
        <v>46392</v>
      </c>
      <c r="R34" s="127" t="n">
        <f aca="false">IF(GanttView[[#This Row],[_RemFrom]]=0,0,GanttView[[#This Row],[Forecast Finish]])</f>
        <v>46393</v>
      </c>
      <c r="S34" s="126" t="b">
        <f aca="false">IF(IFERROR(INDEX(tsk_Name,GanttView[[#This Row],[_Row]])="",TRUE()),FALSE(),N(INDEX(tsk_Variance,GanttView[[#This Row],[_Row]]))&gt;0)</f>
        <v>0</v>
      </c>
      <c r="T34" s="127" t="n">
        <f aca="false">IF(IFERROR(INDEX(tsk_Name,GanttView[[#This Row],[_Row]])="",TRUE()),0,N(INDEX(tsk_Deadline,GanttView[[#This Row],[_Row]])))</f>
        <v>0</v>
      </c>
      <c r="U34" s="126" t="b">
        <f aca="false">IF(IFERROR(INDEX(tsk_Name,GanttView[[#This Row],[_Row]])="",TRUE()),FALSE(),INDEX(tsk_Critical,GanttView[[#This Row],[_Row]])="Yes")</f>
        <v>1</v>
      </c>
    </row>
    <row r="35" customFormat="false" ht="15" hidden="false" customHeight="false" outlineLevel="0" collapsed="false">
      <c r="A35" s="120" t="n">
        <f aca="false">IF(IFERROR(INDEX(tsk_Name,GanttView[[#This Row],[_Row]])="",TRUE()),"",INDEX(tsk_ID,GanttView[[#This Row],[_Row]]))</f>
        <v>30</v>
      </c>
      <c r="B35" s="120" t="str">
        <f aca="false">IF(IFERROR(INDEX(tsk_Name,GanttView[[#This Row],[_Row]])="",TRUE()),"",INDEX(tsk_WBS,GanttView[[#This Row],[_Row]]))</f>
        <v>5.3</v>
      </c>
      <c r="C35" s="121" t="str">
        <f aca="false">IF(IFERROR(INDEX(tsk_Name,GanttView[[#This Row],[_Row]])="",TRUE()),"",REPT("    ",INDEX(tsk_Level,GanttView[[#This Row],[_Row]])-1)&amp;INDEX(tsk_Name,GanttView[[#This Row],[_Row]]))</f>
        <v>    Project closed</v>
      </c>
      <c r="D35" s="120" t="n">
        <f aca="false">IF(IFERROR(INDEX(tsk_Name,GanttView[[#This Row],[_Row]])="",TRUE()),"",IF(INDEX(tsk_IsSummary,GanttView[[#This Row],[_Row]]),NETWORKDAYS.INTL(INDEX(tsk_FcStart,GanttView[[#This Row],[_Row]]),INDEX(tsk_FcFinish,GanttView[[#This Row],[_Row]]),WorkWeek,Holidays),N(INDEX(tsk_Duration,GanttView[[#This Row],[_Row]]))))</f>
        <v>0</v>
      </c>
      <c r="E35" s="122" t="n">
        <f aca="false">IF(IFERROR(INDEX(tsk_Name,GanttView[[#This Row],[_Row]])="",TRUE()),"",INDEX(tsk_PlanStart,GanttView[[#This Row],[_Row]]))</f>
        <v>46393</v>
      </c>
      <c r="F35" s="122" t="n">
        <f aca="false">IF(IFERROR(INDEX(tsk_Name,GanttView[[#This Row],[_Row]])="",TRUE()),"",INDEX(tsk_PlanFinish,GanttView[[#This Row],[_Row]]))</f>
        <v>46393</v>
      </c>
      <c r="G35" s="122" t="n">
        <f aca="false">IF(IFERROR(INDEX(tsk_Name,GanttView[[#This Row],[_Row]])="",TRUE()),"",INDEX(tsk_FcStart,GanttView[[#This Row],[_Row]]))</f>
        <v>46393</v>
      </c>
      <c r="H35" s="122" t="n">
        <f aca="false">IF(IFERROR(INDEX(tsk_Name,GanttView[[#This Row],[_Row]])="",TRUE()),"",INDEX(tsk_FcFinish,GanttView[[#This Row],[_Row]]))</f>
        <v>46393</v>
      </c>
      <c r="I35" s="123" t="n">
        <f aca="false">IF(IFERROR(INDEX(tsk_Name,GanttView[[#This Row],[_Row]])="",TRUE()),"",INDEX(tsk_Progress,GanttView[[#This Row],[_Row]]))</f>
        <v>0</v>
      </c>
      <c r="J35" s="121" t="str">
        <f aca="false">IF(IFERROR(INDEX(tsk_Name,GanttView[[#This Row],[_Row]])="",TRUE()),"",INDEX(tsk_Resource,GanttView[[#This Row],[_Row]])&amp;"")</f>
        <v/>
      </c>
      <c r="K35" s="124" t="str">
        <f aca="false">IF(IFERROR(INDEX(tsk_Name,GanttView[[#This Row],[_Row]])="",TRUE()),"",INDEX(tsk_Status,GanttView[[#This Row],[_Row]]))</f>
        <v>Not Started</v>
      </c>
      <c r="L35" s="125" t="n">
        <f aca="false">ROW()-ROW(GanttView[[#Headers],[ID]])</f>
        <v>30</v>
      </c>
      <c r="M35" s="126" t="b">
        <f aca="false">IF(IFERROR(INDEX(tsk_Name,GanttView[[#This Row],[_Row]])="",TRUE()),FALSE(),INDEX(tsk_IsSummary,GanttView[[#This Row],[_Row]]))</f>
        <v>0</v>
      </c>
      <c r="N35" s="126" t="b">
        <f aca="false">IF(IFERROR(INDEX(tsk_Name,GanttView[[#This Row],[_Row]])="",TRUE()),FALSE(),AND(INDEX(tsk_IsLeaf,GanttView[[#This Row],[_Row]])=1,N(INDEX(tsk_Duration,GanttView[[#This Row],[_Row]]))=0))</f>
        <v>1</v>
      </c>
      <c r="O35" s="127" t="n">
        <f aca="false">IF(IFERROR(INDEX(tsk_Name,GanttView[[#This Row],[_Row]])="",TRUE()),0,IF(AND(INDEX(tsk_IsLeaf,GanttView[[#This Row],[_Row]])=1,NOT(GanttView[[#This Row],[_IsMilestone]]),N(GanttView[[#This Row],[%]])&gt;0),GanttView[[#This Row],[Forecast Start]],0))</f>
        <v>0</v>
      </c>
      <c r="P35" s="127" t="n">
        <f aca="false">IF(GanttView[[#This Row],[_DoneFrom]]=0,0,IF(GanttView[[#This Row],[%]]&gt;=1,GanttView[[#This Row],[Forecast Finish]],MAX(GanttView[[#This Row],[_DoneFrom]],GanttView[[#This Row],[Forecast Start]]+ROUND((GanttView[[#This Row],[Forecast Finish]]-GanttView[[#This Row],[Forecast Start]]+1)*GanttView[[#This Row],[%]],0)-1)))</f>
        <v>0</v>
      </c>
      <c r="Q35" s="127" t="n">
        <f aca="false">IF(IFERROR(INDEX(tsk_Name,GanttView[[#This Row],[_Row]])="",TRUE()),0,IF(OR(INDEX(tsk_IsLeaf,GanttView[[#This Row],[_Row]])&lt;&gt;1,GanttView[[#This Row],[_IsMilestone]],N(GanttView[[#This Row],[%]])&gt;=1),0,IF(GanttView[[#This Row],[_DoneTo]]&gt;0,GanttView[[#This Row],[_DoneTo]]+1,GanttView[[#This Row],[Forecast Start]])))</f>
        <v>0</v>
      </c>
      <c r="R35" s="127" t="n">
        <f aca="false">IF(GanttView[[#This Row],[_RemFrom]]=0,0,GanttView[[#This Row],[Forecast Finish]])</f>
        <v>0</v>
      </c>
      <c r="S35" s="126" t="b">
        <f aca="false">IF(IFERROR(INDEX(tsk_Name,GanttView[[#This Row],[_Row]])="",TRUE()),FALSE(),N(INDEX(tsk_Variance,GanttView[[#This Row],[_Row]]))&gt;0)</f>
        <v>0</v>
      </c>
      <c r="T35" s="127" t="n">
        <f aca="false">IF(IFERROR(INDEX(tsk_Name,GanttView[[#This Row],[_Row]])="",TRUE()),0,N(INDEX(tsk_Deadline,GanttView[[#This Row],[_Row]])))</f>
        <v>0</v>
      </c>
      <c r="U35" s="126" t="b">
        <f aca="false">IF(IFERROR(INDEX(tsk_Name,GanttView[[#This Row],[_Row]])="",TRUE()),FALSE(),INDEX(tsk_Critical,GanttView[[#This Row],[_Row]])="Yes")</f>
        <v>1</v>
      </c>
    </row>
    <row r="36" customFormat="false" ht="15" hidden="false" customHeight="false" outlineLevel="0" collapsed="false">
      <c r="A36" s="120" t="str">
        <f aca="false">IF(IFERROR(INDEX(tsk_Name,GanttView[[#This Row],[_Row]])="",TRUE()),"",INDEX(tsk_ID,GanttView[[#This Row],[_Row]]))</f>
        <v/>
      </c>
      <c r="B36" s="120" t="str">
        <f aca="false">IF(IFERROR(INDEX(tsk_Name,GanttView[[#This Row],[_Row]])="",TRUE()),"",INDEX(tsk_WBS,GanttView[[#This Row],[_Row]]))</f>
        <v/>
      </c>
      <c r="C36" s="121" t="str">
        <f aca="false">IF(IFERROR(INDEX(tsk_Name,GanttView[[#This Row],[_Row]])="",TRUE()),"",REPT("    ",INDEX(tsk_Level,GanttView[[#This Row],[_Row]])-1)&amp;INDEX(tsk_Name,GanttView[[#This Row],[_Row]]))</f>
        <v/>
      </c>
      <c r="D36" s="120" t="str">
        <f aca="false">IF(IFERROR(INDEX(tsk_Name,GanttView[[#This Row],[_Row]])="",TRUE()),"",IF(INDEX(tsk_IsSummary,GanttView[[#This Row],[_Row]]),NETWORKDAYS.INTL(INDEX(tsk_FcStart,GanttView[[#This Row],[_Row]]),INDEX(tsk_FcFinish,GanttView[[#This Row],[_Row]]),WorkWeek,Holidays),N(INDEX(tsk_Duration,GanttView[[#This Row],[_Row]]))))</f>
        <v/>
      </c>
      <c r="E36" s="122" t="str">
        <f aca="false">IF(IFERROR(INDEX(tsk_Name,GanttView[[#This Row],[_Row]])="",TRUE()),"",INDEX(tsk_PlanStart,GanttView[[#This Row],[_Row]]))</f>
        <v/>
      </c>
      <c r="F36" s="122" t="str">
        <f aca="false">IF(IFERROR(INDEX(tsk_Name,GanttView[[#This Row],[_Row]])="",TRUE()),"",INDEX(tsk_PlanFinish,GanttView[[#This Row],[_Row]]))</f>
        <v/>
      </c>
      <c r="G36" s="122" t="str">
        <f aca="false">IF(IFERROR(INDEX(tsk_Name,GanttView[[#This Row],[_Row]])="",TRUE()),"",INDEX(tsk_FcStart,GanttView[[#This Row],[_Row]]))</f>
        <v/>
      </c>
      <c r="H36" s="122" t="str">
        <f aca="false">IF(IFERROR(INDEX(tsk_Name,GanttView[[#This Row],[_Row]])="",TRUE()),"",INDEX(tsk_FcFinish,GanttView[[#This Row],[_Row]]))</f>
        <v/>
      </c>
      <c r="I36" s="123" t="str">
        <f aca="false">IF(IFERROR(INDEX(tsk_Name,GanttView[[#This Row],[_Row]])="",TRUE()),"",INDEX(tsk_Progress,GanttView[[#This Row],[_Row]]))</f>
        <v/>
      </c>
      <c r="J36" s="121" t="str">
        <f aca="false">IF(IFERROR(INDEX(tsk_Name,GanttView[[#This Row],[_Row]])="",TRUE()),"",INDEX(tsk_Resource,GanttView[[#This Row],[_Row]])&amp;"")</f>
        <v/>
      </c>
      <c r="K36" s="124" t="str">
        <f aca="false">IF(IFERROR(INDEX(tsk_Name,GanttView[[#This Row],[_Row]])="",TRUE()),"",INDEX(tsk_Status,GanttView[[#This Row],[_Row]]))</f>
        <v/>
      </c>
      <c r="L36" s="125" t="n">
        <f aca="false">ROW()-ROW(GanttView[[#Headers],[ID]])</f>
        <v>31</v>
      </c>
      <c r="M36" s="126" t="b">
        <f aca="false">IF(IFERROR(INDEX(tsk_Name,GanttView[[#This Row],[_Row]])="",TRUE()),FALSE(),INDEX(tsk_IsSummary,GanttView[[#This Row],[_Row]]))</f>
        <v>0</v>
      </c>
      <c r="N36" s="126" t="b">
        <f aca="false">IF(IFERROR(INDEX(tsk_Name,GanttView[[#This Row],[_Row]])="",TRUE()),FALSE(),AND(INDEX(tsk_IsLeaf,GanttView[[#This Row],[_Row]])=1,N(INDEX(tsk_Duration,GanttView[[#This Row],[_Row]]))=0))</f>
        <v>0</v>
      </c>
      <c r="O36" s="127" t="n">
        <f aca="false">IF(IFERROR(INDEX(tsk_Name,GanttView[[#This Row],[_Row]])="",TRUE()),0,IF(AND(INDEX(tsk_IsLeaf,GanttView[[#This Row],[_Row]])=1,NOT(GanttView[[#This Row],[_IsMilestone]]),N(GanttView[[#This Row],[%]])&gt;0),GanttView[[#This Row],[Forecast Start]],0))</f>
        <v>0</v>
      </c>
      <c r="P36" s="127" t="n">
        <f aca="false">IF(GanttView[[#This Row],[_DoneFrom]]=0,0,IF(GanttView[[#This Row],[%]]&gt;=1,GanttView[[#This Row],[Forecast Finish]],MAX(GanttView[[#This Row],[_DoneFrom]],GanttView[[#This Row],[Forecast Start]]+ROUND((GanttView[[#This Row],[Forecast Finish]]-GanttView[[#This Row],[Forecast Start]]+1)*GanttView[[#This Row],[%]],0)-1)))</f>
        <v>0</v>
      </c>
      <c r="Q36" s="127" t="n">
        <f aca="false">IF(IFERROR(INDEX(tsk_Name,GanttView[[#This Row],[_Row]])="",TRUE()),0,IF(OR(INDEX(tsk_IsLeaf,GanttView[[#This Row],[_Row]])&lt;&gt;1,GanttView[[#This Row],[_IsMilestone]],N(GanttView[[#This Row],[%]])&gt;=1),0,IF(GanttView[[#This Row],[_DoneTo]]&gt;0,GanttView[[#This Row],[_DoneTo]]+1,GanttView[[#This Row],[Forecast Start]])))</f>
        <v>0</v>
      </c>
      <c r="R36" s="127" t="n">
        <f aca="false">IF(GanttView[[#This Row],[_RemFrom]]=0,0,GanttView[[#This Row],[Forecast Finish]])</f>
        <v>0</v>
      </c>
      <c r="S36" s="126" t="b">
        <f aca="false">IF(IFERROR(INDEX(tsk_Name,GanttView[[#This Row],[_Row]])="",TRUE()),FALSE(),N(INDEX(tsk_Variance,GanttView[[#This Row],[_Row]]))&gt;0)</f>
        <v>0</v>
      </c>
      <c r="T36" s="127" t="n">
        <f aca="false">IF(IFERROR(INDEX(tsk_Name,GanttView[[#This Row],[_Row]])="",TRUE()),0,N(INDEX(tsk_Deadline,GanttView[[#This Row],[_Row]])))</f>
        <v>0</v>
      </c>
      <c r="U36" s="126" t="b">
        <f aca="false">IF(IFERROR(INDEX(tsk_Name,GanttView[[#This Row],[_Row]])="",TRUE()),FALSE(),INDEX(tsk_Critical,GanttView[[#This Row],[_Row]])="Yes")</f>
        <v>0</v>
      </c>
    </row>
    <row r="37" customFormat="false" ht="15" hidden="false" customHeight="false" outlineLevel="0" collapsed="false">
      <c r="A37" s="120" t="str">
        <f aca="false">IF(IFERROR(INDEX(tsk_Name,GanttView[[#This Row],[_Row]])="",TRUE()),"",INDEX(tsk_ID,GanttView[[#This Row],[_Row]]))</f>
        <v/>
      </c>
      <c r="B37" s="120" t="str">
        <f aca="false">IF(IFERROR(INDEX(tsk_Name,GanttView[[#This Row],[_Row]])="",TRUE()),"",INDEX(tsk_WBS,GanttView[[#This Row],[_Row]]))</f>
        <v/>
      </c>
      <c r="C37" s="121" t="str">
        <f aca="false">IF(IFERROR(INDEX(tsk_Name,GanttView[[#This Row],[_Row]])="",TRUE()),"",REPT("    ",INDEX(tsk_Level,GanttView[[#This Row],[_Row]])-1)&amp;INDEX(tsk_Name,GanttView[[#This Row],[_Row]]))</f>
        <v/>
      </c>
      <c r="D37" s="120" t="str">
        <f aca="false">IF(IFERROR(INDEX(tsk_Name,GanttView[[#This Row],[_Row]])="",TRUE()),"",IF(INDEX(tsk_IsSummary,GanttView[[#This Row],[_Row]]),NETWORKDAYS.INTL(INDEX(tsk_FcStart,GanttView[[#This Row],[_Row]]),INDEX(tsk_FcFinish,GanttView[[#This Row],[_Row]]),WorkWeek,Holidays),N(INDEX(tsk_Duration,GanttView[[#This Row],[_Row]]))))</f>
        <v/>
      </c>
      <c r="E37" s="122" t="str">
        <f aca="false">IF(IFERROR(INDEX(tsk_Name,GanttView[[#This Row],[_Row]])="",TRUE()),"",INDEX(tsk_PlanStart,GanttView[[#This Row],[_Row]]))</f>
        <v/>
      </c>
      <c r="F37" s="122" t="str">
        <f aca="false">IF(IFERROR(INDEX(tsk_Name,GanttView[[#This Row],[_Row]])="",TRUE()),"",INDEX(tsk_PlanFinish,GanttView[[#This Row],[_Row]]))</f>
        <v/>
      </c>
      <c r="G37" s="122" t="str">
        <f aca="false">IF(IFERROR(INDEX(tsk_Name,GanttView[[#This Row],[_Row]])="",TRUE()),"",INDEX(tsk_FcStart,GanttView[[#This Row],[_Row]]))</f>
        <v/>
      </c>
      <c r="H37" s="122" t="str">
        <f aca="false">IF(IFERROR(INDEX(tsk_Name,GanttView[[#This Row],[_Row]])="",TRUE()),"",INDEX(tsk_FcFinish,GanttView[[#This Row],[_Row]]))</f>
        <v/>
      </c>
      <c r="I37" s="123" t="str">
        <f aca="false">IF(IFERROR(INDEX(tsk_Name,GanttView[[#This Row],[_Row]])="",TRUE()),"",INDEX(tsk_Progress,GanttView[[#This Row],[_Row]]))</f>
        <v/>
      </c>
      <c r="J37" s="121" t="str">
        <f aca="false">IF(IFERROR(INDEX(tsk_Name,GanttView[[#This Row],[_Row]])="",TRUE()),"",INDEX(tsk_Resource,GanttView[[#This Row],[_Row]])&amp;"")</f>
        <v/>
      </c>
      <c r="K37" s="124" t="str">
        <f aca="false">IF(IFERROR(INDEX(tsk_Name,GanttView[[#This Row],[_Row]])="",TRUE()),"",INDEX(tsk_Status,GanttView[[#This Row],[_Row]]))</f>
        <v/>
      </c>
      <c r="L37" s="125" t="n">
        <f aca="false">ROW()-ROW(GanttView[[#Headers],[ID]])</f>
        <v>32</v>
      </c>
      <c r="M37" s="126" t="b">
        <f aca="false">IF(IFERROR(INDEX(tsk_Name,GanttView[[#This Row],[_Row]])="",TRUE()),FALSE(),INDEX(tsk_IsSummary,GanttView[[#This Row],[_Row]]))</f>
        <v>0</v>
      </c>
      <c r="N37" s="126" t="b">
        <f aca="false">IF(IFERROR(INDEX(tsk_Name,GanttView[[#This Row],[_Row]])="",TRUE()),FALSE(),AND(INDEX(tsk_IsLeaf,GanttView[[#This Row],[_Row]])=1,N(INDEX(tsk_Duration,GanttView[[#This Row],[_Row]]))=0))</f>
        <v>0</v>
      </c>
      <c r="O37" s="127" t="n">
        <f aca="false">IF(IFERROR(INDEX(tsk_Name,GanttView[[#This Row],[_Row]])="",TRUE()),0,IF(AND(INDEX(tsk_IsLeaf,GanttView[[#This Row],[_Row]])=1,NOT(GanttView[[#This Row],[_IsMilestone]]),N(GanttView[[#This Row],[%]])&gt;0),GanttView[[#This Row],[Forecast Start]],0))</f>
        <v>0</v>
      </c>
      <c r="P37" s="127" t="n">
        <f aca="false">IF(GanttView[[#This Row],[_DoneFrom]]=0,0,IF(GanttView[[#This Row],[%]]&gt;=1,GanttView[[#This Row],[Forecast Finish]],MAX(GanttView[[#This Row],[_DoneFrom]],GanttView[[#This Row],[Forecast Start]]+ROUND((GanttView[[#This Row],[Forecast Finish]]-GanttView[[#This Row],[Forecast Start]]+1)*GanttView[[#This Row],[%]],0)-1)))</f>
        <v>0</v>
      </c>
      <c r="Q37" s="127" t="n">
        <f aca="false">IF(IFERROR(INDEX(tsk_Name,GanttView[[#This Row],[_Row]])="",TRUE()),0,IF(OR(INDEX(tsk_IsLeaf,GanttView[[#This Row],[_Row]])&lt;&gt;1,GanttView[[#This Row],[_IsMilestone]],N(GanttView[[#This Row],[%]])&gt;=1),0,IF(GanttView[[#This Row],[_DoneTo]]&gt;0,GanttView[[#This Row],[_DoneTo]]+1,GanttView[[#This Row],[Forecast Start]])))</f>
        <v>0</v>
      </c>
      <c r="R37" s="127" t="n">
        <f aca="false">IF(GanttView[[#This Row],[_RemFrom]]=0,0,GanttView[[#This Row],[Forecast Finish]])</f>
        <v>0</v>
      </c>
      <c r="S37" s="126" t="b">
        <f aca="false">IF(IFERROR(INDEX(tsk_Name,GanttView[[#This Row],[_Row]])="",TRUE()),FALSE(),N(INDEX(tsk_Variance,GanttView[[#This Row],[_Row]]))&gt;0)</f>
        <v>0</v>
      </c>
      <c r="T37" s="127" t="n">
        <f aca="false">IF(IFERROR(INDEX(tsk_Name,GanttView[[#This Row],[_Row]])="",TRUE()),0,N(INDEX(tsk_Deadline,GanttView[[#This Row],[_Row]])))</f>
        <v>0</v>
      </c>
      <c r="U37" s="126" t="b">
        <f aca="false">IF(IFERROR(INDEX(tsk_Name,GanttView[[#This Row],[_Row]])="",TRUE()),FALSE(),INDEX(tsk_Critical,GanttView[[#This Row],[_Row]])="Yes")</f>
        <v>0</v>
      </c>
    </row>
    <row r="38" customFormat="false" ht="15" hidden="false" customHeight="false" outlineLevel="0" collapsed="false">
      <c r="A38" s="120" t="str">
        <f aca="false">IF(IFERROR(INDEX(tsk_Name,GanttView[[#This Row],[_Row]])="",TRUE()),"",INDEX(tsk_ID,GanttView[[#This Row],[_Row]]))</f>
        <v/>
      </c>
      <c r="B38" s="120" t="str">
        <f aca="false">IF(IFERROR(INDEX(tsk_Name,GanttView[[#This Row],[_Row]])="",TRUE()),"",INDEX(tsk_WBS,GanttView[[#This Row],[_Row]]))</f>
        <v/>
      </c>
      <c r="C38" s="121" t="str">
        <f aca="false">IF(IFERROR(INDEX(tsk_Name,GanttView[[#This Row],[_Row]])="",TRUE()),"",REPT("    ",INDEX(tsk_Level,GanttView[[#This Row],[_Row]])-1)&amp;INDEX(tsk_Name,GanttView[[#This Row],[_Row]]))</f>
        <v/>
      </c>
      <c r="D38" s="120" t="str">
        <f aca="false">IF(IFERROR(INDEX(tsk_Name,GanttView[[#This Row],[_Row]])="",TRUE()),"",IF(INDEX(tsk_IsSummary,GanttView[[#This Row],[_Row]]),NETWORKDAYS.INTL(INDEX(tsk_FcStart,GanttView[[#This Row],[_Row]]),INDEX(tsk_FcFinish,GanttView[[#This Row],[_Row]]),WorkWeek,Holidays),N(INDEX(tsk_Duration,GanttView[[#This Row],[_Row]]))))</f>
        <v/>
      </c>
      <c r="E38" s="122" t="str">
        <f aca="false">IF(IFERROR(INDEX(tsk_Name,GanttView[[#This Row],[_Row]])="",TRUE()),"",INDEX(tsk_PlanStart,GanttView[[#This Row],[_Row]]))</f>
        <v/>
      </c>
      <c r="F38" s="122" t="str">
        <f aca="false">IF(IFERROR(INDEX(tsk_Name,GanttView[[#This Row],[_Row]])="",TRUE()),"",INDEX(tsk_PlanFinish,GanttView[[#This Row],[_Row]]))</f>
        <v/>
      </c>
      <c r="G38" s="122" t="str">
        <f aca="false">IF(IFERROR(INDEX(tsk_Name,GanttView[[#This Row],[_Row]])="",TRUE()),"",INDEX(tsk_FcStart,GanttView[[#This Row],[_Row]]))</f>
        <v/>
      </c>
      <c r="H38" s="122" t="str">
        <f aca="false">IF(IFERROR(INDEX(tsk_Name,GanttView[[#This Row],[_Row]])="",TRUE()),"",INDEX(tsk_FcFinish,GanttView[[#This Row],[_Row]]))</f>
        <v/>
      </c>
      <c r="I38" s="123" t="str">
        <f aca="false">IF(IFERROR(INDEX(tsk_Name,GanttView[[#This Row],[_Row]])="",TRUE()),"",INDEX(tsk_Progress,GanttView[[#This Row],[_Row]]))</f>
        <v/>
      </c>
      <c r="J38" s="121" t="str">
        <f aca="false">IF(IFERROR(INDEX(tsk_Name,GanttView[[#This Row],[_Row]])="",TRUE()),"",INDEX(tsk_Resource,GanttView[[#This Row],[_Row]])&amp;"")</f>
        <v/>
      </c>
      <c r="K38" s="124" t="str">
        <f aca="false">IF(IFERROR(INDEX(tsk_Name,GanttView[[#This Row],[_Row]])="",TRUE()),"",INDEX(tsk_Status,GanttView[[#This Row],[_Row]]))</f>
        <v/>
      </c>
      <c r="L38" s="125" t="n">
        <f aca="false">ROW()-ROW(GanttView[[#Headers],[ID]])</f>
        <v>33</v>
      </c>
      <c r="M38" s="126" t="b">
        <f aca="false">IF(IFERROR(INDEX(tsk_Name,GanttView[[#This Row],[_Row]])="",TRUE()),FALSE(),INDEX(tsk_IsSummary,GanttView[[#This Row],[_Row]]))</f>
        <v>0</v>
      </c>
      <c r="N38" s="126" t="b">
        <f aca="false">IF(IFERROR(INDEX(tsk_Name,GanttView[[#This Row],[_Row]])="",TRUE()),FALSE(),AND(INDEX(tsk_IsLeaf,GanttView[[#This Row],[_Row]])=1,N(INDEX(tsk_Duration,GanttView[[#This Row],[_Row]]))=0))</f>
        <v>0</v>
      </c>
      <c r="O38" s="127" t="n">
        <f aca="false">IF(IFERROR(INDEX(tsk_Name,GanttView[[#This Row],[_Row]])="",TRUE()),0,IF(AND(INDEX(tsk_IsLeaf,GanttView[[#This Row],[_Row]])=1,NOT(GanttView[[#This Row],[_IsMilestone]]),N(GanttView[[#This Row],[%]])&gt;0),GanttView[[#This Row],[Forecast Start]],0))</f>
        <v>0</v>
      </c>
      <c r="P38" s="127" t="n">
        <f aca="false">IF(GanttView[[#This Row],[_DoneFrom]]=0,0,IF(GanttView[[#This Row],[%]]&gt;=1,GanttView[[#This Row],[Forecast Finish]],MAX(GanttView[[#This Row],[_DoneFrom]],GanttView[[#This Row],[Forecast Start]]+ROUND((GanttView[[#This Row],[Forecast Finish]]-GanttView[[#This Row],[Forecast Start]]+1)*GanttView[[#This Row],[%]],0)-1)))</f>
        <v>0</v>
      </c>
      <c r="Q38" s="127" t="n">
        <f aca="false">IF(IFERROR(INDEX(tsk_Name,GanttView[[#This Row],[_Row]])="",TRUE()),0,IF(OR(INDEX(tsk_IsLeaf,GanttView[[#This Row],[_Row]])&lt;&gt;1,GanttView[[#This Row],[_IsMilestone]],N(GanttView[[#This Row],[%]])&gt;=1),0,IF(GanttView[[#This Row],[_DoneTo]]&gt;0,GanttView[[#This Row],[_DoneTo]]+1,GanttView[[#This Row],[Forecast Start]])))</f>
        <v>0</v>
      </c>
      <c r="R38" s="127" t="n">
        <f aca="false">IF(GanttView[[#This Row],[_RemFrom]]=0,0,GanttView[[#This Row],[Forecast Finish]])</f>
        <v>0</v>
      </c>
      <c r="S38" s="126" t="b">
        <f aca="false">IF(IFERROR(INDEX(tsk_Name,GanttView[[#This Row],[_Row]])="",TRUE()),FALSE(),N(INDEX(tsk_Variance,GanttView[[#This Row],[_Row]]))&gt;0)</f>
        <v>0</v>
      </c>
      <c r="T38" s="127" t="n">
        <f aca="false">IF(IFERROR(INDEX(tsk_Name,GanttView[[#This Row],[_Row]])="",TRUE()),0,N(INDEX(tsk_Deadline,GanttView[[#This Row],[_Row]])))</f>
        <v>0</v>
      </c>
      <c r="U38" s="126" t="b">
        <f aca="false">IF(IFERROR(INDEX(tsk_Name,GanttView[[#This Row],[_Row]])="",TRUE()),FALSE(),INDEX(tsk_Critical,GanttView[[#This Row],[_Row]])="Yes")</f>
        <v>0</v>
      </c>
    </row>
    <row r="39" customFormat="false" ht="15" hidden="false" customHeight="false" outlineLevel="0" collapsed="false">
      <c r="A39" s="120" t="str">
        <f aca="false">IF(IFERROR(INDEX(tsk_Name,GanttView[[#This Row],[_Row]])="",TRUE()),"",INDEX(tsk_ID,GanttView[[#This Row],[_Row]]))</f>
        <v/>
      </c>
      <c r="B39" s="120" t="str">
        <f aca="false">IF(IFERROR(INDEX(tsk_Name,GanttView[[#This Row],[_Row]])="",TRUE()),"",INDEX(tsk_WBS,GanttView[[#This Row],[_Row]]))</f>
        <v/>
      </c>
      <c r="C39" s="121" t="str">
        <f aca="false">IF(IFERROR(INDEX(tsk_Name,GanttView[[#This Row],[_Row]])="",TRUE()),"",REPT("    ",INDEX(tsk_Level,GanttView[[#This Row],[_Row]])-1)&amp;INDEX(tsk_Name,GanttView[[#This Row],[_Row]]))</f>
        <v/>
      </c>
      <c r="D39" s="120" t="str">
        <f aca="false">IF(IFERROR(INDEX(tsk_Name,GanttView[[#This Row],[_Row]])="",TRUE()),"",IF(INDEX(tsk_IsSummary,GanttView[[#This Row],[_Row]]),NETWORKDAYS.INTL(INDEX(tsk_FcStart,GanttView[[#This Row],[_Row]]),INDEX(tsk_FcFinish,GanttView[[#This Row],[_Row]]),WorkWeek,Holidays),N(INDEX(tsk_Duration,GanttView[[#This Row],[_Row]]))))</f>
        <v/>
      </c>
      <c r="E39" s="122" t="str">
        <f aca="false">IF(IFERROR(INDEX(tsk_Name,GanttView[[#This Row],[_Row]])="",TRUE()),"",INDEX(tsk_PlanStart,GanttView[[#This Row],[_Row]]))</f>
        <v/>
      </c>
      <c r="F39" s="122" t="str">
        <f aca="false">IF(IFERROR(INDEX(tsk_Name,GanttView[[#This Row],[_Row]])="",TRUE()),"",INDEX(tsk_PlanFinish,GanttView[[#This Row],[_Row]]))</f>
        <v/>
      </c>
      <c r="G39" s="122" t="str">
        <f aca="false">IF(IFERROR(INDEX(tsk_Name,GanttView[[#This Row],[_Row]])="",TRUE()),"",INDEX(tsk_FcStart,GanttView[[#This Row],[_Row]]))</f>
        <v/>
      </c>
      <c r="H39" s="122" t="str">
        <f aca="false">IF(IFERROR(INDEX(tsk_Name,GanttView[[#This Row],[_Row]])="",TRUE()),"",INDEX(tsk_FcFinish,GanttView[[#This Row],[_Row]]))</f>
        <v/>
      </c>
      <c r="I39" s="123" t="str">
        <f aca="false">IF(IFERROR(INDEX(tsk_Name,GanttView[[#This Row],[_Row]])="",TRUE()),"",INDEX(tsk_Progress,GanttView[[#This Row],[_Row]]))</f>
        <v/>
      </c>
      <c r="J39" s="121" t="str">
        <f aca="false">IF(IFERROR(INDEX(tsk_Name,GanttView[[#This Row],[_Row]])="",TRUE()),"",INDEX(tsk_Resource,GanttView[[#This Row],[_Row]])&amp;"")</f>
        <v/>
      </c>
      <c r="K39" s="124" t="str">
        <f aca="false">IF(IFERROR(INDEX(tsk_Name,GanttView[[#This Row],[_Row]])="",TRUE()),"",INDEX(tsk_Status,GanttView[[#This Row],[_Row]]))</f>
        <v/>
      </c>
      <c r="L39" s="125" t="n">
        <f aca="false">ROW()-ROW(GanttView[[#Headers],[ID]])</f>
        <v>34</v>
      </c>
      <c r="M39" s="126" t="b">
        <f aca="false">IF(IFERROR(INDEX(tsk_Name,GanttView[[#This Row],[_Row]])="",TRUE()),FALSE(),INDEX(tsk_IsSummary,GanttView[[#This Row],[_Row]]))</f>
        <v>0</v>
      </c>
      <c r="N39" s="126" t="b">
        <f aca="false">IF(IFERROR(INDEX(tsk_Name,GanttView[[#This Row],[_Row]])="",TRUE()),FALSE(),AND(INDEX(tsk_IsLeaf,GanttView[[#This Row],[_Row]])=1,N(INDEX(tsk_Duration,GanttView[[#This Row],[_Row]]))=0))</f>
        <v>0</v>
      </c>
      <c r="O39" s="127" t="n">
        <f aca="false">IF(IFERROR(INDEX(tsk_Name,GanttView[[#This Row],[_Row]])="",TRUE()),0,IF(AND(INDEX(tsk_IsLeaf,GanttView[[#This Row],[_Row]])=1,NOT(GanttView[[#This Row],[_IsMilestone]]),N(GanttView[[#This Row],[%]])&gt;0),GanttView[[#This Row],[Forecast Start]],0))</f>
        <v>0</v>
      </c>
      <c r="P39" s="127" t="n">
        <f aca="false">IF(GanttView[[#This Row],[_DoneFrom]]=0,0,IF(GanttView[[#This Row],[%]]&gt;=1,GanttView[[#This Row],[Forecast Finish]],MAX(GanttView[[#This Row],[_DoneFrom]],GanttView[[#This Row],[Forecast Start]]+ROUND((GanttView[[#This Row],[Forecast Finish]]-GanttView[[#This Row],[Forecast Start]]+1)*GanttView[[#This Row],[%]],0)-1)))</f>
        <v>0</v>
      </c>
      <c r="Q39" s="127" t="n">
        <f aca="false">IF(IFERROR(INDEX(tsk_Name,GanttView[[#This Row],[_Row]])="",TRUE()),0,IF(OR(INDEX(tsk_IsLeaf,GanttView[[#This Row],[_Row]])&lt;&gt;1,GanttView[[#This Row],[_IsMilestone]],N(GanttView[[#This Row],[%]])&gt;=1),0,IF(GanttView[[#This Row],[_DoneTo]]&gt;0,GanttView[[#This Row],[_DoneTo]]+1,GanttView[[#This Row],[Forecast Start]])))</f>
        <v>0</v>
      </c>
      <c r="R39" s="127" t="n">
        <f aca="false">IF(GanttView[[#This Row],[_RemFrom]]=0,0,GanttView[[#This Row],[Forecast Finish]])</f>
        <v>0</v>
      </c>
      <c r="S39" s="126" t="b">
        <f aca="false">IF(IFERROR(INDEX(tsk_Name,GanttView[[#This Row],[_Row]])="",TRUE()),FALSE(),N(INDEX(tsk_Variance,GanttView[[#This Row],[_Row]]))&gt;0)</f>
        <v>0</v>
      </c>
      <c r="T39" s="127" t="n">
        <f aca="false">IF(IFERROR(INDEX(tsk_Name,GanttView[[#This Row],[_Row]])="",TRUE()),0,N(INDEX(tsk_Deadline,GanttView[[#This Row],[_Row]])))</f>
        <v>0</v>
      </c>
      <c r="U39" s="126" t="b">
        <f aca="false">IF(IFERROR(INDEX(tsk_Name,GanttView[[#This Row],[_Row]])="",TRUE()),FALSE(),INDEX(tsk_Critical,GanttView[[#This Row],[_Row]])="Yes")</f>
        <v>0</v>
      </c>
    </row>
    <row r="40" customFormat="false" ht="15" hidden="false" customHeight="false" outlineLevel="0" collapsed="false">
      <c r="A40" s="120" t="str">
        <f aca="false">IF(IFERROR(INDEX(tsk_Name,GanttView[[#This Row],[_Row]])="",TRUE()),"",INDEX(tsk_ID,GanttView[[#This Row],[_Row]]))</f>
        <v/>
      </c>
      <c r="B40" s="120" t="str">
        <f aca="false">IF(IFERROR(INDEX(tsk_Name,GanttView[[#This Row],[_Row]])="",TRUE()),"",INDEX(tsk_WBS,GanttView[[#This Row],[_Row]]))</f>
        <v/>
      </c>
      <c r="C40" s="121" t="str">
        <f aca="false">IF(IFERROR(INDEX(tsk_Name,GanttView[[#This Row],[_Row]])="",TRUE()),"",REPT("    ",INDEX(tsk_Level,GanttView[[#This Row],[_Row]])-1)&amp;INDEX(tsk_Name,GanttView[[#This Row],[_Row]]))</f>
        <v/>
      </c>
      <c r="D40" s="120" t="str">
        <f aca="false">IF(IFERROR(INDEX(tsk_Name,GanttView[[#This Row],[_Row]])="",TRUE()),"",IF(INDEX(tsk_IsSummary,GanttView[[#This Row],[_Row]]),NETWORKDAYS.INTL(INDEX(tsk_FcStart,GanttView[[#This Row],[_Row]]),INDEX(tsk_FcFinish,GanttView[[#This Row],[_Row]]),WorkWeek,Holidays),N(INDEX(tsk_Duration,GanttView[[#This Row],[_Row]]))))</f>
        <v/>
      </c>
      <c r="E40" s="122" t="str">
        <f aca="false">IF(IFERROR(INDEX(tsk_Name,GanttView[[#This Row],[_Row]])="",TRUE()),"",INDEX(tsk_PlanStart,GanttView[[#This Row],[_Row]]))</f>
        <v/>
      </c>
      <c r="F40" s="122" t="str">
        <f aca="false">IF(IFERROR(INDEX(tsk_Name,GanttView[[#This Row],[_Row]])="",TRUE()),"",INDEX(tsk_PlanFinish,GanttView[[#This Row],[_Row]]))</f>
        <v/>
      </c>
      <c r="G40" s="122" t="str">
        <f aca="false">IF(IFERROR(INDEX(tsk_Name,GanttView[[#This Row],[_Row]])="",TRUE()),"",INDEX(tsk_FcStart,GanttView[[#This Row],[_Row]]))</f>
        <v/>
      </c>
      <c r="H40" s="122" t="str">
        <f aca="false">IF(IFERROR(INDEX(tsk_Name,GanttView[[#This Row],[_Row]])="",TRUE()),"",INDEX(tsk_FcFinish,GanttView[[#This Row],[_Row]]))</f>
        <v/>
      </c>
      <c r="I40" s="123" t="str">
        <f aca="false">IF(IFERROR(INDEX(tsk_Name,GanttView[[#This Row],[_Row]])="",TRUE()),"",INDEX(tsk_Progress,GanttView[[#This Row],[_Row]]))</f>
        <v/>
      </c>
      <c r="J40" s="121" t="str">
        <f aca="false">IF(IFERROR(INDEX(tsk_Name,GanttView[[#This Row],[_Row]])="",TRUE()),"",INDEX(tsk_Resource,GanttView[[#This Row],[_Row]])&amp;"")</f>
        <v/>
      </c>
      <c r="K40" s="124" t="str">
        <f aca="false">IF(IFERROR(INDEX(tsk_Name,GanttView[[#This Row],[_Row]])="",TRUE()),"",INDEX(tsk_Status,GanttView[[#This Row],[_Row]]))</f>
        <v/>
      </c>
      <c r="L40" s="125" t="n">
        <f aca="false">ROW()-ROW(GanttView[[#Headers],[ID]])</f>
        <v>35</v>
      </c>
      <c r="M40" s="126" t="b">
        <f aca="false">IF(IFERROR(INDEX(tsk_Name,GanttView[[#This Row],[_Row]])="",TRUE()),FALSE(),INDEX(tsk_IsSummary,GanttView[[#This Row],[_Row]]))</f>
        <v>0</v>
      </c>
      <c r="N40" s="126" t="b">
        <f aca="false">IF(IFERROR(INDEX(tsk_Name,GanttView[[#This Row],[_Row]])="",TRUE()),FALSE(),AND(INDEX(tsk_IsLeaf,GanttView[[#This Row],[_Row]])=1,N(INDEX(tsk_Duration,GanttView[[#This Row],[_Row]]))=0))</f>
        <v>0</v>
      </c>
      <c r="O40" s="127" t="n">
        <f aca="false">IF(IFERROR(INDEX(tsk_Name,GanttView[[#This Row],[_Row]])="",TRUE()),0,IF(AND(INDEX(tsk_IsLeaf,GanttView[[#This Row],[_Row]])=1,NOT(GanttView[[#This Row],[_IsMilestone]]),N(GanttView[[#This Row],[%]])&gt;0),GanttView[[#This Row],[Forecast Start]],0))</f>
        <v>0</v>
      </c>
      <c r="P40" s="127" t="n">
        <f aca="false">IF(GanttView[[#This Row],[_DoneFrom]]=0,0,IF(GanttView[[#This Row],[%]]&gt;=1,GanttView[[#This Row],[Forecast Finish]],MAX(GanttView[[#This Row],[_DoneFrom]],GanttView[[#This Row],[Forecast Start]]+ROUND((GanttView[[#This Row],[Forecast Finish]]-GanttView[[#This Row],[Forecast Start]]+1)*GanttView[[#This Row],[%]],0)-1)))</f>
        <v>0</v>
      </c>
      <c r="Q40" s="127" t="n">
        <f aca="false">IF(IFERROR(INDEX(tsk_Name,GanttView[[#This Row],[_Row]])="",TRUE()),0,IF(OR(INDEX(tsk_IsLeaf,GanttView[[#This Row],[_Row]])&lt;&gt;1,GanttView[[#This Row],[_IsMilestone]],N(GanttView[[#This Row],[%]])&gt;=1),0,IF(GanttView[[#This Row],[_DoneTo]]&gt;0,GanttView[[#This Row],[_DoneTo]]+1,GanttView[[#This Row],[Forecast Start]])))</f>
        <v>0</v>
      </c>
      <c r="R40" s="127" t="n">
        <f aca="false">IF(GanttView[[#This Row],[_RemFrom]]=0,0,GanttView[[#This Row],[Forecast Finish]])</f>
        <v>0</v>
      </c>
      <c r="S40" s="126" t="b">
        <f aca="false">IF(IFERROR(INDEX(tsk_Name,GanttView[[#This Row],[_Row]])="",TRUE()),FALSE(),N(INDEX(tsk_Variance,GanttView[[#This Row],[_Row]]))&gt;0)</f>
        <v>0</v>
      </c>
      <c r="T40" s="127" t="n">
        <f aca="false">IF(IFERROR(INDEX(tsk_Name,GanttView[[#This Row],[_Row]])="",TRUE()),0,N(INDEX(tsk_Deadline,GanttView[[#This Row],[_Row]])))</f>
        <v>0</v>
      </c>
      <c r="U40" s="126" t="b">
        <f aca="false">IF(IFERROR(INDEX(tsk_Name,GanttView[[#This Row],[_Row]])="",TRUE()),FALSE(),INDEX(tsk_Critical,GanttView[[#This Row],[_Row]])="Yes")</f>
        <v>0</v>
      </c>
    </row>
    <row r="41" customFormat="false" ht="15" hidden="false" customHeight="false" outlineLevel="0" collapsed="false">
      <c r="A41" s="120" t="str">
        <f aca="false">IF(IFERROR(INDEX(tsk_Name,GanttView[[#This Row],[_Row]])="",TRUE()),"",INDEX(tsk_ID,GanttView[[#This Row],[_Row]]))</f>
        <v/>
      </c>
      <c r="B41" s="120" t="str">
        <f aca="false">IF(IFERROR(INDEX(tsk_Name,GanttView[[#This Row],[_Row]])="",TRUE()),"",INDEX(tsk_WBS,GanttView[[#This Row],[_Row]]))</f>
        <v/>
      </c>
      <c r="C41" s="121" t="str">
        <f aca="false">IF(IFERROR(INDEX(tsk_Name,GanttView[[#This Row],[_Row]])="",TRUE()),"",REPT("    ",INDEX(tsk_Level,GanttView[[#This Row],[_Row]])-1)&amp;INDEX(tsk_Name,GanttView[[#This Row],[_Row]]))</f>
        <v/>
      </c>
      <c r="D41" s="120" t="str">
        <f aca="false">IF(IFERROR(INDEX(tsk_Name,GanttView[[#This Row],[_Row]])="",TRUE()),"",IF(INDEX(tsk_IsSummary,GanttView[[#This Row],[_Row]]),NETWORKDAYS.INTL(INDEX(tsk_FcStart,GanttView[[#This Row],[_Row]]),INDEX(tsk_FcFinish,GanttView[[#This Row],[_Row]]),WorkWeek,Holidays),N(INDEX(tsk_Duration,GanttView[[#This Row],[_Row]]))))</f>
        <v/>
      </c>
      <c r="E41" s="122" t="str">
        <f aca="false">IF(IFERROR(INDEX(tsk_Name,GanttView[[#This Row],[_Row]])="",TRUE()),"",INDEX(tsk_PlanStart,GanttView[[#This Row],[_Row]]))</f>
        <v/>
      </c>
      <c r="F41" s="122" t="str">
        <f aca="false">IF(IFERROR(INDEX(tsk_Name,GanttView[[#This Row],[_Row]])="",TRUE()),"",INDEX(tsk_PlanFinish,GanttView[[#This Row],[_Row]]))</f>
        <v/>
      </c>
      <c r="G41" s="122" t="str">
        <f aca="false">IF(IFERROR(INDEX(tsk_Name,GanttView[[#This Row],[_Row]])="",TRUE()),"",INDEX(tsk_FcStart,GanttView[[#This Row],[_Row]]))</f>
        <v/>
      </c>
      <c r="H41" s="122" t="str">
        <f aca="false">IF(IFERROR(INDEX(tsk_Name,GanttView[[#This Row],[_Row]])="",TRUE()),"",INDEX(tsk_FcFinish,GanttView[[#This Row],[_Row]]))</f>
        <v/>
      </c>
      <c r="I41" s="123" t="str">
        <f aca="false">IF(IFERROR(INDEX(tsk_Name,GanttView[[#This Row],[_Row]])="",TRUE()),"",INDEX(tsk_Progress,GanttView[[#This Row],[_Row]]))</f>
        <v/>
      </c>
      <c r="J41" s="121" t="str">
        <f aca="false">IF(IFERROR(INDEX(tsk_Name,GanttView[[#This Row],[_Row]])="",TRUE()),"",INDEX(tsk_Resource,GanttView[[#This Row],[_Row]])&amp;"")</f>
        <v/>
      </c>
      <c r="K41" s="124" t="str">
        <f aca="false">IF(IFERROR(INDEX(tsk_Name,GanttView[[#This Row],[_Row]])="",TRUE()),"",INDEX(tsk_Status,GanttView[[#This Row],[_Row]]))</f>
        <v/>
      </c>
      <c r="L41" s="125" t="n">
        <f aca="false">ROW()-ROW(GanttView[[#Headers],[ID]])</f>
        <v>36</v>
      </c>
      <c r="M41" s="126" t="b">
        <f aca="false">IF(IFERROR(INDEX(tsk_Name,GanttView[[#This Row],[_Row]])="",TRUE()),FALSE(),INDEX(tsk_IsSummary,GanttView[[#This Row],[_Row]]))</f>
        <v>0</v>
      </c>
      <c r="N41" s="126" t="b">
        <f aca="false">IF(IFERROR(INDEX(tsk_Name,GanttView[[#This Row],[_Row]])="",TRUE()),FALSE(),AND(INDEX(tsk_IsLeaf,GanttView[[#This Row],[_Row]])=1,N(INDEX(tsk_Duration,GanttView[[#This Row],[_Row]]))=0))</f>
        <v>0</v>
      </c>
      <c r="O41" s="127" t="n">
        <f aca="false">IF(IFERROR(INDEX(tsk_Name,GanttView[[#This Row],[_Row]])="",TRUE()),0,IF(AND(INDEX(tsk_IsLeaf,GanttView[[#This Row],[_Row]])=1,NOT(GanttView[[#This Row],[_IsMilestone]]),N(GanttView[[#This Row],[%]])&gt;0),GanttView[[#This Row],[Forecast Start]],0))</f>
        <v>0</v>
      </c>
      <c r="P41" s="127" t="n">
        <f aca="false">IF(GanttView[[#This Row],[_DoneFrom]]=0,0,IF(GanttView[[#This Row],[%]]&gt;=1,GanttView[[#This Row],[Forecast Finish]],MAX(GanttView[[#This Row],[_DoneFrom]],GanttView[[#This Row],[Forecast Start]]+ROUND((GanttView[[#This Row],[Forecast Finish]]-GanttView[[#This Row],[Forecast Start]]+1)*GanttView[[#This Row],[%]],0)-1)))</f>
        <v>0</v>
      </c>
      <c r="Q41" s="127" t="n">
        <f aca="false">IF(IFERROR(INDEX(tsk_Name,GanttView[[#This Row],[_Row]])="",TRUE()),0,IF(OR(INDEX(tsk_IsLeaf,GanttView[[#This Row],[_Row]])&lt;&gt;1,GanttView[[#This Row],[_IsMilestone]],N(GanttView[[#This Row],[%]])&gt;=1),0,IF(GanttView[[#This Row],[_DoneTo]]&gt;0,GanttView[[#This Row],[_DoneTo]]+1,GanttView[[#This Row],[Forecast Start]])))</f>
        <v>0</v>
      </c>
      <c r="R41" s="127" t="n">
        <f aca="false">IF(GanttView[[#This Row],[_RemFrom]]=0,0,GanttView[[#This Row],[Forecast Finish]])</f>
        <v>0</v>
      </c>
      <c r="S41" s="126" t="b">
        <f aca="false">IF(IFERROR(INDEX(tsk_Name,GanttView[[#This Row],[_Row]])="",TRUE()),FALSE(),N(INDEX(tsk_Variance,GanttView[[#This Row],[_Row]]))&gt;0)</f>
        <v>0</v>
      </c>
      <c r="T41" s="127" t="n">
        <f aca="false">IF(IFERROR(INDEX(tsk_Name,GanttView[[#This Row],[_Row]])="",TRUE()),0,N(INDEX(tsk_Deadline,GanttView[[#This Row],[_Row]])))</f>
        <v>0</v>
      </c>
      <c r="U41" s="126" t="b">
        <f aca="false">IF(IFERROR(INDEX(tsk_Name,GanttView[[#This Row],[_Row]])="",TRUE()),FALSE(),INDEX(tsk_Critical,GanttView[[#This Row],[_Row]])="Yes")</f>
        <v>0</v>
      </c>
    </row>
    <row r="42" customFormat="false" ht="15" hidden="false" customHeight="false" outlineLevel="0" collapsed="false">
      <c r="A42" s="120" t="str">
        <f aca="false">IF(IFERROR(INDEX(tsk_Name,GanttView[[#This Row],[_Row]])="",TRUE()),"",INDEX(tsk_ID,GanttView[[#This Row],[_Row]]))</f>
        <v/>
      </c>
      <c r="B42" s="120" t="str">
        <f aca="false">IF(IFERROR(INDEX(tsk_Name,GanttView[[#This Row],[_Row]])="",TRUE()),"",INDEX(tsk_WBS,GanttView[[#This Row],[_Row]]))</f>
        <v/>
      </c>
      <c r="C42" s="121" t="str">
        <f aca="false">IF(IFERROR(INDEX(tsk_Name,GanttView[[#This Row],[_Row]])="",TRUE()),"",REPT("    ",INDEX(tsk_Level,GanttView[[#This Row],[_Row]])-1)&amp;INDEX(tsk_Name,GanttView[[#This Row],[_Row]]))</f>
        <v/>
      </c>
      <c r="D42" s="120" t="str">
        <f aca="false">IF(IFERROR(INDEX(tsk_Name,GanttView[[#This Row],[_Row]])="",TRUE()),"",IF(INDEX(tsk_IsSummary,GanttView[[#This Row],[_Row]]),NETWORKDAYS.INTL(INDEX(tsk_FcStart,GanttView[[#This Row],[_Row]]),INDEX(tsk_FcFinish,GanttView[[#This Row],[_Row]]),WorkWeek,Holidays),N(INDEX(tsk_Duration,GanttView[[#This Row],[_Row]]))))</f>
        <v/>
      </c>
      <c r="E42" s="122" t="str">
        <f aca="false">IF(IFERROR(INDEX(tsk_Name,GanttView[[#This Row],[_Row]])="",TRUE()),"",INDEX(tsk_PlanStart,GanttView[[#This Row],[_Row]]))</f>
        <v/>
      </c>
      <c r="F42" s="122" t="str">
        <f aca="false">IF(IFERROR(INDEX(tsk_Name,GanttView[[#This Row],[_Row]])="",TRUE()),"",INDEX(tsk_PlanFinish,GanttView[[#This Row],[_Row]]))</f>
        <v/>
      </c>
      <c r="G42" s="122" t="str">
        <f aca="false">IF(IFERROR(INDEX(tsk_Name,GanttView[[#This Row],[_Row]])="",TRUE()),"",INDEX(tsk_FcStart,GanttView[[#This Row],[_Row]]))</f>
        <v/>
      </c>
      <c r="H42" s="122" t="str">
        <f aca="false">IF(IFERROR(INDEX(tsk_Name,GanttView[[#This Row],[_Row]])="",TRUE()),"",INDEX(tsk_FcFinish,GanttView[[#This Row],[_Row]]))</f>
        <v/>
      </c>
      <c r="I42" s="123" t="str">
        <f aca="false">IF(IFERROR(INDEX(tsk_Name,GanttView[[#This Row],[_Row]])="",TRUE()),"",INDEX(tsk_Progress,GanttView[[#This Row],[_Row]]))</f>
        <v/>
      </c>
      <c r="J42" s="121" t="str">
        <f aca="false">IF(IFERROR(INDEX(tsk_Name,GanttView[[#This Row],[_Row]])="",TRUE()),"",INDEX(tsk_Resource,GanttView[[#This Row],[_Row]])&amp;"")</f>
        <v/>
      </c>
      <c r="K42" s="124" t="str">
        <f aca="false">IF(IFERROR(INDEX(tsk_Name,GanttView[[#This Row],[_Row]])="",TRUE()),"",INDEX(tsk_Status,GanttView[[#This Row],[_Row]]))</f>
        <v/>
      </c>
      <c r="L42" s="125" t="n">
        <f aca="false">ROW()-ROW(GanttView[[#Headers],[ID]])</f>
        <v>37</v>
      </c>
      <c r="M42" s="126" t="b">
        <f aca="false">IF(IFERROR(INDEX(tsk_Name,GanttView[[#This Row],[_Row]])="",TRUE()),FALSE(),INDEX(tsk_IsSummary,GanttView[[#This Row],[_Row]]))</f>
        <v>0</v>
      </c>
      <c r="N42" s="126" t="b">
        <f aca="false">IF(IFERROR(INDEX(tsk_Name,GanttView[[#This Row],[_Row]])="",TRUE()),FALSE(),AND(INDEX(tsk_IsLeaf,GanttView[[#This Row],[_Row]])=1,N(INDEX(tsk_Duration,GanttView[[#This Row],[_Row]]))=0))</f>
        <v>0</v>
      </c>
      <c r="O42" s="127" t="n">
        <f aca="false">IF(IFERROR(INDEX(tsk_Name,GanttView[[#This Row],[_Row]])="",TRUE()),0,IF(AND(INDEX(tsk_IsLeaf,GanttView[[#This Row],[_Row]])=1,NOT(GanttView[[#This Row],[_IsMilestone]]),N(GanttView[[#This Row],[%]])&gt;0),GanttView[[#This Row],[Forecast Start]],0))</f>
        <v>0</v>
      </c>
      <c r="P42" s="127" t="n">
        <f aca="false">IF(GanttView[[#This Row],[_DoneFrom]]=0,0,IF(GanttView[[#This Row],[%]]&gt;=1,GanttView[[#This Row],[Forecast Finish]],MAX(GanttView[[#This Row],[_DoneFrom]],GanttView[[#This Row],[Forecast Start]]+ROUND((GanttView[[#This Row],[Forecast Finish]]-GanttView[[#This Row],[Forecast Start]]+1)*GanttView[[#This Row],[%]],0)-1)))</f>
        <v>0</v>
      </c>
      <c r="Q42" s="127" t="n">
        <f aca="false">IF(IFERROR(INDEX(tsk_Name,GanttView[[#This Row],[_Row]])="",TRUE()),0,IF(OR(INDEX(tsk_IsLeaf,GanttView[[#This Row],[_Row]])&lt;&gt;1,GanttView[[#This Row],[_IsMilestone]],N(GanttView[[#This Row],[%]])&gt;=1),0,IF(GanttView[[#This Row],[_DoneTo]]&gt;0,GanttView[[#This Row],[_DoneTo]]+1,GanttView[[#This Row],[Forecast Start]])))</f>
        <v>0</v>
      </c>
      <c r="R42" s="127" t="n">
        <f aca="false">IF(GanttView[[#This Row],[_RemFrom]]=0,0,GanttView[[#This Row],[Forecast Finish]])</f>
        <v>0</v>
      </c>
      <c r="S42" s="126" t="b">
        <f aca="false">IF(IFERROR(INDEX(tsk_Name,GanttView[[#This Row],[_Row]])="",TRUE()),FALSE(),N(INDEX(tsk_Variance,GanttView[[#This Row],[_Row]]))&gt;0)</f>
        <v>0</v>
      </c>
      <c r="T42" s="127" t="n">
        <f aca="false">IF(IFERROR(INDEX(tsk_Name,GanttView[[#This Row],[_Row]])="",TRUE()),0,N(INDEX(tsk_Deadline,GanttView[[#This Row],[_Row]])))</f>
        <v>0</v>
      </c>
      <c r="U42" s="126" t="b">
        <f aca="false">IF(IFERROR(INDEX(tsk_Name,GanttView[[#This Row],[_Row]])="",TRUE()),FALSE(),INDEX(tsk_Critical,GanttView[[#This Row],[_Row]])="Yes")</f>
        <v>0</v>
      </c>
    </row>
    <row r="43" customFormat="false" ht="15" hidden="false" customHeight="false" outlineLevel="0" collapsed="false">
      <c r="A43" s="120" t="str">
        <f aca="false">IF(IFERROR(INDEX(tsk_Name,GanttView[[#This Row],[_Row]])="",TRUE()),"",INDEX(tsk_ID,GanttView[[#This Row],[_Row]]))</f>
        <v/>
      </c>
      <c r="B43" s="120" t="str">
        <f aca="false">IF(IFERROR(INDEX(tsk_Name,GanttView[[#This Row],[_Row]])="",TRUE()),"",INDEX(tsk_WBS,GanttView[[#This Row],[_Row]]))</f>
        <v/>
      </c>
      <c r="C43" s="121" t="str">
        <f aca="false">IF(IFERROR(INDEX(tsk_Name,GanttView[[#This Row],[_Row]])="",TRUE()),"",REPT("    ",INDEX(tsk_Level,GanttView[[#This Row],[_Row]])-1)&amp;INDEX(tsk_Name,GanttView[[#This Row],[_Row]]))</f>
        <v/>
      </c>
      <c r="D43" s="120" t="str">
        <f aca="false">IF(IFERROR(INDEX(tsk_Name,GanttView[[#This Row],[_Row]])="",TRUE()),"",IF(INDEX(tsk_IsSummary,GanttView[[#This Row],[_Row]]),NETWORKDAYS.INTL(INDEX(tsk_FcStart,GanttView[[#This Row],[_Row]]),INDEX(tsk_FcFinish,GanttView[[#This Row],[_Row]]),WorkWeek,Holidays),N(INDEX(tsk_Duration,GanttView[[#This Row],[_Row]]))))</f>
        <v/>
      </c>
      <c r="E43" s="122" t="str">
        <f aca="false">IF(IFERROR(INDEX(tsk_Name,GanttView[[#This Row],[_Row]])="",TRUE()),"",INDEX(tsk_PlanStart,GanttView[[#This Row],[_Row]]))</f>
        <v/>
      </c>
      <c r="F43" s="122" t="str">
        <f aca="false">IF(IFERROR(INDEX(tsk_Name,GanttView[[#This Row],[_Row]])="",TRUE()),"",INDEX(tsk_PlanFinish,GanttView[[#This Row],[_Row]]))</f>
        <v/>
      </c>
      <c r="G43" s="122" t="str">
        <f aca="false">IF(IFERROR(INDEX(tsk_Name,GanttView[[#This Row],[_Row]])="",TRUE()),"",INDEX(tsk_FcStart,GanttView[[#This Row],[_Row]]))</f>
        <v/>
      </c>
      <c r="H43" s="122" t="str">
        <f aca="false">IF(IFERROR(INDEX(tsk_Name,GanttView[[#This Row],[_Row]])="",TRUE()),"",INDEX(tsk_FcFinish,GanttView[[#This Row],[_Row]]))</f>
        <v/>
      </c>
      <c r="I43" s="123" t="str">
        <f aca="false">IF(IFERROR(INDEX(tsk_Name,GanttView[[#This Row],[_Row]])="",TRUE()),"",INDEX(tsk_Progress,GanttView[[#This Row],[_Row]]))</f>
        <v/>
      </c>
      <c r="J43" s="121" t="str">
        <f aca="false">IF(IFERROR(INDEX(tsk_Name,GanttView[[#This Row],[_Row]])="",TRUE()),"",INDEX(tsk_Resource,GanttView[[#This Row],[_Row]])&amp;"")</f>
        <v/>
      </c>
      <c r="K43" s="124" t="str">
        <f aca="false">IF(IFERROR(INDEX(tsk_Name,GanttView[[#This Row],[_Row]])="",TRUE()),"",INDEX(tsk_Status,GanttView[[#This Row],[_Row]]))</f>
        <v/>
      </c>
      <c r="L43" s="125" t="n">
        <f aca="false">ROW()-ROW(GanttView[[#Headers],[ID]])</f>
        <v>38</v>
      </c>
      <c r="M43" s="126" t="b">
        <f aca="false">IF(IFERROR(INDEX(tsk_Name,GanttView[[#This Row],[_Row]])="",TRUE()),FALSE(),INDEX(tsk_IsSummary,GanttView[[#This Row],[_Row]]))</f>
        <v>0</v>
      </c>
      <c r="N43" s="126" t="b">
        <f aca="false">IF(IFERROR(INDEX(tsk_Name,GanttView[[#This Row],[_Row]])="",TRUE()),FALSE(),AND(INDEX(tsk_IsLeaf,GanttView[[#This Row],[_Row]])=1,N(INDEX(tsk_Duration,GanttView[[#This Row],[_Row]]))=0))</f>
        <v>0</v>
      </c>
      <c r="O43" s="127" t="n">
        <f aca="false">IF(IFERROR(INDEX(tsk_Name,GanttView[[#This Row],[_Row]])="",TRUE()),0,IF(AND(INDEX(tsk_IsLeaf,GanttView[[#This Row],[_Row]])=1,NOT(GanttView[[#This Row],[_IsMilestone]]),N(GanttView[[#This Row],[%]])&gt;0),GanttView[[#This Row],[Forecast Start]],0))</f>
        <v>0</v>
      </c>
      <c r="P43" s="127" t="n">
        <f aca="false">IF(GanttView[[#This Row],[_DoneFrom]]=0,0,IF(GanttView[[#This Row],[%]]&gt;=1,GanttView[[#This Row],[Forecast Finish]],MAX(GanttView[[#This Row],[_DoneFrom]],GanttView[[#This Row],[Forecast Start]]+ROUND((GanttView[[#This Row],[Forecast Finish]]-GanttView[[#This Row],[Forecast Start]]+1)*GanttView[[#This Row],[%]],0)-1)))</f>
        <v>0</v>
      </c>
      <c r="Q43" s="127" t="n">
        <f aca="false">IF(IFERROR(INDEX(tsk_Name,GanttView[[#This Row],[_Row]])="",TRUE()),0,IF(OR(INDEX(tsk_IsLeaf,GanttView[[#This Row],[_Row]])&lt;&gt;1,GanttView[[#This Row],[_IsMilestone]],N(GanttView[[#This Row],[%]])&gt;=1),0,IF(GanttView[[#This Row],[_DoneTo]]&gt;0,GanttView[[#This Row],[_DoneTo]]+1,GanttView[[#This Row],[Forecast Start]])))</f>
        <v>0</v>
      </c>
      <c r="R43" s="127" t="n">
        <f aca="false">IF(GanttView[[#This Row],[_RemFrom]]=0,0,GanttView[[#This Row],[Forecast Finish]])</f>
        <v>0</v>
      </c>
      <c r="S43" s="126" t="b">
        <f aca="false">IF(IFERROR(INDEX(tsk_Name,GanttView[[#This Row],[_Row]])="",TRUE()),FALSE(),N(INDEX(tsk_Variance,GanttView[[#This Row],[_Row]]))&gt;0)</f>
        <v>0</v>
      </c>
      <c r="T43" s="127" t="n">
        <f aca="false">IF(IFERROR(INDEX(tsk_Name,GanttView[[#This Row],[_Row]])="",TRUE()),0,N(INDEX(tsk_Deadline,GanttView[[#This Row],[_Row]])))</f>
        <v>0</v>
      </c>
      <c r="U43" s="126" t="b">
        <f aca="false">IF(IFERROR(INDEX(tsk_Name,GanttView[[#This Row],[_Row]])="",TRUE()),FALSE(),INDEX(tsk_Critical,GanttView[[#This Row],[_Row]])="Yes")</f>
        <v>0</v>
      </c>
    </row>
    <row r="44" customFormat="false" ht="15" hidden="false" customHeight="false" outlineLevel="0" collapsed="false">
      <c r="A44" s="120" t="str">
        <f aca="false">IF(IFERROR(INDEX(tsk_Name,GanttView[[#This Row],[_Row]])="",TRUE()),"",INDEX(tsk_ID,GanttView[[#This Row],[_Row]]))</f>
        <v/>
      </c>
      <c r="B44" s="120" t="str">
        <f aca="false">IF(IFERROR(INDEX(tsk_Name,GanttView[[#This Row],[_Row]])="",TRUE()),"",INDEX(tsk_WBS,GanttView[[#This Row],[_Row]]))</f>
        <v/>
      </c>
      <c r="C44" s="121" t="str">
        <f aca="false">IF(IFERROR(INDEX(tsk_Name,GanttView[[#This Row],[_Row]])="",TRUE()),"",REPT("    ",INDEX(tsk_Level,GanttView[[#This Row],[_Row]])-1)&amp;INDEX(tsk_Name,GanttView[[#This Row],[_Row]]))</f>
        <v/>
      </c>
      <c r="D44" s="120" t="str">
        <f aca="false">IF(IFERROR(INDEX(tsk_Name,GanttView[[#This Row],[_Row]])="",TRUE()),"",IF(INDEX(tsk_IsSummary,GanttView[[#This Row],[_Row]]),NETWORKDAYS.INTL(INDEX(tsk_FcStart,GanttView[[#This Row],[_Row]]),INDEX(tsk_FcFinish,GanttView[[#This Row],[_Row]]),WorkWeek,Holidays),N(INDEX(tsk_Duration,GanttView[[#This Row],[_Row]]))))</f>
        <v/>
      </c>
      <c r="E44" s="122" t="str">
        <f aca="false">IF(IFERROR(INDEX(tsk_Name,GanttView[[#This Row],[_Row]])="",TRUE()),"",INDEX(tsk_PlanStart,GanttView[[#This Row],[_Row]]))</f>
        <v/>
      </c>
      <c r="F44" s="122" t="str">
        <f aca="false">IF(IFERROR(INDEX(tsk_Name,GanttView[[#This Row],[_Row]])="",TRUE()),"",INDEX(tsk_PlanFinish,GanttView[[#This Row],[_Row]]))</f>
        <v/>
      </c>
      <c r="G44" s="122" t="str">
        <f aca="false">IF(IFERROR(INDEX(tsk_Name,GanttView[[#This Row],[_Row]])="",TRUE()),"",INDEX(tsk_FcStart,GanttView[[#This Row],[_Row]]))</f>
        <v/>
      </c>
      <c r="H44" s="122" t="str">
        <f aca="false">IF(IFERROR(INDEX(tsk_Name,GanttView[[#This Row],[_Row]])="",TRUE()),"",INDEX(tsk_FcFinish,GanttView[[#This Row],[_Row]]))</f>
        <v/>
      </c>
      <c r="I44" s="123" t="str">
        <f aca="false">IF(IFERROR(INDEX(tsk_Name,GanttView[[#This Row],[_Row]])="",TRUE()),"",INDEX(tsk_Progress,GanttView[[#This Row],[_Row]]))</f>
        <v/>
      </c>
      <c r="J44" s="121" t="str">
        <f aca="false">IF(IFERROR(INDEX(tsk_Name,GanttView[[#This Row],[_Row]])="",TRUE()),"",INDEX(tsk_Resource,GanttView[[#This Row],[_Row]])&amp;"")</f>
        <v/>
      </c>
      <c r="K44" s="124" t="str">
        <f aca="false">IF(IFERROR(INDEX(tsk_Name,GanttView[[#This Row],[_Row]])="",TRUE()),"",INDEX(tsk_Status,GanttView[[#This Row],[_Row]]))</f>
        <v/>
      </c>
      <c r="L44" s="125" t="n">
        <f aca="false">ROW()-ROW(GanttView[[#Headers],[ID]])</f>
        <v>39</v>
      </c>
      <c r="M44" s="126" t="b">
        <f aca="false">IF(IFERROR(INDEX(tsk_Name,GanttView[[#This Row],[_Row]])="",TRUE()),FALSE(),INDEX(tsk_IsSummary,GanttView[[#This Row],[_Row]]))</f>
        <v>0</v>
      </c>
      <c r="N44" s="126" t="b">
        <f aca="false">IF(IFERROR(INDEX(tsk_Name,GanttView[[#This Row],[_Row]])="",TRUE()),FALSE(),AND(INDEX(tsk_IsLeaf,GanttView[[#This Row],[_Row]])=1,N(INDEX(tsk_Duration,GanttView[[#This Row],[_Row]]))=0))</f>
        <v>0</v>
      </c>
      <c r="O44" s="127" t="n">
        <f aca="false">IF(IFERROR(INDEX(tsk_Name,GanttView[[#This Row],[_Row]])="",TRUE()),0,IF(AND(INDEX(tsk_IsLeaf,GanttView[[#This Row],[_Row]])=1,NOT(GanttView[[#This Row],[_IsMilestone]]),N(GanttView[[#This Row],[%]])&gt;0),GanttView[[#This Row],[Forecast Start]],0))</f>
        <v>0</v>
      </c>
      <c r="P44" s="127" t="n">
        <f aca="false">IF(GanttView[[#This Row],[_DoneFrom]]=0,0,IF(GanttView[[#This Row],[%]]&gt;=1,GanttView[[#This Row],[Forecast Finish]],MAX(GanttView[[#This Row],[_DoneFrom]],GanttView[[#This Row],[Forecast Start]]+ROUND((GanttView[[#This Row],[Forecast Finish]]-GanttView[[#This Row],[Forecast Start]]+1)*GanttView[[#This Row],[%]],0)-1)))</f>
        <v>0</v>
      </c>
      <c r="Q44" s="127" t="n">
        <f aca="false">IF(IFERROR(INDEX(tsk_Name,GanttView[[#This Row],[_Row]])="",TRUE()),0,IF(OR(INDEX(tsk_IsLeaf,GanttView[[#This Row],[_Row]])&lt;&gt;1,GanttView[[#This Row],[_IsMilestone]],N(GanttView[[#This Row],[%]])&gt;=1),0,IF(GanttView[[#This Row],[_DoneTo]]&gt;0,GanttView[[#This Row],[_DoneTo]]+1,GanttView[[#This Row],[Forecast Start]])))</f>
        <v>0</v>
      </c>
      <c r="R44" s="127" t="n">
        <f aca="false">IF(GanttView[[#This Row],[_RemFrom]]=0,0,GanttView[[#This Row],[Forecast Finish]])</f>
        <v>0</v>
      </c>
      <c r="S44" s="126" t="b">
        <f aca="false">IF(IFERROR(INDEX(tsk_Name,GanttView[[#This Row],[_Row]])="",TRUE()),FALSE(),N(INDEX(tsk_Variance,GanttView[[#This Row],[_Row]]))&gt;0)</f>
        <v>0</v>
      </c>
      <c r="T44" s="127" t="n">
        <f aca="false">IF(IFERROR(INDEX(tsk_Name,GanttView[[#This Row],[_Row]])="",TRUE()),0,N(INDEX(tsk_Deadline,GanttView[[#This Row],[_Row]])))</f>
        <v>0</v>
      </c>
      <c r="U44" s="126" t="b">
        <f aca="false">IF(IFERROR(INDEX(tsk_Name,GanttView[[#This Row],[_Row]])="",TRUE()),FALSE(),INDEX(tsk_Critical,GanttView[[#This Row],[_Row]])="Yes")</f>
        <v>0</v>
      </c>
    </row>
    <row r="45" customFormat="false" ht="15" hidden="false" customHeight="false" outlineLevel="0" collapsed="false">
      <c r="A45" s="120" t="str">
        <f aca="false">IF(IFERROR(INDEX(tsk_Name,GanttView[[#This Row],[_Row]])="",TRUE()),"",INDEX(tsk_ID,GanttView[[#This Row],[_Row]]))</f>
        <v/>
      </c>
      <c r="B45" s="120" t="str">
        <f aca="false">IF(IFERROR(INDEX(tsk_Name,GanttView[[#This Row],[_Row]])="",TRUE()),"",INDEX(tsk_WBS,GanttView[[#This Row],[_Row]]))</f>
        <v/>
      </c>
      <c r="C45" s="121" t="str">
        <f aca="false">IF(IFERROR(INDEX(tsk_Name,GanttView[[#This Row],[_Row]])="",TRUE()),"",REPT("    ",INDEX(tsk_Level,GanttView[[#This Row],[_Row]])-1)&amp;INDEX(tsk_Name,GanttView[[#This Row],[_Row]]))</f>
        <v/>
      </c>
      <c r="D45" s="120" t="str">
        <f aca="false">IF(IFERROR(INDEX(tsk_Name,GanttView[[#This Row],[_Row]])="",TRUE()),"",IF(INDEX(tsk_IsSummary,GanttView[[#This Row],[_Row]]),NETWORKDAYS.INTL(INDEX(tsk_FcStart,GanttView[[#This Row],[_Row]]),INDEX(tsk_FcFinish,GanttView[[#This Row],[_Row]]),WorkWeek,Holidays),N(INDEX(tsk_Duration,GanttView[[#This Row],[_Row]]))))</f>
        <v/>
      </c>
      <c r="E45" s="122" t="str">
        <f aca="false">IF(IFERROR(INDEX(tsk_Name,GanttView[[#This Row],[_Row]])="",TRUE()),"",INDEX(tsk_PlanStart,GanttView[[#This Row],[_Row]]))</f>
        <v/>
      </c>
      <c r="F45" s="122" t="str">
        <f aca="false">IF(IFERROR(INDEX(tsk_Name,GanttView[[#This Row],[_Row]])="",TRUE()),"",INDEX(tsk_PlanFinish,GanttView[[#This Row],[_Row]]))</f>
        <v/>
      </c>
      <c r="G45" s="122" t="str">
        <f aca="false">IF(IFERROR(INDEX(tsk_Name,GanttView[[#This Row],[_Row]])="",TRUE()),"",INDEX(tsk_FcStart,GanttView[[#This Row],[_Row]]))</f>
        <v/>
      </c>
      <c r="H45" s="122" t="str">
        <f aca="false">IF(IFERROR(INDEX(tsk_Name,GanttView[[#This Row],[_Row]])="",TRUE()),"",INDEX(tsk_FcFinish,GanttView[[#This Row],[_Row]]))</f>
        <v/>
      </c>
      <c r="I45" s="123" t="str">
        <f aca="false">IF(IFERROR(INDEX(tsk_Name,GanttView[[#This Row],[_Row]])="",TRUE()),"",INDEX(tsk_Progress,GanttView[[#This Row],[_Row]]))</f>
        <v/>
      </c>
      <c r="J45" s="121" t="str">
        <f aca="false">IF(IFERROR(INDEX(tsk_Name,GanttView[[#This Row],[_Row]])="",TRUE()),"",INDEX(tsk_Resource,GanttView[[#This Row],[_Row]])&amp;"")</f>
        <v/>
      </c>
      <c r="K45" s="124" t="str">
        <f aca="false">IF(IFERROR(INDEX(tsk_Name,GanttView[[#This Row],[_Row]])="",TRUE()),"",INDEX(tsk_Status,GanttView[[#This Row],[_Row]]))</f>
        <v/>
      </c>
      <c r="L45" s="125" t="n">
        <f aca="false">ROW()-ROW(GanttView[[#Headers],[ID]])</f>
        <v>40</v>
      </c>
      <c r="M45" s="126" t="b">
        <f aca="false">IF(IFERROR(INDEX(tsk_Name,GanttView[[#This Row],[_Row]])="",TRUE()),FALSE(),INDEX(tsk_IsSummary,GanttView[[#This Row],[_Row]]))</f>
        <v>0</v>
      </c>
      <c r="N45" s="126" t="b">
        <f aca="false">IF(IFERROR(INDEX(tsk_Name,GanttView[[#This Row],[_Row]])="",TRUE()),FALSE(),AND(INDEX(tsk_IsLeaf,GanttView[[#This Row],[_Row]])=1,N(INDEX(tsk_Duration,GanttView[[#This Row],[_Row]]))=0))</f>
        <v>0</v>
      </c>
      <c r="O45" s="127" t="n">
        <f aca="false">IF(IFERROR(INDEX(tsk_Name,GanttView[[#This Row],[_Row]])="",TRUE()),0,IF(AND(INDEX(tsk_IsLeaf,GanttView[[#This Row],[_Row]])=1,NOT(GanttView[[#This Row],[_IsMilestone]]),N(GanttView[[#This Row],[%]])&gt;0),GanttView[[#This Row],[Forecast Start]],0))</f>
        <v>0</v>
      </c>
      <c r="P45" s="127" t="n">
        <f aca="false">IF(GanttView[[#This Row],[_DoneFrom]]=0,0,IF(GanttView[[#This Row],[%]]&gt;=1,GanttView[[#This Row],[Forecast Finish]],MAX(GanttView[[#This Row],[_DoneFrom]],GanttView[[#This Row],[Forecast Start]]+ROUND((GanttView[[#This Row],[Forecast Finish]]-GanttView[[#This Row],[Forecast Start]]+1)*GanttView[[#This Row],[%]],0)-1)))</f>
        <v>0</v>
      </c>
      <c r="Q45" s="127" t="n">
        <f aca="false">IF(IFERROR(INDEX(tsk_Name,GanttView[[#This Row],[_Row]])="",TRUE()),0,IF(OR(INDEX(tsk_IsLeaf,GanttView[[#This Row],[_Row]])&lt;&gt;1,GanttView[[#This Row],[_IsMilestone]],N(GanttView[[#This Row],[%]])&gt;=1),0,IF(GanttView[[#This Row],[_DoneTo]]&gt;0,GanttView[[#This Row],[_DoneTo]]+1,GanttView[[#This Row],[Forecast Start]])))</f>
        <v>0</v>
      </c>
      <c r="R45" s="127" t="n">
        <f aca="false">IF(GanttView[[#This Row],[_RemFrom]]=0,0,GanttView[[#This Row],[Forecast Finish]])</f>
        <v>0</v>
      </c>
      <c r="S45" s="126" t="b">
        <f aca="false">IF(IFERROR(INDEX(tsk_Name,GanttView[[#This Row],[_Row]])="",TRUE()),FALSE(),N(INDEX(tsk_Variance,GanttView[[#This Row],[_Row]]))&gt;0)</f>
        <v>0</v>
      </c>
      <c r="T45" s="127" t="n">
        <f aca="false">IF(IFERROR(INDEX(tsk_Name,GanttView[[#This Row],[_Row]])="",TRUE()),0,N(INDEX(tsk_Deadline,GanttView[[#This Row],[_Row]])))</f>
        <v>0</v>
      </c>
      <c r="U45" s="126" t="b">
        <f aca="false">IF(IFERROR(INDEX(tsk_Name,GanttView[[#This Row],[_Row]])="",TRUE()),FALSE(),INDEX(tsk_Critical,GanttView[[#This Row],[_Row]])="Yes")</f>
        <v>0</v>
      </c>
    </row>
    <row r="46" customFormat="false" ht="15" hidden="false" customHeight="false" outlineLevel="0" collapsed="false">
      <c r="A46" s="120" t="str">
        <f aca="false">IF(IFERROR(INDEX(tsk_Name,GanttView[[#This Row],[_Row]])="",TRUE()),"",INDEX(tsk_ID,GanttView[[#This Row],[_Row]]))</f>
        <v/>
      </c>
      <c r="B46" s="120" t="str">
        <f aca="false">IF(IFERROR(INDEX(tsk_Name,GanttView[[#This Row],[_Row]])="",TRUE()),"",INDEX(tsk_WBS,GanttView[[#This Row],[_Row]]))</f>
        <v/>
      </c>
      <c r="C46" s="121" t="str">
        <f aca="false">IF(IFERROR(INDEX(tsk_Name,GanttView[[#This Row],[_Row]])="",TRUE()),"",REPT("    ",INDEX(tsk_Level,GanttView[[#This Row],[_Row]])-1)&amp;INDEX(tsk_Name,GanttView[[#This Row],[_Row]]))</f>
        <v/>
      </c>
      <c r="D46" s="120" t="str">
        <f aca="false">IF(IFERROR(INDEX(tsk_Name,GanttView[[#This Row],[_Row]])="",TRUE()),"",IF(INDEX(tsk_IsSummary,GanttView[[#This Row],[_Row]]),NETWORKDAYS.INTL(INDEX(tsk_FcStart,GanttView[[#This Row],[_Row]]),INDEX(tsk_FcFinish,GanttView[[#This Row],[_Row]]),WorkWeek,Holidays),N(INDEX(tsk_Duration,GanttView[[#This Row],[_Row]]))))</f>
        <v/>
      </c>
      <c r="E46" s="122" t="str">
        <f aca="false">IF(IFERROR(INDEX(tsk_Name,GanttView[[#This Row],[_Row]])="",TRUE()),"",INDEX(tsk_PlanStart,GanttView[[#This Row],[_Row]]))</f>
        <v/>
      </c>
      <c r="F46" s="122" t="str">
        <f aca="false">IF(IFERROR(INDEX(tsk_Name,GanttView[[#This Row],[_Row]])="",TRUE()),"",INDEX(tsk_PlanFinish,GanttView[[#This Row],[_Row]]))</f>
        <v/>
      </c>
      <c r="G46" s="122" t="str">
        <f aca="false">IF(IFERROR(INDEX(tsk_Name,GanttView[[#This Row],[_Row]])="",TRUE()),"",INDEX(tsk_FcStart,GanttView[[#This Row],[_Row]]))</f>
        <v/>
      </c>
      <c r="H46" s="122" t="str">
        <f aca="false">IF(IFERROR(INDEX(tsk_Name,GanttView[[#This Row],[_Row]])="",TRUE()),"",INDEX(tsk_FcFinish,GanttView[[#This Row],[_Row]]))</f>
        <v/>
      </c>
      <c r="I46" s="123" t="str">
        <f aca="false">IF(IFERROR(INDEX(tsk_Name,GanttView[[#This Row],[_Row]])="",TRUE()),"",INDEX(tsk_Progress,GanttView[[#This Row],[_Row]]))</f>
        <v/>
      </c>
      <c r="J46" s="121" t="str">
        <f aca="false">IF(IFERROR(INDEX(tsk_Name,GanttView[[#This Row],[_Row]])="",TRUE()),"",INDEX(tsk_Resource,GanttView[[#This Row],[_Row]])&amp;"")</f>
        <v/>
      </c>
      <c r="K46" s="124" t="str">
        <f aca="false">IF(IFERROR(INDEX(tsk_Name,GanttView[[#This Row],[_Row]])="",TRUE()),"",INDEX(tsk_Status,GanttView[[#This Row],[_Row]]))</f>
        <v/>
      </c>
      <c r="L46" s="125" t="n">
        <f aca="false">ROW()-ROW(GanttView[[#Headers],[ID]])</f>
        <v>41</v>
      </c>
      <c r="M46" s="126" t="b">
        <f aca="false">IF(IFERROR(INDEX(tsk_Name,GanttView[[#This Row],[_Row]])="",TRUE()),FALSE(),INDEX(tsk_IsSummary,GanttView[[#This Row],[_Row]]))</f>
        <v>0</v>
      </c>
      <c r="N46" s="126" t="b">
        <f aca="false">IF(IFERROR(INDEX(tsk_Name,GanttView[[#This Row],[_Row]])="",TRUE()),FALSE(),AND(INDEX(tsk_IsLeaf,GanttView[[#This Row],[_Row]])=1,N(INDEX(tsk_Duration,GanttView[[#This Row],[_Row]]))=0))</f>
        <v>0</v>
      </c>
      <c r="O46" s="127" t="n">
        <f aca="false">IF(IFERROR(INDEX(tsk_Name,GanttView[[#This Row],[_Row]])="",TRUE()),0,IF(AND(INDEX(tsk_IsLeaf,GanttView[[#This Row],[_Row]])=1,NOT(GanttView[[#This Row],[_IsMilestone]]),N(GanttView[[#This Row],[%]])&gt;0),GanttView[[#This Row],[Forecast Start]],0))</f>
        <v>0</v>
      </c>
      <c r="P46" s="127" t="n">
        <f aca="false">IF(GanttView[[#This Row],[_DoneFrom]]=0,0,IF(GanttView[[#This Row],[%]]&gt;=1,GanttView[[#This Row],[Forecast Finish]],MAX(GanttView[[#This Row],[_DoneFrom]],GanttView[[#This Row],[Forecast Start]]+ROUND((GanttView[[#This Row],[Forecast Finish]]-GanttView[[#This Row],[Forecast Start]]+1)*GanttView[[#This Row],[%]],0)-1)))</f>
        <v>0</v>
      </c>
      <c r="Q46" s="127" t="n">
        <f aca="false">IF(IFERROR(INDEX(tsk_Name,GanttView[[#This Row],[_Row]])="",TRUE()),0,IF(OR(INDEX(tsk_IsLeaf,GanttView[[#This Row],[_Row]])&lt;&gt;1,GanttView[[#This Row],[_IsMilestone]],N(GanttView[[#This Row],[%]])&gt;=1),0,IF(GanttView[[#This Row],[_DoneTo]]&gt;0,GanttView[[#This Row],[_DoneTo]]+1,GanttView[[#This Row],[Forecast Start]])))</f>
        <v>0</v>
      </c>
      <c r="R46" s="127" t="n">
        <f aca="false">IF(GanttView[[#This Row],[_RemFrom]]=0,0,GanttView[[#This Row],[Forecast Finish]])</f>
        <v>0</v>
      </c>
      <c r="S46" s="126" t="b">
        <f aca="false">IF(IFERROR(INDEX(tsk_Name,GanttView[[#This Row],[_Row]])="",TRUE()),FALSE(),N(INDEX(tsk_Variance,GanttView[[#This Row],[_Row]]))&gt;0)</f>
        <v>0</v>
      </c>
      <c r="T46" s="127" t="n">
        <f aca="false">IF(IFERROR(INDEX(tsk_Name,GanttView[[#This Row],[_Row]])="",TRUE()),0,N(INDEX(tsk_Deadline,GanttView[[#This Row],[_Row]])))</f>
        <v>0</v>
      </c>
      <c r="U46" s="126" t="b">
        <f aca="false">IF(IFERROR(INDEX(tsk_Name,GanttView[[#This Row],[_Row]])="",TRUE()),FALSE(),INDEX(tsk_Critical,GanttView[[#This Row],[_Row]])="Yes")</f>
        <v>0</v>
      </c>
    </row>
    <row r="47" customFormat="false" ht="15" hidden="false" customHeight="false" outlineLevel="0" collapsed="false">
      <c r="A47" s="120" t="str">
        <f aca="false">IF(IFERROR(INDEX(tsk_Name,GanttView[[#This Row],[_Row]])="",TRUE()),"",INDEX(tsk_ID,GanttView[[#This Row],[_Row]]))</f>
        <v/>
      </c>
      <c r="B47" s="120" t="str">
        <f aca="false">IF(IFERROR(INDEX(tsk_Name,GanttView[[#This Row],[_Row]])="",TRUE()),"",INDEX(tsk_WBS,GanttView[[#This Row],[_Row]]))</f>
        <v/>
      </c>
      <c r="C47" s="121" t="str">
        <f aca="false">IF(IFERROR(INDEX(tsk_Name,GanttView[[#This Row],[_Row]])="",TRUE()),"",REPT("    ",INDEX(tsk_Level,GanttView[[#This Row],[_Row]])-1)&amp;INDEX(tsk_Name,GanttView[[#This Row],[_Row]]))</f>
        <v/>
      </c>
      <c r="D47" s="120" t="str">
        <f aca="false">IF(IFERROR(INDEX(tsk_Name,GanttView[[#This Row],[_Row]])="",TRUE()),"",IF(INDEX(tsk_IsSummary,GanttView[[#This Row],[_Row]]),NETWORKDAYS.INTL(INDEX(tsk_FcStart,GanttView[[#This Row],[_Row]]),INDEX(tsk_FcFinish,GanttView[[#This Row],[_Row]]),WorkWeek,Holidays),N(INDEX(tsk_Duration,GanttView[[#This Row],[_Row]]))))</f>
        <v/>
      </c>
      <c r="E47" s="122" t="str">
        <f aca="false">IF(IFERROR(INDEX(tsk_Name,GanttView[[#This Row],[_Row]])="",TRUE()),"",INDEX(tsk_PlanStart,GanttView[[#This Row],[_Row]]))</f>
        <v/>
      </c>
      <c r="F47" s="122" t="str">
        <f aca="false">IF(IFERROR(INDEX(tsk_Name,GanttView[[#This Row],[_Row]])="",TRUE()),"",INDEX(tsk_PlanFinish,GanttView[[#This Row],[_Row]]))</f>
        <v/>
      </c>
      <c r="G47" s="122" t="str">
        <f aca="false">IF(IFERROR(INDEX(tsk_Name,GanttView[[#This Row],[_Row]])="",TRUE()),"",INDEX(tsk_FcStart,GanttView[[#This Row],[_Row]]))</f>
        <v/>
      </c>
      <c r="H47" s="122" t="str">
        <f aca="false">IF(IFERROR(INDEX(tsk_Name,GanttView[[#This Row],[_Row]])="",TRUE()),"",INDEX(tsk_FcFinish,GanttView[[#This Row],[_Row]]))</f>
        <v/>
      </c>
      <c r="I47" s="123" t="str">
        <f aca="false">IF(IFERROR(INDEX(tsk_Name,GanttView[[#This Row],[_Row]])="",TRUE()),"",INDEX(tsk_Progress,GanttView[[#This Row],[_Row]]))</f>
        <v/>
      </c>
      <c r="J47" s="121" t="str">
        <f aca="false">IF(IFERROR(INDEX(tsk_Name,GanttView[[#This Row],[_Row]])="",TRUE()),"",INDEX(tsk_Resource,GanttView[[#This Row],[_Row]])&amp;"")</f>
        <v/>
      </c>
      <c r="K47" s="124" t="str">
        <f aca="false">IF(IFERROR(INDEX(tsk_Name,GanttView[[#This Row],[_Row]])="",TRUE()),"",INDEX(tsk_Status,GanttView[[#This Row],[_Row]]))</f>
        <v/>
      </c>
      <c r="L47" s="125" t="n">
        <f aca="false">ROW()-ROW(GanttView[[#Headers],[ID]])</f>
        <v>42</v>
      </c>
      <c r="M47" s="126" t="b">
        <f aca="false">IF(IFERROR(INDEX(tsk_Name,GanttView[[#This Row],[_Row]])="",TRUE()),FALSE(),INDEX(tsk_IsSummary,GanttView[[#This Row],[_Row]]))</f>
        <v>0</v>
      </c>
      <c r="N47" s="126" t="b">
        <f aca="false">IF(IFERROR(INDEX(tsk_Name,GanttView[[#This Row],[_Row]])="",TRUE()),FALSE(),AND(INDEX(tsk_IsLeaf,GanttView[[#This Row],[_Row]])=1,N(INDEX(tsk_Duration,GanttView[[#This Row],[_Row]]))=0))</f>
        <v>0</v>
      </c>
      <c r="O47" s="127" t="n">
        <f aca="false">IF(IFERROR(INDEX(tsk_Name,GanttView[[#This Row],[_Row]])="",TRUE()),0,IF(AND(INDEX(tsk_IsLeaf,GanttView[[#This Row],[_Row]])=1,NOT(GanttView[[#This Row],[_IsMilestone]]),N(GanttView[[#This Row],[%]])&gt;0),GanttView[[#This Row],[Forecast Start]],0))</f>
        <v>0</v>
      </c>
      <c r="P47" s="127" t="n">
        <f aca="false">IF(GanttView[[#This Row],[_DoneFrom]]=0,0,IF(GanttView[[#This Row],[%]]&gt;=1,GanttView[[#This Row],[Forecast Finish]],MAX(GanttView[[#This Row],[_DoneFrom]],GanttView[[#This Row],[Forecast Start]]+ROUND((GanttView[[#This Row],[Forecast Finish]]-GanttView[[#This Row],[Forecast Start]]+1)*GanttView[[#This Row],[%]],0)-1)))</f>
        <v>0</v>
      </c>
      <c r="Q47" s="127" t="n">
        <f aca="false">IF(IFERROR(INDEX(tsk_Name,GanttView[[#This Row],[_Row]])="",TRUE()),0,IF(OR(INDEX(tsk_IsLeaf,GanttView[[#This Row],[_Row]])&lt;&gt;1,GanttView[[#This Row],[_IsMilestone]],N(GanttView[[#This Row],[%]])&gt;=1),0,IF(GanttView[[#This Row],[_DoneTo]]&gt;0,GanttView[[#This Row],[_DoneTo]]+1,GanttView[[#This Row],[Forecast Start]])))</f>
        <v>0</v>
      </c>
      <c r="R47" s="127" t="n">
        <f aca="false">IF(GanttView[[#This Row],[_RemFrom]]=0,0,GanttView[[#This Row],[Forecast Finish]])</f>
        <v>0</v>
      </c>
      <c r="S47" s="126" t="b">
        <f aca="false">IF(IFERROR(INDEX(tsk_Name,GanttView[[#This Row],[_Row]])="",TRUE()),FALSE(),N(INDEX(tsk_Variance,GanttView[[#This Row],[_Row]]))&gt;0)</f>
        <v>0</v>
      </c>
      <c r="T47" s="127" t="n">
        <f aca="false">IF(IFERROR(INDEX(tsk_Name,GanttView[[#This Row],[_Row]])="",TRUE()),0,N(INDEX(tsk_Deadline,GanttView[[#This Row],[_Row]])))</f>
        <v>0</v>
      </c>
      <c r="U47" s="126" t="b">
        <f aca="false">IF(IFERROR(INDEX(tsk_Name,GanttView[[#This Row],[_Row]])="",TRUE()),FALSE(),INDEX(tsk_Critical,GanttView[[#This Row],[_Row]])="Yes")</f>
        <v>0</v>
      </c>
    </row>
    <row r="48" customFormat="false" ht="15" hidden="false" customHeight="false" outlineLevel="0" collapsed="false">
      <c r="A48" s="120" t="str">
        <f aca="false">IF(IFERROR(INDEX(tsk_Name,GanttView[[#This Row],[_Row]])="",TRUE()),"",INDEX(tsk_ID,GanttView[[#This Row],[_Row]]))</f>
        <v/>
      </c>
      <c r="B48" s="120" t="str">
        <f aca="false">IF(IFERROR(INDEX(tsk_Name,GanttView[[#This Row],[_Row]])="",TRUE()),"",INDEX(tsk_WBS,GanttView[[#This Row],[_Row]]))</f>
        <v/>
      </c>
      <c r="C48" s="121" t="str">
        <f aca="false">IF(IFERROR(INDEX(tsk_Name,GanttView[[#This Row],[_Row]])="",TRUE()),"",REPT("    ",INDEX(tsk_Level,GanttView[[#This Row],[_Row]])-1)&amp;INDEX(tsk_Name,GanttView[[#This Row],[_Row]]))</f>
        <v/>
      </c>
      <c r="D48" s="120" t="str">
        <f aca="false">IF(IFERROR(INDEX(tsk_Name,GanttView[[#This Row],[_Row]])="",TRUE()),"",IF(INDEX(tsk_IsSummary,GanttView[[#This Row],[_Row]]),NETWORKDAYS.INTL(INDEX(tsk_FcStart,GanttView[[#This Row],[_Row]]),INDEX(tsk_FcFinish,GanttView[[#This Row],[_Row]]),WorkWeek,Holidays),N(INDEX(tsk_Duration,GanttView[[#This Row],[_Row]]))))</f>
        <v/>
      </c>
      <c r="E48" s="122" t="str">
        <f aca="false">IF(IFERROR(INDEX(tsk_Name,GanttView[[#This Row],[_Row]])="",TRUE()),"",INDEX(tsk_PlanStart,GanttView[[#This Row],[_Row]]))</f>
        <v/>
      </c>
      <c r="F48" s="122" t="str">
        <f aca="false">IF(IFERROR(INDEX(tsk_Name,GanttView[[#This Row],[_Row]])="",TRUE()),"",INDEX(tsk_PlanFinish,GanttView[[#This Row],[_Row]]))</f>
        <v/>
      </c>
      <c r="G48" s="122" t="str">
        <f aca="false">IF(IFERROR(INDEX(tsk_Name,GanttView[[#This Row],[_Row]])="",TRUE()),"",INDEX(tsk_FcStart,GanttView[[#This Row],[_Row]]))</f>
        <v/>
      </c>
      <c r="H48" s="122" t="str">
        <f aca="false">IF(IFERROR(INDEX(tsk_Name,GanttView[[#This Row],[_Row]])="",TRUE()),"",INDEX(tsk_FcFinish,GanttView[[#This Row],[_Row]]))</f>
        <v/>
      </c>
      <c r="I48" s="123" t="str">
        <f aca="false">IF(IFERROR(INDEX(tsk_Name,GanttView[[#This Row],[_Row]])="",TRUE()),"",INDEX(tsk_Progress,GanttView[[#This Row],[_Row]]))</f>
        <v/>
      </c>
      <c r="J48" s="121" t="str">
        <f aca="false">IF(IFERROR(INDEX(tsk_Name,GanttView[[#This Row],[_Row]])="",TRUE()),"",INDEX(tsk_Resource,GanttView[[#This Row],[_Row]])&amp;"")</f>
        <v/>
      </c>
      <c r="K48" s="124" t="str">
        <f aca="false">IF(IFERROR(INDEX(tsk_Name,GanttView[[#This Row],[_Row]])="",TRUE()),"",INDEX(tsk_Status,GanttView[[#This Row],[_Row]]))</f>
        <v/>
      </c>
      <c r="L48" s="125" t="n">
        <f aca="false">ROW()-ROW(GanttView[[#Headers],[ID]])</f>
        <v>43</v>
      </c>
      <c r="M48" s="126" t="b">
        <f aca="false">IF(IFERROR(INDEX(tsk_Name,GanttView[[#This Row],[_Row]])="",TRUE()),FALSE(),INDEX(tsk_IsSummary,GanttView[[#This Row],[_Row]]))</f>
        <v>0</v>
      </c>
      <c r="N48" s="126" t="b">
        <f aca="false">IF(IFERROR(INDEX(tsk_Name,GanttView[[#This Row],[_Row]])="",TRUE()),FALSE(),AND(INDEX(tsk_IsLeaf,GanttView[[#This Row],[_Row]])=1,N(INDEX(tsk_Duration,GanttView[[#This Row],[_Row]]))=0))</f>
        <v>0</v>
      </c>
      <c r="O48" s="127" t="n">
        <f aca="false">IF(IFERROR(INDEX(tsk_Name,GanttView[[#This Row],[_Row]])="",TRUE()),0,IF(AND(INDEX(tsk_IsLeaf,GanttView[[#This Row],[_Row]])=1,NOT(GanttView[[#This Row],[_IsMilestone]]),N(GanttView[[#This Row],[%]])&gt;0),GanttView[[#This Row],[Forecast Start]],0))</f>
        <v>0</v>
      </c>
      <c r="P48" s="127" t="n">
        <f aca="false">IF(GanttView[[#This Row],[_DoneFrom]]=0,0,IF(GanttView[[#This Row],[%]]&gt;=1,GanttView[[#This Row],[Forecast Finish]],MAX(GanttView[[#This Row],[_DoneFrom]],GanttView[[#This Row],[Forecast Start]]+ROUND((GanttView[[#This Row],[Forecast Finish]]-GanttView[[#This Row],[Forecast Start]]+1)*GanttView[[#This Row],[%]],0)-1)))</f>
        <v>0</v>
      </c>
      <c r="Q48" s="127" t="n">
        <f aca="false">IF(IFERROR(INDEX(tsk_Name,GanttView[[#This Row],[_Row]])="",TRUE()),0,IF(OR(INDEX(tsk_IsLeaf,GanttView[[#This Row],[_Row]])&lt;&gt;1,GanttView[[#This Row],[_IsMilestone]],N(GanttView[[#This Row],[%]])&gt;=1),0,IF(GanttView[[#This Row],[_DoneTo]]&gt;0,GanttView[[#This Row],[_DoneTo]]+1,GanttView[[#This Row],[Forecast Start]])))</f>
        <v>0</v>
      </c>
      <c r="R48" s="127" t="n">
        <f aca="false">IF(GanttView[[#This Row],[_RemFrom]]=0,0,GanttView[[#This Row],[Forecast Finish]])</f>
        <v>0</v>
      </c>
      <c r="S48" s="126" t="b">
        <f aca="false">IF(IFERROR(INDEX(tsk_Name,GanttView[[#This Row],[_Row]])="",TRUE()),FALSE(),N(INDEX(tsk_Variance,GanttView[[#This Row],[_Row]]))&gt;0)</f>
        <v>0</v>
      </c>
      <c r="T48" s="127" t="n">
        <f aca="false">IF(IFERROR(INDEX(tsk_Name,GanttView[[#This Row],[_Row]])="",TRUE()),0,N(INDEX(tsk_Deadline,GanttView[[#This Row],[_Row]])))</f>
        <v>0</v>
      </c>
      <c r="U48" s="126" t="b">
        <f aca="false">IF(IFERROR(INDEX(tsk_Name,GanttView[[#This Row],[_Row]])="",TRUE()),FALSE(),INDEX(tsk_Critical,GanttView[[#This Row],[_Row]])="Yes")</f>
        <v>0</v>
      </c>
    </row>
    <row r="49" customFormat="false" ht="15" hidden="false" customHeight="false" outlineLevel="0" collapsed="false">
      <c r="A49" s="120" t="str">
        <f aca="false">IF(IFERROR(INDEX(tsk_Name,GanttView[[#This Row],[_Row]])="",TRUE()),"",INDEX(tsk_ID,GanttView[[#This Row],[_Row]]))</f>
        <v/>
      </c>
      <c r="B49" s="120" t="str">
        <f aca="false">IF(IFERROR(INDEX(tsk_Name,GanttView[[#This Row],[_Row]])="",TRUE()),"",INDEX(tsk_WBS,GanttView[[#This Row],[_Row]]))</f>
        <v/>
      </c>
      <c r="C49" s="121" t="str">
        <f aca="false">IF(IFERROR(INDEX(tsk_Name,GanttView[[#This Row],[_Row]])="",TRUE()),"",REPT("    ",INDEX(tsk_Level,GanttView[[#This Row],[_Row]])-1)&amp;INDEX(tsk_Name,GanttView[[#This Row],[_Row]]))</f>
        <v/>
      </c>
      <c r="D49" s="120" t="str">
        <f aca="false">IF(IFERROR(INDEX(tsk_Name,GanttView[[#This Row],[_Row]])="",TRUE()),"",IF(INDEX(tsk_IsSummary,GanttView[[#This Row],[_Row]]),NETWORKDAYS.INTL(INDEX(tsk_FcStart,GanttView[[#This Row],[_Row]]),INDEX(tsk_FcFinish,GanttView[[#This Row],[_Row]]),WorkWeek,Holidays),N(INDEX(tsk_Duration,GanttView[[#This Row],[_Row]]))))</f>
        <v/>
      </c>
      <c r="E49" s="122" t="str">
        <f aca="false">IF(IFERROR(INDEX(tsk_Name,GanttView[[#This Row],[_Row]])="",TRUE()),"",INDEX(tsk_PlanStart,GanttView[[#This Row],[_Row]]))</f>
        <v/>
      </c>
      <c r="F49" s="122" t="str">
        <f aca="false">IF(IFERROR(INDEX(tsk_Name,GanttView[[#This Row],[_Row]])="",TRUE()),"",INDEX(tsk_PlanFinish,GanttView[[#This Row],[_Row]]))</f>
        <v/>
      </c>
      <c r="G49" s="122" t="str">
        <f aca="false">IF(IFERROR(INDEX(tsk_Name,GanttView[[#This Row],[_Row]])="",TRUE()),"",INDEX(tsk_FcStart,GanttView[[#This Row],[_Row]]))</f>
        <v/>
      </c>
      <c r="H49" s="122" t="str">
        <f aca="false">IF(IFERROR(INDEX(tsk_Name,GanttView[[#This Row],[_Row]])="",TRUE()),"",INDEX(tsk_FcFinish,GanttView[[#This Row],[_Row]]))</f>
        <v/>
      </c>
      <c r="I49" s="123" t="str">
        <f aca="false">IF(IFERROR(INDEX(tsk_Name,GanttView[[#This Row],[_Row]])="",TRUE()),"",INDEX(tsk_Progress,GanttView[[#This Row],[_Row]]))</f>
        <v/>
      </c>
      <c r="J49" s="121" t="str">
        <f aca="false">IF(IFERROR(INDEX(tsk_Name,GanttView[[#This Row],[_Row]])="",TRUE()),"",INDEX(tsk_Resource,GanttView[[#This Row],[_Row]])&amp;"")</f>
        <v/>
      </c>
      <c r="K49" s="124" t="str">
        <f aca="false">IF(IFERROR(INDEX(tsk_Name,GanttView[[#This Row],[_Row]])="",TRUE()),"",INDEX(tsk_Status,GanttView[[#This Row],[_Row]]))</f>
        <v/>
      </c>
      <c r="L49" s="125" t="n">
        <f aca="false">ROW()-ROW(GanttView[[#Headers],[ID]])</f>
        <v>44</v>
      </c>
      <c r="M49" s="126" t="b">
        <f aca="false">IF(IFERROR(INDEX(tsk_Name,GanttView[[#This Row],[_Row]])="",TRUE()),FALSE(),INDEX(tsk_IsSummary,GanttView[[#This Row],[_Row]]))</f>
        <v>0</v>
      </c>
      <c r="N49" s="126" t="b">
        <f aca="false">IF(IFERROR(INDEX(tsk_Name,GanttView[[#This Row],[_Row]])="",TRUE()),FALSE(),AND(INDEX(tsk_IsLeaf,GanttView[[#This Row],[_Row]])=1,N(INDEX(tsk_Duration,GanttView[[#This Row],[_Row]]))=0))</f>
        <v>0</v>
      </c>
      <c r="O49" s="127" t="n">
        <f aca="false">IF(IFERROR(INDEX(tsk_Name,GanttView[[#This Row],[_Row]])="",TRUE()),0,IF(AND(INDEX(tsk_IsLeaf,GanttView[[#This Row],[_Row]])=1,NOT(GanttView[[#This Row],[_IsMilestone]]),N(GanttView[[#This Row],[%]])&gt;0),GanttView[[#This Row],[Forecast Start]],0))</f>
        <v>0</v>
      </c>
      <c r="P49" s="127" t="n">
        <f aca="false">IF(GanttView[[#This Row],[_DoneFrom]]=0,0,IF(GanttView[[#This Row],[%]]&gt;=1,GanttView[[#This Row],[Forecast Finish]],MAX(GanttView[[#This Row],[_DoneFrom]],GanttView[[#This Row],[Forecast Start]]+ROUND((GanttView[[#This Row],[Forecast Finish]]-GanttView[[#This Row],[Forecast Start]]+1)*GanttView[[#This Row],[%]],0)-1)))</f>
        <v>0</v>
      </c>
      <c r="Q49" s="127" t="n">
        <f aca="false">IF(IFERROR(INDEX(tsk_Name,GanttView[[#This Row],[_Row]])="",TRUE()),0,IF(OR(INDEX(tsk_IsLeaf,GanttView[[#This Row],[_Row]])&lt;&gt;1,GanttView[[#This Row],[_IsMilestone]],N(GanttView[[#This Row],[%]])&gt;=1),0,IF(GanttView[[#This Row],[_DoneTo]]&gt;0,GanttView[[#This Row],[_DoneTo]]+1,GanttView[[#This Row],[Forecast Start]])))</f>
        <v>0</v>
      </c>
      <c r="R49" s="127" t="n">
        <f aca="false">IF(GanttView[[#This Row],[_RemFrom]]=0,0,GanttView[[#This Row],[Forecast Finish]])</f>
        <v>0</v>
      </c>
      <c r="S49" s="126" t="b">
        <f aca="false">IF(IFERROR(INDEX(tsk_Name,GanttView[[#This Row],[_Row]])="",TRUE()),FALSE(),N(INDEX(tsk_Variance,GanttView[[#This Row],[_Row]]))&gt;0)</f>
        <v>0</v>
      </c>
      <c r="T49" s="127" t="n">
        <f aca="false">IF(IFERROR(INDEX(tsk_Name,GanttView[[#This Row],[_Row]])="",TRUE()),0,N(INDEX(tsk_Deadline,GanttView[[#This Row],[_Row]])))</f>
        <v>0</v>
      </c>
      <c r="U49" s="126" t="b">
        <f aca="false">IF(IFERROR(INDEX(tsk_Name,GanttView[[#This Row],[_Row]])="",TRUE()),FALSE(),INDEX(tsk_Critical,GanttView[[#This Row],[_Row]])="Yes")</f>
        <v>0</v>
      </c>
    </row>
    <row r="50" customFormat="false" ht="15" hidden="false" customHeight="false" outlineLevel="0" collapsed="false">
      <c r="A50" s="120" t="str">
        <f aca="false">IF(IFERROR(INDEX(tsk_Name,GanttView[[#This Row],[_Row]])="",TRUE()),"",INDEX(tsk_ID,GanttView[[#This Row],[_Row]]))</f>
        <v/>
      </c>
      <c r="B50" s="120" t="str">
        <f aca="false">IF(IFERROR(INDEX(tsk_Name,GanttView[[#This Row],[_Row]])="",TRUE()),"",INDEX(tsk_WBS,GanttView[[#This Row],[_Row]]))</f>
        <v/>
      </c>
      <c r="C50" s="121" t="str">
        <f aca="false">IF(IFERROR(INDEX(tsk_Name,GanttView[[#This Row],[_Row]])="",TRUE()),"",REPT("    ",INDEX(tsk_Level,GanttView[[#This Row],[_Row]])-1)&amp;INDEX(tsk_Name,GanttView[[#This Row],[_Row]]))</f>
        <v/>
      </c>
      <c r="D50" s="120" t="str">
        <f aca="false">IF(IFERROR(INDEX(tsk_Name,GanttView[[#This Row],[_Row]])="",TRUE()),"",IF(INDEX(tsk_IsSummary,GanttView[[#This Row],[_Row]]),NETWORKDAYS.INTL(INDEX(tsk_FcStart,GanttView[[#This Row],[_Row]]),INDEX(tsk_FcFinish,GanttView[[#This Row],[_Row]]),WorkWeek,Holidays),N(INDEX(tsk_Duration,GanttView[[#This Row],[_Row]]))))</f>
        <v/>
      </c>
      <c r="E50" s="122" t="str">
        <f aca="false">IF(IFERROR(INDEX(tsk_Name,GanttView[[#This Row],[_Row]])="",TRUE()),"",INDEX(tsk_PlanStart,GanttView[[#This Row],[_Row]]))</f>
        <v/>
      </c>
      <c r="F50" s="122" t="str">
        <f aca="false">IF(IFERROR(INDEX(tsk_Name,GanttView[[#This Row],[_Row]])="",TRUE()),"",INDEX(tsk_PlanFinish,GanttView[[#This Row],[_Row]]))</f>
        <v/>
      </c>
      <c r="G50" s="122" t="str">
        <f aca="false">IF(IFERROR(INDEX(tsk_Name,GanttView[[#This Row],[_Row]])="",TRUE()),"",INDEX(tsk_FcStart,GanttView[[#This Row],[_Row]]))</f>
        <v/>
      </c>
      <c r="H50" s="122" t="str">
        <f aca="false">IF(IFERROR(INDEX(tsk_Name,GanttView[[#This Row],[_Row]])="",TRUE()),"",INDEX(tsk_FcFinish,GanttView[[#This Row],[_Row]]))</f>
        <v/>
      </c>
      <c r="I50" s="123" t="str">
        <f aca="false">IF(IFERROR(INDEX(tsk_Name,GanttView[[#This Row],[_Row]])="",TRUE()),"",INDEX(tsk_Progress,GanttView[[#This Row],[_Row]]))</f>
        <v/>
      </c>
      <c r="J50" s="121" t="str">
        <f aca="false">IF(IFERROR(INDEX(tsk_Name,GanttView[[#This Row],[_Row]])="",TRUE()),"",INDEX(tsk_Resource,GanttView[[#This Row],[_Row]])&amp;"")</f>
        <v/>
      </c>
      <c r="K50" s="124" t="str">
        <f aca="false">IF(IFERROR(INDEX(tsk_Name,GanttView[[#This Row],[_Row]])="",TRUE()),"",INDEX(tsk_Status,GanttView[[#This Row],[_Row]]))</f>
        <v/>
      </c>
      <c r="L50" s="125" t="n">
        <f aca="false">ROW()-ROW(GanttView[[#Headers],[ID]])</f>
        <v>45</v>
      </c>
      <c r="M50" s="126" t="b">
        <f aca="false">IF(IFERROR(INDEX(tsk_Name,GanttView[[#This Row],[_Row]])="",TRUE()),FALSE(),INDEX(tsk_IsSummary,GanttView[[#This Row],[_Row]]))</f>
        <v>0</v>
      </c>
      <c r="N50" s="126" t="b">
        <f aca="false">IF(IFERROR(INDEX(tsk_Name,GanttView[[#This Row],[_Row]])="",TRUE()),FALSE(),AND(INDEX(tsk_IsLeaf,GanttView[[#This Row],[_Row]])=1,N(INDEX(tsk_Duration,GanttView[[#This Row],[_Row]]))=0))</f>
        <v>0</v>
      </c>
      <c r="O50" s="127" t="n">
        <f aca="false">IF(IFERROR(INDEX(tsk_Name,GanttView[[#This Row],[_Row]])="",TRUE()),0,IF(AND(INDEX(tsk_IsLeaf,GanttView[[#This Row],[_Row]])=1,NOT(GanttView[[#This Row],[_IsMilestone]]),N(GanttView[[#This Row],[%]])&gt;0),GanttView[[#This Row],[Forecast Start]],0))</f>
        <v>0</v>
      </c>
      <c r="P50" s="127" t="n">
        <f aca="false">IF(GanttView[[#This Row],[_DoneFrom]]=0,0,IF(GanttView[[#This Row],[%]]&gt;=1,GanttView[[#This Row],[Forecast Finish]],MAX(GanttView[[#This Row],[_DoneFrom]],GanttView[[#This Row],[Forecast Start]]+ROUND((GanttView[[#This Row],[Forecast Finish]]-GanttView[[#This Row],[Forecast Start]]+1)*GanttView[[#This Row],[%]],0)-1)))</f>
        <v>0</v>
      </c>
      <c r="Q50" s="127" t="n">
        <f aca="false">IF(IFERROR(INDEX(tsk_Name,GanttView[[#This Row],[_Row]])="",TRUE()),0,IF(OR(INDEX(tsk_IsLeaf,GanttView[[#This Row],[_Row]])&lt;&gt;1,GanttView[[#This Row],[_IsMilestone]],N(GanttView[[#This Row],[%]])&gt;=1),0,IF(GanttView[[#This Row],[_DoneTo]]&gt;0,GanttView[[#This Row],[_DoneTo]]+1,GanttView[[#This Row],[Forecast Start]])))</f>
        <v>0</v>
      </c>
      <c r="R50" s="127" t="n">
        <f aca="false">IF(GanttView[[#This Row],[_RemFrom]]=0,0,GanttView[[#This Row],[Forecast Finish]])</f>
        <v>0</v>
      </c>
      <c r="S50" s="126" t="b">
        <f aca="false">IF(IFERROR(INDEX(tsk_Name,GanttView[[#This Row],[_Row]])="",TRUE()),FALSE(),N(INDEX(tsk_Variance,GanttView[[#This Row],[_Row]]))&gt;0)</f>
        <v>0</v>
      </c>
      <c r="T50" s="127" t="n">
        <f aca="false">IF(IFERROR(INDEX(tsk_Name,GanttView[[#This Row],[_Row]])="",TRUE()),0,N(INDEX(tsk_Deadline,GanttView[[#This Row],[_Row]])))</f>
        <v>0</v>
      </c>
      <c r="U50" s="126" t="b">
        <f aca="false">IF(IFERROR(INDEX(tsk_Name,GanttView[[#This Row],[_Row]])="",TRUE()),FALSE(),INDEX(tsk_Critical,GanttView[[#This Row],[_Row]])="Yes")</f>
        <v>0</v>
      </c>
    </row>
    <row r="51" customFormat="false" ht="15" hidden="false" customHeight="false" outlineLevel="0" collapsed="false">
      <c r="A51" s="120" t="str">
        <f aca="false">IF(IFERROR(INDEX(tsk_Name,GanttView[[#This Row],[_Row]])="",TRUE()),"",INDEX(tsk_ID,GanttView[[#This Row],[_Row]]))</f>
        <v/>
      </c>
      <c r="B51" s="120" t="str">
        <f aca="false">IF(IFERROR(INDEX(tsk_Name,GanttView[[#This Row],[_Row]])="",TRUE()),"",INDEX(tsk_WBS,GanttView[[#This Row],[_Row]]))</f>
        <v/>
      </c>
      <c r="C51" s="121" t="str">
        <f aca="false">IF(IFERROR(INDEX(tsk_Name,GanttView[[#This Row],[_Row]])="",TRUE()),"",REPT("    ",INDEX(tsk_Level,GanttView[[#This Row],[_Row]])-1)&amp;INDEX(tsk_Name,GanttView[[#This Row],[_Row]]))</f>
        <v/>
      </c>
      <c r="D51" s="120" t="str">
        <f aca="false">IF(IFERROR(INDEX(tsk_Name,GanttView[[#This Row],[_Row]])="",TRUE()),"",IF(INDEX(tsk_IsSummary,GanttView[[#This Row],[_Row]]),NETWORKDAYS.INTL(INDEX(tsk_FcStart,GanttView[[#This Row],[_Row]]),INDEX(tsk_FcFinish,GanttView[[#This Row],[_Row]]),WorkWeek,Holidays),N(INDEX(tsk_Duration,GanttView[[#This Row],[_Row]]))))</f>
        <v/>
      </c>
      <c r="E51" s="122" t="str">
        <f aca="false">IF(IFERROR(INDEX(tsk_Name,GanttView[[#This Row],[_Row]])="",TRUE()),"",INDEX(tsk_PlanStart,GanttView[[#This Row],[_Row]]))</f>
        <v/>
      </c>
      <c r="F51" s="122" t="str">
        <f aca="false">IF(IFERROR(INDEX(tsk_Name,GanttView[[#This Row],[_Row]])="",TRUE()),"",INDEX(tsk_PlanFinish,GanttView[[#This Row],[_Row]]))</f>
        <v/>
      </c>
      <c r="G51" s="122" t="str">
        <f aca="false">IF(IFERROR(INDEX(tsk_Name,GanttView[[#This Row],[_Row]])="",TRUE()),"",INDEX(tsk_FcStart,GanttView[[#This Row],[_Row]]))</f>
        <v/>
      </c>
      <c r="H51" s="122" t="str">
        <f aca="false">IF(IFERROR(INDEX(tsk_Name,GanttView[[#This Row],[_Row]])="",TRUE()),"",INDEX(tsk_FcFinish,GanttView[[#This Row],[_Row]]))</f>
        <v/>
      </c>
      <c r="I51" s="123" t="str">
        <f aca="false">IF(IFERROR(INDEX(tsk_Name,GanttView[[#This Row],[_Row]])="",TRUE()),"",INDEX(tsk_Progress,GanttView[[#This Row],[_Row]]))</f>
        <v/>
      </c>
      <c r="J51" s="121" t="str">
        <f aca="false">IF(IFERROR(INDEX(tsk_Name,GanttView[[#This Row],[_Row]])="",TRUE()),"",INDEX(tsk_Resource,GanttView[[#This Row],[_Row]])&amp;"")</f>
        <v/>
      </c>
      <c r="K51" s="124" t="str">
        <f aca="false">IF(IFERROR(INDEX(tsk_Name,GanttView[[#This Row],[_Row]])="",TRUE()),"",INDEX(tsk_Status,GanttView[[#This Row],[_Row]]))</f>
        <v/>
      </c>
      <c r="L51" s="125" t="n">
        <f aca="false">ROW()-ROW(GanttView[[#Headers],[ID]])</f>
        <v>46</v>
      </c>
      <c r="M51" s="126" t="b">
        <f aca="false">IF(IFERROR(INDEX(tsk_Name,GanttView[[#This Row],[_Row]])="",TRUE()),FALSE(),INDEX(tsk_IsSummary,GanttView[[#This Row],[_Row]]))</f>
        <v>0</v>
      </c>
      <c r="N51" s="126" t="b">
        <f aca="false">IF(IFERROR(INDEX(tsk_Name,GanttView[[#This Row],[_Row]])="",TRUE()),FALSE(),AND(INDEX(tsk_IsLeaf,GanttView[[#This Row],[_Row]])=1,N(INDEX(tsk_Duration,GanttView[[#This Row],[_Row]]))=0))</f>
        <v>0</v>
      </c>
      <c r="O51" s="127" t="n">
        <f aca="false">IF(IFERROR(INDEX(tsk_Name,GanttView[[#This Row],[_Row]])="",TRUE()),0,IF(AND(INDEX(tsk_IsLeaf,GanttView[[#This Row],[_Row]])=1,NOT(GanttView[[#This Row],[_IsMilestone]]),N(GanttView[[#This Row],[%]])&gt;0),GanttView[[#This Row],[Forecast Start]],0))</f>
        <v>0</v>
      </c>
      <c r="P51" s="127" t="n">
        <f aca="false">IF(GanttView[[#This Row],[_DoneFrom]]=0,0,IF(GanttView[[#This Row],[%]]&gt;=1,GanttView[[#This Row],[Forecast Finish]],MAX(GanttView[[#This Row],[_DoneFrom]],GanttView[[#This Row],[Forecast Start]]+ROUND((GanttView[[#This Row],[Forecast Finish]]-GanttView[[#This Row],[Forecast Start]]+1)*GanttView[[#This Row],[%]],0)-1)))</f>
        <v>0</v>
      </c>
      <c r="Q51" s="127" t="n">
        <f aca="false">IF(IFERROR(INDEX(tsk_Name,GanttView[[#This Row],[_Row]])="",TRUE()),0,IF(OR(INDEX(tsk_IsLeaf,GanttView[[#This Row],[_Row]])&lt;&gt;1,GanttView[[#This Row],[_IsMilestone]],N(GanttView[[#This Row],[%]])&gt;=1),0,IF(GanttView[[#This Row],[_DoneTo]]&gt;0,GanttView[[#This Row],[_DoneTo]]+1,GanttView[[#This Row],[Forecast Start]])))</f>
        <v>0</v>
      </c>
      <c r="R51" s="127" t="n">
        <f aca="false">IF(GanttView[[#This Row],[_RemFrom]]=0,0,GanttView[[#This Row],[Forecast Finish]])</f>
        <v>0</v>
      </c>
      <c r="S51" s="126" t="b">
        <f aca="false">IF(IFERROR(INDEX(tsk_Name,GanttView[[#This Row],[_Row]])="",TRUE()),FALSE(),N(INDEX(tsk_Variance,GanttView[[#This Row],[_Row]]))&gt;0)</f>
        <v>0</v>
      </c>
      <c r="T51" s="127" t="n">
        <f aca="false">IF(IFERROR(INDEX(tsk_Name,GanttView[[#This Row],[_Row]])="",TRUE()),0,N(INDEX(tsk_Deadline,GanttView[[#This Row],[_Row]])))</f>
        <v>0</v>
      </c>
      <c r="U51" s="126" t="b">
        <f aca="false">IF(IFERROR(INDEX(tsk_Name,GanttView[[#This Row],[_Row]])="",TRUE()),FALSE(),INDEX(tsk_Critical,GanttView[[#This Row],[_Row]])="Yes")</f>
        <v>0</v>
      </c>
    </row>
    <row r="52" customFormat="false" ht="15" hidden="false" customHeight="false" outlineLevel="0" collapsed="false">
      <c r="A52" s="120" t="str">
        <f aca="false">IF(IFERROR(INDEX(tsk_Name,GanttView[[#This Row],[_Row]])="",TRUE()),"",INDEX(tsk_ID,GanttView[[#This Row],[_Row]]))</f>
        <v/>
      </c>
      <c r="B52" s="120" t="str">
        <f aca="false">IF(IFERROR(INDEX(tsk_Name,GanttView[[#This Row],[_Row]])="",TRUE()),"",INDEX(tsk_WBS,GanttView[[#This Row],[_Row]]))</f>
        <v/>
      </c>
      <c r="C52" s="121" t="str">
        <f aca="false">IF(IFERROR(INDEX(tsk_Name,GanttView[[#This Row],[_Row]])="",TRUE()),"",REPT("    ",INDEX(tsk_Level,GanttView[[#This Row],[_Row]])-1)&amp;INDEX(tsk_Name,GanttView[[#This Row],[_Row]]))</f>
        <v/>
      </c>
      <c r="D52" s="120" t="str">
        <f aca="false">IF(IFERROR(INDEX(tsk_Name,GanttView[[#This Row],[_Row]])="",TRUE()),"",IF(INDEX(tsk_IsSummary,GanttView[[#This Row],[_Row]]),NETWORKDAYS.INTL(INDEX(tsk_FcStart,GanttView[[#This Row],[_Row]]),INDEX(tsk_FcFinish,GanttView[[#This Row],[_Row]]),WorkWeek,Holidays),N(INDEX(tsk_Duration,GanttView[[#This Row],[_Row]]))))</f>
        <v/>
      </c>
      <c r="E52" s="122" t="str">
        <f aca="false">IF(IFERROR(INDEX(tsk_Name,GanttView[[#This Row],[_Row]])="",TRUE()),"",INDEX(tsk_PlanStart,GanttView[[#This Row],[_Row]]))</f>
        <v/>
      </c>
      <c r="F52" s="122" t="str">
        <f aca="false">IF(IFERROR(INDEX(tsk_Name,GanttView[[#This Row],[_Row]])="",TRUE()),"",INDEX(tsk_PlanFinish,GanttView[[#This Row],[_Row]]))</f>
        <v/>
      </c>
      <c r="G52" s="122" t="str">
        <f aca="false">IF(IFERROR(INDEX(tsk_Name,GanttView[[#This Row],[_Row]])="",TRUE()),"",INDEX(tsk_FcStart,GanttView[[#This Row],[_Row]]))</f>
        <v/>
      </c>
      <c r="H52" s="122" t="str">
        <f aca="false">IF(IFERROR(INDEX(tsk_Name,GanttView[[#This Row],[_Row]])="",TRUE()),"",INDEX(tsk_FcFinish,GanttView[[#This Row],[_Row]]))</f>
        <v/>
      </c>
      <c r="I52" s="123" t="str">
        <f aca="false">IF(IFERROR(INDEX(tsk_Name,GanttView[[#This Row],[_Row]])="",TRUE()),"",INDEX(tsk_Progress,GanttView[[#This Row],[_Row]]))</f>
        <v/>
      </c>
      <c r="J52" s="121" t="str">
        <f aca="false">IF(IFERROR(INDEX(tsk_Name,GanttView[[#This Row],[_Row]])="",TRUE()),"",INDEX(tsk_Resource,GanttView[[#This Row],[_Row]])&amp;"")</f>
        <v/>
      </c>
      <c r="K52" s="124" t="str">
        <f aca="false">IF(IFERROR(INDEX(tsk_Name,GanttView[[#This Row],[_Row]])="",TRUE()),"",INDEX(tsk_Status,GanttView[[#This Row],[_Row]]))</f>
        <v/>
      </c>
      <c r="L52" s="125" t="n">
        <f aca="false">ROW()-ROW(GanttView[[#Headers],[ID]])</f>
        <v>47</v>
      </c>
      <c r="M52" s="126" t="b">
        <f aca="false">IF(IFERROR(INDEX(tsk_Name,GanttView[[#This Row],[_Row]])="",TRUE()),FALSE(),INDEX(tsk_IsSummary,GanttView[[#This Row],[_Row]]))</f>
        <v>0</v>
      </c>
      <c r="N52" s="126" t="b">
        <f aca="false">IF(IFERROR(INDEX(tsk_Name,GanttView[[#This Row],[_Row]])="",TRUE()),FALSE(),AND(INDEX(tsk_IsLeaf,GanttView[[#This Row],[_Row]])=1,N(INDEX(tsk_Duration,GanttView[[#This Row],[_Row]]))=0))</f>
        <v>0</v>
      </c>
      <c r="O52" s="127" t="n">
        <f aca="false">IF(IFERROR(INDEX(tsk_Name,GanttView[[#This Row],[_Row]])="",TRUE()),0,IF(AND(INDEX(tsk_IsLeaf,GanttView[[#This Row],[_Row]])=1,NOT(GanttView[[#This Row],[_IsMilestone]]),N(GanttView[[#This Row],[%]])&gt;0),GanttView[[#This Row],[Forecast Start]],0))</f>
        <v>0</v>
      </c>
      <c r="P52" s="127" t="n">
        <f aca="false">IF(GanttView[[#This Row],[_DoneFrom]]=0,0,IF(GanttView[[#This Row],[%]]&gt;=1,GanttView[[#This Row],[Forecast Finish]],MAX(GanttView[[#This Row],[_DoneFrom]],GanttView[[#This Row],[Forecast Start]]+ROUND((GanttView[[#This Row],[Forecast Finish]]-GanttView[[#This Row],[Forecast Start]]+1)*GanttView[[#This Row],[%]],0)-1)))</f>
        <v>0</v>
      </c>
      <c r="Q52" s="127" t="n">
        <f aca="false">IF(IFERROR(INDEX(tsk_Name,GanttView[[#This Row],[_Row]])="",TRUE()),0,IF(OR(INDEX(tsk_IsLeaf,GanttView[[#This Row],[_Row]])&lt;&gt;1,GanttView[[#This Row],[_IsMilestone]],N(GanttView[[#This Row],[%]])&gt;=1),0,IF(GanttView[[#This Row],[_DoneTo]]&gt;0,GanttView[[#This Row],[_DoneTo]]+1,GanttView[[#This Row],[Forecast Start]])))</f>
        <v>0</v>
      </c>
      <c r="R52" s="127" t="n">
        <f aca="false">IF(GanttView[[#This Row],[_RemFrom]]=0,0,GanttView[[#This Row],[Forecast Finish]])</f>
        <v>0</v>
      </c>
      <c r="S52" s="126" t="b">
        <f aca="false">IF(IFERROR(INDEX(tsk_Name,GanttView[[#This Row],[_Row]])="",TRUE()),FALSE(),N(INDEX(tsk_Variance,GanttView[[#This Row],[_Row]]))&gt;0)</f>
        <v>0</v>
      </c>
      <c r="T52" s="127" t="n">
        <f aca="false">IF(IFERROR(INDEX(tsk_Name,GanttView[[#This Row],[_Row]])="",TRUE()),0,N(INDEX(tsk_Deadline,GanttView[[#This Row],[_Row]])))</f>
        <v>0</v>
      </c>
      <c r="U52" s="126" t="b">
        <f aca="false">IF(IFERROR(INDEX(tsk_Name,GanttView[[#This Row],[_Row]])="",TRUE()),FALSE(),INDEX(tsk_Critical,GanttView[[#This Row],[_Row]])="Yes")</f>
        <v>0</v>
      </c>
    </row>
    <row r="53" customFormat="false" ht="15" hidden="false" customHeight="false" outlineLevel="0" collapsed="false">
      <c r="A53" s="120" t="str">
        <f aca="false">IF(IFERROR(INDEX(tsk_Name,GanttView[[#This Row],[_Row]])="",TRUE()),"",INDEX(tsk_ID,GanttView[[#This Row],[_Row]]))</f>
        <v/>
      </c>
      <c r="B53" s="120" t="str">
        <f aca="false">IF(IFERROR(INDEX(tsk_Name,GanttView[[#This Row],[_Row]])="",TRUE()),"",INDEX(tsk_WBS,GanttView[[#This Row],[_Row]]))</f>
        <v/>
      </c>
      <c r="C53" s="121" t="str">
        <f aca="false">IF(IFERROR(INDEX(tsk_Name,GanttView[[#This Row],[_Row]])="",TRUE()),"",REPT("    ",INDEX(tsk_Level,GanttView[[#This Row],[_Row]])-1)&amp;INDEX(tsk_Name,GanttView[[#This Row],[_Row]]))</f>
        <v/>
      </c>
      <c r="D53" s="120" t="str">
        <f aca="false">IF(IFERROR(INDEX(tsk_Name,GanttView[[#This Row],[_Row]])="",TRUE()),"",IF(INDEX(tsk_IsSummary,GanttView[[#This Row],[_Row]]),NETWORKDAYS.INTL(INDEX(tsk_FcStart,GanttView[[#This Row],[_Row]]),INDEX(tsk_FcFinish,GanttView[[#This Row],[_Row]]),WorkWeek,Holidays),N(INDEX(tsk_Duration,GanttView[[#This Row],[_Row]]))))</f>
        <v/>
      </c>
      <c r="E53" s="122" t="str">
        <f aca="false">IF(IFERROR(INDEX(tsk_Name,GanttView[[#This Row],[_Row]])="",TRUE()),"",INDEX(tsk_PlanStart,GanttView[[#This Row],[_Row]]))</f>
        <v/>
      </c>
      <c r="F53" s="122" t="str">
        <f aca="false">IF(IFERROR(INDEX(tsk_Name,GanttView[[#This Row],[_Row]])="",TRUE()),"",INDEX(tsk_PlanFinish,GanttView[[#This Row],[_Row]]))</f>
        <v/>
      </c>
      <c r="G53" s="122" t="str">
        <f aca="false">IF(IFERROR(INDEX(tsk_Name,GanttView[[#This Row],[_Row]])="",TRUE()),"",INDEX(tsk_FcStart,GanttView[[#This Row],[_Row]]))</f>
        <v/>
      </c>
      <c r="H53" s="122" t="str">
        <f aca="false">IF(IFERROR(INDEX(tsk_Name,GanttView[[#This Row],[_Row]])="",TRUE()),"",INDEX(tsk_FcFinish,GanttView[[#This Row],[_Row]]))</f>
        <v/>
      </c>
      <c r="I53" s="123" t="str">
        <f aca="false">IF(IFERROR(INDEX(tsk_Name,GanttView[[#This Row],[_Row]])="",TRUE()),"",INDEX(tsk_Progress,GanttView[[#This Row],[_Row]]))</f>
        <v/>
      </c>
      <c r="J53" s="121" t="str">
        <f aca="false">IF(IFERROR(INDEX(tsk_Name,GanttView[[#This Row],[_Row]])="",TRUE()),"",INDEX(tsk_Resource,GanttView[[#This Row],[_Row]])&amp;"")</f>
        <v/>
      </c>
      <c r="K53" s="124" t="str">
        <f aca="false">IF(IFERROR(INDEX(tsk_Name,GanttView[[#This Row],[_Row]])="",TRUE()),"",INDEX(tsk_Status,GanttView[[#This Row],[_Row]]))</f>
        <v/>
      </c>
      <c r="L53" s="125" t="n">
        <f aca="false">ROW()-ROW(GanttView[[#Headers],[ID]])</f>
        <v>48</v>
      </c>
      <c r="M53" s="126" t="b">
        <f aca="false">IF(IFERROR(INDEX(tsk_Name,GanttView[[#This Row],[_Row]])="",TRUE()),FALSE(),INDEX(tsk_IsSummary,GanttView[[#This Row],[_Row]]))</f>
        <v>0</v>
      </c>
      <c r="N53" s="126" t="b">
        <f aca="false">IF(IFERROR(INDEX(tsk_Name,GanttView[[#This Row],[_Row]])="",TRUE()),FALSE(),AND(INDEX(tsk_IsLeaf,GanttView[[#This Row],[_Row]])=1,N(INDEX(tsk_Duration,GanttView[[#This Row],[_Row]]))=0))</f>
        <v>0</v>
      </c>
      <c r="O53" s="127" t="n">
        <f aca="false">IF(IFERROR(INDEX(tsk_Name,GanttView[[#This Row],[_Row]])="",TRUE()),0,IF(AND(INDEX(tsk_IsLeaf,GanttView[[#This Row],[_Row]])=1,NOT(GanttView[[#This Row],[_IsMilestone]]),N(GanttView[[#This Row],[%]])&gt;0),GanttView[[#This Row],[Forecast Start]],0))</f>
        <v>0</v>
      </c>
      <c r="P53" s="127" t="n">
        <f aca="false">IF(GanttView[[#This Row],[_DoneFrom]]=0,0,IF(GanttView[[#This Row],[%]]&gt;=1,GanttView[[#This Row],[Forecast Finish]],MAX(GanttView[[#This Row],[_DoneFrom]],GanttView[[#This Row],[Forecast Start]]+ROUND((GanttView[[#This Row],[Forecast Finish]]-GanttView[[#This Row],[Forecast Start]]+1)*GanttView[[#This Row],[%]],0)-1)))</f>
        <v>0</v>
      </c>
      <c r="Q53" s="127" t="n">
        <f aca="false">IF(IFERROR(INDEX(tsk_Name,GanttView[[#This Row],[_Row]])="",TRUE()),0,IF(OR(INDEX(tsk_IsLeaf,GanttView[[#This Row],[_Row]])&lt;&gt;1,GanttView[[#This Row],[_IsMilestone]],N(GanttView[[#This Row],[%]])&gt;=1),0,IF(GanttView[[#This Row],[_DoneTo]]&gt;0,GanttView[[#This Row],[_DoneTo]]+1,GanttView[[#This Row],[Forecast Start]])))</f>
        <v>0</v>
      </c>
      <c r="R53" s="127" t="n">
        <f aca="false">IF(GanttView[[#This Row],[_RemFrom]]=0,0,GanttView[[#This Row],[Forecast Finish]])</f>
        <v>0</v>
      </c>
      <c r="S53" s="126" t="b">
        <f aca="false">IF(IFERROR(INDEX(tsk_Name,GanttView[[#This Row],[_Row]])="",TRUE()),FALSE(),N(INDEX(tsk_Variance,GanttView[[#This Row],[_Row]]))&gt;0)</f>
        <v>0</v>
      </c>
      <c r="T53" s="127" t="n">
        <f aca="false">IF(IFERROR(INDEX(tsk_Name,GanttView[[#This Row],[_Row]])="",TRUE()),0,N(INDEX(tsk_Deadline,GanttView[[#This Row],[_Row]])))</f>
        <v>0</v>
      </c>
      <c r="U53" s="126" t="b">
        <f aca="false">IF(IFERROR(INDEX(tsk_Name,GanttView[[#This Row],[_Row]])="",TRUE()),FALSE(),INDEX(tsk_Critical,GanttView[[#This Row],[_Row]])="Yes")</f>
        <v>0</v>
      </c>
    </row>
    <row r="54" customFormat="false" ht="15" hidden="false" customHeight="false" outlineLevel="0" collapsed="false">
      <c r="A54" s="120" t="str">
        <f aca="false">IF(IFERROR(INDEX(tsk_Name,GanttView[[#This Row],[_Row]])="",TRUE()),"",INDEX(tsk_ID,GanttView[[#This Row],[_Row]]))</f>
        <v/>
      </c>
      <c r="B54" s="120" t="str">
        <f aca="false">IF(IFERROR(INDEX(tsk_Name,GanttView[[#This Row],[_Row]])="",TRUE()),"",INDEX(tsk_WBS,GanttView[[#This Row],[_Row]]))</f>
        <v/>
      </c>
      <c r="C54" s="121" t="str">
        <f aca="false">IF(IFERROR(INDEX(tsk_Name,GanttView[[#This Row],[_Row]])="",TRUE()),"",REPT("    ",INDEX(tsk_Level,GanttView[[#This Row],[_Row]])-1)&amp;INDEX(tsk_Name,GanttView[[#This Row],[_Row]]))</f>
        <v/>
      </c>
      <c r="D54" s="120" t="str">
        <f aca="false">IF(IFERROR(INDEX(tsk_Name,GanttView[[#This Row],[_Row]])="",TRUE()),"",IF(INDEX(tsk_IsSummary,GanttView[[#This Row],[_Row]]),NETWORKDAYS.INTL(INDEX(tsk_FcStart,GanttView[[#This Row],[_Row]]),INDEX(tsk_FcFinish,GanttView[[#This Row],[_Row]]),WorkWeek,Holidays),N(INDEX(tsk_Duration,GanttView[[#This Row],[_Row]]))))</f>
        <v/>
      </c>
      <c r="E54" s="122" t="str">
        <f aca="false">IF(IFERROR(INDEX(tsk_Name,GanttView[[#This Row],[_Row]])="",TRUE()),"",INDEX(tsk_PlanStart,GanttView[[#This Row],[_Row]]))</f>
        <v/>
      </c>
      <c r="F54" s="122" t="str">
        <f aca="false">IF(IFERROR(INDEX(tsk_Name,GanttView[[#This Row],[_Row]])="",TRUE()),"",INDEX(tsk_PlanFinish,GanttView[[#This Row],[_Row]]))</f>
        <v/>
      </c>
      <c r="G54" s="122" t="str">
        <f aca="false">IF(IFERROR(INDEX(tsk_Name,GanttView[[#This Row],[_Row]])="",TRUE()),"",INDEX(tsk_FcStart,GanttView[[#This Row],[_Row]]))</f>
        <v/>
      </c>
      <c r="H54" s="122" t="str">
        <f aca="false">IF(IFERROR(INDEX(tsk_Name,GanttView[[#This Row],[_Row]])="",TRUE()),"",INDEX(tsk_FcFinish,GanttView[[#This Row],[_Row]]))</f>
        <v/>
      </c>
      <c r="I54" s="123" t="str">
        <f aca="false">IF(IFERROR(INDEX(tsk_Name,GanttView[[#This Row],[_Row]])="",TRUE()),"",INDEX(tsk_Progress,GanttView[[#This Row],[_Row]]))</f>
        <v/>
      </c>
      <c r="J54" s="121" t="str">
        <f aca="false">IF(IFERROR(INDEX(tsk_Name,GanttView[[#This Row],[_Row]])="",TRUE()),"",INDEX(tsk_Resource,GanttView[[#This Row],[_Row]])&amp;"")</f>
        <v/>
      </c>
      <c r="K54" s="124" t="str">
        <f aca="false">IF(IFERROR(INDEX(tsk_Name,GanttView[[#This Row],[_Row]])="",TRUE()),"",INDEX(tsk_Status,GanttView[[#This Row],[_Row]]))</f>
        <v/>
      </c>
      <c r="L54" s="125" t="n">
        <f aca="false">ROW()-ROW(GanttView[[#Headers],[ID]])</f>
        <v>49</v>
      </c>
      <c r="M54" s="126" t="b">
        <f aca="false">IF(IFERROR(INDEX(tsk_Name,GanttView[[#This Row],[_Row]])="",TRUE()),FALSE(),INDEX(tsk_IsSummary,GanttView[[#This Row],[_Row]]))</f>
        <v>0</v>
      </c>
      <c r="N54" s="126" t="b">
        <f aca="false">IF(IFERROR(INDEX(tsk_Name,GanttView[[#This Row],[_Row]])="",TRUE()),FALSE(),AND(INDEX(tsk_IsLeaf,GanttView[[#This Row],[_Row]])=1,N(INDEX(tsk_Duration,GanttView[[#This Row],[_Row]]))=0))</f>
        <v>0</v>
      </c>
      <c r="O54" s="127" t="n">
        <f aca="false">IF(IFERROR(INDEX(tsk_Name,GanttView[[#This Row],[_Row]])="",TRUE()),0,IF(AND(INDEX(tsk_IsLeaf,GanttView[[#This Row],[_Row]])=1,NOT(GanttView[[#This Row],[_IsMilestone]]),N(GanttView[[#This Row],[%]])&gt;0),GanttView[[#This Row],[Forecast Start]],0))</f>
        <v>0</v>
      </c>
      <c r="P54" s="127" t="n">
        <f aca="false">IF(GanttView[[#This Row],[_DoneFrom]]=0,0,IF(GanttView[[#This Row],[%]]&gt;=1,GanttView[[#This Row],[Forecast Finish]],MAX(GanttView[[#This Row],[_DoneFrom]],GanttView[[#This Row],[Forecast Start]]+ROUND((GanttView[[#This Row],[Forecast Finish]]-GanttView[[#This Row],[Forecast Start]]+1)*GanttView[[#This Row],[%]],0)-1)))</f>
        <v>0</v>
      </c>
      <c r="Q54" s="127" t="n">
        <f aca="false">IF(IFERROR(INDEX(tsk_Name,GanttView[[#This Row],[_Row]])="",TRUE()),0,IF(OR(INDEX(tsk_IsLeaf,GanttView[[#This Row],[_Row]])&lt;&gt;1,GanttView[[#This Row],[_IsMilestone]],N(GanttView[[#This Row],[%]])&gt;=1),0,IF(GanttView[[#This Row],[_DoneTo]]&gt;0,GanttView[[#This Row],[_DoneTo]]+1,GanttView[[#This Row],[Forecast Start]])))</f>
        <v>0</v>
      </c>
      <c r="R54" s="127" t="n">
        <f aca="false">IF(GanttView[[#This Row],[_RemFrom]]=0,0,GanttView[[#This Row],[Forecast Finish]])</f>
        <v>0</v>
      </c>
      <c r="S54" s="126" t="b">
        <f aca="false">IF(IFERROR(INDEX(tsk_Name,GanttView[[#This Row],[_Row]])="",TRUE()),FALSE(),N(INDEX(tsk_Variance,GanttView[[#This Row],[_Row]]))&gt;0)</f>
        <v>0</v>
      </c>
      <c r="T54" s="127" t="n">
        <f aca="false">IF(IFERROR(INDEX(tsk_Name,GanttView[[#This Row],[_Row]])="",TRUE()),0,N(INDEX(tsk_Deadline,GanttView[[#This Row],[_Row]])))</f>
        <v>0</v>
      </c>
      <c r="U54" s="126" t="b">
        <f aca="false">IF(IFERROR(INDEX(tsk_Name,GanttView[[#This Row],[_Row]])="",TRUE()),FALSE(),INDEX(tsk_Critical,GanttView[[#This Row],[_Row]])="Yes")</f>
        <v>0</v>
      </c>
    </row>
    <row r="55" customFormat="false" ht="15" hidden="false" customHeight="false" outlineLevel="0" collapsed="false">
      <c r="A55" s="120" t="str">
        <f aca="false">IF(IFERROR(INDEX(tsk_Name,GanttView[[#This Row],[_Row]])="",TRUE()),"",INDEX(tsk_ID,GanttView[[#This Row],[_Row]]))</f>
        <v/>
      </c>
      <c r="B55" s="120" t="str">
        <f aca="false">IF(IFERROR(INDEX(tsk_Name,GanttView[[#This Row],[_Row]])="",TRUE()),"",INDEX(tsk_WBS,GanttView[[#This Row],[_Row]]))</f>
        <v/>
      </c>
      <c r="C55" s="121" t="str">
        <f aca="false">IF(IFERROR(INDEX(tsk_Name,GanttView[[#This Row],[_Row]])="",TRUE()),"",REPT("    ",INDEX(tsk_Level,GanttView[[#This Row],[_Row]])-1)&amp;INDEX(tsk_Name,GanttView[[#This Row],[_Row]]))</f>
        <v/>
      </c>
      <c r="D55" s="120" t="str">
        <f aca="false">IF(IFERROR(INDEX(tsk_Name,GanttView[[#This Row],[_Row]])="",TRUE()),"",IF(INDEX(tsk_IsSummary,GanttView[[#This Row],[_Row]]),NETWORKDAYS.INTL(INDEX(tsk_FcStart,GanttView[[#This Row],[_Row]]),INDEX(tsk_FcFinish,GanttView[[#This Row],[_Row]]),WorkWeek,Holidays),N(INDEX(tsk_Duration,GanttView[[#This Row],[_Row]]))))</f>
        <v/>
      </c>
      <c r="E55" s="122" t="str">
        <f aca="false">IF(IFERROR(INDEX(tsk_Name,GanttView[[#This Row],[_Row]])="",TRUE()),"",INDEX(tsk_PlanStart,GanttView[[#This Row],[_Row]]))</f>
        <v/>
      </c>
      <c r="F55" s="122" t="str">
        <f aca="false">IF(IFERROR(INDEX(tsk_Name,GanttView[[#This Row],[_Row]])="",TRUE()),"",INDEX(tsk_PlanFinish,GanttView[[#This Row],[_Row]]))</f>
        <v/>
      </c>
      <c r="G55" s="122" t="str">
        <f aca="false">IF(IFERROR(INDEX(tsk_Name,GanttView[[#This Row],[_Row]])="",TRUE()),"",INDEX(tsk_FcStart,GanttView[[#This Row],[_Row]]))</f>
        <v/>
      </c>
      <c r="H55" s="122" t="str">
        <f aca="false">IF(IFERROR(INDEX(tsk_Name,GanttView[[#This Row],[_Row]])="",TRUE()),"",INDEX(tsk_FcFinish,GanttView[[#This Row],[_Row]]))</f>
        <v/>
      </c>
      <c r="I55" s="123" t="str">
        <f aca="false">IF(IFERROR(INDEX(tsk_Name,GanttView[[#This Row],[_Row]])="",TRUE()),"",INDEX(tsk_Progress,GanttView[[#This Row],[_Row]]))</f>
        <v/>
      </c>
      <c r="J55" s="121" t="str">
        <f aca="false">IF(IFERROR(INDEX(tsk_Name,GanttView[[#This Row],[_Row]])="",TRUE()),"",INDEX(tsk_Resource,GanttView[[#This Row],[_Row]])&amp;"")</f>
        <v/>
      </c>
      <c r="K55" s="124" t="str">
        <f aca="false">IF(IFERROR(INDEX(tsk_Name,GanttView[[#This Row],[_Row]])="",TRUE()),"",INDEX(tsk_Status,GanttView[[#This Row],[_Row]]))</f>
        <v/>
      </c>
      <c r="L55" s="125" t="n">
        <f aca="false">ROW()-ROW(GanttView[[#Headers],[ID]])</f>
        <v>50</v>
      </c>
      <c r="M55" s="126" t="b">
        <f aca="false">IF(IFERROR(INDEX(tsk_Name,GanttView[[#This Row],[_Row]])="",TRUE()),FALSE(),INDEX(tsk_IsSummary,GanttView[[#This Row],[_Row]]))</f>
        <v>0</v>
      </c>
      <c r="N55" s="126" t="b">
        <f aca="false">IF(IFERROR(INDEX(tsk_Name,GanttView[[#This Row],[_Row]])="",TRUE()),FALSE(),AND(INDEX(tsk_IsLeaf,GanttView[[#This Row],[_Row]])=1,N(INDEX(tsk_Duration,GanttView[[#This Row],[_Row]]))=0))</f>
        <v>0</v>
      </c>
      <c r="O55" s="127" t="n">
        <f aca="false">IF(IFERROR(INDEX(tsk_Name,GanttView[[#This Row],[_Row]])="",TRUE()),0,IF(AND(INDEX(tsk_IsLeaf,GanttView[[#This Row],[_Row]])=1,NOT(GanttView[[#This Row],[_IsMilestone]]),N(GanttView[[#This Row],[%]])&gt;0),GanttView[[#This Row],[Forecast Start]],0))</f>
        <v>0</v>
      </c>
      <c r="P55" s="127" t="n">
        <f aca="false">IF(GanttView[[#This Row],[_DoneFrom]]=0,0,IF(GanttView[[#This Row],[%]]&gt;=1,GanttView[[#This Row],[Forecast Finish]],MAX(GanttView[[#This Row],[_DoneFrom]],GanttView[[#This Row],[Forecast Start]]+ROUND((GanttView[[#This Row],[Forecast Finish]]-GanttView[[#This Row],[Forecast Start]]+1)*GanttView[[#This Row],[%]],0)-1)))</f>
        <v>0</v>
      </c>
      <c r="Q55" s="127" t="n">
        <f aca="false">IF(IFERROR(INDEX(tsk_Name,GanttView[[#This Row],[_Row]])="",TRUE()),0,IF(OR(INDEX(tsk_IsLeaf,GanttView[[#This Row],[_Row]])&lt;&gt;1,GanttView[[#This Row],[_IsMilestone]],N(GanttView[[#This Row],[%]])&gt;=1),0,IF(GanttView[[#This Row],[_DoneTo]]&gt;0,GanttView[[#This Row],[_DoneTo]]+1,GanttView[[#This Row],[Forecast Start]])))</f>
        <v>0</v>
      </c>
      <c r="R55" s="127" t="n">
        <f aca="false">IF(GanttView[[#This Row],[_RemFrom]]=0,0,GanttView[[#This Row],[Forecast Finish]])</f>
        <v>0</v>
      </c>
      <c r="S55" s="126" t="b">
        <f aca="false">IF(IFERROR(INDEX(tsk_Name,GanttView[[#This Row],[_Row]])="",TRUE()),FALSE(),N(INDEX(tsk_Variance,GanttView[[#This Row],[_Row]]))&gt;0)</f>
        <v>0</v>
      </c>
      <c r="T55" s="127" t="n">
        <f aca="false">IF(IFERROR(INDEX(tsk_Name,GanttView[[#This Row],[_Row]])="",TRUE()),0,N(INDEX(tsk_Deadline,GanttView[[#This Row],[_Row]])))</f>
        <v>0</v>
      </c>
      <c r="U55" s="126" t="b">
        <f aca="false">IF(IFERROR(INDEX(tsk_Name,GanttView[[#This Row],[_Row]])="",TRUE()),FALSE(),INDEX(tsk_Critical,GanttView[[#This Row],[_Row]])="Yes")</f>
        <v>0</v>
      </c>
    </row>
    <row r="56" customFormat="false" ht="15" hidden="false" customHeight="false" outlineLevel="0" collapsed="false">
      <c r="A56" s="120" t="str">
        <f aca="false">IF(IFERROR(INDEX(tsk_Name,GanttView[[#This Row],[_Row]])="",TRUE()),"",INDEX(tsk_ID,GanttView[[#This Row],[_Row]]))</f>
        <v/>
      </c>
      <c r="B56" s="120" t="str">
        <f aca="false">IF(IFERROR(INDEX(tsk_Name,GanttView[[#This Row],[_Row]])="",TRUE()),"",INDEX(tsk_WBS,GanttView[[#This Row],[_Row]]))</f>
        <v/>
      </c>
      <c r="C56" s="121" t="str">
        <f aca="false">IF(IFERROR(INDEX(tsk_Name,GanttView[[#This Row],[_Row]])="",TRUE()),"",REPT("    ",INDEX(tsk_Level,GanttView[[#This Row],[_Row]])-1)&amp;INDEX(tsk_Name,GanttView[[#This Row],[_Row]]))</f>
        <v/>
      </c>
      <c r="D56" s="120" t="str">
        <f aca="false">IF(IFERROR(INDEX(tsk_Name,GanttView[[#This Row],[_Row]])="",TRUE()),"",IF(INDEX(tsk_IsSummary,GanttView[[#This Row],[_Row]]),NETWORKDAYS.INTL(INDEX(tsk_FcStart,GanttView[[#This Row],[_Row]]),INDEX(tsk_FcFinish,GanttView[[#This Row],[_Row]]),WorkWeek,Holidays),N(INDEX(tsk_Duration,GanttView[[#This Row],[_Row]]))))</f>
        <v/>
      </c>
      <c r="E56" s="122" t="str">
        <f aca="false">IF(IFERROR(INDEX(tsk_Name,GanttView[[#This Row],[_Row]])="",TRUE()),"",INDEX(tsk_PlanStart,GanttView[[#This Row],[_Row]]))</f>
        <v/>
      </c>
      <c r="F56" s="122" t="str">
        <f aca="false">IF(IFERROR(INDEX(tsk_Name,GanttView[[#This Row],[_Row]])="",TRUE()),"",INDEX(tsk_PlanFinish,GanttView[[#This Row],[_Row]]))</f>
        <v/>
      </c>
      <c r="G56" s="122" t="str">
        <f aca="false">IF(IFERROR(INDEX(tsk_Name,GanttView[[#This Row],[_Row]])="",TRUE()),"",INDEX(tsk_FcStart,GanttView[[#This Row],[_Row]]))</f>
        <v/>
      </c>
      <c r="H56" s="122" t="str">
        <f aca="false">IF(IFERROR(INDEX(tsk_Name,GanttView[[#This Row],[_Row]])="",TRUE()),"",INDEX(tsk_FcFinish,GanttView[[#This Row],[_Row]]))</f>
        <v/>
      </c>
      <c r="I56" s="123" t="str">
        <f aca="false">IF(IFERROR(INDEX(tsk_Name,GanttView[[#This Row],[_Row]])="",TRUE()),"",INDEX(tsk_Progress,GanttView[[#This Row],[_Row]]))</f>
        <v/>
      </c>
      <c r="J56" s="121" t="str">
        <f aca="false">IF(IFERROR(INDEX(tsk_Name,GanttView[[#This Row],[_Row]])="",TRUE()),"",INDEX(tsk_Resource,GanttView[[#This Row],[_Row]])&amp;"")</f>
        <v/>
      </c>
      <c r="K56" s="124" t="str">
        <f aca="false">IF(IFERROR(INDEX(tsk_Name,GanttView[[#This Row],[_Row]])="",TRUE()),"",INDEX(tsk_Status,GanttView[[#This Row],[_Row]]))</f>
        <v/>
      </c>
      <c r="L56" s="125" t="n">
        <f aca="false">ROW()-ROW(GanttView[[#Headers],[ID]])</f>
        <v>51</v>
      </c>
      <c r="M56" s="126" t="b">
        <f aca="false">IF(IFERROR(INDEX(tsk_Name,GanttView[[#This Row],[_Row]])="",TRUE()),FALSE(),INDEX(tsk_IsSummary,GanttView[[#This Row],[_Row]]))</f>
        <v>0</v>
      </c>
      <c r="N56" s="126" t="b">
        <f aca="false">IF(IFERROR(INDEX(tsk_Name,GanttView[[#This Row],[_Row]])="",TRUE()),FALSE(),AND(INDEX(tsk_IsLeaf,GanttView[[#This Row],[_Row]])=1,N(INDEX(tsk_Duration,GanttView[[#This Row],[_Row]]))=0))</f>
        <v>0</v>
      </c>
      <c r="O56" s="127" t="n">
        <f aca="false">IF(IFERROR(INDEX(tsk_Name,GanttView[[#This Row],[_Row]])="",TRUE()),0,IF(AND(INDEX(tsk_IsLeaf,GanttView[[#This Row],[_Row]])=1,NOT(GanttView[[#This Row],[_IsMilestone]]),N(GanttView[[#This Row],[%]])&gt;0),GanttView[[#This Row],[Forecast Start]],0))</f>
        <v>0</v>
      </c>
      <c r="P56" s="127" t="n">
        <f aca="false">IF(GanttView[[#This Row],[_DoneFrom]]=0,0,IF(GanttView[[#This Row],[%]]&gt;=1,GanttView[[#This Row],[Forecast Finish]],MAX(GanttView[[#This Row],[_DoneFrom]],GanttView[[#This Row],[Forecast Start]]+ROUND((GanttView[[#This Row],[Forecast Finish]]-GanttView[[#This Row],[Forecast Start]]+1)*GanttView[[#This Row],[%]],0)-1)))</f>
        <v>0</v>
      </c>
      <c r="Q56" s="127" t="n">
        <f aca="false">IF(IFERROR(INDEX(tsk_Name,GanttView[[#This Row],[_Row]])="",TRUE()),0,IF(OR(INDEX(tsk_IsLeaf,GanttView[[#This Row],[_Row]])&lt;&gt;1,GanttView[[#This Row],[_IsMilestone]],N(GanttView[[#This Row],[%]])&gt;=1),0,IF(GanttView[[#This Row],[_DoneTo]]&gt;0,GanttView[[#This Row],[_DoneTo]]+1,GanttView[[#This Row],[Forecast Start]])))</f>
        <v>0</v>
      </c>
      <c r="R56" s="127" t="n">
        <f aca="false">IF(GanttView[[#This Row],[_RemFrom]]=0,0,GanttView[[#This Row],[Forecast Finish]])</f>
        <v>0</v>
      </c>
      <c r="S56" s="126" t="b">
        <f aca="false">IF(IFERROR(INDEX(tsk_Name,GanttView[[#This Row],[_Row]])="",TRUE()),FALSE(),N(INDEX(tsk_Variance,GanttView[[#This Row],[_Row]]))&gt;0)</f>
        <v>0</v>
      </c>
      <c r="T56" s="127" t="n">
        <f aca="false">IF(IFERROR(INDEX(tsk_Name,GanttView[[#This Row],[_Row]])="",TRUE()),0,N(INDEX(tsk_Deadline,GanttView[[#This Row],[_Row]])))</f>
        <v>0</v>
      </c>
      <c r="U56" s="126" t="b">
        <f aca="false">IF(IFERROR(INDEX(tsk_Name,GanttView[[#This Row],[_Row]])="",TRUE()),FALSE(),INDEX(tsk_Critical,GanttView[[#This Row],[_Row]])="Yes")</f>
        <v>0</v>
      </c>
    </row>
    <row r="57" customFormat="false" ht="15" hidden="false" customHeight="false" outlineLevel="0" collapsed="false">
      <c r="A57" s="120" t="str">
        <f aca="false">IF(IFERROR(INDEX(tsk_Name,GanttView[[#This Row],[_Row]])="",TRUE()),"",INDEX(tsk_ID,GanttView[[#This Row],[_Row]]))</f>
        <v/>
      </c>
      <c r="B57" s="120" t="str">
        <f aca="false">IF(IFERROR(INDEX(tsk_Name,GanttView[[#This Row],[_Row]])="",TRUE()),"",INDEX(tsk_WBS,GanttView[[#This Row],[_Row]]))</f>
        <v/>
      </c>
      <c r="C57" s="121" t="str">
        <f aca="false">IF(IFERROR(INDEX(tsk_Name,GanttView[[#This Row],[_Row]])="",TRUE()),"",REPT("    ",INDEX(tsk_Level,GanttView[[#This Row],[_Row]])-1)&amp;INDEX(tsk_Name,GanttView[[#This Row],[_Row]]))</f>
        <v/>
      </c>
      <c r="D57" s="120" t="str">
        <f aca="false">IF(IFERROR(INDEX(tsk_Name,GanttView[[#This Row],[_Row]])="",TRUE()),"",IF(INDEX(tsk_IsSummary,GanttView[[#This Row],[_Row]]),NETWORKDAYS.INTL(INDEX(tsk_FcStart,GanttView[[#This Row],[_Row]]),INDEX(tsk_FcFinish,GanttView[[#This Row],[_Row]]),WorkWeek,Holidays),N(INDEX(tsk_Duration,GanttView[[#This Row],[_Row]]))))</f>
        <v/>
      </c>
      <c r="E57" s="122" t="str">
        <f aca="false">IF(IFERROR(INDEX(tsk_Name,GanttView[[#This Row],[_Row]])="",TRUE()),"",INDEX(tsk_PlanStart,GanttView[[#This Row],[_Row]]))</f>
        <v/>
      </c>
      <c r="F57" s="122" t="str">
        <f aca="false">IF(IFERROR(INDEX(tsk_Name,GanttView[[#This Row],[_Row]])="",TRUE()),"",INDEX(tsk_PlanFinish,GanttView[[#This Row],[_Row]]))</f>
        <v/>
      </c>
      <c r="G57" s="122" t="str">
        <f aca="false">IF(IFERROR(INDEX(tsk_Name,GanttView[[#This Row],[_Row]])="",TRUE()),"",INDEX(tsk_FcStart,GanttView[[#This Row],[_Row]]))</f>
        <v/>
      </c>
      <c r="H57" s="122" t="str">
        <f aca="false">IF(IFERROR(INDEX(tsk_Name,GanttView[[#This Row],[_Row]])="",TRUE()),"",INDEX(tsk_FcFinish,GanttView[[#This Row],[_Row]]))</f>
        <v/>
      </c>
      <c r="I57" s="123" t="str">
        <f aca="false">IF(IFERROR(INDEX(tsk_Name,GanttView[[#This Row],[_Row]])="",TRUE()),"",INDEX(tsk_Progress,GanttView[[#This Row],[_Row]]))</f>
        <v/>
      </c>
      <c r="J57" s="121" t="str">
        <f aca="false">IF(IFERROR(INDEX(tsk_Name,GanttView[[#This Row],[_Row]])="",TRUE()),"",INDEX(tsk_Resource,GanttView[[#This Row],[_Row]])&amp;"")</f>
        <v/>
      </c>
      <c r="K57" s="124" t="str">
        <f aca="false">IF(IFERROR(INDEX(tsk_Name,GanttView[[#This Row],[_Row]])="",TRUE()),"",INDEX(tsk_Status,GanttView[[#This Row],[_Row]]))</f>
        <v/>
      </c>
      <c r="L57" s="125" t="n">
        <f aca="false">ROW()-ROW(GanttView[[#Headers],[ID]])</f>
        <v>52</v>
      </c>
      <c r="M57" s="126" t="b">
        <f aca="false">IF(IFERROR(INDEX(tsk_Name,GanttView[[#This Row],[_Row]])="",TRUE()),FALSE(),INDEX(tsk_IsSummary,GanttView[[#This Row],[_Row]]))</f>
        <v>0</v>
      </c>
      <c r="N57" s="126" t="b">
        <f aca="false">IF(IFERROR(INDEX(tsk_Name,GanttView[[#This Row],[_Row]])="",TRUE()),FALSE(),AND(INDEX(tsk_IsLeaf,GanttView[[#This Row],[_Row]])=1,N(INDEX(tsk_Duration,GanttView[[#This Row],[_Row]]))=0))</f>
        <v>0</v>
      </c>
      <c r="O57" s="127" t="n">
        <f aca="false">IF(IFERROR(INDEX(tsk_Name,GanttView[[#This Row],[_Row]])="",TRUE()),0,IF(AND(INDEX(tsk_IsLeaf,GanttView[[#This Row],[_Row]])=1,NOT(GanttView[[#This Row],[_IsMilestone]]),N(GanttView[[#This Row],[%]])&gt;0),GanttView[[#This Row],[Forecast Start]],0))</f>
        <v>0</v>
      </c>
      <c r="P57" s="127" t="n">
        <f aca="false">IF(GanttView[[#This Row],[_DoneFrom]]=0,0,IF(GanttView[[#This Row],[%]]&gt;=1,GanttView[[#This Row],[Forecast Finish]],MAX(GanttView[[#This Row],[_DoneFrom]],GanttView[[#This Row],[Forecast Start]]+ROUND((GanttView[[#This Row],[Forecast Finish]]-GanttView[[#This Row],[Forecast Start]]+1)*GanttView[[#This Row],[%]],0)-1)))</f>
        <v>0</v>
      </c>
      <c r="Q57" s="127" t="n">
        <f aca="false">IF(IFERROR(INDEX(tsk_Name,GanttView[[#This Row],[_Row]])="",TRUE()),0,IF(OR(INDEX(tsk_IsLeaf,GanttView[[#This Row],[_Row]])&lt;&gt;1,GanttView[[#This Row],[_IsMilestone]],N(GanttView[[#This Row],[%]])&gt;=1),0,IF(GanttView[[#This Row],[_DoneTo]]&gt;0,GanttView[[#This Row],[_DoneTo]]+1,GanttView[[#This Row],[Forecast Start]])))</f>
        <v>0</v>
      </c>
      <c r="R57" s="127" t="n">
        <f aca="false">IF(GanttView[[#This Row],[_RemFrom]]=0,0,GanttView[[#This Row],[Forecast Finish]])</f>
        <v>0</v>
      </c>
      <c r="S57" s="126" t="b">
        <f aca="false">IF(IFERROR(INDEX(tsk_Name,GanttView[[#This Row],[_Row]])="",TRUE()),FALSE(),N(INDEX(tsk_Variance,GanttView[[#This Row],[_Row]]))&gt;0)</f>
        <v>0</v>
      </c>
      <c r="T57" s="127" t="n">
        <f aca="false">IF(IFERROR(INDEX(tsk_Name,GanttView[[#This Row],[_Row]])="",TRUE()),0,N(INDEX(tsk_Deadline,GanttView[[#This Row],[_Row]])))</f>
        <v>0</v>
      </c>
      <c r="U57" s="126" t="b">
        <f aca="false">IF(IFERROR(INDEX(tsk_Name,GanttView[[#This Row],[_Row]])="",TRUE()),FALSE(),INDEX(tsk_Critical,GanttView[[#This Row],[_Row]])="Yes")</f>
        <v>0</v>
      </c>
    </row>
    <row r="58" customFormat="false" ht="15" hidden="false" customHeight="false" outlineLevel="0" collapsed="false">
      <c r="A58" s="120" t="str">
        <f aca="false">IF(IFERROR(INDEX(tsk_Name,GanttView[[#This Row],[_Row]])="",TRUE()),"",INDEX(tsk_ID,GanttView[[#This Row],[_Row]]))</f>
        <v/>
      </c>
      <c r="B58" s="120" t="str">
        <f aca="false">IF(IFERROR(INDEX(tsk_Name,GanttView[[#This Row],[_Row]])="",TRUE()),"",INDEX(tsk_WBS,GanttView[[#This Row],[_Row]]))</f>
        <v/>
      </c>
      <c r="C58" s="121" t="str">
        <f aca="false">IF(IFERROR(INDEX(tsk_Name,GanttView[[#This Row],[_Row]])="",TRUE()),"",REPT("    ",INDEX(tsk_Level,GanttView[[#This Row],[_Row]])-1)&amp;INDEX(tsk_Name,GanttView[[#This Row],[_Row]]))</f>
        <v/>
      </c>
      <c r="D58" s="120" t="str">
        <f aca="false">IF(IFERROR(INDEX(tsk_Name,GanttView[[#This Row],[_Row]])="",TRUE()),"",IF(INDEX(tsk_IsSummary,GanttView[[#This Row],[_Row]]),NETWORKDAYS.INTL(INDEX(tsk_FcStart,GanttView[[#This Row],[_Row]]),INDEX(tsk_FcFinish,GanttView[[#This Row],[_Row]]),WorkWeek,Holidays),N(INDEX(tsk_Duration,GanttView[[#This Row],[_Row]]))))</f>
        <v/>
      </c>
      <c r="E58" s="122" t="str">
        <f aca="false">IF(IFERROR(INDEX(tsk_Name,GanttView[[#This Row],[_Row]])="",TRUE()),"",INDEX(tsk_PlanStart,GanttView[[#This Row],[_Row]]))</f>
        <v/>
      </c>
      <c r="F58" s="122" t="str">
        <f aca="false">IF(IFERROR(INDEX(tsk_Name,GanttView[[#This Row],[_Row]])="",TRUE()),"",INDEX(tsk_PlanFinish,GanttView[[#This Row],[_Row]]))</f>
        <v/>
      </c>
      <c r="G58" s="122" t="str">
        <f aca="false">IF(IFERROR(INDEX(tsk_Name,GanttView[[#This Row],[_Row]])="",TRUE()),"",INDEX(tsk_FcStart,GanttView[[#This Row],[_Row]]))</f>
        <v/>
      </c>
      <c r="H58" s="122" t="str">
        <f aca="false">IF(IFERROR(INDEX(tsk_Name,GanttView[[#This Row],[_Row]])="",TRUE()),"",INDEX(tsk_FcFinish,GanttView[[#This Row],[_Row]]))</f>
        <v/>
      </c>
      <c r="I58" s="123" t="str">
        <f aca="false">IF(IFERROR(INDEX(tsk_Name,GanttView[[#This Row],[_Row]])="",TRUE()),"",INDEX(tsk_Progress,GanttView[[#This Row],[_Row]]))</f>
        <v/>
      </c>
      <c r="J58" s="121" t="str">
        <f aca="false">IF(IFERROR(INDEX(tsk_Name,GanttView[[#This Row],[_Row]])="",TRUE()),"",INDEX(tsk_Resource,GanttView[[#This Row],[_Row]])&amp;"")</f>
        <v/>
      </c>
      <c r="K58" s="124" t="str">
        <f aca="false">IF(IFERROR(INDEX(tsk_Name,GanttView[[#This Row],[_Row]])="",TRUE()),"",INDEX(tsk_Status,GanttView[[#This Row],[_Row]]))</f>
        <v/>
      </c>
      <c r="L58" s="125" t="n">
        <f aca="false">ROW()-ROW(GanttView[[#Headers],[ID]])</f>
        <v>53</v>
      </c>
      <c r="M58" s="126" t="b">
        <f aca="false">IF(IFERROR(INDEX(tsk_Name,GanttView[[#This Row],[_Row]])="",TRUE()),FALSE(),INDEX(tsk_IsSummary,GanttView[[#This Row],[_Row]]))</f>
        <v>0</v>
      </c>
      <c r="N58" s="126" t="b">
        <f aca="false">IF(IFERROR(INDEX(tsk_Name,GanttView[[#This Row],[_Row]])="",TRUE()),FALSE(),AND(INDEX(tsk_IsLeaf,GanttView[[#This Row],[_Row]])=1,N(INDEX(tsk_Duration,GanttView[[#This Row],[_Row]]))=0))</f>
        <v>0</v>
      </c>
      <c r="O58" s="127" t="n">
        <f aca="false">IF(IFERROR(INDEX(tsk_Name,GanttView[[#This Row],[_Row]])="",TRUE()),0,IF(AND(INDEX(tsk_IsLeaf,GanttView[[#This Row],[_Row]])=1,NOT(GanttView[[#This Row],[_IsMilestone]]),N(GanttView[[#This Row],[%]])&gt;0),GanttView[[#This Row],[Forecast Start]],0))</f>
        <v>0</v>
      </c>
      <c r="P58" s="127" t="n">
        <f aca="false">IF(GanttView[[#This Row],[_DoneFrom]]=0,0,IF(GanttView[[#This Row],[%]]&gt;=1,GanttView[[#This Row],[Forecast Finish]],MAX(GanttView[[#This Row],[_DoneFrom]],GanttView[[#This Row],[Forecast Start]]+ROUND((GanttView[[#This Row],[Forecast Finish]]-GanttView[[#This Row],[Forecast Start]]+1)*GanttView[[#This Row],[%]],0)-1)))</f>
        <v>0</v>
      </c>
      <c r="Q58" s="127" t="n">
        <f aca="false">IF(IFERROR(INDEX(tsk_Name,GanttView[[#This Row],[_Row]])="",TRUE()),0,IF(OR(INDEX(tsk_IsLeaf,GanttView[[#This Row],[_Row]])&lt;&gt;1,GanttView[[#This Row],[_IsMilestone]],N(GanttView[[#This Row],[%]])&gt;=1),0,IF(GanttView[[#This Row],[_DoneTo]]&gt;0,GanttView[[#This Row],[_DoneTo]]+1,GanttView[[#This Row],[Forecast Start]])))</f>
        <v>0</v>
      </c>
      <c r="R58" s="127" t="n">
        <f aca="false">IF(GanttView[[#This Row],[_RemFrom]]=0,0,GanttView[[#This Row],[Forecast Finish]])</f>
        <v>0</v>
      </c>
      <c r="S58" s="126" t="b">
        <f aca="false">IF(IFERROR(INDEX(tsk_Name,GanttView[[#This Row],[_Row]])="",TRUE()),FALSE(),N(INDEX(tsk_Variance,GanttView[[#This Row],[_Row]]))&gt;0)</f>
        <v>0</v>
      </c>
      <c r="T58" s="127" t="n">
        <f aca="false">IF(IFERROR(INDEX(tsk_Name,GanttView[[#This Row],[_Row]])="",TRUE()),0,N(INDEX(tsk_Deadline,GanttView[[#This Row],[_Row]])))</f>
        <v>0</v>
      </c>
      <c r="U58" s="126" t="b">
        <f aca="false">IF(IFERROR(INDEX(tsk_Name,GanttView[[#This Row],[_Row]])="",TRUE()),FALSE(),INDEX(tsk_Critical,GanttView[[#This Row],[_Row]])="Yes")</f>
        <v>0</v>
      </c>
    </row>
    <row r="59" customFormat="false" ht="15" hidden="false" customHeight="false" outlineLevel="0" collapsed="false">
      <c r="A59" s="120" t="str">
        <f aca="false">IF(IFERROR(INDEX(tsk_Name,GanttView[[#This Row],[_Row]])="",TRUE()),"",INDEX(tsk_ID,GanttView[[#This Row],[_Row]]))</f>
        <v/>
      </c>
      <c r="B59" s="120" t="str">
        <f aca="false">IF(IFERROR(INDEX(tsk_Name,GanttView[[#This Row],[_Row]])="",TRUE()),"",INDEX(tsk_WBS,GanttView[[#This Row],[_Row]]))</f>
        <v/>
      </c>
      <c r="C59" s="121" t="str">
        <f aca="false">IF(IFERROR(INDEX(tsk_Name,GanttView[[#This Row],[_Row]])="",TRUE()),"",REPT("    ",INDEX(tsk_Level,GanttView[[#This Row],[_Row]])-1)&amp;INDEX(tsk_Name,GanttView[[#This Row],[_Row]]))</f>
        <v/>
      </c>
      <c r="D59" s="120" t="str">
        <f aca="false">IF(IFERROR(INDEX(tsk_Name,GanttView[[#This Row],[_Row]])="",TRUE()),"",IF(INDEX(tsk_IsSummary,GanttView[[#This Row],[_Row]]),NETWORKDAYS.INTL(INDEX(tsk_FcStart,GanttView[[#This Row],[_Row]]),INDEX(tsk_FcFinish,GanttView[[#This Row],[_Row]]),WorkWeek,Holidays),N(INDEX(tsk_Duration,GanttView[[#This Row],[_Row]]))))</f>
        <v/>
      </c>
      <c r="E59" s="122" t="str">
        <f aca="false">IF(IFERROR(INDEX(tsk_Name,GanttView[[#This Row],[_Row]])="",TRUE()),"",INDEX(tsk_PlanStart,GanttView[[#This Row],[_Row]]))</f>
        <v/>
      </c>
      <c r="F59" s="122" t="str">
        <f aca="false">IF(IFERROR(INDEX(tsk_Name,GanttView[[#This Row],[_Row]])="",TRUE()),"",INDEX(tsk_PlanFinish,GanttView[[#This Row],[_Row]]))</f>
        <v/>
      </c>
      <c r="G59" s="122" t="str">
        <f aca="false">IF(IFERROR(INDEX(tsk_Name,GanttView[[#This Row],[_Row]])="",TRUE()),"",INDEX(tsk_FcStart,GanttView[[#This Row],[_Row]]))</f>
        <v/>
      </c>
      <c r="H59" s="122" t="str">
        <f aca="false">IF(IFERROR(INDEX(tsk_Name,GanttView[[#This Row],[_Row]])="",TRUE()),"",INDEX(tsk_FcFinish,GanttView[[#This Row],[_Row]]))</f>
        <v/>
      </c>
      <c r="I59" s="123" t="str">
        <f aca="false">IF(IFERROR(INDEX(tsk_Name,GanttView[[#This Row],[_Row]])="",TRUE()),"",INDEX(tsk_Progress,GanttView[[#This Row],[_Row]]))</f>
        <v/>
      </c>
      <c r="J59" s="121" t="str">
        <f aca="false">IF(IFERROR(INDEX(tsk_Name,GanttView[[#This Row],[_Row]])="",TRUE()),"",INDEX(tsk_Resource,GanttView[[#This Row],[_Row]])&amp;"")</f>
        <v/>
      </c>
      <c r="K59" s="124" t="str">
        <f aca="false">IF(IFERROR(INDEX(tsk_Name,GanttView[[#This Row],[_Row]])="",TRUE()),"",INDEX(tsk_Status,GanttView[[#This Row],[_Row]]))</f>
        <v/>
      </c>
      <c r="L59" s="125" t="n">
        <f aca="false">ROW()-ROW(GanttView[[#Headers],[ID]])</f>
        <v>54</v>
      </c>
      <c r="M59" s="126" t="b">
        <f aca="false">IF(IFERROR(INDEX(tsk_Name,GanttView[[#This Row],[_Row]])="",TRUE()),FALSE(),INDEX(tsk_IsSummary,GanttView[[#This Row],[_Row]]))</f>
        <v>0</v>
      </c>
      <c r="N59" s="126" t="b">
        <f aca="false">IF(IFERROR(INDEX(tsk_Name,GanttView[[#This Row],[_Row]])="",TRUE()),FALSE(),AND(INDEX(tsk_IsLeaf,GanttView[[#This Row],[_Row]])=1,N(INDEX(tsk_Duration,GanttView[[#This Row],[_Row]]))=0))</f>
        <v>0</v>
      </c>
      <c r="O59" s="127" t="n">
        <f aca="false">IF(IFERROR(INDEX(tsk_Name,GanttView[[#This Row],[_Row]])="",TRUE()),0,IF(AND(INDEX(tsk_IsLeaf,GanttView[[#This Row],[_Row]])=1,NOT(GanttView[[#This Row],[_IsMilestone]]),N(GanttView[[#This Row],[%]])&gt;0),GanttView[[#This Row],[Forecast Start]],0))</f>
        <v>0</v>
      </c>
      <c r="P59" s="127" t="n">
        <f aca="false">IF(GanttView[[#This Row],[_DoneFrom]]=0,0,IF(GanttView[[#This Row],[%]]&gt;=1,GanttView[[#This Row],[Forecast Finish]],MAX(GanttView[[#This Row],[_DoneFrom]],GanttView[[#This Row],[Forecast Start]]+ROUND((GanttView[[#This Row],[Forecast Finish]]-GanttView[[#This Row],[Forecast Start]]+1)*GanttView[[#This Row],[%]],0)-1)))</f>
        <v>0</v>
      </c>
      <c r="Q59" s="127" t="n">
        <f aca="false">IF(IFERROR(INDEX(tsk_Name,GanttView[[#This Row],[_Row]])="",TRUE()),0,IF(OR(INDEX(tsk_IsLeaf,GanttView[[#This Row],[_Row]])&lt;&gt;1,GanttView[[#This Row],[_IsMilestone]],N(GanttView[[#This Row],[%]])&gt;=1),0,IF(GanttView[[#This Row],[_DoneTo]]&gt;0,GanttView[[#This Row],[_DoneTo]]+1,GanttView[[#This Row],[Forecast Start]])))</f>
        <v>0</v>
      </c>
      <c r="R59" s="127" t="n">
        <f aca="false">IF(GanttView[[#This Row],[_RemFrom]]=0,0,GanttView[[#This Row],[Forecast Finish]])</f>
        <v>0</v>
      </c>
      <c r="S59" s="126" t="b">
        <f aca="false">IF(IFERROR(INDEX(tsk_Name,GanttView[[#This Row],[_Row]])="",TRUE()),FALSE(),N(INDEX(tsk_Variance,GanttView[[#This Row],[_Row]]))&gt;0)</f>
        <v>0</v>
      </c>
      <c r="T59" s="127" t="n">
        <f aca="false">IF(IFERROR(INDEX(tsk_Name,GanttView[[#This Row],[_Row]])="",TRUE()),0,N(INDEX(tsk_Deadline,GanttView[[#This Row],[_Row]])))</f>
        <v>0</v>
      </c>
      <c r="U59" s="126" t="b">
        <f aca="false">IF(IFERROR(INDEX(tsk_Name,GanttView[[#This Row],[_Row]])="",TRUE()),FALSE(),INDEX(tsk_Critical,GanttView[[#This Row],[_Row]])="Yes")</f>
        <v>0</v>
      </c>
    </row>
    <row r="60" customFormat="false" ht="15" hidden="false" customHeight="false" outlineLevel="0" collapsed="false">
      <c r="A60" s="120" t="str">
        <f aca="false">IF(IFERROR(INDEX(tsk_Name,GanttView[[#This Row],[_Row]])="",TRUE()),"",INDEX(tsk_ID,GanttView[[#This Row],[_Row]]))</f>
        <v/>
      </c>
      <c r="B60" s="120" t="str">
        <f aca="false">IF(IFERROR(INDEX(tsk_Name,GanttView[[#This Row],[_Row]])="",TRUE()),"",INDEX(tsk_WBS,GanttView[[#This Row],[_Row]]))</f>
        <v/>
      </c>
      <c r="C60" s="121" t="str">
        <f aca="false">IF(IFERROR(INDEX(tsk_Name,GanttView[[#This Row],[_Row]])="",TRUE()),"",REPT("    ",INDEX(tsk_Level,GanttView[[#This Row],[_Row]])-1)&amp;INDEX(tsk_Name,GanttView[[#This Row],[_Row]]))</f>
        <v/>
      </c>
      <c r="D60" s="120" t="str">
        <f aca="false">IF(IFERROR(INDEX(tsk_Name,GanttView[[#This Row],[_Row]])="",TRUE()),"",IF(INDEX(tsk_IsSummary,GanttView[[#This Row],[_Row]]),NETWORKDAYS.INTL(INDEX(tsk_FcStart,GanttView[[#This Row],[_Row]]),INDEX(tsk_FcFinish,GanttView[[#This Row],[_Row]]),WorkWeek,Holidays),N(INDEX(tsk_Duration,GanttView[[#This Row],[_Row]]))))</f>
        <v/>
      </c>
      <c r="E60" s="122" t="str">
        <f aca="false">IF(IFERROR(INDEX(tsk_Name,GanttView[[#This Row],[_Row]])="",TRUE()),"",INDEX(tsk_PlanStart,GanttView[[#This Row],[_Row]]))</f>
        <v/>
      </c>
      <c r="F60" s="122" t="str">
        <f aca="false">IF(IFERROR(INDEX(tsk_Name,GanttView[[#This Row],[_Row]])="",TRUE()),"",INDEX(tsk_PlanFinish,GanttView[[#This Row],[_Row]]))</f>
        <v/>
      </c>
      <c r="G60" s="122" t="str">
        <f aca="false">IF(IFERROR(INDEX(tsk_Name,GanttView[[#This Row],[_Row]])="",TRUE()),"",INDEX(tsk_FcStart,GanttView[[#This Row],[_Row]]))</f>
        <v/>
      </c>
      <c r="H60" s="122" t="str">
        <f aca="false">IF(IFERROR(INDEX(tsk_Name,GanttView[[#This Row],[_Row]])="",TRUE()),"",INDEX(tsk_FcFinish,GanttView[[#This Row],[_Row]]))</f>
        <v/>
      </c>
      <c r="I60" s="123" t="str">
        <f aca="false">IF(IFERROR(INDEX(tsk_Name,GanttView[[#This Row],[_Row]])="",TRUE()),"",INDEX(tsk_Progress,GanttView[[#This Row],[_Row]]))</f>
        <v/>
      </c>
      <c r="J60" s="121" t="str">
        <f aca="false">IF(IFERROR(INDEX(tsk_Name,GanttView[[#This Row],[_Row]])="",TRUE()),"",INDEX(tsk_Resource,GanttView[[#This Row],[_Row]])&amp;"")</f>
        <v/>
      </c>
      <c r="K60" s="124" t="str">
        <f aca="false">IF(IFERROR(INDEX(tsk_Name,GanttView[[#This Row],[_Row]])="",TRUE()),"",INDEX(tsk_Status,GanttView[[#This Row],[_Row]]))</f>
        <v/>
      </c>
      <c r="L60" s="125" t="n">
        <f aca="false">ROW()-ROW(GanttView[[#Headers],[ID]])</f>
        <v>55</v>
      </c>
      <c r="M60" s="126" t="b">
        <f aca="false">IF(IFERROR(INDEX(tsk_Name,GanttView[[#This Row],[_Row]])="",TRUE()),FALSE(),INDEX(tsk_IsSummary,GanttView[[#This Row],[_Row]]))</f>
        <v>0</v>
      </c>
      <c r="N60" s="126" t="b">
        <f aca="false">IF(IFERROR(INDEX(tsk_Name,GanttView[[#This Row],[_Row]])="",TRUE()),FALSE(),AND(INDEX(tsk_IsLeaf,GanttView[[#This Row],[_Row]])=1,N(INDEX(tsk_Duration,GanttView[[#This Row],[_Row]]))=0))</f>
        <v>0</v>
      </c>
      <c r="O60" s="127" t="n">
        <f aca="false">IF(IFERROR(INDEX(tsk_Name,GanttView[[#This Row],[_Row]])="",TRUE()),0,IF(AND(INDEX(tsk_IsLeaf,GanttView[[#This Row],[_Row]])=1,NOT(GanttView[[#This Row],[_IsMilestone]]),N(GanttView[[#This Row],[%]])&gt;0),GanttView[[#This Row],[Forecast Start]],0))</f>
        <v>0</v>
      </c>
      <c r="P60" s="127" t="n">
        <f aca="false">IF(GanttView[[#This Row],[_DoneFrom]]=0,0,IF(GanttView[[#This Row],[%]]&gt;=1,GanttView[[#This Row],[Forecast Finish]],MAX(GanttView[[#This Row],[_DoneFrom]],GanttView[[#This Row],[Forecast Start]]+ROUND((GanttView[[#This Row],[Forecast Finish]]-GanttView[[#This Row],[Forecast Start]]+1)*GanttView[[#This Row],[%]],0)-1)))</f>
        <v>0</v>
      </c>
      <c r="Q60" s="127" t="n">
        <f aca="false">IF(IFERROR(INDEX(tsk_Name,GanttView[[#This Row],[_Row]])="",TRUE()),0,IF(OR(INDEX(tsk_IsLeaf,GanttView[[#This Row],[_Row]])&lt;&gt;1,GanttView[[#This Row],[_IsMilestone]],N(GanttView[[#This Row],[%]])&gt;=1),0,IF(GanttView[[#This Row],[_DoneTo]]&gt;0,GanttView[[#This Row],[_DoneTo]]+1,GanttView[[#This Row],[Forecast Start]])))</f>
        <v>0</v>
      </c>
      <c r="R60" s="127" t="n">
        <f aca="false">IF(GanttView[[#This Row],[_RemFrom]]=0,0,GanttView[[#This Row],[Forecast Finish]])</f>
        <v>0</v>
      </c>
      <c r="S60" s="126" t="b">
        <f aca="false">IF(IFERROR(INDEX(tsk_Name,GanttView[[#This Row],[_Row]])="",TRUE()),FALSE(),N(INDEX(tsk_Variance,GanttView[[#This Row],[_Row]]))&gt;0)</f>
        <v>0</v>
      </c>
      <c r="T60" s="127" t="n">
        <f aca="false">IF(IFERROR(INDEX(tsk_Name,GanttView[[#This Row],[_Row]])="",TRUE()),0,N(INDEX(tsk_Deadline,GanttView[[#This Row],[_Row]])))</f>
        <v>0</v>
      </c>
      <c r="U60" s="126" t="b">
        <f aca="false">IF(IFERROR(INDEX(tsk_Name,GanttView[[#This Row],[_Row]])="",TRUE()),FALSE(),INDEX(tsk_Critical,GanttView[[#This Row],[_Row]])="Yes")</f>
        <v>0</v>
      </c>
    </row>
    <row r="61" customFormat="false" ht="15" hidden="false" customHeight="false" outlineLevel="0" collapsed="false">
      <c r="A61" s="120" t="str">
        <f aca="false">IF(IFERROR(INDEX(tsk_Name,GanttView[[#This Row],[_Row]])="",TRUE()),"",INDEX(tsk_ID,GanttView[[#This Row],[_Row]]))</f>
        <v/>
      </c>
      <c r="B61" s="120" t="str">
        <f aca="false">IF(IFERROR(INDEX(tsk_Name,GanttView[[#This Row],[_Row]])="",TRUE()),"",INDEX(tsk_WBS,GanttView[[#This Row],[_Row]]))</f>
        <v/>
      </c>
      <c r="C61" s="121" t="str">
        <f aca="false">IF(IFERROR(INDEX(tsk_Name,GanttView[[#This Row],[_Row]])="",TRUE()),"",REPT("    ",INDEX(tsk_Level,GanttView[[#This Row],[_Row]])-1)&amp;INDEX(tsk_Name,GanttView[[#This Row],[_Row]]))</f>
        <v/>
      </c>
      <c r="D61" s="120" t="str">
        <f aca="false">IF(IFERROR(INDEX(tsk_Name,GanttView[[#This Row],[_Row]])="",TRUE()),"",IF(INDEX(tsk_IsSummary,GanttView[[#This Row],[_Row]]),NETWORKDAYS.INTL(INDEX(tsk_FcStart,GanttView[[#This Row],[_Row]]),INDEX(tsk_FcFinish,GanttView[[#This Row],[_Row]]),WorkWeek,Holidays),N(INDEX(tsk_Duration,GanttView[[#This Row],[_Row]]))))</f>
        <v/>
      </c>
      <c r="E61" s="122" t="str">
        <f aca="false">IF(IFERROR(INDEX(tsk_Name,GanttView[[#This Row],[_Row]])="",TRUE()),"",INDEX(tsk_PlanStart,GanttView[[#This Row],[_Row]]))</f>
        <v/>
      </c>
      <c r="F61" s="122" t="str">
        <f aca="false">IF(IFERROR(INDEX(tsk_Name,GanttView[[#This Row],[_Row]])="",TRUE()),"",INDEX(tsk_PlanFinish,GanttView[[#This Row],[_Row]]))</f>
        <v/>
      </c>
      <c r="G61" s="122" t="str">
        <f aca="false">IF(IFERROR(INDEX(tsk_Name,GanttView[[#This Row],[_Row]])="",TRUE()),"",INDEX(tsk_FcStart,GanttView[[#This Row],[_Row]]))</f>
        <v/>
      </c>
      <c r="H61" s="122" t="str">
        <f aca="false">IF(IFERROR(INDEX(tsk_Name,GanttView[[#This Row],[_Row]])="",TRUE()),"",INDEX(tsk_FcFinish,GanttView[[#This Row],[_Row]]))</f>
        <v/>
      </c>
      <c r="I61" s="123" t="str">
        <f aca="false">IF(IFERROR(INDEX(tsk_Name,GanttView[[#This Row],[_Row]])="",TRUE()),"",INDEX(tsk_Progress,GanttView[[#This Row],[_Row]]))</f>
        <v/>
      </c>
      <c r="J61" s="121" t="str">
        <f aca="false">IF(IFERROR(INDEX(tsk_Name,GanttView[[#This Row],[_Row]])="",TRUE()),"",INDEX(tsk_Resource,GanttView[[#This Row],[_Row]])&amp;"")</f>
        <v/>
      </c>
      <c r="K61" s="124" t="str">
        <f aca="false">IF(IFERROR(INDEX(tsk_Name,GanttView[[#This Row],[_Row]])="",TRUE()),"",INDEX(tsk_Status,GanttView[[#This Row],[_Row]]))</f>
        <v/>
      </c>
      <c r="L61" s="125" t="n">
        <f aca="false">ROW()-ROW(GanttView[[#Headers],[ID]])</f>
        <v>56</v>
      </c>
      <c r="M61" s="126" t="b">
        <f aca="false">IF(IFERROR(INDEX(tsk_Name,GanttView[[#This Row],[_Row]])="",TRUE()),FALSE(),INDEX(tsk_IsSummary,GanttView[[#This Row],[_Row]]))</f>
        <v>0</v>
      </c>
      <c r="N61" s="126" t="b">
        <f aca="false">IF(IFERROR(INDEX(tsk_Name,GanttView[[#This Row],[_Row]])="",TRUE()),FALSE(),AND(INDEX(tsk_IsLeaf,GanttView[[#This Row],[_Row]])=1,N(INDEX(tsk_Duration,GanttView[[#This Row],[_Row]]))=0))</f>
        <v>0</v>
      </c>
      <c r="O61" s="127" t="n">
        <f aca="false">IF(IFERROR(INDEX(tsk_Name,GanttView[[#This Row],[_Row]])="",TRUE()),0,IF(AND(INDEX(tsk_IsLeaf,GanttView[[#This Row],[_Row]])=1,NOT(GanttView[[#This Row],[_IsMilestone]]),N(GanttView[[#This Row],[%]])&gt;0),GanttView[[#This Row],[Forecast Start]],0))</f>
        <v>0</v>
      </c>
      <c r="P61" s="127" t="n">
        <f aca="false">IF(GanttView[[#This Row],[_DoneFrom]]=0,0,IF(GanttView[[#This Row],[%]]&gt;=1,GanttView[[#This Row],[Forecast Finish]],MAX(GanttView[[#This Row],[_DoneFrom]],GanttView[[#This Row],[Forecast Start]]+ROUND((GanttView[[#This Row],[Forecast Finish]]-GanttView[[#This Row],[Forecast Start]]+1)*GanttView[[#This Row],[%]],0)-1)))</f>
        <v>0</v>
      </c>
      <c r="Q61" s="127" t="n">
        <f aca="false">IF(IFERROR(INDEX(tsk_Name,GanttView[[#This Row],[_Row]])="",TRUE()),0,IF(OR(INDEX(tsk_IsLeaf,GanttView[[#This Row],[_Row]])&lt;&gt;1,GanttView[[#This Row],[_IsMilestone]],N(GanttView[[#This Row],[%]])&gt;=1),0,IF(GanttView[[#This Row],[_DoneTo]]&gt;0,GanttView[[#This Row],[_DoneTo]]+1,GanttView[[#This Row],[Forecast Start]])))</f>
        <v>0</v>
      </c>
      <c r="R61" s="127" t="n">
        <f aca="false">IF(GanttView[[#This Row],[_RemFrom]]=0,0,GanttView[[#This Row],[Forecast Finish]])</f>
        <v>0</v>
      </c>
      <c r="S61" s="126" t="b">
        <f aca="false">IF(IFERROR(INDEX(tsk_Name,GanttView[[#This Row],[_Row]])="",TRUE()),FALSE(),N(INDEX(tsk_Variance,GanttView[[#This Row],[_Row]]))&gt;0)</f>
        <v>0</v>
      </c>
      <c r="T61" s="127" t="n">
        <f aca="false">IF(IFERROR(INDEX(tsk_Name,GanttView[[#This Row],[_Row]])="",TRUE()),0,N(INDEX(tsk_Deadline,GanttView[[#This Row],[_Row]])))</f>
        <v>0</v>
      </c>
      <c r="U61" s="126" t="b">
        <f aca="false">IF(IFERROR(INDEX(tsk_Name,GanttView[[#This Row],[_Row]])="",TRUE()),FALSE(),INDEX(tsk_Critical,GanttView[[#This Row],[_Row]])="Yes")</f>
        <v>0</v>
      </c>
    </row>
    <row r="62" customFormat="false" ht="15" hidden="false" customHeight="false" outlineLevel="0" collapsed="false">
      <c r="A62" s="120" t="str">
        <f aca="false">IF(IFERROR(INDEX(tsk_Name,GanttView[[#This Row],[_Row]])="",TRUE()),"",INDEX(tsk_ID,GanttView[[#This Row],[_Row]]))</f>
        <v/>
      </c>
      <c r="B62" s="120" t="str">
        <f aca="false">IF(IFERROR(INDEX(tsk_Name,GanttView[[#This Row],[_Row]])="",TRUE()),"",INDEX(tsk_WBS,GanttView[[#This Row],[_Row]]))</f>
        <v/>
      </c>
      <c r="C62" s="121" t="str">
        <f aca="false">IF(IFERROR(INDEX(tsk_Name,GanttView[[#This Row],[_Row]])="",TRUE()),"",REPT("    ",INDEX(tsk_Level,GanttView[[#This Row],[_Row]])-1)&amp;INDEX(tsk_Name,GanttView[[#This Row],[_Row]]))</f>
        <v/>
      </c>
      <c r="D62" s="120" t="str">
        <f aca="false">IF(IFERROR(INDEX(tsk_Name,GanttView[[#This Row],[_Row]])="",TRUE()),"",IF(INDEX(tsk_IsSummary,GanttView[[#This Row],[_Row]]),NETWORKDAYS.INTL(INDEX(tsk_FcStart,GanttView[[#This Row],[_Row]]),INDEX(tsk_FcFinish,GanttView[[#This Row],[_Row]]),WorkWeek,Holidays),N(INDEX(tsk_Duration,GanttView[[#This Row],[_Row]]))))</f>
        <v/>
      </c>
      <c r="E62" s="122" t="str">
        <f aca="false">IF(IFERROR(INDEX(tsk_Name,GanttView[[#This Row],[_Row]])="",TRUE()),"",INDEX(tsk_PlanStart,GanttView[[#This Row],[_Row]]))</f>
        <v/>
      </c>
      <c r="F62" s="122" t="str">
        <f aca="false">IF(IFERROR(INDEX(tsk_Name,GanttView[[#This Row],[_Row]])="",TRUE()),"",INDEX(tsk_PlanFinish,GanttView[[#This Row],[_Row]]))</f>
        <v/>
      </c>
      <c r="G62" s="122" t="str">
        <f aca="false">IF(IFERROR(INDEX(tsk_Name,GanttView[[#This Row],[_Row]])="",TRUE()),"",INDEX(tsk_FcStart,GanttView[[#This Row],[_Row]]))</f>
        <v/>
      </c>
      <c r="H62" s="122" t="str">
        <f aca="false">IF(IFERROR(INDEX(tsk_Name,GanttView[[#This Row],[_Row]])="",TRUE()),"",INDEX(tsk_FcFinish,GanttView[[#This Row],[_Row]]))</f>
        <v/>
      </c>
      <c r="I62" s="123" t="str">
        <f aca="false">IF(IFERROR(INDEX(tsk_Name,GanttView[[#This Row],[_Row]])="",TRUE()),"",INDEX(tsk_Progress,GanttView[[#This Row],[_Row]]))</f>
        <v/>
      </c>
      <c r="J62" s="121" t="str">
        <f aca="false">IF(IFERROR(INDEX(tsk_Name,GanttView[[#This Row],[_Row]])="",TRUE()),"",INDEX(tsk_Resource,GanttView[[#This Row],[_Row]])&amp;"")</f>
        <v/>
      </c>
      <c r="K62" s="124" t="str">
        <f aca="false">IF(IFERROR(INDEX(tsk_Name,GanttView[[#This Row],[_Row]])="",TRUE()),"",INDEX(tsk_Status,GanttView[[#This Row],[_Row]]))</f>
        <v/>
      </c>
      <c r="L62" s="125" t="n">
        <f aca="false">ROW()-ROW(GanttView[[#Headers],[ID]])</f>
        <v>57</v>
      </c>
      <c r="M62" s="126" t="b">
        <f aca="false">IF(IFERROR(INDEX(tsk_Name,GanttView[[#This Row],[_Row]])="",TRUE()),FALSE(),INDEX(tsk_IsSummary,GanttView[[#This Row],[_Row]]))</f>
        <v>0</v>
      </c>
      <c r="N62" s="126" t="b">
        <f aca="false">IF(IFERROR(INDEX(tsk_Name,GanttView[[#This Row],[_Row]])="",TRUE()),FALSE(),AND(INDEX(tsk_IsLeaf,GanttView[[#This Row],[_Row]])=1,N(INDEX(tsk_Duration,GanttView[[#This Row],[_Row]]))=0))</f>
        <v>0</v>
      </c>
      <c r="O62" s="127" t="n">
        <f aca="false">IF(IFERROR(INDEX(tsk_Name,GanttView[[#This Row],[_Row]])="",TRUE()),0,IF(AND(INDEX(tsk_IsLeaf,GanttView[[#This Row],[_Row]])=1,NOT(GanttView[[#This Row],[_IsMilestone]]),N(GanttView[[#This Row],[%]])&gt;0),GanttView[[#This Row],[Forecast Start]],0))</f>
        <v>0</v>
      </c>
      <c r="P62" s="127" t="n">
        <f aca="false">IF(GanttView[[#This Row],[_DoneFrom]]=0,0,IF(GanttView[[#This Row],[%]]&gt;=1,GanttView[[#This Row],[Forecast Finish]],MAX(GanttView[[#This Row],[_DoneFrom]],GanttView[[#This Row],[Forecast Start]]+ROUND((GanttView[[#This Row],[Forecast Finish]]-GanttView[[#This Row],[Forecast Start]]+1)*GanttView[[#This Row],[%]],0)-1)))</f>
        <v>0</v>
      </c>
      <c r="Q62" s="127" t="n">
        <f aca="false">IF(IFERROR(INDEX(tsk_Name,GanttView[[#This Row],[_Row]])="",TRUE()),0,IF(OR(INDEX(tsk_IsLeaf,GanttView[[#This Row],[_Row]])&lt;&gt;1,GanttView[[#This Row],[_IsMilestone]],N(GanttView[[#This Row],[%]])&gt;=1),0,IF(GanttView[[#This Row],[_DoneTo]]&gt;0,GanttView[[#This Row],[_DoneTo]]+1,GanttView[[#This Row],[Forecast Start]])))</f>
        <v>0</v>
      </c>
      <c r="R62" s="127" t="n">
        <f aca="false">IF(GanttView[[#This Row],[_RemFrom]]=0,0,GanttView[[#This Row],[Forecast Finish]])</f>
        <v>0</v>
      </c>
      <c r="S62" s="126" t="b">
        <f aca="false">IF(IFERROR(INDEX(tsk_Name,GanttView[[#This Row],[_Row]])="",TRUE()),FALSE(),N(INDEX(tsk_Variance,GanttView[[#This Row],[_Row]]))&gt;0)</f>
        <v>0</v>
      </c>
      <c r="T62" s="127" t="n">
        <f aca="false">IF(IFERROR(INDEX(tsk_Name,GanttView[[#This Row],[_Row]])="",TRUE()),0,N(INDEX(tsk_Deadline,GanttView[[#This Row],[_Row]])))</f>
        <v>0</v>
      </c>
      <c r="U62" s="126" t="b">
        <f aca="false">IF(IFERROR(INDEX(tsk_Name,GanttView[[#This Row],[_Row]])="",TRUE()),FALSE(),INDEX(tsk_Critical,GanttView[[#This Row],[_Row]])="Yes")</f>
        <v>0</v>
      </c>
    </row>
    <row r="63" customFormat="false" ht="15" hidden="false" customHeight="false" outlineLevel="0" collapsed="false">
      <c r="A63" s="120" t="str">
        <f aca="false">IF(IFERROR(INDEX(tsk_Name,GanttView[[#This Row],[_Row]])="",TRUE()),"",INDEX(tsk_ID,GanttView[[#This Row],[_Row]]))</f>
        <v/>
      </c>
      <c r="B63" s="120" t="str">
        <f aca="false">IF(IFERROR(INDEX(tsk_Name,GanttView[[#This Row],[_Row]])="",TRUE()),"",INDEX(tsk_WBS,GanttView[[#This Row],[_Row]]))</f>
        <v/>
      </c>
      <c r="C63" s="121" t="str">
        <f aca="false">IF(IFERROR(INDEX(tsk_Name,GanttView[[#This Row],[_Row]])="",TRUE()),"",REPT("    ",INDEX(tsk_Level,GanttView[[#This Row],[_Row]])-1)&amp;INDEX(tsk_Name,GanttView[[#This Row],[_Row]]))</f>
        <v/>
      </c>
      <c r="D63" s="120" t="str">
        <f aca="false">IF(IFERROR(INDEX(tsk_Name,GanttView[[#This Row],[_Row]])="",TRUE()),"",IF(INDEX(tsk_IsSummary,GanttView[[#This Row],[_Row]]),NETWORKDAYS.INTL(INDEX(tsk_FcStart,GanttView[[#This Row],[_Row]]),INDEX(tsk_FcFinish,GanttView[[#This Row],[_Row]]),WorkWeek,Holidays),N(INDEX(tsk_Duration,GanttView[[#This Row],[_Row]]))))</f>
        <v/>
      </c>
      <c r="E63" s="122" t="str">
        <f aca="false">IF(IFERROR(INDEX(tsk_Name,GanttView[[#This Row],[_Row]])="",TRUE()),"",INDEX(tsk_PlanStart,GanttView[[#This Row],[_Row]]))</f>
        <v/>
      </c>
      <c r="F63" s="122" t="str">
        <f aca="false">IF(IFERROR(INDEX(tsk_Name,GanttView[[#This Row],[_Row]])="",TRUE()),"",INDEX(tsk_PlanFinish,GanttView[[#This Row],[_Row]]))</f>
        <v/>
      </c>
      <c r="G63" s="122" t="str">
        <f aca="false">IF(IFERROR(INDEX(tsk_Name,GanttView[[#This Row],[_Row]])="",TRUE()),"",INDEX(tsk_FcStart,GanttView[[#This Row],[_Row]]))</f>
        <v/>
      </c>
      <c r="H63" s="122" t="str">
        <f aca="false">IF(IFERROR(INDEX(tsk_Name,GanttView[[#This Row],[_Row]])="",TRUE()),"",INDEX(tsk_FcFinish,GanttView[[#This Row],[_Row]]))</f>
        <v/>
      </c>
      <c r="I63" s="123" t="str">
        <f aca="false">IF(IFERROR(INDEX(tsk_Name,GanttView[[#This Row],[_Row]])="",TRUE()),"",INDEX(tsk_Progress,GanttView[[#This Row],[_Row]]))</f>
        <v/>
      </c>
      <c r="J63" s="121" t="str">
        <f aca="false">IF(IFERROR(INDEX(tsk_Name,GanttView[[#This Row],[_Row]])="",TRUE()),"",INDEX(tsk_Resource,GanttView[[#This Row],[_Row]])&amp;"")</f>
        <v/>
      </c>
      <c r="K63" s="124" t="str">
        <f aca="false">IF(IFERROR(INDEX(tsk_Name,GanttView[[#This Row],[_Row]])="",TRUE()),"",INDEX(tsk_Status,GanttView[[#This Row],[_Row]]))</f>
        <v/>
      </c>
      <c r="L63" s="125" t="n">
        <f aca="false">ROW()-ROW(GanttView[[#Headers],[ID]])</f>
        <v>58</v>
      </c>
      <c r="M63" s="126" t="b">
        <f aca="false">IF(IFERROR(INDEX(tsk_Name,GanttView[[#This Row],[_Row]])="",TRUE()),FALSE(),INDEX(tsk_IsSummary,GanttView[[#This Row],[_Row]]))</f>
        <v>0</v>
      </c>
      <c r="N63" s="126" t="b">
        <f aca="false">IF(IFERROR(INDEX(tsk_Name,GanttView[[#This Row],[_Row]])="",TRUE()),FALSE(),AND(INDEX(tsk_IsLeaf,GanttView[[#This Row],[_Row]])=1,N(INDEX(tsk_Duration,GanttView[[#This Row],[_Row]]))=0))</f>
        <v>0</v>
      </c>
      <c r="O63" s="127" t="n">
        <f aca="false">IF(IFERROR(INDEX(tsk_Name,GanttView[[#This Row],[_Row]])="",TRUE()),0,IF(AND(INDEX(tsk_IsLeaf,GanttView[[#This Row],[_Row]])=1,NOT(GanttView[[#This Row],[_IsMilestone]]),N(GanttView[[#This Row],[%]])&gt;0),GanttView[[#This Row],[Forecast Start]],0))</f>
        <v>0</v>
      </c>
      <c r="P63" s="127" t="n">
        <f aca="false">IF(GanttView[[#This Row],[_DoneFrom]]=0,0,IF(GanttView[[#This Row],[%]]&gt;=1,GanttView[[#This Row],[Forecast Finish]],MAX(GanttView[[#This Row],[_DoneFrom]],GanttView[[#This Row],[Forecast Start]]+ROUND((GanttView[[#This Row],[Forecast Finish]]-GanttView[[#This Row],[Forecast Start]]+1)*GanttView[[#This Row],[%]],0)-1)))</f>
        <v>0</v>
      </c>
      <c r="Q63" s="127" t="n">
        <f aca="false">IF(IFERROR(INDEX(tsk_Name,GanttView[[#This Row],[_Row]])="",TRUE()),0,IF(OR(INDEX(tsk_IsLeaf,GanttView[[#This Row],[_Row]])&lt;&gt;1,GanttView[[#This Row],[_IsMilestone]],N(GanttView[[#This Row],[%]])&gt;=1),0,IF(GanttView[[#This Row],[_DoneTo]]&gt;0,GanttView[[#This Row],[_DoneTo]]+1,GanttView[[#This Row],[Forecast Start]])))</f>
        <v>0</v>
      </c>
      <c r="R63" s="127" t="n">
        <f aca="false">IF(GanttView[[#This Row],[_RemFrom]]=0,0,GanttView[[#This Row],[Forecast Finish]])</f>
        <v>0</v>
      </c>
      <c r="S63" s="126" t="b">
        <f aca="false">IF(IFERROR(INDEX(tsk_Name,GanttView[[#This Row],[_Row]])="",TRUE()),FALSE(),N(INDEX(tsk_Variance,GanttView[[#This Row],[_Row]]))&gt;0)</f>
        <v>0</v>
      </c>
      <c r="T63" s="127" t="n">
        <f aca="false">IF(IFERROR(INDEX(tsk_Name,GanttView[[#This Row],[_Row]])="",TRUE()),0,N(INDEX(tsk_Deadline,GanttView[[#This Row],[_Row]])))</f>
        <v>0</v>
      </c>
      <c r="U63" s="126" t="b">
        <f aca="false">IF(IFERROR(INDEX(tsk_Name,GanttView[[#This Row],[_Row]])="",TRUE()),FALSE(),INDEX(tsk_Critical,GanttView[[#This Row],[_Row]])="Yes")</f>
        <v>0</v>
      </c>
    </row>
    <row r="64" customFormat="false" ht="15" hidden="false" customHeight="false" outlineLevel="0" collapsed="false">
      <c r="A64" s="120" t="str">
        <f aca="false">IF(IFERROR(INDEX(tsk_Name,GanttView[[#This Row],[_Row]])="",TRUE()),"",INDEX(tsk_ID,GanttView[[#This Row],[_Row]]))</f>
        <v/>
      </c>
      <c r="B64" s="120" t="str">
        <f aca="false">IF(IFERROR(INDEX(tsk_Name,GanttView[[#This Row],[_Row]])="",TRUE()),"",INDEX(tsk_WBS,GanttView[[#This Row],[_Row]]))</f>
        <v/>
      </c>
      <c r="C64" s="121" t="str">
        <f aca="false">IF(IFERROR(INDEX(tsk_Name,GanttView[[#This Row],[_Row]])="",TRUE()),"",REPT("    ",INDEX(tsk_Level,GanttView[[#This Row],[_Row]])-1)&amp;INDEX(tsk_Name,GanttView[[#This Row],[_Row]]))</f>
        <v/>
      </c>
      <c r="D64" s="120" t="str">
        <f aca="false">IF(IFERROR(INDEX(tsk_Name,GanttView[[#This Row],[_Row]])="",TRUE()),"",IF(INDEX(tsk_IsSummary,GanttView[[#This Row],[_Row]]),NETWORKDAYS.INTL(INDEX(tsk_FcStart,GanttView[[#This Row],[_Row]]),INDEX(tsk_FcFinish,GanttView[[#This Row],[_Row]]),WorkWeek,Holidays),N(INDEX(tsk_Duration,GanttView[[#This Row],[_Row]]))))</f>
        <v/>
      </c>
      <c r="E64" s="122" t="str">
        <f aca="false">IF(IFERROR(INDEX(tsk_Name,GanttView[[#This Row],[_Row]])="",TRUE()),"",INDEX(tsk_PlanStart,GanttView[[#This Row],[_Row]]))</f>
        <v/>
      </c>
      <c r="F64" s="122" t="str">
        <f aca="false">IF(IFERROR(INDEX(tsk_Name,GanttView[[#This Row],[_Row]])="",TRUE()),"",INDEX(tsk_PlanFinish,GanttView[[#This Row],[_Row]]))</f>
        <v/>
      </c>
      <c r="G64" s="122" t="str">
        <f aca="false">IF(IFERROR(INDEX(tsk_Name,GanttView[[#This Row],[_Row]])="",TRUE()),"",INDEX(tsk_FcStart,GanttView[[#This Row],[_Row]]))</f>
        <v/>
      </c>
      <c r="H64" s="122" t="str">
        <f aca="false">IF(IFERROR(INDEX(tsk_Name,GanttView[[#This Row],[_Row]])="",TRUE()),"",INDEX(tsk_FcFinish,GanttView[[#This Row],[_Row]]))</f>
        <v/>
      </c>
      <c r="I64" s="123" t="str">
        <f aca="false">IF(IFERROR(INDEX(tsk_Name,GanttView[[#This Row],[_Row]])="",TRUE()),"",INDEX(tsk_Progress,GanttView[[#This Row],[_Row]]))</f>
        <v/>
      </c>
      <c r="J64" s="121" t="str">
        <f aca="false">IF(IFERROR(INDEX(tsk_Name,GanttView[[#This Row],[_Row]])="",TRUE()),"",INDEX(tsk_Resource,GanttView[[#This Row],[_Row]])&amp;"")</f>
        <v/>
      </c>
      <c r="K64" s="124" t="str">
        <f aca="false">IF(IFERROR(INDEX(tsk_Name,GanttView[[#This Row],[_Row]])="",TRUE()),"",INDEX(tsk_Status,GanttView[[#This Row],[_Row]]))</f>
        <v/>
      </c>
      <c r="L64" s="125" t="n">
        <f aca="false">ROW()-ROW(GanttView[[#Headers],[ID]])</f>
        <v>59</v>
      </c>
      <c r="M64" s="126" t="b">
        <f aca="false">IF(IFERROR(INDEX(tsk_Name,GanttView[[#This Row],[_Row]])="",TRUE()),FALSE(),INDEX(tsk_IsSummary,GanttView[[#This Row],[_Row]]))</f>
        <v>0</v>
      </c>
      <c r="N64" s="126" t="b">
        <f aca="false">IF(IFERROR(INDEX(tsk_Name,GanttView[[#This Row],[_Row]])="",TRUE()),FALSE(),AND(INDEX(tsk_IsLeaf,GanttView[[#This Row],[_Row]])=1,N(INDEX(tsk_Duration,GanttView[[#This Row],[_Row]]))=0))</f>
        <v>0</v>
      </c>
      <c r="O64" s="127" t="n">
        <f aca="false">IF(IFERROR(INDEX(tsk_Name,GanttView[[#This Row],[_Row]])="",TRUE()),0,IF(AND(INDEX(tsk_IsLeaf,GanttView[[#This Row],[_Row]])=1,NOT(GanttView[[#This Row],[_IsMilestone]]),N(GanttView[[#This Row],[%]])&gt;0),GanttView[[#This Row],[Forecast Start]],0))</f>
        <v>0</v>
      </c>
      <c r="P64" s="127" t="n">
        <f aca="false">IF(GanttView[[#This Row],[_DoneFrom]]=0,0,IF(GanttView[[#This Row],[%]]&gt;=1,GanttView[[#This Row],[Forecast Finish]],MAX(GanttView[[#This Row],[_DoneFrom]],GanttView[[#This Row],[Forecast Start]]+ROUND((GanttView[[#This Row],[Forecast Finish]]-GanttView[[#This Row],[Forecast Start]]+1)*GanttView[[#This Row],[%]],0)-1)))</f>
        <v>0</v>
      </c>
      <c r="Q64" s="127" t="n">
        <f aca="false">IF(IFERROR(INDEX(tsk_Name,GanttView[[#This Row],[_Row]])="",TRUE()),0,IF(OR(INDEX(tsk_IsLeaf,GanttView[[#This Row],[_Row]])&lt;&gt;1,GanttView[[#This Row],[_IsMilestone]],N(GanttView[[#This Row],[%]])&gt;=1),0,IF(GanttView[[#This Row],[_DoneTo]]&gt;0,GanttView[[#This Row],[_DoneTo]]+1,GanttView[[#This Row],[Forecast Start]])))</f>
        <v>0</v>
      </c>
      <c r="R64" s="127" t="n">
        <f aca="false">IF(GanttView[[#This Row],[_RemFrom]]=0,0,GanttView[[#This Row],[Forecast Finish]])</f>
        <v>0</v>
      </c>
      <c r="S64" s="126" t="b">
        <f aca="false">IF(IFERROR(INDEX(tsk_Name,GanttView[[#This Row],[_Row]])="",TRUE()),FALSE(),N(INDEX(tsk_Variance,GanttView[[#This Row],[_Row]]))&gt;0)</f>
        <v>0</v>
      </c>
      <c r="T64" s="127" t="n">
        <f aca="false">IF(IFERROR(INDEX(tsk_Name,GanttView[[#This Row],[_Row]])="",TRUE()),0,N(INDEX(tsk_Deadline,GanttView[[#This Row],[_Row]])))</f>
        <v>0</v>
      </c>
      <c r="U64" s="126" t="b">
        <f aca="false">IF(IFERROR(INDEX(tsk_Name,GanttView[[#This Row],[_Row]])="",TRUE()),FALSE(),INDEX(tsk_Critical,GanttView[[#This Row],[_Row]])="Yes")</f>
        <v>0</v>
      </c>
    </row>
    <row r="65" customFormat="false" ht="15" hidden="false" customHeight="false" outlineLevel="0" collapsed="false">
      <c r="A65" s="120" t="str">
        <f aca="false">IF(IFERROR(INDEX(tsk_Name,GanttView[[#This Row],[_Row]])="",TRUE()),"",INDEX(tsk_ID,GanttView[[#This Row],[_Row]]))</f>
        <v/>
      </c>
      <c r="B65" s="120" t="str">
        <f aca="false">IF(IFERROR(INDEX(tsk_Name,GanttView[[#This Row],[_Row]])="",TRUE()),"",INDEX(tsk_WBS,GanttView[[#This Row],[_Row]]))</f>
        <v/>
      </c>
      <c r="C65" s="121" t="str">
        <f aca="false">IF(IFERROR(INDEX(tsk_Name,GanttView[[#This Row],[_Row]])="",TRUE()),"",REPT("    ",INDEX(tsk_Level,GanttView[[#This Row],[_Row]])-1)&amp;INDEX(tsk_Name,GanttView[[#This Row],[_Row]]))</f>
        <v/>
      </c>
      <c r="D65" s="120" t="str">
        <f aca="false">IF(IFERROR(INDEX(tsk_Name,GanttView[[#This Row],[_Row]])="",TRUE()),"",IF(INDEX(tsk_IsSummary,GanttView[[#This Row],[_Row]]),NETWORKDAYS.INTL(INDEX(tsk_FcStart,GanttView[[#This Row],[_Row]]),INDEX(tsk_FcFinish,GanttView[[#This Row],[_Row]]),WorkWeek,Holidays),N(INDEX(tsk_Duration,GanttView[[#This Row],[_Row]]))))</f>
        <v/>
      </c>
      <c r="E65" s="122" t="str">
        <f aca="false">IF(IFERROR(INDEX(tsk_Name,GanttView[[#This Row],[_Row]])="",TRUE()),"",INDEX(tsk_PlanStart,GanttView[[#This Row],[_Row]]))</f>
        <v/>
      </c>
      <c r="F65" s="122" t="str">
        <f aca="false">IF(IFERROR(INDEX(tsk_Name,GanttView[[#This Row],[_Row]])="",TRUE()),"",INDEX(tsk_PlanFinish,GanttView[[#This Row],[_Row]]))</f>
        <v/>
      </c>
      <c r="G65" s="122" t="str">
        <f aca="false">IF(IFERROR(INDEX(tsk_Name,GanttView[[#This Row],[_Row]])="",TRUE()),"",INDEX(tsk_FcStart,GanttView[[#This Row],[_Row]]))</f>
        <v/>
      </c>
      <c r="H65" s="122" t="str">
        <f aca="false">IF(IFERROR(INDEX(tsk_Name,GanttView[[#This Row],[_Row]])="",TRUE()),"",INDEX(tsk_FcFinish,GanttView[[#This Row],[_Row]]))</f>
        <v/>
      </c>
      <c r="I65" s="123" t="str">
        <f aca="false">IF(IFERROR(INDEX(tsk_Name,GanttView[[#This Row],[_Row]])="",TRUE()),"",INDEX(tsk_Progress,GanttView[[#This Row],[_Row]]))</f>
        <v/>
      </c>
      <c r="J65" s="121" t="str">
        <f aca="false">IF(IFERROR(INDEX(tsk_Name,GanttView[[#This Row],[_Row]])="",TRUE()),"",INDEX(tsk_Resource,GanttView[[#This Row],[_Row]])&amp;"")</f>
        <v/>
      </c>
      <c r="K65" s="124" t="str">
        <f aca="false">IF(IFERROR(INDEX(tsk_Name,GanttView[[#This Row],[_Row]])="",TRUE()),"",INDEX(tsk_Status,GanttView[[#This Row],[_Row]]))</f>
        <v/>
      </c>
      <c r="L65" s="125" t="n">
        <f aca="false">ROW()-ROW(GanttView[[#Headers],[ID]])</f>
        <v>60</v>
      </c>
      <c r="M65" s="126" t="b">
        <f aca="false">IF(IFERROR(INDEX(tsk_Name,GanttView[[#This Row],[_Row]])="",TRUE()),FALSE(),INDEX(tsk_IsSummary,GanttView[[#This Row],[_Row]]))</f>
        <v>0</v>
      </c>
      <c r="N65" s="126" t="b">
        <f aca="false">IF(IFERROR(INDEX(tsk_Name,GanttView[[#This Row],[_Row]])="",TRUE()),FALSE(),AND(INDEX(tsk_IsLeaf,GanttView[[#This Row],[_Row]])=1,N(INDEX(tsk_Duration,GanttView[[#This Row],[_Row]]))=0))</f>
        <v>0</v>
      </c>
      <c r="O65" s="127" t="n">
        <f aca="false">IF(IFERROR(INDEX(tsk_Name,GanttView[[#This Row],[_Row]])="",TRUE()),0,IF(AND(INDEX(tsk_IsLeaf,GanttView[[#This Row],[_Row]])=1,NOT(GanttView[[#This Row],[_IsMilestone]]),N(GanttView[[#This Row],[%]])&gt;0),GanttView[[#This Row],[Forecast Start]],0))</f>
        <v>0</v>
      </c>
      <c r="P65" s="127" t="n">
        <f aca="false">IF(GanttView[[#This Row],[_DoneFrom]]=0,0,IF(GanttView[[#This Row],[%]]&gt;=1,GanttView[[#This Row],[Forecast Finish]],MAX(GanttView[[#This Row],[_DoneFrom]],GanttView[[#This Row],[Forecast Start]]+ROUND((GanttView[[#This Row],[Forecast Finish]]-GanttView[[#This Row],[Forecast Start]]+1)*GanttView[[#This Row],[%]],0)-1)))</f>
        <v>0</v>
      </c>
      <c r="Q65" s="127" t="n">
        <f aca="false">IF(IFERROR(INDEX(tsk_Name,GanttView[[#This Row],[_Row]])="",TRUE()),0,IF(OR(INDEX(tsk_IsLeaf,GanttView[[#This Row],[_Row]])&lt;&gt;1,GanttView[[#This Row],[_IsMilestone]],N(GanttView[[#This Row],[%]])&gt;=1),0,IF(GanttView[[#This Row],[_DoneTo]]&gt;0,GanttView[[#This Row],[_DoneTo]]+1,GanttView[[#This Row],[Forecast Start]])))</f>
        <v>0</v>
      </c>
      <c r="R65" s="127" t="n">
        <f aca="false">IF(GanttView[[#This Row],[_RemFrom]]=0,0,GanttView[[#This Row],[Forecast Finish]])</f>
        <v>0</v>
      </c>
      <c r="S65" s="126" t="b">
        <f aca="false">IF(IFERROR(INDEX(tsk_Name,GanttView[[#This Row],[_Row]])="",TRUE()),FALSE(),N(INDEX(tsk_Variance,GanttView[[#This Row],[_Row]]))&gt;0)</f>
        <v>0</v>
      </c>
      <c r="T65" s="127" t="n">
        <f aca="false">IF(IFERROR(INDEX(tsk_Name,GanttView[[#This Row],[_Row]])="",TRUE()),0,N(INDEX(tsk_Deadline,GanttView[[#This Row],[_Row]])))</f>
        <v>0</v>
      </c>
      <c r="U65" s="126" t="b">
        <f aca="false">IF(IFERROR(INDEX(tsk_Name,GanttView[[#This Row],[_Row]])="",TRUE()),FALSE(),INDEX(tsk_Critical,GanttView[[#This Row],[_Row]])="Yes")</f>
        <v>0</v>
      </c>
    </row>
    <row r="66" customFormat="false" ht="15" hidden="false" customHeight="false" outlineLevel="0" collapsed="false">
      <c r="A66" s="120" t="str">
        <f aca="false">IF(IFERROR(INDEX(tsk_Name,GanttView[[#This Row],[_Row]])="",TRUE()),"",INDEX(tsk_ID,GanttView[[#This Row],[_Row]]))</f>
        <v/>
      </c>
      <c r="B66" s="120" t="str">
        <f aca="false">IF(IFERROR(INDEX(tsk_Name,GanttView[[#This Row],[_Row]])="",TRUE()),"",INDEX(tsk_WBS,GanttView[[#This Row],[_Row]]))</f>
        <v/>
      </c>
      <c r="C66" s="121" t="str">
        <f aca="false">IF(IFERROR(INDEX(tsk_Name,GanttView[[#This Row],[_Row]])="",TRUE()),"",REPT("    ",INDEX(tsk_Level,GanttView[[#This Row],[_Row]])-1)&amp;INDEX(tsk_Name,GanttView[[#This Row],[_Row]]))</f>
        <v/>
      </c>
      <c r="D66" s="120" t="str">
        <f aca="false">IF(IFERROR(INDEX(tsk_Name,GanttView[[#This Row],[_Row]])="",TRUE()),"",IF(INDEX(tsk_IsSummary,GanttView[[#This Row],[_Row]]),NETWORKDAYS.INTL(INDEX(tsk_FcStart,GanttView[[#This Row],[_Row]]),INDEX(tsk_FcFinish,GanttView[[#This Row],[_Row]]),WorkWeek,Holidays),N(INDEX(tsk_Duration,GanttView[[#This Row],[_Row]]))))</f>
        <v/>
      </c>
      <c r="E66" s="122" t="str">
        <f aca="false">IF(IFERROR(INDEX(tsk_Name,GanttView[[#This Row],[_Row]])="",TRUE()),"",INDEX(tsk_PlanStart,GanttView[[#This Row],[_Row]]))</f>
        <v/>
      </c>
      <c r="F66" s="122" t="str">
        <f aca="false">IF(IFERROR(INDEX(tsk_Name,GanttView[[#This Row],[_Row]])="",TRUE()),"",INDEX(tsk_PlanFinish,GanttView[[#This Row],[_Row]]))</f>
        <v/>
      </c>
      <c r="G66" s="122" t="str">
        <f aca="false">IF(IFERROR(INDEX(tsk_Name,GanttView[[#This Row],[_Row]])="",TRUE()),"",INDEX(tsk_FcStart,GanttView[[#This Row],[_Row]]))</f>
        <v/>
      </c>
      <c r="H66" s="122" t="str">
        <f aca="false">IF(IFERROR(INDEX(tsk_Name,GanttView[[#This Row],[_Row]])="",TRUE()),"",INDEX(tsk_FcFinish,GanttView[[#This Row],[_Row]]))</f>
        <v/>
      </c>
      <c r="I66" s="123" t="str">
        <f aca="false">IF(IFERROR(INDEX(tsk_Name,GanttView[[#This Row],[_Row]])="",TRUE()),"",INDEX(tsk_Progress,GanttView[[#This Row],[_Row]]))</f>
        <v/>
      </c>
      <c r="J66" s="121" t="str">
        <f aca="false">IF(IFERROR(INDEX(tsk_Name,GanttView[[#This Row],[_Row]])="",TRUE()),"",INDEX(tsk_Resource,GanttView[[#This Row],[_Row]])&amp;"")</f>
        <v/>
      </c>
      <c r="K66" s="124" t="str">
        <f aca="false">IF(IFERROR(INDEX(tsk_Name,GanttView[[#This Row],[_Row]])="",TRUE()),"",INDEX(tsk_Status,GanttView[[#This Row],[_Row]]))</f>
        <v/>
      </c>
      <c r="L66" s="125" t="n">
        <f aca="false">ROW()-ROW(GanttView[[#Headers],[ID]])</f>
        <v>61</v>
      </c>
      <c r="M66" s="126" t="b">
        <f aca="false">IF(IFERROR(INDEX(tsk_Name,GanttView[[#This Row],[_Row]])="",TRUE()),FALSE(),INDEX(tsk_IsSummary,GanttView[[#This Row],[_Row]]))</f>
        <v>0</v>
      </c>
      <c r="N66" s="126" t="b">
        <f aca="false">IF(IFERROR(INDEX(tsk_Name,GanttView[[#This Row],[_Row]])="",TRUE()),FALSE(),AND(INDEX(tsk_IsLeaf,GanttView[[#This Row],[_Row]])=1,N(INDEX(tsk_Duration,GanttView[[#This Row],[_Row]]))=0))</f>
        <v>0</v>
      </c>
      <c r="O66" s="127" t="n">
        <f aca="false">IF(IFERROR(INDEX(tsk_Name,GanttView[[#This Row],[_Row]])="",TRUE()),0,IF(AND(INDEX(tsk_IsLeaf,GanttView[[#This Row],[_Row]])=1,NOT(GanttView[[#This Row],[_IsMilestone]]),N(GanttView[[#This Row],[%]])&gt;0),GanttView[[#This Row],[Forecast Start]],0))</f>
        <v>0</v>
      </c>
      <c r="P66" s="127" t="n">
        <f aca="false">IF(GanttView[[#This Row],[_DoneFrom]]=0,0,IF(GanttView[[#This Row],[%]]&gt;=1,GanttView[[#This Row],[Forecast Finish]],MAX(GanttView[[#This Row],[_DoneFrom]],GanttView[[#This Row],[Forecast Start]]+ROUND((GanttView[[#This Row],[Forecast Finish]]-GanttView[[#This Row],[Forecast Start]]+1)*GanttView[[#This Row],[%]],0)-1)))</f>
        <v>0</v>
      </c>
      <c r="Q66" s="127" t="n">
        <f aca="false">IF(IFERROR(INDEX(tsk_Name,GanttView[[#This Row],[_Row]])="",TRUE()),0,IF(OR(INDEX(tsk_IsLeaf,GanttView[[#This Row],[_Row]])&lt;&gt;1,GanttView[[#This Row],[_IsMilestone]],N(GanttView[[#This Row],[%]])&gt;=1),0,IF(GanttView[[#This Row],[_DoneTo]]&gt;0,GanttView[[#This Row],[_DoneTo]]+1,GanttView[[#This Row],[Forecast Start]])))</f>
        <v>0</v>
      </c>
      <c r="R66" s="127" t="n">
        <f aca="false">IF(GanttView[[#This Row],[_RemFrom]]=0,0,GanttView[[#This Row],[Forecast Finish]])</f>
        <v>0</v>
      </c>
      <c r="S66" s="126" t="b">
        <f aca="false">IF(IFERROR(INDEX(tsk_Name,GanttView[[#This Row],[_Row]])="",TRUE()),FALSE(),N(INDEX(tsk_Variance,GanttView[[#This Row],[_Row]]))&gt;0)</f>
        <v>0</v>
      </c>
      <c r="T66" s="127" t="n">
        <f aca="false">IF(IFERROR(INDEX(tsk_Name,GanttView[[#This Row],[_Row]])="",TRUE()),0,N(INDEX(tsk_Deadline,GanttView[[#This Row],[_Row]])))</f>
        <v>0</v>
      </c>
      <c r="U66" s="126" t="b">
        <f aca="false">IF(IFERROR(INDEX(tsk_Name,GanttView[[#This Row],[_Row]])="",TRUE()),FALSE(),INDEX(tsk_Critical,GanttView[[#This Row],[_Row]])="Yes")</f>
        <v>0</v>
      </c>
    </row>
    <row r="67" customFormat="false" ht="15" hidden="false" customHeight="false" outlineLevel="0" collapsed="false">
      <c r="A67" s="120" t="str">
        <f aca="false">IF(IFERROR(INDEX(tsk_Name,GanttView[[#This Row],[_Row]])="",TRUE()),"",INDEX(tsk_ID,GanttView[[#This Row],[_Row]]))</f>
        <v/>
      </c>
      <c r="B67" s="120" t="str">
        <f aca="false">IF(IFERROR(INDEX(tsk_Name,GanttView[[#This Row],[_Row]])="",TRUE()),"",INDEX(tsk_WBS,GanttView[[#This Row],[_Row]]))</f>
        <v/>
      </c>
      <c r="C67" s="121" t="str">
        <f aca="false">IF(IFERROR(INDEX(tsk_Name,GanttView[[#This Row],[_Row]])="",TRUE()),"",REPT("    ",INDEX(tsk_Level,GanttView[[#This Row],[_Row]])-1)&amp;INDEX(tsk_Name,GanttView[[#This Row],[_Row]]))</f>
        <v/>
      </c>
      <c r="D67" s="120" t="str">
        <f aca="false">IF(IFERROR(INDEX(tsk_Name,GanttView[[#This Row],[_Row]])="",TRUE()),"",IF(INDEX(tsk_IsSummary,GanttView[[#This Row],[_Row]]),NETWORKDAYS.INTL(INDEX(tsk_FcStart,GanttView[[#This Row],[_Row]]),INDEX(tsk_FcFinish,GanttView[[#This Row],[_Row]]),WorkWeek,Holidays),N(INDEX(tsk_Duration,GanttView[[#This Row],[_Row]]))))</f>
        <v/>
      </c>
      <c r="E67" s="122" t="str">
        <f aca="false">IF(IFERROR(INDEX(tsk_Name,GanttView[[#This Row],[_Row]])="",TRUE()),"",INDEX(tsk_PlanStart,GanttView[[#This Row],[_Row]]))</f>
        <v/>
      </c>
      <c r="F67" s="122" t="str">
        <f aca="false">IF(IFERROR(INDEX(tsk_Name,GanttView[[#This Row],[_Row]])="",TRUE()),"",INDEX(tsk_PlanFinish,GanttView[[#This Row],[_Row]]))</f>
        <v/>
      </c>
      <c r="G67" s="122" t="str">
        <f aca="false">IF(IFERROR(INDEX(tsk_Name,GanttView[[#This Row],[_Row]])="",TRUE()),"",INDEX(tsk_FcStart,GanttView[[#This Row],[_Row]]))</f>
        <v/>
      </c>
      <c r="H67" s="122" t="str">
        <f aca="false">IF(IFERROR(INDEX(tsk_Name,GanttView[[#This Row],[_Row]])="",TRUE()),"",INDEX(tsk_FcFinish,GanttView[[#This Row],[_Row]]))</f>
        <v/>
      </c>
      <c r="I67" s="123" t="str">
        <f aca="false">IF(IFERROR(INDEX(tsk_Name,GanttView[[#This Row],[_Row]])="",TRUE()),"",INDEX(tsk_Progress,GanttView[[#This Row],[_Row]]))</f>
        <v/>
      </c>
      <c r="J67" s="121" t="str">
        <f aca="false">IF(IFERROR(INDEX(tsk_Name,GanttView[[#This Row],[_Row]])="",TRUE()),"",INDEX(tsk_Resource,GanttView[[#This Row],[_Row]])&amp;"")</f>
        <v/>
      </c>
      <c r="K67" s="124" t="str">
        <f aca="false">IF(IFERROR(INDEX(tsk_Name,GanttView[[#This Row],[_Row]])="",TRUE()),"",INDEX(tsk_Status,GanttView[[#This Row],[_Row]]))</f>
        <v/>
      </c>
      <c r="L67" s="125" t="n">
        <f aca="false">ROW()-ROW(GanttView[[#Headers],[ID]])</f>
        <v>62</v>
      </c>
      <c r="M67" s="126" t="b">
        <f aca="false">IF(IFERROR(INDEX(tsk_Name,GanttView[[#This Row],[_Row]])="",TRUE()),FALSE(),INDEX(tsk_IsSummary,GanttView[[#This Row],[_Row]]))</f>
        <v>0</v>
      </c>
      <c r="N67" s="126" t="b">
        <f aca="false">IF(IFERROR(INDEX(tsk_Name,GanttView[[#This Row],[_Row]])="",TRUE()),FALSE(),AND(INDEX(tsk_IsLeaf,GanttView[[#This Row],[_Row]])=1,N(INDEX(tsk_Duration,GanttView[[#This Row],[_Row]]))=0))</f>
        <v>0</v>
      </c>
      <c r="O67" s="127" t="n">
        <f aca="false">IF(IFERROR(INDEX(tsk_Name,GanttView[[#This Row],[_Row]])="",TRUE()),0,IF(AND(INDEX(tsk_IsLeaf,GanttView[[#This Row],[_Row]])=1,NOT(GanttView[[#This Row],[_IsMilestone]]),N(GanttView[[#This Row],[%]])&gt;0),GanttView[[#This Row],[Forecast Start]],0))</f>
        <v>0</v>
      </c>
      <c r="P67" s="127" t="n">
        <f aca="false">IF(GanttView[[#This Row],[_DoneFrom]]=0,0,IF(GanttView[[#This Row],[%]]&gt;=1,GanttView[[#This Row],[Forecast Finish]],MAX(GanttView[[#This Row],[_DoneFrom]],GanttView[[#This Row],[Forecast Start]]+ROUND((GanttView[[#This Row],[Forecast Finish]]-GanttView[[#This Row],[Forecast Start]]+1)*GanttView[[#This Row],[%]],0)-1)))</f>
        <v>0</v>
      </c>
      <c r="Q67" s="127" t="n">
        <f aca="false">IF(IFERROR(INDEX(tsk_Name,GanttView[[#This Row],[_Row]])="",TRUE()),0,IF(OR(INDEX(tsk_IsLeaf,GanttView[[#This Row],[_Row]])&lt;&gt;1,GanttView[[#This Row],[_IsMilestone]],N(GanttView[[#This Row],[%]])&gt;=1),0,IF(GanttView[[#This Row],[_DoneTo]]&gt;0,GanttView[[#This Row],[_DoneTo]]+1,GanttView[[#This Row],[Forecast Start]])))</f>
        <v>0</v>
      </c>
      <c r="R67" s="127" t="n">
        <f aca="false">IF(GanttView[[#This Row],[_RemFrom]]=0,0,GanttView[[#This Row],[Forecast Finish]])</f>
        <v>0</v>
      </c>
      <c r="S67" s="126" t="b">
        <f aca="false">IF(IFERROR(INDEX(tsk_Name,GanttView[[#This Row],[_Row]])="",TRUE()),FALSE(),N(INDEX(tsk_Variance,GanttView[[#This Row],[_Row]]))&gt;0)</f>
        <v>0</v>
      </c>
      <c r="T67" s="127" t="n">
        <f aca="false">IF(IFERROR(INDEX(tsk_Name,GanttView[[#This Row],[_Row]])="",TRUE()),0,N(INDEX(tsk_Deadline,GanttView[[#This Row],[_Row]])))</f>
        <v>0</v>
      </c>
      <c r="U67" s="126" t="b">
        <f aca="false">IF(IFERROR(INDEX(tsk_Name,GanttView[[#This Row],[_Row]])="",TRUE()),FALSE(),INDEX(tsk_Critical,GanttView[[#This Row],[_Row]])="Yes")</f>
        <v>0</v>
      </c>
    </row>
    <row r="68" customFormat="false" ht="15" hidden="false" customHeight="false" outlineLevel="0" collapsed="false">
      <c r="A68" s="120" t="str">
        <f aca="false">IF(IFERROR(INDEX(tsk_Name,GanttView[[#This Row],[_Row]])="",TRUE()),"",INDEX(tsk_ID,GanttView[[#This Row],[_Row]]))</f>
        <v/>
      </c>
      <c r="B68" s="120" t="str">
        <f aca="false">IF(IFERROR(INDEX(tsk_Name,GanttView[[#This Row],[_Row]])="",TRUE()),"",INDEX(tsk_WBS,GanttView[[#This Row],[_Row]]))</f>
        <v/>
      </c>
      <c r="C68" s="121" t="str">
        <f aca="false">IF(IFERROR(INDEX(tsk_Name,GanttView[[#This Row],[_Row]])="",TRUE()),"",REPT("    ",INDEX(tsk_Level,GanttView[[#This Row],[_Row]])-1)&amp;INDEX(tsk_Name,GanttView[[#This Row],[_Row]]))</f>
        <v/>
      </c>
      <c r="D68" s="120" t="str">
        <f aca="false">IF(IFERROR(INDEX(tsk_Name,GanttView[[#This Row],[_Row]])="",TRUE()),"",IF(INDEX(tsk_IsSummary,GanttView[[#This Row],[_Row]]),NETWORKDAYS.INTL(INDEX(tsk_FcStart,GanttView[[#This Row],[_Row]]),INDEX(tsk_FcFinish,GanttView[[#This Row],[_Row]]),WorkWeek,Holidays),N(INDEX(tsk_Duration,GanttView[[#This Row],[_Row]]))))</f>
        <v/>
      </c>
      <c r="E68" s="122" t="str">
        <f aca="false">IF(IFERROR(INDEX(tsk_Name,GanttView[[#This Row],[_Row]])="",TRUE()),"",INDEX(tsk_PlanStart,GanttView[[#This Row],[_Row]]))</f>
        <v/>
      </c>
      <c r="F68" s="122" t="str">
        <f aca="false">IF(IFERROR(INDEX(tsk_Name,GanttView[[#This Row],[_Row]])="",TRUE()),"",INDEX(tsk_PlanFinish,GanttView[[#This Row],[_Row]]))</f>
        <v/>
      </c>
      <c r="G68" s="122" t="str">
        <f aca="false">IF(IFERROR(INDEX(tsk_Name,GanttView[[#This Row],[_Row]])="",TRUE()),"",INDEX(tsk_FcStart,GanttView[[#This Row],[_Row]]))</f>
        <v/>
      </c>
      <c r="H68" s="122" t="str">
        <f aca="false">IF(IFERROR(INDEX(tsk_Name,GanttView[[#This Row],[_Row]])="",TRUE()),"",INDEX(tsk_FcFinish,GanttView[[#This Row],[_Row]]))</f>
        <v/>
      </c>
      <c r="I68" s="123" t="str">
        <f aca="false">IF(IFERROR(INDEX(tsk_Name,GanttView[[#This Row],[_Row]])="",TRUE()),"",INDEX(tsk_Progress,GanttView[[#This Row],[_Row]]))</f>
        <v/>
      </c>
      <c r="J68" s="121" t="str">
        <f aca="false">IF(IFERROR(INDEX(tsk_Name,GanttView[[#This Row],[_Row]])="",TRUE()),"",INDEX(tsk_Resource,GanttView[[#This Row],[_Row]])&amp;"")</f>
        <v/>
      </c>
      <c r="K68" s="124" t="str">
        <f aca="false">IF(IFERROR(INDEX(tsk_Name,GanttView[[#This Row],[_Row]])="",TRUE()),"",INDEX(tsk_Status,GanttView[[#This Row],[_Row]]))</f>
        <v/>
      </c>
      <c r="L68" s="125" t="n">
        <f aca="false">ROW()-ROW(GanttView[[#Headers],[ID]])</f>
        <v>63</v>
      </c>
      <c r="M68" s="126" t="b">
        <f aca="false">IF(IFERROR(INDEX(tsk_Name,GanttView[[#This Row],[_Row]])="",TRUE()),FALSE(),INDEX(tsk_IsSummary,GanttView[[#This Row],[_Row]]))</f>
        <v>0</v>
      </c>
      <c r="N68" s="126" t="b">
        <f aca="false">IF(IFERROR(INDEX(tsk_Name,GanttView[[#This Row],[_Row]])="",TRUE()),FALSE(),AND(INDEX(tsk_IsLeaf,GanttView[[#This Row],[_Row]])=1,N(INDEX(tsk_Duration,GanttView[[#This Row],[_Row]]))=0))</f>
        <v>0</v>
      </c>
      <c r="O68" s="127" t="n">
        <f aca="false">IF(IFERROR(INDEX(tsk_Name,GanttView[[#This Row],[_Row]])="",TRUE()),0,IF(AND(INDEX(tsk_IsLeaf,GanttView[[#This Row],[_Row]])=1,NOT(GanttView[[#This Row],[_IsMilestone]]),N(GanttView[[#This Row],[%]])&gt;0),GanttView[[#This Row],[Forecast Start]],0))</f>
        <v>0</v>
      </c>
      <c r="P68" s="127" t="n">
        <f aca="false">IF(GanttView[[#This Row],[_DoneFrom]]=0,0,IF(GanttView[[#This Row],[%]]&gt;=1,GanttView[[#This Row],[Forecast Finish]],MAX(GanttView[[#This Row],[_DoneFrom]],GanttView[[#This Row],[Forecast Start]]+ROUND((GanttView[[#This Row],[Forecast Finish]]-GanttView[[#This Row],[Forecast Start]]+1)*GanttView[[#This Row],[%]],0)-1)))</f>
        <v>0</v>
      </c>
      <c r="Q68" s="127" t="n">
        <f aca="false">IF(IFERROR(INDEX(tsk_Name,GanttView[[#This Row],[_Row]])="",TRUE()),0,IF(OR(INDEX(tsk_IsLeaf,GanttView[[#This Row],[_Row]])&lt;&gt;1,GanttView[[#This Row],[_IsMilestone]],N(GanttView[[#This Row],[%]])&gt;=1),0,IF(GanttView[[#This Row],[_DoneTo]]&gt;0,GanttView[[#This Row],[_DoneTo]]+1,GanttView[[#This Row],[Forecast Start]])))</f>
        <v>0</v>
      </c>
      <c r="R68" s="127" t="n">
        <f aca="false">IF(GanttView[[#This Row],[_RemFrom]]=0,0,GanttView[[#This Row],[Forecast Finish]])</f>
        <v>0</v>
      </c>
      <c r="S68" s="126" t="b">
        <f aca="false">IF(IFERROR(INDEX(tsk_Name,GanttView[[#This Row],[_Row]])="",TRUE()),FALSE(),N(INDEX(tsk_Variance,GanttView[[#This Row],[_Row]]))&gt;0)</f>
        <v>0</v>
      </c>
      <c r="T68" s="127" t="n">
        <f aca="false">IF(IFERROR(INDEX(tsk_Name,GanttView[[#This Row],[_Row]])="",TRUE()),0,N(INDEX(tsk_Deadline,GanttView[[#This Row],[_Row]])))</f>
        <v>0</v>
      </c>
      <c r="U68" s="126" t="b">
        <f aca="false">IF(IFERROR(INDEX(tsk_Name,GanttView[[#This Row],[_Row]])="",TRUE()),FALSE(),INDEX(tsk_Critical,GanttView[[#This Row],[_Row]])="Yes")</f>
        <v>0</v>
      </c>
    </row>
    <row r="69" customFormat="false" ht="15" hidden="false" customHeight="false" outlineLevel="0" collapsed="false">
      <c r="A69" s="120" t="str">
        <f aca="false">IF(IFERROR(INDEX(tsk_Name,GanttView[[#This Row],[_Row]])="",TRUE()),"",INDEX(tsk_ID,GanttView[[#This Row],[_Row]]))</f>
        <v/>
      </c>
      <c r="B69" s="120" t="str">
        <f aca="false">IF(IFERROR(INDEX(tsk_Name,GanttView[[#This Row],[_Row]])="",TRUE()),"",INDEX(tsk_WBS,GanttView[[#This Row],[_Row]]))</f>
        <v/>
      </c>
      <c r="C69" s="121" t="str">
        <f aca="false">IF(IFERROR(INDEX(tsk_Name,GanttView[[#This Row],[_Row]])="",TRUE()),"",REPT("    ",INDEX(tsk_Level,GanttView[[#This Row],[_Row]])-1)&amp;INDEX(tsk_Name,GanttView[[#This Row],[_Row]]))</f>
        <v/>
      </c>
      <c r="D69" s="120" t="str">
        <f aca="false">IF(IFERROR(INDEX(tsk_Name,GanttView[[#This Row],[_Row]])="",TRUE()),"",IF(INDEX(tsk_IsSummary,GanttView[[#This Row],[_Row]]),NETWORKDAYS.INTL(INDEX(tsk_FcStart,GanttView[[#This Row],[_Row]]),INDEX(tsk_FcFinish,GanttView[[#This Row],[_Row]]),WorkWeek,Holidays),N(INDEX(tsk_Duration,GanttView[[#This Row],[_Row]]))))</f>
        <v/>
      </c>
      <c r="E69" s="122" t="str">
        <f aca="false">IF(IFERROR(INDEX(tsk_Name,GanttView[[#This Row],[_Row]])="",TRUE()),"",INDEX(tsk_PlanStart,GanttView[[#This Row],[_Row]]))</f>
        <v/>
      </c>
      <c r="F69" s="122" t="str">
        <f aca="false">IF(IFERROR(INDEX(tsk_Name,GanttView[[#This Row],[_Row]])="",TRUE()),"",INDEX(tsk_PlanFinish,GanttView[[#This Row],[_Row]]))</f>
        <v/>
      </c>
      <c r="G69" s="122" t="str">
        <f aca="false">IF(IFERROR(INDEX(tsk_Name,GanttView[[#This Row],[_Row]])="",TRUE()),"",INDEX(tsk_FcStart,GanttView[[#This Row],[_Row]]))</f>
        <v/>
      </c>
      <c r="H69" s="122" t="str">
        <f aca="false">IF(IFERROR(INDEX(tsk_Name,GanttView[[#This Row],[_Row]])="",TRUE()),"",INDEX(tsk_FcFinish,GanttView[[#This Row],[_Row]]))</f>
        <v/>
      </c>
      <c r="I69" s="123" t="str">
        <f aca="false">IF(IFERROR(INDEX(tsk_Name,GanttView[[#This Row],[_Row]])="",TRUE()),"",INDEX(tsk_Progress,GanttView[[#This Row],[_Row]]))</f>
        <v/>
      </c>
      <c r="J69" s="121" t="str">
        <f aca="false">IF(IFERROR(INDEX(tsk_Name,GanttView[[#This Row],[_Row]])="",TRUE()),"",INDEX(tsk_Resource,GanttView[[#This Row],[_Row]])&amp;"")</f>
        <v/>
      </c>
      <c r="K69" s="124" t="str">
        <f aca="false">IF(IFERROR(INDEX(tsk_Name,GanttView[[#This Row],[_Row]])="",TRUE()),"",INDEX(tsk_Status,GanttView[[#This Row],[_Row]]))</f>
        <v/>
      </c>
      <c r="L69" s="125" t="n">
        <f aca="false">ROW()-ROW(GanttView[[#Headers],[ID]])</f>
        <v>64</v>
      </c>
      <c r="M69" s="126" t="b">
        <f aca="false">IF(IFERROR(INDEX(tsk_Name,GanttView[[#This Row],[_Row]])="",TRUE()),FALSE(),INDEX(tsk_IsSummary,GanttView[[#This Row],[_Row]]))</f>
        <v>0</v>
      </c>
      <c r="N69" s="126" t="b">
        <f aca="false">IF(IFERROR(INDEX(tsk_Name,GanttView[[#This Row],[_Row]])="",TRUE()),FALSE(),AND(INDEX(tsk_IsLeaf,GanttView[[#This Row],[_Row]])=1,N(INDEX(tsk_Duration,GanttView[[#This Row],[_Row]]))=0))</f>
        <v>0</v>
      </c>
      <c r="O69" s="127" t="n">
        <f aca="false">IF(IFERROR(INDEX(tsk_Name,GanttView[[#This Row],[_Row]])="",TRUE()),0,IF(AND(INDEX(tsk_IsLeaf,GanttView[[#This Row],[_Row]])=1,NOT(GanttView[[#This Row],[_IsMilestone]]),N(GanttView[[#This Row],[%]])&gt;0),GanttView[[#This Row],[Forecast Start]],0))</f>
        <v>0</v>
      </c>
      <c r="P69" s="127" t="n">
        <f aca="false">IF(GanttView[[#This Row],[_DoneFrom]]=0,0,IF(GanttView[[#This Row],[%]]&gt;=1,GanttView[[#This Row],[Forecast Finish]],MAX(GanttView[[#This Row],[_DoneFrom]],GanttView[[#This Row],[Forecast Start]]+ROUND((GanttView[[#This Row],[Forecast Finish]]-GanttView[[#This Row],[Forecast Start]]+1)*GanttView[[#This Row],[%]],0)-1)))</f>
        <v>0</v>
      </c>
      <c r="Q69" s="127" t="n">
        <f aca="false">IF(IFERROR(INDEX(tsk_Name,GanttView[[#This Row],[_Row]])="",TRUE()),0,IF(OR(INDEX(tsk_IsLeaf,GanttView[[#This Row],[_Row]])&lt;&gt;1,GanttView[[#This Row],[_IsMilestone]],N(GanttView[[#This Row],[%]])&gt;=1),0,IF(GanttView[[#This Row],[_DoneTo]]&gt;0,GanttView[[#This Row],[_DoneTo]]+1,GanttView[[#This Row],[Forecast Start]])))</f>
        <v>0</v>
      </c>
      <c r="R69" s="127" t="n">
        <f aca="false">IF(GanttView[[#This Row],[_RemFrom]]=0,0,GanttView[[#This Row],[Forecast Finish]])</f>
        <v>0</v>
      </c>
      <c r="S69" s="126" t="b">
        <f aca="false">IF(IFERROR(INDEX(tsk_Name,GanttView[[#This Row],[_Row]])="",TRUE()),FALSE(),N(INDEX(tsk_Variance,GanttView[[#This Row],[_Row]]))&gt;0)</f>
        <v>0</v>
      </c>
      <c r="T69" s="127" t="n">
        <f aca="false">IF(IFERROR(INDEX(tsk_Name,GanttView[[#This Row],[_Row]])="",TRUE()),0,N(INDEX(tsk_Deadline,GanttView[[#This Row],[_Row]])))</f>
        <v>0</v>
      </c>
      <c r="U69" s="126" t="b">
        <f aca="false">IF(IFERROR(INDEX(tsk_Name,GanttView[[#This Row],[_Row]])="",TRUE()),FALSE(),INDEX(tsk_Critical,GanttView[[#This Row],[_Row]])="Yes")</f>
        <v>0</v>
      </c>
    </row>
    <row r="70" customFormat="false" ht="15" hidden="false" customHeight="false" outlineLevel="0" collapsed="false">
      <c r="A70" s="120" t="str">
        <f aca="false">IF(IFERROR(INDEX(tsk_Name,GanttView[[#This Row],[_Row]])="",TRUE()),"",INDEX(tsk_ID,GanttView[[#This Row],[_Row]]))</f>
        <v/>
      </c>
      <c r="B70" s="120" t="str">
        <f aca="false">IF(IFERROR(INDEX(tsk_Name,GanttView[[#This Row],[_Row]])="",TRUE()),"",INDEX(tsk_WBS,GanttView[[#This Row],[_Row]]))</f>
        <v/>
      </c>
      <c r="C70" s="121" t="str">
        <f aca="false">IF(IFERROR(INDEX(tsk_Name,GanttView[[#This Row],[_Row]])="",TRUE()),"",REPT("    ",INDEX(tsk_Level,GanttView[[#This Row],[_Row]])-1)&amp;INDEX(tsk_Name,GanttView[[#This Row],[_Row]]))</f>
        <v/>
      </c>
      <c r="D70" s="120" t="str">
        <f aca="false">IF(IFERROR(INDEX(tsk_Name,GanttView[[#This Row],[_Row]])="",TRUE()),"",IF(INDEX(tsk_IsSummary,GanttView[[#This Row],[_Row]]),NETWORKDAYS.INTL(INDEX(tsk_FcStart,GanttView[[#This Row],[_Row]]),INDEX(tsk_FcFinish,GanttView[[#This Row],[_Row]]),WorkWeek,Holidays),N(INDEX(tsk_Duration,GanttView[[#This Row],[_Row]]))))</f>
        <v/>
      </c>
      <c r="E70" s="122" t="str">
        <f aca="false">IF(IFERROR(INDEX(tsk_Name,GanttView[[#This Row],[_Row]])="",TRUE()),"",INDEX(tsk_PlanStart,GanttView[[#This Row],[_Row]]))</f>
        <v/>
      </c>
      <c r="F70" s="122" t="str">
        <f aca="false">IF(IFERROR(INDEX(tsk_Name,GanttView[[#This Row],[_Row]])="",TRUE()),"",INDEX(tsk_PlanFinish,GanttView[[#This Row],[_Row]]))</f>
        <v/>
      </c>
      <c r="G70" s="122" t="str">
        <f aca="false">IF(IFERROR(INDEX(tsk_Name,GanttView[[#This Row],[_Row]])="",TRUE()),"",INDEX(tsk_FcStart,GanttView[[#This Row],[_Row]]))</f>
        <v/>
      </c>
      <c r="H70" s="122" t="str">
        <f aca="false">IF(IFERROR(INDEX(tsk_Name,GanttView[[#This Row],[_Row]])="",TRUE()),"",INDEX(tsk_FcFinish,GanttView[[#This Row],[_Row]]))</f>
        <v/>
      </c>
      <c r="I70" s="123" t="str">
        <f aca="false">IF(IFERROR(INDEX(tsk_Name,GanttView[[#This Row],[_Row]])="",TRUE()),"",INDEX(tsk_Progress,GanttView[[#This Row],[_Row]]))</f>
        <v/>
      </c>
      <c r="J70" s="121" t="str">
        <f aca="false">IF(IFERROR(INDEX(tsk_Name,GanttView[[#This Row],[_Row]])="",TRUE()),"",INDEX(tsk_Resource,GanttView[[#This Row],[_Row]])&amp;"")</f>
        <v/>
      </c>
      <c r="K70" s="124" t="str">
        <f aca="false">IF(IFERROR(INDEX(tsk_Name,GanttView[[#This Row],[_Row]])="",TRUE()),"",INDEX(tsk_Status,GanttView[[#This Row],[_Row]]))</f>
        <v/>
      </c>
      <c r="L70" s="125" t="n">
        <f aca="false">ROW()-ROW(GanttView[[#Headers],[ID]])</f>
        <v>65</v>
      </c>
      <c r="M70" s="126" t="b">
        <f aca="false">IF(IFERROR(INDEX(tsk_Name,GanttView[[#This Row],[_Row]])="",TRUE()),FALSE(),INDEX(tsk_IsSummary,GanttView[[#This Row],[_Row]]))</f>
        <v>0</v>
      </c>
      <c r="N70" s="126" t="b">
        <f aca="false">IF(IFERROR(INDEX(tsk_Name,GanttView[[#This Row],[_Row]])="",TRUE()),FALSE(),AND(INDEX(tsk_IsLeaf,GanttView[[#This Row],[_Row]])=1,N(INDEX(tsk_Duration,GanttView[[#This Row],[_Row]]))=0))</f>
        <v>0</v>
      </c>
      <c r="O70" s="127" t="n">
        <f aca="false">IF(IFERROR(INDEX(tsk_Name,GanttView[[#This Row],[_Row]])="",TRUE()),0,IF(AND(INDEX(tsk_IsLeaf,GanttView[[#This Row],[_Row]])=1,NOT(GanttView[[#This Row],[_IsMilestone]]),N(GanttView[[#This Row],[%]])&gt;0),GanttView[[#This Row],[Forecast Start]],0))</f>
        <v>0</v>
      </c>
      <c r="P70" s="127" t="n">
        <f aca="false">IF(GanttView[[#This Row],[_DoneFrom]]=0,0,IF(GanttView[[#This Row],[%]]&gt;=1,GanttView[[#This Row],[Forecast Finish]],MAX(GanttView[[#This Row],[_DoneFrom]],GanttView[[#This Row],[Forecast Start]]+ROUND((GanttView[[#This Row],[Forecast Finish]]-GanttView[[#This Row],[Forecast Start]]+1)*GanttView[[#This Row],[%]],0)-1)))</f>
        <v>0</v>
      </c>
      <c r="Q70" s="127" t="n">
        <f aca="false">IF(IFERROR(INDEX(tsk_Name,GanttView[[#This Row],[_Row]])="",TRUE()),0,IF(OR(INDEX(tsk_IsLeaf,GanttView[[#This Row],[_Row]])&lt;&gt;1,GanttView[[#This Row],[_IsMilestone]],N(GanttView[[#This Row],[%]])&gt;=1),0,IF(GanttView[[#This Row],[_DoneTo]]&gt;0,GanttView[[#This Row],[_DoneTo]]+1,GanttView[[#This Row],[Forecast Start]])))</f>
        <v>0</v>
      </c>
      <c r="R70" s="127" t="n">
        <f aca="false">IF(GanttView[[#This Row],[_RemFrom]]=0,0,GanttView[[#This Row],[Forecast Finish]])</f>
        <v>0</v>
      </c>
      <c r="S70" s="126" t="b">
        <f aca="false">IF(IFERROR(INDEX(tsk_Name,GanttView[[#This Row],[_Row]])="",TRUE()),FALSE(),N(INDEX(tsk_Variance,GanttView[[#This Row],[_Row]]))&gt;0)</f>
        <v>0</v>
      </c>
      <c r="T70" s="127" t="n">
        <f aca="false">IF(IFERROR(INDEX(tsk_Name,GanttView[[#This Row],[_Row]])="",TRUE()),0,N(INDEX(tsk_Deadline,GanttView[[#This Row],[_Row]])))</f>
        <v>0</v>
      </c>
      <c r="U70" s="126" t="b">
        <f aca="false">IF(IFERROR(INDEX(tsk_Name,GanttView[[#This Row],[_Row]])="",TRUE()),FALSE(),INDEX(tsk_Critical,GanttView[[#This Row],[_Row]])="Yes")</f>
        <v>0</v>
      </c>
    </row>
    <row r="71" customFormat="false" ht="15" hidden="false" customHeight="false" outlineLevel="0" collapsed="false">
      <c r="A71" s="120" t="str">
        <f aca="false">IF(IFERROR(INDEX(tsk_Name,GanttView[[#This Row],[_Row]])="",TRUE()),"",INDEX(tsk_ID,GanttView[[#This Row],[_Row]]))</f>
        <v/>
      </c>
      <c r="B71" s="120" t="str">
        <f aca="false">IF(IFERROR(INDEX(tsk_Name,GanttView[[#This Row],[_Row]])="",TRUE()),"",INDEX(tsk_WBS,GanttView[[#This Row],[_Row]]))</f>
        <v/>
      </c>
      <c r="C71" s="121" t="str">
        <f aca="false">IF(IFERROR(INDEX(tsk_Name,GanttView[[#This Row],[_Row]])="",TRUE()),"",REPT("    ",INDEX(tsk_Level,GanttView[[#This Row],[_Row]])-1)&amp;INDEX(tsk_Name,GanttView[[#This Row],[_Row]]))</f>
        <v/>
      </c>
      <c r="D71" s="120" t="str">
        <f aca="false">IF(IFERROR(INDEX(tsk_Name,GanttView[[#This Row],[_Row]])="",TRUE()),"",IF(INDEX(tsk_IsSummary,GanttView[[#This Row],[_Row]]),NETWORKDAYS.INTL(INDEX(tsk_FcStart,GanttView[[#This Row],[_Row]]),INDEX(tsk_FcFinish,GanttView[[#This Row],[_Row]]),WorkWeek,Holidays),N(INDEX(tsk_Duration,GanttView[[#This Row],[_Row]]))))</f>
        <v/>
      </c>
      <c r="E71" s="122" t="str">
        <f aca="false">IF(IFERROR(INDEX(tsk_Name,GanttView[[#This Row],[_Row]])="",TRUE()),"",INDEX(tsk_PlanStart,GanttView[[#This Row],[_Row]]))</f>
        <v/>
      </c>
      <c r="F71" s="122" t="str">
        <f aca="false">IF(IFERROR(INDEX(tsk_Name,GanttView[[#This Row],[_Row]])="",TRUE()),"",INDEX(tsk_PlanFinish,GanttView[[#This Row],[_Row]]))</f>
        <v/>
      </c>
      <c r="G71" s="122" t="str">
        <f aca="false">IF(IFERROR(INDEX(tsk_Name,GanttView[[#This Row],[_Row]])="",TRUE()),"",INDEX(tsk_FcStart,GanttView[[#This Row],[_Row]]))</f>
        <v/>
      </c>
      <c r="H71" s="122" t="str">
        <f aca="false">IF(IFERROR(INDEX(tsk_Name,GanttView[[#This Row],[_Row]])="",TRUE()),"",INDEX(tsk_FcFinish,GanttView[[#This Row],[_Row]]))</f>
        <v/>
      </c>
      <c r="I71" s="123" t="str">
        <f aca="false">IF(IFERROR(INDEX(tsk_Name,GanttView[[#This Row],[_Row]])="",TRUE()),"",INDEX(tsk_Progress,GanttView[[#This Row],[_Row]]))</f>
        <v/>
      </c>
      <c r="J71" s="121" t="str">
        <f aca="false">IF(IFERROR(INDEX(tsk_Name,GanttView[[#This Row],[_Row]])="",TRUE()),"",INDEX(tsk_Resource,GanttView[[#This Row],[_Row]])&amp;"")</f>
        <v/>
      </c>
      <c r="K71" s="124" t="str">
        <f aca="false">IF(IFERROR(INDEX(tsk_Name,GanttView[[#This Row],[_Row]])="",TRUE()),"",INDEX(tsk_Status,GanttView[[#This Row],[_Row]]))</f>
        <v/>
      </c>
      <c r="L71" s="125" t="n">
        <f aca="false">ROW()-ROW(GanttView[[#Headers],[ID]])</f>
        <v>66</v>
      </c>
      <c r="M71" s="126" t="b">
        <f aca="false">IF(IFERROR(INDEX(tsk_Name,GanttView[[#This Row],[_Row]])="",TRUE()),FALSE(),INDEX(tsk_IsSummary,GanttView[[#This Row],[_Row]]))</f>
        <v>0</v>
      </c>
      <c r="N71" s="126" t="b">
        <f aca="false">IF(IFERROR(INDEX(tsk_Name,GanttView[[#This Row],[_Row]])="",TRUE()),FALSE(),AND(INDEX(tsk_IsLeaf,GanttView[[#This Row],[_Row]])=1,N(INDEX(tsk_Duration,GanttView[[#This Row],[_Row]]))=0))</f>
        <v>0</v>
      </c>
      <c r="O71" s="127" t="n">
        <f aca="false">IF(IFERROR(INDEX(tsk_Name,GanttView[[#This Row],[_Row]])="",TRUE()),0,IF(AND(INDEX(tsk_IsLeaf,GanttView[[#This Row],[_Row]])=1,NOT(GanttView[[#This Row],[_IsMilestone]]),N(GanttView[[#This Row],[%]])&gt;0),GanttView[[#This Row],[Forecast Start]],0))</f>
        <v>0</v>
      </c>
      <c r="P71" s="127" t="n">
        <f aca="false">IF(GanttView[[#This Row],[_DoneFrom]]=0,0,IF(GanttView[[#This Row],[%]]&gt;=1,GanttView[[#This Row],[Forecast Finish]],MAX(GanttView[[#This Row],[_DoneFrom]],GanttView[[#This Row],[Forecast Start]]+ROUND((GanttView[[#This Row],[Forecast Finish]]-GanttView[[#This Row],[Forecast Start]]+1)*GanttView[[#This Row],[%]],0)-1)))</f>
        <v>0</v>
      </c>
      <c r="Q71" s="127" t="n">
        <f aca="false">IF(IFERROR(INDEX(tsk_Name,GanttView[[#This Row],[_Row]])="",TRUE()),0,IF(OR(INDEX(tsk_IsLeaf,GanttView[[#This Row],[_Row]])&lt;&gt;1,GanttView[[#This Row],[_IsMilestone]],N(GanttView[[#This Row],[%]])&gt;=1),0,IF(GanttView[[#This Row],[_DoneTo]]&gt;0,GanttView[[#This Row],[_DoneTo]]+1,GanttView[[#This Row],[Forecast Start]])))</f>
        <v>0</v>
      </c>
      <c r="R71" s="127" t="n">
        <f aca="false">IF(GanttView[[#This Row],[_RemFrom]]=0,0,GanttView[[#This Row],[Forecast Finish]])</f>
        <v>0</v>
      </c>
      <c r="S71" s="126" t="b">
        <f aca="false">IF(IFERROR(INDEX(tsk_Name,GanttView[[#This Row],[_Row]])="",TRUE()),FALSE(),N(INDEX(tsk_Variance,GanttView[[#This Row],[_Row]]))&gt;0)</f>
        <v>0</v>
      </c>
      <c r="T71" s="127" t="n">
        <f aca="false">IF(IFERROR(INDEX(tsk_Name,GanttView[[#This Row],[_Row]])="",TRUE()),0,N(INDEX(tsk_Deadline,GanttView[[#This Row],[_Row]])))</f>
        <v>0</v>
      </c>
      <c r="U71" s="126" t="b">
        <f aca="false">IF(IFERROR(INDEX(tsk_Name,GanttView[[#This Row],[_Row]])="",TRUE()),FALSE(),INDEX(tsk_Critical,GanttView[[#This Row],[_Row]])="Yes")</f>
        <v>0</v>
      </c>
    </row>
    <row r="72" customFormat="false" ht="15" hidden="false" customHeight="false" outlineLevel="0" collapsed="false">
      <c r="A72" s="120" t="str">
        <f aca="false">IF(IFERROR(INDEX(tsk_Name,GanttView[[#This Row],[_Row]])="",TRUE()),"",INDEX(tsk_ID,GanttView[[#This Row],[_Row]]))</f>
        <v/>
      </c>
      <c r="B72" s="120" t="str">
        <f aca="false">IF(IFERROR(INDEX(tsk_Name,GanttView[[#This Row],[_Row]])="",TRUE()),"",INDEX(tsk_WBS,GanttView[[#This Row],[_Row]]))</f>
        <v/>
      </c>
      <c r="C72" s="121" t="str">
        <f aca="false">IF(IFERROR(INDEX(tsk_Name,GanttView[[#This Row],[_Row]])="",TRUE()),"",REPT("    ",INDEX(tsk_Level,GanttView[[#This Row],[_Row]])-1)&amp;INDEX(tsk_Name,GanttView[[#This Row],[_Row]]))</f>
        <v/>
      </c>
      <c r="D72" s="120" t="str">
        <f aca="false">IF(IFERROR(INDEX(tsk_Name,GanttView[[#This Row],[_Row]])="",TRUE()),"",IF(INDEX(tsk_IsSummary,GanttView[[#This Row],[_Row]]),NETWORKDAYS.INTL(INDEX(tsk_FcStart,GanttView[[#This Row],[_Row]]),INDEX(tsk_FcFinish,GanttView[[#This Row],[_Row]]),WorkWeek,Holidays),N(INDEX(tsk_Duration,GanttView[[#This Row],[_Row]]))))</f>
        <v/>
      </c>
      <c r="E72" s="122" t="str">
        <f aca="false">IF(IFERROR(INDEX(tsk_Name,GanttView[[#This Row],[_Row]])="",TRUE()),"",INDEX(tsk_PlanStart,GanttView[[#This Row],[_Row]]))</f>
        <v/>
      </c>
      <c r="F72" s="122" t="str">
        <f aca="false">IF(IFERROR(INDEX(tsk_Name,GanttView[[#This Row],[_Row]])="",TRUE()),"",INDEX(tsk_PlanFinish,GanttView[[#This Row],[_Row]]))</f>
        <v/>
      </c>
      <c r="G72" s="122" t="str">
        <f aca="false">IF(IFERROR(INDEX(tsk_Name,GanttView[[#This Row],[_Row]])="",TRUE()),"",INDEX(tsk_FcStart,GanttView[[#This Row],[_Row]]))</f>
        <v/>
      </c>
      <c r="H72" s="122" t="str">
        <f aca="false">IF(IFERROR(INDEX(tsk_Name,GanttView[[#This Row],[_Row]])="",TRUE()),"",INDEX(tsk_FcFinish,GanttView[[#This Row],[_Row]]))</f>
        <v/>
      </c>
      <c r="I72" s="123" t="str">
        <f aca="false">IF(IFERROR(INDEX(tsk_Name,GanttView[[#This Row],[_Row]])="",TRUE()),"",INDEX(tsk_Progress,GanttView[[#This Row],[_Row]]))</f>
        <v/>
      </c>
      <c r="J72" s="121" t="str">
        <f aca="false">IF(IFERROR(INDEX(tsk_Name,GanttView[[#This Row],[_Row]])="",TRUE()),"",INDEX(tsk_Resource,GanttView[[#This Row],[_Row]])&amp;"")</f>
        <v/>
      </c>
      <c r="K72" s="124" t="str">
        <f aca="false">IF(IFERROR(INDEX(tsk_Name,GanttView[[#This Row],[_Row]])="",TRUE()),"",INDEX(tsk_Status,GanttView[[#This Row],[_Row]]))</f>
        <v/>
      </c>
      <c r="L72" s="125" t="n">
        <f aca="false">ROW()-ROW(GanttView[[#Headers],[ID]])</f>
        <v>67</v>
      </c>
      <c r="M72" s="126" t="b">
        <f aca="false">IF(IFERROR(INDEX(tsk_Name,GanttView[[#This Row],[_Row]])="",TRUE()),FALSE(),INDEX(tsk_IsSummary,GanttView[[#This Row],[_Row]]))</f>
        <v>0</v>
      </c>
      <c r="N72" s="126" t="b">
        <f aca="false">IF(IFERROR(INDEX(tsk_Name,GanttView[[#This Row],[_Row]])="",TRUE()),FALSE(),AND(INDEX(tsk_IsLeaf,GanttView[[#This Row],[_Row]])=1,N(INDEX(tsk_Duration,GanttView[[#This Row],[_Row]]))=0))</f>
        <v>0</v>
      </c>
      <c r="O72" s="127" t="n">
        <f aca="false">IF(IFERROR(INDEX(tsk_Name,GanttView[[#This Row],[_Row]])="",TRUE()),0,IF(AND(INDEX(tsk_IsLeaf,GanttView[[#This Row],[_Row]])=1,NOT(GanttView[[#This Row],[_IsMilestone]]),N(GanttView[[#This Row],[%]])&gt;0),GanttView[[#This Row],[Forecast Start]],0))</f>
        <v>0</v>
      </c>
      <c r="P72" s="127" t="n">
        <f aca="false">IF(GanttView[[#This Row],[_DoneFrom]]=0,0,IF(GanttView[[#This Row],[%]]&gt;=1,GanttView[[#This Row],[Forecast Finish]],MAX(GanttView[[#This Row],[_DoneFrom]],GanttView[[#This Row],[Forecast Start]]+ROUND((GanttView[[#This Row],[Forecast Finish]]-GanttView[[#This Row],[Forecast Start]]+1)*GanttView[[#This Row],[%]],0)-1)))</f>
        <v>0</v>
      </c>
      <c r="Q72" s="127" t="n">
        <f aca="false">IF(IFERROR(INDEX(tsk_Name,GanttView[[#This Row],[_Row]])="",TRUE()),0,IF(OR(INDEX(tsk_IsLeaf,GanttView[[#This Row],[_Row]])&lt;&gt;1,GanttView[[#This Row],[_IsMilestone]],N(GanttView[[#This Row],[%]])&gt;=1),0,IF(GanttView[[#This Row],[_DoneTo]]&gt;0,GanttView[[#This Row],[_DoneTo]]+1,GanttView[[#This Row],[Forecast Start]])))</f>
        <v>0</v>
      </c>
      <c r="R72" s="127" t="n">
        <f aca="false">IF(GanttView[[#This Row],[_RemFrom]]=0,0,GanttView[[#This Row],[Forecast Finish]])</f>
        <v>0</v>
      </c>
      <c r="S72" s="126" t="b">
        <f aca="false">IF(IFERROR(INDEX(tsk_Name,GanttView[[#This Row],[_Row]])="",TRUE()),FALSE(),N(INDEX(tsk_Variance,GanttView[[#This Row],[_Row]]))&gt;0)</f>
        <v>0</v>
      </c>
      <c r="T72" s="127" t="n">
        <f aca="false">IF(IFERROR(INDEX(tsk_Name,GanttView[[#This Row],[_Row]])="",TRUE()),0,N(INDEX(tsk_Deadline,GanttView[[#This Row],[_Row]])))</f>
        <v>0</v>
      </c>
      <c r="U72" s="126" t="b">
        <f aca="false">IF(IFERROR(INDEX(tsk_Name,GanttView[[#This Row],[_Row]])="",TRUE()),FALSE(),INDEX(tsk_Critical,GanttView[[#This Row],[_Row]])="Yes")</f>
        <v>0</v>
      </c>
    </row>
    <row r="73" customFormat="false" ht="15" hidden="false" customHeight="false" outlineLevel="0" collapsed="false">
      <c r="A73" s="120" t="str">
        <f aca="false">IF(IFERROR(INDEX(tsk_Name,GanttView[[#This Row],[_Row]])="",TRUE()),"",INDEX(tsk_ID,GanttView[[#This Row],[_Row]]))</f>
        <v/>
      </c>
      <c r="B73" s="120" t="str">
        <f aca="false">IF(IFERROR(INDEX(tsk_Name,GanttView[[#This Row],[_Row]])="",TRUE()),"",INDEX(tsk_WBS,GanttView[[#This Row],[_Row]]))</f>
        <v/>
      </c>
      <c r="C73" s="121" t="str">
        <f aca="false">IF(IFERROR(INDEX(tsk_Name,GanttView[[#This Row],[_Row]])="",TRUE()),"",REPT("    ",INDEX(tsk_Level,GanttView[[#This Row],[_Row]])-1)&amp;INDEX(tsk_Name,GanttView[[#This Row],[_Row]]))</f>
        <v/>
      </c>
      <c r="D73" s="120" t="str">
        <f aca="false">IF(IFERROR(INDEX(tsk_Name,GanttView[[#This Row],[_Row]])="",TRUE()),"",IF(INDEX(tsk_IsSummary,GanttView[[#This Row],[_Row]]),NETWORKDAYS.INTL(INDEX(tsk_FcStart,GanttView[[#This Row],[_Row]]),INDEX(tsk_FcFinish,GanttView[[#This Row],[_Row]]),WorkWeek,Holidays),N(INDEX(tsk_Duration,GanttView[[#This Row],[_Row]]))))</f>
        <v/>
      </c>
      <c r="E73" s="122" t="str">
        <f aca="false">IF(IFERROR(INDEX(tsk_Name,GanttView[[#This Row],[_Row]])="",TRUE()),"",INDEX(tsk_PlanStart,GanttView[[#This Row],[_Row]]))</f>
        <v/>
      </c>
      <c r="F73" s="122" t="str">
        <f aca="false">IF(IFERROR(INDEX(tsk_Name,GanttView[[#This Row],[_Row]])="",TRUE()),"",INDEX(tsk_PlanFinish,GanttView[[#This Row],[_Row]]))</f>
        <v/>
      </c>
      <c r="G73" s="122" t="str">
        <f aca="false">IF(IFERROR(INDEX(tsk_Name,GanttView[[#This Row],[_Row]])="",TRUE()),"",INDEX(tsk_FcStart,GanttView[[#This Row],[_Row]]))</f>
        <v/>
      </c>
      <c r="H73" s="122" t="str">
        <f aca="false">IF(IFERROR(INDEX(tsk_Name,GanttView[[#This Row],[_Row]])="",TRUE()),"",INDEX(tsk_FcFinish,GanttView[[#This Row],[_Row]]))</f>
        <v/>
      </c>
      <c r="I73" s="123" t="str">
        <f aca="false">IF(IFERROR(INDEX(tsk_Name,GanttView[[#This Row],[_Row]])="",TRUE()),"",INDEX(tsk_Progress,GanttView[[#This Row],[_Row]]))</f>
        <v/>
      </c>
      <c r="J73" s="121" t="str">
        <f aca="false">IF(IFERROR(INDEX(tsk_Name,GanttView[[#This Row],[_Row]])="",TRUE()),"",INDEX(tsk_Resource,GanttView[[#This Row],[_Row]])&amp;"")</f>
        <v/>
      </c>
      <c r="K73" s="124" t="str">
        <f aca="false">IF(IFERROR(INDEX(tsk_Name,GanttView[[#This Row],[_Row]])="",TRUE()),"",INDEX(tsk_Status,GanttView[[#This Row],[_Row]]))</f>
        <v/>
      </c>
      <c r="L73" s="125" t="n">
        <f aca="false">ROW()-ROW(GanttView[[#Headers],[ID]])</f>
        <v>68</v>
      </c>
      <c r="M73" s="126" t="b">
        <f aca="false">IF(IFERROR(INDEX(tsk_Name,GanttView[[#This Row],[_Row]])="",TRUE()),FALSE(),INDEX(tsk_IsSummary,GanttView[[#This Row],[_Row]]))</f>
        <v>0</v>
      </c>
      <c r="N73" s="126" t="b">
        <f aca="false">IF(IFERROR(INDEX(tsk_Name,GanttView[[#This Row],[_Row]])="",TRUE()),FALSE(),AND(INDEX(tsk_IsLeaf,GanttView[[#This Row],[_Row]])=1,N(INDEX(tsk_Duration,GanttView[[#This Row],[_Row]]))=0))</f>
        <v>0</v>
      </c>
      <c r="O73" s="127" t="n">
        <f aca="false">IF(IFERROR(INDEX(tsk_Name,GanttView[[#This Row],[_Row]])="",TRUE()),0,IF(AND(INDEX(tsk_IsLeaf,GanttView[[#This Row],[_Row]])=1,NOT(GanttView[[#This Row],[_IsMilestone]]),N(GanttView[[#This Row],[%]])&gt;0),GanttView[[#This Row],[Forecast Start]],0))</f>
        <v>0</v>
      </c>
      <c r="P73" s="127" t="n">
        <f aca="false">IF(GanttView[[#This Row],[_DoneFrom]]=0,0,IF(GanttView[[#This Row],[%]]&gt;=1,GanttView[[#This Row],[Forecast Finish]],MAX(GanttView[[#This Row],[_DoneFrom]],GanttView[[#This Row],[Forecast Start]]+ROUND((GanttView[[#This Row],[Forecast Finish]]-GanttView[[#This Row],[Forecast Start]]+1)*GanttView[[#This Row],[%]],0)-1)))</f>
        <v>0</v>
      </c>
      <c r="Q73" s="127" t="n">
        <f aca="false">IF(IFERROR(INDEX(tsk_Name,GanttView[[#This Row],[_Row]])="",TRUE()),0,IF(OR(INDEX(tsk_IsLeaf,GanttView[[#This Row],[_Row]])&lt;&gt;1,GanttView[[#This Row],[_IsMilestone]],N(GanttView[[#This Row],[%]])&gt;=1),0,IF(GanttView[[#This Row],[_DoneTo]]&gt;0,GanttView[[#This Row],[_DoneTo]]+1,GanttView[[#This Row],[Forecast Start]])))</f>
        <v>0</v>
      </c>
      <c r="R73" s="127" t="n">
        <f aca="false">IF(GanttView[[#This Row],[_RemFrom]]=0,0,GanttView[[#This Row],[Forecast Finish]])</f>
        <v>0</v>
      </c>
      <c r="S73" s="126" t="b">
        <f aca="false">IF(IFERROR(INDEX(tsk_Name,GanttView[[#This Row],[_Row]])="",TRUE()),FALSE(),N(INDEX(tsk_Variance,GanttView[[#This Row],[_Row]]))&gt;0)</f>
        <v>0</v>
      </c>
      <c r="T73" s="127" t="n">
        <f aca="false">IF(IFERROR(INDEX(tsk_Name,GanttView[[#This Row],[_Row]])="",TRUE()),0,N(INDEX(tsk_Deadline,GanttView[[#This Row],[_Row]])))</f>
        <v>0</v>
      </c>
      <c r="U73" s="126" t="b">
        <f aca="false">IF(IFERROR(INDEX(tsk_Name,GanttView[[#This Row],[_Row]])="",TRUE()),FALSE(),INDEX(tsk_Critical,GanttView[[#This Row],[_Row]])="Yes")</f>
        <v>0</v>
      </c>
    </row>
    <row r="74" customFormat="false" ht="15" hidden="false" customHeight="false" outlineLevel="0" collapsed="false">
      <c r="A74" s="120" t="str">
        <f aca="false">IF(IFERROR(INDEX(tsk_Name,GanttView[[#This Row],[_Row]])="",TRUE()),"",INDEX(tsk_ID,GanttView[[#This Row],[_Row]]))</f>
        <v/>
      </c>
      <c r="B74" s="120" t="str">
        <f aca="false">IF(IFERROR(INDEX(tsk_Name,GanttView[[#This Row],[_Row]])="",TRUE()),"",INDEX(tsk_WBS,GanttView[[#This Row],[_Row]]))</f>
        <v/>
      </c>
      <c r="C74" s="121" t="str">
        <f aca="false">IF(IFERROR(INDEX(tsk_Name,GanttView[[#This Row],[_Row]])="",TRUE()),"",REPT("    ",INDEX(tsk_Level,GanttView[[#This Row],[_Row]])-1)&amp;INDEX(tsk_Name,GanttView[[#This Row],[_Row]]))</f>
        <v/>
      </c>
      <c r="D74" s="120" t="str">
        <f aca="false">IF(IFERROR(INDEX(tsk_Name,GanttView[[#This Row],[_Row]])="",TRUE()),"",IF(INDEX(tsk_IsSummary,GanttView[[#This Row],[_Row]]),NETWORKDAYS.INTL(INDEX(tsk_FcStart,GanttView[[#This Row],[_Row]]),INDEX(tsk_FcFinish,GanttView[[#This Row],[_Row]]),WorkWeek,Holidays),N(INDEX(tsk_Duration,GanttView[[#This Row],[_Row]]))))</f>
        <v/>
      </c>
      <c r="E74" s="122" t="str">
        <f aca="false">IF(IFERROR(INDEX(tsk_Name,GanttView[[#This Row],[_Row]])="",TRUE()),"",INDEX(tsk_PlanStart,GanttView[[#This Row],[_Row]]))</f>
        <v/>
      </c>
      <c r="F74" s="122" t="str">
        <f aca="false">IF(IFERROR(INDEX(tsk_Name,GanttView[[#This Row],[_Row]])="",TRUE()),"",INDEX(tsk_PlanFinish,GanttView[[#This Row],[_Row]]))</f>
        <v/>
      </c>
      <c r="G74" s="122" t="str">
        <f aca="false">IF(IFERROR(INDEX(tsk_Name,GanttView[[#This Row],[_Row]])="",TRUE()),"",INDEX(tsk_FcStart,GanttView[[#This Row],[_Row]]))</f>
        <v/>
      </c>
      <c r="H74" s="122" t="str">
        <f aca="false">IF(IFERROR(INDEX(tsk_Name,GanttView[[#This Row],[_Row]])="",TRUE()),"",INDEX(tsk_FcFinish,GanttView[[#This Row],[_Row]]))</f>
        <v/>
      </c>
      <c r="I74" s="123" t="str">
        <f aca="false">IF(IFERROR(INDEX(tsk_Name,GanttView[[#This Row],[_Row]])="",TRUE()),"",INDEX(tsk_Progress,GanttView[[#This Row],[_Row]]))</f>
        <v/>
      </c>
      <c r="J74" s="121" t="str">
        <f aca="false">IF(IFERROR(INDEX(tsk_Name,GanttView[[#This Row],[_Row]])="",TRUE()),"",INDEX(tsk_Resource,GanttView[[#This Row],[_Row]])&amp;"")</f>
        <v/>
      </c>
      <c r="K74" s="124" t="str">
        <f aca="false">IF(IFERROR(INDEX(tsk_Name,GanttView[[#This Row],[_Row]])="",TRUE()),"",INDEX(tsk_Status,GanttView[[#This Row],[_Row]]))</f>
        <v/>
      </c>
      <c r="L74" s="125" t="n">
        <f aca="false">ROW()-ROW(GanttView[[#Headers],[ID]])</f>
        <v>69</v>
      </c>
      <c r="M74" s="126" t="b">
        <f aca="false">IF(IFERROR(INDEX(tsk_Name,GanttView[[#This Row],[_Row]])="",TRUE()),FALSE(),INDEX(tsk_IsSummary,GanttView[[#This Row],[_Row]]))</f>
        <v>0</v>
      </c>
      <c r="N74" s="126" t="b">
        <f aca="false">IF(IFERROR(INDEX(tsk_Name,GanttView[[#This Row],[_Row]])="",TRUE()),FALSE(),AND(INDEX(tsk_IsLeaf,GanttView[[#This Row],[_Row]])=1,N(INDEX(tsk_Duration,GanttView[[#This Row],[_Row]]))=0))</f>
        <v>0</v>
      </c>
      <c r="O74" s="127" t="n">
        <f aca="false">IF(IFERROR(INDEX(tsk_Name,GanttView[[#This Row],[_Row]])="",TRUE()),0,IF(AND(INDEX(tsk_IsLeaf,GanttView[[#This Row],[_Row]])=1,NOT(GanttView[[#This Row],[_IsMilestone]]),N(GanttView[[#This Row],[%]])&gt;0),GanttView[[#This Row],[Forecast Start]],0))</f>
        <v>0</v>
      </c>
      <c r="P74" s="127" t="n">
        <f aca="false">IF(GanttView[[#This Row],[_DoneFrom]]=0,0,IF(GanttView[[#This Row],[%]]&gt;=1,GanttView[[#This Row],[Forecast Finish]],MAX(GanttView[[#This Row],[_DoneFrom]],GanttView[[#This Row],[Forecast Start]]+ROUND((GanttView[[#This Row],[Forecast Finish]]-GanttView[[#This Row],[Forecast Start]]+1)*GanttView[[#This Row],[%]],0)-1)))</f>
        <v>0</v>
      </c>
      <c r="Q74" s="127" t="n">
        <f aca="false">IF(IFERROR(INDEX(tsk_Name,GanttView[[#This Row],[_Row]])="",TRUE()),0,IF(OR(INDEX(tsk_IsLeaf,GanttView[[#This Row],[_Row]])&lt;&gt;1,GanttView[[#This Row],[_IsMilestone]],N(GanttView[[#This Row],[%]])&gt;=1),0,IF(GanttView[[#This Row],[_DoneTo]]&gt;0,GanttView[[#This Row],[_DoneTo]]+1,GanttView[[#This Row],[Forecast Start]])))</f>
        <v>0</v>
      </c>
      <c r="R74" s="127" t="n">
        <f aca="false">IF(GanttView[[#This Row],[_RemFrom]]=0,0,GanttView[[#This Row],[Forecast Finish]])</f>
        <v>0</v>
      </c>
      <c r="S74" s="126" t="b">
        <f aca="false">IF(IFERROR(INDEX(tsk_Name,GanttView[[#This Row],[_Row]])="",TRUE()),FALSE(),N(INDEX(tsk_Variance,GanttView[[#This Row],[_Row]]))&gt;0)</f>
        <v>0</v>
      </c>
      <c r="T74" s="127" t="n">
        <f aca="false">IF(IFERROR(INDEX(tsk_Name,GanttView[[#This Row],[_Row]])="",TRUE()),0,N(INDEX(tsk_Deadline,GanttView[[#This Row],[_Row]])))</f>
        <v>0</v>
      </c>
      <c r="U74" s="126" t="b">
        <f aca="false">IF(IFERROR(INDEX(tsk_Name,GanttView[[#This Row],[_Row]])="",TRUE()),FALSE(),INDEX(tsk_Critical,GanttView[[#This Row],[_Row]])="Yes")</f>
        <v>0</v>
      </c>
    </row>
    <row r="75" customFormat="false" ht="15" hidden="false" customHeight="false" outlineLevel="0" collapsed="false">
      <c r="A75" s="120" t="str">
        <f aca="false">IF(IFERROR(INDEX(tsk_Name,GanttView[[#This Row],[_Row]])="",TRUE()),"",INDEX(tsk_ID,GanttView[[#This Row],[_Row]]))</f>
        <v/>
      </c>
      <c r="B75" s="120" t="str">
        <f aca="false">IF(IFERROR(INDEX(tsk_Name,GanttView[[#This Row],[_Row]])="",TRUE()),"",INDEX(tsk_WBS,GanttView[[#This Row],[_Row]]))</f>
        <v/>
      </c>
      <c r="C75" s="121" t="str">
        <f aca="false">IF(IFERROR(INDEX(tsk_Name,GanttView[[#This Row],[_Row]])="",TRUE()),"",REPT("    ",INDEX(tsk_Level,GanttView[[#This Row],[_Row]])-1)&amp;INDEX(tsk_Name,GanttView[[#This Row],[_Row]]))</f>
        <v/>
      </c>
      <c r="D75" s="120" t="str">
        <f aca="false">IF(IFERROR(INDEX(tsk_Name,GanttView[[#This Row],[_Row]])="",TRUE()),"",IF(INDEX(tsk_IsSummary,GanttView[[#This Row],[_Row]]),NETWORKDAYS.INTL(INDEX(tsk_FcStart,GanttView[[#This Row],[_Row]]),INDEX(tsk_FcFinish,GanttView[[#This Row],[_Row]]),WorkWeek,Holidays),N(INDEX(tsk_Duration,GanttView[[#This Row],[_Row]]))))</f>
        <v/>
      </c>
      <c r="E75" s="122" t="str">
        <f aca="false">IF(IFERROR(INDEX(tsk_Name,GanttView[[#This Row],[_Row]])="",TRUE()),"",INDEX(tsk_PlanStart,GanttView[[#This Row],[_Row]]))</f>
        <v/>
      </c>
      <c r="F75" s="122" t="str">
        <f aca="false">IF(IFERROR(INDEX(tsk_Name,GanttView[[#This Row],[_Row]])="",TRUE()),"",INDEX(tsk_PlanFinish,GanttView[[#This Row],[_Row]]))</f>
        <v/>
      </c>
      <c r="G75" s="122" t="str">
        <f aca="false">IF(IFERROR(INDEX(tsk_Name,GanttView[[#This Row],[_Row]])="",TRUE()),"",INDEX(tsk_FcStart,GanttView[[#This Row],[_Row]]))</f>
        <v/>
      </c>
      <c r="H75" s="122" t="str">
        <f aca="false">IF(IFERROR(INDEX(tsk_Name,GanttView[[#This Row],[_Row]])="",TRUE()),"",INDEX(tsk_FcFinish,GanttView[[#This Row],[_Row]]))</f>
        <v/>
      </c>
      <c r="I75" s="123" t="str">
        <f aca="false">IF(IFERROR(INDEX(tsk_Name,GanttView[[#This Row],[_Row]])="",TRUE()),"",INDEX(tsk_Progress,GanttView[[#This Row],[_Row]]))</f>
        <v/>
      </c>
      <c r="J75" s="121" t="str">
        <f aca="false">IF(IFERROR(INDEX(tsk_Name,GanttView[[#This Row],[_Row]])="",TRUE()),"",INDEX(tsk_Resource,GanttView[[#This Row],[_Row]])&amp;"")</f>
        <v/>
      </c>
      <c r="K75" s="124" t="str">
        <f aca="false">IF(IFERROR(INDEX(tsk_Name,GanttView[[#This Row],[_Row]])="",TRUE()),"",INDEX(tsk_Status,GanttView[[#This Row],[_Row]]))</f>
        <v/>
      </c>
      <c r="L75" s="125" t="n">
        <f aca="false">ROW()-ROW(GanttView[[#Headers],[ID]])</f>
        <v>70</v>
      </c>
      <c r="M75" s="126" t="b">
        <f aca="false">IF(IFERROR(INDEX(tsk_Name,GanttView[[#This Row],[_Row]])="",TRUE()),FALSE(),INDEX(tsk_IsSummary,GanttView[[#This Row],[_Row]]))</f>
        <v>0</v>
      </c>
      <c r="N75" s="126" t="b">
        <f aca="false">IF(IFERROR(INDEX(tsk_Name,GanttView[[#This Row],[_Row]])="",TRUE()),FALSE(),AND(INDEX(tsk_IsLeaf,GanttView[[#This Row],[_Row]])=1,N(INDEX(tsk_Duration,GanttView[[#This Row],[_Row]]))=0))</f>
        <v>0</v>
      </c>
      <c r="O75" s="127" t="n">
        <f aca="false">IF(IFERROR(INDEX(tsk_Name,GanttView[[#This Row],[_Row]])="",TRUE()),0,IF(AND(INDEX(tsk_IsLeaf,GanttView[[#This Row],[_Row]])=1,NOT(GanttView[[#This Row],[_IsMilestone]]),N(GanttView[[#This Row],[%]])&gt;0),GanttView[[#This Row],[Forecast Start]],0))</f>
        <v>0</v>
      </c>
      <c r="P75" s="127" t="n">
        <f aca="false">IF(GanttView[[#This Row],[_DoneFrom]]=0,0,IF(GanttView[[#This Row],[%]]&gt;=1,GanttView[[#This Row],[Forecast Finish]],MAX(GanttView[[#This Row],[_DoneFrom]],GanttView[[#This Row],[Forecast Start]]+ROUND((GanttView[[#This Row],[Forecast Finish]]-GanttView[[#This Row],[Forecast Start]]+1)*GanttView[[#This Row],[%]],0)-1)))</f>
        <v>0</v>
      </c>
      <c r="Q75" s="127" t="n">
        <f aca="false">IF(IFERROR(INDEX(tsk_Name,GanttView[[#This Row],[_Row]])="",TRUE()),0,IF(OR(INDEX(tsk_IsLeaf,GanttView[[#This Row],[_Row]])&lt;&gt;1,GanttView[[#This Row],[_IsMilestone]],N(GanttView[[#This Row],[%]])&gt;=1),0,IF(GanttView[[#This Row],[_DoneTo]]&gt;0,GanttView[[#This Row],[_DoneTo]]+1,GanttView[[#This Row],[Forecast Start]])))</f>
        <v>0</v>
      </c>
      <c r="R75" s="127" t="n">
        <f aca="false">IF(GanttView[[#This Row],[_RemFrom]]=0,0,GanttView[[#This Row],[Forecast Finish]])</f>
        <v>0</v>
      </c>
      <c r="S75" s="126" t="b">
        <f aca="false">IF(IFERROR(INDEX(tsk_Name,GanttView[[#This Row],[_Row]])="",TRUE()),FALSE(),N(INDEX(tsk_Variance,GanttView[[#This Row],[_Row]]))&gt;0)</f>
        <v>0</v>
      </c>
      <c r="T75" s="127" t="n">
        <f aca="false">IF(IFERROR(INDEX(tsk_Name,GanttView[[#This Row],[_Row]])="",TRUE()),0,N(INDEX(tsk_Deadline,GanttView[[#This Row],[_Row]])))</f>
        <v>0</v>
      </c>
      <c r="U75" s="126" t="b">
        <f aca="false">IF(IFERROR(INDEX(tsk_Name,GanttView[[#This Row],[_Row]])="",TRUE()),FALSE(),INDEX(tsk_Critical,GanttView[[#This Row],[_Row]])="Yes")</f>
        <v>0</v>
      </c>
    </row>
    <row r="76" customFormat="false" ht="15" hidden="false" customHeight="false" outlineLevel="0" collapsed="false">
      <c r="A76" s="120" t="str">
        <f aca="false">IF(IFERROR(INDEX(tsk_Name,GanttView[[#This Row],[_Row]])="",TRUE()),"",INDEX(tsk_ID,GanttView[[#This Row],[_Row]]))</f>
        <v/>
      </c>
      <c r="B76" s="120" t="str">
        <f aca="false">IF(IFERROR(INDEX(tsk_Name,GanttView[[#This Row],[_Row]])="",TRUE()),"",INDEX(tsk_WBS,GanttView[[#This Row],[_Row]]))</f>
        <v/>
      </c>
      <c r="C76" s="121" t="str">
        <f aca="false">IF(IFERROR(INDEX(tsk_Name,GanttView[[#This Row],[_Row]])="",TRUE()),"",REPT("    ",INDEX(tsk_Level,GanttView[[#This Row],[_Row]])-1)&amp;INDEX(tsk_Name,GanttView[[#This Row],[_Row]]))</f>
        <v/>
      </c>
      <c r="D76" s="120" t="str">
        <f aca="false">IF(IFERROR(INDEX(tsk_Name,GanttView[[#This Row],[_Row]])="",TRUE()),"",IF(INDEX(tsk_IsSummary,GanttView[[#This Row],[_Row]]),NETWORKDAYS.INTL(INDEX(tsk_FcStart,GanttView[[#This Row],[_Row]]),INDEX(tsk_FcFinish,GanttView[[#This Row],[_Row]]),WorkWeek,Holidays),N(INDEX(tsk_Duration,GanttView[[#This Row],[_Row]]))))</f>
        <v/>
      </c>
      <c r="E76" s="122" t="str">
        <f aca="false">IF(IFERROR(INDEX(tsk_Name,GanttView[[#This Row],[_Row]])="",TRUE()),"",INDEX(tsk_PlanStart,GanttView[[#This Row],[_Row]]))</f>
        <v/>
      </c>
      <c r="F76" s="122" t="str">
        <f aca="false">IF(IFERROR(INDEX(tsk_Name,GanttView[[#This Row],[_Row]])="",TRUE()),"",INDEX(tsk_PlanFinish,GanttView[[#This Row],[_Row]]))</f>
        <v/>
      </c>
      <c r="G76" s="122" t="str">
        <f aca="false">IF(IFERROR(INDEX(tsk_Name,GanttView[[#This Row],[_Row]])="",TRUE()),"",INDEX(tsk_FcStart,GanttView[[#This Row],[_Row]]))</f>
        <v/>
      </c>
      <c r="H76" s="122" t="str">
        <f aca="false">IF(IFERROR(INDEX(tsk_Name,GanttView[[#This Row],[_Row]])="",TRUE()),"",INDEX(tsk_FcFinish,GanttView[[#This Row],[_Row]]))</f>
        <v/>
      </c>
      <c r="I76" s="123" t="str">
        <f aca="false">IF(IFERROR(INDEX(tsk_Name,GanttView[[#This Row],[_Row]])="",TRUE()),"",INDEX(tsk_Progress,GanttView[[#This Row],[_Row]]))</f>
        <v/>
      </c>
      <c r="J76" s="121" t="str">
        <f aca="false">IF(IFERROR(INDEX(tsk_Name,GanttView[[#This Row],[_Row]])="",TRUE()),"",INDEX(tsk_Resource,GanttView[[#This Row],[_Row]])&amp;"")</f>
        <v/>
      </c>
      <c r="K76" s="124" t="str">
        <f aca="false">IF(IFERROR(INDEX(tsk_Name,GanttView[[#This Row],[_Row]])="",TRUE()),"",INDEX(tsk_Status,GanttView[[#This Row],[_Row]]))</f>
        <v/>
      </c>
      <c r="L76" s="125" t="n">
        <f aca="false">ROW()-ROW(GanttView[[#Headers],[ID]])</f>
        <v>71</v>
      </c>
      <c r="M76" s="126" t="b">
        <f aca="false">IF(IFERROR(INDEX(tsk_Name,GanttView[[#This Row],[_Row]])="",TRUE()),FALSE(),INDEX(tsk_IsSummary,GanttView[[#This Row],[_Row]]))</f>
        <v>0</v>
      </c>
      <c r="N76" s="126" t="b">
        <f aca="false">IF(IFERROR(INDEX(tsk_Name,GanttView[[#This Row],[_Row]])="",TRUE()),FALSE(),AND(INDEX(tsk_IsLeaf,GanttView[[#This Row],[_Row]])=1,N(INDEX(tsk_Duration,GanttView[[#This Row],[_Row]]))=0))</f>
        <v>0</v>
      </c>
      <c r="O76" s="127" t="n">
        <f aca="false">IF(IFERROR(INDEX(tsk_Name,GanttView[[#This Row],[_Row]])="",TRUE()),0,IF(AND(INDEX(tsk_IsLeaf,GanttView[[#This Row],[_Row]])=1,NOT(GanttView[[#This Row],[_IsMilestone]]),N(GanttView[[#This Row],[%]])&gt;0),GanttView[[#This Row],[Forecast Start]],0))</f>
        <v>0</v>
      </c>
      <c r="P76" s="127" t="n">
        <f aca="false">IF(GanttView[[#This Row],[_DoneFrom]]=0,0,IF(GanttView[[#This Row],[%]]&gt;=1,GanttView[[#This Row],[Forecast Finish]],MAX(GanttView[[#This Row],[_DoneFrom]],GanttView[[#This Row],[Forecast Start]]+ROUND((GanttView[[#This Row],[Forecast Finish]]-GanttView[[#This Row],[Forecast Start]]+1)*GanttView[[#This Row],[%]],0)-1)))</f>
        <v>0</v>
      </c>
      <c r="Q76" s="127" t="n">
        <f aca="false">IF(IFERROR(INDEX(tsk_Name,GanttView[[#This Row],[_Row]])="",TRUE()),0,IF(OR(INDEX(tsk_IsLeaf,GanttView[[#This Row],[_Row]])&lt;&gt;1,GanttView[[#This Row],[_IsMilestone]],N(GanttView[[#This Row],[%]])&gt;=1),0,IF(GanttView[[#This Row],[_DoneTo]]&gt;0,GanttView[[#This Row],[_DoneTo]]+1,GanttView[[#This Row],[Forecast Start]])))</f>
        <v>0</v>
      </c>
      <c r="R76" s="127" t="n">
        <f aca="false">IF(GanttView[[#This Row],[_RemFrom]]=0,0,GanttView[[#This Row],[Forecast Finish]])</f>
        <v>0</v>
      </c>
      <c r="S76" s="126" t="b">
        <f aca="false">IF(IFERROR(INDEX(tsk_Name,GanttView[[#This Row],[_Row]])="",TRUE()),FALSE(),N(INDEX(tsk_Variance,GanttView[[#This Row],[_Row]]))&gt;0)</f>
        <v>0</v>
      </c>
      <c r="T76" s="127" t="n">
        <f aca="false">IF(IFERROR(INDEX(tsk_Name,GanttView[[#This Row],[_Row]])="",TRUE()),0,N(INDEX(tsk_Deadline,GanttView[[#This Row],[_Row]])))</f>
        <v>0</v>
      </c>
      <c r="U76" s="126" t="b">
        <f aca="false">IF(IFERROR(INDEX(tsk_Name,GanttView[[#This Row],[_Row]])="",TRUE()),FALSE(),INDEX(tsk_Critical,GanttView[[#This Row],[_Row]])="Yes")</f>
        <v>0</v>
      </c>
    </row>
    <row r="77" customFormat="false" ht="15" hidden="false" customHeight="false" outlineLevel="0" collapsed="false">
      <c r="A77" s="120" t="str">
        <f aca="false">IF(IFERROR(INDEX(tsk_Name,GanttView[[#This Row],[_Row]])="",TRUE()),"",INDEX(tsk_ID,GanttView[[#This Row],[_Row]]))</f>
        <v/>
      </c>
      <c r="B77" s="120" t="str">
        <f aca="false">IF(IFERROR(INDEX(tsk_Name,GanttView[[#This Row],[_Row]])="",TRUE()),"",INDEX(tsk_WBS,GanttView[[#This Row],[_Row]]))</f>
        <v/>
      </c>
      <c r="C77" s="121" t="str">
        <f aca="false">IF(IFERROR(INDEX(tsk_Name,GanttView[[#This Row],[_Row]])="",TRUE()),"",REPT("    ",INDEX(tsk_Level,GanttView[[#This Row],[_Row]])-1)&amp;INDEX(tsk_Name,GanttView[[#This Row],[_Row]]))</f>
        <v/>
      </c>
      <c r="D77" s="120" t="str">
        <f aca="false">IF(IFERROR(INDEX(tsk_Name,GanttView[[#This Row],[_Row]])="",TRUE()),"",IF(INDEX(tsk_IsSummary,GanttView[[#This Row],[_Row]]),NETWORKDAYS.INTL(INDEX(tsk_FcStart,GanttView[[#This Row],[_Row]]),INDEX(tsk_FcFinish,GanttView[[#This Row],[_Row]]),WorkWeek,Holidays),N(INDEX(tsk_Duration,GanttView[[#This Row],[_Row]]))))</f>
        <v/>
      </c>
      <c r="E77" s="122" t="str">
        <f aca="false">IF(IFERROR(INDEX(tsk_Name,GanttView[[#This Row],[_Row]])="",TRUE()),"",INDEX(tsk_PlanStart,GanttView[[#This Row],[_Row]]))</f>
        <v/>
      </c>
      <c r="F77" s="122" t="str">
        <f aca="false">IF(IFERROR(INDEX(tsk_Name,GanttView[[#This Row],[_Row]])="",TRUE()),"",INDEX(tsk_PlanFinish,GanttView[[#This Row],[_Row]]))</f>
        <v/>
      </c>
      <c r="G77" s="122" t="str">
        <f aca="false">IF(IFERROR(INDEX(tsk_Name,GanttView[[#This Row],[_Row]])="",TRUE()),"",INDEX(tsk_FcStart,GanttView[[#This Row],[_Row]]))</f>
        <v/>
      </c>
      <c r="H77" s="122" t="str">
        <f aca="false">IF(IFERROR(INDEX(tsk_Name,GanttView[[#This Row],[_Row]])="",TRUE()),"",INDEX(tsk_FcFinish,GanttView[[#This Row],[_Row]]))</f>
        <v/>
      </c>
      <c r="I77" s="123" t="str">
        <f aca="false">IF(IFERROR(INDEX(tsk_Name,GanttView[[#This Row],[_Row]])="",TRUE()),"",INDEX(tsk_Progress,GanttView[[#This Row],[_Row]]))</f>
        <v/>
      </c>
      <c r="J77" s="121" t="str">
        <f aca="false">IF(IFERROR(INDEX(tsk_Name,GanttView[[#This Row],[_Row]])="",TRUE()),"",INDEX(tsk_Resource,GanttView[[#This Row],[_Row]])&amp;"")</f>
        <v/>
      </c>
      <c r="K77" s="124" t="str">
        <f aca="false">IF(IFERROR(INDEX(tsk_Name,GanttView[[#This Row],[_Row]])="",TRUE()),"",INDEX(tsk_Status,GanttView[[#This Row],[_Row]]))</f>
        <v/>
      </c>
      <c r="L77" s="125" t="n">
        <f aca="false">ROW()-ROW(GanttView[[#Headers],[ID]])</f>
        <v>72</v>
      </c>
      <c r="M77" s="126" t="b">
        <f aca="false">IF(IFERROR(INDEX(tsk_Name,GanttView[[#This Row],[_Row]])="",TRUE()),FALSE(),INDEX(tsk_IsSummary,GanttView[[#This Row],[_Row]]))</f>
        <v>0</v>
      </c>
      <c r="N77" s="126" t="b">
        <f aca="false">IF(IFERROR(INDEX(tsk_Name,GanttView[[#This Row],[_Row]])="",TRUE()),FALSE(),AND(INDEX(tsk_IsLeaf,GanttView[[#This Row],[_Row]])=1,N(INDEX(tsk_Duration,GanttView[[#This Row],[_Row]]))=0))</f>
        <v>0</v>
      </c>
      <c r="O77" s="127" t="n">
        <f aca="false">IF(IFERROR(INDEX(tsk_Name,GanttView[[#This Row],[_Row]])="",TRUE()),0,IF(AND(INDEX(tsk_IsLeaf,GanttView[[#This Row],[_Row]])=1,NOT(GanttView[[#This Row],[_IsMilestone]]),N(GanttView[[#This Row],[%]])&gt;0),GanttView[[#This Row],[Forecast Start]],0))</f>
        <v>0</v>
      </c>
      <c r="P77" s="127" t="n">
        <f aca="false">IF(GanttView[[#This Row],[_DoneFrom]]=0,0,IF(GanttView[[#This Row],[%]]&gt;=1,GanttView[[#This Row],[Forecast Finish]],MAX(GanttView[[#This Row],[_DoneFrom]],GanttView[[#This Row],[Forecast Start]]+ROUND((GanttView[[#This Row],[Forecast Finish]]-GanttView[[#This Row],[Forecast Start]]+1)*GanttView[[#This Row],[%]],0)-1)))</f>
        <v>0</v>
      </c>
      <c r="Q77" s="127" t="n">
        <f aca="false">IF(IFERROR(INDEX(tsk_Name,GanttView[[#This Row],[_Row]])="",TRUE()),0,IF(OR(INDEX(tsk_IsLeaf,GanttView[[#This Row],[_Row]])&lt;&gt;1,GanttView[[#This Row],[_IsMilestone]],N(GanttView[[#This Row],[%]])&gt;=1),0,IF(GanttView[[#This Row],[_DoneTo]]&gt;0,GanttView[[#This Row],[_DoneTo]]+1,GanttView[[#This Row],[Forecast Start]])))</f>
        <v>0</v>
      </c>
      <c r="R77" s="127" t="n">
        <f aca="false">IF(GanttView[[#This Row],[_RemFrom]]=0,0,GanttView[[#This Row],[Forecast Finish]])</f>
        <v>0</v>
      </c>
      <c r="S77" s="126" t="b">
        <f aca="false">IF(IFERROR(INDEX(tsk_Name,GanttView[[#This Row],[_Row]])="",TRUE()),FALSE(),N(INDEX(tsk_Variance,GanttView[[#This Row],[_Row]]))&gt;0)</f>
        <v>0</v>
      </c>
      <c r="T77" s="127" t="n">
        <f aca="false">IF(IFERROR(INDEX(tsk_Name,GanttView[[#This Row],[_Row]])="",TRUE()),0,N(INDEX(tsk_Deadline,GanttView[[#This Row],[_Row]])))</f>
        <v>0</v>
      </c>
      <c r="U77" s="126" t="b">
        <f aca="false">IF(IFERROR(INDEX(tsk_Name,GanttView[[#This Row],[_Row]])="",TRUE()),FALSE(),INDEX(tsk_Critical,GanttView[[#This Row],[_Row]])="Yes")</f>
        <v>0</v>
      </c>
    </row>
    <row r="78" customFormat="false" ht="15" hidden="false" customHeight="false" outlineLevel="0" collapsed="false">
      <c r="A78" s="120" t="str">
        <f aca="false">IF(IFERROR(INDEX(tsk_Name,GanttView[[#This Row],[_Row]])="",TRUE()),"",INDEX(tsk_ID,GanttView[[#This Row],[_Row]]))</f>
        <v/>
      </c>
      <c r="B78" s="120" t="str">
        <f aca="false">IF(IFERROR(INDEX(tsk_Name,GanttView[[#This Row],[_Row]])="",TRUE()),"",INDEX(tsk_WBS,GanttView[[#This Row],[_Row]]))</f>
        <v/>
      </c>
      <c r="C78" s="121" t="str">
        <f aca="false">IF(IFERROR(INDEX(tsk_Name,GanttView[[#This Row],[_Row]])="",TRUE()),"",REPT("    ",INDEX(tsk_Level,GanttView[[#This Row],[_Row]])-1)&amp;INDEX(tsk_Name,GanttView[[#This Row],[_Row]]))</f>
        <v/>
      </c>
      <c r="D78" s="120" t="str">
        <f aca="false">IF(IFERROR(INDEX(tsk_Name,GanttView[[#This Row],[_Row]])="",TRUE()),"",IF(INDEX(tsk_IsSummary,GanttView[[#This Row],[_Row]]),NETWORKDAYS.INTL(INDEX(tsk_FcStart,GanttView[[#This Row],[_Row]]),INDEX(tsk_FcFinish,GanttView[[#This Row],[_Row]]),WorkWeek,Holidays),N(INDEX(tsk_Duration,GanttView[[#This Row],[_Row]]))))</f>
        <v/>
      </c>
      <c r="E78" s="122" t="str">
        <f aca="false">IF(IFERROR(INDEX(tsk_Name,GanttView[[#This Row],[_Row]])="",TRUE()),"",INDEX(tsk_PlanStart,GanttView[[#This Row],[_Row]]))</f>
        <v/>
      </c>
      <c r="F78" s="122" t="str">
        <f aca="false">IF(IFERROR(INDEX(tsk_Name,GanttView[[#This Row],[_Row]])="",TRUE()),"",INDEX(tsk_PlanFinish,GanttView[[#This Row],[_Row]]))</f>
        <v/>
      </c>
      <c r="G78" s="122" t="str">
        <f aca="false">IF(IFERROR(INDEX(tsk_Name,GanttView[[#This Row],[_Row]])="",TRUE()),"",INDEX(tsk_FcStart,GanttView[[#This Row],[_Row]]))</f>
        <v/>
      </c>
      <c r="H78" s="122" t="str">
        <f aca="false">IF(IFERROR(INDEX(tsk_Name,GanttView[[#This Row],[_Row]])="",TRUE()),"",INDEX(tsk_FcFinish,GanttView[[#This Row],[_Row]]))</f>
        <v/>
      </c>
      <c r="I78" s="123" t="str">
        <f aca="false">IF(IFERROR(INDEX(tsk_Name,GanttView[[#This Row],[_Row]])="",TRUE()),"",INDEX(tsk_Progress,GanttView[[#This Row],[_Row]]))</f>
        <v/>
      </c>
      <c r="J78" s="121" t="str">
        <f aca="false">IF(IFERROR(INDEX(tsk_Name,GanttView[[#This Row],[_Row]])="",TRUE()),"",INDEX(tsk_Resource,GanttView[[#This Row],[_Row]])&amp;"")</f>
        <v/>
      </c>
      <c r="K78" s="124" t="str">
        <f aca="false">IF(IFERROR(INDEX(tsk_Name,GanttView[[#This Row],[_Row]])="",TRUE()),"",INDEX(tsk_Status,GanttView[[#This Row],[_Row]]))</f>
        <v/>
      </c>
      <c r="L78" s="125" t="n">
        <f aca="false">ROW()-ROW(GanttView[[#Headers],[ID]])</f>
        <v>73</v>
      </c>
      <c r="M78" s="126" t="b">
        <f aca="false">IF(IFERROR(INDEX(tsk_Name,GanttView[[#This Row],[_Row]])="",TRUE()),FALSE(),INDEX(tsk_IsSummary,GanttView[[#This Row],[_Row]]))</f>
        <v>0</v>
      </c>
      <c r="N78" s="126" t="b">
        <f aca="false">IF(IFERROR(INDEX(tsk_Name,GanttView[[#This Row],[_Row]])="",TRUE()),FALSE(),AND(INDEX(tsk_IsLeaf,GanttView[[#This Row],[_Row]])=1,N(INDEX(tsk_Duration,GanttView[[#This Row],[_Row]]))=0))</f>
        <v>0</v>
      </c>
      <c r="O78" s="127" t="n">
        <f aca="false">IF(IFERROR(INDEX(tsk_Name,GanttView[[#This Row],[_Row]])="",TRUE()),0,IF(AND(INDEX(tsk_IsLeaf,GanttView[[#This Row],[_Row]])=1,NOT(GanttView[[#This Row],[_IsMilestone]]),N(GanttView[[#This Row],[%]])&gt;0),GanttView[[#This Row],[Forecast Start]],0))</f>
        <v>0</v>
      </c>
      <c r="P78" s="127" t="n">
        <f aca="false">IF(GanttView[[#This Row],[_DoneFrom]]=0,0,IF(GanttView[[#This Row],[%]]&gt;=1,GanttView[[#This Row],[Forecast Finish]],MAX(GanttView[[#This Row],[_DoneFrom]],GanttView[[#This Row],[Forecast Start]]+ROUND((GanttView[[#This Row],[Forecast Finish]]-GanttView[[#This Row],[Forecast Start]]+1)*GanttView[[#This Row],[%]],0)-1)))</f>
        <v>0</v>
      </c>
      <c r="Q78" s="127" t="n">
        <f aca="false">IF(IFERROR(INDEX(tsk_Name,GanttView[[#This Row],[_Row]])="",TRUE()),0,IF(OR(INDEX(tsk_IsLeaf,GanttView[[#This Row],[_Row]])&lt;&gt;1,GanttView[[#This Row],[_IsMilestone]],N(GanttView[[#This Row],[%]])&gt;=1),0,IF(GanttView[[#This Row],[_DoneTo]]&gt;0,GanttView[[#This Row],[_DoneTo]]+1,GanttView[[#This Row],[Forecast Start]])))</f>
        <v>0</v>
      </c>
      <c r="R78" s="127" t="n">
        <f aca="false">IF(GanttView[[#This Row],[_RemFrom]]=0,0,GanttView[[#This Row],[Forecast Finish]])</f>
        <v>0</v>
      </c>
      <c r="S78" s="126" t="b">
        <f aca="false">IF(IFERROR(INDEX(tsk_Name,GanttView[[#This Row],[_Row]])="",TRUE()),FALSE(),N(INDEX(tsk_Variance,GanttView[[#This Row],[_Row]]))&gt;0)</f>
        <v>0</v>
      </c>
      <c r="T78" s="127" t="n">
        <f aca="false">IF(IFERROR(INDEX(tsk_Name,GanttView[[#This Row],[_Row]])="",TRUE()),0,N(INDEX(tsk_Deadline,GanttView[[#This Row],[_Row]])))</f>
        <v>0</v>
      </c>
      <c r="U78" s="126" t="b">
        <f aca="false">IF(IFERROR(INDEX(tsk_Name,GanttView[[#This Row],[_Row]])="",TRUE()),FALSE(),INDEX(tsk_Critical,GanttView[[#This Row],[_Row]])="Yes")</f>
        <v>0</v>
      </c>
    </row>
    <row r="79" customFormat="false" ht="15" hidden="false" customHeight="false" outlineLevel="0" collapsed="false">
      <c r="A79" s="120" t="str">
        <f aca="false">IF(IFERROR(INDEX(tsk_Name,GanttView[[#This Row],[_Row]])="",TRUE()),"",INDEX(tsk_ID,GanttView[[#This Row],[_Row]]))</f>
        <v/>
      </c>
      <c r="B79" s="120" t="str">
        <f aca="false">IF(IFERROR(INDEX(tsk_Name,GanttView[[#This Row],[_Row]])="",TRUE()),"",INDEX(tsk_WBS,GanttView[[#This Row],[_Row]]))</f>
        <v/>
      </c>
      <c r="C79" s="121" t="str">
        <f aca="false">IF(IFERROR(INDEX(tsk_Name,GanttView[[#This Row],[_Row]])="",TRUE()),"",REPT("    ",INDEX(tsk_Level,GanttView[[#This Row],[_Row]])-1)&amp;INDEX(tsk_Name,GanttView[[#This Row],[_Row]]))</f>
        <v/>
      </c>
      <c r="D79" s="120" t="str">
        <f aca="false">IF(IFERROR(INDEX(tsk_Name,GanttView[[#This Row],[_Row]])="",TRUE()),"",IF(INDEX(tsk_IsSummary,GanttView[[#This Row],[_Row]]),NETWORKDAYS.INTL(INDEX(tsk_FcStart,GanttView[[#This Row],[_Row]]),INDEX(tsk_FcFinish,GanttView[[#This Row],[_Row]]),WorkWeek,Holidays),N(INDEX(tsk_Duration,GanttView[[#This Row],[_Row]]))))</f>
        <v/>
      </c>
      <c r="E79" s="122" t="str">
        <f aca="false">IF(IFERROR(INDEX(tsk_Name,GanttView[[#This Row],[_Row]])="",TRUE()),"",INDEX(tsk_PlanStart,GanttView[[#This Row],[_Row]]))</f>
        <v/>
      </c>
      <c r="F79" s="122" t="str">
        <f aca="false">IF(IFERROR(INDEX(tsk_Name,GanttView[[#This Row],[_Row]])="",TRUE()),"",INDEX(tsk_PlanFinish,GanttView[[#This Row],[_Row]]))</f>
        <v/>
      </c>
      <c r="G79" s="122" t="str">
        <f aca="false">IF(IFERROR(INDEX(tsk_Name,GanttView[[#This Row],[_Row]])="",TRUE()),"",INDEX(tsk_FcStart,GanttView[[#This Row],[_Row]]))</f>
        <v/>
      </c>
      <c r="H79" s="122" t="str">
        <f aca="false">IF(IFERROR(INDEX(tsk_Name,GanttView[[#This Row],[_Row]])="",TRUE()),"",INDEX(tsk_FcFinish,GanttView[[#This Row],[_Row]]))</f>
        <v/>
      </c>
      <c r="I79" s="123" t="str">
        <f aca="false">IF(IFERROR(INDEX(tsk_Name,GanttView[[#This Row],[_Row]])="",TRUE()),"",INDEX(tsk_Progress,GanttView[[#This Row],[_Row]]))</f>
        <v/>
      </c>
      <c r="J79" s="121" t="str">
        <f aca="false">IF(IFERROR(INDEX(tsk_Name,GanttView[[#This Row],[_Row]])="",TRUE()),"",INDEX(tsk_Resource,GanttView[[#This Row],[_Row]])&amp;"")</f>
        <v/>
      </c>
      <c r="K79" s="124" t="str">
        <f aca="false">IF(IFERROR(INDEX(tsk_Name,GanttView[[#This Row],[_Row]])="",TRUE()),"",INDEX(tsk_Status,GanttView[[#This Row],[_Row]]))</f>
        <v/>
      </c>
      <c r="L79" s="125" t="n">
        <f aca="false">ROW()-ROW(GanttView[[#Headers],[ID]])</f>
        <v>74</v>
      </c>
      <c r="M79" s="126" t="b">
        <f aca="false">IF(IFERROR(INDEX(tsk_Name,GanttView[[#This Row],[_Row]])="",TRUE()),FALSE(),INDEX(tsk_IsSummary,GanttView[[#This Row],[_Row]]))</f>
        <v>0</v>
      </c>
      <c r="N79" s="126" t="b">
        <f aca="false">IF(IFERROR(INDEX(tsk_Name,GanttView[[#This Row],[_Row]])="",TRUE()),FALSE(),AND(INDEX(tsk_IsLeaf,GanttView[[#This Row],[_Row]])=1,N(INDEX(tsk_Duration,GanttView[[#This Row],[_Row]]))=0))</f>
        <v>0</v>
      </c>
      <c r="O79" s="127" t="n">
        <f aca="false">IF(IFERROR(INDEX(tsk_Name,GanttView[[#This Row],[_Row]])="",TRUE()),0,IF(AND(INDEX(tsk_IsLeaf,GanttView[[#This Row],[_Row]])=1,NOT(GanttView[[#This Row],[_IsMilestone]]),N(GanttView[[#This Row],[%]])&gt;0),GanttView[[#This Row],[Forecast Start]],0))</f>
        <v>0</v>
      </c>
      <c r="P79" s="127" t="n">
        <f aca="false">IF(GanttView[[#This Row],[_DoneFrom]]=0,0,IF(GanttView[[#This Row],[%]]&gt;=1,GanttView[[#This Row],[Forecast Finish]],MAX(GanttView[[#This Row],[_DoneFrom]],GanttView[[#This Row],[Forecast Start]]+ROUND((GanttView[[#This Row],[Forecast Finish]]-GanttView[[#This Row],[Forecast Start]]+1)*GanttView[[#This Row],[%]],0)-1)))</f>
        <v>0</v>
      </c>
      <c r="Q79" s="127" t="n">
        <f aca="false">IF(IFERROR(INDEX(tsk_Name,GanttView[[#This Row],[_Row]])="",TRUE()),0,IF(OR(INDEX(tsk_IsLeaf,GanttView[[#This Row],[_Row]])&lt;&gt;1,GanttView[[#This Row],[_IsMilestone]],N(GanttView[[#This Row],[%]])&gt;=1),0,IF(GanttView[[#This Row],[_DoneTo]]&gt;0,GanttView[[#This Row],[_DoneTo]]+1,GanttView[[#This Row],[Forecast Start]])))</f>
        <v>0</v>
      </c>
      <c r="R79" s="127" t="n">
        <f aca="false">IF(GanttView[[#This Row],[_RemFrom]]=0,0,GanttView[[#This Row],[Forecast Finish]])</f>
        <v>0</v>
      </c>
      <c r="S79" s="126" t="b">
        <f aca="false">IF(IFERROR(INDEX(tsk_Name,GanttView[[#This Row],[_Row]])="",TRUE()),FALSE(),N(INDEX(tsk_Variance,GanttView[[#This Row],[_Row]]))&gt;0)</f>
        <v>0</v>
      </c>
      <c r="T79" s="127" t="n">
        <f aca="false">IF(IFERROR(INDEX(tsk_Name,GanttView[[#This Row],[_Row]])="",TRUE()),0,N(INDEX(tsk_Deadline,GanttView[[#This Row],[_Row]])))</f>
        <v>0</v>
      </c>
      <c r="U79" s="126" t="b">
        <f aca="false">IF(IFERROR(INDEX(tsk_Name,GanttView[[#This Row],[_Row]])="",TRUE()),FALSE(),INDEX(tsk_Critical,GanttView[[#This Row],[_Row]])="Yes")</f>
        <v>0</v>
      </c>
    </row>
    <row r="80" customFormat="false" ht="15" hidden="false" customHeight="false" outlineLevel="0" collapsed="false">
      <c r="A80" s="120" t="str">
        <f aca="false">IF(IFERROR(INDEX(tsk_Name,GanttView[[#This Row],[_Row]])="",TRUE()),"",INDEX(tsk_ID,GanttView[[#This Row],[_Row]]))</f>
        <v/>
      </c>
      <c r="B80" s="120" t="str">
        <f aca="false">IF(IFERROR(INDEX(tsk_Name,GanttView[[#This Row],[_Row]])="",TRUE()),"",INDEX(tsk_WBS,GanttView[[#This Row],[_Row]]))</f>
        <v/>
      </c>
      <c r="C80" s="121" t="str">
        <f aca="false">IF(IFERROR(INDEX(tsk_Name,GanttView[[#This Row],[_Row]])="",TRUE()),"",REPT("    ",INDEX(tsk_Level,GanttView[[#This Row],[_Row]])-1)&amp;INDEX(tsk_Name,GanttView[[#This Row],[_Row]]))</f>
        <v/>
      </c>
      <c r="D80" s="120" t="str">
        <f aca="false">IF(IFERROR(INDEX(tsk_Name,GanttView[[#This Row],[_Row]])="",TRUE()),"",IF(INDEX(tsk_IsSummary,GanttView[[#This Row],[_Row]]),NETWORKDAYS.INTL(INDEX(tsk_FcStart,GanttView[[#This Row],[_Row]]),INDEX(tsk_FcFinish,GanttView[[#This Row],[_Row]]),WorkWeek,Holidays),N(INDEX(tsk_Duration,GanttView[[#This Row],[_Row]]))))</f>
        <v/>
      </c>
      <c r="E80" s="122" t="str">
        <f aca="false">IF(IFERROR(INDEX(tsk_Name,GanttView[[#This Row],[_Row]])="",TRUE()),"",INDEX(tsk_PlanStart,GanttView[[#This Row],[_Row]]))</f>
        <v/>
      </c>
      <c r="F80" s="122" t="str">
        <f aca="false">IF(IFERROR(INDEX(tsk_Name,GanttView[[#This Row],[_Row]])="",TRUE()),"",INDEX(tsk_PlanFinish,GanttView[[#This Row],[_Row]]))</f>
        <v/>
      </c>
      <c r="G80" s="122" t="str">
        <f aca="false">IF(IFERROR(INDEX(tsk_Name,GanttView[[#This Row],[_Row]])="",TRUE()),"",INDEX(tsk_FcStart,GanttView[[#This Row],[_Row]]))</f>
        <v/>
      </c>
      <c r="H80" s="122" t="str">
        <f aca="false">IF(IFERROR(INDEX(tsk_Name,GanttView[[#This Row],[_Row]])="",TRUE()),"",INDEX(tsk_FcFinish,GanttView[[#This Row],[_Row]]))</f>
        <v/>
      </c>
      <c r="I80" s="123" t="str">
        <f aca="false">IF(IFERROR(INDEX(tsk_Name,GanttView[[#This Row],[_Row]])="",TRUE()),"",INDEX(tsk_Progress,GanttView[[#This Row],[_Row]]))</f>
        <v/>
      </c>
      <c r="J80" s="121" t="str">
        <f aca="false">IF(IFERROR(INDEX(tsk_Name,GanttView[[#This Row],[_Row]])="",TRUE()),"",INDEX(tsk_Resource,GanttView[[#This Row],[_Row]])&amp;"")</f>
        <v/>
      </c>
      <c r="K80" s="124" t="str">
        <f aca="false">IF(IFERROR(INDEX(tsk_Name,GanttView[[#This Row],[_Row]])="",TRUE()),"",INDEX(tsk_Status,GanttView[[#This Row],[_Row]]))</f>
        <v/>
      </c>
      <c r="L80" s="125" t="n">
        <f aca="false">ROW()-ROW(GanttView[[#Headers],[ID]])</f>
        <v>75</v>
      </c>
      <c r="M80" s="126" t="b">
        <f aca="false">IF(IFERROR(INDEX(tsk_Name,GanttView[[#This Row],[_Row]])="",TRUE()),FALSE(),INDEX(tsk_IsSummary,GanttView[[#This Row],[_Row]]))</f>
        <v>0</v>
      </c>
      <c r="N80" s="126" t="b">
        <f aca="false">IF(IFERROR(INDEX(tsk_Name,GanttView[[#This Row],[_Row]])="",TRUE()),FALSE(),AND(INDEX(tsk_IsLeaf,GanttView[[#This Row],[_Row]])=1,N(INDEX(tsk_Duration,GanttView[[#This Row],[_Row]]))=0))</f>
        <v>0</v>
      </c>
      <c r="O80" s="127" t="n">
        <f aca="false">IF(IFERROR(INDEX(tsk_Name,GanttView[[#This Row],[_Row]])="",TRUE()),0,IF(AND(INDEX(tsk_IsLeaf,GanttView[[#This Row],[_Row]])=1,NOT(GanttView[[#This Row],[_IsMilestone]]),N(GanttView[[#This Row],[%]])&gt;0),GanttView[[#This Row],[Forecast Start]],0))</f>
        <v>0</v>
      </c>
      <c r="P80" s="127" t="n">
        <f aca="false">IF(GanttView[[#This Row],[_DoneFrom]]=0,0,IF(GanttView[[#This Row],[%]]&gt;=1,GanttView[[#This Row],[Forecast Finish]],MAX(GanttView[[#This Row],[_DoneFrom]],GanttView[[#This Row],[Forecast Start]]+ROUND((GanttView[[#This Row],[Forecast Finish]]-GanttView[[#This Row],[Forecast Start]]+1)*GanttView[[#This Row],[%]],0)-1)))</f>
        <v>0</v>
      </c>
      <c r="Q80" s="127" t="n">
        <f aca="false">IF(IFERROR(INDEX(tsk_Name,GanttView[[#This Row],[_Row]])="",TRUE()),0,IF(OR(INDEX(tsk_IsLeaf,GanttView[[#This Row],[_Row]])&lt;&gt;1,GanttView[[#This Row],[_IsMilestone]],N(GanttView[[#This Row],[%]])&gt;=1),0,IF(GanttView[[#This Row],[_DoneTo]]&gt;0,GanttView[[#This Row],[_DoneTo]]+1,GanttView[[#This Row],[Forecast Start]])))</f>
        <v>0</v>
      </c>
      <c r="R80" s="127" t="n">
        <f aca="false">IF(GanttView[[#This Row],[_RemFrom]]=0,0,GanttView[[#This Row],[Forecast Finish]])</f>
        <v>0</v>
      </c>
      <c r="S80" s="126" t="b">
        <f aca="false">IF(IFERROR(INDEX(tsk_Name,GanttView[[#This Row],[_Row]])="",TRUE()),FALSE(),N(INDEX(tsk_Variance,GanttView[[#This Row],[_Row]]))&gt;0)</f>
        <v>0</v>
      </c>
      <c r="T80" s="127" t="n">
        <f aca="false">IF(IFERROR(INDEX(tsk_Name,GanttView[[#This Row],[_Row]])="",TRUE()),0,N(INDEX(tsk_Deadline,GanttView[[#This Row],[_Row]])))</f>
        <v>0</v>
      </c>
      <c r="U80" s="126" t="b">
        <f aca="false">IF(IFERROR(INDEX(tsk_Name,GanttView[[#This Row],[_Row]])="",TRUE()),FALSE(),INDEX(tsk_Critical,GanttView[[#This Row],[_Row]])="Yes")</f>
        <v>0</v>
      </c>
    </row>
    <row r="81" customFormat="false" ht="15" hidden="false" customHeight="false" outlineLevel="0" collapsed="false">
      <c r="A81" s="120" t="str">
        <f aca="false">IF(IFERROR(INDEX(tsk_Name,GanttView[[#This Row],[_Row]])="",TRUE()),"",INDEX(tsk_ID,GanttView[[#This Row],[_Row]]))</f>
        <v/>
      </c>
      <c r="B81" s="120" t="str">
        <f aca="false">IF(IFERROR(INDEX(tsk_Name,GanttView[[#This Row],[_Row]])="",TRUE()),"",INDEX(tsk_WBS,GanttView[[#This Row],[_Row]]))</f>
        <v/>
      </c>
      <c r="C81" s="121" t="str">
        <f aca="false">IF(IFERROR(INDEX(tsk_Name,GanttView[[#This Row],[_Row]])="",TRUE()),"",REPT("    ",INDEX(tsk_Level,GanttView[[#This Row],[_Row]])-1)&amp;INDEX(tsk_Name,GanttView[[#This Row],[_Row]]))</f>
        <v/>
      </c>
      <c r="D81" s="120" t="str">
        <f aca="false">IF(IFERROR(INDEX(tsk_Name,GanttView[[#This Row],[_Row]])="",TRUE()),"",IF(INDEX(tsk_IsSummary,GanttView[[#This Row],[_Row]]),NETWORKDAYS.INTL(INDEX(tsk_FcStart,GanttView[[#This Row],[_Row]]),INDEX(tsk_FcFinish,GanttView[[#This Row],[_Row]]),WorkWeek,Holidays),N(INDEX(tsk_Duration,GanttView[[#This Row],[_Row]]))))</f>
        <v/>
      </c>
      <c r="E81" s="122" t="str">
        <f aca="false">IF(IFERROR(INDEX(tsk_Name,GanttView[[#This Row],[_Row]])="",TRUE()),"",INDEX(tsk_PlanStart,GanttView[[#This Row],[_Row]]))</f>
        <v/>
      </c>
      <c r="F81" s="122" t="str">
        <f aca="false">IF(IFERROR(INDEX(tsk_Name,GanttView[[#This Row],[_Row]])="",TRUE()),"",INDEX(tsk_PlanFinish,GanttView[[#This Row],[_Row]]))</f>
        <v/>
      </c>
      <c r="G81" s="122" t="str">
        <f aca="false">IF(IFERROR(INDEX(tsk_Name,GanttView[[#This Row],[_Row]])="",TRUE()),"",INDEX(tsk_FcStart,GanttView[[#This Row],[_Row]]))</f>
        <v/>
      </c>
      <c r="H81" s="122" t="str">
        <f aca="false">IF(IFERROR(INDEX(tsk_Name,GanttView[[#This Row],[_Row]])="",TRUE()),"",INDEX(tsk_FcFinish,GanttView[[#This Row],[_Row]]))</f>
        <v/>
      </c>
      <c r="I81" s="123" t="str">
        <f aca="false">IF(IFERROR(INDEX(tsk_Name,GanttView[[#This Row],[_Row]])="",TRUE()),"",INDEX(tsk_Progress,GanttView[[#This Row],[_Row]]))</f>
        <v/>
      </c>
      <c r="J81" s="121" t="str">
        <f aca="false">IF(IFERROR(INDEX(tsk_Name,GanttView[[#This Row],[_Row]])="",TRUE()),"",INDEX(tsk_Resource,GanttView[[#This Row],[_Row]])&amp;"")</f>
        <v/>
      </c>
      <c r="K81" s="124" t="str">
        <f aca="false">IF(IFERROR(INDEX(tsk_Name,GanttView[[#This Row],[_Row]])="",TRUE()),"",INDEX(tsk_Status,GanttView[[#This Row],[_Row]]))</f>
        <v/>
      </c>
      <c r="L81" s="125" t="n">
        <f aca="false">ROW()-ROW(GanttView[[#Headers],[ID]])</f>
        <v>76</v>
      </c>
      <c r="M81" s="126" t="b">
        <f aca="false">IF(IFERROR(INDEX(tsk_Name,GanttView[[#This Row],[_Row]])="",TRUE()),FALSE(),INDEX(tsk_IsSummary,GanttView[[#This Row],[_Row]]))</f>
        <v>0</v>
      </c>
      <c r="N81" s="126" t="b">
        <f aca="false">IF(IFERROR(INDEX(tsk_Name,GanttView[[#This Row],[_Row]])="",TRUE()),FALSE(),AND(INDEX(tsk_IsLeaf,GanttView[[#This Row],[_Row]])=1,N(INDEX(tsk_Duration,GanttView[[#This Row],[_Row]]))=0))</f>
        <v>0</v>
      </c>
      <c r="O81" s="127" t="n">
        <f aca="false">IF(IFERROR(INDEX(tsk_Name,GanttView[[#This Row],[_Row]])="",TRUE()),0,IF(AND(INDEX(tsk_IsLeaf,GanttView[[#This Row],[_Row]])=1,NOT(GanttView[[#This Row],[_IsMilestone]]),N(GanttView[[#This Row],[%]])&gt;0),GanttView[[#This Row],[Forecast Start]],0))</f>
        <v>0</v>
      </c>
      <c r="P81" s="127" t="n">
        <f aca="false">IF(GanttView[[#This Row],[_DoneFrom]]=0,0,IF(GanttView[[#This Row],[%]]&gt;=1,GanttView[[#This Row],[Forecast Finish]],MAX(GanttView[[#This Row],[_DoneFrom]],GanttView[[#This Row],[Forecast Start]]+ROUND((GanttView[[#This Row],[Forecast Finish]]-GanttView[[#This Row],[Forecast Start]]+1)*GanttView[[#This Row],[%]],0)-1)))</f>
        <v>0</v>
      </c>
      <c r="Q81" s="127" t="n">
        <f aca="false">IF(IFERROR(INDEX(tsk_Name,GanttView[[#This Row],[_Row]])="",TRUE()),0,IF(OR(INDEX(tsk_IsLeaf,GanttView[[#This Row],[_Row]])&lt;&gt;1,GanttView[[#This Row],[_IsMilestone]],N(GanttView[[#This Row],[%]])&gt;=1),0,IF(GanttView[[#This Row],[_DoneTo]]&gt;0,GanttView[[#This Row],[_DoneTo]]+1,GanttView[[#This Row],[Forecast Start]])))</f>
        <v>0</v>
      </c>
      <c r="R81" s="127" t="n">
        <f aca="false">IF(GanttView[[#This Row],[_RemFrom]]=0,0,GanttView[[#This Row],[Forecast Finish]])</f>
        <v>0</v>
      </c>
      <c r="S81" s="126" t="b">
        <f aca="false">IF(IFERROR(INDEX(tsk_Name,GanttView[[#This Row],[_Row]])="",TRUE()),FALSE(),N(INDEX(tsk_Variance,GanttView[[#This Row],[_Row]]))&gt;0)</f>
        <v>0</v>
      </c>
      <c r="T81" s="127" t="n">
        <f aca="false">IF(IFERROR(INDEX(tsk_Name,GanttView[[#This Row],[_Row]])="",TRUE()),0,N(INDEX(tsk_Deadline,GanttView[[#This Row],[_Row]])))</f>
        <v>0</v>
      </c>
      <c r="U81" s="126" t="b">
        <f aca="false">IF(IFERROR(INDEX(tsk_Name,GanttView[[#This Row],[_Row]])="",TRUE()),FALSE(),INDEX(tsk_Critical,GanttView[[#This Row],[_Row]])="Yes")</f>
        <v>0</v>
      </c>
    </row>
    <row r="82" customFormat="false" ht="15" hidden="false" customHeight="false" outlineLevel="0" collapsed="false">
      <c r="A82" s="120" t="str">
        <f aca="false">IF(IFERROR(INDEX(tsk_Name,GanttView[[#This Row],[_Row]])="",TRUE()),"",INDEX(tsk_ID,GanttView[[#This Row],[_Row]]))</f>
        <v/>
      </c>
      <c r="B82" s="120" t="str">
        <f aca="false">IF(IFERROR(INDEX(tsk_Name,GanttView[[#This Row],[_Row]])="",TRUE()),"",INDEX(tsk_WBS,GanttView[[#This Row],[_Row]]))</f>
        <v/>
      </c>
      <c r="C82" s="121" t="str">
        <f aca="false">IF(IFERROR(INDEX(tsk_Name,GanttView[[#This Row],[_Row]])="",TRUE()),"",REPT("    ",INDEX(tsk_Level,GanttView[[#This Row],[_Row]])-1)&amp;INDEX(tsk_Name,GanttView[[#This Row],[_Row]]))</f>
        <v/>
      </c>
      <c r="D82" s="120" t="str">
        <f aca="false">IF(IFERROR(INDEX(tsk_Name,GanttView[[#This Row],[_Row]])="",TRUE()),"",IF(INDEX(tsk_IsSummary,GanttView[[#This Row],[_Row]]),NETWORKDAYS.INTL(INDEX(tsk_FcStart,GanttView[[#This Row],[_Row]]),INDEX(tsk_FcFinish,GanttView[[#This Row],[_Row]]),WorkWeek,Holidays),N(INDEX(tsk_Duration,GanttView[[#This Row],[_Row]]))))</f>
        <v/>
      </c>
      <c r="E82" s="122" t="str">
        <f aca="false">IF(IFERROR(INDEX(tsk_Name,GanttView[[#This Row],[_Row]])="",TRUE()),"",INDEX(tsk_PlanStart,GanttView[[#This Row],[_Row]]))</f>
        <v/>
      </c>
      <c r="F82" s="122" t="str">
        <f aca="false">IF(IFERROR(INDEX(tsk_Name,GanttView[[#This Row],[_Row]])="",TRUE()),"",INDEX(tsk_PlanFinish,GanttView[[#This Row],[_Row]]))</f>
        <v/>
      </c>
      <c r="G82" s="122" t="str">
        <f aca="false">IF(IFERROR(INDEX(tsk_Name,GanttView[[#This Row],[_Row]])="",TRUE()),"",INDEX(tsk_FcStart,GanttView[[#This Row],[_Row]]))</f>
        <v/>
      </c>
      <c r="H82" s="122" t="str">
        <f aca="false">IF(IFERROR(INDEX(tsk_Name,GanttView[[#This Row],[_Row]])="",TRUE()),"",INDEX(tsk_FcFinish,GanttView[[#This Row],[_Row]]))</f>
        <v/>
      </c>
      <c r="I82" s="123" t="str">
        <f aca="false">IF(IFERROR(INDEX(tsk_Name,GanttView[[#This Row],[_Row]])="",TRUE()),"",INDEX(tsk_Progress,GanttView[[#This Row],[_Row]]))</f>
        <v/>
      </c>
      <c r="J82" s="121" t="str">
        <f aca="false">IF(IFERROR(INDEX(tsk_Name,GanttView[[#This Row],[_Row]])="",TRUE()),"",INDEX(tsk_Resource,GanttView[[#This Row],[_Row]])&amp;"")</f>
        <v/>
      </c>
      <c r="K82" s="124" t="str">
        <f aca="false">IF(IFERROR(INDEX(tsk_Name,GanttView[[#This Row],[_Row]])="",TRUE()),"",INDEX(tsk_Status,GanttView[[#This Row],[_Row]]))</f>
        <v/>
      </c>
      <c r="L82" s="125" t="n">
        <f aca="false">ROW()-ROW(GanttView[[#Headers],[ID]])</f>
        <v>77</v>
      </c>
      <c r="M82" s="126" t="b">
        <f aca="false">IF(IFERROR(INDEX(tsk_Name,GanttView[[#This Row],[_Row]])="",TRUE()),FALSE(),INDEX(tsk_IsSummary,GanttView[[#This Row],[_Row]]))</f>
        <v>0</v>
      </c>
      <c r="N82" s="126" t="b">
        <f aca="false">IF(IFERROR(INDEX(tsk_Name,GanttView[[#This Row],[_Row]])="",TRUE()),FALSE(),AND(INDEX(tsk_IsLeaf,GanttView[[#This Row],[_Row]])=1,N(INDEX(tsk_Duration,GanttView[[#This Row],[_Row]]))=0))</f>
        <v>0</v>
      </c>
      <c r="O82" s="127" t="n">
        <f aca="false">IF(IFERROR(INDEX(tsk_Name,GanttView[[#This Row],[_Row]])="",TRUE()),0,IF(AND(INDEX(tsk_IsLeaf,GanttView[[#This Row],[_Row]])=1,NOT(GanttView[[#This Row],[_IsMilestone]]),N(GanttView[[#This Row],[%]])&gt;0),GanttView[[#This Row],[Forecast Start]],0))</f>
        <v>0</v>
      </c>
      <c r="P82" s="127" t="n">
        <f aca="false">IF(GanttView[[#This Row],[_DoneFrom]]=0,0,IF(GanttView[[#This Row],[%]]&gt;=1,GanttView[[#This Row],[Forecast Finish]],MAX(GanttView[[#This Row],[_DoneFrom]],GanttView[[#This Row],[Forecast Start]]+ROUND((GanttView[[#This Row],[Forecast Finish]]-GanttView[[#This Row],[Forecast Start]]+1)*GanttView[[#This Row],[%]],0)-1)))</f>
        <v>0</v>
      </c>
      <c r="Q82" s="127" t="n">
        <f aca="false">IF(IFERROR(INDEX(tsk_Name,GanttView[[#This Row],[_Row]])="",TRUE()),0,IF(OR(INDEX(tsk_IsLeaf,GanttView[[#This Row],[_Row]])&lt;&gt;1,GanttView[[#This Row],[_IsMilestone]],N(GanttView[[#This Row],[%]])&gt;=1),0,IF(GanttView[[#This Row],[_DoneTo]]&gt;0,GanttView[[#This Row],[_DoneTo]]+1,GanttView[[#This Row],[Forecast Start]])))</f>
        <v>0</v>
      </c>
      <c r="R82" s="127" t="n">
        <f aca="false">IF(GanttView[[#This Row],[_RemFrom]]=0,0,GanttView[[#This Row],[Forecast Finish]])</f>
        <v>0</v>
      </c>
      <c r="S82" s="126" t="b">
        <f aca="false">IF(IFERROR(INDEX(tsk_Name,GanttView[[#This Row],[_Row]])="",TRUE()),FALSE(),N(INDEX(tsk_Variance,GanttView[[#This Row],[_Row]]))&gt;0)</f>
        <v>0</v>
      </c>
      <c r="T82" s="127" t="n">
        <f aca="false">IF(IFERROR(INDEX(tsk_Name,GanttView[[#This Row],[_Row]])="",TRUE()),0,N(INDEX(tsk_Deadline,GanttView[[#This Row],[_Row]])))</f>
        <v>0</v>
      </c>
      <c r="U82" s="126" t="b">
        <f aca="false">IF(IFERROR(INDEX(tsk_Name,GanttView[[#This Row],[_Row]])="",TRUE()),FALSE(),INDEX(tsk_Critical,GanttView[[#This Row],[_Row]])="Yes")</f>
        <v>0</v>
      </c>
    </row>
    <row r="83" customFormat="false" ht="15" hidden="false" customHeight="false" outlineLevel="0" collapsed="false">
      <c r="A83" s="120" t="str">
        <f aca="false">IF(IFERROR(INDEX(tsk_Name,GanttView[[#This Row],[_Row]])="",TRUE()),"",INDEX(tsk_ID,GanttView[[#This Row],[_Row]]))</f>
        <v/>
      </c>
      <c r="B83" s="120" t="str">
        <f aca="false">IF(IFERROR(INDEX(tsk_Name,GanttView[[#This Row],[_Row]])="",TRUE()),"",INDEX(tsk_WBS,GanttView[[#This Row],[_Row]]))</f>
        <v/>
      </c>
      <c r="C83" s="121" t="str">
        <f aca="false">IF(IFERROR(INDEX(tsk_Name,GanttView[[#This Row],[_Row]])="",TRUE()),"",REPT("    ",INDEX(tsk_Level,GanttView[[#This Row],[_Row]])-1)&amp;INDEX(tsk_Name,GanttView[[#This Row],[_Row]]))</f>
        <v/>
      </c>
      <c r="D83" s="120" t="str">
        <f aca="false">IF(IFERROR(INDEX(tsk_Name,GanttView[[#This Row],[_Row]])="",TRUE()),"",IF(INDEX(tsk_IsSummary,GanttView[[#This Row],[_Row]]),NETWORKDAYS.INTL(INDEX(tsk_FcStart,GanttView[[#This Row],[_Row]]),INDEX(tsk_FcFinish,GanttView[[#This Row],[_Row]]),WorkWeek,Holidays),N(INDEX(tsk_Duration,GanttView[[#This Row],[_Row]]))))</f>
        <v/>
      </c>
      <c r="E83" s="122" t="str">
        <f aca="false">IF(IFERROR(INDEX(tsk_Name,GanttView[[#This Row],[_Row]])="",TRUE()),"",INDEX(tsk_PlanStart,GanttView[[#This Row],[_Row]]))</f>
        <v/>
      </c>
      <c r="F83" s="122" t="str">
        <f aca="false">IF(IFERROR(INDEX(tsk_Name,GanttView[[#This Row],[_Row]])="",TRUE()),"",INDEX(tsk_PlanFinish,GanttView[[#This Row],[_Row]]))</f>
        <v/>
      </c>
      <c r="G83" s="122" t="str">
        <f aca="false">IF(IFERROR(INDEX(tsk_Name,GanttView[[#This Row],[_Row]])="",TRUE()),"",INDEX(tsk_FcStart,GanttView[[#This Row],[_Row]]))</f>
        <v/>
      </c>
      <c r="H83" s="122" t="str">
        <f aca="false">IF(IFERROR(INDEX(tsk_Name,GanttView[[#This Row],[_Row]])="",TRUE()),"",INDEX(tsk_FcFinish,GanttView[[#This Row],[_Row]]))</f>
        <v/>
      </c>
      <c r="I83" s="123" t="str">
        <f aca="false">IF(IFERROR(INDEX(tsk_Name,GanttView[[#This Row],[_Row]])="",TRUE()),"",INDEX(tsk_Progress,GanttView[[#This Row],[_Row]]))</f>
        <v/>
      </c>
      <c r="J83" s="121" t="str">
        <f aca="false">IF(IFERROR(INDEX(tsk_Name,GanttView[[#This Row],[_Row]])="",TRUE()),"",INDEX(tsk_Resource,GanttView[[#This Row],[_Row]])&amp;"")</f>
        <v/>
      </c>
      <c r="K83" s="124" t="str">
        <f aca="false">IF(IFERROR(INDEX(tsk_Name,GanttView[[#This Row],[_Row]])="",TRUE()),"",INDEX(tsk_Status,GanttView[[#This Row],[_Row]]))</f>
        <v/>
      </c>
      <c r="L83" s="125" t="n">
        <f aca="false">ROW()-ROW(GanttView[[#Headers],[ID]])</f>
        <v>78</v>
      </c>
      <c r="M83" s="126" t="b">
        <f aca="false">IF(IFERROR(INDEX(tsk_Name,GanttView[[#This Row],[_Row]])="",TRUE()),FALSE(),INDEX(tsk_IsSummary,GanttView[[#This Row],[_Row]]))</f>
        <v>0</v>
      </c>
      <c r="N83" s="126" t="b">
        <f aca="false">IF(IFERROR(INDEX(tsk_Name,GanttView[[#This Row],[_Row]])="",TRUE()),FALSE(),AND(INDEX(tsk_IsLeaf,GanttView[[#This Row],[_Row]])=1,N(INDEX(tsk_Duration,GanttView[[#This Row],[_Row]]))=0))</f>
        <v>0</v>
      </c>
      <c r="O83" s="127" t="n">
        <f aca="false">IF(IFERROR(INDEX(tsk_Name,GanttView[[#This Row],[_Row]])="",TRUE()),0,IF(AND(INDEX(tsk_IsLeaf,GanttView[[#This Row],[_Row]])=1,NOT(GanttView[[#This Row],[_IsMilestone]]),N(GanttView[[#This Row],[%]])&gt;0),GanttView[[#This Row],[Forecast Start]],0))</f>
        <v>0</v>
      </c>
      <c r="P83" s="127" t="n">
        <f aca="false">IF(GanttView[[#This Row],[_DoneFrom]]=0,0,IF(GanttView[[#This Row],[%]]&gt;=1,GanttView[[#This Row],[Forecast Finish]],MAX(GanttView[[#This Row],[_DoneFrom]],GanttView[[#This Row],[Forecast Start]]+ROUND((GanttView[[#This Row],[Forecast Finish]]-GanttView[[#This Row],[Forecast Start]]+1)*GanttView[[#This Row],[%]],0)-1)))</f>
        <v>0</v>
      </c>
      <c r="Q83" s="127" t="n">
        <f aca="false">IF(IFERROR(INDEX(tsk_Name,GanttView[[#This Row],[_Row]])="",TRUE()),0,IF(OR(INDEX(tsk_IsLeaf,GanttView[[#This Row],[_Row]])&lt;&gt;1,GanttView[[#This Row],[_IsMilestone]],N(GanttView[[#This Row],[%]])&gt;=1),0,IF(GanttView[[#This Row],[_DoneTo]]&gt;0,GanttView[[#This Row],[_DoneTo]]+1,GanttView[[#This Row],[Forecast Start]])))</f>
        <v>0</v>
      </c>
      <c r="R83" s="127" t="n">
        <f aca="false">IF(GanttView[[#This Row],[_RemFrom]]=0,0,GanttView[[#This Row],[Forecast Finish]])</f>
        <v>0</v>
      </c>
      <c r="S83" s="126" t="b">
        <f aca="false">IF(IFERROR(INDEX(tsk_Name,GanttView[[#This Row],[_Row]])="",TRUE()),FALSE(),N(INDEX(tsk_Variance,GanttView[[#This Row],[_Row]]))&gt;0)</f>
        <v>0</v>
      </c>
      <c r="T83" s="127" t="n">
        <f aca="false">IF(IFERROR(INDEX(tsk_Name,GanttView[[#This Row],[_Row]])="",TRUE()),0,N(INDEX(tsk_Deadline,GanttView[[#This Row],[_Row]])))</f>
        <v>0</v>
      </c>
      <c r="U83" s="126" t="b">
        <f aca="false">IF(IFERROR(INDEX(tsk_Name,GanttView[[#This Row],[_Row]])="",TRUE()),FALSE(),INDEX(tsk_Critical,GanttView[[#This Row],[_Row]])="Yes")</f>
        <v>0</v>
      </c>
    </row>
    <row r="84" customFormat="false" ht="15" hidden="false" customHeight="false" outlineLevel="0" collapsed="false">
      <c r="A84" s="120" t="str">
        <f aca="false">IF(IFERROR(INDEX(tsk_Name,GanttView[[#This Row],[_Row]])="",TRUE()),"",INDEX(tsk_ID,GanttView[[#This Row],[_Row]]))</f>
        <v/>
      </c>
      <c r="B84" s="120" t="str">
        <f aca="false">IF(IFERROR(INDEX(tsk_Name,GanttView[[#This Row],[_Row]])="",TRUE()),"",INDEX(tsk_WBS,GanttView[[#This Row],[_Row]]))</f>
        <v/>
      </c>
      <c r="C84" s="121" t="str">
        <f aca="false">IF(IFERROR(INDEX(tsk_Name,GanttView[[#This Row],[_Row]])="",TRUE()),"",REPT("    ",INDEX(tsk_Level,GanttView[[#This Row],[_Row]])-1)&amp;INDEX(tsk_Name,GanttView[[#This Row],[_Row]]))</f>
        <v/>
      </c>
      <c r="D84" s="120" t="str">
        <f aca="false">IF(IFERROR(INDEX(tsk_Name,GanttView[[#This Row],[_Row]])="",TRUE()),"",IF(INDEX(tsk_IsSummary,GanttView[[#This Row],[_Row]]),NETWORKDAYS.INTL(INDEX(tsk_FcStart,GanttView[[#This Row],[_Row]]),INDEX(tsk_FcFinish,GanttView[[#This Row],[_Row]]),WorkWeek,Holidays),N(INDEX(tsk_Duration,GanttView[[#This Row],[_Row]]))))</f>
        <v/>
      </c>
      <c r="E84" s="122" t="str">
        <f aca="false">IF(IFERROR(INDEX(tsk_Name,GanttView[[#This Row],[_Row]])="",TRUE()),"",INDEX(tsk_PlanStart,GanttView[[#This Row],[_Row]]))</f>
        <v/>
      </c>
      <c r="F84" s="122" t="str">
        <f aca="false">IF(IFERROR(INDEX(tsk_Name,GanttView[[#This Row],[_Row]])="",TRUE()),"",INDEX(tsk_PlanFinish,GanttView[[#This Row],[_Row]]))</f>
        <v/>
      </c>
      <c r="G84" s="122" t="str">
        <f aca="false">IF(IFERROR(INDEX(tsk_Name,GanttView[[#This Row],[_Row]])="",TRUE()),"",INDEX(tsk_FcStart,GanttView[[#This Row],[_Row]]))</f>
        <v/>
      </c>
      <c r="H84" s="122" t="str">
        <f aca="false">IF(IFERROR(INDEX(tsk_Name,GanttView[[#This Row],[_Row]])="",TRUE()),"",INDEX(tsk_FcFinish,GanttView[[#This Row],[_Row]]))</f>
        <v/>
      </c>
      <c r="I84" s="123" t="str">
        <f aca="false">IF(IFERROR(INDEX(tsk_Name,GanttView[[#This Row],[_Row]])="",TRUE()),"",INDEX(tsk_Progress,GanttView[[#This Row],[_Row]]))</f>
        <v/>
      </c>
      <c r="J84" s="121" t="str">
        <f aca="false">IF(IFERROR(INDEX(tsk_Name,GanttView[[#This Row],[_Row]])="",TRUE()),"",INDEX(tsk_Resource,GanttView[[#This Row],[_Row]])&amp;"")</f>
        <v/>
      </c>
      <c r="K84" s="124" t="str">
        <f aca="false">IF(IFERROR(INDEX(tsk_Name,GanttView[[#This Row],[_Row]])="",TRUE()),"",INDEX(tsk_Status,GanttView[[#This Row],[_Row]]))</f>
        <v/>
      </c>
      <c r="L84" s="125" t="n">
        <f aca="false">ROW()-ROW(GanttView[[#Headers],[ID]])</f>
        <v>79</v>
      </c>
      <c r="M84" s="126" t="b">
        <f aca="false">IF(IFERROR(INDEX(tsk_Name,GanttView[[#This Row],[_Row]])="",TRUE()),FALSE(),INDEX(tsk_IsSummary,GanttView[[#This Row],[_Row]]))</f>
        <v>0</v>
      </c>
      <c r="N84" s="126" t="b">
        <f aca="false">IF(IFERROR(INDEX(tsk_Name,GanttView[[#This Row],[_Row]])="",TRUE()),FALSE(),AND(INDEX(tsk_IsLeaf,GanttView[[#This Row],[_Row]])=1,N(INDEX(tsk_Duration,GanttView[[#This Row],[_Row]]))=0))</f>
        <v>0</v>
      </c>
      <c r="O84" s="127" t="n">
        <f aca="false">IF(IFERROR(INDEX(tsk_Name,GanttView[[#This Row],[_Row]])="",TRUE()),0,IF(AND(INDEX(tsk_IsLeaf,GanttView[[#This Row],[_Row]])=1,NOT(GanttView[[#This Row],[_IsMilestone]]),N(GanttView[[#This Row],[%]])&gt;0),GanttView[[#This Row],[Forecast Start]],0))</f>
        <v>0</v>
      </c>
      <c r="P84" s="127" t="n">
        <f aca="false">IF(GanttView[[#This Row],[_DoneFrom]]=0,0,IF(GanttView[[#This Row],[%]]&gt;=1,GanttView[[#This Row],[Forecast Finish]],MAX(GanttView[[#This Row],[_DoneFrom]],GanttView[[#This Row],[Forecast Start]]+ROUND((GanttView[[#This Row],[Forecast Finish]]-GanttView[[#This Row],[Forecast Start]]+1)*GanttView[[#This Row],[%]],0)-1)))</f>
        <v>0</v>
      </c>
      <c r="Q84" s="127" t="n">
        <f aca="false">IF(IFERROR(INDEX(tsk_Name,GanttView[[#This Row],[_Row]])="",TRUE()),0,IF(OR(INDEX(tsk_IsLeaf,GanttView[[#This Row],[_Row]])&lt;&gt;1,GanttView[[#This Row],[_IsMilestone]],N(GanttView[[#This Row],[%]])&gt;=1),0,IF(GanttView[[#This Row],[_DoneTo]]&gt;0,GanttView[[#This Row],[_DoneTo]]+1,GanttView[[#This Row],[Forecast Start]])))</f>
        <v>0</v>
      </c>
      <c r="R84" s="127" t="n">
        <f aca="false">IF(GanttView[[#This Row],[_RemFrom]]=0,0,GanttView[[#This Row],[Forecast Finish]])</f>
        <v>0</v>
      </c>
      <c r="S84" s="126" t="b">
        <f aca="false">IF(IFERROR(INDEX(tsk_Name,GanttView[[#This Row],[_Row]])="",TRUE()),FALSE(),N(INDEX(tsk_Variance,GanttView[[#This Row],[_Row]]))&gt;0)</f>
        <v>0</v>
      </c>
      <c r="T84" s="127" t="n">
        <f aca="false">IF(IFERROR(INDEX(tsk_Name,GanttView[[#This Row],[_Row]])="",TRUE()),0,N(INDEX(tsk_Deadline,GanttView[[#This Row],[_Row]])))</f>
        <v>0</v>
      </c>
      <c r="U84" s="126" t="b">
        <f aca="false">IF(IFERROR(INDEX(tsk_Name,GanttView[[#This Row],[_Row]])="",TRUE()),FALSE(),INDEX(tsk_Critical,GanttView[[#This Row],[_Row]])="Yes")</f>
        <v>0</v>
      </c>
    </row>
    <row r="85" customFormat="false" ht="15" hidden="false" customHeight="false" outlineLevel="0" collapsed="false">
      <c r="A85" s="120" t="str">
        <f aca="false">IF(IFERROR(INDEX(tsk_Name,GanttView[[#This Row],[_Row]])="",TRUE()),"",INDEX(tsk_ID,GanttView[[#This Row],[_Row]]))</f>
        <v/>
      </c>
      <c r="B85" s="120" t="str">
        <f aca="false">IF(IFERROR(INDEX(tsk_Name,GanttView[[#This Row],[_Row]])="",TRUE()),"",INDEX(tsk_WBS,GanttView[[#This Row],[_Row]]))</f>
        <v/>
      </c>
      <c r="C85" s="121" t="str">
        <f aca="false">IF(IFERROR(INDEX(tsk_Name,GanttView[[#This Row],[_Row]])="",TRUE()),"",REPT("    ",INDEX(tsk_Level,GanttView[[#This Row],[_Row]])-1)&amp;INDEX(tsk_Name,GanttView[[#This Row],[_Row]]))</f>
        <v/>
      </c>
      <c r="D85" s="120" t="str">
        <f aca="false">IF(IFERROR(INDEX(tsk_Name,GanttView[[#This Row],[_Row]])="",TRUE()),"",IF(INDEX(tsk_IsSummary,GanttView[[#This Row],[_Row]]),NETWORKDAYS.INTL(INDEX(tsk_FcStart,GanttView[[#This Row],[_Row]]),INDEX(tsk_FcFinish,GanttView[[#This Row],[_Row]]),WorkWeek,Holidays),N(INDEX(tsk_Duration,GanttView[[#This Row],[_Row]]))))</f>
        <v/>
      </c>
      <c r="E85" s="122" t="str">
        <f aca="false">IF(IFERROR(INDEX(tsk_Name,GanttView[[#This Row],[_Row]])="",TRUE()),"",INDEX(tsk_PlanStart,GanttView[[#This Row],[_Row]]))</f>
        <v/>
      </c>
      <c r="F85" s="122" t="str">
        <f aca="false">IF(IFERROR(INDEX(tsk_Name,GanttView[[#This Row],[_Row]])="",TRUE()),"",INDEX(tsk_PlanFinish,GanttView[[#This Row],[_Row]]))</f>
        <v/>
      </c>
      <c r="G85" s="122" t="str">
        <f aca="false">IF(IFERROR(INDEX(tsk_Name,GanttView[[#This Row],[_Row]])="",TRUE()),"",INDEX(tsk_FcStart,GanttView[[#This Row],[_Row]]))</f>
        <v/>
      </c>
      <c r="H85" s="122" t="str">
        <f aca="false">IF(IFERROR(INDEX(tsk_Name,GanttView[[#This Row],[_Row]])="",TRUE()),"",INDEX(tsk_FcFinish,GanttView[[#This Row],[_Row]]))</f>
        <v/>
      </c>
      <c r="I85" s="123" t="str">
        <f aca="false">IF(IFERROR(INDEX(tsk_Name,GanttView[[#This Row],[_Row]])="",TRUE()),"",INDEX(tsk_Progress,GanttView[[#This Row],[_Row]]))</f>
        <v/>
      </c>
      <c r="J85" s="121" t="str">
        <f aca="false">IF(IFERROR(INDEX(tsk_Name,GanttView[[#This Row],[_Row]])="",TRUE()),"",INDEX(tsk_Resource,GanttView[[#This Row],[_Row]])&amp;"")</f>
        <v/>
      </c>
      <c r="K85" s="124" t="str">
        <f aca="false">IF(IFERROR(INDEX(tsk_Name,GanttView[[#This Row],[_Row]])="",TRUE()),"",INDEX(tsk_Status,GanttView[[#This Row],[_Row]]))</f>
        <v/>
      </c>
      <c r="L85" s="125" t="n">
        <f aca="false">ROW()-ROW(GanttView[[#Headers],[ID]])</f>
        <v>80</v>
      </c>
      <c r="M85" s="126" t="b">
        <f aca="false">IF(IFERROR(INDEX(tsk_Name,GanttView[[#This Row],[_Row]])="",TRUE()),FALSE(),INDEX(tsk_IsSummary,GanttView[[#This Row],[_Row]]))</f>
        <v>0</v>
      </c>
      <c r="N85" s="126" t="b">
        <f aca="false">IF(IFERROR(INDEX(tsk_Name,GanttView[[#This Row],[_Row]])="",TRUE()),FALSE(),AND(INDEX(tsk_IsLeaf,GanttView[[#This Row],[_Row]])=1,N(INDEX(tsk_Duration,GanttView[[#This Row],[_Row]]))=0))</f>
        <v>0</v>
      </c>
      <c r="O85" s="127" t="n">
        <f aca="false">IF(IFERROR(INDEX(tsk_Name,GanttView[[#This Row],[_Row]])="",TRUE()),0,IF(AND(INDEX(tsk_IsLeaf,GanttView[[#This Row],[_Row]])=1,NOT(GanttView[[#This Row],[_IsMilestone]]),N(GanttView[[#This Row],[%]])&gt;0),GanttView[[#This Row],[Forecast Start]],0))</f>
        <v>0</v>
      </c>
      <c r="P85" s="127" t="n">
        <f aca="false">IF(GanttView[[#This Row],[_DoneFrom]]=0,0,IF(GanttView[[#This Row],[%]]&gt;=1,GanttView[[#This Row],[Forecast Finish]],MAX(GanttView[[#This Row],[_DoneFrom]],GanttView[[#This Row],[Forecast Start]]+ROUND((GanttView[[#This Row],[Forecast Finish]]-GanttView[[#This Row],[Forecast Start]]+1)*GanttView[[#This Row],[%]],0)-1)))</f>
        <v>0</v>
      </c>
      <c r="Q85" s="127" t="n">
        <f aca="false">IF(IFERROR(INDEX(tsk_Name,GanttView[[#This Row],[_Row]])="",TRUE()),0,IF(OR(INDEX(tsk_IsLeaf,GanttView[[#This Row],[_Row]])&lt;&gt;1,GanttView[[#This Row],[_IsMilestone]],N(GanttView[[#This Row],[%]])&gt;=1),0,IF(GanttView[[#This Row],[_DoneTo]]&gt;0,GanttView[[#This Row],[_DoneTo]]+1,GanttView[[#This Row],[Forecast Start]])))</f>
        <v>0</v>
      </c>
      <c r="R85" s="127" t="n">
        <f aca="false">IF(GanttView[[#This Row],[_RemFrom]]=0,0,GanttView[[#This Row],[Forecast Finish]])</f>
        <v>0</v>
      </c>
      <c r="S85" s="126" t="b">
        <f aca="false">IF(IFERROR(INDEX(tsk_Name,GanttView[[#This Row],[_Row]])="",TRUE()),FALSE(),N(INDEX(tsk_Variance,GanttView[[#This Row],[_Row]]))&gt;0)</f>
        <v>0</v>
      </c>
      <c r="T85" s="127" t="n">
        <f aca="false">IF(IFERROR(INDEX(tsk_Name,GanttView[[#This Row],[_Row]])="",TRUE()),0,N(INDEX(tsk_Deadline,GanttView[[#This Row],[_Row]])))</f>
        <v>0</v>
      </c>
      <c r="U85" s="126" t="b">
        <f aca="false">IF(IFERROR(INDEX(tsk_Name,GanttView[[#This Row],[_Row]])="",TRUE()),FALSE(),INDEX(tsk_Critical,GanttView[[#This Row],[_Row]])="Yes")</f>
        <v>0</v>
      </c>
    </row>
    <row r="86" customFormat="false" ht="15" hidden="false" customHeight="false" outlineLevel="0" collapsed="false">
      <c r="A86" s="120" t="str">
        <f aca="false">IF(IFERROR(INDEX(tsk_Name,GanttView[[#This Row],[_Row]])="",TRUE()),"",INDEX(tsk_ID,GanttView[[#This Row],[_Row]]))</f>
        <v/>
      </c>
      <c r="B86" s="120" t="str">
        <f aca="false">IF(IFERROR(INDEX(tsk_Name,GanttView[[#This Row],[_Row]])="",TRUE()),"",INDEX(tsk_WBS,GanttView[[#This Row],[_Row]]))</f>
        <v/>
      </c>
      <c r="C86" s="121" t="str">
        <f aca="false">IF(IFERROR(INDEX(tsk_Name,GanttView[[#This Row],[_Row]])="",TRUE()),"",REPT("    ",INDEX(tsk_Level,GanttView[[#This Row],[_Row]])-1)&amp;INDEX(tsk_Name,GanttView[[#This Row],[_Row]]))</f>
        <v/>
      </c>
      <c r="D86" s="120" t="str">
        <f aca="false">IF(IFERROR(INDEX(tsk_Name,GanttView[[#This Row],[_Row]])="",TRUE()),"",IF(INDEX(tsk_IsSummary,GanttView[[#This Row],[_Row]]),NETWORKDAYS.INTL(INDEX(tsk_FcStart,GanttView[[#This Row],[_Row]]),INDEX(tsk_FcFinish,GanttView[[#This Row],[_Row]]),WorkWeek,Holidays),N(INDEX(tsk_Duration,GanttView[[#This Row],[_Row]]))))</f>
        <v/>
      </c>
      <c r="E86" s="122" t="str">
        <f aca="false">IF(IFERROR(INDEX(tsk_Name,GanttView[[#This Row],[_Row]])="",TRUE()),"",INDEX(tsk_PlanStart,GanttView[[#This Row],[_Row]]))</f>
        <v/>
      </c>
      <c r="F86" s="122" t="str">
        <f aca="false">IF(IFERROR(INDEX(tsk_Name,GanttView[[#This Row],[_Row]])="",TRUE()),"",INDEX(tsk_PlanFinish,GanttView[[#This Row],[_Row]]))</f>
        <v/>
      </c>
      <c r="G86" s="122" t="str">
        <f aca="false">IF(IFERROR(INDEX(tsk_Name,GanttView[[#This Row],[_Row]])="",TRUE()),"",INDEX(tsk_FcStart,GanttView[[#This Row],[_Row]]))</f>
        <v/>
      </c>
      <c r="H86" s="122" t="str">
        <f aca="false">IF(IFERROR(INDEX(tsk_Name,GanttView[[#This Row],[_Row]])="",TRUE()),"",INDEX(tsk_FcFinish,GanttView[[#This Row],[_Row]]))</f>
        <v/>
      </c>
      <c r="I86" s="123" t="str">
        <f aca="false">IF(IFERROR(INDEX(tsk_Name,GanttView[[#This Row],[_Row]])="",TRUE()),"",INDEX(tsk_Progress,GanttView[[#This Row],[_Row]]))</f>
        <v/>
      </c>
      <c r="J86" s="121" t="str">
        <f aca="false">IF(IFERROR(INDEX(tsk_Name,GanttView[[#This Row],[_Row]])="",TRUE()),"",INDEX(tsk_Resource,GanttView[[#This Row],[_Row]])&amp;"")</f>
        <v/>
      </c>
      <c r="K86" s="124" t="str">
        <f aca="false">IF(IFERROR(INDEX(tsk_Name,GanttView[[#This Row],[_Row]])="",TRUE()),"",INDEX(tsk_Status,GanttView[[#This Row],[_Row]]))</f>
        <v/>
      </c>
      <c r="L86" s="125" t="n">
        <f aca="false">ROW()-ROW(GanttView[[#Headers],[ID]])</f>
        <v>81</v>
      </c>
      <c r="M86" s="126" t="b">
        <f aca="false">IF(IFERROR(INDEX(tsk_Name,GanttView[[#This Row],[_Row]])="",TRUE()),FALSE(),INDEX(tsk_IsSummary,GanttView[[#This Row],[_Row]]))</f>
        <v>0</v>
      </c>
      <c r="N86" s="126" t="b">
        <f aca="false">IF(IFERROR(INDEX(tsk_Name,GanttView[[#This Row],[_Row]])="",TRUE()),FALSE(),AND(INDEX(tsk_IsLeaf,GanttView[[#This Row],[_Row]])=1,N(INDEX(tsk_Duration,GanttView[[#This Row],[_Row]]))=0))</f>
        <v>0</v>
      </c>
      <c r="O86" s="127" t="n">
        <f aca="false">IF(IFERROR(INDEX(tsk_Name,GanttView[[#This Row],[_Row]])="",TRUE()),0,IF(AND(INDEX(tsk_IsLeaf,GanttView[[#This Row],[_Row]])=1,NOT(GanttView[[#This Row],[_IsMilestone]]),N(GanttView[[#This Row],[%]])&gt;0),GanttView[[#This Row],[Forecast Start]],0))</f>
        <v>0</v>
      </c>
      <c r="P86" s="127" t="n">
        <f aca="false">IF(GanttView[[#This Row],[_DoneFrom]]=0,0,IF(GanttView[[#This Row],[%]]&gt;=1,GanttView[[#This Row],[Forecast Finish]],MAX(GanttView[[#This Row],[_DoneFrom]],GanttView[[#This Row],[Forecast Start]]+ROUND((GanttView[[#This Row],[Forecast Finish]]-GanttView[[#This Row],[Forecast Start]]+1)*GanttView[[#This Row],[%]],0)-1)))</f>
        <v>0</v>
      </c>
      <c r="Q86" s="127" t="n">
        <f aca="false">IF(IFERROR(INDEX(tsk_Name,GanttView[[#This Row],[_Row]])="",TRUE()),0,IF(OR(INDEX(tsk_IsLeaf,GanttView[[#This Row],[_Row]])&lt;&gt;1,GanttView[[#This Row],[_IsMilestone]],N(GanttView[[#This Row],[%]])&gt;=1),0,IF(GanttView[[#This Row],[_DoneTo]]&gt;0,GanttView[[#This Row],[_DoneTo]]+1,GanttView[[#This Row],[Forecast Start]])))</f>
        <v>0</v>
      </c>
      <c r="R86" s="127" t="n">
        <f aca="false">IF(GanttView[[#This Row],[_RemFrom]]=0,0,GanttView[[#This Row],[Forecast Finish]])</f>
        <v>0</v>
      </c>
      <c r="S86" s="126" t="b">
        <f aca="false">IF(IFERROR(INDEX(tsk_Name,GanttView[[#This Row],[_Row]])="",TRUE()),FALSE(),N(INDEX(tsk_Variance,GanttView[[#This Row],[_Row]]))&gt;0)</f>
        <v>0</v>
      </c>
      <c r="T86" s="127" t="n">
        <f aca="false">IF(IFERROR(INDEX(tsk_Name,GanttView[[#This Row],[_Row]])="",TRUE()),0,N(INDEX(tsk_Deadline,GanttView[[#This Row],[_Row]])))</f>
        <v>0</v>
      </c>
      <c r="U86" s="126" t="b">
        <f aca="false">IF(IFERROR(INDEX(tsk_Name,GanttView[[#This Row],[_Row]])="",TRUE()),FALSE(),INDEX(tsk_Critical,GanttView[[#This Row],[_Row]])="Yes")</f>
        <v>0</v>
      </c>
    </row>
    <row r="87" customFormat="false" ht="15" hidden="false" customHeight="false" outlineLevel="0" collapsed="false">
      <c r="A87" s="120" t="str">
        <f aca="false">IF(IFERROR(INDEX(tsk_Name,GanttView[[#This Row],[_Row]])="",TRUE()),"",INDEX(tsk_ID,GanttView[[#This Row],[_Row]]))</f>
        <v/>
      </c>
      <c r="B87" s="120" t="str">
        <f aca="false">IF(IFERROR(INDEX(tsk_Name,GanttView[[#This Row],[_Row]])="",TRUE()),"",INDEX(tsk_WBS,GanttView[[#This Row],[_Row]]))</f>
        <v/>
      </c>
      <c r="C87" s="121" t="str">
        <f aca="false">IF(IFERROR(INDEX(tsk_Name,GanttView[[#This Row],[_Row]])="",TRUE()),"",REPT("    ",INDEX(tsk_Level,GanttView[[#This Row],[_Row]])-1)&amp;INDEX(tsk_Name,GanttView[[#This Row],[_Row]]))</f>
        <v/>
      </c>
      <c r="D87" s="120" t="str">
        <f aca="false">IF(IFERROR(INDEX(tsk_Name,GanttView[[#This Row],[_Row]])="",TRUE()),"",IF(INDEX(tsk_IsSummary,GanttView[[#This Row],[_Row]]),NETWORKDAYS.INTL(INDEX(tsk_FcStart,GanttView[[#This Row],[_Row]]),INDEX(tsk_FcFinish,GanttView[[#This Row],[_Row]]),WorkWeek,Holidays),N(INDEX(tsk_Duration,GanttView[[#This Row],[_Row]]))))</f>
        <v/>
      </c>
      <c r="E87" s="122" t="str">
        <f aca="false">IF(IFERROR(INDEX(tsk_Name,GanttView[[#This Row],[_Row]])="",TRUE()),"",INDEX(tsk_PlanStart,GanttView[[#This Row],[_Row]]))</f>
        <v/>
      </c>
      <c r="F87" s="122" t="str">
        <f aca="false">IF(IFERROR(INDEX(tsk_Name,GanttView[[#This Row],[_Row]])="",TRUE()),"",INDEX(tsk_PlanFinish,GanttView[[#This Row],[_Row]]))</f>
        <v/>
      </c>
      <c r="G87" s="122" t="str">
        <f aca="false">IF(IFERROR(INDEX(tsk_Name,GanttView[[#This Row],[_Row]])="",TRUE()),"",INDEX(tsk_FcStart,GanttView[[#This Row],[_Row]]))</f>
        <v/>
      </c>
      <c r="H87" s="122" t="str">
        <f aca="false">IF(IFERROR(INDEX(tsk_Name,GanttView[[#This Row],[_Row]])="",TRUE()),"",INDEX(tsk_FcFinish,GanttView[[#This Row],[_Row]]))</f>
        <v/>
      </c>
      <c r="I87" s="123" t="str">
        <f aca="false">IF(IFERROR(INDEX(tsk_Name,GanttView[[#This Row],[_Row]])="",TRUE()),"",INDEX(tsk_Progress,GanttView[[#This Row],[_Row]]))</f>
        <v/>
      </c>
      <c r="J87" s="121" t="str">
        <f aca="false">IF(IFERROR(INDEX(tsk_Name,GanttView[[#This Row],[_Row]])="",TRUE()),"",INDEX(tsk_Resource,GanttView[[#This Row],[_Row]])&amp;"")</f>
        <v/>
      </c>
      <c r="K87" s="124" t="str">
        <f aca="false">IF(IFERROR(INDEX(tsk_Name,GanttView[[#This Row],[_Row]])="",TRUE()),"",INDEX(tsk_Status,GanttView[[#This Row],[_Row]]))</f>
        <v/>
      </c>
      <c r="L87" s="125" t="n">
        <f aca="false">ROW()-ROW(GanttView[[#Headers],[ID]])</f>
        <v>82</v>
      </c>
      <c r="M87" s="126" t="b">
        <f aca="false">IF(IFERROR(INDEX(tsk_Name,GanttView[[#This Row],[_Row]])="",TRUE()),FALSE(),INDEX(tsk_IsSummary,GanttView[[#This Row],[_Row]]))</f>
        <v>0</v>
      </c>
      <c r="N87" s="126" t="b">
        <f aca="false">IF(IFERROR(INDEX(tsk_Name,GanttView[[#This Row],[_Row]])="",TRUE()),FALSE(),AND(INDEX(tsk_IsLeaf,GanttView[[#This Row],[_Row]])=1,N(INDEX(tsk_Duration,GanttView[[#This Row],[_Row]]))=0))</f>
        <v>0</v>
      </c>
      <c r="O87" s="127" t="n">
        <f aca="false">IF(IFERROR(INDEX(tsk_Name,GanttView[[#This Row],[_Row]])="",TRUE()),0,IF(AND(INDEX(tsk_IsLeaf,GanttView[[#This Row],[_Row]])=1,NOT(GanttView[[#This Row],[_IsMilestone]]),N(GanttView[[#This Row],[%]])&gt;0),GanttView[[#This Row],[Forecast Start]],0))</f>
        <v>0</v>
      </c>
      <c r="P87" s="127" t="n">
        <f aca="false">IF(GanttView[[#This Row],[_DoneFrom]]=0,0,IF(GanttView[[#This Row],[%]]&gt;=1,GanttView[[#This Row],[Forecast Finish]],MAX(GanttView[[#This Row],[_DoneFrom]],GanttView[[#This Row],[Forecast Start]]+ROUND((GanttView[[#This Row],[Forecast Finish]]-GanttView[[#This Row],[Forecast Start]]+1)*GanttView[[#This Row],[%]],0)-1)))</f>
        <v>0</v>
      </c>
      <c r="Q87" s="127" t="n">
        <f aca="false">IF(IFERROR(INDEX(tsk_Name,GanttView[[#This Row],[_Row]])="",TRUE()),0,IF(OR(INDEX(tsk_IsLeaf,GanttView[[#This Row],[_Row]])&lt;&gt;1,GanttView[[#This Row],[_IsMilestone]],N(GanttView[[#This Row],[%]])&gt;=1),0,IF(GanttView[[#This Row],[_DoneTo]]&gt;0,GanttView[[#This Row],[_DoneTo]]+1,GanttView[[#This Row],[Forecast Start]])))</f>
        <v>0</v>
      </c>
      <c r="R87" s="127" t="n">
        <f aca="false">IF(GanttView[[#This Row],[_RemFrom]]=0,0,GanttView[[#This Row],[Forecast Finish]])</f>
        <v>0</v>
      </c>
      <c r="S87" s="126" t="b">
        <f aca="false">IF(IFERROR(INDEX(tsk_Name,GanttView[[#This Row],[_Row]])="",TRUE()),FALSE(),N(INDEX(tsk_Variance,GanttView[[#This Row],[_Row]]))&gt;0)</f>
        <v>0</v>
      </c>
      <c r="T87" s="127" t="n">
        <f aca="false">IF(IFERROR(INDEX(tsk_Name,GanttView[[#This Row],[_Row]])="",TRUE()),0,N(INDEX(tsk_Deadline,GanttView[[#This Row],[_Row]])))</f>
        <v>0</v>
      </c>
      <c r="U87" s="126" t="b">
        <f aca="false">IF(IFERROR(INDEX(tsk_Name,GanttView[[#This Row],[_Row]])="",TRUE()),FALSE(),INDEX(tsk_Critical,GanttView[[#This Row],[_Row]])="Yes")</f>
        <v>0</v>
      </c>
    </row>
    <row r="88" customFormat="false" ht="15" hidden="false" customHeight="false" outlineLevel="0" collapsed="false">
      <c r="A88" s="120" t="str">
        <f aca="false">IF(IFERROR(INDEX(tsk_Name,GanttView[[#This Row],[_Row]])="",TRUE()),"",INDEX(tsk_ID,GanttView[[#This Row],[_Row]]))</f>
        <v/>
      </c>
      <c r="B88" s="120" t="str">
        <f aca="false">IF(IFERROR(INDEX(tsk_Name,GanttView[[#This Row],[_Row]])="",TRUE()),"",INDEX(tsk_WBS,GanttView[[#This Row],[_Row]]))</f>
        <v/>
      </c>
      <c r="C88" s="121" t="str">
        <f aca="false">IF(IFERROR(INDEX(tsk_Name,GanttView[[#This Row],[_Row]])="",TRUE()),"",REPT("    ",INDEX(tsk_Level,GanttView[[#This Row],[_Row]])-1)&amp;INDEX(tsk_Name,GanttView[[#This Row],[_Row]]))</f>
        <v/>
      </c>
      <c r="D88" s="120" t="str">
        <f aca="false">IF(IFERROR(INDEX(tsk_Name,GanttView[[#This Row],[_Row]])="",TRUE()),"",IF(INDEX(tsk_IsSummary,GanttView[[#This Row],[_Row]]),NETWORKDAYS.INTL(INDEX(tsk_FcStart,GanttView[[#This Row],[_Row]]),INDEX(tsk_FcFinish,GanttView[[#This Row],[_Row]]),WorkWeek,Holidays),N(INDEX(tsk_Duration,GanttView[[#This Row],[_Row]]))))</f>
        <v/>
      </c>
      <c r="E88" s="122" t="str">
        <f aca="false">IF(IFERROR(INDEX(tsk_Name,GanttView[[#This Row],[_Row]])="",TRUE()),"",INDEX(tsk_PlanStart,GanttView[[#This Row],[_Row]]))</f>
        <v/>
      </c>
      <c r="F88" s="122" t="str">
        <f aca="false">IF(IFERROR(INDEX(tsk_Name,GanttView[[#This Row],[_Row]])="",TRUE()),"",INDEX(tsk_PlanFinish,GanttView[[#This Row],[_Row]]))</f>
        <v/>
      </c>
      <c r="G88" s="122" t="str">
        <f aca="false">IF(IFERROR(INDEX(tsk_Name,GanttView[[#This Row],[_Row]])="",TRUE()),"",INDEX(tsk_FcStart,GanttView[[#This Row],[_Row]]))</f>
        <v/>
      </c>
      <c r="H88" s="122" t="str">
        <f aca="false">IF(IFERROR(INDEX(tsk_Name,GanttView[[#This Row],[_Row]])="",TRUE()),"",INDEX(tsk_FcFinish,GanttView[[#This Row],[_Row]]))</f>
        <v/>
      </c>
      <c r="I88" s="123" t="str">
        <f aca="false">IF(IFERROR(INDEX(tsk_Name,GanttView[[#This Row],[_Row]])="",TRUE()),"",INDEX(tsk_Progress,GanttView[[#This Row],[_Row]]))</f>
        <v/>
      </c>
      <c r="J88" s="121" t="str">
        <f aca="false">IF(IFERROR(INDEX(tsk_Name,GanttView[[#This Row],[_Row]])="",TRUE()),"",INDEX(tsk_Resource,GanttView[[#This Row],[_Row]])&amp;"")</f>
        <v/>
      </c>
      <c r="K88" s="124" t="str">
        <f aca="false">IF(IFERROR(INDEX(tsk_Name,GanttView[[#This Row],[_Row]])="",TRUE()),"",INDEX(tsk_Status,GanttView[[#This Row],[_Row]]))</f>
        <v/>
      </c>
      <c r="L88" s="125" t="n">
        <f aca="false">ROW()-ROW(GanttView[[#Headers],[ID]])</f>
        <v>83</v>
      </c>
      <c r="M88" s="126" t="b">
        <f aca="false">IF(IFERROR(INDEX(tsk_Name,GanttView[[#This Row],[_Row]])="",TRUE()),FALSE(),INDEX(tsk_IsSummary,GanttView[[#This Row],[_Row]]))</f>
        <v>0</v>
      </c>
      <c r="N88" s="126" t="b">
        <f aca="false">IF(IFERROR(INDEX(tsk_Name,GanttView[[#This Row],[_Row]])="",TRUE()),FALSE(),AND(INDEX(tsk_IsLeaf,GanttView[[#This Row],[_Row]])=1,N(INDEX(tsk_Duration,GanttView[[#This Row],[_Row]]))=0))</f>
        <v>0</v>
      </c>
      <c r="O88" s="127" t="n">
        <f aca="false">IF(IFERROR(INDEX(tsk_Name,GanttView[[#This Row],[_Row]])="",TRUE()),0,IF(AND(INDEX(tsk_IsLeaf,GanttView[[#This Row],[_Row]])=1,NOT(GanttView[[#This Row],[_IsMilestone]]),N(GanttView[[#This Row],[%]])&gt;0),GanttView[[#This Row],[Forecast Start]],0))</f>
        <v>0</v>
      </c>
      <c r="P88" s="127" t="n">
        <f aca="false">IF(GanttView[[#This Row],[_DoneFrom]]=0,0,IF(GanttView[[#This Row],[%]]&gt;=1,GanttView[[#This Row],[Forecast Finish]],MAX(GanttView[[#This Row],[_DoneFrom]],GanttView[[#This Row],[Forecast Start]]+ROUND((GanttView[[#This Row],[Forecast Finish]]-GanttView[[#This Row],[Forecast Start]]+1)*GanttView[[#This Row],[%]],0)-1)))</f>
        <v>0</v>
      </c>
      <c r="Q88" s="127" t="n">
        <f aca="false">IF(IFERROR(INDEX(tsk_Name,GanttView[[#This Row],[_Row]])="",TRUE()),0,IF(OR(INDEX(tsk_IsLeaf,GanttView[[#This Row],[_Row]])&lt;&gt;1,GanttView[[#This Row],[_IsMilestone]],N(GanttView[[#This Row],[%]])&gt;=1),0,IF(GanttView[[#This Row],[_DoneTo]]&gt;0,GanttView[[#This Row],[_DoneTo]]+1,GanttView[[#This Row],[Forecast Start]])))</f>
        <v>0</v>
      </c>
      <c r="R88" s="127" t="n">
        <f aca="false">IF(GanttView[[#This Row],[_RemFrom]]=0,0,GanttView[[#This Row],[Forecast Finish]])</f>
        <v>0</v>
      </c>
      <c r="S88" s="126" t="b">
        <f aca="false">IF(IFERROR(INDEX(tsk_Name,GanttView[[#This Row],[_Row]])="",TRUE()),FALSE(),N(INDEX(tsk_Variance,GanttView[[#This Row],[_Row]]))&gt;0)</f>
        <v>0</v>
      </c>
      <c r="T88" s="127" t="n">
        <f aca="false">IF(IFERROR(INDEX(tsk_Name,GanttView[[#This Row],[_Row]])="",TRUE()),0,N(INDEX(tsk_Deadline,GanttView[[#This Row],[_Row]])))</f>
        <v>0</v>
      </c>
      <c r="U88" s="126" t="b">
        <f aca="false">IF(IFERROR(INDEX(tsk_Name,GanttView[[#This Row],[_Row]])="",TRUE()),FALSE(),INDEX(tsk_Critical,GanttView[[#This Row],[_Row]])="Yes")</f>
        <v>0</v>
      </c>
    </row>
    <row r="89" customFormat="false" ht="15" hidden="false" customHeight="false" outlineLevel="0" collapsed="false">
      <c r="A89" s="120" t="str">
        <f aca="false">IF(IFERROR(INDEX(tsk_Name,GanttView[[#This Row],[_Row]])="",TRUE()),"",INDEX(tsk_ID,GanttView[[#This Row],[_Row]]))</f>
        <v/>
      </c>
      <c r="B89" s="120" t="str">
        <f aca="false">IF(IFERROR(INDEX(tsk_Name,GanttView[[#This Row],[_Row]])="",TRUE()),"",INDEX(tsk_WBS,GanttView[[#This Row],[_Row]]))</f>
        <v/>
      </c>
      <c r="C89" s="121" t="str">
        <f aca="false">IF(IFERROR(INDEX(tsk_Name,GanttView[[#This Row],[_Row]])="",TRUE()),"",REPT("    ",INDEX(tsk_Level,GanttView[[#This Row],[_Row]])-1)&amp;INDEX(tsk_Name,GanttView[[#This Row],[_Row]]))</f>
        <v/>
      </c>
      <c r="D89" s="120" t="str">
        <f aca="false">IF(IFERROR(INDEX(tsk_Name,GanttView[[#This Row],[_Row]])="",TRUE()),"",IF(INDEX(tsk_IsSummary,GanttView[[#This Row],[_Row]]),NETWORKDAYS.INTL(INDEX(tsk_FcStart,GanttView[[#This Row],[_Row]]),INDEX(tsk_FcFinish,GanttView[[#This Row],[_Row]]),WorkWeek,Holidays),N(INDEX(tsk_Duration,GanttView[[#This Row],[_Row]]))))</f>
        <v/>
      </c>
      <c r="E89" s="122" t="str">
        <f aca="false">IF(IFERROR(INDEX(tsk_Name,GanttView[[#This Row],[_Row]])="",TRUE()),"",INDEX(tsk_PlanStart,GanttView[[#This Row],[_Row]]))</f>
        <v/>
      </c>
      <c r="F89" s="122" t="str">
        <f aca="false">IF(IFERROR(INDEX(tsk_Name,GanttView[[#This Row],[_Row]])="",TRUE()),"",INDEX(tsk_PlanFinish,GanttView[[#This Row],[_Row]]))</f>
        <v/>
      </c>
      <c r="G89" s="122" t="str">
        <f aca="false">IF(IFERROR(INDEX(tsk_Name,GanttView[[#This Row],[_Row]])="",TRUE()),"",INDEX(tsk_FcStart,GanttView[[#This Row],[_Row]]))</f>
        <v/>
      </c>
      <c r="H89" s="122" t="str">
        <f aca="false">IF(IFERROR(INDEX(tsk_Name,GanttView[[#This Row],[_Row]])="",TRUE()),"",INDEX(tsk_FcFinish,GanttView[[#This Row],[_Row]]))</f>
        <v/>
      </c>
      <c r="I89" s="123" t="str">
        <f aca="false">IF(IFERROR(INDEX(tsk_Name,GanttView[[#This Row],[_Row]])="",TRUE()),"",INDEX(tsk_Progress,GanttView[[#This Row],[_Row]]))</f>
        <v/>
      </c>
      <c r="J89" s="121" t="str">
        <f aca="false">IF(IFERROR(INDEX(tsk_Name,GanttView[[#This Row],[_Row]])="",TRUE()),"",INDEX(tsk_Resource,GanttView[[#This Row],[_Row]])&amp;"")</f>
        <v/>
      </c>
      <c r="K89" s="124" t="str">
        <f aca="false">IF(IFERROR(INDEX(tsk_Name,GanttView[[#This Row],[_Row]])="",TRUE()),"",INDEX(tsk_Status,GanttView[[#This Row],[_Row]]))</f>
        <v/>
      </c>
      <c r="L89" s="125" t="n">
        <f aca="false">ROW()-ROW(GanttView[[#Headers],[ID]])</f>
        <v>84</v>
      </c>
      <c r="M89" s="126" t="b">
        <f aca="false">IF(IFERROR(INDEX(tsk_Name,GanttView[[#This Row],[_Row]])="",TRUE()),FALSE(),INDEX(tsk_IsSummary,GanttView[[#This Row],[_Row]]))</f>
        <v>0</v>
      </c>
      <c r="N89" s="126" t="b">
        <f aca="false">IF(IFERROR(INDEX(tsk_Name,GanttView[[#This Row],[_Row]])="",TRUE()),FALSE(),AND(INDEX(tsk_IsLeaf,GanttView[[#This Row],[_Row]])=1,N(INDEX(tsk_Duration,GanttView[[#This Row],[_Row]]))=0))</f>
        <v>0</v>
      </c>
      <c r="O89" s="127" t="n">
        <f aca="false">IF(IFERROR(INDEX(tsk_Name,GanttView[[#This Row],[_Row]])="",TRUE()),0,IF(AND(INDEX(tsk_IsLeaf,GanttView[[#This Row],[_Row]])=1,NOT(GanttView[[#This Row],[_IsMilestone]]),N(GanttView[[#This Row],[%]])&gt;0),GanttView[[#This Row],[Forecast Start]],0))</f>
        <v>0</v>
      </c>
      <c r="P89" s="127" t="n">
        <f aca="false">IF(GanttView[[#This Row],[_DoneFrom]]=0,0,IF(GanttView[[#This Row],[%]]&gt;=1,GanttView[[#This Row],[Forecast Finish]],MAX(GanttView[[#This Row],[_DoneFrom]],GanttView[[#This Row],[Forecast Start]]+ROUND((GanttView[[#This Row],[Forecast Finish]]-GanttView[[#This Row],[Forecast Start]]+1)*GanttView[[#This Row],[%]],0)-1)))</f>
        <v>0</v>
      </c>
      <c r="Q89" s="127" t="n">
        <f aca="false">IF(IFERROR(INDEX(tsk_Name,GanttView[[#This Row],[_Row]])="",TRUE()),0,IF(OR(INDEX(tsk_IsLeaf,GanttView[[#This Row],[_Row]])&lt;&gt;1,GanttView[[#This Row],[_IsMilestone]],N(GanttView[[#This Row],[%]])&gt;=1),0,IF(GanttView[[#This Row],[_DoneTo]]&gt;0,GanttView[[#This Row],[_DoneTo]]+1,GanttView[[#This Row],[Forecast Start]])))</f>
        <v>0</v>
      </c>
      <c r="R89" s="127" t="n">
        <f aca="false">IF(GanttView[[#This Row],[_RemFrom]]=0,0,GanttView[[#This Row],[Forecast Finish]])</f>
        <v>0</v>
      </c>
      <c r="S89" s="126" t="b">
        <f aca="false">IF(IFERROR(INDEX(tsk_Name,GanttView[[#This Row],[_Row]])="",TRUE()),FALSE(),N(INDEX(tsk_Variance,GanttView[[#This Row],[_Row]]))&gt;0)</f>
        <v>0</v>
      </c>
      <c r="T89" s="127" t="n">
        <f aca="false">IF(IFERROR(INDEX(tsk_Name,GanttView[[#This Row],[_Row]])="",TRUE()),0,N(INDEX(tsk_Deadline,GanttView[[#This Row],[_Row]])))</f>
        <v>0</v>
      </c>
      <c r="U89" s="126" t="b">
        <f aca="false">IF(IFERROR(INDEX(tsk_Name,GanttView[[#This Row],[_Row]])="",TRUE()),FALSE(),INDEX(tsk_Critical,GanttView[[#This Row],[_Row]])="Yes")</f>
        <v>0</v>
      </c>
    </row>
    <row r="90" customFormat="false" ht="15" hidden="false" customHeight="false" outlineLevel="0" collapsed="false">
      <c r="A90" s="120" t="str">
        <f aca="false">IF(IFERROR(INDEX(tsk_Name,GanttView[[#This Row],[_Row]])="",TRUE()),"",INDEX(tsk_ID,GanttView[[#This Row],[_Row]]))</f>
        <v/>
      </c>
      <c r="B90" s="120" t="str">
        <f aca="false">IF(IFERROR(INDEX(tsk_Name,GanttView[[#This Row],[_Row]])="",TRUE()),"",INDEX(tsk_WBS,GanttView[[#This Row],[_Row]]))</f>
        <v/>
      </c>
      <c r="C90" s="121" t="str">
        <f aca="false">IF(IFERROR(INDEX(tsk_Name,GanttView[[#This Row],[_Row]])="",TRUE()),"",REPT("    ",INDEX(tsk_Level,GanttView[[#This Row],[_Row]])-1)&amp;INDEX(tsk_Name,GanttView[[#This Row],[_Row]]))</f>
        <v/>
      </c>
      <c r="D90" s="120" t="str">
        <f aca="false">IF(IFERROR(INDEX(tsk_Name,GanttView[[#This Row],[_Row]])="",TRUE()),"",IF(INDEX(tsk_IsSummary,GanttView[[#This Row],[_Row]]),NETWORKDAYS.INTL(INDEX(tsk_FcStart,GanttView[[#This Row],[_Row]]),INDEX(tsk_FcFinish,GanttView[[#This Row],[_Row]]),WorkWeek,Holidays),N(INDEX(tsk_Duration,GanttView[[#This Row],[_Row]]))))</f>
        <v/>
      </c>
      <c r="E90" s="122" t="str">
        <f aca="false">IF(IFERROR(INDEX(tsk_Name,GanttView[[#This Row],[_Row]])="",TRUE()),"",INDEX(tsk_PlanStart,GanttView[[#This Row],[_Row]]))</f>
        <v/>
      </c>
      <c r="F90" s="122" t="str">
        <f aca="false">IF(IFERROR(INDEX(tsk_Name,GanttView[[#This Row],[_Row]])="",TRUE()),"",INDEX(tsk_PlanFinish,GanttView[[#This Row],[_Row]]))</f>
        <v/>
      </c>
      <c r="G90" s="122" t="str">
        <f aca="false">IF(IFERROR(INDEX(tsk_Name,GanttView[[#This Row],[_Row]])="",TRUE()),"",INDEX(tsk_FcStart,GanttView[[#This Row],[_Row]]))</f>
        <v/>
      </c>
      <c r="H90" s="122" t="str">
        <f aca="false">IF(IFERROR(INDEX(tsk_Name,GanttView[[#This Row],[_Row]])="",TRUE()),"",INDEX(tsk_FcFinish,GanttView[[#This Row],[_Row]]))</f>
        <v/>
      </c>
      <c r="I90" s="123" t="str">
        <f aca="false">IF(IFERROR(INDEX(tsk_Name,GanttView[[#This Row],[_Row]])="",TRUE()),"",INDEX(tsk_Progress,GanttView[[#This Row],[_Row]]))</f>
        <v/>
      </c>
      <c r="J90" s="121" t="str">
        <f aca="false">IF(IFERROR(INDEX(tsk_Name,GanttView[[#This Row],[_Row]])="",TRUE()),"",INDEX(tsk_Resource,GanttView[[#This Row],[_Row]])&amp;"")</f>
        <v/>
      </c>
      <c r="K90" s="124" t="str">
        <f aca="false">IF(IFERROR(INDEX(tsk_Name,GanttView[[#This Row],[_Row]])="",TRUE()),"",INDEX(tsk_Status,GanttView[[#This Row],[_Row]]))</f>
        <v/>
      </c>
      <c r="L90" s="125" t="n">
        <f aca="false">ROW()-ROW(GanttView[[#Headers],[ID]])</f>
        <v>85</v>
      </c>
      <c r="M90" s="126" t="b">
        <f aca="false">IF(IFERROR(INDEX(tsk_Name,GanttView[[#This Row],[_Row]])="",TRUE()),FALSE(),INDEX(tsk_IsSummary,GanttView[[#This Row],[_Row]]))</f>
        <v>0</v>
      </c>
      <c r="N90" s="126" t="b">
        <f aca="false">IF(IFERROR(INDEX(tsk_Name,GanttView[[#This Row],[_Row]])="",TRUE()),FALSE(),AND(INDEX(tsk_IsLeaf,GanttView[[#This Row],[_Row]])=1,N(INDEX(tsk_Duration,GanttView[[#This Row],[_Row]]))=0))</f>
        <v>0</v>
      </c>
      <c r="O90" s="127" t="n">
        <f aca="false">IF(IFERROR(INDEX(tsk_Name,GanttView[[#This Row],[_Row]])="",TRUE()),0,IF(AND(INDEX(tsk_IsLeaf,GanttView[[#This Row],[_Row]])=1,NOT(GanttView[[#This Row],[_IsMilestone]]),N(GanttView[[#This Row],[%]])&gt;0),GanttView[[#This Row],[Forecast Start]],0))</f>
        <v>0</v>
      </c>
      <c r="P90" s="127" t="n">
        <f aca="false">IF(GanttView[[#This Row],[_DoneFrom]]=0,0,IF(GanttView[[#This Row],[%]]&gt;=1,GanttView[[#This Row],[Forecast Finish]],MAX(GanttView[[#This Row],[_DoneFrom]],GanttView[[#This Row],[Forecast Start]]+ROUND((GanttView[[#This Row],[Forecast Finish]]-GanttView[[#This Row],[Forecast Start]]+1)*GanttView[[#This Row],[%]],0)-1)))</f>
        <v>0</v>
      </c>
      <c r="Q90" s="127" t="n">
        <f aca="false">IF(IFERROR(INDEX(tsk_Name,GanttView[[#This Row],[_Row]])="",TRUE()),0,IF(OR(INDEX(tsk_IsLeaf,GanttView[[#This Row],[_Row]])&lt;&gt;1,GanttView[[#This Row],[_IsMilestone]],N(GanttView[[#This Row],[%]])&gt;=1),0,IF(GanttView[[#This Row],[_DoneTo]]&gt;0,GanttView[[#This Row],[_DoneTo]]+1,GanttView[[#This Row],[Forecast Start]])))</f>
        <v>0</v>
      </c>
      <c r="R90" s="127" t="n">
        <f aca="false">IF(GanttView[[#This Row],[_RemFrom]]=0,0,GanttView[[#This Row],[Forecast Finish]])</f>
        <v>0</v>
      </c>
      <c r="S90" s="126" t="b">
        <f aca="false">IF(IFERROR(INDEX(tsk_Name,GanttView[[#This Row],[_Row]])="",TRUE()),FALSE(),N(INDEX(tsk_Variance,GanttView[[#This Row],[_Row]]))&gt;0)</f>
        <v>0</v>
      </c>
      <c r="T90" s="127" t="n">
        <f aca="false">IF(IFERROR(INDEX(tsk_Name,GanttView[[#This Row],[_Row]])="",TRUE()),0,N(INDEX(tsk_Deadline,GanttView[[#This Row],[_Row]])))</f>
        <v>0</v>
      </c>
      <c r="U90" s="126" t="b">
        <f aca="false">IF(IFERROR(INDEX(tsk_Name,GanttView[[#This Row],[_Row]])="",TRUE()),FALSE(),INDEX(tsk_Critical,GanttView[[#This Row],[_Row]])="Yes")</f>
        <v>0</v>
      </c>
    </row>
    <row r="91" customFormat="false" ht="15" hidden="false" customHeight="false" outlineLevel="0" collapsed="false">
      <c r="A91" s="120" t="str">
        <f aca="false">IF(IFERROR(INDEX(tsk_Name,GanttView[[#This Row],[_Row]])="",TRUE()),"",INDEX(tsk_ID,GanttView[[#This Row],[_Row]]))</f>
        <v/>
      </c>
      <c r="B91" s="120" t="str">
        <f aca="false">IF(IFERROR(INDEX(tsk_Name,GanttView[[#This Row],[_Row]])="",TRUE()),"",INDEX(tsk_WBS,GanttView[[#This Row],[_Row]]))</f>
        <v/>
      </c>
      <c r="C91" s="121" t="str">
        <f aca="false">IF(IFERROR(INDEX(tsk_Name,GanttView[[#This Row],[_Row]])="",TRUE()),"",REPT("    ",INDEX(tsk_Level,GanttView[[#This Row],[_Row]])-1)&amp;INDEX(tsk_Name,GanttView[[#This Row],[_Row]]))</f>
        <v/>
      </c>
      <c r="D91" s="120" t="str">
        <f aca="false">IF(IFERROR(INDEX(tsk_Name,GanttView[[#This Row],[_Row]])="",TRUE()),"",IF(INDEX(tsk_IsSummary,GanttView[[#This Row],[_Row]]),NETWORKDAYS.INTL(INDEX(tsk_FcStart,GanttView[[#This Row],[_Row]]),INDEX(tsk_FcFinish,GanttView[[#This Row],[_Row]]),WorkWeek,Holidays),N(INDEX(tsk_Duration,GanttView[[#This Row],[_Row]]))))</f>
        <v/>
      </c>
      <c r="E91" s="122" t="str">
        <f aca="false">IF(IFERROR(INDEX(tsk_Name,GanttView[[#This Row],[_Row]])="",TRUE()),"",INDEX(tsk_PlanStart,GanttView[[#This Row],[_Row]]))</f>
        <v/>
      </c>
      <c r="F91" s="122" t="str">
        <f aca="false">IF(IFERROR(INDEX(tsk_Name,GanttView[[#This Row],[_Row]])="",TRUE()),"",INDEX(tsk_PlanFinish,GanttView[[#This Row],[_Row]]))</f>
        <v/>
      </c>
      <c r="G91" s="122" t="str">
        <f aca="false">IF(IFERROR(INDEX(tsk_Name,GanttView[[#This Row],[_Row]])="",TRUE()),"",INDEX(tsk_FcStart,GanttView[[#This Row],[_Row]]))</f>
        <v/>
      </c>
      <c r="H91" s="122" t="str">
        <f aca="false">IF(IFERROR(INDEX(tsk_Name,GanttView[[#This Row],[_Row]])="",TRUE()),"",INDEX(tsk_FcFinish,GanttView[[#This Row],[_Row]]))</f>
        <v/>
      </c>
      <c r="I91" s="123" t="str">
        <f aca="false">IF(IFERROR(INDEX(tsk_Name,GanttView[[#This Row],[_Row]])="",TRUE()),"",INDEX(tsk_Progress,GanttView[[#This Row],[_Row]]))</f>
        <v/>
      </c>
      <c r="J91" s="121" t="str">
        <f aca="false">IF(IFERROR(INDEX(tsk_Name,GanttView[[#This Row],[_Row]])="",TRUE()),"",INDEX(tsk_Resource,GanttView[[#This Row],[_Row]])&amp;"")</f>
        <v/>
      </c>
      <c r="K91" s="124" t="str">
        <f aca="false">IF(IFERROR(INDEX(tsk_Name,GanttView[[#This Row],[_Row]])="",TRUE()),"",INDEX(tsk_Status,GanttView[[#This Row],[_Row]]))</f>
        <v/>
      </c>
      <c r="L91" s="125" t="n">
        <f aca="false">ROW()-ROW(GanttView[[#Headers],[ID]])</f>
        <v>86</v>
      </c>
      <c r="M91" s="126" t="b">
        <f aca="false">IF(IFERROR(INDEX(tsk_Name,GanttView[[#This Row],[_Row]])="",TRUE()),FALSE(),INDEX(tsk_IsSummary,GanttView[[#This Row],[_Row]]))</f>
        <v>0</v>
      </c>
      <c r="N91" s="126" t="b">
        <f aca="false">IF(IFERROR(INDEX(tsk_Name,GanttView[[#This Row],[_Row]])="",TRUE()),FALSE(),AND(INDEX(tsk_IsLeaf,GanttView[[#This Row],[_Row]])=1,N(INDEX(tsk_Duration,GanttView[[#This Row],[_Row]]))=0))</f>
        <v>0</v>
      </c>
      <c r="O91" s="127" t="n">
        <f aca="false">IF(IFERROR(INDEX(tsk_Name,GanttView[[#This Row],[_Row]])="",TRUE()),0,IF(AND(INDEX(tsk_IsLeaf,GanttView[[#This Row],[_Row]])=1,NOT(GanttView[[#This Row],[_IsMilestone]]),N(GanttView[[#This Row],[%]])&gt;0),GanttView[[#This Row],[Forecast Start]],0))</f>
        <v>0</v>
      </c>
      <c r="P91" s="127" t="n">
        <f aca="false">IF(GanttView[[#This Row],[_DoneFrom]]=0,0,IF(GanttView[[#This Row],[%]]&gt;=1,GanttView[[#This Row],[Forecast Finish]],MAX(GanttView[[#This Row],[_DoneFrom]],GanttView[[#This Row],[Forecast Start]]+ROUND((GanttView[[#This Row],[Forecast Finish]]-GanttView[[#This Row],[Forecast Start]]+1)*GanttView[[#This Row],[%]],0)-1)))</f>
        <v>0</v>
      </c>
      <c r="Q91" s="127" t="n">
        <f aca="false">IF(IFERROR(INDEX(tsk_Name,GanttView[[#This Row],[_Row]])="",TRUE()),0,IF(OR(INDEX(tsk_IsLeaf,GanttView[[#This Row],[_Row]])&lt;&gt;1,GanttView[[#This Row],[_IsMilestone]],N(GanttView[[#This Row],[%]])&gt;=1),0,IF(GanttView[[#This Row],[_DoneTo]]&gt;0,GanttView[[#This Row],[_DoneTo]]+1,GanttView[[#This Row],[Forecast Start]])))</f>
        <v>0</v>
      </c>
      <c r="R91" s="127" t="n">
        <f aca="false">IF(GanttView[[#This Row],[_RemFrom]]=0,0,GanttView[[#This Row],[Forecast Finish]])</f>
        <v>0</v>
      </c>
      <c r="S91" s="126" t="b">
        <f aca="false">IF(IFERROR(INDEX(tsk_Name,GanttView[[#This Row],[_Row]])="",TRUE()),FALSE(),N(INDEX(tsk_Variance,GanttView[[#This Row],[_Row]]))&gt;0)</f>
        <v>0</v>
      </c>
      <c r="T91" s="127" t="n">
        <f aca="false">IF(IFERROR(INDEX(tsk_Name,GanttView[[#This Row],[_Row]])="",TRUE()),0,N(INDEX(tsk_Deadline,GanttView[[#This Row],[_Row]])))</f>
        <v>0</v>
      </c>
      <c r="U91" s="126" t="b">
        <f aca="false">IF(IFERROR(INDEX(tsk_Name,GanttView[[#This Row],[_Row]])="",TRUE()),FALSE(),INDEX(tsk_Critical,GanttView[[#This Row],[_Row]])="Yes")</f>
        <v>0</v>
      </c>
    </row>
    <row r="92" customFormat="false" ht="15" hidden="false" customHeight="false" outlineLevel="0" collapsed="false">
      <c r="A92" s="120" t="str">
        <f aca="false">IF(IFERROR(INDEX(tsk_Name,GanttView[[#This Row],[_Row]])="",TRUE()),"",INDEX(tsk_ID,GanttView[[#This Row],[_Row]]))</f>
        <v/>
      </c>
      <c r="B92" s="120" t="str">
        <f aca="false">IF(IFERROR(INDEX(tsk_Name,GanttView[[#This Row],[_Row]])="",TRUE()),"",INDEX(tsk_WBS,GanttView[[#This Row],[_Row]]))</f>
        <v/>
      </c>
      <c r="C92" s="121" t="str">
        <f aca="false">IF(IFERROR(INDEX(tsk_Name,GanttView[[#This Row],[_Row]])="",TRUE()),"",REPT("    ",INDEX(tsk_Level,GanttView[[#This Row],[_Row]])-1)&amp;INDEX(tsk_Name,GanttView[[#This Row],[_Row]]))</f>
        <v/>
      </c>
      <c r="D92" s="120" t="str">
        <f aca="false">IF(IFERROR(INDEX(tsk_Name,GanttView[[#This Row],[_Row]])="",TRUE()),"",IF(INDEX(tsk_IsSummary,GanttView[[#This Row],[_Row]]),NETWORKDAYS.INTL(INDEX(tsk_FcStart,GanttView[[#This Row],[_Row]]),INDEX(tsk_FcFinish,GanttView[[#This Row],[_Row]]),WorkWeek,Holidays),N(INDEX(tsk_Duration,GanttView[[#This Row],[_Row]]))))</f>
        <v/>
      </c>
      <c r="E92" s="122" t="str">
        <f aca="false">IF(IFERROR(INDEX(tsk_Name,GanttView[[#This Row],[_Row]])="",TRUE()),"",INDEX(tsk_PlanStart,GanttView[[#This Row],[_Row]]))</f>
        <v/>
      </c>
      <c r="F92" s="122" t="str">
        <f aca="false">IF(IFERROR(INDEX(tsk_Name,GanttView[[#This Row],[_Row]])="",TRUE()),"",INDEX(tsk_PlanFinish,GanttView[[#This Row],[_Row]]))</f>
        <v/>
      </c>
      <c r="G92" s="122" t="str">
        <f aca="false">IF(IFERROR(INDEX(tsk_Name,GanttView[[#This Row],[_Row]])="",TRUE()),"",INDEX(tsk_FcStart,GanttView[[#This Row],[_Row]]))</f>
        <v/>
      </c>
      <c r="H92" s="122" t="str">
        <f aca="false">IF(IFERROR(INDEX(tsk_Name,GanttView[[#This Row],[_Row]])="",TRUE()),"",INDEX(tsk_FcFinish,GanttView[[#This Row],[_Row]]))</f>
        <v/>
      </c>
      <c r="I92" s="123" t="str">
        <f aca="false">IF(IFERROR(INDEX(tsk_Name,GanttView[[#This Row],[_Row]])="",TRUE()),"",INDEX(tsk_Progress,GanttView[[#This Row],[_Row]]))</f>
        <v/>
      </c>
      <c r="J92" s="121" t="str">
        <f aca="false">IF(IFERROR(INDEX(tsk_Name,GanttView[[#This Row],[_Row]])="",TRUE()),"",INDEX(tsk_Resource,GanttView[[#This Row],[_Row]])&amp;"")</f>
        <v/>
      </c>
      <c r="K92" s="124" t="str">
        <f aca="false">IF(IFERROR(INDEX(tsk_Name,GanttView[[#This Row],[_Row]])="",TRUE()),"",INDEX(tsk_Status,GanttView[[#This Row],[_Row]]))</f>
        <v/>
      </c>
      <c r="L92" s="125" t="n">
        <f aca="false">ROW()-ROW(GanttView[[#Headers],[ID]])</f>
        <v>87</v>
      </c>
      <c r="M92" s="126" t="b">
        <f aca="false">IF(IFERROR(INDEX(tsk_Name,GanttView[[#This Row],[_Row]])="",TRUE()),FALSE(),INDEX(tsk_IsSummary,GanttView[[#This Row],[_Row]]))</f>
        <v>0</v>
      </c>
      <c r="N92" s="126" t="b">
        <f aca="false">IF(IFERROR(INDEX(tsk_Name,GanttView[[#This Row],[_Row]])="",TRUE()),FALSE(),AND(INDEX(tsk_IsLeaf,GanttView[[#This Row],[_Row]])=1,N(INDEX(tsk_Duration,GanttView[[#This Row],[_Row]]))=0))</f>
        <v>0</v>
      </c>
      <c r="O92" s="127" t="n">
        <f aca="false">IF(IFERROR(INDEX(tsk_Name,GanttView[[#This Row],[_Row]])="",TRUE()),0,IF(AND(INDEX(tsk_IsLeaf,GanttView[[#This Row],[_Row]])=1,NOT(GanttView[[#This Row],[_IsMilestone]]),N(GanttView[[#This Row],[%]])&gt;0),GanttView[[#This Row],[Forecast Start]],0))</f>
        <v>0</v>
      </c>
      <c r="P92" s="127" t="n">
        <f aca="false">IF(GanttView[[#This Row],[_DoneFrom]]=0,0,IF(GanttView[[#This Row],[%]]&gt;=1,GanttView[[#This Row],[Forecast Finish]],MAX(GanttView[[#This Row],[_DoneFrom]],GanttView[[#This Row],[Forecast Start]]+ROUND((GanttView[[#This Row],[Forecast Finish]]-GanttView[[#This Row],[Forecast Start]]+1)*GanttView[[#This Row],[%]],0)-1)))</f>
        <v>0</v>
      </c>
      <c r="Q92" s="127" t="n">
        <f aca="false">IF(IFERROR(INDEX(tsk_Name,GanttView[[#This Row],[_Row]])="",TRUE()),0,IF(OR(INDEX(tsk_IsLeaf,GanttView[[#This Row],[_Row]])&lt;&gt;1,GanttView[[#This Row],[_IsMilestone]],N(GanttView[[#This Row],[%]])&gt;=1),0,IF(GanttView[[#This Row],[_DoneTo]]&gt;0,GanttView[[#This Row],[_DoneTo]]+1,GanttView[[#This Row],[Forecast Start]])))</f>
        <v>0</v>
      </c>
      <c r="R92" s="127" t="n">
        <f aca="false">IF(GanttView[[#This Row],[_RemFrom]]=0,0,GanttView[[#This Row],[Forecast Finish]])</f>
        <v>0</v>
      </c>
      <c r="S92" s="126" t="b">
        <f aca="false">IF(IFERROR(INDEX(tsk_Name,GanttView[[#This Row],[_Row]])="",TRUE()),FALSE(),N(INDEX(tsk_Variance,GanttView[[#This Row],[_Row]]))&gt;0)</f>
        <v>0</v>
      </c>
      <c r="T92" s="127" t="n">
        <f aca="false">IF(IFERROR(INDEX(tsk_Name,GanttView[[#This Row],[_Row]])="",TRUE()),0,N(INDEX(tsk_Deadline,GanttView[[#This Row],[_Row]])))</f>
        <v>0</v>
      </c>
      <c r="U92" s="126" t="b">
        <f aca="false">IF(IFERROR(INDEX(tsk_Name,GanttView[[#This Row],[_Row]])="",TRUE()),FALSE(),INDEX(tsk_Critical,GanttView[[#This Row],[_Row]])="Yes")</f>
        <v>0</v>
      </c>
    </row>
    <row r="93" customFormat="false" ht="15" hidden="false" customHeight="false" outlineLevel="0" collapsed="false">
      <c r="A93" s="120" t="str">
        <f aca="false">IF(IFERROR(INDEX(tsk_Name,GanttView[[#This Row],[_Row]])="",TRUE()),"",INDEX(tsk_ID,GanttView[[#This Row],[_Row]]))</f>
        <v/>
      </c>
      <c r="B93" s="120" t="str">
        <f aca="false">IF(IFERROR(INDEX(tsk_Name,GanttView[[#This Row],[_Row]])="",TRUE()),"",INDEX(tsk_WBS,GanttView[[#This Row],[_Row]]))</f>
        <v/>
      </c>
      <c r="C93" s="121" t="str">
        <f aca="false">IF(IFERROR(INDEX(tsk_Name,GanttView[[#This Row],[_Row]])="",TRUE()),"",REPT("    ",INDEX(tsk_Level,GanttView[[#This Row],[_Row]])-1)&amp;INDEX(tsk_Name,GanttView[[#This Row],[_Row]]))</f>
        <v/>
      </c>
      <c r="D93" s="120" t="str">
        <f aca="false">IF(IFERROR(INDEX(tsk_Name,GanttView[[#This Row],[_Row]])="",TRUE()),"",IF(INDEX(tsk_IsSummary,GanttView[[#This Row],[_Row]]),NETWORKDAYS.INTL(INDEX(tsk_FcStart,GanttView[[#This Row],[_Row]]),INDEX(tsk_FcFinish,GanttView[[#This Row],[_Row]]),WorkWeek,Holidays),N(INDEX(tsk_Duration,GanttView[[#This Row],[_Row]]))))</f>
        <v/>
      </c>
      <c r="E93" s="122" t="str">
        <f aca="false">IF(IFERROR(INDEX(tsk_Name,GanttView[[#This Row],[_Row]])="",TRUE()),"",INDEX(tsk_PlanStart,GanttView[[#This Row],[_Row]]))</f>
        <v/>
      </c>
      <c r="F93" s="122" t="str">
        <f aca="false">IF(IFERROR(INDEX(tsk_Name,GanttView[[#This Row],[_Row]])="",TRUE()),"",INDEX(tsk_PlanFinish,GanttView[[#This Row],[_Row]]))</f>
        <v/>
      </c>
      <c r="G93" s="122" t="str">
        <f aca="false">IF(IFERROR(INDEX(tsk_Name,GanttView[[#This Row],[_Row]])="",TRUE()),"",INDEX(tsk_FcStart,GanttView[[#This Row],[_Row]]))</f>
        <v/>
      </c>
      <c r="H93" s="122" t="str">
        <f aca="false">IF(IFERROR(INDEX(tsk_Name,GanttView[[#This Row],[_Row]])="",TRUE()),"",INDEX(tsk_FcFinish,GanttView[[#This Row],[_Row]]))</f>
        <v/>
      </c>
      <c r="I93" s="123" t="str">
        <f aca="false">IF(IFERROR(INDEX(tsk_Name,GanttView[[#This Row],[_Row]])="",TRUE()),"",INDEX(tsk_Progress,GanttView[[#This Row],[_Row]]))</f>
        <v/>
      </c>
      <c r="J93" s="121" t="str">
        <f aca="false">IF(IFERROR(INDEX(tsk_Name,GanttView[[#This Row],[_Row]])="",TRUE()),"",INDEX(tsk_Resource,GanttView[[#This Row],[_Row]])&amp;"")</f>
        <v/>
      </c>
      <c r="K93" s="124" t="str">
        <f aca="false">IF(IFERROR(INDEX(tsk_Name,GanttView[[#This Row],[_Row]])="",TRUE()),"",INDEX(tsk_Status,GanttView[[#This Row],[_Row]]))</f>
        <v/>
      </c>
      <c r="L93" s="125" t="n">
        <f aca="false">ROW()-ROW(GanttView[[#Headers],[ID]])</f>
        <v>88</v>
      </c>
      <c r="M93" s="126" t="b">
        <f aca="false">IF(IFERROR(INDEX(tsk_Name,GanttView[[#This Row],[_Row]])="",TRUE()),FALSE(),INDEX(tsk_IsSummary,GanttView[[#This Row],[_Row]]))</f>
        <v>0</v>
      </c>
      <c r="N93" s="126" t="b">
        <f aca="false">IF(IFERROR(INDEX(tsk_Name,GanttView[[#This Row],[_Row]])="",TRUE()),FALSE(),AND(INDEX(tsk_IsLeaf,GanttView[[#This Row],[_Row]])=1,N(INDEX(tsk_Duration,GanttView[[#This Row],[_Row]]))=0))</f>
        <v>0</v>
      </c>
      <c r="O93" s="127" t="n">
        <f aca="false">IF(IFERROR(INDEX(tsk_Name,GanttView[[#This Row],[_Row]])="",TRUE()),0,IF(AND(INDEX(tsk_IsLeaf,GanttView[[#This Row],[_Row]])=1,NOT(GanttView[[#This Row],[_IsMilestone]]),N(GanttView[[#This Row],[%]])&gt;0),GanttView[[#This Row],[Forecast Start]],0))</f>
        <v>0</v>
      </c>
      <c r="P93" s="127" t="n">
        <f aca="false">IF(GanttView[[#This Row],[_DoneFrom]]=0,0,IF(GanttView[[#This Row],[%]]&gt;=1,GanttView[[#This Row],[Forecast Finish]],MAX(GanttView[[#This Row],[_DoneFrom]],GanttView[[#This Row],[Forecast Start]]+ROUND((GanttView[[#This Row],[Forecast Finish]]-GanttView[[#This Row],[Forecast Start]]+1)*GanttView[[#This Row],[%]],0)-1)))</f>
        <v>0</v>
      </c>
      <c r="Q93" s="127" t="n">
        <f aca="false">IF(IFERROR(INDEX(tsk_Name,GanttView[[#This Row],[_Row]])="",TRUE()),0,IF(OR(INDEX(tsk_IsLeaf,GanttView[[#This Row],[_Row]])&lt;&gt;1,GanttView[[#This Row],[_IsMilestone]],N(GanttView[[#This Row],[%]])&gt;=1),0,IF(GanttView[[#This Row],[_DoneTo]]&gt;0,GanttView[[#This Row],[_DoneTo]]+1,GanttView[[#This Row],[Forecast Start]])))</f>
        <v>0</v>
      </c>
      <c r="R93" s="127" t="n">
        <f aca="false">IF(GanttView[[#This Row],[_RemFrom]]=0,0,GanttView[[#This Row],[Forecast Finish]])</f>
        <v>0</v>
      </c>
      <c r="S93" s="126" t="b">
        <f aca="false">IF(IFERROR(INDEX(tsk_Name,GanttView[[#This Row],[_Row]])="",TRUE()),FALSE(),N(INDEX(tsk_Variance,GanttView[[#This Row],[_Row]]))&gt;0)</f>
        <v>0</v>
      </c>
      <c r="T93" s="127" t="n">
        <f aca="false">IF(IFERROR(INDEX(tsk_Name,GanttView[[#This Row],[_Row]])="",TRUE()),0,N(INDEX(tsk_Deadline,GanttView[[#This Row],[_Row]])))</f>
        <v>0</v>
      </c>
      <c r="U93" s="126" t="b">
        <f aca="false">IF(IFERROR(INDEX(tsk_Name,GanttView[[#This Row],[_Row]])="",TRUE()),FALSE(),INDEX(tsk_Critical,GanttView[[#This Row],[_Row]])="Yes")</f>
        <v>0</v>
      </c>
    </row>
    <row r="94" customFormat="false" ht="15" hidden="false" customHeight="false" outlineLevel="0" collapsed="false">
      <c r="A94" s="120" t="str">
        <f aca="false">IF(IFERROR(INDEX(tsk_Name,GanttView[[#This Row],[_Row]])="",TRUE()),"",INDEX(tsk_ID,GanttView[[#This Row],[_Row]]))</f>
        <v/>
      </c>
      <c r="B94" s="120" t="str">
        <f aca="false">IF(IFERROR(INDEX(tsk_Name,GanttView[[#This Row],[_Row]])="",TRUE()),"",INDEX(tsk_WBS,GanttView[[#This Row],[_Row]]))</f>
        <v/>
      </c>
      <c r="C94" s="121" t="str">
        <f aca="false">IF(IFERROR(INDEX(tsk_Name,GanttView[[#This Row],[_Row]])="",TRUE()),"",REPT("    ",INDEX(tsk_Level,GanttView[[#This Row],[_Row]])-1)&amp;INDEX(tsk_Name,GanttView[[#This Row],[_Row]]))</f>
        <v/>
      </c>
      <c r="D94" s="120" t="str">
        <f aca="false">IF(IFERROR(INDEX(tsk_Name,GanttView[[#This Row],[_Row]])="",TRUE()),"",IF(INDEX(tsk_IsSummary,GanttView[[#This Row],[_Row]]),NETWORKDAYS.INTL(INDEX(tsk_FcStart,GanttView[[#This Row],[_Row]]),INDEX(tsk_FcFinish,GanttView[[#This Row],[_Row]]),WorkWeek,Holidays),N(INDEX(tsk_Duration,GanttView[[#This Row],[_Row]]))))</f>
        <v/>
      </c>
      <c r="E94" s="122" t="str">
        <f aca="false">IF(IFERROR(INDEX(tsk_Name,GanttView[[#This Row],[_Row]])="",TRUE()),"",INDEX(tsk_PlanStart,GanttView[[#This Row],[_Row]]))</f>
        <v/>
      </c>
      <c r="F94" s="122" t="str">
        <f aca="false">IF(IFERROR(INDEX(tsk_Name,GanttView[[#This Row],[_Row]])="",TRUE()),"",INDEX(tsk_PlanFinish,GanttView[[#This Row],[_Row]]))</f>
        <v/>
      </c>
      <c r="G94" s="122" t="str">
        <f aca="false">IF(IFERROR(INDEX(tsk_Name,GanttView[[#This Row],[_Row]])="",TRUE()),"",INDEX(tsk_FcStart,GanttView[[#This Row],[_Row]]))</f>
        <v/>
      </c>
      <c r="H94" s="122" t="str">
        <f aca="false">IF(IFERROR(INDEX(tsk_Name,GanttView[[#This Row],[_Row]])="",TRUE()),"",INDEX(tsk_FcFinish,GanttView[[#This Row],[_Row]]))</f>
        <v/>
      </c>
      <c r="I94" s="123" t="str">
        <f aca="false">IF(IFERROR(INDEX(tsk_Name,GanttView[[#This Row],[_Row]])="",TRUE()),"",INDEX(tsk_Progress,GanttView[[#This Row],[_Row]]))</f>
        <v/>
      </c>
      <c r="J94" s="121" t="str">
        <f aca="false">IF(IFERROR(INDEX(tsk_Name,GanttView[[#This Row],[_Row]])="",TRUE()),"",INDEX(tsk_Resource,GanttView[[#This Row],[_Row]])&amp;"")</f>
        <v/>
      </c>
      <c r="K94" s="124" t="str">
        <f aca="false">IF(IFERROR(INDEX(tsk_Name,GanttView[[#This Row],[_Row]])="",TRUE()),"",INDEX(tsk_Status,GanttView[[#This Row],[_Row]]))</f>
        <v/>
      </c>
      <c r="L94" s="125" t="n">
        <f aca="false">ROW()-ROW(GanttView[[#Headers],[ID]])</f>
        <v>89</v>
      </c>
      <c r="M94" s="126" t="b">
        <f aca="false">IF(IFERROR(INDEX(tsk_Name,GanttView[[#This Row],[_Row]])="",TRUE()),FALSE(),INDEX(tsk_IsSummary,GanttView[[#This Row],[_Row]]))</f>
        <v>0</v>
      </c>
      <c r="N94" s="126" t="b">
        <f aca="false">IF(IFERROR(INDEX(tsk_Name,GanttView[[#This Row],[_Row]])="",TRUE()),FALSE(),AND(INDEX(tsk_IsLeaf,GanttView[[#This Row],[_Row]])=1,N(INDEX(tsk_Duration,GanttView[[#This Row],[_Row]]))=0))</f>
        <v>0</v>
      </c>
      <c r="O94" s="127" t="n">
        <f aca="false">IF(IFERROR(INDEX(tsk_Name,GanttView[[#This Row],[_Row]])="",TRUE()),0,IF(AND(INDEX(tsk_IsLeaf,GanttView[[#This Row],[_Row]])=1,NOT(GanttView[[#This Row],[_IsMilestone]]),N(GanttView[[#This Row],[%]])&gt;0),GanttView[[#This Row],[Forecast Start]],0))</f>
        <v>0</v>
      </c>
      <c r="P94" s="127" t="n">
        <f aca="false">IF(GanttView[[#This Row],[_DoneFrom]]=0,0,IF(GanttView[[#This Row],[%]]&gt;=1,GanttView[[#This Row],[Forecast Finish]],MAX(GanttView[[#This Row],[_DoneFrom]],GanttView[[#This Row],[Forecast Start]]+ROUND((GanttView[[#This Row],[Forecast Finish]]-GanttView[[#This Row],[Forecast Start]]+1)*GanttView[[#This Row],[%]],0)-1)))</f>
        <v>0</v>
      </c>
      <c r="Q94" s="127" t="n">
        <f aca="false">IF(IFERROR(INDEX(tsk_Name,GanttView[[#This Row],[_Row]])="",TRUE()),0,IF(OR(INDEX(tsk_IsLeaf,GanttView[[#This Row],[_Row]])&lt;&gt;1,GanttView[[#This Row],[_IsMilestone]],N(GanttView[[#This Row],[%]])&gt;=1),0,IF(GanttView[[#This Row],[_DoneTo]]&gt;0,GanttView[[#This Row],[_DoneTo]]+1,GanttView[[#This Row],[Forecast Start]])))</f>
        <v>0</v>
      </c>
      <c r="R94" s="127" t="n">
        <f aca="false">IF(GanttView[[#This Row],[_RemFrom]]=0,0,GanttView[[#This Row],[Forecast Finish]])</f>
        <v>0</v>
      </c>
      <c r="S94" s="126" t="b">
        <f aca="false">IF(IFERROR(INDEX(tsk_Name,GanttView[[#This Row],[_Row]])="",TRUE()),FALSE(),N(INDEX(tsk_Variance,GanttView[[#This Row],[_Row]]))&gt;0)</f>
        <v>0</v>
      </c>
      <c r="T94" s="127" t="n">
        <f aca="false">IF(IFERROR(INDEX(tsk_Name,GanttView[[#This Row],[_Row]])="",TRUE()),0,N(INDEX(tsk_Deadline,GanttView[[#This Row],[_Row]])))</f>
        <v>0</v>
      </c>
      <c r="U94" s="126" t="b">
        <f aca="false">IF(IFERROR(INDEX(tsk_Name,GanttView[[#This Row],[_Row]])="",TRUE()),FALSE(),INDEX(tsk_Critical,GanttView[[#This Row],[_Row]])="Yes")</f>
        <v>0</v>
      </c>
    </row>
    <row r="95" customFormat="false" ht="15" hidden="false" customHeight="false" outlineLevel="0" collapsed="false">
      <c r="A95" s="120" t="str">
        <f aca="false">IF(IFERROR(INDEX(tsk_Name,GanttView[[#This Row],[_Row]])="",TRUE()),"",INDEX(tsk_ID,GanttView[[#This Row],[_Row]]))</f>
        <v/>
      </c>
      <c r="B95" s="120" t="str">
        <f aca="false">IF(IFERROR(INDEX(tsk_Name,GanttView[[#This Row],[_Row]])="",TRUE()),"",INDEX(tsk_WBS,GanttView[[#This Row],[_Row]]))</f>
        <v/>
      </c>
      <c r="C95" s="121" t="str">
        <f aca="false">IF(IFERROR(INDEX(tsk_Name,GanttView[[#This Row],[_Row]])="",TRUE()),"",REPT("    ",INDEX(tsk_Level,GanttView[[#This Row],[_Row]])-1)&amp;INDEX(tsk_Name,GanttView[[#This Row],[_Row]]))</f>
        <v/>
      </c>
      <c r="D95" s="120" t="str">
        <f aca="false">IF(IFERROR(INDEX(tsk_Name,GanttView[[#This Row],[_Row]])="",TRUE()),"",IF(INDEX(tsk_IsSummary,GanttView[[#This Row],[_Row]]),NETWORKDAYS.INTL(INDEX(tsk_FcStart,GanttView[[#This Row],[_Row]]),INDEX(tsk_FcFinish,GanttView[[#This Row],[_Row]]),WorkWeek,Holidays),N(INDEX(tsk_Duration,GanttView[[#This Row],[_Row]]))))</f>
        <v/>
      </c>
      <c r="E95" s="122" t="str">
        <f aca="false">IF(IFERROR(INDEX(tsk_Name,GanttView[[#This Row],[_Row]])="",TRUE()),"",INDEX(tsk_PlanStart,GanttView[[#This Row],[_Row]]))</f>
        <v/>
      </c>
      <c r="F95" s="122" t="str">
        <f aca="false">IF(IFERROR(INDEX(tsk_Name,GanttView[[#This Row],[_Row]])="",TRUE()),"",INDEX(tsk_PlanFinish,GanttView[[#This Row],[_Row]]))</f>
        <v/>
      </c>
      <c r="G95" s="122" t="str">
        <f aca="false">IF(IFERROR(INDEX(tsk_Name,GanttView[[#This Row],[_Row]])="",TRUE()),"",INDEX(tsk_FcStart,GanttView[[#This Row],[_Row]]))</f>
        <v/>
      </c>
      <c r="H95" s="122" t="str">
        <f aca="false">IF(IFERROR(INDEX(tsk_Name,GanttView[[#This Row],[_Row]])="",TRUE()),"",INDEX(tsk_FcFinish,GanttView[[#This Row],[_Row]]))</f>
        <v/>
      </c>
      <c r="I95" s="123" t="str">
        <f aca="false">IF(IFERROR(INDEX(tsk_Name,GanttView[[#This Row],[_Row]])="",TRUE()),"",INDEX(tsk_Progress,GanttView[[#This Row],[_Row]]))</f>
        <v/>
      </c>
      <c r="J95" s="121" t="str">
        <f aca="false">IF(IFERROR(INDEX(tsk_Name,GanttView[[#This Row],[_Row]])="",TRUE()),"",INDEX(tsk_Resource,GanttView[[#This Row],[_Row]])&amp;"")</f>
        <v/>
      </c>
      <c r="K95" s="124" t="str">
        <f aca="false">IF(IFERROR(INDEX(tsk_Name,GanttView[[#This Row],[_Row]])="",TRUE()),"",INDEX(tsk_Status,GanttView[[#This Row],[_Row]]))</f>
        <v/>
      </c>
      <c r="L95" s="125" t="n">
        <f aca="false">ROW()-ROW(GanttView[[#Headers],[ID]])</f>
        <v>90</v>
      </c>
      <c r="M95" s="126" t="b">
        <f aca="false">IF(IFERROR(INDEX(tsk_Name,GanttView[[#This Row],[_Row]])="",TRUE()),FALSE(),INDEX(tsk_IsSummary,GanttView[[#This Row],[_Row]]))</f>
        <v>0</v>
      </c>
      <c r="N95" s="126" t="b">
        <f aca="false">IF(IFERROR(INDEX(tsk_Name,GanttView[[#This Row],[_Row]])="",TRUE()),FALSE(),AND(INDEX(tsk_IsLeaf,GanttView[[#This Row],[_Row]])=1,N(INDEX(tsk_Duration,GanttView[[#This Row],[_Row]]))=0))</f>
        <v>0</v>
      </c>
      <c r="O95" s="127" t="n">
        <f aca="false">IF(IFERROR(INDEX(tsk_Name,GanttView[[#This Row],[_Row]])="",TRUE()),0,IF(AND(INDEX(tsk_IsLeaf,GanttView[[#This Row],[_Row]])=1,NOT(GanttView[[#This Row],[_IsMilestone]]),N(GanttView[[#This Row],[%]])&gt;0),GanttView[[#This Row],[Forecast Start]],0))</f>
        <v>0</v>
      </c>
      <c r="P95" s="127" t="n">
        <f aca="false">IF(GanttView[[#This Row],[_DoneFrom]]=0,0,IF(GanttView[[#This Row],[%]]&gt;=1,GanttView[[#This Row],[Forecast Finish]],MAX(GanttView[[#This Row],[_DoneFrom]],GanttView[[#This Row],[Forecast Start]]+ROUND((GanttView[[#This Row],[Forecast Finish]]-GanttView[[#This Row],[Forecast Start]]+1)*GanttView[[#This Row],[%]],0)-1)))</f>
        <v>0</v>
      </c>
      <c r="Q95" s="127" t="n">
        <f aca="false">IF(IFERROR(INDEX(tsk_Name,GanttView[[#This Row],[_Row]])="",TRUE()),0,IF(OR(INDEX(tsk_IsLeaf,GanttView[[#This Row],[_Row]])&lt;&gt;1,GanttView[[#This Row],[_IsMilestone]],N(GanttView[[#This Row],[%]])&gt;=1),0,IF(GanttView[[#This Row],[_DoneTo]]&gt;0,GanttView[[#This Row],[_DoneTo]]+1,GanttView[[#This Row],[Forecast Start]])))</f>
        <v>0</v>
      </c>
      <c r="R95" s="127" t="n">
        <f aca="false">IF(GanttView[[#This Row],[_RemFrom]]=0,0,GanttView[[#This Row],[Forecast Finish]])</f>
        <v>0</v>
      </c>
      <c r="S95" s="126" t="b">
        <f aca="false">IF(IFERROR(INDEX(tsk_Name,GanttView[[#This Row],[_Row]])="",TRUE()),FALSE(),N(INDEX(tsk_Variance,GanttView[[#This Row],[_Row]]))&gt;0)</f>
        <v>0</v>
      </c>
      <c r="T95" s="127" t="n">
        <f aca="false">IF(IFERROR(INDEX(tsk_Name,GanttView[[#This Row],[_Row]])="",TRUE()),0,N(INDEX(tsk_Deadline,GanttView[[#This Row],[_Row]])))</f>
        <v>0</v>
      </c>
      <c r="U95" s="126" t="b">
        <f aca="false">IF(IFERROR(INDEX(tsk_Name,GanttView[[#This Row],[_Row]])="",TRUE()),FALSE(),INDEX(tsk_Critical,GanttView[[#This Row],[_Row]])="Yes")</f>
        <v>0</v>
      </c>
    </row>
    <row r="96" customFormat="false" ht="15" hidden="false" customHeight="false" outlineLevel="0" collapsed="false">
      <c r="A96" s="120" t="str">
        <f aca="false">IF(IFERROR(INDEX(tsk_Name,GanttView[[#This Row],[_Row]])="",TRUE()),"",INDEX(tsk_ID,GanttView[[#This Row],[_Row]]))</f>
        <v/>
      </c>
      <c r="B96" s="120" t="str">
        <f aca="false">IF(IFERROR(INDEX(tsk_Name,GanttView[[#This Row],[_Row]])="",TRUE()),"",INDEX(tsk_WBS,GanttView[[#This Row],[_Row]]))</f>
        <v/>
      </c>
      <c r="C96" s="121" t="str">
        <f aca="false">IF(IFERROR(INDEX(tsk_Name,GanttView[[#This Row],[_Row]])="",TRUE()),"",REPT("    ",INDEX(tsk_Level,GanttView[[#This Row],[_Row]])-1)&amp;INDEX(tsk_Name,GanttView[[#This Row],[_Row]]))</f>
        <v/>
      </c>
      <c r="D96" s="120" t="str">
        <f aca="false">IF(IFERROR(INDEX(tsk_Name,GanttView[[#This Row],[_Row]])="",TRUE()),"",IF(INDEX(tsk_IsSummary,GanttView[[#This Row],[_Row]]),NETWORKDAYS.INTL(INDEX(tsk_FcStart,GanttView[[#This Row],[_Row]]),INDEX(tsk_FcFinish,GanttView[[#This Row],[_Row]]),WorkWeek,Holidays),N(INDEX(tsk_Duration,GanttView[[#This Row],[_Row]]))))</f>
        <v/>
      </c>
      <c r="E96" s="122" t="str">
        <f aca="false">IF(IFERROR(INDEX(tsk_Name,GanttView[[#This Row],[_Row]])="",TRUE()),"",INDEX(tsk_PlanStart,GanttView[[#This Row],[_Row]]))</f>
        <v/>
      </c>
      <c r="F96" s="122" t="str">
        <f aca="false">IF(IFERROR(INDEX(tsk_Name,GanttView[[#This Row],[_Row]])="",TRUE()),"",INDEX(tsk_PlanFinish,GanttView[[#This Row],[_Row]]))</f>
        <v/>
      </c>
      <c r="G96" s="122" t="str">
        <f aca="false">IF(IFERROR(INDEX(tsk_Name,GanttView[[#This Row],[_Row]])="",TRUE()),"",INDEX(tsk_FcStart,GanttView[[#This Row],[_Row]]))</f>
        <v/>
      </c>
      <c r="H96" s="122" t="str">
        <f aca="false">IF(IFERROR(INDEX(tsk_Name,GanttView[[#This Row],[_Row]])="",TRUE()),"",INDEX(tsk_FcFinish,GanttView[[#This Row],[_Row]]))</f>
        <v/>
      </c>
      <c r="I96" s="123" t="str">
        <f aca="false">IF(IFERROR(INDEX(tsk_Name,GanttView[[#This Row],[_Row]])="",TRUE()),"",INDEX(tsk_Progress,GanttView[[#This Row],[_Row]]))</f>
        <v/>
      </c>
      <c r="J96" s="121" t="str">
        <f aca="false">IF(IFERROR(INDEX(tsk_Name,GanttView[[#This Row],[_Row]])="",TRUE()),"",INDEX(tsk_Resource,GanttView[[#This Row],[_Row]])&amp;"")</f>
        <v/>
      </c>
      <c r="K96" s="124" t="str">
        <f aca="false">IF(IFERROR(INDEX(tsk_Name,GanttView[[#This Row],[_Row]])="",TRUE()),"",INDEX(tsk_Status,GanttView[[#This Row],[_Row]]))</f>
        <v/>
      </c>
      <c r="L96" s="125" t="n">
        <f aca="false">ROW()-ROW(GanttView[[#Headers],[ID]])</f>
        <v>91</v>
      </c>
      <c r="M96" s="126" t="b">
        <f aca="false">IF(IFERROR(INDEX(tsk_Name,GanttView[[#This Row],[_Row]])="",TRUE()),FALSE(),INDEX(tsk_IsSummary,GanttView[[#This Row],[_Row]]))</f>
        <v>0</v>
      </c>
      <c r="N96" s="126" t="b">
        <f aca="false">IF(IFERROR(INDEX(tsk_Name,GanttView[[#This Row],[_Row]])="",TRUE()),FALSE(),AND(INDEX(tsk_IsLeaf,GanttView[[#This Row],[_Row]])=1,N(INDEX(tsk_Duration,GanttView[[#This Row],[_Row]]))=0))</f>
        <v>0</v>
      </c>
      <c r="O96" s="127" t="n">
        <f aca="false">IF(IFERROR(INDEX(tsk_Name,GanttView[[#This Row],[_Row]])="",TRUE()),0,IF(AND(INDEX(tsk_IsLeaf,GanttView[[#This Row],[_Row]])=1,NOT(GanttView[[#This Row],[_IsMilestone]]),N(GanttView[[#This Row],[%]])&gt;0),GanttView[[#This Row],[Forecast Start]],0))</f>
        <v>0</v>
      </c>
      <c r="P96" s="127" t="n">
        <f aca="false">IF(GanttView[[#This Row],[_DoneFrom]]=0,0,IF(GanttView[[#This Row],[%]]&gt;=1,GanttView[[#This Row],[Forecast Finish]],MAX(GanttView[[#This Row],[_DoneFrom]],GanttView[[#This Row],[Forecast Start]]+ROUND((GanttView[[#This Row],[Forecast Finish]]-GanttView[[#This Row],[Forecast Start]]+1)*GanttView[[#This Row],[%]],0)-1)))</f>
        <v>0</v>
      </c>
      <c r="Q96" s="127" t="n">
        <f aca="false">IF(IFERROR(INDEX(tsk_Name,GanttView[[#This Row],[_Row]])="",TRUE()),0,IF(OR(INDEX(tsk_IsLeaf,GanttView[[#This Row],[_Row]])&lt;&gt;1,GanttView[[#This Row],[_IsMilestone]],N(GanttView[[#This Row],[%]])&gt;=1),0,IF(GanttView[[#This Row],[_DoneTo]]&gt;0,GanttView[[#This Row],[_DoneTo]]+1,GanttView[[#This Row],[Forecast Start]])))</f>
        <v>0</v>
      </c>
      <c r="R96" s="127" t="n">
        <f aca="false">IF(GanttView[[#This Row],[_RemFrom]]=0,0,GanttView[[#This Row],[Forecast Finish]])</f>
        <v>0</v>
      </c>
      <c r="S96" s="126" t="b">
        <f aca="false">IF(IFERROR(INDEX(tsk_Name,GanttView[[#This Row],[_Row]])="",TRUE()),FALSE(),N(INDEX(tsk_Variance,GanttView[[#This Row],[_Row]]))&gt;0)</f>
        <v>0</v>
      </c>
      <c r="T96" s="127" t="n">
        <f aca="false">IF(IFERROR(INDEX(tsk_Name,GanttView[[#This Row],[_Row]])="",TRUE()),0,N(INDEX(tsk_Deadline,GanttView[[#This Row],[_Row]])))</f>
        <v>0</v>
      </c>
      <c r="U96" s="126" t="b">
        <f aca="false">IF(IFERROR(INDEX(tsk_Name,GanttView[[#This Row],[_Row]])="",TRUE()),FALSE(),INDEX(tsk_Critical,GanttView[[#This Row],[_Row]])="Yes")</f>
        <v>0</v>
      </c>
    </row>
    <row r="97" customFormat="false" ht="15" hidden="false" customHeight="false" outlineLevel="0" collapsed="false">
      <c r="A97" s="120" t="str">
        <f aca="false">IF(IFERROR(INDEX(tsk_Name,GanttView[[#This Row],[_Row]])="",TRUE()),"",INDEX(tsk_ID,GanttView[[#This Row],[_Row]]))</f>
        <v/>
      </c>
      <c r="B97" s="120" t="str">
        <f aca="false">IF(IFERROR(INDEX(tsk_Name,GanttView[[#This Row],[_Row]])="",TRUE()),"",INDEX(tsk_WBS,GanttView[[#This Row],[_Row]]))</f>
        <v/>
      </c>
      <c r="C97" s="121" t="str">
        <f aca="false">IF(IFERROR(INDEX(tsk_Name,GanttView[[#This Row],[_Row]])="",TRUE()),"",REPT("    ",INDEX(tsk_Level,GanttView[[#This Row],[_Row]])-1)&amp;INDEX(tsk_Name,GanttView[[#This Row],[_Row]]))</f>
        <v/>
      </c>
      <c r="D97" s="120" t="str">
        <f aca="false">IF(IFERROR(INDEX(tsk_Name,GanttView[[#This Row],[_Row]])="",TRUE()),"",IF(INDEX(tsk_IsSummary,GanttView[[#This Row],[_Row]]),NETWORKDAYS.INTL(INDEX(tsk_FcStart,GanttView[[#This Row],[_Row]]),INDEX(tsk_FcFinish,GanttView[[#This Row],[_Row]]),WorkWeek,Holidays),N(INDEX(tsk_Duration,GanttView[[#This Row],[_Row]]))))</f>
        <v/>
      </c>
      <c r="E97" s="122" t="str">
        <f aca="false">IF(IFERROR(INDEX(tsk_Name,GanttView[[#This Row],[_Row]])="",TRUE()),"",INDEX(tsk_PlanStart,GanttView[[#This Row],[_Row]]))</f>
        <v/>
      </c>
      <c r="F97" s="122" t="str">
        <f aca="false">IF(IFERROR(INDEX(tsk_Name,GanttView[[#This Row],[_Row]])="",TRUE()),"",INDEX(tsk_PlanFinish,GanttView[[#This Row],[_Row]]))</f>
        <v/>
      </c>
      <c r="G97" s="122" t="str">
        <f aca="false">IF(IFERROR(INDEX(tsk_Name,GanttView[[#This Row],[_Row]])="",TRUE()),"",INDEX(tsk_FcStart,GanttView[[#This Row],[_Row]]))</f>
        <v/>
      </c>
      <c r="H97" s="122" t="str">
        <f aca="false">IF(IFERROR(INDEX(tsk_Name,GanttView[[#This Row],[_Row]])="",TRUE()),"",INDEX(tsk_FcFinish,GanttView[[#This Row],[_Row]]))</f>
        <v/>
      </c>
      <c r="I97" s="123" t="str">
        <f aca="false">IF(IFERROR(INDEX(tsk_Name,GanttView[[#This Row],[_Row]])="",TRUE()),"",INDEX(tsk_Progress,GanttView[[#This Row],[_Row]]))</f>
        <v/>
      </c>
      <c r="J97" s="121" t="str">
        <f aca="false">IF(IFERROR(INDEX(tsk_Name,GanttView[[#This Row],[_Row]])="",TRUE()),"",INDEX(tsk_Resource,GanttView[[#This Row],[_Row]])&amp;"")</f>
        <v/>
      </c>
      <c r="K97" s="124" t="str">
        <f aca="false">IF(IFERROR(INDEX(tsk_Name,GanttView[[#This Row],[_Row]])="",TRUE()),"",INDEX(tsk_Status,GanttView[[#This Row],[_Row]]))</f>
        <v/>
      </c>
      <c r="L97" s="125" t="n">
        <f aca="false">ROW()-ROW(GanttView[[#Headers],[ID]])</f>
        <v>92</v>
      </c>
      <c r="M97" s="126" t="b">
        <f aca="false">IF(IFERROR(INDEX(tsk_Name,GanttView[[#This Row],[_Row]])="",TRUE()),FALSE(),INDEX(tsk_IsSummary,GanttView[[#This Row],[_Row]]))</f>
        <v>0</v>
      </c>
      <c r="N97" s="126" t="b">
        <f aca="false">IF(IFERROR(INDEX(tsk_Name,GanttView[[#This Row],[_Row]])="",TRUE()),FALSE(),AND(INDEX(tsk_IsLeaf,GanttView[[#This Row],[_Row]])=1,N(INDEX(tsk_Duration,GanttView[[#This Row],[_Row]]))=0))</f>
        <v>0</v>
      </c>
      <c r="O97" s="127" t="n">
        <f aca="false">IF(IFERROR(INDEX(tsk_Name,GanttView[[#This Row],[_Row]])="",TRUE()),0,IF(AND(INDEX(tsk_IsLeaf,GanttView[[#This Row],[_Row]])=1,NOT(GanttView[[#This Row],[_IsMilestone]]),N(GanttView[[#This Row],[%]])&gt;0),GanttView[[#This Row],[Forecast Start]],0))</f>
        <v>0</v>
      </c>
      <c r="P97" s="127" t="n">
        <f aca="false">IF(GanttView[[#This Row],[_DoneFrom]]=0,0,IF(GanttView[[#This Row],[%]]&gt;=1,GanttView[[#This Row],[Forecast Finish]],MAX(GanttView[[#This Row],[_DoneFrom]],GanttView[[#This Row],[Forecast Start]]+ROUND((GanttView[[#This Row],[Forecast Finish]]-GanttView[[#This Row],[Forecast Start]]+1)*GanttView[[#This Row],[%]],0)-1)))</f>
        <v>0</v>
      </c>
      <c r="Q97" s="127" t="n">
        <f aca="false">IF(IFERROR(INDEX(tsk_Name,GanttView[[#This Row],[_Row]])="",TRUE()),0,IF(OR(INDEX(tsk_IsLeaf,GanttView[[#This Row],[_Row]])&lt;&gt;1,GanttView[[#This Row],[_IsMilestone]],N(GanttView[[#This Row],[%]])&gt;=1),0,IF(GanttView[[#This Row],[_DoneTo]]&gt;0,GanttView[[#This Row],[_DoneTo]]+1,GanttView[[#This Row],[Forecast Start]])))</f>
        <v>0</v>
      </c>
      <c r="R97" s="127" t="n">
        <f aca="false">IF(GanttView[[#This Row],[_RemFrom]]=0,0,GanttView[[#This Row],[Forecast Finish]])</f>
        <v>0</v>
      </c>
      <c r="S97" s="126" t="b">
        <f aca="false">IF(IFERROR(INDEX(tsk_Name,GanttView[[#This Row],[_Row]])="",TRUE()),FALSE(),N(INDEX(tsk_Variance,GanttView[[#This Row],[_Row]]))&gt;0)</f>
        <v>0</v>
      </c>
      <c r="T97" s="127" t="n">
        <f aca="false">IF(IFERROR(INDEX(tsk_Name,GanttView[[#This Row],[_Row]])="",TRUE()),0,N(INDEX(tsk_Deadline,GanttView[[#This Row],[_Row]])))</f>
        <v>0</v>
      </c>
      <c r="U97" s="126" t="b">
        <f aca="false">IF(IFERROR(INDEX(tsk_Name,GanttView[[#This Row],[_Row]])="",TRUE()),FALSE(),INDEX(tsk_Critical,GanttView[[#This Row],[_Row]])="Yes")</f>
        <v>0</v>
      </c>
    </row>
    <row r="98" customFormat="false" ht="15" hidden="false" customHeight="false" outlineLevel="0" collapsed="false">
      <c r="A98" s="120" t="str">
        <f aca="false">IF(IFERROR(INDEX(tsk_Name,GanttView[[#This Row],[_Row]])="",TRUE()),"",INDEX(tsk_ID,GanttView[[#This Row],[_Row]]))</f>
        <v/>
      </c>
      <c r="B98" s="120" t="str">
        <f aca="false">IF(IFERROR(INDEX(tsk_Name,GanttView[[#This Row],[_Row]])="",TRUE()),"",INDEX(tsk_WBS,GanttView[[#This Row],[_Row]]))</f>
        <v/>
      </c>
      <c r="C98" s="121" t="str">
        <f aca="false">IF(IFERROR(INDEX(tsk_Name,GanttView[[#This Row],[_Row]])="",TRUE()),"",REPT("    ",INDEX(tsk_Level,GanttView[[#This Row],[_Row]])-1)&amp;INDEX(tsk_Name,GanttView[[#This Row],[_Row]]))</f>
        <v/>
      </c>
      <c r="D98" s="120" t="str">
        <f aca="false">IF(IFERROR(INDEX(tsk_Name,GanttView[[#This Row],[_Row]])="",TRUE()),"",IF(INDEX(tsk_IsSummary,GanttView[[#This Row],[_Row]]),NETWORKDAYS.INTL(INDEX(tsk_FcStart,GanttView[[#This Row],[_Row]]),INDEX(tsk_FcFinish,GanttView[[#This Row],[_Row]]),WorkWeek,Holidays),N(INDEX(tsk_Duration,GanttView[[#This Row],[_Row]]))))</f>
        <v/>
      </c>
      <c r="E98" s="122" t="str">
        <f aca="false">IF(IFERROR(INDEX(tsk_Name,GanttView[[#This Row],[_Row]])="",TRUE()),"",INDEX(tsk_PlanStart,GanttView[[#This Row],[_Row]]))</f>
        <v/>
      </c>
      <c r="F98" s="122" t="str">
        <f aca="false">IF(IFERROR(INDEX(tsk_Name,GanttView[[#This Row],[_Row]])="",TRUE()),"",INDEX(tsk_PlanFinish,GanttView[[#This Row],[_Row]]))</f>
        <v/>
      </c>
      <c r="G98" s="122" t="str">
        <f aca="false">IF(IFERROR(INDEX(tsk_Name,GanttView[[#This Row],[_Row]])="",TRUE()),"",INDEX(tsk_FcStart,GanttView[[#This Row],[_Row]]))</f>
        <v/>
      </c>
      <c r="H98" s="122" t="str">
        <f aca="false">IF(IFERROR(INDEX(tsk_Name,GanttView[[#This Row],[_Row]])="",TRUE()),"",INDEX(tsk_FcFinish,GanttView[[#This Row],[_Row]]))</f>
        <v/>
      </c>
      <c r="I98" s="123" t="str">
        <f aca="false">IF(IFERROR(INDEX(tsk_Name,GanttView[[#This Row],[_Row]])="",TRUE()),"",INDEX(tsk_Progress,GanttView[[#This Row],[_Row]]))</f>
        <v/>
      </c>
      <c r="J98" s="121" t="str">
        <f aca="false">IF(IFERROR(INDEX(tsk_Name,GanttView[[#This Row],[_Row]])="",TRUE()),"",INDEX(tsk_Resource,GanttView[[#This Row],[_Row]])&amp;"")</f>
        <v/>
      </c>
      <c r="K98" s="124" t="str">
        <f aca="false">IF(IFERROR(INDEX(tsk_Name,GanttView[[#This Row],[_Row]])="",TRUE()),"",INDEX(tsk_Status,GanttView[[#This Row],[_Row]]))</f>
        <v/>
      </c>
      <c r="L98" s="125" t="n">
        <f aca="false">ROW()-ROW(GanttView[[#Headers],[ID]])</f>
        <v>93</v>
      </c>
      <c r="M98" s="126" t="b">
        <f aca="false">IF(IFERROR(INDEX(tsk_Name,GanttView[[#This Row],[_Row]])="",TRUE()),FALSE(),INDEX(tsk_IsSummary,GanttView[[#This Row],[_Row]]))</f>
        <v>0</v>
      </c>
      <c r="N98" s="126" t="b">
        <f aca="false">IF(IFERROR(INDEX(tsk_Name,GanttView[[#This Row],[_Row]])="",TRUE()),FALSE(),AND(INDEX(tsk_IsLeaf,GanttView[[#This Row],[_Row]])=1,N(INDEX(tsk_Duration,GanttView[[#This Row],[_Row]]))=0))</f>
        <v>0</v>
      </c>
      <c r="O98" s="127" t="n">
        <f aca="false">IF(IFERROR(INDEX(tsk_Name,GanttView[[#This Row],[_Row]])="",TRUE()),0,IF(AND(INDEX(tsk_IsLeaf,GanttView[[#This Row],[_Row]])=1,NOT(GanttView[[#This Row],[_IsMilestone]]),N(GanttView[[#This Row],[%]])&gt;0),GanttView[[#This Row],[Forecast Start]],0))</f>
        <v>0</v>
      </c>
      <c r="P98" s="127" t="n">
        <f aca="false">IF(GanttView[[#This Row],[_DoneFrom]]=0,0,IF(GanttView[[#This Row],[%]]&gt;=1,GanttView[[#This Row],[Forecast Finish]],MAX(GanttView[[#This Row],[_DoneFrom]],GanttView[[#This Row],[Forecast Start]]+ROUND((GanttView[[#This Row],[Forecast Finish]]-GanttView[[#This Row],[Forecast Start]]+1)*GanttView[[#This Row],[%]],0)-1)))</f>
        <v>0</v>
      </c>
      <c r="Q98" s="127" t="n">
        <f aca="false">IF(IFERROR(INDEX(tsk_Name,GanttView[[#This Row],[_Row]])="",TRUE()),0,IF(OR(INDEX(tsk_IsLeaf,GanttView[[#This Row],[_Row]])&lt;&gt;1,GanttView[[#This Row],[_IsMilestone]],N(GanttView[[#This Row],[%]])&gt;=1),0,IF(GanttView[[#This Row],[_DoneTo]]&gt;0,GanttView[[#This Row],[_DoneTo]]+1,GanttView[[#This Row],[Forecast Start]])))</f>
        <v>0</v>
      </c>
      <c r="R98" s="127" t="n">
        <f aca="false">IF(GanttView[[#This Row],[_RemFrom]]=0,0,GanttView[[#This Row],[Forecast Finish]])</f>
        <v>0</v>
      </c>
      <c r="S98" s="126" t="b">
        <f aca="false">IF(IFERROR(INDEX(tsk_Name,GanttView[[#This Row],[_Row]])="",TRUE()),FALSE(),N(INDEX(tsk_Variance,GanttView[[#This Row],[_Row]]))&gt;0)</f>
        <v>0</v>
      </c>
      <c r="T98" s="127" t="n">
        <f aca="false">IF(IFERROR(INDEX(tsk_Name,GanttView[[#This Row],[_Row]])="",TRUE()),0,N(INDEX(tsk_Deadline,GanttView[[#This Row],[_Row]])))</f>
        <v>0</v>
      </c>
      <c r="U98" s="126" t="b">
        <f aca="false">IF(IFERROR(INDEX(tsk_Name,GanttView[[#This Row],[_Row]])="",TRUE()),FALSE(),INDEX(tsk_Critical,GanttView[[#This Row],[_Row]])="Yes")</f>
        <v>0</v>
      </c>
    </row>
    <row r="99" customFormat="false" ht="15" hidden="false" customHeight="false" outlineLevel="0" collapsed="false">
      <c r="A99" s="120" t="str">
        <f aca="false">IF(IFERROR(INDEX(tsk_Name,GanttView[[#This Row],[_Row]])="",TRUE()),"",INDEX(tsk_ID,GanttView[[#This Row],[_Row]]))</f>
        <v/>
      </c>
      <c r="B99" s="120" t="str">
        <f aca="false">IF(IFERROR(INDEX(tsk_Name,GanttView[[#This Row],[_Row]])="",TRUE()),"",INDEX(tsk_WBS,GanttView[[#This Row],[_Row]]))</f>
        <v/>
      </c>
      <c r="C99" s="121" t="str">
        <f aca="false">IF(IFERROR(INDEX(tsk_Name,GanttView[[#This Row],[_Row]])="",TRUE()),"",REPT("    ",INDEX(tsk_Level,GanttView[[#This Row],[_Row]])-1)&amp;INDEX(tsk_Name,GanttView[[#This Row],[_Row]]))</f>
        <v/>
      </c>
      <c r="D99" s="120" t="str">
        <f aca="false">IF(IFERROR(INDEX(tsk_Name,GanttView[[#This Row],[_Row]])="",TRUE()),"",IF(INDEX(tsk_IsSummary,GanttView[[#This Row],[_Row]]),NETWORKDAYS.INTL(INDEX(tsk_FcStart,GanttView[[#This Row],[_Row]]),INDEX(tsk_FcFinish,GanttView[[#This Row],[_Row]]),WorkWeek,Holidays),N(INDEX(tsk_Duration,GanttView[[#This Row],[_Row]]))))</f>
        <v/>
      </c>
      <c r="E99" s="122" t="str">
        <f aca="false">IF(IFERROR(INDEX(tsk_Name,GanttView[[#This Row],[_Row]])="",TRUE()),"",INDEX(tsk_PlanStart,GanttView[[#This Row],[_Row]]))</f>
        <v/>
      </c>
      <c r="F99" s="122" t="str">
        <f aca="false">IF(IFERROR(INDEX(tsk_Name,GanttView[[#This Row],[_Row]])="",TRUE()),"",INDEX(tsk_PlanFinish,GanttView[[#This Row],[_Row]]))</f>
        <v/>
      </c>
      <c r="G99" s="122" t="str">
        <f aca="false">IF(IFERROR(INDEX(tsk_Name,GanttView[[#This Row],[_Row]])="",TRUE()),"",INDEX(tsk_FcStart,GanttView[[#This Row],[_Row]]))</f>
        <v/>
      </c>
      <c r="H99" s="122" t="str">
        <f aca="false">IF(IFERROR(INDEX(tsk_Name,GanttView[[#This Row],[_Row]])="",TRUE()),"",INDEX(tsk_FcFinish,GanttView[[#This Row],[_Row]]))</f>
        <v/>
      </c>
      <c r="I99" s="123" t="str">
        <f aca="false">IF(IFERROR(INDEX(tsk_Name,GanttView[[#This Row],[_Row]])="",TRUE()),"",INDEX(tsk_Progress,GanttView[[#This Row],[_Row]]))</f>
        <v/>
      </c>
      <c r="J99" s="121" t="str">
        <f aca="false">IF(IFERROR(INDEX(tsk_Name,GanttView[[#This Row],[_Row]])="",TRUE()),"",INDEX(tsk_Resource,GanttView[[#This Row],[_Row]])&amp;"")</f>
        <v/>
      </c>
      <c r="K99" s="124" t="str">
        <f aca="false">IF(IFERROR(INDEX(tsk_Name,GanttView[[#This Row],[_Row]])="",TRUE()),"",INDEX(tsk_Status,GanttView[[#This Row],[_Row]]))</f>
        <v/>
      </c>
      <c r="L99" s="125" t="n">
        <f aca="false">ROW()-ROW(GanttView[[#Headers],[ID]])</f>
        <v>94</v>
      </c>
      <c r="M99" s="126" t="b">
        <f aca="false">IF(IFERROR(INDEX(tsk_Name,GanttView[[#This Row],[_Row]])="",TRUE()),FALSE(),INDEX(tsk_IsSummary,GanttView[[#This Row],[_Row]]))</f>
        <v>0</v>
      </c>
      <c r="N99" s="126" t="b">
        <f aca="false">IF(IFERROR(INDEX(tsk_Name,GanttView[[#This Row],[_Row]])="",TRUE()),FALSE(),AND(INDEX(tsk_IsLeaf,GanttView[[#This Row],[_Row]])=1,N(INDEX(tsk_Duration,GanttView[[#This Row],[_Row]]))=0))</f>
        <v>0</v>
      </c>
      <c r="O99" s="127" t="n">
        <f aca="false">IF(IFERROR(INDEX(tsk_Name,GanttView[[#This Row],[_Row]])="",TRUE()),0,IF(AND(INDEX(tsk_IsLeaf,GanttView[[#This Row],[_Row]])=1,NOT(GanttView[[#This Row],[_IsMilestone]]),N(GanttView[[#This Row],[%]])&gt;0),GanttView[[#This Row],[Forecast Start]],0))</f>
        <v>0</v>
      </c>
      <c r="P99" s="127" t="n">
        <f aca="false">IF(GanttView[[#This Row],[_DoneFrom]]=0,0,IF(GanttView[[#This Row],[%]]&gt;=1,GanttView[[#This Row],[Forecast Finish]],MAX(GanttView[[#This Row],[_DoneFrom]],GanttView[[#This Row],[Forecast Start]]+ROUND((GanttView[[#This Row],[Forecast Finish]]-GanttView[[#This Row],[Forecast Start]]+1)*GanttView[[#This Row],[%]],0)-1)))</f>
        <v>0</v>
      </c>
      <c r="Q99" s="127" t="n">
        <f aca="false">IF(IFERROR(INDEX(tsk_Name,GanttView[[#This Row],[_Row]])="",TRUE()),0,IF(OR(INDEX(tsk_IsLeaf,GanttView[[#This Row],[_Row]])&lt;&gt;1,GanttView[[#This Row],[_IsMilestone]],N(GanttView[[#This Row],[%]])&gt;=1),0,IF(GanttView[[#This Row],[_DoneTo]]&gt;0,GanttView[[#This Row],[_DoneTo]]+1,GanttView[[#This Row],[Forecast Start]])))</f>
        <v>0</v>
      </c>
      <c r="R99" s="127" t="n">
        <f aca="false">IF(GanttView[[#This Row],[_RemFrom]]=0,0,GanttView[[#This Row],[Forecast Finish]])</f>
        <v>0</v>
      </c>
      <c r="S99" s="126" t="b">
        <f aca="false">IF(IFERROR(INDEX(tsk_Name,GanttView[[#This Row],[_Row]])="",TRUE()),FALSE(),N(INDEX(tsk_Variance,GanttView[[#This Row],[_Row]]))&gt;0)</f>
        <v>0</v>
      </c>
      <c r="T99" s="127" t="n">
        <f aca="false">IF(IFERROR(INDEX(tsk_Name,GanttView[[#This Row],[_Row]])="",TRUE()),0,N(INDEX(tsk_Deadline,GanttView[[#This Row],[_Row]])))</f>
        <v>0</v>
      </c>
      <c r="U99" s="126" t="b">
        <f aca="false">IF(IFERROR(INDEX(tsk_Name,GanttView[[#This Row],[_Row]])="",TRUE()),FALSE(),INDEX(tsk_Critical,GanttView[[#This Row],[_Row]])="Yes")</f>
        <v>0</v>
      </c>
    </row>
    <row r="100" customFormat="false" ht="15" hidden="false" customHeight="false" outlineLevel="0" collapsed="false">
      <c r="A100" s="120" t="str">
        <f aca="false">IF(IFERROR(INDEX(tsk_Name,GanttView[[#This Row],[_Row]])="",TRUE()),"",INDEX(tsk_ID,GanttView[[#This Row],[_Row]]))</f>
        <v/>
      </c>
      <c r="B100" s="120" t="str">
        <f aca="false">IF(IFERROR(INDEX(tsk_Name,GanttView[[#This Row],[_Row]])="",TRUE()),"",INDEX(tsk_WBS,GanttView[[#This Row],[_Row]]))</f>
        <v/>
      </c>
      <c r="C100" s="121" t="str">
        <f aca="false">IF(IFERROR(INDEX(tsk_Name,GanttView[[#This Row],[_Row]])="",TRUE()),"",REPT("    ",INDEX(tsk_Level,GanttView[[#This Row],[_Row]])-1)&amp;INDEX(tsk_Name,GanttView[[#This Row],[_Row]]))</f>
        <v/>
      </c>
      <c r="D100" s="120" t="str">
        <f aca="false">IF(IFERROR(INDEX(tsk_Name,GanttView[[#This Row],[_Row]])="",TRUE()),"",IF(INDEX(tsk_IsSummary,GanttView[[#This Row],[_Row]]),NETWORKDAYS.INTL(INDEX(tsk_FcStart,GanttView[[#This Row],[_Row]]),INDEX(tsk_FcFinish,GanttView[[#This Row],[_Row]]),WorkWeek,Holidays),N(INDEX(tsk_Duration,GanttView[[#This Row],[_Row]]))))</f>
        <v/>
      </c>
      <c r="E100" s="122" t="str">
        <f aca="false">IF(IFERROR(INDEX(tsk_Name,GanttView[[#This Row],[_Row]])="",TRUE()),"",INDEX(tsk_PlanStart,GanttView[[#This Row],[_Row]]))</f>
        <v/>
      </c>
      <c r="F100" s="122" t="str">
        <f aca="false">IF(IFERROR(INDEX(tsk_Name,GanttView[[#This Row],[_Row]])="",TRUE()),"",INDEX(tsk_PlanFinish,GanttView[[#This Row],[_Row]]))</f>
        <v/>
      </c>
      <c r="G100" s="122" t="str">
        <f aca="false">IF(IFERROR(INDEX(tsk_Name,GanttView[[#This Row],[_Row]])="",TRUE()),"",INDEX(tsk_FcStart,GanttView[[#This Row],[_Row]]))</f>
        <v/>
      </c>
      <c r="H100" s="122" t="str">
        <f aca="false">IF(IFERROR(INDEX(tsk_Name,GanttView[[#This Row],[_Row]])="",TRUE()),"",INDEX(tsk_FcFinish,GanttView[[#This Row],[_Row]]))</f>
        <v/>
      </c>
      <c r="I100" s="123" t="str">
        <f aca="false">IF(IFERROR(INDEX(tsk_Name,GanttView[[#This Row],[_Row]])="",TRUE()),"",INDEX(tsk_Progress,GanttView[[#This Row],[_Row]]))</f>
        <v/>
      </c>
      <c r="J100" s="121" t="str">
        <f aca="false">IF(IFERROR(INDEX(tsk_Name,GanttView[[#This Row],[_Row]])="",TRUE()),"",INDEX(tsk_Resource,GanttView[[#This Row],[_Row]])&amp;"")</f>
        <v/>
      </c>
      <c r="K100" s="124" t="str">
        <f aca="false">IF(IFERROR(INDEX(tsk_Name,GanttView[[#This Row],[_Row]])="",TRUE()),"",INDEX(tsk_Status,GanttView[[#This Row],[_Row]]))</f>
        <v/>
      </c>
      <c r="L100" s="125" t="n">
        <f aca="false">ROW()-ROW(GanttView[[#Headers],[ID]])</f>
        <v>95</v>
      </c>
      <c r="M100" s="126" t="b">
        <f aca="false">IF(IFERROR(INDEX(tsk_Name,GanttView[[#This Row],[_Row]])="",TRUE()),FALSE(),INDEX(tsk_IsSummary,GanttView[[#This Row],[_Row]]))</f>
        <v>0</v>
      </c>
      <c r="N100" s="126" t="b">
        <f aca="false">IF(IFERROR(INDEX(tsk_Name,GanttView[[#This Row],[_Row]])="",TRUE()),FALSE(),AND(INDEX(tsk_IsLeaf,GanttView[[#This Row],[_Row]])=1,N(INDEX(tsk_Duration,GanttView[[#This Row],[_Row]]))=0))</f>
        <v>0</v>
      </c>
      <c r="O100" s="127" t="n">
        <f aca="false">IF(IFERROR(INDEX(tsk_Name,GanttView[[#This Row],[_Row]])="",TRUE()),0,IF(AND(INDEX(tsk_IsLeaf,GanttView[[#This Row],[_Row]])=1,NOT(GanttView[[#This Row],[_IsMilestone]]),N(GanttView[[#This Row],[%]])&gt;0),GanttView[[#This Row],[Forecast Start]],0))</f>
        <v>0</v>
      </c>
      <c r="P100" s="127" t="n">
        <f aca="false">IF(GanttView[[#This Row],[_DoneFrom]]=0,0,IF(GanttView[[#This Row],[%]]&gt;=1,GanttView[[#This Row],[Forecast Finish]],MAX(GanttView[[#This Row],[_DoneFrom]],GanttView[[#This Row],[Forecast Start]]+ROUND((GanttView[[#This Row],[Forecast Finish]]-GanttView[[#This Row],[Forecast Start]]+1)*GanttView[[#This Row],[%]],0)-1)))</f>
        <v>0</v>
      </c>
      <c r="Q100" s="127" t="n">
        <f aca="false">IF(IFERROR(INDEX(tsk_Name,GanttView[[#This Row],[_Row]])="",TRUE()),0,IF(OR(INDEX(tsk_IsLeaf,GanttView[[#This Row],[_Row]])&lt;&gt;1,GanttView[[#This Row],[_IsMilestone]],N(GanttView[[#This Row],[%]])&gt;=1),0,IF(GanttView[[#This Row],[_DoneTo]]&gt;0,GanttView[[#This Row],[_DoneTo]]+1,GanttView[[#This Row],[Forecast Start]])))</f>
        <v>0</v>
      </c>
      <c r="R100" s="127" t="n">
        <f aca="false">IF(GanttView[[#This Row],[_RemFrom]]=0,0,GanttView[[#This Row],[Forecast Finish]])</f>
        <v>0</v>
      </c>
      <c r="S100" s="126" t="b">
        <f aca="false">IF(IFERROR(INDEX(tsk_Name,GanttView[[#This Row],[_Row]])="",TRUE()),FALSE(),N(INDEX(tsk_Variance,GanttView[[#This Row],[_Row]]))&gt;0)</f>
        <v>0</v>
      </c>
      <c r="T100" s="127" t="n">
        <f aca="false">IF(IFERROR(INDEX(tsk_Name,GanttView[[#This Row],[_Row]])="",TRUE()),0,N(INDEX(tsk_Deadline,GanttView[[#This Row],[_Row]])))</f>
        <v>0</v>
      </c>
      <c r="U100" s="126" t="b">
        <f aca="false">IF(IFERROR(INDEX(tsk_Name,GanttView[[#This Row],[_Row]])="",TRUE()),FALSE(),INDEX(tsk_Critical,GanttView[[#This Row],[_Row]])="Yes")</f>
        <v>0</v>
      </c>
    </row>
    <row r="101" customFormat="false" ht="15" hidden="false" customHeight="false" outlineLevel="0" collapsed="false">
      <c r="A101" s="120" t="str">
        <f aca="false">IF(IFERROR(INDEX(tsk_Name,GanttView[[#This Row],[_Row]])="",TRUE()),"",INDEX(tsk_ID,GanttView[[#This Row],[_Row]]))</f>
        <v/>
      </c>
      <c r="B101" s="120" t="str">
        <f aca="false">IF(IFERROR(INDEX(tsk_Name,GanttView[[#This Row],[_Row]])="",TRUE()),"",INDEX(tsk_WBS,GanttView[[#This Row],[_Row]]))</f>
        <v/>
      </c>
      <c r="C101" s="121" t="str">
        <f aca="false">IF(IFERROR(INDEX(tsk_Name,GanttView[[#This Row],[_Row]])="",TRUE()),"",REPT("    ",INDEX(tsk_Level,GanttView[[#This Row],[_Row]])-1)&amp;INDEX(tsk_Name,GanttView[[#This Row],[_Row]]))</f>
        <v/>
      </c>
      <c r="D101" s="120" t="str">
        <f aca="false">IF(IFERROR(INDEX(tsk_Name,GanttView[[#This Row],[_Row]])="",TRUE()),"",IF(INDEX(tsk_IsSummary,GanttView[[#This Row],[_Row]]),NETWORKDAYS.INTL(INDEX(tsk_FcStart,GanttView[[#This Row],[_Row]]),INDEX(tsk_FcFinish,GanttView[[#This Row],[_Row]]),WorkWeek,Holidays),N(INDEX(tsk_Duration,GanttView[[#This Row],[_Row]]))))</f>
        <v/>
      </c>
      <c r="E101" s="122" t="str">
        <f aca="false">IF(IFERROR(INDEX(tsk_Name,GanttView[[#This Row],[_Row]])="",TRUE()),"",INDEX(tsk_PlanStart,GanttView[[#This Row],[_Row]]))</f>
        <v/>
      </c>
      <c r="F101" s="122" t="str">
        <f aca="false">IF(IFERROR(INDEX(tsk_Name,GanttView[[#This Row],[_Row]])="",TRUE()),"",INDEX(tsk_PlanFinish,GanttView[[#This Row],[_Row]]))</f>
        <v/>
      </c>
      <c r="G101" s="122" t="str">
        <f aca="false">IF(IFERROR(INDEX(tsk_Name,GanttView[[#This Row],[_Row]])="",TRUE()),"",INDEX(tsk_FcStart,GanttView[[#This Row],[_Row]]))</f>
        <v/>
      </c>
      <c r="H101" s="122" t="str">
        <f aca="false">IF(IFERROR(INDEX(tsk_Name,GanttView[[#This Row],[_Row]])="",TRUE()),"",INDEX(tsk_FcFinish,GanttView[[#This Row],[_Row]]))</f>
        <v/>
      </c>
      <c r="I101" s="123" t="str">
        <f aca="false">IF(IFERROR(INDEX(tsk_Name,GanttView[[#This Row],[_Row]])="",TRUE()),"",INDEX(tsk_Progress,GanttView[[#This Row],[_Row]]))</f>
        <v/>
      </c>
      <c r="J101" s="121" t="str">
        <f aca="false">IF(IFERROR(INDEX(tsk_Name,GanttView[[#This Row],[_Row]])="",TRUE()),"",INDEX(tsk_Resource,GanttView[[#This Row],[_Row]])&amp;"")</f>
        <v/>
      </c>
      <c r="K101" s="124" t="str">
        <f aca="false">IF(IFERROR(INDEX(tsk_Name,GanttView[[#This Row],[_Row]])="",TRUE()),"",INDEX(tsk_Status,GanttView[[#This Row],[_Row]]))</f>
        <v/>
      </c>
      <c r="L101" s="125" t="n">
        <f aca="false">ROW()-ROW(GanttView[[#Headers],[ID]])</f>
        <v>96</v>
      </c>
      <c r="M101" s="126" t="b">
        <f aca="false">IF(IFERROR(INDEX(tsk_Name,GanttView[[#This Row],[_Row]])="",TRUE()),FALSE(),INDEX(tsk_IsSummary,GanttView[[#This Row],[_Row]]))</f>
        <v>0</v>
      </c>
      <c r="N101" s="126" t="b">
        <f aca="false">IF(IFERROR(INDEX(tsk_Name,GanttView[[#This Row],[_Row]])="",TRUE()),FALSE(),AND(INDEX(tsk_IsLeaf,GanttView[[#This Row],[_Row]])=1,N(INDEX(tsk_Duration,GanttView[[#This Row],[_Row]]))=0))</f>
        <v>0</v>
      </c>
      <c r="O101" s="127" t="n">
        <f aca="false">IF(IFERROR(INDEX(tsk_Name,GanttView[[#This Row],[_Row]])="",TRUE()),0,IF(AND(INDEX(tsk_IsLeaf,GanttView[[#This Row],[_Row]])=1,NOT(GanttView[[#This Row],[_IsMilestone]]),N(GanttView[[#This Row],[%]])&gt;0),GanttView[[#This Row],[Forecast Start]],0))</f>
        <v>0</v>
      </c>
      <c r="P101" s="127" t="n">
        <f aca="false">IF(GanttView[[#This Row],[_DoneFrom]]=0,0,IF(GanttView[[#This Row],[%]]&gt;=1,GanttView[[#This Row],[Forecast Finish]],MAX(GanttView[[#This Row],[_DoneFrom]],GanttView[[#This Row],[Forecast Start]]+ROUND((GanttView[[#This Row],[Forecast Finish]]-GanttView[[#This Row],[Forecast Start]]+1)*GanttView[[#This Row],[%]],0)-1)))</f>
        <v>0</v>
      </c>
      <c r="Q101" s="127" t="n">
        <f aca="false">IF(IFERROR(INDEX(tsk_Name,GanttView[[#This Row],[_Row]])="",TRUE()),0,IF(OR(INDEX(tsk_IsLeaf,GanttView[[#This Row],[_Row]])&lt;&gt;1,GanttView[[#This Row],[_IsMilestone]],N(GanttView[[#This Row],[%]])&gt;=1),0,IF(GanttView[[#This Row],[_DoneTo]]&gt;0,GanttView[[#This Row],[_DoneTo]]+1,GanttView[[#This Row],[Forecast Start]])))</f>
        <v>0</v>
      </c>
      <c r="R101" s="127" t="n">
        <f aca="false">IF(GanttView[[#This Row],[_RemFrom]]=0,0,GanttView[[#This Row],[Forecast Finish]])</f>
        <v>0</v>
      </c>
      <c r="S101" s="126" t="b">
        <f aca="false">IF(IFERROR(INDEX(tsk_Name,GanttView[[#This Row],[_Row]])="",TRUE()),FALSE(),N(INDEX(tsk_Variance,GanttView[[#This Row],[_Row]]))&gt;0)</f>
        <v>0</v>
      </c>
      <c r="T101" s="127" t="n">
        <f aca="false">IF(IFERROR(INDEX(tsk_Name,GanttView[[#This Row],[_Row]])="",TRUE()),0,N(INDEX(tsk_Deadline,GanttView[[#This Row],[_Row]])))</f>
        <v>0</v>
      </c>
      <c r="U101" s="126" t="b">
        <f aca="false">IF(IFERROR(INDEX(tsk_Name,GanttView[[#This Row],[_Row]])="",TRUE()),FALSE(),INDEX(tsk_Critical,GanttView[[#This Row],[_Row]])="Yes")</f>
        <v>0</v>
      </c>
    </row>
    <row r="102" customFormat="false" ht="15" hidden="false" customHeight="false" outlineLevel="0" collapsed="false">
      <c r="A102" s="120" t="str">
        <f aca="false">IF(IFERROR(INDEX(tsk_Name,GanttView[[#This Row],[_Row]])="",TRUE()),"",INDEX(tsk_ID,GanttView[[#This Row],[_Row]]))</f>
        <v/>
      </c>
      <c r="B102" s="120" t="str">
        <f aca="false">IF(IFERROR(INDEX(tsk_Name,GanttView[[#This Row],[_Row]])="",TRUE()),"",INDEX(tsk_WBS,GanttView[[#This Row],[_Row]]))</f>
        <v/>
      </c>
      <c r="C102" s="121" t="str">
        <f aca="false">IF(IFERROR(INDEX(tsk_Name,GanttView[[#This Row],[_Row]])="",TRUE()),"",REPT("    ",INDEX(tsk_Level,GanttView[[#This Row],[_Row]])-1)&amp;INDEX(tsk_Name,GanttView[[#This Row],[_Row]]))</f>
        <v/>
      </c>
      <c r="D102" s="120" t="str">
        <f aca="false">IF(IFERROR(INDEX(tsk_Name,GanttView[[#This Row],[_Row]])="",TRUE()),"",IF(INDEX(tsk_IsSummary,GanttView[[#This Row],[_Row]]),NETWORKDAYS.INTL(INDEX(tsk_FcStart,GanttView[[#This Row],[_Row]]),INDEX(tsk_FcFinish,GanttView[[#This Row],[_Row]]),WorkWeek,Holidays),N(INDEX(tsk_Duration,GanttView[[#This Row],[_Row]]))))</f>
        <v/>
      </c>
      <c r="E102" s="122" t="str">
        <f aca="false">IF(IFERROR(INDEX(tsk_Name,GanttView[[#This Row],[_Row]])="",TRUE()),"",INDEX(tsk_PlanStart,GanttView[[#This Row],[_Row]]))</f>
        <v/>
      </c>
      <c r="F102" s="122" t="str">
        <f aca="false">IF(IFERROR(INDEX(tsk_Name,GanttView[[#This Row],[_Row]])="",TRUE()),"",INDEX(tsk_PlanFinish,GanttView[[#This Row],[_Row]]))</f>
        <v/>
      </c>
      <c r="G102" s="122" t="str">
        <f aca="false">IF(IFERROR(INDEX(tsk_Name,GanttView[[#This Row],[_Row]])="",TRUE()),"",INDEX(tsk_FcStart,GanttView[[#This Row],[_Row]]))</f>
        <v/>
      </c>
      <c r="H102" s="122" t="str">
        <f aca="false">IF(IFERROR(INDEX(tsk_Name,GanttView[[#This Row],[_Row]])="",TRUE()),"",INDEX(tsk_FcFinish,GanttView[[#This Row],[_Row]]))</f>
        <v/>
      </c>
      <c r="I102" s="123" t="str">
        <f aca="false">IF(IFERROR(INDEX(tsk_Name,GanttView[[#This Row],[_Row]])="",TRUE()),"",INDEX(tsk_Progress,GanttView[[#This Row],[_Row]]))</f>
        <v/>
      </c>
      <c r="J102" s="121" t="str">
        <f aca="false">IF(IFERROR(INDEX(tsk_Name,GanttView[[#This Row],[_Row]])="",TRUE()),"",INDEX(tsk_Resource,GanttView[[#This Row],[_Row]])&amp;"")</f>
        <v/>
      </c>
      <c r="K102" s="124" t="str">
        <f aca="false">IF(IFERROR(INDEX(tsk_Name,GanttView[[#This Row],[_Row]])="",TRUE()),"",INDEX(tsk_Status,GanttView[[#This Row],[_Row]]))</f>
        <v/>
      </c>
      <c r="L102" s="125" t="n">
        <f aca="false">ROW()-ROW(GanttView[[#Headers],[ID]])</f>
        <v>97</v>
      </c>
      <c r="M102" s="126" t="b">
        <f aca="false">IF(IFERROR(INDEX(tsk_Name,GanttView[[#This Row],[_Row]])="",TRUE()),FALSE(),INDEX(tsk_IsSummary,GanttView[[#This Row],[_Row]]))</f>
        <v>0</v>
      </c>
      <c r="N102" s="126" t="b">
        <f aca="false">IF(IFERROR(INDEX(tsk_Name,GanttView[[#This Row],[_Row]])="",TRUE()),FALSE(),AND(INDEX(tsk_IsLeaf,GanttView[[#This Row],[_Row]])=1,N(INDEX(tsk_Duration,GanttView[[#This Row],[_Row]]))=0))</f>
        <v>0</v>
      </c>
      <c r="O102" s="127" t="n">
        <f aca="false">IF(IFERROR(INDEX(tsk_Name,GanttView[[#This Row],[_Row]])="",TRUE()),0,IF(AND(INDEX(tsk_IsLeaf,GanttView[[#This Row],[_Row]])=1,NOT(GanttView[[#This Row],[_IsMilestone]]),N(GanttView[[#This Row],[%]])&gt;0),GanttView[[#This Row],[Forecast Start]],0))</f>
        <v>0</v>
      </c>
      <c r="P102" s="127" t="n">
        <f aca="false">IF(GanttView[[#This Row],[_DoneFrom]]=0,0,IF(GanttView[[#This Row],[%]]&gt;=1,GanttView[[#This Row],[Forecast Finish]],MAX(GanttView[[#This Row],[_DoneFrom]],GanttView[[#This Row],[Forecast Start]]+ROUND((GanttView[[#This Row],[Forecast Finish]]-GanttView[[#This Row],[Forecast Start]]+1)*GanttView[[#This Row],[%]],0)-1)))</f>
        <v>0</v>
      </c>
      <c r="Q102" s="127" t="n">
        <f aca="false">IF(IFERROR(INDEX(tsk_Name,GanttView[[#This Row],[_Row]])="",TRUE()),0,IF(OR(INDEX(tsk_IsLeaf,GanttView[[#This Row],[_Row]])&lt;&gt;1,GanttView[[#This Row],[_IsMilestone]],N(GanttView[[#This Row],[%]])&gt;=1),0,IF(GanttView[[#This Row],[_DoneTo]]&gt;0,GanttView[[#This Row],[_DoneTo]]+1,GanttView[[#This Row],[Forecast Start]])))</f>
        <v>0</v>
      </c>
      <c r="R102" s="127" t="n">
        <f aca="false">IF(GanttView[[#This Row],[_RemFrom]]=0,0,GanttView[[#This Row],[Forecast Finish]])</f>
        <v>0</v>
      </c>
      <c r="S102" s="126" t="b">
        <f aca="false">IF(IFERROR(INDEX(tsk_Name,GanttView[[#This Row],[_Row]])="",TRUE()),FALSE(),N(INDEX(tsk_Variance,GanttView[[#This Row],[_Row]]))&gt;0)</f>
        <v>0</v>
      </c>
      <c r="T102" s="127" t="n">
        <f aca="false">IF(IFERROR(INDEX(tsk_Name,GanttView[[#This Row],[_Row]])="",TRUE()),0,N(INDEX(tsk_Deadline,GanttView[[#This Row],[_Row]])))</f>
        <v>0</v>
      </c>
      <c r="U102" s="126" t="b">
        <f aca="false">IF(IFERROR(INDEX(tsk_Name,GanttView[[#This Row],[_Row]])="",TRUE()),FALSE(),INDEX(tsk_Critical,GanttView[[#This Row],[_Row]])="Yes")</f>
        <v>0</v>
      </c>
    </row>
    <row r="103" customFormat="false" ht="15" hidden="false" customHeight="false" outlineLevel="0" collapsed="false">
      <c r="A103" s="120" t="str">
        <f aca="false">IF(IFERROR(INDEX(tsk_Name,GanttView[[#This Row],[_Row]])="",TRUE()),"",INDEX(tsk_ID,GanttView[[#This Row],[_Row]]))</f>
        <v/>
      </c>
      <c r="B103" s="120" t="str">
        <f aca="false">IF(IFERROR(INDEX(tsk_Name,GanttView[[#This Row],[_Row]])="",TRUE()),"",INDEX(tsk_WBS,GanttView[[#This Row],[_Row]]))</f>
        <v/>
      </c>
      <c r="C103" s="121" t="str">
        <f aca="false">IF(IFERROR(INDEX(tsk_Name,GanttView[[#This Row],[_Row]])="",TRUE()),"",REPT("    ",INDEX(tsk_Level,GanttView[[#This Row],[_Row]])-1)&amp;INDEX(tsk_Name,GanttView[[#This Row],[_Row]]))</f>
        <v/>
      </c>
      <c r="D103" s="120" t="str">
        <f aca="false">IF(IFERROR(INDEX(tsk_Name,GanttView[[#This Row],[_Row]])="",TRUE()),"",IF(INDEX(tsk_IsSummary,GanttView[[#This Row],[_Row]]),NETWORKDAYS.INTL(INDEX(tsk_FcStart,GanttView[[#This Row],[_Row]]),INDEX(tsk_FcFinish,GanttView[[#This Row],[_Row]]),WorkWeek,Holidays),N(INDEX(tsk_Duration,GanttView[[#This Row],[_Row]]))))</f>
        <v/>
      </c>
      <c r="E103" s="122" t="str">
        <f aca="false">IF(IFERROR(INDEX(tsk_Name,GanttView[[#This Row],[_Row]])="",TRUE()),"",INDEX(tsk_PlanStart,GanttView[[#This Row],[_Row]]))</f>
        <v/>
      </c>
      <c r="F103" s="122" t="str">
        <f aca="false">IF(IFERROR(INDEX(tsk_Name,GanttView[[#This Row],[_Row]])="",TRUE()),"",INDEX(tsk_PlanFinish,GanttView[[#This Row],[_Row]]))</f>
        <v/>
      </c>
      <c r="G103" s="122" t="str">
        <f aca="false">IF(IFERROR(INDEX(tsk_Name,GanttView[[#This Row],[_Row]])="",TRUE()),"",INDEX(tsk_FcStart,GanttView[[#This Row],[_Row]]))</f>
        <v/>
      </c>
      <c r="H103" s="122" t="str">
        <f aca="false">IF(IFERROR(INDEX(tsk_Name,GanttView[[#This Row],[_Row]])="",TRUE()),"",INDEX(tsk_FcFinish,GanttView[[#This Row],[_Row]]))</f>
        <v/>
      </c>
      <c r="I103" s="123" t="str">
        <f aca="false">IF(IFERROR(INDEX(tsk_Name,GanttView[[#This Row],[_Row]])="",TRUE()),"",INDEX(tsk_Progress,GanttView[[#This Row],[_Row]]))</f>
        <v/>
      </c>
      <c r="J103" s="121" t="str">
        <f aca="false">IF(IFERROR(INDEX(tsk_Name,GanttView[[#This Row],[_Row]])="",TRUE()),"",INDEX(tsk_Resource,GanttView[[#This Row],[_Row]])&amp;"")</f>
        <v/>
      </c>
      <c r="K103" s="124" t="str">
        <f aca="false">IF(IFERROR(INDEX(tsk_Name,GanttView[[#This Row],[_Row]])="",TRUE()),"",INDEX(tsk_Status,GanttView[[#This Row],[_Row]]))</f>
        <v/>
      </c>
      <c r="L103" s="125" t="n">
        <f aca="false">ROW()-ROW(GanttView[[#Headers],[ID]])</f>
        <v>98</v>
      </c>
      <c r="M103" s="126" t="b">
        <f aca="false">IF(IFERROR(INDEX(tsk_Name,GanttView[[#This Row],[_Row]])="",TRUE()),FALSE(),INDEX(tsk_IsSummary,GanttView[[#This Row],[_Row]]))</f>
        <v>0</v>
      </c>
      <c r="N103" s="126" t="b">
        <f aca="false">IF(IFERROR(INDEX(tsk_Name,GanttView[[#This Row],[_Row]])="",TRUE()),FALSE(),AND(INDEX(tsk_IsLeaf,GanttView[[#This Row],[_Row]])=1,N(INDEX(tsk_Duration,GanttView[[#This Row],[_Row]]))=0))</f>
        <v>0</v>
      </c>
      <c r="O103" s="127" t="n">
        <f aca="false">IF(IFERROR(INDEX(tsk_Name,GanttView[[#This Row],[_Row]])="",TRUE()),0,IF(AND(INDEX(tsk_IsLeaf,GanttView[[#This Row],[_Row]])=1,NOT(GanttView[[#This Row],[_IsMilestone]]),N(GanttView[[#This Row],[%]])&gt;0),GanttView[[#This Row],[Forecast Start]],0))</f>
        <v>0</v>
      </c>
      <c r="P103" s="127" t="n">
        <f aca="false">IF(GanttView[[#This Row],[_DoneFrom]]=0,0,IF(GanttView[[#This Row],[%]]&gt;=1,GanttView[[#This Row],[Forecast Finish]],MAX(GanttView[[#This Row],[_DoneFrom]],GanttView[[#This Row],[Forecast Start]]+ROUND((GanttView[[#This Row],[Forecast Finish]]-GanttView[[#This Row],[Forecast Start]]+1)*GanttView[[#This Row],[%]],0)-1)))</f>
        <v>0</v>
      </c>
      <c r="Q103" s="127" t="n">
        <f aca="false">IF(IFERROR(INDEX(tsk_Name,GanttView[[#This Row],[_Row]])="",TRUE()),0,IF(OR(INDEX(tsk_IsLeaf,GanttView[[#This Row],[_Row]])&lt;&gt;1,GanttView[[#This Row],[_IsMilestone]],N(GanttView[[#This Row],[%]])&gt;=1),0,IF(GanttView[[#This Row],[_DoneTo]]&gt;0,GanttView[[#This Row],[_DoneTo]]+1,GanttView[[#This Row],[Forecast Start]])))</f>
        <v>0</v>
      </c>
      <c r="R103" s="127" t="n">
        <f aca="false">IF(GanttView[[#This Row],[_RemFrom]]=0,0,GanttView[[#This Row],[Forecast Finish]])</f>
        <v>0</v>
      </c>
      <c r="S103" s="126" t="b">
        <f aca="false">IF(IFERROR(INDEX(tsk_Name,GanttView[[#This Row],[_Row]])="",TRUE()),FALSE(),N(INDEX(tsk_Variance,GanttView[[#This Row],[_Row]]))&gt;0)</f>
        <v>0</v>
      </c>
      <c r="T103" s="127" t="n">
        <f aca="false">IF(IFERROR(INDEX(tsk_Name,GanttView[[#This Row],[_Row]])="",TRUE()),0,N(INDEX(tsk_Deadline,GanttView[[#This Row],[_Row]])))</f>
        <v>0</v>
      </c>
      <c r="U103" s="126" t="b">
        <f aca="false">IF(IFERROR(INDEX(tsk_Name,GanttView[[#This Row],[_Row]])="",TRUE()),FALSE(),INDEX(tsk_Critical,GanttView[[#This Row],[_Row]])="Yes")</f>
        <v>0</v>
      </c>
    </row>
    <row r="104" customFormat="false" ht="15" hidden="false" customHeight="false" outlineLevel="0" collapsed="false">
      <c r="A104" s="120" t="str">
        <f aca="false">IF(IFERROR(INDEX(tsk_Name,GanttView[[#This Row],[_Row]])="",TRUE()),"",INDEX(tsk_ID,GanttView[[#This Row],[_Row]]))</f>
        <v/>
      </c>
      <c r="B104" s="120" t="str">
        <f aca="false">IF(IFERROR(INDEX(tsk_Name,GanttView[[#This Row],[_Row]])="",TRUE()),"",INDEX(tsk_WBS,GanttView[[#This Row],[_Row]]))</f>
        <v/>
      </c>
      <c r="C104" s="121" t="str">
        <f aca="false">IF(IFERROR(INDEX(tsk_Name,GanttView[[#This Row],[_Row]])="",TRUE()),"",REPT("    ",INDEX(tsk_Level,GanttView[[#This Row],[_Row]])-1)&amp;INDEX(tsk_Name,GanttView[[#This Row],[_Row]]))</f>
        <v/>
      </c>
      <c r="D104" s="120" t="str">
        <f aca="false">IF(IFERROR(INDEX(tsk_Name,GanttView[[#This Row],[_Row]])="",TRUE()),"",IF(INDEX(tsk_IsSummary,GanttView[[#This Row],[_Row]]),NETWORKDAYS.INTL(INDEX(tsk_FcStart,GanttView[[#This Row],[_Row]]),INDEX(tsk_FcFinish,GanttView[[#This Row],[_Row]]),WorkWeek,Holidays),N(INDEX(tsk_Duration,GanttView[[#This Row],[_Row]]))))</f>
        <v/>
      </c>
      <c r="E104" s="122" t="str">
        <f aca="false">IF(IFERROR(INDEX(tsk_Name,GanttView[[#This Row],[_Row]])="",TRUE()),"",INDEX(tsk_PlanStart,GanttView[[#This Row],[_Row]]))</f>
        <v/>
      </c>
      <c r="F104" s="122" t="str">
        <f aca="false">IF(IFERROR(INDEX(tsk_Name,GanttView[[#This Row],[_Row]])="",TRUE()),"",INDEX(tsk_PlanFinish,GanttView[[#This Row],[_Row]]))</f>
        <v/>
      </c>
      <c r="G104" s="122" t="str">
        <f aca="false">IF(IFERROR(INDEX(tsk_Name,GanttView[[#This Row],[_Row]])="",TRUE()),"",INDEX(tsk_FcStart,GanttView[[#This Row],[_Row]]))</f>
        <v/>
      </c>
      <c r="H104" s="122" t="str">
        <f aca="false">IF(IFERROR(INDEX(tsk_Name,GanttView[[#This Row],[_Row]])="",TRUE()),"",INDEX(tsk_FcFinish,GanttView[[#This Row],[_Row]]))</f>
        <v/>
      </c>
      <c r="I104" s="123" t="str">
        <f aca="false">IF(IFERROR(INDEX(tsk_Name,GanttView[[#This Row],[_Row]])="",TRUE()),"",INDEX(tsk_Progress,GanttView[[#This Row],[_Row]]))</f>
        <v/>
      </c>
      <c r="J104" s="121" t="str">
        <f aca="false">IF(IFERROR(INDEX(tsk_Name,GanttView[[#This Row],[_Row]])="",TRUE()),"",INDEX(tsk_Resource,GanttView[[#This Row],[_Row]])&amp;"")</f>
        <v/>
      </c>
      <c r="K104" s="124" t="str">
        <f aca="false">IF(IFERROR(INDEX(tsk_Name,GanttView[[#This Row],[_Row]])="",TRUE()),"",INDEX(tsk_Status,GanttView[[#This Row],[_Row]]))</f>
        <v/>
      </c>
      <c r="L104" s="125" t="n">
        <f aca="false">ROW()-ROW(GanttView[[#Headers],[ID]])</f>
        <v>99</v>
      </c>
      <c r="M104" s="126" t="b">
        <f aca="false">IF(IFERROR(INDEX(tsk_Name,GanttView[[#This Row],[_Row]])="",TRUE()),FALSE(),INDEX(tsk_IsSummary,GanttView[[#This Row],[_Row]]))</f>
        <v>0</v>
      </c>
      <c r="N104" s="126" t="b">
        <f aca="false">IF(IFERROR(INDEX(tsk_Name,GanttView[[#This Row],[_Row]])="",TRUE()),FALSE(),AND(INDEX(tsk_IsLeaf,GanttView[[#This Row],[_Row]])=1,N(INDEX(tsk_Duration,GanttView[[#This Row],[_Row]]))=0))</f>
        <v>0</v>
      </c>
      <c r="O104" s="127" t="n">
        <f aca="false">IF(IFERROR(INDEX(tsk_Name,GanttView[[#This Row],[_Row]])="",TRUE()),0,IF(AND(INDEX(tsk_IsLeaf,GanttView[[#This Row],[_Row]])=1,NOT(GanttView[[#This Row],[_IsMilestone]]),N(GanttView[[#This Row],[%]])&gt;0),GanttView[[#This Row],[Forecast Start]],0))</f>
        <v>0</v>
      </c>
      <c r="P104" s="127" t="n">
        <f aca="false">IF(GanttView[[#This Row],[_DoneFrom]]=0,0,IF(GanttView[[#This Row],[%]]&gt;=1,GanttView[[#This Row],[Forecast Finish]],MAX(GanttView[[#This Row],[_DoneFrom]],GanttView[[#This Row],[Forecast Start]]+ROUND((GanttView[[#This Row],[Forecast Finish]]-GanttView[[#This Row],[Forecast Start]]+1)*GanttView[[#This Row],[%]],0)-1)))</f>
        <v>0</v>
      </c>
      <c r="Q104" s="127" t="n">
        <f aca="false">IF(IFERROR(INDEX(tsk_Name,GanttView[[#This Row],[_Row]])="",TRUE()),0,IF(OR(INDEX(tsk_IsLeaf,GanttView[[#This Row],[_Row]])&lt;&gt;1,GanttView[[#This Row],[_IsMilestone]],N(GanttView[[#This Row],[%]])&gt;=1),0,IF(GanttView[[#This Row],[_DoneTo]]&gt;0,GanttView[[#This Row],[_DoneTo]]+1,GanttView[[#This Row],[Forecast Start]])))</f>
        <v>0</v>
      </c>
      <c r="R104" s="127" t="n">
        <f aca="false">IF(GanttView[[#This Row],[_RemFrom]]=0,0,GanttView[[#This Row],[Forecast Finish]])</f>
        <v>0</v>
      </c>
      <c r="S104" s="126" t="b">
        <f aca="false">IF(IFERROR(INDEX(tsk_Name,GanttView[[#This Row],[_Row]])="",TRUE()),FALSE(),N(INDEX(tsk_Variance,GanttView[[#This Row],[_Row]]))&gt;0)</f>
        <v>0</v>
      </c>
      <c r="T104" s="127" t="n">
        <f aca="false">IF(IFERROR(INDEX(tsk_Name,GanttView[[#This Row],[_Row]])="",TRUE()),0,N(INDEX(tsk_Deadline,GanttView[[#This Row],[_Row]])))</f>
        <v>0</v>
      </c>
      <c r="U104" s="126" t="b">
        <f aca="false">IF(IFERROR(INDEX(tsk_Name,GanttView[[#This Row],[_Row]])="",TRUE()),FALSE(),INDEX(tsk_Critical,GanttView[[#This Row],[_Row]])="Yes")</f>
        <v>0</v>
      </c>
    </row>
    <row r="105" customFormat="false" ht="15" hidden="false" customHeight="false" outlineLevel="0" collapsed="false">
      <c r="A105" s="120" t="str">
        <f aca="false">IF(IFERROR(INDEX(tsk_Name,GanttView[[#This Row],[_Row]])="",TRUE()),"",INDEX(tsk_ID,GanttView[[#This Row],[_Row]]))</f>
        <v/>
      </c>
      <c r="B105" s="120" t="str">
        <f aca="false">IF(IFERROR(INDEX(tsk_Name,GanttView[[#This Row],[_Row]])="",TRUE()),"",INDEX(tsk_WBS,GanttView[[#This Row],[_Row]]))</f>
        <v/>
      </c>
      <c r="C105" s="121" t="str">
        <f aca="false">IF(IFERROR(INDEX(tsk_Name,GanttView[[#This Row],[_Row]])="",TRUE()),"",REPT("    ",INDEX(tsk_Level,GanttView[[#This Row],[_Row]])-1)&amp;INDEX(tsk_Name,GanttView[[#This Row],[_Row]]))</f>
        <v/>
      </c>
      <c r="D105" s="120" t="str">
        <f aca="false">IF(IFERROR(INDEX(tsk_Name,GanttView[[#This Row],[_Row]])="",TRUE()),"",IF(INDEX(tsk_IsSummary,GanttView[[#This Row],[_Row]]),NETWORKDAYS.INTL(INDEX(tsk_FcStart,GanttView[[#This Row],[_Row]]),INDEX(tsk_FcFinish,GanttView[[#This Row],[_Row]]),WorkWeek,Holidays),N(INDEX(tsk_Duration,GanttView[[#This Row],[_Row]]))))</f>
        <v/>
      </c>
      <c r="E105" s="122" t="str">
        <f aca="false">IF(IFERROR(INDEX(tsk_Name,GanttView[[#This Row],[_Row]])="",TRUE()),"",INDEX(tsk_PlanStart,GanttView[[#This Row],[_Row]]))</f>
        <v/>
      </c>
      <c r="F105" s="122" t="str">
        <f aca="false">IF(IFERROR(INDEX(tsk_Name,GanttView[[#This Row],[_Row]])="",TRUE()),"",INDEX(tsk_PlanFinish,GanttView[[#This Row],[_Row]]))</f>
        <v/>
      </c>
      <c r="G105" s="122" t="str">
        <f aca="false">IF(IFERROR(INDEX(tsk_Name,GanttView[[#This Row],[_Row]])="",TRUE()),"",INDEX(tsk_FcStart,GanttView[[#This Row],[_Row]]))</f>
        <v/>
      </c>
      <c r="H105" s="122" t="str">
        <f aca="false">IF(IFERROR(INDEX(tsk_Name,GanttView[[#This Row],[_Row]])="",TRUE()),"",INDEX(tsk_FcFinish,GanttView[[#This Row],[_Row]]))</f>
        <v/>
      </c>
      <c r="I105" s="123" t="str">
        <f aca="false">IF(IFERROR(INDEX(tsk_Name,GanttView[[#This Row],[_Row]])="",TRUE()),"",INDEX(tsk_Progress,GanttView[[#This Row],[_Row]]))</f>
        <v/>
      </c>
      <c r="J105" s="121" t="str">
        <f aca="false">IF(IFERROR(INDEX(tsk_Name,GanttView[[#This Row],[_Row]])="",TRUE()),"",INDEX(tsk_Resource,GanttView[[#This Row],[_Row]])&amp;"")</f>
        <v/>
      </c>
      <c r="K105" s="124" t="str">
        <f aca="false">IF(IFERROR(INDEX(tsk_Name,GanttView[[#This Row],[_Row]])="",TRUE()),"",INDEX(tsk_Status,GanttView[[#This Row],[_Row]]))</f>
        <v/>
      </c>
      <c r="L105" s="125" t="n">
        <f aca="false">ROW()-ROW(GanttView[[#Headers],[ID]])</f>
        <v>100</v>
      </c>
      <c r="M105" s="126" t="b">
        <f aca="false">IF(IFERROR(INDEX(tsk_Name,GanttView[[#This Row],[_Row]])="",TRUE()),FALSE(),INDEX(tsk_IsSummary,GanttView[[#This Row],[_Row]]))</f>
        <v>0</v>
      </c>
      <c r="N105" s="126" t="b">
        <f aca="false">IF(IFERROR(INDEX(tsk_Name,GanttView[[#This Row],[_Row]])="",TRUE()),FALSE(),AND(INDEX(tsk_IsLeaf,GanttView[[#This Row],[_Row]])=1,N(INDEX(tsk_Duration,GanttView[[#This Row],[_Row]]))=0))</f>
        <v>0</v>
      </c>
      <c r="O105" s="127" t="n">
        <f aca="false">IF(IFERROR(INDEX(tsk_Name,GanttView[[#This Row],[_Row]])="",TRUE()),0,IF(AND(INDEX(tsk_IsLeaf,GanttView[[#This Row],[_Row]])=1,NOT(GanttView[[#This Row],[_IsMilestone]]),N(GanttView[[#This Row],[%]])&gt;0),GanttView[[#This Row],[Forecast Start]],0))</f>
        <v>0</v>
      </c>
      <c r="P105" s="127" t="n">
        <f aca="false">IF(GanttView[[#This Row],[_DoneFrom]]=0,0,IF(GanttView[[#This Row],[%]]&gt;=1,GanttView[[#This Row],[Forecast Finish]],MAX(GanttView[[#This Row],[_DoneFrom]],GanttView[[#This Row],[Forecast Start]]+ROUND((GanttView[[#This Row],[Forecast Finish]]-GanttView[[#This Row],[Forecast Start]]+1)*GanttView[[#This Row],[%]],0)-1)))</f>
        <v>0</v>
      </c>
      <c r="Q105" s="127" t="n">
        <f aca="false">IF(IFERROR(INDEX(tsk_Name,GanttView[[#This Row],[_Row]])="",TRUE()),0,IF(OR(INDEX(tsk_IsLeaf,GanttView[[#This Row],[_Row]])&lt;&gt;1,GanttView[[#This Row],[_IsMilestone]],N(GanttView[[#This Row],[%]])&gt;=1),0,IF(GanttView[[#This Row],[_DoneTo]]&gt;0,GanttView[[#This Row],[_DoneTo]]+1,GanttView[[#This Row],[Forecast Start]])))</f>
        <v>0</v>
      </c>
      <c r="R105" s="127" t="n">
        <f aca="false">IF(GanttView[[#This Row],[_RemFrom]]=0,0,GanttView[[#This Row],[Forecast Finish]])</f>
        <v>0</v>
      </c>
      <c r="S105" s="126" t="b">
        <f aca="false">IF(IFERROR(INDEX(tsk_Name,GanttView[[#This Row],[_Row]])="",TRUE()),FALSE(),N(INDEX(tsk_Variance,GanttView[[#This Row],[_Row]]))&gt;0)</f>
        <v>0</v>
      </c>
      <c r="T105" s="127" t="n">
        <f aca="false">IF(IFERROR(INDEX(tsk_Name,GanttView[[#This Row],[_Row]])="",TRUE()),0,N(INDEX(tsk_Deadline,GanttView[[#This Row],[_Row]])))</f>
        <v>0</v>
      </c>
      <c r="U105" s="126" t="b">
        <f aca="false">IF(IFERROR(INDEX(tsk_Name,GanttView[[#This Row],[_Row]])="",TRUE()),FALSE(),INDEX(tsk_Critical,GanttView[[#This Row],[_Row]])="Yes")</f>
        <v>0</v>
      </c>
    </row>
    <row r="106" customFormat="false" ht="15" hidden="false" customHeight="false" outlineLevel="0" collapsed="false">
      <c r="A106" s="120" t="str">
        <f aca="false">IF(IFERROR(INDEX(tsk_Name,GanttView[[#This Row],[_Row]])="",TRUE()),"",INDEX(tsk_ID,GanttView[[#This Row],[_Row]]))</f>
        <v/>
      </c>
      <c r="B106" s="120" t="str">
        <f aca="false">IF(IFERROR(INDEX(tsk_Name,GanttView[[#This Row],[_Row]])="",TRUE()),"",INDEX(tsk_WBS,GanttView[[#This Row],[_Row]]))</f>
        <v/>
      </c>
      <c r="C106" s="121" t="str">
        <f aca="false">IF(IFERROR(INDEX(tsk_Name,GanttView[[#This Row],[_Row]])="",TRUE()),"",REPT("    ",INDEX(tsk_Level,GanttView[[#This Row],[_Row]])-1)&amp;INDEX(tsk_Name,GanttView[[#This Row],[_Row]]))</f>
        <v/>
      </c>
      <c r="D106" s="120" t="str">
        <f aca="false">IF(IFERROR(INDEX(tsk_Name,GanttView[[#This Row],[_Row]])="",TRUE()),"",IF(INDEX(tsk_IsSummary,GanttView[[#This Row],[_Row]]),NETWORKDAYS.INTL(INDEX(tsk_FcStart,GanttView[[#This Row],[_Row]]),INDEX(tsk_FcFinish,GanttView[[#This Row],[_Row]]),WorkWeek,Holidays),N(INDEX(tsk_Duration,GanttView[[#This Row],[_Row]]))))</f>
        <v/>
      </c>
      <c r="E106" s="122" t="str">
        <f aca="false">IF(IFERROR(INDEX(tsk_Name,GanttView[[#This Row],[_Row]])="",TRUE()),"",INDEX(tsk_PlanStart,GanttView[[#This Row],[_Row]]))</f>
        <v/>
      </c>
      <c r="F106" s="122" t="str">
        <f aca="false">IF(IFERROR(INDEX(tsk_Name,GanttView[[#This Row],[_Row]])="",TRUE()),"",INDEX(tsk_PlanFinish,GanttView[[#This Row],[_Row]]))</f>
        <v/>
      </c>
      <c r="G106" s="122" t="str">
        <f aca="false">IF(IFERROR(INDEX(tsk_Name,GanttView[[#This Row],[_Row]])="",TRUE()),"",INDEX(tsk_FcStart,GanttView[[#This Row],[_Row]]))</f>
        <v/>
      </c>
      <c r="H106" s="122" t="str">
        <f aca="false">IF(IFERROR(INDEX(tsk_Name,GanttView[[#This Row],[_Row]])="",TRUE()),"",INDEX(tsk_FcFinish,GanttView[[#This Row],[_Row]]))</f>
        <v/>
      </c>
      <c r="I106" s="123" t="str">
        <f aca="false">IF(IFERROR(INDEX(tsk_Name,GanttView[[#This Row],[_Row]])="",TRUE()),"",INDEX(tsk_Progress,GanttView[[#This Row],[_Row]]))</f>
        <v/>
      </c>
      <c r="J106" s="121" t="str">
        <f aca="false">IF(IFERROR(INDEX(tsk_Name,GanttView[[#This Row],[_Row]])="",TRUE()),"",INDEX(tsk_Resource,GanttView[[#This Row],[_Row]])&amp;"")</f>
        <v/>
      </c>
      <c r="K106" s="124" t="str">
        <f aca="false">IF(IFERROR(INDEX(tsk_Name,GanttView[[#This Row],[_Row]])="",TRUE()),"",INDEX(tsk_Status,GanttView[[#This Row],[_Row]]))</f>
        <v/>
      </c>
      <c r="L106" s="125" t="n">
        <f aca="false">ROW()-ROW(GanttView[[#Headers],[ID]])</f>
        <v>101</v>
      </c>
      <c r="M106" s="126" t="b">
        <f aca="false">IF(IFERROR(INDEX(tsk_Name,GanttView[[#This Row],[_Row]])="",TRUE()),FALSE(),INDEX(tsk_IsSummary,GanttView[[#This Row],[_Row]]))</f>
        <v>0</v>
      </c>
      <c r="N106" s="126" t="b">
        <f aca="false">IF(IFERROR(INDEX(tsk_Name,GanttView[[#This Row],[_Row]])="",TRUE()),FALSE(),AND(INDEX(tsk_IsLeaf,GanttView[[#This Row],[_Row]])=1,N(INDEX(tsk_Duration,GanttView[[#This Row],[_Row]]))=0))</f>
        <v>0</v>
      </c>
      <c r="O106" s="127" t="n">
        <f aca="false">IF(IFERROR(INDEX(tsk_Name,GanttView[[#This Row],[_Row]])="",TRUE()),0,IF(AND(INDEX(tsk_IsLeaf,GanttView[[#This Row],[_Row]])=1,NOT(GanttView[[#This Row],[_IsMilestone]]),N(GanttView[[#This Row],[%]])&gt;0),GanttView[[#This Row],[Forecast Start]],0))</f>
        <v>0</v>
      </c>
      <c r="P106" s="127" t="n">
        <f aca="false">IF(GanttView[[#This Row],[_DoneFrom]]=0,0,IF(GanttView[[#This Row],[%]]&gt;=1,GanttView[[#This Row],[Forecast Finish]],MAX(GanttView[[#This Row],[_DoneFrom]],GanttView[[#This Row],[Forecast Start]]+ROUND((GanttView[[#This Row],[Forecast Finish]]-GanttView[[#This Row],[Forecast Start]]+1)*GanttView[[#This Row],[%]],0)-1)))</f>
        <v>0</v>
      </c>
      <c r="Q106" s="127" t="n">
        <f aca="false">IF(IFERROR(INDEX(tsk_Name,GanttView[[#This Row],[_Row]])="",TRUE()),0,IF(OR(INDEX(tsk_IsLeaf,GanttView[[#This Row],[_Row]])&lt;&gt;1,GanttView[[#This Row],[_IsMilestone]],N(GanttView[[#This Row],[%]])&gt;=1),0,IF(GanttView[[#This Row],[_DoneTo]]&gt;0,GanttView[[#This Row],[_DoneTo]]+1,GanttView[[#This Row],[Forecast Start]])))</f>
        <v>0</v>
      </c>
      <c r="R106" s="127" t="n">
        <f aca="false">IF(GanttView[[#This Row],[_RemFrom]]=0,0,GanttView[[#This Row],[Forecast Finish]])</f>
        <v>0</v>
      </c>
      <c r="S106" s="126" t="b">
        <f aca="false">IF(IFERROR(INDEX(tsk_Name,GanttView[[#This Row],[_Row]])="",TRUE()),FALSE(),N(INDEX(tsk_Variance,GanttView[[#This Row],[_Row]]))&gt;0)</f>
        <v>0</v>
      </c>
      <c r="T106" s="127" t="n">
        <f aca="false">IF(IFERROR(INDEX(tsk_Name,GanttView[[#This Row],[_Row]])="",TRUE()),0,N(INDEX(tsk_Deadline,GanttView[[#This Row],[_Row]])))</f>
        <v>0</v>
      </c>
      <c r="U106" s="126" t="b">
        <f aca="false">IF(IFERROR(INDEX(tsk_Name,GanttView[[#This Row],[_Row]])="",TRUE()),FALSE(),INDEX(tsk_Critical,GanttView[[#This Row],[_Row]])="Yes")</f>
        <v>0</v>
      </c>
    </row>
    <row r="107" customFormat="false" ht="15" hidden="false" customHeight="false" outlineLevel="0" collapsed="false">
      <c r="A107" s="120" t="str">
        <f aca="false">IF(IFERROR(INDEX(tsk_Name,GanttView[[#This Row],[_Row]])="",TRUE()),"",INDEX(tsk_ID,GanttView[[#This Row],[_Row]]))</f>
        <v/>
      </c>
      <c r="B107" s="120" t="str">
        <f aca="false">IF(IFERROR(INDEX(tsk_Name,GanttView[[#This Row],[_Row]])="",TRUE()),"",INDEX(tsk_WBS,GanttView[[#This Row],[_Row]]))</f>
        <v/>
      </c>
      <c r="C107" s="121" t="str">
        <f aca="false">IF(IFERROR(INDEX(tsk_Name,GanttView[[#This Row],[_Row]])="",TRUE()),"",REPT("    ",INDEX(tsk_Level,GanttView[[#This Row],[_Row]])-1)&amp;INDEX(tsk_Name,GanttView[[#This Row],[_Row]]))</f>
        <v/>
      </c>
      <c r="D107" s="120" t="str">
        <f aca="false">IF(IFERROR(INDEX(tsk_Name,GanttView[[#This Row],[_Row]])="",TRUE()),"",IF(INDEX(tsk_IsSummary,GanttView[[#This Row],[_Row]]),NETWORKDAYS.INTL(INDEX(tsk_FcStart,GanttView[[#This Row],[_Row]]),INDEX(tsk_FcFinish,GanttView[[#This Row],[_Row]]),WorkWeek,Holidays),N(INDEX(tsk_Duration,GanttView[[#This Row],[_Row]]))))</f>
        <v/>
      </c>
      <c r="E107" s="122" t="str">
        <f aca="false">IF(IFERROR(INDEX(tsk_Name,GanttView[[#This Row],[_Row]])="",TRUE()),"",INDEX(tsk_PlanStart,GanttView[[#This Row],[_Row]]))</f>
        <v/>
      </c>
      <c r="F107" s="122" t="str">
        <f aca="false">IF(IFERROR(INDEX(tsk_Name,GanttView[[#This Row],[_Row]])="",TRUE()),"",INDEX(tsk_PlanFinish,GanttView[[#This Row],[_Row]]))</f>
        <v/>
      </c>
      <c r="G107" s="122" t="str">
        <f aca="false">IF(IFERROR(INDEX(tsk_Name,GanttView[[#This Row],[_Row]])="",TRUE()),"",INDEX(tsk_FcStart,GanttView[[#This Row],[_Row]]))</f>
        <v/>
      </c>
      <c r="H107" s="122" t="str">
        <f aca="false">IF(IFERROR(INDEX(tsk_Name,GanttView[[#This Row],[_Row]])="",TRUE()),"",INDEX(tsk_FcFinish,GanttView[[#This Row],[_Row]]))</f>
        <v/>
      </c>
      <c r="I107" s="123" t="str">
        <f aca="false">IF(IFERROR(INDEX(tsk_Name,GanttView[[#This Row],[_Row]])="",TRUE()),"",INDEX(tsk_Progress,GanttView[[#This Row],[_Row]]))</f>
        <v/>
      </c>
      <c r="J107" s="121" t="str">
        <f aca="false">IF(IFERROR(INDEX(tsk_Name,GanttView[[#This Row],[_Row]])="",TRUE()),"",INDEX(tsk_Resource,GanttView[[#This Row],[_Row]])&amp;"")</f>
        <v/>
      </c>
      <c r="K107" s="124" t="str">
        <f aca="false">IF(IFERROR(INDEX(tsk_Name,GanttView[[#This Row],[_Row]])="",TRUE()),"",INDEX(tsk_Status,GanttView[[#This Row],[_Row]]))</f>
        <v/>
      </c>
      <c r="L107" s="125" t="n">
        <f aca="false">ROW()-ROW(GanttView[[#Headers],[ID]])</f>
        <v>102</v>
      </c>
      <c r="M107" s="126" t="b">
        <f aca="false">IF(IFERROR(INDEX(tsk_Name,GanttView[[#This Row],[_Row]])="",TRUE()),FALSE(),INDEX(tsk_IsSummary,GanttView[[#This Row],[_Row]]))</f>
        <v>0</v>
      </c>
      <c r="N107" s="126" t="b">
        <f aca="false">IF(IFERROR(INDEX(tsk_Name,GanttView[[#This Row],[_Row]])="",TRUE()),FALSE(),AND(INDEX(tsk_IsLeaf,GanttView[[#This Row],[_Row]])=1,N(INDEX(tsk_Duration,GanttView[[#This Row],[_Row]]))=0))</f>
        <v>0</v>
      </c>
      <c r="O107" s="127" t="n">
        <f aca="false">IF(IFERROR(INDEX(tsk_Name,GanttView[[#This Row],[_Row]])="",TRUE()),0,IF(AND(INDEX(tsk_IsLeaf,GanttView[[#This Row],[_Row]])=1,NOT(GanttView[[#This Row],[_IsMilestone]]),N(GanttView[[#This Row],[%]])&gt;0),GanttView[[#This Row],[Forecast Start]],0))</f>
        <v>0</v>
      </c>
      <c r="P107" s="127" t="n">
        <f aca="false">IF(GanttView[[#This Row],[_DoneFrom]]=0,0,IF(GanttView[[#This Row],[%]]&gt;=1,GanttView[[#This Row],[Forecast Finish]],MAX(GanttView[[#This Row],[_DoneFrom]],GanttView[[#This Row],[Forecast Start]]+ROUND((GanttView[[#This Row],[Forecast Finish]]-GanttView[[#This Row],[Forecast Start]]+1)*GanttView[[#This Row],[%]],0)-1)))</f>
        <v>0</v>
      </c>
      <c r="Q107" s="127" t="n">
        <f aca="false">IF(IFERROR(INDEX(tsk_Name,GanttView[[#This Row],[_Row]])="",TRUE()),0,IF(OR(INDEX(tsk_IsLeaf,GanttView[[#This Row],[_Row]])&lt;&gt;1,GanttView[[#This Row],[_IsMilestone]],N(GanttView[[#This Row],[%]])&gt;=1),0,IF(GanttView[[#This Row],[_DoneTo]]&gt;0,GanttView[[#This Row],[_DoneTo]]+1,GanttView[[#This Row],[Forecast Start]])))</f>
        <v>0</v>
      </c>
      <c r="R107" s="127" t="n">
        <f aca="false">IF(GanttView[[#This Row],[_RemFrom]]=0,0,GanttView[[#This Row],[Forecast Finish]])</f>
        <v>0</v>
      </c>
      <c r="S107" s="126" t="b">
        <f aca="false">IF(IFERROR(INDEX(tsk_Name,GanttView[[#This Row],[_Row]])="",TRUE()),FALSE(),N(INDEX(tsk_Variance,GanttView[[#This Row],[_Row]]))&gt;0)</f>
        <v>0</v>
      </c>
      <c r="T107" s="127" t="n">
        <f aca="false">IF(IFERROR(INDEX(tsk_Name,GanttView[[#This Row],[_Row]])="",TRUE()),0,N(INDEX(tsk_Deadline,GanttView[[#This Row],[_Row]])))</f>
        <v>0</v>
      </c>
      <c r="U107" s="126" t="b">
        <f aca="false">IF(IFERROR(INDEX(tsk_Name,GanttView[[#This Row],[_Row]])="",TRUE()),FALSE(),INDEX(tsk_Critical,GanttView[[#This Row],[_Row]])="Yes")</f>
        <v>0</v>
      </c>
    </row>
    <row r="108" customFormat="false" ht="15" hidden="false" customHeight="false" outlineLevel="0" collapsed="false">
      <c r="A108" s="120" t="str">
        <f aca="false">IF(IFERROR(INDEX(tsk_Name,GanttView[[#This Row],[_Row]])="",TRUE()),"",INDEX(tsk_ID,GanttView[[#This Row],[_Row]]))</f>
        <v/>
      </c>
      <c r="B108" s="120" t="str">
        <f aca="false">IF(IFERROR(INDEX(tsk_Name,GanttView[[#This Row],[_Row]])="",TRUE()),"",INDEX(tsk_WBS,GanttView[[#This Row],[_Row]]))</f>
        <v/>
      </c>
      <c r="C108" s="121" t="str">
        <f aca="false">IF(IFERROR(INDEX(tsk_Name,GanttView[[#This Row],[_Row]])="",TRUE()),"",REPT("    ",INDEX(tsk_Level,GanttView[[#This Row],[_Row]])-1)&amp;INDEX(tsk_Name,GanttView[[#This Row],[_Row]]))</f>
        <v/>
      </c>
      <c r="D108" s="120" t="str">
        <f aca="false">IF(IFERROR(INDEX(tsk_Name,GanttView[[#This Row],[_Row]])="",TRUE()),"",IF(INDEX(tsk_IsSummary,GanttView[[#This Row],[_Row]]),NETWORKDAYS.INTL(INDEX(tsk_FcStart,GanttView[[#This Row],[_Row]]),INDEX(tsk_FcFinish,GanttView[[#This Row],[_Row]]),WorkWeek,Holidays),N(INDEX(tsk_Duration,GanttView[[#This Row],[_Row]]))))</f>
        <v/>
      </c>
      <c r="E108" s="122" t="str">
        <f aca="false">IF(IFERROR(INDEX(tsk_Name,GanttView[[#This Row],[_Row]])="",TRUE()),"",INDEX(tsk_PlanStart,GanttView[[#This Row],[_Row]]))</f>
        <v/>
      </c>
      <c r="F108" s="122" t="str">
        <f aca="false">IF(IFERROR(INDEX(tsk_Name,GanttView[[#This Row],[_Row]])="",TRUE()),"",INDEX(tsk_PlanFinish,GanttView[[#This Row],[_Row]]))</f>
        <v/>
      </c>
      <c r="G108" s="122" t="str">
        <f aca="false">IF(IFERROR(INDEX(tsk_Name,GanttView[[#This Row],[_Row]])="",TRUE()),"",INDEX(tsk_FcStart,GanttView[[#This Row],[_Row]]))</f>
        <v/>
      </c>
      <c r="H108" s="122" t="str">
        <f aca="false">IF(IFERROR(INDEX(tsk_Name,GanttView[[#This Row],[_Row]])="",TRUE()),"",INDEX(tsk_FcFinish,GanttView[[#This Row],[_Row]]))</f>
        <v/>
      </c>
      <c r="I108" s="123" t="str">
        <f aca="false">IF(IFERROR(INDEX(tsk_Name,GanttView[[#This Row],[_Row]])="",TRUE()),"",INDEX(tsk_Progress,GanttView[[#This Row],[_Row]]))</f>
        <v/>
      </c>
      <c r="J108" s="121" t="str">
        <f aca="false">IF(IFERROR(INDEX(tsk_Name,GanttView[[#This Row],[_Row]])="",TRUE()),"",INDEX(tsk_Resource,GanttView[[#This Row],[_Row]])&amp;"")</f>
        <v/>
      </c>
      <c r="K108" s="124" t="str">
        <f aca="false">IF(IFERROR(INDEX(tsk_Name,GanttView[[#This Row],[_Row]])="",TRUE()),"",INDEX(tsk_Status,GanttView[[#This Row],[_Row]]))</f>
        <v/>
      </c>
      <c r="L108" s="125" t="n">
        <f aca="false">ROW()-ROW(GanttView[[#Headers],[ID]])</f>
        <v>103</v>
      </c>
      <c r="M108" s="126" t="b">
        <f aca="false">IF(IFERROR(INDEX(tsk_Name,GanttView[[#This Row],[_Row]])="",TRUE()),FALSE(),INDEX(tsk_IsSummary,GanttView[[#This Row],[_Row]]))</f>
        <v>0</v>
      </c>
      <c r="N108" s="126" t="b">
        <f aca="false">IF(IFERROR(INDEX(tsk_Name,GanttView[[#This Row],[_Row]])="",TRUE()),FALSE(),AND(INDEX(tsk_IsLeaf,GanttView[[#This Row],[_Row]])=1,N(INDEX(tsk_Duration,GanttView[[#This Row],[_Row]]))=0))</f>
        <v>0</v>
      </c>
      <c r="O108" s="127" t="n">
        <f aca="false">IF(IFERROR(INDEX(tsk_Name,GanttView[[#This Row],[_Row]])="",TRUE()),0,IF(AND(INDEX(tsk_IsLeaf,GanttView[[#This Row],[_Row]])=1,NOT(GanttView[[#This Row],[_IsMilestone]]),N(GanttView[[#This Row],[%]])&gt;0),GanttView[[#This Row],[Forecast Start]],0))</f>
        <v>0</v>
      </c>
      <c r="P108" s="127" t="n">
        <f aca="false">IF(GanttView[[#This Row],[_DoneFrom]]=0,0,IF(GanttView[[#This Row],[%]]&gt;=1,GanttView[[#This Row],[Forecast Finish]],MAX(GanttView[[#This Row],[_DoneFrom]],GanttView[[#This Row],[Forecast Start]]+ROUND((GanttView[[#This Row],[Forecast Finish]]-GanttView[[#This Row],[Forecast Start]]+1)*GanttView[[#This Row],[%]],0)-1)))</f>
        <v>0</v>
      </c>
      <c r="Q108" s="127" t="n">
        <f aca="false">IF(IFERROR(INDEX(tsk_Name,GanttView[[#This Row],[_Row]])="",TRUE()),0,IF(OR(INDEX(tsk_IsLeaf,GanttView[[#This Row],[_Row]])&lt;&gt;1,GanttView[[#This Row],[_IsMilestone]],N(GanttView[[#This Row],[%]])&gt;=1),0,IF(GanttView[[#This Row],[_DoneTo]]&gt;0,GanttView[[#This Row],[_DoneTo]]+1,GanttView[[#This Row],[Forecast Start]])))</f>
        <v>0</v>
      </c>
      <c r="R108" s="127" t="n">
        <f aca="false">IF(GanttView[[#This Row],[_RemFrom]]=0,0,GanttView[[#This Row],[Forecast Finish]])</f>
        <v>0</v>
      </c>
      <c r="S108" s="126" t="b">
        <f aca="false">IF(IFERROR(INDEX(tsk_Name,GanttView[[#This Row],[_Row]])="",TRUE()),FALSE(),N(INDEX(tsk_Variance,GanttView[[#This Row],[_Row]]))&gt;0)</f>
        <v>0</v>
      </c>
      <c r="T108" s="127" t="n">
        <f aca="false">IF(IFERROR(INDEX(tsk_Name,GanttView[[#This Row],[_Row]])="",TRUE()),0,N(INDEX(tsk_Deadline,GanttView[[#This Row],[_Row]])))</f>
        <v>0</v>
      </c>
      <c r="U108" s="126" t="b">
        <f aca="false">IF(IFERROR(INDEX(tsk_Name,GanttView[[#This Row],[_Row]])="",TRUE()),FALSE(),INDEX(tsk_Critical,GanttView[[#This Row],[_Row]])="Yes")</f>
        <v>0</v>
      </c>
    </row>
    <row r="109" customFormat="false" ht="15" hidden="false" customHeight="false" outlineLevel="0" collapsed="false">
      <c r="A109" s="120" t="str">
        <f aca="false">IF(IFERROR(INDEX(tsk_Name,GanttView[[#This Row],[_Row]])="",TRUE()),"",INDEX(tsk_ID,GanttView[[#This Row],[_Row]]))</f>
        <v/>
      </c>
      <c r="B109" s="120" t="str">
        <f aca="false">IF(IFERROR(INDEX(tsk_Name,GanttView[[#This Row],[_Row]])="",TRUE()),"",INDEX(tsk_WBS,GanttView[[#This Row],[_Row]]))</f>
        <v/>
      </c>
      <c r="C109" s="121" t="str">
        <f aca="false">IF(IFERROR(INDEX(tsk_Name,GanttView[[#This Row],[_Row]])="",TRUE()),"",REPT("    ",INDEX(tsk_Level,GanttView[[#This Row],[_Row]])-1)&amp;INDEX(tsk_Name,GanttView[[#This Row],[_Row]]))</f>
        <v/>
      </c>
      <c r="D109" s="120" t="str">
        <f aca="false">IF(IFERROR(INDEX(tsk_Name,GanttView[[#This Row],[_Row]])="",TRUE()),"",IF(INDEX(tsk_IsSummary,GanttView[[#This Row],[_Row]]),NETWORKDAYS.INTL(INDEX(tsk_FcStart,GanttView[[#This Row],[_Row]]),INDEX(tsk_FcFinish,GanttView[[#This Row],[_Row]]),WorkWeek,Holidays),N(INDEX(tsk_Duration,GanttView[[#This Row],[_Row]]))))</f>
        <v/>
      </c>
      <c r="E109" s="122" t="str">
        <f aca="false">IF(IFERROR(INDEX(tsk_Name,GanttView[[#This Row],[_Row]])="",TRUE()),"",INDEX(tsk_PlanStart,GanttView[[#This Row],[_Row]]))</f>
        <v/>
      </c>
      <c r="F109" s="122" t="str">
        <f aca="false">IF(IFERROR(INDEX(tsk_Name,GanttView[[#This Row],[_Row]])="",TRUE()),"",INDEX(tsk_PlanFinish,GanttView[[#This Row],[_Row]]))</f>
        <v/>
      </c>
      <c r="G109" s="122" t="str">
        <f aca="false">IF(IFERROR(INDEX(tsk_Name,GanttView[[#This Row],[_Row]])="",TRUE()),"",INDEX(tsk_FcStart,GanttView[[#This Row],[_Row]]))</f>
        <v/>
      </c>
      <c r="H109" s="122" t="str">
        <f aca="false">IF(IFERROR(INDEX(tsk_Name,GanttView[[#This Row],[_Row]])="",TRUE()),"",INDEX(tsk_FcFinish,GanttView[[#This Row],[_Row]]))</f>
        <v/>
      </c>
      <c r="I109" s="123" t="str">
        <f aca="false">IF(IFERROR(INDEX(tsk_Name,GanttView[[#This Row],[_Row]])="",TRUE()),"",INDEX(tsk_Progress,GanttView[[#This Row],[_Row]]))</f>
        <v/>
      </c>
      <c r="J109" s="121" t="str">
        <f aca="false">IF(IFERROR(INDEX(tsk_Name,GanttView[[#This Row],[_Row]])="",TRUE()),"",INDEX(tsk_Resource,GanttView[[#This Row],[_Row]])&amp;"")</f>
        <v/>
      </c>
      <c r="K109" s="124" t="str">
        <f aca="false">IF(IFERROR(INDEX(tsk_Name,GanttView[[#This Row],[_Row]])="",TRUE()),"",INDEX(tsk_Status,GanttView[[#This Row],[_Row]]))</f>
        <v/>
      </c>
      <c r="L109" s="125" t="n">
        <f aca="false">ROW()-ROW(GanttView[[#Headers],[ID]])</f>
        <v>104</v>
      </c>
      <c r="M109" s="126" t="b">
        <f aca="false">IF(IFERROR(INDEX(tsk_Name,GanttView[[#This Row],[_Row]])="",TRUE()),FALSE(),INDEX(tsk_IsSummary,GanttView[[#This Row],[_Row]]))</f>
        <v>0</v>
      </c>
      <c r="N109" s="126" t="b">
        <f aca="false">IF(IFERROR(INDEX(tsk_Name,GanttView[[#This Row],[_Row]])="",TRUE()),FALSE(),AND(INDEX(tsk_IsLeaf,GanttView[[#This Row],[_Row]])=1,N(INDEX(tsk_Duration,GanttView[[#This Row],[_Row]]))=0))</f>
        <v>0</v>
      </c>
      <c r="O109" s="127" t="n">
        <f aca="false">IF(IFERROR(INDEX(tsk_Name,GanttView[[#This Row],[_Row]])="",TRUE()),0,IF(AND(INDEX(tsk_IsLeaf,GanttView[[#This Row],[_Row]])=1,NOT(GanttView[[#This Row],[_IsMilestone]]),N(GanttView[[#This Row],[%]])&gt;0),GanttView[[#This Row],[Forecast Start]],0))</f>
        <v>0</v>
      </c>
      <c r="P109" s="127" t="n">
        <f aca="false">IF(GanttView[[#This Row],[_DoneFrom]]=0,0,IF(GanttView[[#This Row],[%]]&gt;=1,GanttView[[#This Row],[Forecast Finish]],MAX(GanttView[[#This Row],[_DoneFrom]],GanttView[[#This Row],[Forecast Start]]+ROUND((GanttView[[#This Row],[Forecast Finish]]-GanttView[[#This Row],[Forecast Start]]+1)*GanttView[[#This Row],[%]],0)-1)))</f>
        <v>0</v>
      </c>
      <c r="Q109" s="127" t="n">
        <f aca="false">IF(IFERROR(INDEX(tsk_Name,GanttView[[#This Row],[_Row]])="",TRUE()),0,IF(OR(INDEX(tsk_IsLeaf,GanttView[[#This Row],[_Row]])&lt;&gt;1,GanttView[[#This Row],[_IsMilestone]],N(GanttView[[#This Row],[%]])&gt;=1),0,IF(GanttView[[#This Row],[_DoneTo]]&gt;0,GanttView[[#This Row],[_DoneTo]]+1,GanttView[[#This Row],[Forecast Start]])))</f>
        <v>0</v>
      </c>
      <c r="R109" s="127" t="n">
        <f aca="false">IF(GanttView[[#This Row],[_RemFrom]]=0,0,GanttView[[#This Row],[Forecast Finish]])</f>
        <v>0</v>
      </c>
      <c r="S109" s="126" t="b">
        <f aca="false">IF(IFERROR(INDEX(tsk_Name,GanttView[[#This Row],[_Row]])="",TRUE()),FALSE(),N(INDEX(tsk_Variance,GanttView[[#This Row],[_Row]]))&gt;0)</f>
        <v>0</v>
      </c>
      <c r="T109" s="127" t="n">
        <f aca="false">IF(IFERROR(INDEX(tsk_Name,GanttView[[#This Row],[_Row]])="",TRUE()),0,N(INDEX(tsk_Deadline,GanttView[[#This Row],[_Row]])))</f>
        <v>0</v>
      </c>
      <c r="U109" s="126" t="b">
        <f aca="false">IF(IFERROR(INDEX(tsk_Name,GanttView[[#This Row],[_Row]])="",TRUE()),FALSE(),INDEX(tsk_Critical,GanttView[[#This Row],[_Row]])="Yes")</f>
        <v>0</v>
      </c>
    </row>
    <row r="110" customFormat="false" ht="15" hidden="false" customHeight="false" outlineLevel="0" collapsed="false">
      <c r="A110" s="120" t="str">
        <f aca="false">IF(IFERROR(INDEX(tsk_Name,GanttView[[#This Row],[_Row]])="",TRUE()),"",INDEX(tsk_ID,GanttView[[#This Row],[_Row]]))</f>
        <v/>
      </c>
      <c r="B110" s="120" t="str">
        <f aca="false">IF(IFERROR(INDEX(tsk_Name,GanttView[[#This Row],[_Row]])="",TRUE()),"",INDEX(tsk_WBS,GanttView[[#This Row],[_Row]]))</f>
        <v/>
      </c>
      <c r="C110" s="121" t="str">
        <f aca="false">IF(IFERROR(INDEX(tsk_Name,GanttView[[#This Row],[_Row]])="",TRUE()),"",REPT("    ",INDEX(tsk_Level,GanttView[[#This Row],[_Row]])-1)&amp;INDEX(tsk_Name,GanttView[[#This Row],[_Row]]))</f>
        <v/>
      </c>
      <c r="D110" s="120" t="str">
        <f aca="false">IF(IFERROR(INDEX(tsk_Name,GanttView[[#This Row],[_Row]])="",TRUE()),"",IF(INDEX(tsk_IsSummary,GanttView[[#This Row],[_Row]]),NETWORKDAYS.INTL(INDEX(tsk_FcStart,GanttView[[#This Row],[_Row]]),INDEX(tsk_FcFinish,GanttView[[#This Row],[_Row]]),WorkWeek,Holidays),N(INDEX(tsk_Duration,GanttView[[#This Row],[_Row]]))))</f>
        <v/>
      </c>
      <c r="E110" s="122" t="str">
        <f aca="false">IF(IFERROR(INDEX(tsk_Name,GanttView[[#This Row],[_Row]])="",TRUE()),"",INDEX(tsk_PlanStart,GanttView[[#This Row],[_Row]]))</f>
        <v/>
      </c>
      <c r="F110" s="122" t="str">
        <f aca="false">IF(IFERROR(INDEX(tsk_Name,GanttView[[#This Row],[_Row]])="",TRUE()),"",INDEX(tsk_PlanFinish,GanttView[[#This Row],[_Row]]))</f>
        <v/>
      </c>
      <c r="G110" s="122" t="str">
        <f aca="false">IF(IFERROR(INDEX(tsk_Name,GanttView[[#This Row],[_Row]])="",TRUE()),"",INDEX(tsk_FcStart,GanttView[[#This Row],[_Row]]))</f>
        <v/>
      </c>
      <c r="H110" s="122" t="str">
        <f aca="false">IF(IFERROR(INDEX(tsk_Name,GanttView[[#This Row],[_Row]])="",TRUE()),"",INDEX(tsk_FcFinish,GanttView[[#This Row],[_Row]]))</f>
        <v/>
      </c>
      <c r="I110" s="123" t="str">
        <f aca="false">IF(IFERROR(INDEX(tsk_Name,GanttView[[#This Row],[_Row]])="",TRUE()),"",INDEX(tsk_Progress,GanttView[[#This Row],[_Row]]))</f>
        <v/>
      </c>
      <c r="J110" s="121" t="str">
        <f aca="false">IF(IFERROR(INDEX(tsk_Name,GanttView[[#This Row],[_Row]])="",TRUE()),"",INDEX(tsk_Resource,GanttView[[#This Row],[_Row]])&amp;"")</f>
        <v/>
      </c>
      <c r="K110" s="124" t="str">
        <f aca="false">IF(IFERROR(INDEX(tsk_Name,GanttView[[#This Row],[_Row]])="",TRUE()),"",INDEX(tsk_Status,GanttView[[#This Row],[_Row]]))</f>
        <v/>
      </c>
      <c r="L110" s="125" t="n">
        <f aca="false">ROW()-ROW(GanttView[[#Headers],[ID]])</f>
        <v>105</v>
      </c>
      <c r="M110" s="126" t="b">
        <f aca="false">IF(IFERROR(INDEX(tsk_Name,GanttView[[#This Row],[_Row]])="",TRUE()),FALSE(),INDEX(tsk_IsSummary,GanttView[[#This Row],[_Row]]))</f>
        <v>0</v>
      </c>
      <c r="N110" s="126" t="b">
        <f aca="false">IF(IFERROR(INDEX(tsk_Name,GanttView[[#This Row],[_Row]])="",TRUE()),FALSE(),AND(INDEX(tsk_IsLeaf,GanttView[[#This Row],[_Row]])=1,N(INDEX(tsk_Duration,GanttView[[#This Row],[_Row]]))=0))</f>
        <v>0</v>
      </c>
      <c r="O110" s="127" t="n">
        <f aca="false">IF(IFERROR(INDEX(tsk_Name,GanttView[[#This Row],[_Row]])="",TRUE()),0,IF(AND(INDEX(tsk_IsLeaf,GanttView[[#This Row],[_Row]])=1,NOT(GanttView[[#This Row],[_IsMilestone]]),N(GanttView[[#This Row],[%]])&gt;0),GanttView[[#This Row],[Forecast Start]],0))</f>
        <v>0</v>
      </c>
      <c r="P110" s="127" t="n">
        <f aca="false">IF(GanttView[[#This Row],[_DoneFrom]]=0,0,IF(GanttView[[#This Row],[%]]&gt;=1,GanttView[[#This Row],[Forecast Finish]],MAX(GanttView[[#This Row],[_DoneFrom]],GanttView[[#This Row],[Forecast Start]]+ROUND((GanttView[[#This Row],[Forecast Finish]]-GanttView[[#This Row],[Forecast Start]]+1)*GanttView[[#This Row],[%]],0)-1)))</f>
        <v>0</v>
      </c>
      <c r="Q110" s="127" t="n">
        <f aca="false">IF(IFERROR(INDEX(tsk_Name,GanttView[[#This Row],[_Row]])="",TRUE()),0,IF(OR(INDEX(tsk_IsLeaf,GanttView[[#This Row],[_Row]])&lt;&gt;1,GanttView[[#This Row],[_IsMilestone]],N(GanttView[[#This Row],[%]])&gt;=1),0,IF(GanttView[[#This Row],[_DoneTo]]&gt;0,GanttView[[#This Row],[_DoneTo]]+1,GanttView[[#This Row],[Forecast Start]])))</f>
        <v>0</v>
      </c>
      <c r="R110" s="127" t="n">
        <f aca="false">IF(GanttView[[#This Row],[_RemFrom]]=0,0,GanttView[[#This Row],[Forecast Finish]])</f>
        <v>0</v>
      </c>
      <c r="S110" s="126" t="b">
        <f aca="false">IF(IFERROR(INDEX(tsk_Name,GanttView[[#This Row],[_Row]])="",TRUE()),FALSE(),N(INDEX(tsk_Variance,GanttView[[#This Row],[_Row]]))&gt;0)</f>
        <v>0</v>
      </c>
      <c r="T110" s="127" t="n">
        <f aca="false">IF(IFERROR(INDEX(tsk_Name,GanttView[[#This Row],[_Row]])="",TRUE()),0,N(INDEX(tsk_Deadline,GanttView[[#This Row],[_Row]])))</f>
        <v>0</v>
      </c>
      <c r="U110" s="126" t="b">
        <f aca="false">IF(IFERROR(INDEX(tsk_Name,GanttView[[#This Row],[_Row]])="",TRUE()),FALSE(),INDEX(tsk_Critical,GanttView[[#This Row],[_Row]])="Yes")</f>
        <v>0</v>
      </c>
    </row>
    <row r="111" customFormat="false" ht="15" hidden="false" customHeight="false" outlineLevel="0" collapsed="false">
      <c r="A111" s="120" t="str">
        <f aca="false">IF(IFERROR(INDEX(tsk_Name,GanttView[[#This Row],[_Row]])="",TRUE()),"",INDEX(tsk_ID,GanttView[[#This Row],[_Row]]))</f>
        <v/>
      </c>
      <c r="B111" s="120" t="str">
        <f aca="false">IF(IFERROR(INDEX(tsk_Name,GanttView[[#This Row],[_Row]])="",TRUE()),"",INDEX(tsk_WBS,GanttView[[#This Row],[_Row]]))</f>
        <v/>
      </c>
      <c r="C111" s="121" t="str">
        <f aca="false">IF(IFERROR(INDEX(tsk_Name,GanttView[[#This Row],[_Row]])="",TRUE()),"",REPT("    ",INDEX(tsk_Level,GanttView[[#This Row],[_Row]])-1)&amp;INDEX(tsk_Name,GanttView[[#This Row],[_Row]]))</f>
        <v/>
      </c>
      <c r="D111" s="120" t="str">
        <f aca="false">IF(IFERROR(INDEX(tsk_Name,GanttView[[#This Row],[_Row]])="",TRUE()),"",IF(INDEX(tsk_IsSummary,GanttView[[#This Row],[_Row]]),NETWORKDAYS.INTL(INDEX(tsk_FcStart,GanttView[[#This Row],[_Row]]),INDEX(tsk_FcFinish,GanttView[[#This Row],[_Row]]),WorkWeek,Holidays),N(INDEX(tsk_Duration,GanttView[[#This Row],[_Row]]))))</f>
        <v/>
      </c>
      <c r="E111" s="122" t="str">
        <f aca="false">IF(IFERROR(INDEX(tsk_Name,GanttView[[#This Row],[_Row]])="",TRUE()),"",INDEX(tsk_PlanStart,GanttView[[#This Row],[_Row]]))</f>
        <v/>
      </c>
      <c r="F111" s="122" t="str">
        <f aca="false">IF(IFERROR(INDEX(tsk_Name,GanttView[[#This Row],[_Row]])="",TRUE()),"",INDEX(tsk_PlanFinish,GanttView[[#This Row],[_Row]]))</f>
        <v/>
      </c>
      <c r="G111" s="122" t="str">
        <f aca="false">IF(IFERROR(INDEX(tsk_Name,GanttView[[#This Row],[_Row]])="",TRUE()),"",INDEX(tsk_FcStart,GanttView[[#This Row],[_Row]]))</f>
        <v/>
      </c>
      <c r="H111" s="122" t="str">
        <f aca="false">IF(IFERROR(INDEX(tsk_Name,GanttView[[#This Row],[_Row]])="",TRUE()),"",INDEX(tsk_FcFinish,GanttView[[#This Row],[_Row]]))</f>
        <v/>
      </c>
      <c r="I111" s="123" t="str">
        <f aca="false">IF(IFERROR(INDEX(tsk_Name,GanttView[[#This Row],[_Row]])="",TRUE()),"",INDEX(tsk_Progress,GanttView[[#This Row],[_Row]]))</f>
        <v/>
      </c>
      <c r="J111" s="121" t="str">
        <f aca="false">IF(IFERROR(INDEX(tsk_Name,GanttView[[#This Row],[_Row]])="",TRUE()),"",INDEX(tsk_Resource,GanttView[[#This Row],[_Row]])&amp;"")</f>
        <v/>
      </c>
      <c r="K111" s="124" t="str">
        <f aca="false">IF(IFERROR(INDEX(tsk_Name,GanttView[[#This Row],[_Row]])="",TRUE()),"",INDEX(tsk_Status,GanttView[[#This Row],[_Row]]))</f>
        <v/>
      </c>
      <c r="L111" s="125" t="n">
        <f aca="false">ROW()-ROW(GanttView[[#Headers],[ID]])</f>
        <v>106</v>
      </c>
      <c r="M111" s="126" t="b">
        <f aca="false">IF(IFERROR(INDEX(tsk_Name,GanttView[[#This Row],[_Row]])="",TRUE()),FALSE(),INDEX(tsk_IsSummary,GanttView[[#This Row],[_Row]]))</f>
        <v>0</v>
      </c>
      <c r="N111" s="126" t="b">
        <f aca="false">IF(IFERROR(INDEX(tsk_Name,GanttView[[#This Row],[_Row]])="",TRUE()),FALSE(),AND(INDEX(tsk_IsLeaf,GanttView[[#This Row],[_Row]])=1,N(INDEX(tsk_Duration,GanttView[[#This Row],[_Row]]))=0))</f>
        <v>0</v>
      </c>
      <c r="O111" s="127" t="n">
        <f aca="false">IF(IFERROR(INDEX(tsk_Name,GanttView[[#This Row],[_Row]])="",TRUE()),0,IF(AND(INDEX(tsk_IsLeaf,GanttView[[#This Row],[_Row]])=1,NOT(GanttView[[#This Row],[_IsMilestone]]),N(GanttView[[#This Row],[%]])&gt;0),GanttView[[#This Row],[Forecast Start]],0))</f>
        <v>0</v>
      </c>
      <c r="P111" s="127" t="n">
        <f aca="false">IF(GanttView[[#This Row],[_DoneFrom]]=0,0,IF(GanttView[[#This Row],[%]]&gt;=1,GanttView[[#This Row],[Forecast Finish]],MAX(GanttView[[#This Row],[_DoneFrom]],GanttView[[#This Row],[Forecast Start]]+ROUND((GanttView[[#This Row],[Forecast Finish]]-GanttView[[#This Row],[Forecast Start]]+1)*GanttView[[#This Row],[%]],0)-1)))</f>
        <v>0</v>
      </c>
      <c r="Q111" s="127" t="n">
        <f aca="false">IF(IFERROR(INDEX(tsk_Name,GanttView[[#This Row],[_Row]])="",TRUE()),0,IF(OR(INDEX(tsk_IsLeaf,GanttView[[#This Row],[_Row]])&lt;&gt;1,GanttView[[#This Row],[_IsMilestone]],N(GanttView[[#This Row],[%]])&gt;=1),0,IF(GanttView[[#This Row],[_DoneTo]]&gt;0,GanttView[[#This Row],[_DoneTo]]+1,GanttView[[#This Row],[Forecast Start]])))</f>
        <v>0</v>
      </c>
      <c r="R111" s="127" t="n">
        <f aca="false">IF(GanttView[[#This Row],[_RemFrom]]=0,0,GanttView[[#This Row],[Forecast Finish]])</f>
        <v>0</v>
      </c>
      <c r="S111" s="126" t="b">
        <f aca="false">IF(IFERROR(INDEX(tsk_Name,GanttView[[#This Row],[_Row]])="",TRUE()),FALSE(),N(INDEX(tsk_Variance,GanttView[[#This Row],[_Row]]))&gt;0)</f>
        <v>0</v>
      </c>
      <c r="T111" s="127" t="n">
        <f aca="false">IF(IFERROR(INDEX(tsk_Name,GanttView[[#This Row],[_Row]])="",TRUE()),0,N(INDEX(tsk_Deadline,GanttView[[#This Row],[_Row]])))</f>
        <v>0</v>
      </c>
      <c r="U111" s="126" t="b">
        <f aca="false">IF(IFERROR(INDEX(tsk_Name,GanttView[[#This Row],[_Row]])="",TRUE()),FALSE(),INDEX(tsk_Critical,GanttView[[#This Row],[_Row]])="Yes")</f>
        <v>0</v>
      </c>
    </row>
    <row r="112" customFormat="false" ht="15" hidden="false" customHeight="false" outlineLevel="0" collapsed="false">
      <c r="A112" s="120" t="str">
        <f aca="false">IF(IFERROR(INDEX(tsk_Name,GanttView[[#This Row],[_Row]])="",TRUE()),"",INDEX(tsk_ID,GanttView[[#This Row],[_Row]]))</f>
        <v/>
      </c>
      <c r="B112" s="120" t="str">
        <f aca="false">IF(IFERROR(INDEX(tsk_Name,GanttView[[#This Row],[_Row]])="",TRUE()),"",INDEX(tsk_WBS,GanttView[[#This Row],[_Row]]))</f>
        <v/>
      </c>
      <c r="C112" s="121" t="str">
        <f aca="false">IF(IFERROR(INDEX(tsk_Name,GanttView[[#This Row],[_Row]])="",TRUE()),"",REPT("    ",INDEX(tsk_Level,GanttView[[#This Row],[_Row]])-1)&amp;INDEX(tsk_Name,GanttView[[#This Row],[_Row]]))</f>
        <v/>
      </c>
      <c r="D112" s="120" t="str">
        <f aca="false">IF(IFERROR(INDEX(tsk_Name,GanttView[[#This Row],[_Row]])="",TRUE()),"",IF(INDEX(tsk_IsSummary,GanttView[[#This Row],[_Row]]),NETWORKDAYS.INTL(INDEX(tsk_FcStart,GanttView[[#This Row],[_Row]]),INDEX(tsk_FcFinish,GanttView[[#This Row],[_Row]]),WorkWeek,Holidays),N(INDEX(tsk_Duration,GanttView[[#This Row],[_Row]]))))</f>
        <v/>
      </c>
      <c r="E112" s="122" t="str">
        <f aca="false">IF(IFERROR(INDEX(tsk_Name,GanttView[[#This Row],[_Row]])="",TRUE()),"",INDEX(tsk_PlanStart,GanttView[[#This Row],[_Row]]))</f>
        <v/>
      </c>
      <c r="F112" s="122" t="str">
        <f aca="false">IF(IFERROR(INDEX(tsk_Name,GanttView[[#This Row],[_Row]])="",TRUE()),"",INDEX(tsk_PlanFinish,GanttView[[#This Row],[_Row]]))</f>
        <v/>
      </c>
      <c r="G112" s="122" t="str">
        <f aca="false">IF(IFERROR(INDEX(tsk_Name,GanttView[[#This Row],[_Row]])="",TRUE()),"",INDEX(tsk_FcStart,GanttView[[#This Row],[_Row]]))</f>
        <v/>
      </c>
      <c r="H112" s="122" t="str">
        <f aca="false">IF(IFERROR(INDEX(tsk_Name,GanttView[[#This Row],[_Row]])="",TRUE()),"",INDEX(tsk_FcFinish,GanttView[[#This Row],[_Row]]))</f>
        <v/>
      </c>
      <c r="I112" s="123" t="str">
        <f aca="false">IF(IFERROR(INDEX(tsk_Name,GanttView[[#This Row],[_Row]])="",TRUE()),"",INDEX(tsk_Progress,GanttView[[#This Row],[_Row]]))</f>
        <v/>
      </c>
      <c r="J112" s="121" t="str">
        <f aca="false">IF(IFERROR(INDEX(tsk_Name,GanttView[[#This Row],[_Row]])="",TRUE()),"",INDEX(tsk_Resource,GanttView[[#This Row],[_Row]])&amp;"")</f>
        <v/>
      </c>
      <c r="K112" s="124" t="str">
        <f aca="false">IF(IFERROR(INDEX(tsk_Name,GanttView[[#This Row],[_Row]])="",TRUE()),"",INDEX(tsk_Status,GanttView[[#This Row],[_Row]]))</f>
        <v/>
      </c>
      <c r="L112" s="125" t="n">
        <f aca="false">ROW()-ROW(GanttView[[#Headers],[ID]])</f>
        <v>107</v>
      </c>
      <c r="M112" s="126" t="b">
        <f aca="false">IF(IFERROR(INDEX(tsk_Name,GanttView[[#This Row],[_Row]])="",TRUE()),FALSE(),INDEX(tsk_IsSummary,GanttView[[#This Row],[_Row]]))</f>
        <v>0</v>
      </c>
      <c r="N112" s="126" t="b">
        <f aca="false">IF(IFERROR(INDEX(tsk_Name,GanttView[[#This Row],[_Row]])="",TRUE()),FALSE(),AND(INDEX(tsk_IsLeaf,GanttView[[#This Row],[_Row]])=1,N(INDEX(tsk_Duration,GanttView[[#This Row],[_Row]]))=0))</f>
        <v>0</v>
      </c>
      <c r="O112" s="127" t="n">
        <f aca="false">IF(IFERROR(INDEX(tsk_Name,GanttView[[#This Row],[_Row]])="",TRUE()),0,IF(AND(INDEX(tsk_IsLeaf,GanttView[[#This Row],[_Row]])=1,NOT(GanttView[[#This Row],[_IsMilestone]]),N(GanttView[[#This Row],[%]])&gt;0),GanttView[[#This Row],[Forecast Start]],0))</f>
        <v>0</v>
      </c>
      <c r="P112" s="127" t="n">
        <f aca="false">IF(GanttView[[#This Row],[_DoneFrom]]=0,0,IF(GanttView[[#This Row],[%]]&gt;=1,GanttView[[#This Row],[Forecast Finish]],MAX(GanttView[[#This Row],[_DoneFrom]],GanttView[[#This Row],[Forecast Start]]+ROUND((GanttView[[#This Row],[Forecast Finish]]-GanttView[[#This Row],[Forecast Start]]+1)*GanttView[[#This Row],[%]],0)-1)))</f>
        <v>0</v>
      </c>
      <c r="Q112" s="127" t="n">
        <f aca="false">IF(IFERROR(INDEX(tsk_Name,GanttView[[#This Row],[_Row]])="",TRUE()),0,IF(OR(INDEX(tsk_IsLeaf,GanttView[[#This Row],[_Row]])&lt;&gt;1,GanttView[[#This Row],[_IsMilestone]],N(GanttView[[#This Row],[%]])&gt;=1),0,IF(GanttView[[#This Row],[_DoneTo]]&gt;0,GanttView[[#This Row],[_DoneTo]]+1,GanttView[[#This Row],[Forecast Start]])))</f>
        <v>0</v>
      </c>
      <c r="R112" s="127" t="n">
        <f aca="false">IF(GanttView[[#This Row],[_RemFrom]]=0,0,GanttView[[#This Row],[Forecast Finish]])</f>
        <v>0</v>
      </c>
      <c r="S112" s="126" t="b">
        <f aca="false">IF(IFERROR(INDEX(tsk_Name,GanttView[[#This Row],[_Row]])="",TRUE()),FALSE(),N(INDEX(tsk_Variance,GanttView[[#This Row],[_Row]]))&gt;0)</f>
        <v>0</v>
      </c>
      <c r="T112" s="127" t="n">
        <f aca="false">IF(IFERROR(INDEX(tsk_Name,GanttView[[#This Row],[_Row]])="",TRUE()),0,N(INDEX(tsk_Deadline,GanttView[[#This Row],[_Row]])))</f>
        <v>0</v>
      </c>
      <c r="U112" s="126" t="b">
        <f aca="false">IF(IFERROR(INDEX(tsk_Name,GanttView[[#This Row],[_Row]])="",TRUE()),FALSE(),INDEX(tsk_Critical,GanttView[[#This Row],[_Row]])="Yes")</f>
        <v>0</v>
      </c>
    </row>
    <row r="113" customFormat="false" ht="15" hidden="false" customHeight="false" outlineLevel="0" collapsed="false">
      <c r="A113" s="120" t="str">
        <f aca="false">IF(IFERROR(INDEX(tsk_Name,GanttView[[#This Row],[_Row]])="",TRUE()),"",INDEX(tsk_ID,GanttView[[#This Row],[_Row]]))</f>
        <v/>
      </c>
      <c r="B113" s="120" t="str">
        <f aca="false">IF(IFERROR(INDEX(tsk_Name,GanttView[[#This Row],[_Row]])="",TRUE()),"",INDEX(tsk_WBS,GanttView[[#This Row],[_Row]]))</f>
        <v/>
      </c>
      <c r="C113" s="121" t="str">
        <f aca="false">IF(IFERROR(INDEX(tsk_Name,GanttView[[#This Row],[_Row]])="",TRUE()),"",REPT("    ",INDEX(tsk_Level,GanttView[[#This Row],[_Row]])-1)&amp;INDEX(tsk_Name,GanttView[[#This Row],[_Row]]))</f>
        <v/>
      </c>
      <c r="D113" s="120" t="str">
        <f aca="false">IF(IFERROR(INDEX(tsk_Name,GanttView[[#This Row],[_Row]])="",TRUE()),"",IF(INDEX(tsk_IsSummary,GanttView[[#This Row],[_Row]]),NETWORKDAYS.INTL(INDEX(tsk_FcStart,GanttView[[#This Row],[_Row]]),INDEX(tsk_FcFinish,GanttView[[#This Row],[_Row]]),WorkWeek,Holidays),N(INDEX(tsk_Duration,GanttView[[#This Row],[_Row]]))))</f>
        <v/>
      </c>
      <c r="E113" s="122" t="str">
        <f aca="false">IF(IFERROR(INDEX(tsk_Name,GanttView[[#This Row],[_Row]])="",TRUE()),"",INDEX(tsk_PlanStart,GanttView[[#This Row],[_Row]]))</f>
        <v/>
      </c>
      <c r="F113" s="122" t="str">
        <f aca="false">IF(IFERROR(INDEX(tsk_Name,GanttView[[#This Row],[_Row]])="",TRUE()),"",INDEX(tsk_PlanFinish,GanttView[[#This Row],[_Row]]))</f>
        <v/>
      </c>
      <c r="G113" s="122" t="str">
        <f aca="false">IF(IFERROR(INDEX(tsk_Name,GanttView[[#This Row],[_Row]])="",TRUE()),"",INDEX(tsk_FcStart,GanttView[[#This Row],[_Row]]))</f>
        <v/>
      </c>
      <c r="H113" s="122" t="str">
        <f aca="false">IF(IFERROR(INDEX(tsk_Name,GanttView[[#This Row],[_Row]])="",TRUE()),"",INDEX(tsk_FcFinish,GanttView[[#This Row],[_Row]]))</f>
        <v/>
      </c>
      <c r="I113" s="123" t="str">
        <f aca="false">IF(IFERROR(INDEX(tsk_Name,GanttView[[#This Row],[_Row]])="",TRUE()),"",INDEX(tsk_Progress,GanttView[[#This Row],[_Row]]))</f>
        <v/>
      </c>
      <c r="J113" s="121" t="str">
        <f aca="false">IF(IFERROR(INDEX(tsk_Name,GanttView[[#This Row],[_Row]])="",TRUE()),"",INDEX(tsk_Resource,GanttView[[#This Row],[_Row]])&amp;"")</f>
        <v/>
      </c>
      <c r="K113" s="124" t="str">
        <f aca="false">IF(IFERROR(INDEX(tsk_Name,GanttView[[#This Row],[_Row]])="",TRUE()),"",INDEX(tsk_Status,GanttView[[#This Row],[_Row]]))</f>
        <v/>
      </c>
      <c r="L113" s="125" t="n">
        <f aca="false">ROW()-ROW(GanttView[[#Headers],[ID]])</f>
        <v>108</v>
      </c>
      <c r="M113" s="126" t="b">
        <f aca="false">IF(IFERROR(INDEX(tsk_Name,GanttView[[#This Row],[_Row]])="",TRUE()),FALSE(),INDEX(tsk_IsSummary,GanttView[[#This Row],[_Row]]))</f>
        <v>0</v>
      </c>
      <c r="N113" s="126" t="b">
        <f aca="false">IF(IFERROR(INDEX(tsk_Name,GanttView[[#This Row],[_Row]])="",TRUE()),FALSE(),AND(INDEX(tsk_IsLeaf,GanttView[[#This Row],[_Row]])=1,N(INDEX(tsk_Duration,GanttView[[#This Row],[_Row]]))=0))</f>
        <v>0</v>
      </c>
      <c r="O113" s="127" t="n">
        <f aca="false">IF(IFERROR(INDEX(tsk_Name,GanttView[[#This Row],[_Row]])="",TRUE()),0,IF(AND(INDEX(tsk_IsLeaf,GanttView[[#This Row],[_Row]])=1,NOT(GanttView[[#This Row],[_IsMilestone]]),N(GanttView[[#This Row],[%]])&gt;0),GanttView[[#This Row],[Forecast Start]],0))</f>
        <v>0</v>
      </c>
      <c r="P113" s="127" t="n">
        <f aca="false">IF(GanttView[[#This Row],[_DoneFrom]]=0,0,IF(GanttView[[#This Row],[%]]&gt;=1,GanttView[[#This Row],[Forecast Finish]],MAX(GanttView[[#This Row],[_DoneFrom]],GanttView[[#This Row],[Forecast Start]]+ROUND((GanttView[[#This Row],[Forecast Finish]]-GanttView[[#This Row],[Forecast Start]]+1)*GanttView[[#This Row],[%]],0)-1)))</f>
        <v>0</v>
      </c>
      <c r="Q113" s="127" t="n">
        <f aca="false">IF(IFERROR(INDEX(tsk_Name,GanttView[[#This Row],[_Row]])="",TRUE()),0,IF(OR(INDEX(tsk_IsLeaf,GanttView[[#This Row],[_Row]])&lt;&gt;1,GanttView[[#This Row],[_IsMilestone]],N(GanttView[[#This Row],[%]])&gt;=1),0,IF(GanttView[[#This Row],[_DoneTo]]&gt;0,GanttView[[#This Row],[_DoneTo]]+1,GanttView[[#This Row],[Forecast Start]])))</f>
        <v>0</v>
      </c>
      <c r="R113" s="127" t="n">
        <f aca="false">IF(GanttView[[#This Row],[_RemFrom]]=0,0,GanttView[[#This Row],[Forecast Finish]])</f>
        <v>0</v>
      </c>
      <c r="S113" s="126" t="b">
        <f aca="false">IF(IFERROR(INDEX(tsk_Name,GanttView[[#This Row],[_Row]])="",TRUE()),FALSE(),N(INDEX(tsk_Variance,GanttView[[#This Row],[_Row]]))&gt;0)</f>
        <v>0</v>
      </c>
      <c r="T113" s="127" t="n">
        <f aca="false">IF(IFERROR(INDEX(tsk_Name,GanttView[[#This Row],[_Row]])="",TRUE()),0,N(INDEX(tsk_Deadline,GanttView[[#This Row],[_Row]])))</f>
        <v>0</v>
      </c>
      <c r="U113" s="126" t="b">
        <f aca="false">IF(IFERROR(INDEX(tsk_Name,GanttView[[#This Row],[_Row]])="",TRUE()),FALSE(),INDEX(tsk_Critical,GanttView[[#This Row],[_Row]])="Yes")</f>
        <v>0</v>
      </c>
    </row>
    <row r="114" customFormat="false" ht="15" hidden="false" customHeight="false" outlineLevel="0" collapsed="false">
      <c r="A114" s="120" t="str">
        <f aca="false">IF(IFERROR(INDEX(tsk_Name,GanttView[[#This Row],[_Row]])="",TRUE()),"",INDEX(tsk_ID,GanttView[[#This Row],[_Row]]))</f>
        <v/>
      </c>
      <c r="B114" s="120" t="str">
        <f aca="false">IF(IFERROR(INDEX(tsk_Name,GanttView[[#This Row],[_Row]])="",TRUE()),"",INDEX(tsk_WBS,GanttView[[#This Row],[_Row]]))</f>
        <v/>
      </c>
      <c r="C114" s="121" t="str">
        <f aca="false">IF(IFERROR(INDEX(tsk_Name,GanttView[[#This Row],[_Row]])="",TRUE()),"",REPT("    ",INDEX(tsk_Level,GanttView[[#This Row],[_Row]])-1)&amp;INDEX(tsk_Name,GanttView[[#This Row],[_Row]]))</f>
        <v/>
      </c>
      <c r="D114" s="120" t="str">
        <f aca="false">IF(IFERROR(INDEX(tsk_Name,GanttView[[#This Row],[_Row]])="",TRUE()),"",IF(INDEX(tsk_IsSummary,GanttView[[#This Row],[_Row]]),NETWORKDAYS.INTL(INDEX(tsk_FcStart,GanttView[[#This Row],[_Row]]),INDEX(tsk_FcFinish,GanttView[[#This Row],[_Row]]),WorkWeek,Holidays),N(INDEX(tsk_Duration,GanttView[[#This Row],[_Row]]))))</f>
        <v/>
      </c>
      <c r="E114" s="122" t="str">
        <f aca="false">IF(IFERROR(INDEX(tsk_Name,GanttView[[#This Row],[_Row]])="",TRUE()),"",INDEX(tsk_PlanStart,GanttView[[#This Row],[_Row]]))</f>
        <v/>
      </c>
      <c r="F114" s="122" t="str">
        <f aca="false">IF(IFERROR(INDEX(tsk_Name,GanttView[[#This Row],[_Row]])="",TRUE()),"",INDEX(tsk_PlanFinish,GanttView[[#This Row],[_Row]]))</f>
        <v/>
      </c>
      <c r="G114" s="122" t="str">
        <f aca="false">IF(IFERROR(INDEX(tsk_Name,GanttView[[#This Row],[_Row]])="",TRUE()),"",INDEX(tsk_FcStart,GanttView[[#This Row],[_Row]]))</f>
        <v/>
      </c>
      <c r="H114" s="122" t="str">
        <f aca="false">IF(IFERROR(INDEX(tsk_Name,GanttView[[#This Row],[_Row]])="",TRUE()),"",INDEX(tsk_FcFinish,GanttView[[#This Row],[_Row]]))</f>
        <v/>
      </c>
      <c r="I114" s="123" t="str">
        <f aca="false">IF(IFERROR(INDEX(tsk_Name,GanttView[[#This Row],[_Row]])="",TRUE()),"",INDEX(tsk_Progress,GanttView[[#This Row],[_Row]]))</f>
        <v/>
      </c>
      <c r="J114" s="121" t="str">
        <f aca="false">IF(IFERROR(INDEX(tsk_Name,GanttView[[#This Row],[_Row]])="",TRUE()),"",INDEX(tsk_Resource,GanttView[[#This Row],[_Row]])&amp;"")</f>
        <v/>
      </c>
      <c r="K114" s="124" t="str">
        <f aca="false">IF(IFERROR(INDEX(tsk_Name,GanttView[[#This Row],[_Row]])="",TRUE()),"",INDEX(tsk_Status,GanttView[[#This Row],[_Row]]))</f>
        <v/>
      </c>
      <c r="L114" s="125" t="n">
        <f aca="false">ROW()-ROW(GanttView[[#Headers],[ID]])</f>
        <v>109</v>
      </c>
      <c r="M114" s="126" t="b">
        <f aca="false">IF(IFERROR(INDEX(tsk_Name,GanttView[[#This Row],[_Row]])="",TRUE()),FALSE(),INDEX(tsk_IsSummary,GanttView[[#This Row],[_Row]]))</f>
        <v>0</v>
      </c>
      <c r="N114" s="126" t="b">
        <f aca="false">IF(IFERROR(INDEX(tsk_Name,GanttView[[#This Row],[_Row]])="",TRUE()),FALSE(),AND(INDEX(tsk_IsLeaf,GanttView[[#This Row],[_Row]])=1,N(INDEX(tsk_Duration,GanttView[[#This Row],[_Row]]))=0))</f>
        <v>0</v>
      </c>
      <c r="O114" s="127" t="n">
        <f aca="false">IF(IFERROR(INDEX(tsk_Name,GanttView[[#This Row],[_Row]])="",TRUE()),0,IF(AND(INDEX(tsk_IsLeaf,GanttView[[#This Row],[_Row]])=1,NOT(GanttView[[#This Row],[_IsMilestone]]),N(GanttView[[#This Row],[%]])&gt;0),GanttView[[#This Row],[Forecast Start]],0))</f>
        <v>0</v>
      </c>
      <c r="P114" s="127" t="n">
        <f aca="false">IF(GanttView[[#This Row],[_DoneFrom]]=0,0,IF(GanttView[[#This Row],[%]]&gt;=1,GanttView[[#This Row],[Forecast Finish]],MAX(GanttView[[#This Row],[_DoneFrom]],GanttView[[#This Row],[Forecast Start]]+ROUND((GanttView[[#This Row],[Forecast Finish]]-GanttView[[#This Row],[Forecast Start]]+1)*GanttView[[#This Row],[%]],0)-1)))</f>
        <v>0</v>
      </c>
      <c r="Q114" s="127" t="n">
        <f aca="false">IF(IFERROR(INDEX(tsk_Name,GanttView[[#This Row],[_Row]])="",TRUE()),0,IF(OR(INDEX(tsk_IsLeaf,GanttView[[#This Row],[_Row]])&lt;&gt;1,GanttView[[#This Row],[_IsMilestone]],N(GanttView[[#This Row],[%]])&gt;=1),0,IF(GanttView[[#This Row],[_DoneTo]]&gt;0,GanttView[[#This Row],[_DoneTo]]+1,GanttView[[#This Row],[Forecast Start]])))</f>
        <v>0</v>
      </c>
      <c r="R114" s="127" t="n">
        <f aca="false">IF(GanttView[[#This Row],[_RemFrom]]=0,0,GanttView[[#This Row],[Forecast Finish]])</f>
        <v>0</v>
      </c>
      <c r="S114" s="126" t="b">
        <f aca="false">IF(IFERROR(INDEX(tsk_Name,GanttView[[#This Row],[_Row]])="",TRUE()),FALSE(),N(INDEX(tsk_Variance,GanttView[[#This Row],[_Row]]))&gt;0)</f>
        <v>0</v>
      </c>
      <c r="T114" s="127" t="n">
        <f aca="false">IF(IFERROR(INDEX(tsk_Name,GanttView[[#This Row],[_Row]])="",TRUE()),0,N(INDEX(tsk_Deadline,GanttView[[#This Row],[_Row]])))</f>
        <v>0</v>
      </c>
      <c r="U114" s="126" t="b">
        <f aca="false">IF(IFERROR(INDEX(tsk_Name,GanttView[[#This Row],[_Row]])="",TRUE()),FALSE(),INDEX(tsk_Critical,GanttView[[#This Row],[_Row]])="Yes")</f>
        <v>0</v>
      </c>
    </row>
    <row r="115" customFormat="false" ht="15" hidden="false" customHeight="false" outlineLevel="0" collapsed="false">
      <c r="A115" s="120" t="str">
        <f aca="false">IF(IFERROR(INDEX(tsk_Name,GanttView[[#This Row],[_Row]])="",TRUE()),"",INDEX(tsk_ID,GanttView[[#This Row],[_Row]]))</f>
        <v/>
      </c>
      <c r="B115" s="120" t="str">
        <f aca="false">IF(IFERROR(INDEX(tsk_Name,GanttView[[#This Row],[_Row]])="",TRUE()),"",INDEX(tsk_WBS,GanttView[[#This Row],[_Row]]))</f>
        <v/>
      </c>
      <c r="C115" s="121" t="str">
        <f aca="false">IF(IFERROR(INDEX(tsk_Name,GanttView[[#This Row],[_Row]])="",TRUE()),"",REPT("    ",INDEX(tsk_Level,GanttView[[#This Row],[_Row]])-1)&amp;INDEX(tsk_Name,GanttView[[#This Row],[_Row]]))</f>
        <v/>
      </c>
      <c r="D115" s="120" t="str">
        <f aca="false">IF(IFERROR(INDEX(tsk_Name,GanttView[[#This Row],[_Row]])="",TRUE()),"",IF(INDEX(tsk_IsSummary,GanttView[[#This Row],[_Row]]),NETWORKDAYS.INTL(INDEX(tsk_FcStart,GanttView[[#This Row],[_Row]]),INDEX(tsk_FcFinish,GanttView[[#This Row],[_Row]]),WorkWeek,Holidays),N(INDEX(tsk_Duration,GanttView[[#This Row],[_Row]]))))</f>
        <v/>
      </c>
      <c r="E115" s="122" t="str">
        <f aca="false">IF(IFERROR(INDEX(tsk_Name,GanttView[[#This Row],[_Row]])="",TRUE()),"",INDEX(tsk_PlanStart,GanttView[[#This Row],[_Row]]))</f>
        <v/>
      </c>
      <c r="F115" s="122" t="str">
        <f aca="false">IF(IFERROR(INDEX(tsk_Name,GanttView[[#This Row],[_Row]])="",TRUE()),"",INDEX(tsk_PlanFinish,GanttView[[#This Row],[_Row]]))</f>
        <v/>
      </c>
      <c r="G115" s="122" t="str">
        <f aca="false">IF(IFERROR(INDEX(tsk_Name,GanttView[[#This Row],[_Row]])="",TRUE()),"",INDEX(tsk_FcStart,GanttView[[#This Row],[_Row]]))</f>
        <v/>
      </c>
      <c r="H115" s="122" t="str">
        <f aca="false">IF(IFERROR(INDEX(tsk_Name,GanttView[[#This Row],[_Row]])="",TRUE()),"",INDEX(tsk_FcFinish,GanttView[[#This Row],[_Row]]))</f>
        <v/>
      </c>
      <c r="I115" s="123" t="str">
        <f aca="false">IF(IFERROR(INDEX(tsk_Name,GanttView[[#This Row],[_Row]])="",TRUE()),"",INDEX(tsk_Progress,GanttView[[#This Row],[_Row]]))</f>
        <v/>
      </c>
      <c r="J115" s="121" t="str">
        <f aca="false">IF(IFERROR(INDEX(tsk_Name,GanttView[[#This Row],[_Row]])="",TRUE()),"",INDEX(tsk_Resource,GanttView[[#This Row],[_Row]])&amp;"")</f>
        <v/>
      </c>
      <c r="K115" s="124" t="str">
        <f aca="false">IF(IFERROR(INDEX(tsk_Name,GanttView[[#This Row],[_Row]])="",TRUE()),"",INDEX(tsk_Status,GanttView[[#This Row],[_Row]]))</f>
        <v/>
      </c>
      <c r="L115" s="125" t="n">
        <f aca="false">ROW()-ROW(GanttView[[#Headers],[ID]])</f>
        <v>110</v>
      </c>
      <c r="M115" s="126" t="b">
        <f aca="false">IF(IFERROR(INDEX(tsk_Name,GanttView[[#This Row],[_Row]])="",TRUE()),FALSE(),INDEX(tsk_IsSummary,GanttView[[#This Row],[_Row]]))</f>
        <v>0</v>
      </c>
      <c r="N115" s="126" t="b">
        <f aca="false">IF(IFERROR(INDEX(tsk_Name,GanttView[[#This Row],[_Row]])="",TRUE()),FALSE(),AND(INDEX(tsk_IsLeaf,GanttView[[#This Row],[_Row]])=1,N(INDEX(tsk_Duration,GanttView[[#This Row],[_Row]]))=0))</f>
        <v>0</v>
      </c>
      <c r="O115" s="127" t="n">
        <f aca="false">IF(IFERROR(INDEX(tsk_Name,GanttView[[#This Row],[_Row]])="",TRUE()),0,IF(AND(INDEX(tsk_IsLeaf,GanttView[[#This Row],[_Row]])=1,NOT(GanttView[[#This Row],[_IsMilestone]]),N(GanttView[[#This Row],[%]])&gt;0),GanttView[[#This Row],[Forecast Start]],0))</f>
        <v>0</v>
      </c>
      <c r="P115" s="127" t="n">
        <f aca="false">IF(GanttView[[#This Row],[_DoneFrom]]=0,0,IF(GanttView[[#This Row],[%]]&gt;=1,GanttView[[#This Row],[Forecast Finish]],MAX(GanttView[[#This Row],[_DoneFrom]],GanttView[[#This Row],[Forecast Start]]+ROUND((GanttView[[#This Row],[Forecast Finish]]-GanttView[[#This Row],[Forecast Start]]+1)*GanttView[[#This Row],[%]],0)-1)))</f>
        <v>0</v>
      </c>
      <c r="Q115" s="127" t="n">
        <f aca="false">IF(IFERROR(INDEX(tsk_Name,GanttView[[#This Row],[_Row]])="",TRUE()),0,IF(OR(INDEX(tsk_IsLeaf,GanttView[[#This Row],[_Row]])&lt;&gt;1,GanttView[[#This Row],[_IsMilestone]],N(GanttView[[#This Row],[%]])&gt;=1),0,IF(GanttView[[#This Row],[_DoneTo]]&gt;0,GanttView[[#This Row],[_DoneTo]]+1,GanttView[[#This Row],[Forecast Start]])))</f>
        <v>0</v>
      </c>
      <c r="R115" s="127" t="n">
        <f aca="false">IF(GanttView[[#This Row],[_RemFrom]]=0,0,GanttView[[#This Row],[Forecast Finish]])</f>
        <v>0</v>
      </c>
      <c r="S115" s="126" t="b">
        <f aca="false">IF(IFERROR(INDEX(tsk_Name,GanttView[[#This Row],[_Row]])="",TRUE()),FALSE(),N(INDEX(tsk_Variance,GanttView[[#This Row],[_Row]]))&gt;0)</f>
        <v>0</v>
      </c>
      <c r="T115" s="127" t="n">
        <f aca="false">IF(IFERROR(INDEX(tsk_Name,GanttView[[#This Row],[_Row]])="",TRUE()),0,N(INDEX(tsk_Deadline,GanttView[[#This Row],[_Row]])))</f>
        <v>0</v>
      </c>
      <c r="U115" s="126" t="b">
        <f aca="false">IF(IFERROR(INDEX(tsk_Name,GanttView[[#This Row],[_Row]])="",TRUE()),FALSE(),INDEX(tsk_Critical,GanttView[[#This Row],[_Row]])="Yes")</f>
        <v>0</v>
      </c>
    </row>
    <row r="116" customFormat="false" ht="15" hidden="false" customHeight="false" outlineLevel="0" collapsed="false">
      <c r="A116" s="120" t="str">
        <f aca="false">IF(IFERROR(INDEX(tsk_Name,GanttView[[#This Row],[_Row]])="",TRUE()),"",INDEX(tsk_ID,GanttView[[#This Row],[_Row]]))</f>
        <v/>
      </c>
      <c r="B116" s="120" t="str">
        <f aca="false">IF(IFERROR(INDEX(tsk_Name,GanttView[[#This Row],[_Row]])="",TRUE()),"",INDEX(tsk_WBS,GanttView[[#This Row],[_Row]]))</f>
        <v/>
      </c>
      <c r="C116" s="121" t="str">
        <f aca="false">IF(IFERROR(INDEX(tsk_Name,GanttView[[#This Row],[_Row]])="",TRUE()),"",REPT("    ",INDEX(tsk_Level,GanttView[[#This Row],[_Row]])-1)&amp;INDEX(tsk_Name,GanttView[[#This Row],[_Row]]))</f>
        <v/>
      </c>
      <c r="D116" s="120" t="str">
        <f aca="false">IF(IFERROR(INDEX(tsk_Name,GanttView[[#This Row],[_Row]])="",TRUE()),"",IF(INDEX(tsk_IsSummary,GanttView[[#This Row],[_Row]]),NETWORKDAYS.INTL(INDEX(tsk_FcStart,GanttView[[#This Row],[_Row]]),INDEX(tsk_FcFinish,GanttView[[#This Row],[_Row]]),WorkWeek,Holidays),N(INDEX(tsk_Duration,GanttView[[#This Row],[_Row]]))))</f>
        <v/>
      </c>
      <c r="E116" s="122" t="str">
        <f aca="false">IF(IFERROR(INDEX(tsk_Name,GanttView[[#This Row],[_Row]])="",TRUE()),"",INDEX(tsk_PlanStart,GanttView[[#This Row],[_Row]]))</f>
        <v/>
      </c>
      <c r="F116" s="122" t="str">
        <f aca="false">IF(IFERROR(INDEX(tsk_Name,GanttView[[#This Row],[_Row]])="",TRUE()),"",INDEX(tsk_PlanFinish,GanttView[[#This Row],[_Row]]))</f>
        <v/>
      </c>
      <c r="G116" s="122" t="str">
        <f aca="false">IF(IFERROR(INDEX(tsk_Name,GanttView[[#This Row],[_Row]])="",TRUE()),"",INDEX(tsk_FcStart,GanttView[[#This Row],[_Row]]))</f>
        <v/>
      </c>
      <c r="H116" s="122" t="str">
        <f aca="false">IF(IFERROR(INDEX(tsk_Name,GanttView[[#This Row],[_Row]])="",TRUE()),"",INDEX(tsk_FcFinish,GanttView[[#This Row],[_Row]]))</f>
        <v/>
      </c>
      <c r="I116" s="123" t="str">
        <f aca="false">IF(IFERROR(INDEX(tsk_Name,GanttView[[#This Row],[_Row]])="",TRUE()),"",INDEX(tsk_Progress,GanttView[[#This Row],[_Row]]))</f>
        <v/>
      </c>
      <c r="J116" s="121" t="str">
        <f aca="false">IF(IFERROR(INDEX(tsk_Name,GanttView[[#This Row],[_Row]])="",TRUE()),"",INDEX(tsk_Resource,GanttView[[#This Row],[_Row]])&amp;"")</f>
        <v/>
      </c>
      <c r="K116" s="124" t="str">
        <f aca="false">IF(IFERROR(INDEX(tsk_Name,GanttView[[#This Row],[_Row]])="",TRUE()),"",INDEX(tsk_Status,GanttView[[#This Row],[_Row]]))</f>
        <v/>
      </c>
      <c r="L116" s="125" t="n">
        <f aca="false">ROW()-ROW(GanttView[[#Headers],[ID]])</f>
        <v>111</v>
      </c>
      <c r="M116" s="126" t="b">
        <f aca="false">IF(IFERROR(INDEX(tsk_Name,GanttView[[#This Row],[_Row]])="",TRUE()),FALSE(),INDEX(tsk_IsSummary,GanttView[[#This Row],[_Row]]))</f>
        <v>0</v>
      </c>
      <c r="N116" s="126" t="b">
        <f aca="false">IF(IFERROR(INDEX(tsk_Name,GanttView[[#This Row],[_Row]])="",TRUE()),FALSE(),AND(INDEX(tsk_IsLeaf,GanttView[[#This Row],[_Row]])=1,N(INDEX(tsk_Duration,GanttView[[#This Row],[_Row]]))=0))</f>
        <v>0</v>
      </c>
      <c r="O116" s="127" t="n">
        <f aca="false">IF(IFERROR(INDEX(tsk_Name,GanttView[[#This Row],[_Row]])="",TRUE()),0,IF(AND(INDEX(tsk_IsLeaf,GanttView[[#This Row],[_Row]])=1,NOT(GanttView[[#This Row],[_IsMilestone]]),N(GanttView[[#This Row],[%]])&gt;0),GanttView[[#This Row],[Forecast Start]],0))</f>
        <v>0</v>
      </c>
      <c r="P116" s="127" t="n">
        <f aca="false">IF(GanttView[[#This Row],[_DoneFrom]]=0,0,IF(GanttView[[#This Row],[%]]&gt;=1,GanttView[[#This Row],[Forecast Finish]],MAX(GanttView[[#This Row],[_DoneFrom]],GanttView[[#This Row],[Forecast Start]]+ROUND((GanttView[[#This Row],[Forecast Finish]]-GanttView[[#This Row],[Forecast Start]]+1)*GanttView[[#This Row],[%]],0)-1)))</f>
        <v>0</v>
      </c>
      <c r="Q116" s="127" t="n">
        <f aca="false">IF(IFERROR(INDEX(tsk_Name,GanttView[[#This Row],[_Row]])="",TRUE()),0,IF(OR(INDEX(tsk_IsLeaf,GanttView[[#This Row],[_Row]])&lt;&gt;1,GanttView[[#This Row],[_IsMilestone]],N(GanttView[[#This Row],[%]])&gt;=1),0,IF(GanttView[[#This Row],[_DoneTo]]&gt;0,GanttView[[#This Row],[_DoneTo]]+1,GanttView[[#This Row],[Forecast Start]])))</f>
        <v>0</v>
      </c>
      <c r="R116" s="127" t="n">
        <f aca="false">IF(GanttView[[#This Row],[_RemFrom]]=0,0,GanttView[[#This Row],[Forecast Finish]])</f>
        <v>0</v>
      </c>
      <c r="S116" s="126" t="b">
        <f aca="false">IF(IFERROR(INDEX(tsk_Name,GanttView[[#This Row],[_Row]])="",TRUE()),FALSE(),N(INDEX(tsk_Variance,GanttView[[#This Row],[_Row]]))&gt;0)</f>
        <v>0</v>
      </c>
      <c r="T116" s="127" t="n">
        <f aca="false">IF(IFERROR(INDEX(tsk_Name,GanttView[[#This Row],[_Row]])="",TRUE()),0,N(INDEX(tsk_Deadline,GanttView[[#This Row],[_Row]])))</f>
        <v>0</v>
      </c>
      <c r="U116" s="126" t="b">
        <f aca="false">IF(IFERROR(INDEX(tsk_Name,GanttView[[#This Row],[_Row]])="",TRUE()),FALSE(),INDEX(tsk_Critical,GanttView[[#This Row],[_Row]])="Yes")</f>
        <v>0</v>
      </c>
    </row>
    <row r="117" customFormat="false" ht="15" hidden="false" customHeight="false" outlineLevel="0" collapsed="false">
      <c r="A117" s="120" t="str">
        <f aca="false">IF(IFERROR(INDEX(tsk_Name,GanttView[[#This Row],[_Row]])="",TRUE()),"",INDEX(tsk_ID,GanttView[[#This Row],[_Row]]))</f>
        <v/>
      </c>
      <c r="B117" s="120" t="str">
        <f aca="false">IF(IFERROR(INDEX(tsk_Name,GanttView[[#This Row],[_Row]])="",TRUE()),"",INDEX(tsk_WBS,GanttView[[#This Row],[_Row]]))</f>
        <v/>
      </c>
      <c r="C117" s="121" t="str">
        <f aca="false">IF(IFERROR(INDEX(tsk_Name,GanttView[[#This Row],[_Row]])="",TRUE()),"",REPT("    ",INDEX(tsk_Level,GanttView[[#This Row],[_Row]])-1)&amp;INDEX(tsk_Name,GanttView[[#This Row],[_Row]]))</f>
        <v/>
      </c>
      <c r="D117" s="120" t="str">
        <f aca="false">IF(IFERROR(INDEX(tsk_Name,GanttView[[#This Row],[_Row]])="",TRUE()),"",IF(INDEX(tsk_IsSummary,GanttView[[#This Row],[_Row]]),NETWORKDAYS.INTL(INDEX(tsk_FcStart,GanttView[[#This Row],[_Row]]),INDEX(tsk_FcFinish,GanttView[[#This Row],[_Row]]),WorkWeek,Holidays),N(INDEX(tsk_Duration,GanttView[[#This Row],[_Row]]))))</f>
        <v/>
      </c>
      <c r="E117" s="122" t="str">
        <f aca="false">IF(IFERROR(INDEX(tsk_Name,GanttView[[#This Row],[_Row]])="",TRUE()),"",INDEX(tsk_PlanStart,GanttView[[#This Row],[_Row]]))</f>
        <v/>
      </c>
      <c r="F117" s="122" t="str">
        <f aca="false">IF(IFERROR(INDEX(tsk_Name,GanttView[[#This Row],[_Row]])="",TRUE()),"",INDEX(tsk_PlanFinish,GanttView[[#This Row],[_Row]]))</f>
        <v/>
      </c>
      <c r="G117" s="122" t="str">
        <f aca="false">IF(IFERROR(INDEX(tsk_Name,GanttView[[#This Row],[_Row]])="",TRUE()),"",INDEX(tsk_FcStart,GanttView[[#This Row],[_Row]]))</f>
        <v/>
      </c>
      <c r="H117" s="122" t="str">
        <f aca="false">IF(IFERROR(INDEX(tsk_Name,GanttView[[#This Row],[_Row]])="",TRUE()),"",INDEX(tsk_FcFinish,GanttView[[#This Row],[_Row]]))</f>
        <v/>
      </c>
      <c r="I117" s="123" t="str">
        <f aca="false">IF(IFERROR(INDEX(tsk_Name,GanttView[[#This Row],[_Row]])="",TRUE()),"",INDEX(tsk_Progress,GanttView[[#This Row],[_Row]]))</f>
        <v/>
      </c>
      <c r="J117" s="121" t="str">
        <f aca="false">IF(IFERROR(INDEX(tsk_Name,GanttView[[#This Row],[_Row]])="",TRUE()),"",INDEX(tsk_Resource,GanttView[[#This Row],[_Row]])&amp;"")</f>
        <v/>
      </c>
      <c r="K117" s="124" t="str">
        <f aca="false">IF(IFERROR(INDEX(tsk_Name,GanttView[[#This Row],[_Row]])="",TRUE()),"",INDEX(tsk_Status,GanttView[[#This Row],[_Row]]))</f>
        <v/>
      </c>
      <c r="L117" s="125" t="n">
        <f aca="false">ROW()-ROW(GanttView[[#Headers],[ID]])</f>
        <v>112</v>
      </c>
      <c r="M117" s="126" t="b">
        <f aca="false">IF(IFERROR(INDEX(tsk_Name,GanttView[[#This Row],[_Row]])="",TRUE()),FALSE(),INDEX(tsk_IsSummary,GanttView[[#This Row],[_Row]]))</f>
        <v>0</v>
      </c>
      <c r="N117" s="126" t="b">
        <f aca="false">IF(IFERROR(INDEX(tsk_Name,GanttView[[#This Row],[_Row]])="",TRUE()),FALSE(),AND(INDEX(tsk_IsLeaf,GanttView[[#This Row],[_Row]])=1,N(INDEX(tsk_Duration,GanttView[[#This Row],[_Row]]))=0))</f>
        <v>0</v>
      </c>
      <c r="O117" s="127" t="n">
        <f aca="false">IF(IFERROR(INDEX(tsk_Name,GanttView[[#This Row],[_Row]])="",TRUE()),0,IF(AND(INDEX(tsk_IsLeaf,GanttView[[#This Row],[_Row]])=1,NOT(GanttView[[#This Row],[_IsMilestone]]),N(GanttView[[#This Row],[%]])&gt;0),GanttView[[#This Row],[Forecast Start]],0))</f>
        <v>0</v>
      </c>
      <c r="P117" s="127" t="n">
        <f aca="false">IF(GanttView[[#This Row],[_DoneFrom]]=0,0,IF(GanttView[[#This Row],[%]]&gt;=1,GanttView[[#This Row],[Forecast Finish]],MAX(GanttView[[#This Row],[_DoneFrom]],GanttView[[#This Row],[Forecast Start]]+ROUND((GanttView[[#This Row],[Forecast Finish]]-GanttView[[#This Row],[Forecast Start]]+1)*GanttView[[#This Row],[%]],0)-1)))</f>
        <v>0</v>
      </c>
      <c r="Q117" s="127" t="n">
        <f aca="false">IF(IFERROR(INDEX(tsk_Name,GanttView[[#This Row],[_Row]])="",TRUE()),0,IF(OR(INDEX(tsk_IsLeaf,GanttView[[#This Row],[_Row]])&lt;&gt;1,GanttView[[#This Row],[_IsMilestone]],N(GanttView[[#This Row],[%]])&gt;=1),0,IF(GanttView[[#This Row],[_DoneTo]]&gt;0,GanttView[[#This Row],[_DoneTo]]+1,GanttView[[#This Row],[Forecast Start]])))</f>
        <v>0</v>
      </c>
      <c r="R117" s="127" t="n">
        <f aca="false">IF(GanttView[[#This Row],[_RemFrom]]=0,0,GanttView[[#This Row],[Forecast Finish]])</f>
        <v>0</v>
      </c>
      <c r="S117" s="126" t="b">
        <f aca="false">IF(IFERROR(INDEX(tsk_Name,GanttView[[#This Row],[_Row]])="",TRUE()),FALSE(),N(INDEX(tsk_Variance,GanttView[[#This Row],[_Row]]))&gt;0)</f>
        <v>0</v>
      </c>
      <c r="T117" s="127" t="n">
        <f aca="false">IF(IFERROR(INDEX(tsk_Name,GanttView[[#This Row],[_Row]])="",TRUE()),0,N(INDEX(tsk_Deadline,GanttView[[#This Row],[_Row]])))</f>
        <v>0</v>
      </c>
      <c r="U117" s="126" t="b">
        <f aca="false">IF(IFERROR(INDEX(tsk_Name,GanttView[[#This Row],[_Row]])="",TRUE()),FALSE(),INDEX(tsk_Critical,GanttView[[#This Row],[_Row]])="Yes")</f>
        <v>0</v>
      </c>
    </row>
    <row r="118" customFormat="false" ht="15" hidden="false" customHeight="false" outlineLevel="0" collapsed="false">
      <c r="A118" s="120" t="str">
        <f aca="false">IF(IFERROR(INDEX(tsk_Name,GanttView[[#This Row],[_Row]])="",TRUE()),"",INDEX(tsk_ID,GanttView[[#This Row],[_Row]]))</f>
        <v/>
      </c>
      <c r="B118" s="120" t="str">
        <f aca="false">IF(IFERROR(INDEX(tsk_Name,GanttView[[#This Row],[_Row]])="",TRUE()),"",INDEX(tsk_WBS,GanttView[[#This Row],[_Row]]))</f>
        <v/>
      </c>
      <c r="C118" s="121" t="str">
        <f aca="false">IF(IFERROR(INDEX(tsk_Name,GanttView[[#This Row],[_Row]])="",TRUE()),"",REPT("    ",INDEX(tsk_Level,GanttView[[#This Row],[_Row]])-1)&amp;INDEX(tsk_Name,GanttView[[#This Row],[_Row]]))</f>
        <v/>
      </c>
      <c r="D118" s="120" t="str">
        <f aca="false">IF(IFERROR(INDEX(tsk_Name,GanttView[[#This Row],[_Row]])="",TRUE()),"",IF(INDEX(tsk_IsSummary,GanttView[[#This Row],[_Row]]),NETWORKDAYS.INTL(INDEX(tsk_FcStart,GanttView[[#This Row],[_Row]]),INDEX(tsk_FcFinish,GanttView[[#This Row],[_Row]]),WorkWeek,Holidays),N(INDEX(tsk_Duration,GanttView[[#This Row],[_Row]]))))</f>
        <v/>
      </c>
      <c r="E118" s="122" t="str">
        <f aca="false">IF(IFERROR(INDEX(tsk_Name,GanttView[[#This Row],[_Row]])="",TRUE()),"",INDEX(tsk_PlanStart,GanttView[[#This Row],[_Row]]))</f>
        <v/>
      </c>
      <c r="F118" s="122" t="str">
        <f aca="false">IF(IFERROR(INDEX(tsk_Name,GanttView[[#This Row],[_Row]])="",TRUE()),"",INDEX(tsk_PlanFinish,GanttView[[#This Row],[_Row]]))</f>
        <v/>
      </c>
      <c r="G118" s="122" t="str">
        <f aca="false">IF(IFERROR(INDEX(tsk_Name,GanttView[[#This Row],[_Row]])="",TRUE()),"",INDEX(tsk_FcStart,GanttView[[#This Row],[_Row]]))</f>
        <v/>
      </c>
      <c r="H118" s="122" t="str">
        <f aca="false">IF(IFERROR(INDEX(tsk_Name,GanttView[[#This Row],[_Row]])="",TRUE()),"",INDEX(tsk_FcFinish,GanttView[[#This Row],[_Row]]))</f>
        <v/>
      </c>
      <c r="I118" s="123" t="str">
        <f aca="false">IF(IFERROR(INDEX(tsk_Name,GanttView[[#This Row],[_Row]])="",TRUE()),"",INDEX(tsk_Progress,GanttView[[#This Row],[_Row]]))</f>
        <v/>
      </c>
      <c r="J118" s="121" t="str">
        <f aca="false">IF(IFERROR(INDEX(tsk_Name,GanttView[[#This Row],[_Row]])="",TRUE()),"",INDEX(tsk_Resource,GanttView[[#This Row],[_Row]])&amp;"")</f>
        <v/>
      </c>
      <c r="K118" s="124" t="str">
        <f aca="false">IF(IFERROR(INDEX(tsk_Name,GanttView[[#This Row],[_Row]])="",TRUE()),"",INDEX(tsk_Status,GanttView[[#This Row],[_Row]]))</f>
        <v/>
      </c>
      <c r="L118" s="125" t="n">
        <f aca="false">ROW()-ROW(GanttView[[#Headers],[ID]])</f>
        <v>113</v>
      </c>
      <c r="M118" s="126" t="b">
        <f aca="false">IF(IFERROR(INDEX(tsk_Name,GanttView[[#This Row],[_Row]])="",TRUE()),FALSE(),INDEX(tsk_IsSummary,GanttView[[#This Row],[_Row]]))</f>
        <v>0</v>
      </c>
      <c r="N118" s="126" t="b">
        <f aca="false">IF(IFERROR(INDEX(tsk_Name,GanttView[[#This Row],[_Row]])="",TRUE()),FALSE(),AND(INDEX(tsk_IsLeaf,GanttView[[#This Row],[_Row]])=1,N(INDEX(tsk_Duration,GanttView[[#This Row],[_Row]]))=0))</f>
        <v>0</v>
      </c>
      <c r="O118" s="127" t="n">
        <f aca="false">IF(IFERROR(INDEX(tsk_Name,GanttView[[#This Row],[_Row]])="",TRUE()),0,IF(AND(INDEX(tsk_IsLeaf,GanttView[[#This Row],[_Row]])=1,NOT(GanttView[[#This Row],[_IsMilestone]]),N(GanttView[[#This Row],[%]])&gt;0),GanttView[[#This Row],[Forecast Start]],0))</f>
        <v>0</v>
      </c>
      <c r="P118" s="127" t="n">
        <f aca="false">IF(GanttView[[#This Row],[_DoneFrom]]=0,0,IF(GanttView[[#This Row],[%]]&gt;=1,GanttView[[#This Row],[Forecast Finish]],MAX(GanttView[[#This Row],[_DoneFrom]],GanttView[[#This Row],[Forecast Start]]+ROUND((GanttView[[#This Row],[Forecast Finish]]-GanttView[[#This Row],[Forecast Start]]+1)*GanttView[[#This Row],[%]],0)-1)))</f>
        <v>0</v>
      </c>
      <c r="Q118" s="127" t="n">
        <f aca="false">IF(IFERROR(INDEX(tsk_Name,GanttView[[#This Row],[_Row]])="",TRUE()),0,IF(OR(INDEX(tsk_IsLeaf,GanttView[[#This Row],[_Row]])&lt;&gt;1,GanttView[[#This Row],[_IsMilestone]],N(GanttView[[#This Row],[%]])&gt;=1),0,IF(GanttView[[#This Row],[_DoneTo]]&gt;0,GanttView[[#This Row],[_DoneTo]]+1,GanttView[[#This Row],[Forecast Start]])))</f>
        <v>0</v>
      </c>
      <c r="R118" s="127" t="n">
        <f aca="false">IF(GanttView[[#This Row],[_RemFrom]]=0,0,GanttView[[#This Row],[Forecast Finish]])</f>
        <v>0</v>
      </c>
      <c r="S118" s="126" t="b">
        <f aca="false">IF(IFERROR(INDEX(tsk_Name,GanttView[[#This Row],[_Row]])="",TRUE()),FALSE(),N(INDEX(tsk_Variance,GanttView[[#This Row],[_Row]]))&gt;0)</f>
        <v>0</v>
      </c>
      <c r="T118" s="127" t="n">
        <f aca="false">IF(IFERROR(INDEX(tsk_Name,GanttView[[#This Row],[_Row]])="",TRUE()),0,N(INDEX(tsk_Deadline,GanttView[[#This Row],[_Row]])))</f>
        <v>0</v>
      </c>
      <c r="U118" s="126" t="b">
        <f aca="false">IF(IFERROR(INDEX(tsk_Name,GanttView[[#This Row],[_Row]])="",TRUE()),FALSE(),INDEX(tsk_Critical,GanttView[[#This Row],[_Row]])="Yes")</f>
        <v>0</v>
      </c>
    </row>
    <row r="119" customFormat="false" ht="15" hidden="false" customHeight="false" outlineLevel="0" collapsed="false">
      <c r="A119" s="120" t="str">
        <f aca="false">IF(IFERROR(INDEX(tsk_Name,GanttView[[#This Row],[_Row]])="",TRUE()),"",INDEX(tsk_ID,GanttView[[#This Row],[_Row]]))</f>
        <v/>
      </c>
      <c r="B119" s="120" t="str">
        <f aca="false">IF(IFERROR(INDEX(tsk_Name,GanttView[[#This Row],[_Row]])="",TRUE()),"",INDEX(tsk_WBS,GanttView[[#This Row],[_Row]]))</f>
        <v/>
      </c>
      <c r="C119" s="121" t="str">
        <f aca="false">IF(IFERROR(INDEX(tsk_Name,GanttView[[#This Row],[_Row]])="",TRUE()),"",REPT("    ",INDEX(tsk_Level,GanttView[[#This Row],[_Row]])-1)&amp;INDEX(tsk_Name,GanttView[[#This Row],[_Row]]))</f>
        <v/>
      </c>
      <c r="D119" s="120" t="str">
        <f aca="false">IF(IFERROR(INDEX(tsk_Name,GanttView[[#This Row],[_Row]])="",TRUE()),"",IF(INDEX(tsk_IsSummary,GanttView[[#This Row],[_Row]]),NETWORKDAYS.INTL(INDEX(tsk_FcStart,GanttView[[#This Row],[_Row]]),INDEX(tsk_FcFinish,GanttView[[#This Row],[_Row]]),WorkWeek,Holidays),N(INDEX(tsk_Duration,GanttView[[#This Row],[_Row]]))))</f>
        <v/>
      </c>
      <c r="E119" s="122" t="str">
        <f aca="false">IF(IFERROR(INDEX(tsk_Name,GanttView[[#This Row],[_Row]])="",TRUE()),"",INDEX(tsk_PlanStart,GanttView[[#This Row],[_Row]]))</f>
        <v/>
      </c>
      <c r="F119" s="122" t="str">
        <f aca="false">IF(IFERROR(INDEX(tsk_Name,GanttView[[#This Row],[_Row]])="",TRUE()),"",INDEX(tsk_PlanFinish,GanttView[[#This Row],[_Row]]))</f>
        <v/>
      </c>
      <c r="G119" s="122" t="str">
        <f aca="false">IF(IFERROR(INDEX(tsk_Name,GanttView[[#This Row],[_Row]])="",TRUE()),"",INDEX(tsk_FcStart,GanttView[[#This Row],[_Row]]))</f>
        <v/>
      </c>
      <c r="H119" s="122" t="str">
        <f aca="false">IF(IFERROR(INDEX(tsk_Name,GanttView[[#This Row],[_Row]])="",TRUE()),"",INDEX(tsk_FcFinish,GanttView[[#This Row],[_Row]]))</f>
        <v/>
      </c>
      <c r="I119" s="123" t="str">
        <f aca="false">IF(IFERROR(INDEX(tsk_Name,GanttView[[#This Row],[_Row]])="",TRUE()),"",INDEX(tsk_Progress,GanttView[[#This Row],[_Row]]))</f>
        <v/>
      </c>
      <c r="J119" s="121" t="str">
        <f aca="false">IF(IFERROR(INDEX(tsk_Name,GanttView[[#This Row],[_Row]])="",TRUE()),"",INDEX(tsk_Resource,GanttView[[#This Row],[_Row]])&amp;"")</f>
        <v/>
      </c>
      <c r="K119" s="124" t="str">
        <f aca="false">IF(IFERROR(INDEX(tsk_Name,GanttView[[#This Row],[_Row]])="",TRUE()),"",INDEX(tsk_Status,GanttView[[#This Row],[_Row]]))</f>
        <v/>
      </c>
      <c r="L119" s="125" t="n">
        <f aca="false">ROW()-ROW(GanttView[[#Headers],[ID]])</f>
        <v>114</v>
      </c>
      <c r="M119" s="126" t="b">
        <f aca="false">IF(IFERROR(INDEX(tsk_Name,GanttView[[#This Row],[_Row]])="",TRUE()),FALSE(),INDEX(tsk_IsSummary,GanttView[[#This Row],[_Row]]))</f>
        <v>0</v>
      </c>
      <c r="N119" s="126" t="b">
        <f aca="false">IF(IFERROR(INDEX(tsk_Name,GanttView[[#This Row],[_Row]])="",TRUE()),FALSE(),AND(INDEX(tsk_IsLeaf,GanttView[[#This Row],[_Row]])=1,N(INDEX(tsk_Duration,GanttView[[#This Row],[_Row]]))=0))</f>
        <v>0</v>
      </c>
      <c r="O119" s="127" t="n">
        <f aca="false">IF(IFERROR(INDEX(tsk_Name,GanttView[[#This Row],[_Row]])="",TRUE()),0,IF(AND(INDEX(tsk_IsLeaf,GanttView[[#This Row],[_Row]])=1,NOT(GanttView[[#This Row],[_IsMilestone]]),N(GanttView[[#This Row],[%]])&gt;0),GanttView[[#This Row],[Forecast Start]],0))</f>
        <v>0</v>
      </c>
      <c r="P119" s="127" t="n">
        <f aca="false">IF(GanttView[[#This Row],[_DoneFrom]]=0,0,IF(GanttView[[#This Row],[%]]&gt;=1,GanttView[[#This Row],[Forecast Finish]],MAX(GanttView[[#This Row],[_DoneFrom]],GanttView[[#This Row],[Forecast Start]]+ROUND((GanttView[[#This Row],[Forecast Finish]]-GanttView[[#This Row],[Forecast Start]]+1)*GanttView[[#This Row],[%]],0)-1)))</f>
        <v>0</v>
      </c>
      <c r="Q119" s="127" t="n">
        <f aca="false">IF(IFERROR(INDEX(tsk_Name,GanttView[[#This Row],[_Row]])="",TRUE()),0,IF(OR(INDEX(tsk_IsLeaf,GanttView[[#This Row],[_Row]])&lt;&gt;1,GanttView[[#This Row],[_IsMilestone]],N(GanttView[[#This Row],[%]])&gt;=1),0,IF(GanttView[[#This Row],[_DoneTo]]&gt;0,GanttView[[#This Row],[_DoneTo]]+1,GanttView[[#This Row],[Forecast Start]])))</f>
        <v>0</v>
      </c>
      <c r="R119" s="127" t="n">
        <f aca="false">IF(GanttView[[#This Row],[_RemFrom]]=0,0,GanttView[[#This Row],[Forecast Finish]])</f>
        <v>0</v>
      </c>
      <c r="S119" s="126" t="b">
        <f aca="false">IF(IFERROR(INDEX(tsk_Name,GanttView[[#This Row],[_Row]])="",TRUE()),FALSE(),N(INDEX(tsk_Variance,GanttView[[#This Row],[_Row]]))&gt;0)</f>
        <v>0</v>
      </c>
      <c r="T119" s="127" t="n">
        <f aca="false">IF(IFERROR(INDEX(tsk_Name,GanttView[[#This Row],[_Row]])="",TRUE()),0,N(INDEX(tsk_Deadline,GanttView[[#This Row],[_Row]])))</f>
        <v>0</v>
      </c>
      <c r="U119" s="126" t="b">
        <f aca="false">IF(IFERROR(INDEX(tsk_Name,GanttView[[#This Row],[_Row]])="",TRUE()),FALSE(),INDEX(tsk_Critical,GanttView[[#This Row],[_Row]])="Yes")</f>
        <v>0</v>
      </c>
    </row>
    <row r="120" customFormat="false" ht="15" hidden="false" customHeight="false" outlineLevel="0" collapsed="false">
      <c r="A120" s="120" t="str">
        <f aca="false">IF(IFERROR(INDEX(tsk_Name,GanttView[[#This Row],[_Row]])="",TRUE()),"",INDEX(tsk_ID,GanttView[[#This Row],[_Row]]))</f>
        <v/>
      </c>
      <c r="B120" s="120" t="str">
        <f aca="false">IF(IFERROR(INDEX(tsk_Name,GanttView[[#This Row],[_Row]])="",TRUE()),"",INDEX(tsk_WBS,GanttView[[#This Row],[_Row]]))</f>
        <v/>
      </c>
      <c r="C120" s="121" t="str">
        <f aca="false">IF(IFERROR(INDEX(tsk_Name,GanttView[[#This Row],[_Row]])="",TRUE()),"",REPT("    ",INDEX(tsk_Level,GanttView[[#This Row],[_Row]])-1)&amp;INDEX(tsk_Name,GanttView[[#This Row],[_Row]]))</f>
        <v/>
      </c>
      <c r="D120" s="120" t="str">
        <f aca="false">IF(IFERROR(INDEX(tsk_Name,GanttView[[#This Row],[_Row]])="",TRUE()),"",IF(INDEX(tsk_IsSummary,GanttView[[#This Row],[_Row]]),NETWORKDAYS.INTL(INDEX(tsk_FcStart,GanttView[[#This Row],[_Row]]),INDEX(tsk_FcFinish,GanttView[[#This Row],[_Row]]),WorkWeek,Holidays),N(INDEX(tsk_Duration,GanttView[[#This Row],[_Row]]))))</f>
        <v/>
      </c>
      <c r="E120" s="122" t="str">
        <f aca="false">IF(IFERROR(INDEX(tsk_Name,GanttView[[#This Row],[_Row]])="",TRUE()),"",INDEX(tsk_PlanStart,GanttView[[#This Row],[_Row]]))</f>
        <v/>
      </c>
      <c r="F120" s="122" t="str">
        <f aca="false">IF(IFERROR(INDEX(tsk_Name,GanttView[[#This Row],[_Row]])="",TRUE()),"",INDEX(tsk_PlanFinish,GanttView[[#This Row],[_Row]]))</f>
        <v/>
      </c>
      <c r="G120" s="122" t="str">
        <f aca="false">IF(IFERROR(INDEX(tsk_Name,GanttView[[#This Row],[_Row]])="",TRUE()),"",INDEX(tsk_FcStart,GanttView[[#This Row],[_Row]]))</f>
        <v/>
      </c>
      <c r="H120" s="122" t="str">
        <f aca="false">IF(IFERROR(INDEX(tsk_Name,GanttView[[#This Row],[_Row]])="",TRUE()),"",INDEX(tsk_FcFinish,GanttView[[#This Row],[_Row]]))</f>
        <v/>
      </c>
      <c r="I120" s="123" t="str">
        <f aca="false">IF(IFERROR(INDEX(tsk_Name,GanttView[[#This Row],[_Row]])="",TRUE()),"",INDEX(tsk_Progress,GanttView[[#This Row],[_Row]]))</f>
        <v/>
      </c>
      <c r="J120" s="121" t="str">
        <f aca="false">IF(IFERROR(INDEX(tsk_Name,GanttView[[#This Row],[_Row]])="",TRUE()),"",INDEX(tsk_Resource,GanttView[[#This Row],[_Row]])&amp;"")</f>
        <v/>
      </c>
      <c r="K120" s="124" t="str">
        <f aca="false">IF(IFERROR(INDEX(tsk_Name,GanttView[[#This Row],[_Row]])="",TRUE()),"",INDEX(tsk_Status,GanttView[[#This Row],[_Row]]))</f>
        <v/>
      </c>
      <c r="L120" s="125" t="n">
        <f aca="false">ROW()-ROW(GanttView[[#Headers],[ID]])</f>
        <v>115</v>
      </c>
      <c r="M120" s="126" t="b">
        <f aca="false">IF(IFERROR(INDEX(tsk_Name,GanttView[[#This Row],[_Row]])="",TRUE()),FALSE(),INDEX(tsk_IsSummary,GanttView[[#This Row],[_Row]]))</f>
        <v>0</v>
      </c>
      <c r="N120" s="126" t="b">
        <f aca="false">IF(IFERROR(INDEX(tsk_Name,GanttView[[#This Row],[_Row]])="",TRUE()),FALSE(),AND(INDEX(tsk_IsLeaf,GanttView[[#This Row],[_Row]])=1,N(INDEX(tsk_Duration,GanttView[[#This Row],[_Row]]))=0))</f>
        <v>0</v>
      </c>
      <c r="O120" s="127" t="n">
        <f aca="false">IF(IFERROR(INDEX(tsk_Name,GanttView[[#This Row],[_Row]])="",TRUE()),0,IF(AND(INDEX(tsk_IsLeaf,GanttView[[#This Row],[_Row]])=1,NOT(GanttView[[#This Row],[_IsMilestone]]),N(GanttView[[#This Row],[%]])&gt;0),GanttView[[#This Row],[Forecast Start]],0))</f>
        <v>0</v>
      </c>
      <c r="P120" s="127" t="n">
        <f aca="false">IF(GanttView[[#This Row],[_DoneFrom]]=0,0,IF(GanttView[[#This Row],[%]]&gt;=1,GanttView[[#This Row],[Forecast Finish]],MAX(GanttView[[#This Row],[_DoneFrom]],GanttView[[#This Row],[Forecast Start]]+ROUND((GanttView[[#This Row],[Forecast Finish]]-GanttView[[#This Row],[Forecast Start]]+1)*GanttView[[#This Row],[%]],0)-1)))</f>
        <v>0</v>
      </c>
      <c r="Q120" s="127" t="n">
        <f aca="false">IF(IFERROR(INDEX(tsk_Name,GanttView[[#This Row],[_Row]])="",TRUE()),0,IF(OR(INDEX(tsk_IsLeaf,GanttView[[#This Row],[_Row]])&lt;&gt;1,GanttView[[#This Row],[_IsMilestone]],N(GanttView[[#This Row],[%]])&gt;=1),0,IF(GanttView[[#This Row],[_DoneTo]]&gt;0,GanttView[[#This Row],[_DoneTo]]+1,GanttView[[#This Row],[Forecast Start]])))</f>
        <v>0</v>
      </c>
      <c r="R120" s="127" t="n">
        <f aca="false">IF(GanttView[[#This Row],[_RemFrom]]=0,0,GanttView[[#This Row],[Forecast Finish]])</f>
        <v>0</v>
      </c>
      <c r="S120" s="126" t="b">
        <f aca="false">IF(IFERROR(INDEX(tsk_Name,GanttView[[#This Row],[_Row]])="",TRUE()),FALSE(),N(INDEX(tsk_Variance,GanttView[[#This Row],[_Row]]))&gt;0)</f>
        <v>0</v>
      </c>
      <c r="T120" s="127" t="n">
        <f aca="false">IF(IFERROR(INDEX(tsk_Name,GanttView[[#This Row],[_Row]])="",TRUE()),0,N(INDEX(tsk_Deadline,GanttView[[#This Row],[_Row]])))</f>
        <v>0</v>
      </c>
      <c r="U120" s="126" t="b">
        <f aca="false">IF(IFERROR(INDEX(tsk_Name,GanttView[[#This Row],[_Row]])="",TRUE()),FALSE(),INDEX(tsk_Critical,GanttView[[#This Row],[_Row]])="Yes")</f>
        <v>0</v>
      </c>
    </row>
    <row r="121" customFormat="false" ht="15" hidden="false" customHeight="false" outlineLevel="0" collapsed="false">
      <c r="A121" s="120" t="str">
        <f aca="false">IF(IFERROR(INDEX(tsk_Name,GanttView[[#This Row],[_Row]])="",TRUE()),"",INDEX(tsk_ID,GanttView[[#This Row],[_Row]]))</f>
        <v/>
      </c>
      <c r="B121" s="120" t="str">
        <f aca="false">IF(IFERROR(INDEX(tsk_Name,GanttView[[#This Row],[_Row]])="",TRUE()),"",INDEX(tsk_WBS,GanttView[[#This Row],[_Row]]))</f>
        <v/>
      </c>
      <c r="C121" s="121" t="str">
        <f aca="false">IF(IFERROR(INDEX(tsk_Name,GanttView[[#This Row],[_Row]])="",TRUE()),"",REPT("    ",INDEX(tsk_Level,GanttView[[#This Row],[_Row]])-1)&amp;INDEX(tsk_Name,GanttView[[#This Row],[_Row]]))</f>
        <v/>
      </c>
      <c r="D121" s="120" t="str">
        <f aca="false">IF(IFERROR(INDEX(tsk_Name,GanttView[[#This Row],[_Row]])="",TRUE()),"",IF(INDEX(tsk_IsSummary,GanttView[[#This Row],[_Row]]),NETWORKDAYS.INTL(INDEX(tsk_FcStart,GanttView[[#This Row],[_Row]]),INDEX(tsk_FcFinish,GanttView[[#This Row],[_Row]]),WorkWeek,Holidays),N(INDEX(tsk_Duration,GanttView[[#This Row],[_Row]]))))</f>
        <v/>
      </c>
      <c r="E121" s="122" t="str">
        <f aca="false">IF(IFERROR(INDEX(tsk_Name,GanttView[[#This Row],[_Row]])="",TRUE()),"",INDEX(tsk_PlanStart,GanttView[[#This Row],[_Row]]))</f>
        <v/>
      </c>
      <c r="F121" s="122" t="str">
        <f aca="false">IF(IFERROR(INDEX(tsk_Name,GanttView[[#This Row],[_Row]])="",TRUE()),"",INDEX(tsk_PlanFinish,GanttView[[#This Row],[_Row]]))</f>
        <v/>
      </c>
      <c r="G121" s="122" t="str">
        <f aca="false">IF(IFERROR(INDEX(tsk_Name,GanttView[[#This Row],[_Row]])="",TRUE()),"",INDEX(tsk_FcStart,GanttView[[#This Row],[_Row]]))</f>
        <v/>
      </c>
      <c r="H121" s="122" t="str">
        <f aca="false">IF(IFERROR(INDEX(tsk_Name,GanttView[[#This Row],[_Row]])="",TRUE()),"",INDEX(tsk_FcFinish,GanttView[[#This Row],[_Row]]))</f>
        <v/>
      </c>
      <c r="I121" s="123" t="str">
        <f aca="false">IF(IFERROR(INDEX(tsk_Name,GanttView[[#This Row],[_Row]])="",TRUE()),"",INDEX(tsk_Progress,GanttView[[#This Row],[_Row]]))</f>
        <v/>
      </c>
      <c r="J121" s="121" t="str">
        <f aca="false">IF(IFERROR(INDEX(tsk_Name,GanttView[[#This Row],[_Row]])="",TRUE()),"",INDEX(tsk_Resource,GanttView[[#This Row],[_Row]])&amp;"")</f>
        <v/>
      </c>
      <c r="K121" s="124" t="str">
        <f aca="false">IF(IFERROR(INDEX(tsk_Name,GanttView[[#This Row],[_Row]])="",TRUE()),"",INDEX(tsk_Status,GanttView[[#This Row],[_Row]]))</f>
        <v/>
      </c>
      <c r="L121" s="125" t="n">
        <f aca="false">ROW()-ROW(GanttView[[#Headers],[ID]])</f>
        <v>116</v>
      </c>
      <c r="M121" s="126" t="b">
        <f aca="false">IF(IFERROR(INDEX(tsk_Name,GanttView[[#This Row],[_Row]])="",TRUE()),FALSE(),INDEX(tsk_IsSummary,GanttView[[#This Row],[_Row]]))</f>
        <v>0</v>
      </c>
      <c r="N121" s="126" t="b">
        <f aca="false">IF(IFERROR(INDEX(tsk_Name,GanttView[[#This Row],[_Row]])="",TRUE()),FALSE(),AND(INDEX(tsk_IsLeaf,GanttView[[#This Row],[_Row]])=1,N(INDEX(tsk_Duration,GanttView[[#This Row],[_Row]]))=0))</f>
        <v>0</v>
      </c>
      <c r="O121" s="127" t="n">
        <f aca="false">IF(IFERROR(INDEX(tsk_Name,GanttView[[#This Row],[_Row]])="",TRUE()),0,IF(AND(INDEX(tsk_IsLeaf,GanttView[[#This Row],[_Row]])=1,NOT(GanttView[[#This Row],[_IsMilestone]]),N(GanttView[[#This Row],[%]])&gt;0),GanttView[[#This Row],[Forecast Start]],0))</f>
        <v>0</v>
      </c>
      <c r="P121" s="127" t="n">
        <f aca="false">IF(GanttView[[#This Row],[_DoneFrom]]=0,0,IF(GanttView[[#This Row],[%]]&gt;=1,GanttView[[#This Row],[Forecast Finish]],MAX(GanttView[[#This Row],[_DoneFrom]],GanttView[[#This Row],[Forecast Start]]+ROUND((GanttView[[#This Row],[Forecast Finish]]-GanttView[[#This Row],[Forecast Start]]+1)*GanttView[[#This Row],[%]],0)-1)))</f>
        <v>0</v>
      </c>
      <c r="Q121" s="127" t="n">
        <f aca="false">IF(IFERROR(INDEX(tsk_Name,GanttView[[#This Row],[_Row]])="",TRUE()),0,IF(OR(INDEX(tsk_IsLeaf,GanttView[[#This Row],[_Row]])&lt;&gt;1,GanttView[[#This Row],[_IsMilestone]],N(GanttView[[#This Row],[%]])&gt;=1),0,IF(GanttView[[#This Row],[_DoneTo]]&gt;0,GanttView[[#This Row],[_DoneTo]]+1,GanttView[[#This Row],[Forecast Start]])))</f>
        <v>0</v>
      </c>
      <c r="R121" s="127" t="n">
        <f aca="false">IF(GanttView[[#This Row],[_RemFrom]]=0,0,GanttView[[#This Row],[Forecast Finish]])</f>
        <v>0</v>
      </c>
      <c r="S121" s="126" t="b">
        <f aca="false">IF(IFERROR(INDEX(tsk_Name,GanttView[[#This Row],[_Row]])="",TRUE()),FALSE(),N(INDEX(tsk_Variance,GanttView[[#This Row],[_Row]]))&gt;0)</f>
        <v>0</v>
      </c>
      <c r="T121" s="127" t="n">
        <f aca="false">IF(IFERROR(INDEX(tsk_Name,GanttView[[#This Row],[_Row]])="",TRUE()),0,N(INDEX(tsk_Deadline,GanttView[[#This Row],[_Row]])))</f>
        <v>0</v>
      </c>
      <c r="U121" s="126" t="b">
        <f aca="false">IF(IFERROR(INDEX(tsk_Name,GanttView[[#This Row],[_Row]])="",TRUE()),FALSE(),INDEX(tsk_Critical,GanttView[[#This Row],[_Row]])="Yes")</f>
        <v>0</v>
      </c>
    </row>
    <row r="122" customFormat="false" ht="15" hidden="false" customHeight="false" outlineLevel="0" collapsed="false">
      <c r="A122" s="120" t="str">
        <f aca="false">IF(IFERROR(INDEX(tsk_Name,GanttView[[#This Row],[_Row]])="",TRUE()),"",INDEX(tsk_ID,GanttView[[#This Row],[_Row]]))</f>
        <v/>
      </c>
      <c r="B122" s="120" t="str">
        <f aca="false">IF(IFERROR(INDEX(tsk_Name,GanttView[[#This Row],[_Row]])="",TRUE()),"",INDEX(tsk_WBS,GanttView[[#This Row],[_Row]]))</f>
        <v/>
      </c>
      <c r="C122" s="121" t="str">
        <f aca="false">IF(IFERROR(INDEX(tsk_Name,GanttView[[#This Row],[_Row]])="",TRUE()),"",REPT("    ",INDEX(tsk_Level,GanttView[[#This Row],[_Row]])-1)&amp;INDEX(tsk_Name,GanttView[[#This Row],[_Row]]))</f>
        <v/>
      </c>
      <c r="D122" s="120" t="str">
        <f aca="false">IF(IFERROR(INDEX(tsk_Name,GanttView[[#This Row],[_Row]])="",TRUE()),"",IF(INDEX(tsk_IsSummary,GanttView[[#This Row],[_Row]]),NETWORKDAYS.INTL(INDEX(tsk_FcStart,GanttView[[#This Row],[_Row]]),INDEX(tsk_FcFinish,GanttView[[#This Row],[_Row]]),WorkWeek,Holidays),N(INDEX(tsk_Duration,GanttView[[#This Row],[_Row]]))))</f>
        <v/>
      </c>
      <c r="E122" s="122" t="str">
        <f aca="false">IF(IFERROR(INDEX(tsk_Name,GanttView[[#This Row],[_Row]])="",TRUE()),"",INDEX(tsk_PlanStart,GanttView[[#This Row],[_Row]]))</f>
        <v/>
      </c>
      <c r="F122" s="122" t="str">
        <f aca="false">IF(IFERROR(INDEX(tsk_Name,GanttView[[#This Row],[_Row]])="",TRUE()),"",INDEX(tsk_PlanFinish,GanttView[[#This Row],[_Row]]))</f>
        <v/>
      </c>
      <c r="G122" s="122" t="str">
        <f aca="false">IF(IFERROR(INDEX(tsk_Name,GanttView[[#This Row],[_Row]])="",TRUE()),"",INDEX(tsk_FcStart,GanttView[[#This Row],[_Row]]))</f>
        <v/>
      </c>
      <c r="H122" s="122" t="str">
        <f aca="false">IF(IFERROR(INDEX(tsk_Name,GanttView[[#This Row],[_Row]])="",TRUE()),"",INDEX(tsk_FcFinish,GanttView[[#This Row],[_Row]]))</f>
        <v/>
      </c>
      <c r="I122" s="123" t="str">
        <f aca="false">IF(IFERROR(INDEX(tsk_Name,GanttView[[#This Row],[_Row]])="",TRUE()),"",INDEX(tsk_Progress,GanttView[[#This Row],[_Row]]))</f>
        <v/>
      </c>
      <c r="J122" s="121" t="str">
        <f aca="false">IF(IFERROR(INDEX(tsk_Name,GanttView[[#This Row],[_Row]])="",TRUE()),"",INDEX(tsk_Resource,GanttView[[#This Row],[_Row]])&amp;"")</f>
        <v/>
      </c>
      <c r="K122" s="124" t="str">
        <f aca="false">IF(IFERROR(INDEX(tsk_Name,GanttView[[#This Row],[_Row]])="",TRUE()),"",INDEX(tsk_Status,GanttView[[#This Row],[_Row]]))</f>
        <v/>
      </c>
      <c r="L122" s="125" t="n">
        <f aca="false">ROW()-ROW(GanttView[[#Headers],[ID]])</f>
        <v>117</v>
      </c>
      <c r="M122" s="126" t="b">
        <f aca="false">IF(IFERROR(INDEX(tsk_Name,GanttView[[#This Row],[_Row]])="",TRUE()),FALSE(),INDEX(tsk_IsSummary,GanttView[[#This Row],[_Row]]))</f>
        <v>0</v>
      </c>
      <c r="N122" s="126" t="b">
        <f aca="false">IF(IFERROR(INDEX(tsk_Name,GanttView[[#This Row],[_Row]])="",TRUE()),FALSE(),AND(INDEX(tsk_IsLeaf,GanttView[[#This Row],[_Row]])=1,N(INDEX(tsk_Duration,GanttView[[#This Row],[_Row]]))=0))</f>
        <v>0</v>
      </c>
      <c r="O122" s="127" t="n">
        <f aca="false">IF(IFERROR(INDEX(tsk_Name,GanttView[[#This Row],[_Row]])="",TRUE()),0,IF(AND(INDEX(tsk_IsLeaf,GanttView[[#This Row],[_Row]])=1,NOT(GanttView[[#This Row],[_IsMilestone]]),N(GanttView[[#This Row],[%]])&gt;0),GanttView[[#This Row],[Forecast Start]],0))</f>
        <v>0</v>
      </c>
      <c r="P122" s="127" t="n">
        <f aca="false">IF(GanttView[[#This Row],[_DoneFrom]]=0,0,IF(GanttView[[#This Row],[%]]&gt;=1,GanttView[[#This Row],[Forecast Finish]],MAX(GanttView[[#This Row],[_DoneFrom]],GanttView[[#This Row],[Forecast Start]]+ROUND((GanttView[[#This Row],[Forecast Finish]]-GanttView[[#This Row],[Forecast Start]]+1)*GanttView[[#This Row],[%]],0)-1)))</f>
        <v>0</v>
      </c>
      <c r="Q122" s="127" t="n">
        <f aca="false">IF(IFERROR(INDEX(tsk_Name,GanttView[[#This Row],[_Row]])="",TRUE()),0,IF(OR(INDEX(tsk_IsLeaf,GanttView[[#This Row],[_Row]])&lt;&gt;1,GanttView[[#This Row],[_IsMilestone]],N(GanttView[[#This Row],[%]])&gt;=1),0,IF(GanttView[[#This Row],[_DoneTo]]&gt;0,GanttView[[#This Row],[_DoneTo]]+1,GanttView[[#This Row],[Forecast Start]])))</f>
        <v>0</v>
      </c>
      <c r="R122" s="127" t="n">
        <f aca="false">IF(GanttView[[#This Row],[_RemFrom]]=0,0,GanttView[[#This Row],[Forecast Finish]])</f>
        <v>0</v>
      </c>
      <c r="S122" s="126" t="b">
        <f aca="false">IF(IFERROR(INDEX(tsk_Name,GanttView[[#This Row],[_Row]])="",TRUE()),FALSE(),N(INDEX(tsk_Variance,GanttView[[#This Row],[_Row]]))&gt;0)</f>
        <v>0</v>
      </c>
      <c r="T122" s="127" t="n">
        <f aca="false">IF(IFERROR(INDEX(tsk_Name,GanttView[[#This Row],[_Row]])="",TRUE()),0,N(INDEX(tsk_Deadline,GanttView[[#This Row],[_Row]])))</f>
        <v>0</v>
      </c>
      <c r="U122" s="126" t="b">
        <f aca="false">IF(IFERROR(INDEX(tsk_Name,GanttView[[#This Row],[_Row]])="",TRUE()),FALSE(),INDEX(tsk_Critical,GanttView[[#This Row],[_Row]])="Yes")</f>
        <v>0</v>
      </c>
    </row>
    <row r="123" customFormat="false" ht="15" hidden="false" customHeight="false" outlineLevel="0" collapsed="false">
      <c r="A123" s="120" t="str">
        <f aca="false">IF(IFERROR(INDEX(tsk_Name,GanttView[[#This Row],[_Row]])="",TRUE()),"",INDEX(tsk_ID,GanttView[[#This Row],[_Row]]))</f>
        <v/>
      </c>
      <c r="B123" s="120" t="str">
        <f aca="false">IF(IFERROR(INDEX(tsk_Name,GanttView[[#This Row],[_Row]])="",TRUE()),"",INDEX(tsk_WBS,GanttView[[#This Row],[_Row]]))</f>
        <v/>
      </c>
      <c r="C123" s="121" t="str">
        <f aca="false">IF(IFERROR(INDEX(tsk_Name,GanttView[[#This Row],[_Row]])="",TRUE()),"",REPT("    ",INDEX(tsk_Level,GanttView[[#This Row],[_Row]])-1)&amp;INDEX(tsk_Name,GanttView[[#This Row],[_Row]]))</f>
        <v/>
      </c>
      <c r="D123" s="120" t="str">
        <f aca="false">IF(IFERROR(INDEX(tsk_Name,GanttView[[#This Row],[_Row]])="",TRUE()),"",IF(INDEX(tsk_IsSummary,GanttView[[#This Row],[_Row]]),NETWORKDAYS.INTL(INDEX(tsk_FcStart,GanttView[[#This Row],[_Row]]),INDEX(tsk_FcFinish,GanttView[[#This Row],[_Row]]),WorkWeek,Holidays),N(INDEX(tsk_Duration,GanttView[[#This Row],[_Row]]))))</f>
        <v/>
      </c>
      <c r="E123" s="122" t="str">
        <f aca="false">IF(IFERROR(INDEX(tsk_Name,GanttView[[#This Row],[_Row]])="",TRUE()),"",INDEX(tsk_PlanStart,GanttView[[#This Row],[_Row]]))</f>
        <v/>
      </c>
      <c r="F123" s="122" t="str">
        <f aca="false">IF(IFERROR(INDEX(tsk_Name,GanttView[[#This Row],[_Row]])="",TRUE()),"",INDEX(tsk_PlanFinish,GanttView[[#This Row],[_Row]]))</f>
        <v/>
      </c>
      <c r="G123" s="122" t="str">
        <f aca="false">IF(IFERROR(INDEX(tsk_Name,GanttView[[#This Row],[_Row]])="",TRUE()),"",INDEX(tsk_FcStart,GanttView[[#This Row],[_Row]]))</f>
        <v/>
      </c>
      <c r="H123" s="122" t="str">
        <f aca="false">IF(IFERROR(INDEX(tsk_Name,GanttView[[#This Row],[_Row]])="",TRUE()),"",INDEX(tsk_FcFinish,GanttView[[#This Row],[_Row]]))</f>
        <v/>
      </c>
      <c r="I123" s="123" t="str">
        <f aca="false">IF(IFERROR(INDEX(tsk_Name,GanttView[[#This Row],[_Row]])="",TRUE()),"",INDEX(tsk_Progress,GanttView[[#This Row],[_Row]]))</f>
        <v/>
      </c>
      <c r="J123" s="121" t="str">
        <f aca="false">IF(IFERROR(INDEX(tsk_Name,GanttView[[#This Row],[_Row]])="",TRUE()),"",INDEX(tsk_Resource,GanttView[[#This Row],[_Row]])&amp;"")</f>
        <v/>
      </c>
      <c r="K123" s="124" t="str">
        <f aca="false">IF(IFERROR(INDEX(tsk_Name,GanttView[[#This Row],[_Row]])="",TRUE()),"",INDEX(tsk_Status,GanttView[[#This Row],[_Row]]))</f>
        <v/>
      </c>
      <c r="L123" s="125" t="n">
        <f aca="false">ROW()-ROW(GanttView[[#Headers],[ID]])</f>
        <v>118</v>
      </c>
      <c r="M123" s="126" t="b">
        <f aca="false">IF(IFERROR(INDEX(tsk_Name,GanttView[[#This Row],[_Row]])="",TRUE()),FALSE(),INDEX(tsk_IsSummary,GanttView[[#This Row],[_Row]]))</f>
        <v>0</v>
      </c>
      <c r="N123" s="126" t="b">
        <f aca="false">IF(IFERROR(INDEX(tsk_Name,GanttView[[#This Row],[_Row]])="",TRUE()),FALSE(),AND(INDEX(tsk_IsLeaf,GanttView[[#This Row],[_Row]])=1,N(INDEX(tsk_Duration,GanttView[[#This Row],[_Row]]))=0))</f>
        <v>0</v>
      </c>
      <c r="O123" s="127" t="n">
        <f aca="false">IF(IFERROR(INDEX(tsk_Name,GanttView[[#This Row],[_Row]])="",TRUE()),0,IF(AND(INDEX(tsk_IsLeaf,GanttView[[#This Row],[_Row]])=1,NOT(GanttView[[#This Row],[_IsMilestone]]),N(GanttView[[#This Row],[%]])&gt;0),GanttView[[#This Row],[Forecast Start]],0))</f>
        <v>0</v>
      </c>
      <c r="P123" s="127" t="n">
        <f aca="false">IF(GanttView[[#This Row],[_DoneFrom]]=0,0,IF(GanttView[[#This Row],[%]]&gt;=1,GanttView[[#This Row],[Forecast Finish]],MAX(GanttView[[#This Row],[_DoneFrom]],GanttView[[#This Row],[Forecast Start]]+ROUND((GanttView[[#This Row],[Forecast Finish]]-GanttView[[#This Row],[Forecast Start]]+1)*GanttView[[#This Row],[%]],0)-1)))</f>
        <v>0</v>
      </c>
      <c r="Q123" s="127" t="n">
        <f aca="false">IF(IFERROR(INDEX(tsk_Name,GanttView[[#This Row],[_Row]])="",TRUE()),0,IF(OR(INDEX(tsk_IsLeaf,GanttView[[#This Row],[_Row]])&lt;&gt;1,GanttView[[#This Row],[_IsMilestone]],N(GanttView[[#This Row],[%]])&gt;=1),0,IF(GanttView[[#This Row],[_DoneTo]]&gt;0,GanttView[[#This Row],[_DoneTo]]+1,GanttView[[#This Row],[Forecast Start]])))</f>
        <v>0</v>
      </c>
      <c r="R123" s="127" t="n">
        <f aca="false">IF(GanttView[[#This Row],[_RemFrom]]=0,0,GanttView[[#This Row],[Forecast Finish]])</f>
        <v>0</v>
      </c>
      <c r="S123" s="126" t="b">
        <f aca="false">IF(IFERROR(INDEX(tsk_Name,GanttView[[#This Row],[_Row]])="",TRUE()),FALSE(),N(INDEX(tsk_Variance,GanttView[[#This Row],[_Row]]))&gt;0)</f>
        <v>0</v>
      </c>
      <c r="T123" s="127" t="n">
        <f aca="false">IF(IFERROR(INDEX(tsk_Name,GanttView[[#This Row],[_Row]])="",TRUE()),0,N(INDEX(tsk_Deadline,GanttView[[#This Row],[_Row]])))</f>
        <v>0</v>
      </c>
      <c r="U123" s="126" t="b">
        <f aca="false">IF(IFERROR(INDEX(tsk_Name,GanttView[[#This Row],[_Row]])="",TRUE()),FALSE(),INDEX(tsk_Critical,GanttView[[#This Row],[_Row]])="Yes")</f>
        <v>0</v>
      </c>
    </row>
    <row r="124" customFormat="false" ht="15" hidden="false" customHeight="false" outlineLevel="0" collapsed="false">
      <c r="A124" s="120" t="str">
        <f aca="false">IF(IFERROR(INDEX(tsk_Name,GanttView[[#This Row],[_Row]])="",TRUE()),"",INDEX(tsk_ID,GanttView[[#This Row],[_Row]]))</f>
        <v/>
      </c>
      <c r="B124" s="120" t="str">
        <f aca="false">IF(IFERROR(INDEX(tsk_Name,GanttView[[#This Row],[_Row]])="",TRUE()),"",INDEX(tsk_WBS,GanttView[[#This Row],[_Row]]))</f>
        <v/>
      </c>
      <c r="C124" s="121" t="str">
        <f aca="false">IF(IFERROR(INDEX(tsk_Name,GanttView[[#This Row],[_Row]])="",TRUE()),"",REPT("    ",INDEX(tsk_Level,GanttView[[#This Row],[_Row]])-1)&amp;INDEX(tsk_Name,GanttView[[#This Row],[_Row]]))</f>
        <v/>
      </c>
      <c r="D124" s="120" t="str">
        <f aca="false">IF(IFERROR(INDEX(tsk_Name,GanttView[[#This Row],[_Row]])="",TRUE()),"",IF(INDEX(tsk_IsSummary,GanttView[[#This Row],[_Row]]),NETWORKDAYS.INTL(INDEX(tsk_FcStart,GanttView[[#This Row],[_Row]]),INDEX(tsk_FcFinish,GanttView[[#This Row],[_Row]]),WorkWeek,Holidays),N(INDEX(tsk_Duration,GanttView[[#This Row],[_Row]]))))</f>
        <v/>
      </c>
      <c r="E124" s="122" t="str">
        <f aca="false">IF(IFERROR(INDEX(tsk_Name,GanttView[[#This Row],[_Row]])="",TRUE()),"",INDEX(tsk_PlanStart,GanttView[[#This Row],[_Row]]))</f>
        <v/>
      </c>
      <c r="F124" s="122" t="str">
        <f aca="false">IF(IFERROR(INDEX(tsk_Name,GanttView[[#This Row],[_Row]])="",TRUE()),"",INDEX(tsk_PlanFinish,GanttView[[#This Row],[_Row]]))</f>
        <v/>
      </c>
      <c r="G124" s="122" t="str">
        <f aca="false">IF(IFERROR(INDEX(tsk_Name,GanttView[[#This Row],[_Row]])="",TRUE()),"",INDEX(tsk_FcStart,GanttView[[#This Row],[_Row]]))</f>
        <v/>
      </c>
      <c r="H124" s="122" t="str">
        <f aca="false">IF(IFERROR(INDEX(tsk_Name,GanttView[[#This Row],[_Row]])="",TRUE()),"",INDEX(tsk_FcFinish,GanttView[[#This Row],[_Row]]))</f>
        <v/>
      </c>
      <c r="I124" s="123" t="str">
        <f aca="false">IF(IFERROR(INDEX(tsk_Name,GanttView[[#This Row],[_Row]])="",TRUE()),"",INDEX(tsk_Progress,GanttView[[#This Row],[_Row]]))</f>
        <v/>
      </c>
      <c r="J124" s="121" t="str">
        <f aca="false">IF(IFERROR(INDEX(tsk_Name,GanttView[[#This Row],[_Row]])="",TRUE()),"",INDEX(tsk_Resource,GanttView[[#This Row],[_Row]])&amp;"")</f>
        <v/>
      </c>
      <c r="K124" s="124" t="str">
        <f aca="false">IF(IFERROR(INDEX(tsk_Name,GanttView[[#This Row],[_Row]])="",TRUE()),"",INDEX(tsk_Status,GanttView[[#This Row],[_Row]]))</f>
        <v/>
      </c>
      <c r="L124" s="125" t="n">
        <f aca="false">ROW()-ROW(GanttView[[#Headers],[ID]])</f>
        <v>119</v>
      </c>
      <c r="M124" s="126" t="b">
        <f aca="false">IF(IFERROR(INDEX(tsk_Name,GanttView[[#This Row],[_Row]])="",TRUE()),FALSE(),INDEX(tsk_IsSummary,GanttView[[#This Row],[_Row]]))</f>
        <v>0</v>
      </c>
      <c r="N124" s="126" t="b">
        <f aca="false">IF(IFERROR(INDEX(tsk_Name,GanttView[[#This Row],[_Row]])="",TRUE()),FALSE(),AND(INDEX(tsk_IsLeaf,GanttView[[#This Row],[_Row]])=1,N(INDEX(tsk_Duration,GanttView[[#This Row],[_Row]]))=0))</f>
        <v>0</v>
      </c>
      <c r="O124" s="127" t="n">
        <f aca="false">IF(IFERROR(INDEX(tsk_Name,GanttView[[#This Row],[_Row]])="",TRUE()),0,IF(AND(INDEX(tsk_IsLeaf,GanttView[[#This Row],[_Row]])=1,NOT(GanttView[[#This Row],[_IsMilestone]]),N(GanttView[[#This Row],[%]])&gt;0),GanttView[[#This Row],[Forecast Start]],0))</f>
        <v>0</v>
      </c>
      <c r="P124" s="127" t="n">
        <f aca="false">IF(GanttView[[#This Row],[_DoneFrom]]=0,0,IF(GanttView[[#This Row],[%]]&gt;=1,GanttView[[#This Row],[Forecast Finish]],MAX(GanttView[[#This Row],[_DoneFrom]],GanttView[[#This Row],[Forecast Start]]+ROUND((GanttView[[#This Row],[Forecast Finish]]-GanttView[[#This Row],[Forecast Start]]+1)*GanttView[[#This Row],[%]],0)-1)))</f>
        <v>0</v>
      </c>
      <c r="Q124" s="127" t="n">
        <f aca="false">IF(IFERROR(INDEX(tsk_Name,GanttView[[#This Row],[_Row]])="",TRUE()),0,IF(OR(INDEX(tsk_IsLeaf,GanttView[[#This Row],[_Row]])&lt;&gt;1,GanttView[[#This Row],[_IsMilestone]],N(GanttView[[#This Row],[%]])&gt;=1),0,IF(GanttView[[#This Row],[_DoneTo]]&gt;0,GanttView[[#This Row],[_DoneTo]]+1,GanttView[[#This Row],[Forecast Start]])))</f>
        <v>0</v>
      </c>
      <c r="R124" s="127" t="n">
        <f aca="false">IF(GanttView[[#This Row],[_RemFrom]]=0,0,GanttView[[#This Row],[Forecast Finish]])</f>
        <v>0</v>
      </c>
      <c r="S124" s="126" t="b">
        <f aca="false">IF(IFERROR(INDEX(tsk_Name,GanttView[[#This Row],[_Row]])="",TRUE()),FALSE(),N(INDEX(tsk_Variance,GanttView[[#This Row],[_Row]]))&gt;0)</f>
        <v>0</v>
      </c>
      <c r="T124" s="127" t="n">
        <f aca="false">IF(IFERROR(INDEX(tsk_Name,GanttView[[#This Row],[_Row]])="",TRUE()),0,N(INDEX(tsk_Deadline,GanttView[[#This Row],[_Row]])))</f>
        <v>0</v>
      </c>
      <c r="U124" s="126" t="b">
        <f aca="false">IF(IFERROR(INDEX(tsk_Name,GanttView[[#This Row],[_Row]])="",TRUE()),FALSE(),INDEX(tsk_Critical,GanttView[[#This Row],[_Row]])="Yes")</f>
        <v>0</v>
      </c>
    </row>
    <row r="125" customFormat="false" ht="15" hidden="false" customHeight="false" outlineLevel="0" collapsed="false">
      <c r="A125" s="120" t="str">
        <f aca="false">IF(IFERROR(INDEX(tsk_Name,GanttView[[#This Row],[_Row]])="",TRUE()),"",INDEX(tsk_ID,GanttView[[#This Row],[_Row]]))</f>
        <v/>
      </c>
      <c r="B125" s="120" t="str">
        <f aca="false">IF(IFERROR(INDEX(tsk_Name,GanttView[[#This Row],[_Row]])="",TRUE()),"",INDEX(tsk_WBS,GanttView[[#This Row],[_Row]]))</f>
        <v/>
      </c>
      <c r="C125" s="121" t="str">
        <f aca="false">IF(IFERROR(INDEX(tsk_Name,GanttView[[#This Row],[_Row]])="",TRUE()),"",REPT("    ",INDEX(tsk_Level,GanttView[[#This Row],[_Row]])-1)&amp;INDEX(tsk_Name,GanttView[[#This Row],[_Row]]))</f>
        <v/>
      </c>
      <c r="D125" s="120" t="str">
        <f aca="false">IF(IFERROR(INDEX(tsk_Name,GanttView[[#This Row],[_Row]])="",TRUE()),"",IF(INDEX(tsk_IsSummary,GanttView[[#This Row],[_Row]]),NETWORKDAYS.INTL(INDEX(tsk_FcStart,GanttView[[#This Row],[_Row]]),INDEX(tsk_FcFinish,GanttView[[#This Row],[_Row]]),WorkWeek,Holidays),N(INDEX(tsk_Duration,GanttView[[#This Row],[_Row]]))))</f>
        <v/>
      </c>
      <c r="E125" s="122" t="str">
        <f aca="false">IF(IFERROR(INDEX(tsk_Name,GanttView[[#This Row],[_Row]])="",TRUE()),"",INDEX(tsk_PlanStart,GanttView[[#This Row],[_Row]]))</f>
        <v/>
      </c>
      <c r="F125" s="122" t="str">
        <f aca="false">IF(IFERROR(INDEX(tsk_Name,GanttView[[#This Row],[_Row]])="",TRUE()),"",INDEX(tsk_PlanFinish,GanttView[[#This Row],[_Row]]))</f>
        <v/>
      </c>
      <c r="G125" s="122" t="str">
        <f aca="false">IF(IFERROR(INDEX(tsk_Name,GanttView[[#This Row],[_Row]])="",TRUE()),"",INDEX(tsk_FcStart,GanttView[[#This Row],[_Row]]))</f>
        <v/>
      </c>
      <c r="H125" s="122" t="str">
        <f aca="false">IF(IFERROR(INDEX(tsk_Name,GanttView[[#This Row],[_Row]])="",TRUE()),"",INDEX(tsk_FcFinish,GanttView[[#This Row],[_Row]]))</f>
        <v/>
      </c>
      <c r="I125" s="123" t="str">
        <f aca="false">IF(IFERROR(INDEX(tsk_Name,GanttView[[#This Row],[_Row]])="",TRUE()),"",INDEX(tsk_Progress,GanttView[[#This Row],[_Row]]))</f>
        <v/>
      </c>
      <c r="J125" s="121" t="str">
        <f aca="false">IF(IFERROR(INDEX(tsk_Name,GanttView[[#This Row],[_Row]])="",TRUE()),"",INDEX(tsk_Resource,GanttView[[#This Row],[_Row]])&amp;"")</f>
        <v/>
      </c>
      <c r="K125" s="124" t="str">
        <f aca="false">IF(IFERROR(INDEX(tsk_Name,GanttView[[#This Row],[_Row]])="",TRUE()),"",INDEX(tsk_Status,GanttView[[#This Row],[_Row]]))</f>
        <v/>
      </c>
      <c r="L125" s="125" t="n">
        <f aca="false">ROW()-ROW(GanttView[[#Headers],[ID]])</f>
        <v>120</v>
      </c>
      <c r="M125" s="126" t="b">
        <f aca="false">IF(IFERROR(INDEX(tsk_Name,GanttView[[#This Row],[_Row]])="",TRUE()),FALSE(),INDEX(tsk_IsSummary,GanttView[[#This Row],[_Row]]))</f>
        <v>0</v>
      </c>
      <c r="N125" s="126" t="b">
        <f aca="false">IF(IFERROR(INDEX(tsk_Name,GanttView[[#This Row],[_Row]])="",TRUE()),FALSE(),AND(INDEX(tsk_IsLeaf,GanttView[[#This Row],[_Row]])=1,N(INDEX(tsk_Duration,GanttView[[#This Row],[_Row]]))=0))</f>
        <v>0</v>
      </c>
      <c r="O125" s="127" t="n">
        <f aca="false">IF(IFERROR(INDEX(tsk_Name,GanttView[[#This Row],[_Row]])="",TRUE()),0,IF(AND(INDEX(tsk_IsLeaf,GanttView[[#This Row],[_Row]])=1,NOT(GanttView[[#This Row],[_IsMilestone]]),N(GanttView[[#This Row],[%]])&gt;0),GanttView[[#This Row],[Forecast Start]],0))</f>
        <v>0</v>
      </c>
      <c r="P125" s="127" t="n">
        <f aca="false">IF(GanttView[[#This Row],[_DoneFrom]]=0,0,IF(GanttView[[#This Row],[%]]&gt;=1,GanttView[[#This Row],[Forecast Finish]],MAX(GanttView[[#This Row],[_DoneFrom]],GanttView[[#This Row],[Forecast Start]]+ROUND((GanttView[[#This Row],[Forecast Finish]]-GanttView[[#This Row],[Forecast Start]]+1)*GanttView[[#This Row],[%]],0)-1)))</f>
        <v>0</v>
      </c>
      <c r="Q125" s="127" t="n">
        <f aca="false">IF(IFERROR(INDEX(tsk_Name,GanttView[[#This Row],[_Row]])="",TRUE()),0,IF(OR(INDEX(tsk_IsLeaf,GanttView[[#This Row],[_Row]])&lt;&gt;1,GanttView[[#This Row],[_IsMilestone]],N(GanttView[[#This Row],[%]])&gt;=1),0,IF(GanttView[[#This Row],[_DoneTo]]&gt;0,GanttView[[#This Row],[_DoneTo]]+1,GanttView[[#This Row],[Forecast Start]])))</f>
        <v>0</v>
      </c>
      <c r="R125" s="127" t="n">
        <f aca="false">IF(GanttView[[#This Row],[_RemFrom]]=0,0,GanttView[[#This Row],[Forecast Finish]])</f>
        <v>0</v>
      </c>
      <c r="S125" s="126" t="b">
        <f aca="false">IF(IFERROR(INDEX(tsk_Name,GanttView[[#This Row],[_Row]])="",TRUE()),FALSE(),N(INDEX(tsk_Variance,GanttView[[#This Row],[_Row]]))&gt;0)</f>
        <v>0</v>
      </c>
      <c r="T125" s="127" t="n">
        <f aca="false">IF(IFERROR(INDEX(tsk_Name,GanttView[[#This Row],[_Row]])="",TRUE()),0,N(INDEX(tsk_Deadline,GanttView[[#This Row],[_Row]])))</f>
        <v>0</v>
      </c>
      <c r="U125" s="126" t="b">
        <f aca="false">IF(IFERROR(INDEX(tsk_Name,GanttView[[#This Row],[_Row]])="",TRUE()),FALSE(),INDEX(tsk_Critical,GanttView[[#This Row],[_Row]])="Yes")</f>
        <v>0</v>
      </c>
    </row>
    <row r="126" customFormat="false" ht="15" hidden="false" customHeight="false" outlineLevel="0" collapsed="false">
      <c r="A126" s="120" t="str">
        <f aca="false">IF(IFERROR(INDEX(tsk_Name,GanttView[[#This Row],[_Row]])="",TRUE()),"",INDEX(tsk_ID,GanttView[[#This Row],[_Row]]))</f>
        <v/>
      </c>
      <c r="B126" s="120" t="str">
        <f aca="false">IF(IFERROR(INDEX(tsk_Name,GanttView[[#This Row],[_Row]])="",TRUE()),"",INDEX(tsk_WBS,GanttView[[#This Row],[_Row]]))</f>
        <v/>
      </c>
      <c r="C126" s="121" t="str">
        <f aca="false">IF(IFERROR(INDEX(tsk_Name,GanttView[[#This Row],[_Row]])="",TRUE()),"",REPT("    ",INDEX(tsk_Level,GanttView[[#This Row],[_Row]])-1)&amp;INDEX(tsk_Name,GanttView[[#This Row],[_Row]]))</f>
        <v/>
      </c>
      <c r="D126" s="120" t="str">
        <f aca="false">IF(IFERROR(INDEX(tsk_Name,GanttView[[#This Row],[_Row]])="",TRUE()),"",IF(INDEX(tsk_IsSummary,GanttView[[#This Row],[_Row]]),NETWORKDAYS.INTL(INDEX(tsk_FcStart,GanttView[[#This Row],[_Row]]),INDEX(tsk_FcFinish,GanttView[[#This Row],[_Row]]),WorkWeek,Holidays),N(INDEX(tsk_Duration,GanttView[[#This Row],[_Row]]))))</f>
        <v/>
      </c>
      <c r="E126" s="122" t="str">
        <f aca="false">IF(IFERROR(INDEX(tsk_Name,GanttView[[#This Row],[_Row]])="",TRUE()),"",INDEX(tsk_PlanStart,GanttView[[#This Row],[_Row]]))</f>
        <v/>
      </c>
      <c r="F126" s="122" t="str">
        <f aca="false">IF(IFERROR(INDEX(tsk_Name,GanttView[[#This Row],[_Row]])="",TRUE()),"",INDEX(tsk_PlanFinish,GanttView[[#This Row],[_Row]]))</f>
        <v/>
      </c>
      <c r="G126" s="122" t="str">
        <f aca="false">IF(IFERROR(INDEX(tsk_Name,GanttView[[#This Row],[_Row]])="",TRUE()),"",INDEX(tsk_FcStart,GanttView[[#This Row],[_Row]]))</f>
        <v/>
      </c>
      <c r="H126" s="122" t="str">
        <f aca="false">IF(IFERROR(INDEX(tsk_Name,GanttView[[#This Row],[_Row]])="",TRUE()),"",INDEX(tsk_FcFinish,GanttView[[#This Row],[_Row]]))</f>
        <v/>
      </c>
      <c r="I126" s="123" t="str">
        <f aca="false">IF(IFERROR(INDEX(tsk_Name,GanttView[[#This Row],[_Row]])="",TRUE()),"",INDEX(tsk_Progress,GanttView[[#This Row],[_Row]]))</f>
        <v/>
      </c>
      <c r="J126" s="121" t="str">
        <f aca="false">IF(IFERROR(INDEX(tsk_Name,GanttView[[#This Row],[_Row]])="",TRUE()),"",INDEX(tsk_Resource,GanttView[[#This Row],[_Row]])&amp;"")</f>
        <v/>
      </c>
      <c r="K126" s="124" t="str">
        <f aca="false">IF(IFERROR(INDEX(tsk_Name,GanttView[[#This Row],[_Row]])="",TRUE()),"",INDEX(tsk_Status,GanttView[[#This Row],[_Row]]))</f>
        <v/>
      </c>
      <c r="L126" s="125" t="n">
        <f aca="false">ROW()-ROW(GanttView[[#Headers],[ID]])</f>
        <v>121</v>
      </c>
      <c r="M126" s="126" t="b">
        <f aca="false">IF(IFERROR(INDEX(tsk_Name,GanttView[[#This Row],[_Row]])="",TRUE()),FALSE(),INDEX(tsk_IsSummary,GanttView[[#This Row],[_Row]]))</f>
        <v>0</v>
      </c>
      <c r="N126" s="126" t="b">
        <f aca="false">IF(IFERROR(INDEX(tsk_Name,GanttView[[#This Row],[_Row]])="",TRUE()),FALSE(),AND(INDEX(tsk_IsLeaf,GanttView[[#This Row],[_Row]])=1,N(INDEX(tsk_Duration,GanttView[[#This Row],[_Row]]))=0))</f>
        <v>0</v>
      </c>
      <c r="O126" s="127" t="n">
        <f aca="false">IF(IFERROR(INDEX(tsk_Name,GanttView[[#This Row],[_Row]])="",TRUE()),0,IF(AND(INDEX(tsk_IsLeaf,GanttView[[#This Row],[_Row]])=1,NOT(GanttView[[#This Row],[_IsMilestone]]),N(GanttView[[#This Row],[%]])&gt;0),GanttView[[#This Row],[Forecast Start]],0))</f>
        <v>0</v>
      </c>
      <c r="P126" s="127" t="n">
        <f aca="false">IF(GanttView[[#This Row],[_DoneFrom]]=0,0,IF(GanttView[[#This Row],[%]]&gt;=1,GanttView[[#This Row],[Forecast Finish]],MAX(GanttView[[#This Row],[_DoneFrom]],GanttView[[#This Row],[Forecast Start]]+ROUND((GanttView[[#This Row],[Forecast Finish]]-GanttView[[#This Row],[Forecast Start]]+1)*GanttView[[#This Row],[%]],0)-1)))</f>
        <v>0</v>
      </c>
      <c r="Q126" s="127" t="n">
        <f aca="false">IF(IFERROR(INDEX(tsk_Name,GanttView[[#This Row],[_Row]])="",TRUE()),0,IF(OR(INDEX(tsk_IsLeaf,GanttView[[#This Row],[_Row]])&lt;&gt;1,GanttView[[#This Row],[_IsMilestone]],N(GanttView[[#This Row],[%]])&gt;=1),0,IF(GanttView[[#This Row],[_DoneTo]]&gt;0,GanttView[[#This Row],[_DoneTo]]+1,GanttView[[#This Row],[Forecast Start]])))</f>
        <v>0</v>
      </c>
      <c r="R126" s="127" t="n">
        <f aca="false">IF(GanttView[[#This Row],[_RemFrom]]=0,0,GanttView[[#This Row],[Forecast Finish]])</f>
        <v>0</v>
      </c>
      <c r="S126" s="126" t="b">
        <f aca="false">IF(IFERROR(INDEX(tsk_Name,GanttView[[#This Row],[_Row]])="",TRUE()),FALSE(),N(INDEX(tsk_Variance,GanttView[[#This Row],[_Row]]))&gt;0)</f>
        <v>0</v>
      </c>
      <c r="T126" s="127" t="n">
        <f aca="false">IF(IFERROR(INDEX(tsk_Name,GanttView[[#This Row],[_Row]])="",TRUE()),0,N(INDEX(tsk_Deadline,GanttView[[#This Row],[_Row]])))</f>
        <v>0</v>
      </c>
      <c r="U126" s="126" t="b">
        <f aca="false">IF(IFERROR(INDEX(tsk_Name,GanttView[[#This Row],[_Row]])="",TRUE()),FALSE(),INDEX(tsk_Critical,GanttView[[#This Row],[_Row]])="Yes")</f>
        <v>0</v>
      </c>
    </row>
    <row r="127" customFormat="false" ht="15" hidden="false" customHeight="false" outlineLevel="0" collapsed="false">
      <c r="A127" s="120" t="str">
        <f aca="false">IF(IFERROR(INDEX(tsk_Name,GanttView[[#This Row],[_Row]])="",TRUE()),"",INDEX(tsk_ID,GanttView[[#This Row],[_Row]]))</f>
        <v/>
      </c>
      <c r="B127" s="120" t="str">
        <f aca="false">IF(IFERROR(INDEX(tsk_Name,GanttView[[#This Row],[_Row]])="",TRUE()),"",INDEX(tsk_WBS,GanttView[[#This Row],[_Row]]))</f>
        <v/>
      </c>
      <c r="C127" s="121" t="str">
        <f aca="false">IF(IFERROR(INDEX(tsk_Name,GanttView[[#This Row],[_Row]])="",TRUE()),"",REPT("    ",INDEX(tsk_Level,GanttView[[#This Row],[_Row]])-1)&amp;INDEX(tsk_Name,GanttView[[#This Row],[_Row]]))</f>
        <v/>
      </c>
      <c r="D127" s="120" t="str">
        <f aca="false">IF(IFERROR(INDEX(tsk_Name,GanttView[[#This Row],[_Row]])="",TRUE()),"",IF(INDEX(tsk_IsSummary,GanttView[[#This Row],[_Row]]),NETWORKDAYS.INTL(INDEX(tsk_FcStart,GanttView[[#This Row],[_Row]]),INDEX(tsk_FcFinish,GanttView[[#This Row],[_Row]]),WorkWeek,Holidays),N(INDEX(tsk_Duration,GanttView[[#This Row],[_Row]]))))</f>
        <v/>
      </c>
      <c r="E127" s="122" t="str">
        <f aca="false">IF(IFERROR(INDEX(tsk_Name,GanttView[[#This Row],[_Row]])="",TRUE()),"",INDEX(tsk_PlanStart,GanttView[[#This Row],[_Row]]))</f>
        <v/>
      </c>
      <c r="F127" s="122" t="str">
        <f aca="false">IF(IFERROR(INDEX(tsk_Name,GanttView[[#This Row],[_Row]])="",TRUE()),"",INDEX(tsk_PlanFinish,GanttView[[#This Row],[_Row]]))</f>
        <v/>
      </c>
      <c r="G127" s="122" t="str">
        <f aca="false">IF(IFERROR(INDEX(tsk_Name,GanttView[[#This Row],[_Row]])="",TRUE()),"",INDEX(tsk_FcStart,GanttView[[#This Row],[_Row]]))</f>
        <v/>
      </c>
      <c r="H127" s="122" t="str">
        <f aca="false">IF(IFERROR(INDEX(tsk_Name,GanttView[[#This Row],[_Row]])="",TRUE()),"",INDEX(tsk_FcFinish,GanttView[[#This Row],[_Row]]))</f>
        <v/>
      </c>
      <c r="I127" s="123" t="str">
        <f aca="false">IF(IFERROR(INDEX(tsk_Name,GanttView[[#This Row],[_Row]])="",TRUE()),"",INDEX(tsk_Progress,GanttView[[#This Row],[_Row]]))</f>
        <v/>
      </c>
      <c r="J127" s="121" t="str">
        <f aca="false">IF(IFERROR(INDEX(tsk_Name,GanttView[[#This Row],[_Row]])="",TRUE()),"",INDEX(tsk_Resource,GanttView[[#This Row],[_Row]])&amp;"")</f>
        <v/>
      </c>
      <c r="K127" s="124" t="str">
        <f aca="false">IF(IFERROR(INDEX(tsk_Name,GanttView[[#This Row],[_Row]])="",TRUE()),"",INDEX(tsk_Status,GanttView[[#This Row],[_Row]]))</f>
        <v/>
      </c>
      <c r="L127" s="125" t="n">
        <f aca="false">ROW()-ROW(GanttView[[#Headers],[ID]])</f>
        <v>122</v>
      </c>
      <c r="M127" s="126" t="b">
        <f aca="false">IF(IFERROR(INDEX(tsk_Name,GanttView[[#This Row],[_Row]])="",TRUE()),FALSE(),INDEX(tsk_IsSummary,GanttView[[#This Row],[_Row]]))</f>
        <v>0</v>
      </c>
      <c r="N127" s="126" t="b">
        <f aca="false">IF(IFERROR(INDEX(tsk_Name,GanttView[[#This Row],[_Row]])="",TRUE()),FALSE(),AND(INDEX(tsk_IsLeaf,GanttView[[#This Row],[_Row]])=1,N(INDEX(tsk_Duration,GanttView[[#This Row],[_Row]]))=0))</f>
        <v>0</v>
      </c>
      <c r="O127" s="127" t="n">
        <f aca="false">IF(IFERROR(INDEX(tsk_Name,GanttView[[#This Row],[_Row]])="",TRUE()),0,IF(AND(INDEX(tsk_IsLeaf,GanttView[[#This Row],[_Row]])=1,NOT(GanttView[[#This Row],[_IsMilestone]]),N(GanttView[[#This Row],[%]])&gt;0),GanttView[[#This Row],[Forecast Start]],0))</f>
        <v>0</v>
      </c>
      <c r="P127" s="127" t="n">
        <f aca="false">IF(GanttView[[#This Row],[_DoneFrom]]=0,0,IF(GanttView[[#This Row],[%]]&gt;=1,GanttView[[#This Row],[Forecast Finish]],MAX(GanttView[[#This Row],[_DoneFrom]],GanttView[[#This Row],[Forecast Start]]+ROUND((GanttView[[#This Row],[Forecast Finish]]-GanttView[[#This Row],[Forecast Start]]+1)*GanttView[[#This Row],[%]],0)-1)))</f>
        <v>0</v>
      </c>
      <c r="Q127" s="127" t="n">
        <f aca="false">IF(IFERROR(INDEX(tsk_Name,GanttView[[#This Row],[_Row]])="",TRUE()),0,IF(OR(INDEX(tsk_IsLeaf,GanttView[[#This Row],[_Row]])&lt;&gt;1,GanttView[[#This Row],[_IsMilestone]],N(GanttView[[#This Row],[%]])&gt;=1),0,IF(GanttView[[#This Row],[_DoneTo]]&gt;0,GanttView[[#This Row],[_DoneTo]]+1,GanttView[[#This Row],[Forecast Start]])))</f>
        <v>0</v>
      </c>
      <c r="R127" s="127" t="n">
        <f aca="false">IF(GanttView[[#This Row],[_RemFrom]]=0,0,GanttView[[#This Row],[Forecast Finish]])</f>
        <v>0</v>
      </c>
      <c r="S127" s="126" t="b">
        <f aca="false">IF(IFERROR(INDEX(tsk_Name,GanttView[[#This Row],[_Row]])="",TRUE()),FALSE(),N(INDEX(tsk_Variance,GanttView[[#This Row],[_Row]]))&gt;0)</f>
        <v>0</v>
      </c>
      <c r="T127" s="127" t="n">
        <f aca="false">IF(IFERROR(INDEX(tsk_Name,GanttView[[#This Row],[_Row]])="",TRUE()),0,N(INDEX(tsk_Deadline,GanttView[[#This Row],[_Row]])))</f>
        <v>0</v>
      </c>
      <c r="U127" s="126" t="b">
        <f aca="false">IF(IFERROR(INDEX(tsk_Name,GanttView[[#This Row],[_Row]])="",TRUE()),FALSE(),INDEX(tsk_Critical,GanttView[[#This Row],[_Row]])="Yes")</f>
        <v>0</v>
      </c>
    </row>
    <row r="128" customFormat="false" ht="15" hidden="false" customHeight="false" outlineLevel="0" collapsed="false">
      <c r="A128" s="120" t="str">
        <f aca="false">IF(IFERROR(INDEX(tsk_Name,GanttView[[#This Row],[_Row]])="",TRUE()),"",INDEX(tsk_ID,GanttView[[#This Row],[_Row]]))</f>
        <v/>
      </c>
      <c r="B128" s="120" t="str">
        <f aca="false">IF(IFERROR(INDEX(tsk_Name,GanttView[[#This Row],[_Row]])="",TRUE()),"",INDEX(tsk_WBS,GanttView[[#This Row],[_Row]]))</f>
        <v/>
      </c>
      <c r="C128" s="121" t="str">
        <f aca="false">IF(IFERROR(INDEX(tsk_Name,GanttView[[#This Row],[_Row]])="",TRUE()),"",REPT("    ",INDEX(tsk_Level,GanttView[[#This Row],[_Row]])-1)&amp;INDEX(tsk_Name,GanttView[[#This Row],[_Row]]))</f>
        <v/>
      </c>
      <c r="D128" s="120" t="str">
        <f aca="false">IF(IFERROR(INDEX(tsk_Name,GanttView[[#This Row],[_Row]])="",TRUE()),"",IF(INDEX(tsk_IsSummary,GanttView[[#This Row],[_Row]]),NETWORKDAYS.INTL(INDEX(tsk_FcStart,GanttView[[#This Row],[_Row]]),INDEX(tsk_FcFinish,GanttView[[#This Row],[_Row]]),WorkWeek,Holidays),N(INDEX(tsk_Duration,GanttView[[#This Row],[_Row]]))))</f>
        <v/>
      </c>
      <c r="E128" s="122" t="str">
        <f aca="false">IF(IFERROR(INDEX(tsk_Name,GanttView[[#This Row],[_Row]])="",TRUE()),"",INDEX(tsk_PlanStart,GanttView[[#This Row],[_Row]]))</f>
        <v/>
      </c>
      <c r="F128" s="122" t="str">
        <f aca="false">IF(IFERROR(INDEX(tsk_Name,GanttView[[#This Row],[_Row]])="",TRUE()),"",INDEX(tsk_PlanFinish,GanttView[[#This Row],[_Row]]))</f>
        <v/>
      </c>
      <c r="G128" s="122" t="str">
        <f aca="false">IF(IFERROR(INDEX(tsk_Name,GanttView[[#This Row],[_Row]])="",TRUE()),"",INDEX(tsk_FcStart,GanttView[[#This Row],[_Row]]))</f>
        <v/>
      </c>
      <c r="H128" s="122" t="str">
        <f aca="false">IF(IFERROR(INDEX(tsk_Name,GanttView[[#This Row],[_Row]])="",TRUE()),"",INDEX(tsk_FcFinish,GanttView[[#This Row],[_Row]]))</f>
        <v/>
      </c>
      <c r="I128" s="123" t="str">
        <f aca="false">IF(IFERROR(INDEX(tsk_Name,GanttView[[#This Row],[_Row]])="",TRUE()),"",INDEX(tsk_Progress,GanttView[[#This Row],[_Row]]))</f>
        <v/>
      </c>
      <c r="J128" s="121" t="str">
        <f aca="false">IF(IFERROR(INDEX(tsk_Name,GanttView[[#This Row],[_Row]])="",TRUE()),"",INDEX(tsk_Resource,GanttView[[#This Row],[_Row]])&amp;"")</f>
        <v/>
      </c>
      <c r="K128" s="124" t="str">
        <f aca="false">IF(IFERROR(INDEX(tsk_Name,GanttView[[#This Row],[_Row]])="",TRUE()),"",INDEX(tsk_Status,GanttView[[#This Row],[_Row]]))</f>
        <v/>
      </c>
      <c r="L128" s="125" t="n">
        <f aca="false">ROW()-ROW(GanttView[[#Headers],[ID]])</f>
        <v>123</v>
      </c>
      <c r="M128" s="126" t="b">
        <f aca="false">IF(IFERROR(INDEX(tsk_Name,GanttView[[#This Row],[_Row]])="",TRUE()),FALSE(),INDEX(tsk_IsSummary,GanttView[[#This Row],[_Row]]))</f>
        <v>0</v>
      </c>
      <c r="N128" s="126" t="b">
        <f aca="false">IF(IFERROR(INDEX(tsk_Name,GanttView[[#This Row],[_Row]])="",TRUE()),FALSE(),AND(INDEX(tsk_IsLeaf,GanttView[[#This Row],[_Row]])=1,N(INDEX(tsk_Duration,GanttView[[#This Row],[_Row]]))=0))</f>
        <v>0</v>
      </c>
      <c r="O128" s="127" t="n">
        <f aca="false">IF(IFERROR(INDEX(tsk_Name,GanttView[[#This Row],[_Row]])="",TRUE()),0,IF(AND(INDEX(tsk_IsLeaf,GanttView[[#This Row],[_Row]])=1,NOT(GanttView[[#This Row],[_IsMilestone]]),N(GanttView[[#This Row],[%]])&gt;0),GanttView[[#This Row],[Forecast Start]],0))</f>
        <v>0</v>
      </c>
      <c r="P128" s="127" t="n">
        <f aca="false">IF(GanttView[[#This Row],[_DoneFrom]]=0,0,IF(GanttView[[#This Row],[%]]&gt;=1,GanttView[[#This Row],[Forecast Finish]],MAX(GanttView[[#This Row],[_DoneFrom]],GanttView[[#This Row],[Forecast Start]]+ROUND((GanttView[[#This Row],[Forecast Finish]]-GanttView[[#This Row],[Forecast Start]]+1)*GanttView[[#This Row],[%]],0)-1)))</f>
        <v>0</v>
      </c>
      <c r="Q128" s="127" t="n">
        <f aca="false">IF(IFERROR(INDEX(tsk_Name,GanttView[[#This Row],[_Row]])="",TRUE()),0,IF(OR(INDEX(tsk_IsLeaf,GanttView[[#This Row],[_Row]])&lt;&gt;1,GanttView[[#This Row],[_IsMilestone]],N(GanttView[[#This Row],[%]])&gt;=1),0,IF(GanttView[[#This Row],[_DoneTo]]&gt;0,GanttView[[#This Row],[_DoneTo]]+1,GanttView[[#This Row],[Forecast Start]])))</f>
        <v>0</v>
      </c>
      <c r="R128" s="127" t="n">
        <f aca="false">IF(GanttView[[#This Row],[_RemFrom]]=0,0,GanttView[[#This Row],[Forecast Finish]])</f>
        <v>0</v>
      </c>
      <c r="S128" s="126" t="b">
        <f aca="false">IF(IFERROR(INDEX(tsk_Name,GanttView[[#This Row],[_Row]])="",TRUE()),FALSE(),N(INDEX(tsk_Variance,GanttView[[#This Row],[_Row]]))&gt;0)</f>
        <v>0</v>
      </c>
      <c r="T128" s="127" t="n">
        <f aca="false">IF(IFERROR(INDEX(tsk_Name,GanttView[[#This Row],[_Row]])="",TRUE()),0,N(INDEX(tsk_Deadline,GanttView[[#This Row],[_Row]])))</f>
        <v>0</v>
      </c>
      <c r="U128" s="126" t="b">
        <f aca="false">IF(IFERROR(INDEX(tsk_Name,GanttView[[#This Row],[_Row]])="",TRUE()),FALSE(),INDEX(tsk_Critical,GanttView[[#This Row],[_Row]])="Yes")</f>
        <v>0</v>
      </c>
    </row>
    <row r="129" customFormat="false" ht="15" hidden="false" customHeight="false" outlineLevel="0" collapsed="false">
      <c r="A129" s="120" t="str">
        <f aca="false">IF(IFERROR(INDEX(tsk_Name,GanttView[[#This Row],[_Row]])="",TRUE()),"",INDEX(tsk_ID,GanttView[[#This Row],[_Row]]))</f>
        <v/>
      </c>
      <c r="B129" s="120" t="str">
        <f aca="false">IF(IFERROR(INDEX(tsk_Name,GanttView[[#This Row],[_Row]])="",TRUE()),"",INDEX(tsk_WBS,GanttView[[#This Row],[_Row]]))</f>
        <v/>
      </c>
      <c r="C129" s="121" t="str">
        <f aca="false">IF(IFERROR(INDEX(tsk_Name,GanttView[[#This Row],[_Row]])="",TRUE()),"",REPT("    ",INDEX(tsk_Level,GanttView[[#This Row],[_Row]])-1)&amp;INDEX(tsk_Name,GanttView[[#This Row],[_Row]]))</f>
        <v/>
      </c>
      <c r="D129" s="120" t="str">
        <f aca="false">IF(IFERROR(INDEX(tsk_Name,GanttView[[#This Row],[_Row]])="",TRUE()),"",IF(INDEX(tsk_IsSummary,GanttView[[#This Row],[_Row]]),NETWORKDAYS.INTL(INDEX(tsk_FcStart,GanttView[[#This Row],[_Row]]),INDEX(tsk_FcFinish,GanttView[[#This Row],[_Row]]),WorkWeek,Holidays),N(INDEX(tsk_Duration,GanttView[[#This Row],[_Row]]))))</f>
        <v/>
      </c>
      <c r="E129" s="122" t="str">
        <f aca="false">IF(IFERROR(INDEX(tsk_Name,GanttView[[#This Row],[_Row]])="",TRUE()),"",INDEX(tsk_PlanStart,GanttView[[#This Row],[_Row]]))</f>
        <v/>
      </c>
      <c r="F129" s="122" t="str">
        <f aca="false">IF(IFERROR(INDEX(tsk_Name,GanttView[[#This Row],[_Row]])="",TRUE()),"",INDEX(tsk_PlanFinish,GanttView[[#This Row],[_Row]]))</f>
        <v/>
      </c>
      <c r="G129" s="122" t="str">
        <f aca="false">IF(IFERROR(INDEX(tsk_Name,GanttView[[#This Row],[_Row]])="",TRUE()),"",INDEX(tsk_FcStart,GanttView[[#This Row],[_Row]]))</f>
        <v/>
      </c>
      <c r="H129" s="122" t="str">
        <f aca="false">IF(IFERROR(INDEX(tsk_Name,GanttView[[#This Row],[_Row]])="",TRUE()),"",INDEX(tsk_FcFinish,GanttView[[#This Row],[_Row]]))</f>
        <v/>
      </c>
      <c r="I129" s="123" t="str">
        <f aca="false">IF(IFERROR(INDEX(tsk_Name,GanttView[[#This Row],[_Row]])="",TRUE()),"",INDEX(tsk_Progress,GanttView[[#This Row],[_Row]]))</f>
        <v/>
      </c>
      <c r="J129" s="121" t="str">
        <f aca="false">IF(IFERROR(INDEX(tsk_Name,GanttView[[#This Row],[_Row]])="",TRUE()),"",INDEX(tsk_Resource,GanttView[[#This Row],[_Row]])&amp;"")</f>
        <v/>
      </c>
      <c r="K129" s="124" t="str">
        <f aca="false">IF(IFERROR(INDEX(tsk_Name,GanttView[[#This Row],[_Row]])="",TRUE()),"",INDEX(tsk_Status,GanttView[[#This Row],[_Row]]))</f>
        <v/>
      </c>
      <c r="L129" s="125" t="n">
        <f aca="false">ROW()-ROW(GanttView[[#Headers],[ID]])</f>
        <v>124</v>
      </c>
      <c r="M129" s="126" t="b">
        <f aca="false">IF(IFERROR(INDEX(tsk_Name,GanttView[[#This Row],[_Row]])="",TRUE()),FALSE(),INDEX(tsk_IsSummary,GanttView[[#This Row],[_Row]]))</f>
        <v>0</v>
      </c>
      <c r="N129" s="126" t="b">
        <f aca="false">IF(IFERROR(INDEX(tsk_Name,GanttView[[#This Row],[_Row]])="",TRUE()),FALSE(),AND(INDEX(tsk_IsLeaf,GanttView[[#This Row],[_Row]])=1,N(INDEX(tsk_Duration,GanttView[[#This Row],[_Row]]))=0))</f>
        <v>0</v>
      </c>
      <c r="O129" s="127" t="n">
        <f aca="false">IF(IFERROR(INDEX(tsk_Name,GanttView[[#This Row],[_Row]])="",TRUE()),0,IF(AND(INDEX(tsk_IsLeaf,GanttView[[#This Row],[_Row]])=1,NOT(GanttView[[#This Row],[_IsMilestone]]),N(GanttView[[#This Row],[%]])&gt;0),GanttView[[#This Row],[Forecast Start]],0))</f>
        <v>0</v>
      </c>
      <c r="P129" s="127" t="n">
        <f aca="false">IF(GanttView[[#This Row],[_DoneFrom]]=0,0,IF(GanttView[[#This Row],[%]]&gt;=1,GanttView[[#This Row],[Forecast Finish]],MAX(GanttView[[#This Row],[_DoneFrom]],GanttView[[#This Row],[Forecast Start]]+ROUND((GanttView[[#This Row],[Forecast Finish]]-GanttView[[#This Row],[Forecast Start]]+1)*GanttView[[#This Row],[%]],0)-1)))</f>
        <v>0</v>
      </c>
      <c r="Q129" s="127" t="n">
        <f aca="false">IF(IFERROR(INDEX(tsk_Name,GanttView[[#This Row],[_Row]])="",TRUE()),0,IF(OR(INDEX(tsk_IsLeaf,GanttView[[#This Row],[_Row]])&lt;&gt;1,GanttView[[#This Row],[_IsMilestone]],N(GanttView[[#This Row],[%]])&gt;=1),0,IF(GanttView[[#This Row],[_DoneTo]]&gt;0,GanttView[[#This Row],[_DoneTo]]+1,GanttView[[#This Row],[Forecast Start]])))</f>
        <v>0</v>
      </c>
      <c r="R129" s="127" t="n">
        <f aca="false">IF(GanttView[[#This Row],[_RemFrom]]=0,0,GanttView[[#This Row],[Forecast Finish]])</f>
        <v>0</v>
      </c>
      <c r="S129" s="126" t="b">
        <f aca="false">IF(IFERROR(INDEX(tsk_Name,GanttView[[#This Row],[_Row]])="",TRUE()),FALSE(),N(INDEX(tsk_Variance,GanttView[[#This Row],[_Row]]))&gt;0)</f>
        <v>0</v>
      </c>
      <c r="T129" s="127" t="n">
        <f aca="false">IF(IFERROR(INDEX(tsk_Name,GanttView[[#This Row],[_Row]])="",TRUE()),0,N(INDEX(tsk_Deadline,GanttView[[#This Row],[_Row]])))</f>
        <v>0</v>
      </c>
      <c r="U129" s="126" t="b">
        <f aca="false">IF(IFERROR(INDEX(tsk_Name,GanttView[[#This Row],[_Row]])="",TRUE()),FALSE(),INDEX(tsk_Critical,GanttView[[#This Row],[_Row]])="Yes")</f>
        <v>0</v>
      </c>
    </row>
    <row r="130" customFormat="false" ht="15" hidden="false" customHeight="false" outlineLevel="0" collapsed="false">
      <c r="A130" s="120" t="str">
        <f aca="false">IF(IFERROR(INDEX(tsk_Name,GanttView[[#This Row],[_Row]])="",TRUE()),"",INDEX(tsk_ID,GanttView[[#This Row],[_Row]]))</f>
        <v/>
      </c>
      <c r="B130" s="120" t="str">
        <f aca="false">IF(IFERROR(INDEX(tsk_Name,GanttView[[#This Row],[_Row]])="",TRUE()),"",INDEX(tsk_WBS,GanttView[[#This Row],[_Row]]))</f>
        <v/>
      </c>
      <c r="C130" s="121" t="str">
        <f aca="false">IF(IFERROR(INDEX(tsk_Name,GanttView[[#This Row],[_Row]])="",TRUE()),"",REPT("    ",INDEX(tsk_Level,GanttView[[#This Row],[_Row]])-1)&amp;INDEX(tsk_Name,GanttView[[#This Row],[_Row]]))</f>
        <v/>
      </c>
      <c r="D130" s="120" t="str">
        <f aca="false">IF(IFERROR(INDEX(tsk_Name,GanttView[[#This Row],[_Row]])="",TRUE()),"",IF(INDEX(tsk_IsSummary,GanttView[[#This Row],[_Row]]),NETWORKDAYS.INTL(INDEX(tsk_FcStart,GanttView[[#This Row],[_Row]]),INDEX(tsk_FcFinish,GanttView[[#This Row],[_Row]]),WorkWeek,Holidays),N(INDEX(tsk_Duration,GanttView[[#This Row],[_Row]]))))</f>
        <v/>
      </c>
      <c r="E130" s="122" t="str">
        <f aca="false">IF(IFERROR(INDEX(tsk_Name,GanttView[[#This Row],[_Row]])="",TRUE()),"",INDEX(tsk_PlanStart,GanttView[[#This Row],[_Row]]))</f>
        <v/>
      </c>
      <c r="F130" s="122" t="str">
        <f aca="false">IF(IFERROR(INDEX(tsk_Name,GanttView[[#This Row],[_Row]])="",TRUE()),"",INDEX(tsk_PlanFinish,GanttView[[#This Row],[_Row]]))</f>
        <v/>
      </c>
      <c r="G130" s="122" t="str">
        <f aca="false">IF(IFERROR(INDEX(tsk_Name,GanttView[[#This Row],[_Row]])="",TRUE()),"",INDEX(tsk_FcStart,GanttView[[#This Row],[_Row]]))</f>
        <v/>
      </c>
      <c r="H130" s="122" t="str">
        <f aca="false">IF(IFERROR(INDEX(tsk_Name,GanttView[[#This Row],[_Row]])="",TRUE()),"",INDEX(tsk_FcFinish,GanttView[[#This Row],[_Row]]))</f>
        <v/>
      </c>
      <c r="I130" s="123" t="str">
        <f aca="false">IF(IFERROR(INDEX(tsk_Name,GanttView[[#This Row],[_Row]])="",TRUE()),"",INDEX(tsk_Progress,GanttView[[#This Row],[_Row]]))</f>
        <v/>
      </c>
      <c r="J130" s="121" t="str">
        <f aca="false">IF(IFERROR(INDEX(tsk_Name,GanttView[[#This Row],[_Row]])="",TRUE()),"",INDEX(tsk_Resource,GanttView[[#This Row],[_Row]])&amp;"")</f>
        <v/>
      </c>
      <c r="K130" s="124" t="str">
        <f aca="false">IF(IFERROR(INDEX(tsk_Name,GanttView[[#This Row],[_Row]])="",TRUE()),"",INDEX(tsk_Status,GanttView[[#This Row],[_Row]]))</f>
        <v/>
      </c>
      <c r="L130" s="125" t="n">
        <f aca="false">ROW()-ROW(GanttView[[#Headers],[ID]])</f>
        <v>125</v>
      </c>
      <c r="M130" s="126" t="b">
        <f aca="false">IF(IFERROR(INDEX(tsk_Name,GanttView[[#This Row],[_Row]])="",TRUE()),FALSE(),INDEX(tsk_IsSummary,GanttView[[#This Row],[_Row]]))</f>
        <v>0</v>
      </c>
      <c r="N130" s="126" t="b">
        <f aca="false">IF(IFERROR(INDEX(tsk_Name,GanttView[[#This Row],[_Row]])="",TRUE()),FALSE(),AND(INDEX(tsk_IsLeaf,GanttView[[#This Row],[_Row]])=1,N(INDEX(tsk_Duration,GanttView[[#This Row],[_Row]]))=0))</f>
        <v>0</v>
      </c>
      <c r="O130" s="127" t="n">
        <f aca="false">IF(IFERROR(INDEX(tsk_Name,GanttView[[#This Row],[_Row]])="",TRUE()),0,IF(AND(INDEX(tsk_IsLeaf,GanttView[[#This Row],[_Row]])=1,NOT(GanttView[[#This Row],[_IsMilestone]]),N(GanttView[[#This Row],[%]])&gt;0),GanttView[[#This Row],[Forecast Start]],0))</f>
        <v>0</v>
      </c>
      <c r="P130" s="127" t="n">
        <f aca="false">IF(GanttView[[#This Row],[_DoneFrom]]=0,0,IF(GanttView[[#This Row],[%]]&gt;=1,GanttView[[#This Row],[Forecast Finish]],MAX(GanttView[[#This Row],[_DoneFrom]],GanttView[[#This Row],[Forecast Start]]+ROUND((GanttView[[#This Row],[Forecast Finish]]-GanttView[[#This Row],[Forecast Start]]+1)*GanttView[[#This Row],[%]],0)-1)))</f>
        <v>0</v>
      </c>
      <c r="Q130" s="127" t="n">
        <f aca="false">IF(IFERROR(INDEX(tsk_Name,GanttView[[#This Row],[_Row]])="",TRUE()),0,IF(OR(INDEX(tsk_IsLeaf,GanttView[[#This Row],[_Row]])&lt;&gt;1,GanttView[[#This Row],[_IsMilestone]],N(GanttView[[#This Row],[%]])&gt;=1),0,IF(GanttView[[#This Row],[_DoneTo]]&gt;0,GanttView[[#This Row],[_DoneTo]]+1,GanttView[[#This Row],[Forecast Start]])))</f>
        <v>0</v>
      </c>
      <c r="R130" s="127" t="n">
        <f aca="false">IF(GanttView[[#This Row],[_RemFrom]]=0,0,GanttView[[#This Row],[Forecast Finish]])</f>
        <v>0</v>
      </c>
      <c r="S130" s="126" t="b">
        <f aca="false">IF(IFERROR(INDEX(tsk_Name,GanttView[[#This Row],[_Row]])="",TRUE()),FALSE(),N(INDEX(tsk_Variance,GanttView[[#This Row],[_Row]]))&gt;0)</f>
        <v>0</v>
      </c>
      <c r="T130" s="127" t="n">
        <f aca="false">IF(IFERROR(INDEX(tsk_Name,GanttView[[#This Row],[_Row]])="",TRUE()),0,N(INDEX(tsk_Deadline,GanttView[[#This Row],[_Row]])))</f>
        <v>0</v>
      </c>
      <c r="U130" s="126" t="b">
        <f aca="false">IF(IFERROR(INDEX(tsk_Name,GanttView[[#This Row],[_Row]])="",TRUE()),FALSE(),INDEX(tsk_Critical,GanttView[[#This Row],[_Row]])="Yes")</f>
        <v>0</v>
      </c>
    </row>
    <row r="131" customFormat="false" ht="15" hidden="false" customHeight="false" outlineLevel="0" collapsed="false">
      <c r="A131" s="120" t="str">
        <f aca="false">IF(IFERROR(INDEX(tsk_Name,GanttView[[#This Row],[_Row]])="",TRUE()),"",INDEX(tsk_ID,GanttView[[#This Row],[_Row]]))</f>
        <v/>
      </c>
      <c r="B131" s="120" t="str">
        <f aca="false">IF(IFERROR(INDEX(tsk_Name,GanttView[[#This Row],[_Row]])="",TRUE()),"",INDEX(tsk_WBS,GanttView[[#This Row],[_Row]]))</f>
        <v/>
      </c>
      <c r="C131" s="121" t="str">
        <f aca="false">IF(IFERROR(INDEX(tsk_Name,GanttView[[#This Row],[_Row]])="",TRUE()),"",REPT("    ",INDEX(tsk_Level,GanttView[[#This Row],[_Row]])-1)&amp;INDEX(tsk_Name,GanttView[[#This Row],[_Row]]))</f>
        <v/>
      </c>
      <c r="D131" s="120" t="str">
        <f aca="false">IF(IFERROR(INDEX(tsk_Name,GanttView[[#This Row],[_Row]])="",TRUE()),"",IF(INDEX(tsk_IsSummary,GanttView[[#This Row],[_Row]]),NETWORKDAYS.INTL(INDEX(tsk_FcStart,GanttView[[#This Row],[_Row]]),INDEX(tsk_FcFinish,GanttView[[#This Row],[_Row]]),WorkWeek,Holidays),N(INDEX(tsk_Duration,GanttView[[#This Row],[_Row]]))))</f>
        <v/>
      </c>
      <c r="E131" s="122" t="str">
        <f aca="false">IF(IFERROR(INDEX(tsk_Name,GanttView[[#This Row],[_Row]])="",TRUE()),"",INDEX(tsk_PlanStart,GanttView[[#This Row],[_Row]]))</f>
        <v/>
      </c>
      <c r="F131" s="122" t="str">
        <f aca="false">IF(IFERROR(INDEX(tsk_Name,GanttView[[#This Row],[_Row]])="",TRUE()),"",INDEX(tsk_PlanFinish,GanttView[[#This Row],[_Row]]))</f>
        <v/>
      </c>
      <c r="G131" s="122" t="str">
        <f aca="false">IF(IFERROR(INDEX(tsk_Name,GanttView[[#This Row],[_Row]])="",TRUE()),"",INDEX(tsk_FcStart,GanttView[[#This Row],[_Row]]))</f>
        <v/>
      </c>
      <c r="H131" s="122" t="str">
        <f aca="false">IF(IFERROR(INDEX(tsk_Name,GanttView[[#This Row],[_Row]])="",TRUE()),"",INDEX(tsk_FcFinish,GanttView[[#This Row],[_Row]]))</f>
        <v/>
      </c>
      <c r="I131" s="123" t="str">
        <f aca="false">IF(IFERROR(INDEX(tsk_Name,GanttView[[#This Row],[_Row]])="",TRUE()),"",INDEX(tsk_Progress,GanttView[[#This Row],[_Row]]))</f>
        <v/>
      </c>
      <c r="J131" s="121" t="str">
        <f aca="false">IF(IFERROR(INDEX(tsk_Name,GanttView[[#This Row],[_Row]])="",TRUE()),"",INDEX(tsk_Resource,GanttView[[#This Row],[_Row]])&amp;"")</f>
        <v/>
      </c>
      <c r="K131" s="124" t="str">
        <f aca="false">IF(IFERROR(INDEX(tsk_Name,GanttView[[#This Row],[_Row]])="",TRUE()),"",INDEX(tsk_Status,GanttView[[#This Row],[_Row]]))</f>
        <v/>
      </c>
      <c r="L131" s="125" t="n">
        <f aca="false">ROW()-ROW(GanttView[[#Headers],[ID]])</f>
        <v>126</v>
      </c>
      <c r="M131" s="126" t="b">
        <f aca="false">IF(IFERROR(INDEX(tsk_Name,GanttView[[#This Row],[_Row]])="",TRUE()),FALSE(),INDEX(tsk_IsSummary,GanttView[[#This Row],[_Row]]))</f>
        <v>0</v>
      </c>
      <c r="N131" s="126" t="b">
        <f aca="false">IF(IFERROR(INDEX(tsk_Name,GanttView[[#This Row],[_Row]])="",TRUE()),FALSE(),AND(INDEX(tsk_IsLeaf,GanttView[[#This Row],[_Row]])=1,N(INDEX(tsk_Duration,GanttView[[#This Row],[_Row]]))=0))</f>
        <v>0</v>
      </c>
      <c r="O131" s="127" t="n">
        <f aca="false">IF(IFERROR(INDEX(tsk_Name,GanttView[[#This Row],[_Row]])="",TRUE()),0,IF(AND(INDEX(tsk_IsLeaf,GanttView[[#This Row],[_Row]])=1,NOT(GanttView[[#This Row],[_IsMilestone]]),N(GanttView[[#This Row],[%]])&gt;0),GanttView[[#This Row],[Forecast Start]],0))</f>
        <v>0</v>
      </c>
      <c r="P131" s="127" t="n">
        <f aca="false">IF(GanttView[[#This Row],[_DoneFrom]]=0,0,IF(GanttView[[#This Row],[%]]&gt;=1,GanttView[[#This Row],[Forecast Finish]],MAX(GanttView[[#This Row],[_DoneFrom]],GanttView[[#This Row],[Forecast Start]]+ROUND((GanttView[[#This Row],[Forecast Finish]]-GanttView[[#This Row],[Forecast Start]]+1)*GanttView[[#This Row],[%]],0)-1)))</f>
        <v>0</v>
      </c>
      <c r="Q131" s="127" t="n">
        <f aca="false">IF(IFERROR(INDEX(tsk_Name,GanttView[[#This Row],[_Row]])="",TRUE()),0,IF(OR(INDEX(tsk_IsLeaf,GanttView[[#This Row],[_Row]])&lt;&gt;1,GanttView[[#This Row],[_IsMilestone]],N(GanttView[[#This Row],[%]])&gt;=1),0,IF(GanttView[[#This Row],[_DoneTo]]&gt;0,GanttView[[#This Row],[_DoneTo]]+1,GanttView[[#This Row],[Forecast Start]])))</f>
        <v>0</v>
      </c>
      <c r="R131" s="127" t="n">
        <f aca="false">IF(GanttView[[#This Row],[_RemFrom]]=0,0,GanttView[[#This Row],[Forecast Finish]])</f>
        <v>0</v>
      </c>
      <c r="S131" s="126" t="b">
        <f aca="false">IF(IFERROR(INDEX(tsk_Name,GanttView[[#This Row],[_Row]])="",TRUE()),FALSE(),N(INDEX(tsk_Variance,GanttView[[#This Row],[_Row]]))&gt;0)</f>
        <v>0</v>
      </c>
      <c r="T131" s="127" t="n">
        <f aca="false">IF(IFERROR(INDEX(tsk_Name,GanttView[[#This Row],[_Row]])="",TRUE()),0,N(INDEX(tsk_Deadline,GanttView[[#This Row],[_Row]])))</f>
        <v>0</v>
      </c>
      <c r="U131" s="126" t="b">
        <f aca="false">IF(IFERROR(INDEX(tsk_Name,GanttView[[#This Row],[_Row]])="",TRUE()),FALSE(),INDEX(tsk_Critical,GanttView[[#This Row],[_Row]])="Yes")</f>
        <v>0</v>
      </c>
    </row>
    <row r="132" customFormat="false" ht="15" hidden="false" customHeight="false" outlineLevel="0" collapsed="false">
      <c r="A132" s="120" t="str">
        <f aca="false">IF(IFERROR(INDEX(tsk_Name,GanttView[[#This Row],[_Row]])="",TRUE()),"",INDEX(tsk_ID,GanttView[[#This Row],[_Row]]))</f>
        <v/>
      </c>
      <c r="B132" s="120" t="str">
        <f aca="false">IF(IFERROR(INDEX(tsk_Name,GanttView[[#This Row],[_Row]])="",TRUE()),"",INDEX(tsk_WBS,GanttView[[#This Row],[_Row]]))</f>
        <v/>
      </c>
      <c r="C132" s="121" t="str">
        <f aca="false">IF(IFERROR(INDEX(tsk_Name,GanttView[[#This Row],[_Row]])="",TRUE()),"",REPT("    ",INDEX(tsk_Level,GanttView[[#This Row],[_Row]])-1)&amp;INDEX(tsk_Name,GanttView[[#This Row],[_Row]]))</f>
        <v/>
      </c>
      <c r="D132" s="120" t="str">
        <f aca="false">IF(IFERROR(INDEX(tsk_Name,GanttView[[#This Row],[_Row]])="",TRUE()),"",IF(INDEX(tsk_IsSummary,GanttView[[#This Row],[_Row]]),NETWORKDAYS.INTL(INDEX(tsk_FcStart,GanttView[[#This Row],[_Row]]),INDEX(tsk_FcFinish,GanttView[[#This Row],[_Row]]),WorkWeek,Holidays),N(INDEX(tsk_Duration,GanttView[[#This Row],[_Row]]))))</f>
        <v/>
      </c>
      <c r="E132" s="122" t="str">
        <f aca="false">IF(IFERROR(INDEX(tsk_Name,GanttView[[#This Row],[_Row]])="",TRUE()),"",INDEX(tsk_PlanStart,GanttView[[#This Row],[_Row]]))</f>
        <v/>
      </c>
      <c r="F132" s="122" t="str">
        <f aca="false">IF(IFERROR(INDEX(tsk_Name,GanttView[[#This Row],[_Row]])="",TRUE()),"",INDEX(tsk_PlanFinish,GanttView[[#This Row],[_Row]]))</f>
        <v/>
      </c>
      <c r="G132" s="122" t="str">
        <f aca="false">IF(IFERROR(INDEX(tsk_Name,GanttView[[#This Row],[_Row]])="",TRUE()),"",INDEX(tsk_FcStart,GanttView[[#This Row],[_Row]]))</f>
        <v/>
      </c>
      <c r="H132" s="122" t="str">
        <f aca="false">IF(IFERROR(INDEX(tsk_Name,GanttView[[#This Row],[_Row]])="",TRUE()),"",INDEX(tsk_FcFinish,GanttView[[#This Row],[_Row]]))</f>
        <v/>
      </c>
      <c r="I132" s="123" t="str">
        <f aca="false">IF(IFERROR(INDEX(tsk_Name,GanttView[[#This Row],[_Row]])="",TRUE()),"",INDEX(tsk_Progress,GanttView[[#This Row],[_Row]]))</f>
        <v/>
      </c>
      <c r="J132" s="121" t="str">
        <f aca="false">IF(IFERROR(INDEX(tsk_Name,GanttView[[#This Row],[_Row]])="",TRUE()),"",INDEX(tsk_Resource,GanttView[[#This Row],[_Row]])&amp;"")</f>
        <v/>
      </c>
      <c r="K132" s="124" t="str">
        <f aca="false">IF(IFERROR(INDEX(tsk_Name,GanttView[[#This Row],[_Row]])="",TRUE()),"",INDEX(tsk_Status,GanttView[[#This Row],[_Row]]))</f>
        <v/>
      </c>
      <c r="L132" s="125" t="n">
        <f aca="false">ROW()-ROW(GanttView[[#Headers],[ID]])</f>
        <v>127</v>
      </c>
      <c r="M132" s="126" t="b">
        <f aca="false">IF(IFERROR(INDEX(tsk_Name,GanttView[[#This Row],[_Row]])="",TRUE()),FALSE(),INDEX(tsk_IsSummary,GanttView[[#This Row],[_Row]]))</f>
        <v>0</v>
      </c>
      <c r="N132" s="126" t="b">
        <f aca="false">IF(IFERROR(INDEX(tsk_Name,GanttView[[#This Row],[_Row]])="",TRUE()),FALSE(),AND(INDEX(tsk_IsLeaf,GanttView[[#This Row],[_Row]])=1,N(INDEX(tsk_Duration,GanttView[[#This Row],[_Row]]))=0))</f>
        <v>0</v>
      </c>
      <c r="O132" s="127" t="n">
        <f aca="false">IF(IFERROR(INDEX(tsk_Name,GanttView[[#This Row],[_Row]])="",TRUE()),0,IF(AND(INDEX(tsk_IsLeaf,GanttView[[#This Row],[_Row]])=1,NOT(GanttView[[#This Row],[_IsMilestone]]),N(GanttView[[#This Row],[%]])&gt;0),GanttView[[#This Row],[Forecast Start]],0))</f>
        <v>0</v>
      </c>
      <c r="P132" s="127" t="n">
        <f aca="false">IF(GanttView[[#This Row],[_DoneFrom]]=0,0,IF(GanttView[[#This Row],[%]]&gt;=1,GanttView[[#This Row],[Forecast Finish]],MAX(GanttView[[#This Row],[_DoneFrom]],GanttView[[#This Row],[Forecast Start]]+ROUND((GanttView[[#This Row],[Forecast Finish]]-GanttView[[#This Row],[Forecast Start]]+1)*GanttView[[#This Row],[%]],0)-1)))</f>
        <v>0</v>
      </c>
      <c r="Q132" s="127" t="n">
        <f aca="false">IF(IFERROR(INDEX(tsk_Name,GanttView[[#This Row],[_Row]])="",TRUE()),0,IF(OR(INDEX(tsk_IsLeaf,GanttView[[#This Row],[_Row]])&lt;&gt;1,GanttView[[#This Row],[_IsMilestone]],N(GanttView[[#This Row],[%]])&gt;=1),0,IF(GanttView[[#This Row],[_DoneTo]]&gt;0,GanttView[[#This Row],[_DoneTo]]+1,GanttView[[#This Row],[Forecast Start]])))</f>
        <v>0</v>
      </c>
      <c r="R132" s="127" t="n">
        <f aca="false">IF(GanttView[[#This Row],[_RemFrom]]=0,0,GanttView[[#This Row],[Forecast Finish]])</f>
        <v>0</v>
      </c>
      <c r="S132" s="126" t="b">
        <f aca="false">IF(IFERROR(INDEX(tsk_Name,GanttView[[#This Row],[_Row]])="",TRUE()),FALSE(),N(INDEX(tsk_Variance,GanttView[[#This Row],[_Row]]))&gt;0)</f>
        <v>0</v>
      </c>
      <c r="T132" s="127" t="n">
        <f aca="false">IF(IFERROR(INDEX(tsk_Name,GanttView[[#This Row],[_Row]])="",TRUE()),0,N(INDEX(tsk_Deadline,GanttView[[#This Row],[_Row]])))</f>
        <v>0</v>
      </c>
      <c r="U132" s="126" t="b">
        <f aca="false">IF(IFERROR(INDEX(tsk_Name,GanttView[[#This Row],[_Row]])="",TRUE()),FALSE(),INDEX(tsk_Critical,GanttView[[#This Row],[_Row]])="Yes")</f>
        <v>0</v>
      </c>
    </row>
    <row r="133" customFormat="false" ht="15" hidden="false" customHeight="false" outlineLevel="0" collapsed="false">
      <c r="A133" s="120" t="str">
        <f aca="false">IF(IFERROR(INDEX(tsk_Name,GanttView[[#This Row],[_Row]])="",TRUE()),"",INDEX(tsk_ID,GanttView[[#This Row],[_Row]]))</f>
        <v/>
      </c>
      <c r="B133" s="120" t="str">
        <f aca="false">IF(IFERROR(INDEX(tsk_Name,GanttView[[#This Row],[_Row]])="",TRUE()),"",INDEX(tsk_WBS,GanttView[[#This Row],[_Row]]))</f>
        <v/>
      </c>
      <c r="C133" s="121" t="str">
        <f aca="false">IF(IFERROR(INDEX(tsk_Name,GanttView[[#This Row],[_Row]])="",TRUE()),"",REPT("    ",INDEX(tsk_Level,GanttView[[#This Row],[_Row]])-1)&amp;INDEX(tsk_Name,GanttView[[#This Row],[_Row]]))</f>
        <v/>
      </c>
      <c r="D133" s="120" t="str">
        <f aca="false">IF(IFERROR(INDEX(tsk_Name,GanttView[[#This Row],[_Row]])="",TRUE()),"",IF(INDEX(tsk_IsSummary,GanttView[[#This Row],[_Row]]),NETWORKDAYS.INTL(INDEX(tsk_FcStart,GanttView[[#This Row],[_Row]]),INDEX(tsk_FcFinish,GanttView[[#This Row],[_Row]]),WorkWeek,Holidays),N(INDEX(tsk_Duration,GanttView[[#This Row],[_Row]]))))</f>
        <v/>
      </c>
      <c r="E133" s="122" t="str">
        <f aca="false">IF(IFERROR(INDEX(tsk_Name,GanttView[[#This Row],[_Row]])="",TRUE()),"",INDEX(tsk_PlanStart,GanttView[[#This Row],[_Row]]))</f>
        <v/>
      </c>
      <c r="F133" s="122" t="str">
        <f aca="false">IF(IFERROR(INDEX(tsk_Name,GanttView[[#This Row],[_Row]])="",TRUE()),"",INDEX(tsk_PlanFinish,GanttView[[#This Row],[_Row]]))</f>
        <v/>
      </c>
      <c r="G133" s="122" t="str">
        <f aca="false">IF(IFERROR(INDEX(tsk_Name,GanttView[[#This Row],[_Row]])="",TRUE()),"",INDEX(tsk_FcStart,GanttView[[#This Row],[_Row]]))</f>
        <v/>
      </c>
      <c r="H133" s="122" t="str">
        <f aca="false">IF(IFERROR(INDEX(tsk_Name,GanttView[[#This Row],[_Row]])="",TRUE()),"",INDEX(tsk_FcFinish,GanttView[[#This Row],[_Row]]))</f>
        <v/>
      </c>
      <c r="I133" s="123" t="str">
        <f aca="false">IF(IFERROR(INDEX(tsk_Name,GanttView[[#This Row],[_Row]])="",TRUE()),"",INDEX(tsk_Progress,GanttView[[#This Row],[_Row]]))</f>
        <v/>
      </c>
      <c r="J133" s="121" t="str">
        <f aca="false">IF(IFERROR(INDEX(tsk_Name,GanttView[[#This Row],[_Row]])="",TRUE()),"",INDEX(tsk_Resource,GanttView[[#This Row],[_Row]])&amp;"")</f>
        <v/>
      </c>
      <c r="K133" s="124" t="str">
        <f aca="false">IF(IFERROR(INDEX(tsk_Name,GanttView[[#This Row],[_Row]])="",TRUE()),"",INDEX(tsk_Status,GanttView[[#This Row],[_Row]]))</f>
        <v/>
      </c>
      <c r="L133" s="125" t="n">
        <f aca="false">ROW()-ROW(GanttView[[#Headers],[ID]])</f>
        <v>128</v>
      </c>
      <c r="M133" s="126" t="b">
        <f aca="false">IF(IFERROR(INDEX(tsk_Name,GanttView[[#This Row],[_Row]])="",TRUE()),FALSE(),INDEX(tsk_IsSummary,GanttView[[#This Row],[_Row]]))</f>
        <v>0</v>
      </c>
      <c r="N133" s="126" t="b">
        <f aca="false">IF(IFERROR(INDEX(tsk_Name,GanttView[[#This Row],[_Row]])="",TRUE()),FALSE(),AND(INDEX(tsk_IsLeaf,GanttView[[#This Row],[_Row]])=1,N(INDEX(tsk_Duration,GanttView[[#This Row],[_Row]]))=0))</f>
        <v>0</v>
      </c>
      <c r="O133" s="127" t="n">
        <f aca="false">IF(IFERROR(INDEX(tsk_Name,GanttView[[#This Row],[_Row]])="",TRUE()),0,IF(AND(INDEX(tsk_IsLeaf,GanttView[[#This Row],[_Row]])=1,NOT(GanttView[[#This Row],[_IsMilestone]]),N(GanttView[[#This Row],[%]])&gt;0),GanttView[[#This Row],[Forecast Start]],0))</f>
        <v>0</v>
      </c>
      <c r="P133" s="127" t="n">
        <f aca="false">IF(GanttView[[#This Row],[_DoneFrom]]=0,0,IF(GanttView[[#This Row],[%]]&gt;=1,GanttView[[#This Row],[Forecast Finish]],MAX(GanttView[[#This Row],[_DoneFrom]],GanttView[[#This Row],[Forecast Start]]+ROUND((GanttView[[#This Row],[Forecast Finish]]-GanttView[[#This Row],[Forecast Start]]+1)*GanttView[[#This Row],[%]],0)-1)))</f>
        <v>0</v>
      </c>
      <c r="Q133" s="127" t="n">
        <f aca="false">IF(IFERROR(INDEX(tsk_Name,GanttView[[#This Row],[_Row]])="",TRUE()),0,IF(OR(INDEX(tsk_IsLeaf,GanttView[[#This Row],[_Row]])&lt;&gt;1,GanttView[[#This Row],[_IsMilestone]],N(GanttView[[#This Row],[%]])&gt;=1),0,IF(GanttView[[#This Row],[_DoneTo]]&gt;0,GanttView[[#This Row],[_DoneTo]]+1,GanttView[[#This Row],[Forecast Start]])))</f>
        <v>0</v>
      </c>
      <c r="R133" s="127" t="n">
        <f aca="false">IF(GanttView[[#This Row],[_RemFrom]]=0,0,GanttView[[#This Row],[Forecast Finish]])</f>
        <v>0</v>
      </c>
      <c r="S133" s="126" t="b">
        <f aca="false">IF(IFERROR(INDEX(tsk_Name,GanttView[[#This Row],[_Row]])="",TRUE()),FALSE(),N(INDEX(tsk_Variance,GanttView[[#This Row],[_Row]]))&gt;0)</f>
        <v>0</v>
      </c>
      <c r="T133" s="127" t="n">
        <f aca="false">IF(IFERROR(INDEX(tsk_Name,GanttView[[#This Row],[_Row]])="",TRUE()),0,N(INDEX(tsk_Deadline,GanttView[[#This Row],[_Row]])))</f>
        <v>0</v>
      </c>
      <c r="U133" s="126" t="b">
        <f aca="false">IF(IFERROR(INDEX(tsk_Name,GanttView[[#This Row],[_Row]])="",TRUE()),FALSE(),INDEX(tsk_Critical,GanttView[[#This Row],[_Row]])="Yes")</f>
        <v>0</v>
      </c>
    </row>
    <row r="134" customFormat="false" ht="15" hidden="false" customHeight="false" outlineLevel="0" collapsed="false">
      <c r="A134" s="120" t="str">
        <f aca="false">IF(IFERROR(INDEX(tsk_Name,GanttView[[#This Row],[_Row]])="",TRUE()),"",INDEX(tsk_ID,GanttView[[#This Row],[_Row]]))</f>
        <v/>
      </c>
      <c r="B134" s="120" t="str">
        <f aca="false">IF(IFERROR(INDEX(tsk_Name,GanttView[[#This Row],[_Row]])="",TRUE()),"",INDEX(tsk_WBS,GanttView[[#This Row],[_Row]]))</f>
        <v/>
      </c>
      <c r="C134" s="121" t="str">
        <f aca="false">IF(IFERROR(INDEX(tsk_Name,GanttView[[#This Row],[_Row]])="",TRUE()),"",REPT("    ",INDEX(tsk_Level,GanttView[[#This Row],[_Row]])-1)&amp;INDEX(tsk_Name,GanttView[[#This Row],[_Row]]))</f>
        <v/>
      </c>
      <c r="D134" s="120" t="str">
        <f aca="false">IF(IFERROR(INDEX(tsk_Name,GanttView[[#This Row],[_Row]])="",TRUE()),"",IF(INDEX(tsk_IsSummary,GanttView[[#This Row],[_Row]]),NETWORKDAYS.INTL(INDEX(tsk_FcStart,GanttView[[#This Row],[_Row]]),INDEX(tsk_FcFinish,GanttView[[#This Row],[_Row]]),WorkWeek,Holidays),N(INDEX(tsk_Duration,GanttView[[#This Row],[_Row]]))))</f>
        <v/>
      </c>
      <c r="E134" s="122" t="str">
        <f aca="false">IF(IFERROR(INDEX(tsk_Name,GanttView[[#This Row],[_Row]])="",TRUE()),"",INDEX(tsk_PlanStart,GanttView[[#This Row],[_Row]]))</f>
        <v/>
      </c>
      <c r="F134" s="122" t="str">
        <f aca="false">IF(IFERROR(INDEX(tsk_Name,GanttView[[#This Row],[_Row]])="",TRUE()),"",INDEX(tsk_PlanFinish,GanttView[[#This Row],[_Row]]))</f>
        <v/>
      </c>
      <c r="G134" s="122" t="str">
        <f aca="false">IF(IFERROR(INDEX(tsk_Name,GanttView[[#This Row],[_Row]])="",TRUE()),"",INDEX(tsk_FcStart,GanttView[[#This Row],[_Row]]))</f>
        <v/>
      </c>
      <c r="H134" s="122" t="str">
        <f aca="false">IF(IFERROR(INDEX(tsk_Name,GanttView[[#This Row],[_Row]])="",TRUE()),"",INDEX(tsk_FcFinish,GanttView[[#This Row],[_Row]]))</f>
        <v/>
      </c>
      <c r="I134" s="123" t="str">
        <f aca="false">IF(IFERROR(INDEX(tsk_Name,GanttView[[#This Row],[_Row]])="",TRUE()),"",INDEX(tsk_Progress,GanttView[[#This Row],[_Row]]))</f>
        <v/>
      </c>
      <c r="J134" s="121" t="str">
        <f aca="false">IF(IFERROR(INDEX(tsk_Name,GanttView[[#This Row],[_Row]])="",TRUE()),"",INDEX(tsk_Resource,GanttView[[#This Row],[_Row]])&amp;"")</f>
        <v/>
      </c>
      <c r="K134" s="124" t="str">
        <f aca="false">IF(IFERROR(INDEX(tsk_Name,GanttView[[#This Row],[_Row]])="",TRUE()),"",INDEX(tsk_Status,GanttView[[#This Row],[_Row]]))</f>
        <v/>
      </c>
      <c r="L134" s="125" t="n">
        <f aca="false">ROW()-ROW(GanttView[[#Headers],[ID]])</f>
        <v>129</v>
      </c>
      <c r="M134" s="126" t="b">
        <f aca="false">IF(IFERROR(INDEX(tsk_Name,GanttView[[#This Row],[_Row]])="",TRUE()),FALSE(),INDEX(tsk_IsSummary,GanttView[[#This Row],[_Row]]))</f>
        <v>0</v>
      </c>
      <c r="N134" s="126" t="b">
        <f aca="false">IF(IFERROR(INDEX(tsk_Name,GanttView[[#This Row],[_Row]])="",TRUE()),FALSE(),AND(INDEX(tsk_IsLeaf,GanttView[[#This Row],[_Row]])=1,N(INDEX(tsk_Duration,GanttView[[#This Row],[_Row]]))=0))</f>
        <v>0</v>
      </c>
      <c r="O134" s="127" t="n">
        <f aca="false">IF(IFERROR(INDEX(tsk_Name,GanttView[[#This Row],[_Row]])="",TRUE()),0,IF(AND(INDEX(tsk_IsLeaf,GanttView[[#This Row],[_Row]])=1,NOT(GanttView[[#This Row],[_IsMilestone]]),N(GanttView[[#This Row],[%]])&gt;0),GanttView[[#This Row],[Forecast Start]],0))</f>
        <v>0</v>
      </c>
      <c r="P134" s="127" t="n">
        <f aca="false">IF(GanttView[[#This Row],[_DoneFrom]]=0,0,IF(GanttView[[#This Row],[%]]&gt;=1,GanttView[[#This Row],[Forecast Finish]],MAX(GanttView[[#This Row],[_DoneFrom]],GanttView[[#This Row],[Forecast Start]]+ROUND((GanttView[[#This Row],[Forecast Finish]]-GanttView[[#This Row],[Forecast Start]]+1)*GanttView[[#This Row],[%]],0)-1)))</f>
        <v>0</v>
      </c>
      <c r="Q134" s="127" t="n">
        <f aca="false">IF(IFERROR(INDEX(tsk_Name,GanttView[[#This Row],[_Row]])="",TRUE()),0,IF(OR(INDEX(tsk_IsLeaf,GanttView[[#This Row],[_Row]])&lt;&gt;1,GanttView[[#This Row],[_IsMilestone]],N(GanttView[[#This Row],[%]])&gt;=1),0,IF(GanttView[[#This Row],[_DoneTo]]&gt;0,GanttView[[#This Row],[_DoneTo]]+1,GanttView[[#This Row],[Forecast Start]])))</f>
        <v>0</v>
      </c>
      <c r="R134" s="127" t="n">
        <f aca="false">IF(GanttView[[#This Row],[_RemFrom]]=0,0,GanttView[[#This Row],[Forecast Finish]])</f>
        <v>0</v>
      </c>
      <c r="S134" s="126" t="b">
        <f aca="false">IF(IFERROR(INDEX(tsk_Name,GanttView[[#This Row],[_Row]])="",TRUE()),FALSE(),N(INDEX(tsk_Variance,GanttView[[#This Row],[_Row]]))&gt;0)</f>
        <v>0</v>
      </c>
      <c r="T134" s="127" t="n">
        <f aca="false">IF(IFERROR(INDEX(tsk_Name,GanttView[[#This Row],[_Row]])="",TRUE()),0,N(INDEX(tsk_Deadline,GanttView[[#This Row],[_Row]])))</f>
        <v>0</v>
      </c>
      <c r="U134" s="126" t="b">
        <f aca="false">IF(IFERROR(INDEX(tsk_Name,GanttView[[#This Row],[_Row]])="",TRUE()),FALSE(),INDEX(tsk_Critical,GanttView[[#This Row],[_Row]])="Yes")</f>
        <v>0</v>
      </c>
    </row>
    <row r="135" customFormat="false" ht="15" hidden="false" customHeight="false" outlineLevel="0" collapsed="false">
      <c r="A135" s="120" t="str">
        <f aca="false">IF(IFERROR(INDEX(tsk_Name,GanttView[[#This Row],[_Row]])="",TRUE()),"",INDEX(tsk_ID,GanttView[[#This Row],[_Row]]))</f>
        <v/>
      </c>
      <c r="B135" s="120" t="str">
        <f aca="false">IF(IFERROR(INDEX(tsk_Name,GanttView[[#This Row],[_Row]])="",TRUE()),"",INDEX(tsk_WBS,GanttView[[#This Row],[_Row]]))</f>
        <v/>
      </c>
      <c r="C135" s="121" t="str">
        <f aca="false">IF(IFERROR(INDEX(tsk_Name,GanttView[[#This Row],[_Row]])="",TRUE()),"",REPT("    ",INDEX(tsk_Level,GanttView[[#This Row],[_Row]])-1)&amp;INDEX(tsk_Name,GanttView[[#This Row],[_Row]]))</f>
        <v/>
      </c>
      <c r="D135" s="120" t="str">
        <f aca="false">IF(IFERROR(INDEX(tsk_Name,GanttView[[#This Row],[_Row]])="",TRUE()),"",IF(INDEX(tsk_IsSummary,GanttView[[#This Row],[_Row]]),NETWORKDAYS.INTL(INDEX(tsk_FcStart,GanttView[[#This Row],[_Row]]),INDEX(tsk_FcFinish,GanttView[[#This Row],[_Row]]),WorkWeek,Holidays),N(INDEX(tsk_Duration,GanttView[[#This Row],[_Row]]))))</f>
        <v/>
      </c>
      <c r="E135" s="122" t="str">
        <f aca="false">IF(IFERROR(INDEX(tsk_Name,GanttView[[#This Row],[_Row]])="",TRUE()),"",INDEX(tsk_PlanStart,GanttView[[#This Row],[_Row]]))</f>
        <v/>
      </c>
      <c r="F135" s="122" t="str">
        <f aca="false">IF(IFERROR(INDEX(tsk_Name,GanttView[[#This Row],[_Row]])="",TRUE()),"",INDEX(tsk_PlanFinish,GanttView[[#This Row],[_Row]]))</f>
        <v/>
      </c>
      <c r="G135" s="122" t="str">
        <f aca="false">IF(IFERROR(INDEX(tsk_Name,GanttView[[#This Row],[_Row]])="",TRUE()),"",INDEX(tsk_FcStart,GanttView[[#This Row],[_Row]]))</f>
        <v/>
      </c>
      <c r="H135" s="122" t="str">
        <f aca="false">IF(IFERROR(INDEX(tsk_Name,GanttView[[#This Row],[_Row]])="",TRUE()),"",INDEX(tsk_FcFinish,GanttView[[#This Row],[_Row]]))</f>
        <v/>
      </c>
      <c r="I135" s="123" t="str">
        <f aca="false">IF(IFERROR(INDEX(tsk_Name,GanttView[[#This Row],[_Row]])="",TRUE()),"",INDEX(tsk_Progress,GanttView[[#This Row],[_Row]]))</f>
        <v/>
      </c>
      <c r="J135" s="121" t="str">
        <f aca="false">IF(IFERROR(INDEX(tsk_Name,GanttView[[#This Row],[_Row]])="",TRUE()),"",INDEX(tsk_Resource,GanttView[[#This Row],[_Row]])&amp;"")</f>
        <v/>
      </c>
      <c r="K135" s="124" t="str">
        <f aca="false">IF(IFERROR(INDEX(tsk_Name,GanttView[[#This Row],[_Row]])="",TRUE()),"",INDEX(tsk_Status,GanttView[[#This Row],[_Row]]))</f>
        <v/>
      </c>
      <c r="L135" s="125" t="n">
        <f aca="false">ROW()-ROW(GanttView[[#Headers],[ID]])</f>
        <v>130</v>
      </c>
      <c r="M135" s="126" t="b">
        <f aca="false">IF(IFERROR(INDEX(tsk_Name,GanttView[[#This Row],[_Row]])="",TRUE()),FALSE(),INDEX(tsk_IsSummary,GanttView[[#This Row],[_Row]]))</f>
        <v>0</v>
      </c>
      <c r="N135" s="126" t="b">
        <f aca="false">IF(IFERROR(INDEX(tsk_Name,GanttView[[#This Row],[_Row]])="",TRUE()),FALSE(),AND(INDEX(tsk_IsLeaf,GanttView[[#This Row],[_Row]])=1,N(INDEX(tsk_Duration,GanttView[[#This Row],[_Row]]))=0))</f>
        <v>0</v>
      </c>
      <c r="O135" s="127" t="n">
        <f aca="false">IF(IFERROR(INDEX(tsk_Name,GanttView[[#This Row],[_Row]])="",TRUE()),0,IF(AND(INDEX(tsk_IsLeaf,GanttView[[#This Row],[_Row]])=1,NOT(GanttView[[#This Row],[_IsMilestone]]),N(GanttView[[#This Row],[%]])&gt;0),GanttView[[#This Row],[Forecast Start]],0))</f>
        <v>0</v>
      </c>
      <c r="P135" s="127" t="n">
        <f aca="false">IF(GanttView[[#This Row],[_DoneFrom]]=0,0,IF(GanttView[[#This Row],[%]]&gt;=1,GanttView[[#This Row],[Forecast Finish]],MAX(GanttView[[#This Row],[_DoneFrom]],GanttView[[#This Row],[Forecast Start]]+ROUND((GanttView[[#This Row],[Forecast Finish]]-GanttView[[#This Row],[Forecast Start]]+1)*GanttView[[#This Row],[%]],0)-1)))</f>
        <v>0</v>
      </c>
      <c r="Q135" s="127" t="n">
        <f aca="false">IF(IFERROR(INDEX(tsk_Name,GanttView[[#This Row],[_Row]])="",TRUE()),0,IF(OR(INDEX(tsk_IsLeaf,GanttView[[#This Row],[_Row]])&lt;&gt;1,GanttView[[#This Row],[_IsMilestone]],N(GanttView[[#This Row],[%]])&gt;=1),0,IF(GanttView[[#This Row],[_DoneTo]]&gt;0,GanttView[[#This Row],[_DoneTo]]+1,GanttView[[#This Row],[Forecast Start]])))</f>
        <v>0</v>
      </c>
      <c r="R135" s="127" t="n">
        <f aca="false">IF(GanttView[[#This Row],[_RemFrom]]=0,0,GanttView[[#This Row],[Forecast Finish]])</f>
        <v>0</v>
      </c>
      <c r="S135" s="126" t="b">
        <f aca="false">IF(IFERROR(INDEX(tsk_Name,GanttView[[#This Row],[_Row]])="",TRUE()),FALSE(),N(INDEX(tsk_Variance,GanttView[[#This Row],[_Row]]))&gt;0)</f>
        <v>0</v>
      </c>
      <c r="T135" s="127" t="n">
        <f aca="false">IF(IFERROR(INDEX(tsk_Name,GanttView[[#This Row],[_Row]])="",TRUE()),0,N(INDEX(tsk_Deadline,GanttView[[#This Row],[_Row]])))</f>
        <v>0</v>
      </c>
      <c r="U135" s="126" t="b">
        <f aca="false">IF(IFERROR(INDEX(tsk_Name,GanttView[[#This Row],[_Row]])="",TRUE()),FALSE(),INDEX(tsk_Critical,GanttView[[#This Row],[_Row]])="Yes")</f>
        <v>0</v>
      </c>
    </row>
    <row r="136" customFormat="false" ht="15" hidden="false" customHeight="false" outlineLevel="0" collapsed="false">
      <c r="A136" s="120" t="str">
        <f aca="false">IF(IFERROR(INDEX(tsk_Name,GanttView[[#This Row],[_Row]])="",TRUE()),"",INDEX(tsk_ID,GanttView[[#This Row],[_Row]]))</f>
        <v/>
      </c>
      <c r="B136" s="120" t="str">
        <f aca="false">IF(IFERROR(INDEX(tsk_Name,GanttView[[#This Row],[_Row]])="",TRUE()),"",INDEX(tsk_WBS,GanttView[[#This Row],[_Row]]))</f>
        <v/>
      </c>
      <c r="C136" s="121" t="str">
        <f aca="false">IF(IFERROR(INDEX(tsk_Name,GanttView[[#This Row],[_Row]])="",TRUE()),"",REPT("    ",INDEX(tsk_Level,GanttView[[#This Row],[_Row]])-1)&amp;INDEX(tsk_Name,GanttView[[#This Row],[_Row]]))</f>
        <v/>
      </c>
      <c r="D136" s="120" t="str">
        <f aca="false">IF(IFERROR(INDEX(tsk_Name,GanttView[[#This Row],[_Row]])="",TRUE()),"",IF(INDEX(tsk_IsSummary,GanttView[[#This Row],[_Row]]),NETWORKDAYS.INTL(INDEX(tsk_FcStart,GanttView[[#This Row],[_Row]]),INDEX(tsk_FcFinish,GanttView[[#This Row],[_Row]]),WorkWeek,Holidays),N(INDEX(tsk_Duration,GanttView[[#This Row],[_Row]]))))</f>
        <v/>
      </c>
      <c r="E136" s="122" t="str">
        <f aca="false">IF(IFERROR(INDEX(tsk_Name,GanttView[[#This Row],[_Row]])="",TRUE()),"",INDEX(tsk_PlanStart,GanttView[[#This Row],[_Row]]))</f>
        <v/>
      </c>
      <c r="F136" s="122" t="str">
        <f aca="false">IF(IFERROR(INDEX(tsk_Name,GanttView[[#This Row],[_Row]])="",TRUE()),"",INDEX(tsk_PlanFinish,GanttView[[#This Row],[_Row]]))</f>
        <v/>
      </c>
      <c r="G136" s="122" t="str">
        <f aca="false">IF(IFERROR(INDEX(tsk_Name,GanttView[[#This Row],[_Row]])="",TRUE()),"",INDEX(tsk_FcStart,GanttView[[#This Row],[_Row]]))</f>
        <v/>
      </c>
      <c r="H136" s="122" t="str">
        <f aca="false">IF(IFERROR(INDEX(tsk_Name,GanttView[[#This Row],[_Row]])="",TRUE()),"",INDEX(tsk_FcFinish,GanttView[[#This Row],[_Row]]))</f>
        <v/>
      </c>
      <c r="I136" s="123" t="str">
        <f aca="false">IF(IFERROR(INDEX(tsk_Name,GanttView[[#This Row],[_Row]])="",TRUE()),"",INDEX(tsk_Progress,GanttView[[#This Row],[_Row]]))</f>
        <v/>
      </c>
      <c r="J136" s="121" t="str">
        <f aca="false">IF(IFERROR(INDEX(tsk_Name,GanttView[[#This Row],[_Row]])="",TRUE()),"",INDEX(tsk_Resource,GanttView[[#This Row],[_Row]])&amp;"")</f>
        <v/>
      </c>
      <c r="K136" s="124" t="str">
        <f aca="false">IF(IFERROR(INDEX(tsk_Name,GanttView[[#This Row],[_Row]])="",TRUE()),"",INDEX(tsk_Status,GanttView[[#This Row],[_Row]]))</f>
        <v/>
      </c>
      <c r="L136" s="125" t="n">
        <f aca="false">ROW()-ROW(GanttView[[#Headers],[ID]])</f>
        <v>131</v>
      </c>
      <c r="M136" s="126" t="b">
        <f aca="false">IF(IFERROR(INDEX(tsk_Name,GanttView[[#This Row],[_Row]])="",TRUE()),FALSE(),INDEX(tsk_IsSummary,GanttView[[#This Row],[_Row]]))</f>
        <v>0</v>
      </c>
      <c r="N136" s="126" t="b">
        <f aca="false">IF(IFERROR(INDEX(tsk_Name,GanttView[[#This Row],[_Row]])="",TRUE()),FALSE(),AND(INDEX(tsk_IsLeaf,GanttView[[#This Row],[_Row]])=1,N(INDEX(tsk_Duration,GanttView[[#This Row],[_Row]]))=0))</f>
        <v>0</v>
      </c>
      <c r="O136" s="127" t="n">
        <f aca="false">IF(IFERROR(INDEX(tsk_Name,GanttView[[#This Row],[_Row]])="",TRUE()),0,IF(AND(INDEX(tsk_IsLeaf,GanttView[[#This Row],[_Row]])=1,NOT(GanttView[[#This Row],[_IsMilestone]]),N(GanttView[[#This Row],[%]])&gt;0),GanttView[[#This Row],[Forecast Start]],0))</f>
        <v>0</v>
      </c>
      <c r="P136" s="127" t="n">
        <f aca="false">IF(GanttView[[#This Row],[_DoneFrom]]=0,0,IF(GanttView[[#This Row],[%]]&gt;=1,GanttView[[#This Row],[Forecast Finish]],MAX(GanttView[[#This Row],[_DoneFrom]],GanttView[[#This Row],[Forecast Start]]+ROUND((GanttView[[#This Row],[Forecast Finish]]-GanttView[[#This Row],[Forecast Start]]+1)*GanttView[[#This Row],[%]],0)-1)))</f>
        <v>0</v>
      </c>
      <c r="Q136" s="127" t="n">
        <f aca="false">IF(IFERROR(INDEX(tsk_Name,GanttView[[#This Row],[_Row]])="",TRUE()),0,IF(OR(INDEX(tsk_IsLeaf,GanttView[[#This Row],[_Row]])&lt;&gt;1,GanttView[[#This Row],[_IsMilestone]],N(GanttView[[#This Row],[%]])&gt;=1),0,IF(GanttView[[#This Row],[_DoneTo]]&gt;0,GanttView[[#This Row],[_DoneTo]]+1,GanttView[[#This Row],[Forecast Start]])))</f>
        <v>0</v>
      </c>
      <c r="R136" s="127" t="n">
        <f aca="false">IF(GanttView[[#This Row],[_RemFrom]]=0,0,GanttView[[#This Row],[Forecast Finish]])</f>
        <v>0</v>
      </c>
      <c r="S136" s="126" t="b">
        <f aca="false">IF(IFERROR(INDEX(tsk_Name,GanttView[[#This Row],[_Row]])="",TRUE()),FALSE(),N(INDEX(tsk_Variance,GanttView[[#This Row],[_Row]]))&gt;0)</f>
        <v>0</v>
      </c>
      <c r="T136" s="127" t="n">
        <f aca="false">IF(IFERROR(INDEX(tsk_Name,GanttView[[#This Row],[_Row]])="",TRUE()),0,N(INDEX(tsk_Deadline,GanttView[[#This Row],[_Row]])))</f>
        <v>0</v>
      </c>
      <c r="U136" s="126" t="b">
        <f aca="false">IF(IFERROR(INDEX(tsk_Name,GanttView[[#This Row],[_Row]])="",TRUE()),FALSE(),INDEX(tsk_Critical,GanttView[[#This Row],[_Row]])="Yes")</f>
        <v>0</v>
      </c>
    </row>
    <row r="137" customFormat="false" ht="15" hidden="false" customHeight="false" outlineLevel="0" collapsed="false">
      <c r="A137" s="120" t="str">
        <f aca="false">IF(IFERROR(INDEX(tsk_Name,GanttView[[#This Row],[_Row]])="",TRUE()),"",INDEX(tsk_ID,GanttView[[#This Row],[_Row]]))</f>
        <v/>
      </c>
      <c r="B137" s="120" t="str">
        <f aca="false">IF(IFERROR(INDEX(tsk_Name,GanttView[[#This Row],[_Row]])="",TRUE()),"",INDEX(tsk_WBS,GanttView[[#This Row],[_Row]]))</f>
        <v/>
      </c>
      <c r="C137" s="121" t="str">
        <f aca="false">IF(IFERROR(INDEX(tsk_Name,GanttView[[#This Row],[_Row]])="",TRUE()),"",REPT("    ",INDEX(tsk_Level,GanttView[[#This Row],[_Row]])-1)&amp;INDEX(tsk_Name,GanttView[[#This Row],[_Row]]))</f>
        <v/>
      </c>
      <c r="D137" s="120" t="str">
        <f aca="false">IF(IFERROR(INDEX(tsk_Name,GanttView[[#This Row],[_Row]])="",TRUE()),"",IF(INDEX(tsk_IsSummary,GanttView[[#This Row],[_Row]]),NETWORKDAYS.INTL(INDEX(tsk_FcStart,GanttView[[#This Row],[_Row]]),INDEX(tsk_FcFinish,GanttView[[#This Row],[_Row]]),WorkWeek,Holidays),N(INDEX(tsk_Duration,GanttView[[#This Row],[_Row]]))))</f>
        <v/>
      </c>
      <c r="E137" s="122" t="str">
        <f aca="false">IF(IFERROR(INDEX(tsk_Name,GanttView[[#This Row],[_Row]])="",TRUE()),"",INDEX(tsk_PlanStart,GanttView[[#This Row],[_Row]]))</f>
        <v/>
      </c>
      <c r="F137" s="122" t="str">
        <f aca="false">IF(IFERROR(INDEX(tsk_Name,GanttView[[#This Row],[_Row]])="",TRUE()),"",INDEX(tsk_PlanFinish,GanttView[[#This Row],[_Row]]))</f>
        <v/>
      </c>
      <c r="G137" s="122" t="str">
        <f aca="false">IF(IFERROR(INDEX(tsk_Name,GanttView[[#This Row],[_Row]])="",TRUE()),"",INDEX(tsk_FcStart,GanttView[[#This Row],[_Row]]))</f>
        <v/>
      </c>
      <c r="H137" s="122" t="str">
        <f aca="false">IF(IFERROR(INDEX(tsk_Name,GanttView[[#This Row],[_Row]])="",TRUE()),"",INDEX(tsk_FcFinish,GanttView[[#This Row],[_Row]]))</f>
        <v/>
      </c>
      <c r="I137" s="123" t="str">
        <f aca="false">IF(IFERROR(INDEX(tsk_Name,GanttView[[#This Row],[_Row]])="",TRUE()),"",INDEX(tsk_Progress,GanttView[[#This Row],[_Row]]))</f>
        <v/>
      </c>
      <c r="J137" s="121" t="str">
        <f aca="false">IF(IFERROR(INDEX(tsk_Name,GanttView[[#This Row],[_Row]])="",TRUE()),"",INDEX(tsk_Resource,GanttView[[#This Row],[_Row]])&amp;"")</f>
        <v/>
      </c>
      <c r="K137" s="124" t="str">
        <f aca="false">IF(IFERROR(INDEX(tsk_Name,GanttView[[#This Row],[_Row]])="",TRUE()),"",INDEX(tsk_Status,GanttView[[#This Row],[_Row]]))</f>
        <v/>
      </c>
      <c r="L137" s="125" t="n">
        <f aca="false">ROW()-ROW(GanttView[[#Headers],[ID]])</f>
        <v>132</v>
      </c>
      <c r="M137" s="126" t="b">
        <f aca="false">IF(IFERROR(INDEX(tsk_Name,GanttView[[#This Row],[_Row]])="",TRUE()),FALSE(),INDEX(tsk_IsSummary,GanttView[[#This Row],[_Row]]))</f>
        <v>0</v>
      </c>
      <c r="N137" s="126" t="b">
        <f aca="false">IF(IFERROR(INDEX(tsk_Name,GanttView[[#This Row],[_Row]])="",TRUE()),FALSE(),AND(INDEX(tsk_IsLeaf,GanttView[[#This Row],[_Row]])=1,N(INDEX(tsk_Duration,GanttView[[#This Row],[_Row]]))=0))</f>
        <v>0</v>
      </c>
      <c r="O137" s="127" t="n">
        <f aca="false">IF(IFERROR(INDEX(tsk_Name,GanttView[[#This Row],[_Row]])="",TRUE()),0,IF(AND(INDEX(tsk_IsLeaf,GanttView[[#This Row],[_Row]])=1,NOT(GanttView[[#This Row],[_IsMilestone]]),N(GanttView[[#This Row],[%]])&gt;0),GanttView[[#This Row],[Forecast Start]],0))</f>
        <v>0</v>
      </c>
      <c r="P137" s="127" t="n">
        <f aca="false">IF(GanttView[[#This Row],[_DoneFrom]]=0,0,IF(GanttView[[#This Row],[%]]&gt;=1,GanttView[[#This Row],[Forecast Finish]],MAX(GanttView[[#This Row],[_DoneFrom]],GanttView[[#This Row],[Forecast Start]]+ROUND((GanttView[[#This Row],[Forecast Finish]]-GanttView[[#This Row],[Forecast Start]]+1)*GanttView[[#This Row],[%]],0)-1)))</f>
        <v>0</v>
      </c>
      <c r="Q137" s="127" t="n">
        <f aca="false">IF(IFERROR(INDEX(tsk_Name,GanttView[[#This Row],[_Row]])="",TRUE()),0,IF(OR(INDEX(tsk_IsLeaf,GanttView[[#This Row],[_Row]])&lt;&gt;1,GanttView[[#This Row],[_IsMilestone]],N(GanttView[[#This Row],[%]])&gt;=1),0,IF(GanttView[[#This Row],[_DoneTo]]&gt;0,GanttView[[#This Row],[_DoneTo]]+1,GanttView[[#This Row],[Forecast Start]])))</f>
        <v>0</v>
      </c>
      <c r="R137" s="127" t="n">
        <f aca="false">IF(GanttView[[#This Row],[_RemFrom]]=0,0,GanttView[[#This Row],[Forecast Finish]])</f>
        <v>0</v>
      </c>
      <c r="S137" s="126" t="b">
        <f aca="false">IF(IFERROR(INDEX(tsk_Name,GanttView[[#This Row],[_Row]])="",TRUE()),FALSE(),N(INDEX(tsk_Variance,GanttView[[#This Row],[_Row]]))&gt;0)</f>
        <v>0</v>
      </c>
      <c r="T137" s="127" t="n">
        <f aca="false">IF(IFERROR(INDEX(tsk_Name,GanttView[[#This Row],[_Row]])="",TRUE()),0,N(INDEX(tsk_Deadline,GanttView[[#This Row],[_Row]])))</f>
        <v>0</v>
      </c>
      <c r="U137" s="126" t="b">
        <f aca="false">IF(IFERROR(INDEX(tsk_Name,GanttView[[#This Row],[_Row]])="",TRUE()),FALSE(),INDEX(tsk_Critical,GanttView[[#This Row],[_Row]])="Yes")</f>
        <v>0</v>
      </c>
    </row>
    <row r="138" customFormat="false" ht="15" hidden="false" customHeight="false" outlineLevel="0" collapsed="false">
      <c r="A138" s="120" t="str">
        <f aca="false">IF(IFERROR(INDEX(tsk_Name,GanttView[[#This Row],[_Row]])="",TRUE()),"",INDEX(tsk_ID,GanttView[[#This Row],[_Row]]))</f>
        <v/>
      </c>
      <c r="B138" s="120" t="str">
        <f aca="false">IF(IFERROR(INDEX(tsk_Name,GanttView[[#This Row],[_Row]])="",TRUE()),"",INDEX(tsk_WBS,GanttView[[#This Row],[_Row]]))</f>
        <v/>
      </c>
      <c r="C138" s="121" t="str">
        <f aca="false">IF(IFERROR(INDEX(tsk_Name,GanttView[[#This Row],[_Row]])="",TRUE()),"",REPT("    ",INDEX(tsk_Level,GanttView[[#This Row],[_Row]])-1)&amp;INDEX(tsk_Name,GanttView[[#This Row],[_Row]]))</f>
        <v/>
      </c>
      <c r="D138" s="120" t="str">
        <f aca="false">IF(IFERROR(INDEX(tsk_Name,GanttView[[#This Row],[_Row]])="",TRUE()),"",IF(INDEX(tsk_IsSummary,GanttView[[#This Row],[_Row]]),NETWORKDAYS.INTL(INDEX(tsk_FcStart,GanttView[[#This Row],[_Row]]),INDEX(tsk_FcFinish,GanttView[[#This Row],[_Row]]),WorkWeek,Holidays),N(INDEX(tsk_Duration,GanttView[[#This Row],[_Row]]))))</f>
        <v/>
      </c>
      <c r="E138" s="122" t="str">
        <f aca="false">IF(IFERROR(INDEX(tsk_Name,GanttView[[#This Row],[_Row]])="",TRUE()),"",INDEX(tsk_PlanStart,GanttView[[#This Row],[_Row]]))</f>
        <v/>
      </c>
      <c r="F138" s="122" t="str">
        <f aca="false">IF(IFERROR(INDEX(tsk_Name,GanttView[[#This Row],[_Row]])="",TRUE()),"",INDEX(tsk_PlanFinish,GanttView[[#This Row],[_Row]]))</f>
        <v/>
      </c>
      <c r="G138" s="122" t="str">
        <f aca="false">IF(IFERROR(INDEX(tsk_Name,GanttView[[#This Row],[_Row]])="",TRUE()),"",INDEX(tsk_FcStart,GanttView[[#This Row],[_Row]]))</f>
        <v/>
      </c>
      <c r="H138" s="122" t="str">
        <f aca="false">IF(IFERROR(INDEX(tsk_Name,GanttView[[#This Row],[_Row]])="",TRUE()),"",INDEX(tsk_FcFinish,GanttView[[#This Row],[_Row]]))</f>
        <v/>
      </c>
      <c r="I138" s="123" t="str">
        <f aca="false">IF(IFERROR(INDEX(tsk_Name,GanttView[[#This Row],[_Row]])="",TRUE()),"",INDEX(tsk_Progress,GanttView[[#This Row],[_Row]]))</f>
        <v/>
      </c>
      <c r="J138" s="121" t="str">
        <f aca="false">IF(IFERROR(INDEX(tsk_Name,GanttView[[#This Row],[_Row]])="",TRUE()),"",INDEX(tsk_Resource,GanttView[[#This Row],[_Row]])&amp;"")</f>
        <v/>
      </c>
      <c r="K138" s="124" t="str">
        <f aca="false">IF(IFERROR(INDEX(tsk_Name,GanttView[[#This Row],[_Row]])="",TRUE()),"",INDEX(tsk_Status,GanttView[[#This Row],[_Row]]))</f>
        <v/>
      </c>
      <c r="L138" s="125" t="n">
        <f aca="false">ROW()-ROW(GanttView[[#Headers],[ID]])</f>
        <v>133</v>
      </c>
      <c r="M138" s="126" t="b">
        <f aca="false">IF(IFERROR(INDEX(tsk_Name,GanttView[[#This Row],[_Row]])="",TRUE()),FALSE(),INDEX(tsk_IsSummary,GanttView[[#This Row],[_Row]]))</f>
        <v>0</v>
      </c>
      <c r="N138" s="126" t="b">
        <f aca="false">IF(IFERROR(INDEX(tsk_Name,GanttView[[#This Row],[_Row]])="",TRUE()),FALSE(),AND(INDEX(tsk_IsLeaf,GanttView[[#This Row],[_Row]])=1,N(INDEX(tsk_Duration,GanttView[[#This Row],[_Row]]))=0))</f>
        <v>0</v>
      </c>
      <c r="O138" s="127" t="n">
        <f aca="false">IF(IFERROR(INDEX(tsk_Name,GanttView[[#This Row],[_Row]])="",TRUE()),0,IF(AND(INDEX(tsk_IsLeaf,GanttView[[#This Row],[_Row]])=1,NOT(GanttView[[#This Row],[_IsMilestone]]),N(GanttView[[#This Row],[%]])&gt;0),GanttView[[#This Row],[Forecast Start]],0))</f>
        <v>0</v>
      </c>
      <c r="P138" s="127" t="n">
        <f aca="false">IF(GanttView[[#This Row],[_DoneFrom]]=0,0,IF(GanttView[[#This Row],[%]]&gt;=1,GanttView[[#This Row],[Forecast Finish]],MAX(GanttView[[#This Row],[_DoneFrom]],GanttView[[#This Row],[Forecast Start]]+ROUND((GanttView[[#This Row],[Forecast Finish]]-GanttView[[#This Row],[Forecast Start]]+1)*GanttView[[#This Row],[%]],0)-1)))</f>
        <v>0</v>
      </c>
      <c r="Q138" s="127" t="n">
        <f aca="false">IF(IFERROR(INDEX(tsk_Name,GanttView[[#This Row],[_Row]])="",TRUE()),0,IF(OR(INDEX(tsk_IsLeaf,GanttView[[#This Row],[_Row]])&lt;&gt;1,GanttView[[#This Row],[_IsMilestone]],N(GanttView[[#This Row],[%]])&gt;=1),0,IF(GanttView[[#This Row],[_DoneTo]]&gt;0,GanttView[[#This Row],[_DoneTo]]+1,GanttView[[#This Row],[Forecast Start]])))</f>
        <v>0</v>
      </c>
      <c r="R138" s="127" t="n">
        <f aca="false">IF(GanttView[[#This Row],[_RemFrom]]=0,0,GanttView[[#This Row],[Forecast Finish]])</f>
        <v>0</v>
      </c>
      <c r="S138" s="126" t="b">
        <f aca="false">IF(IFERROR(INDEX(tsk_Name,GanttView[[#This Row],[_Row]])="",TRUE()),FALSE(),N(INDEX(tsk_Variance,GanttView[[#This Row],[_Row]]))&gt;0)</f>
        <v>0</v>
      </c>
      <c r="T138" s="127" t="n">
        <f aca="false">IF(IFERROR(INDEX(tsk_Name,GanttView[[#This Row],[_Row]])="",TRUE()),0,N(INDEX(tsk_Deadline,GanttView[[#This Row],[_Row]])))</f>
        <v>0</v>
      </c>
      <c r="U138" s="126" t="b">
        <f aca="false">IF(IFERROR(INDEX(tsk_Name,GanttView[[#This Row],[_Row]])="",TRUE()),FALSE(),INDEX(tsk_Critical,GanttView[[#This Row],[_Row]])="Yes")</f>
        <v>0</v>
      </c>
    </row>
    <row r="139" customFormat="false" ht="15" hidden="false" customHeight="false" outlineLevel="0" collapsed="false">
      <c r="A139" s="120" t="str">
        <f aca="false">IF(IFERROR(INDEX(tsk_Name,GanttView[[#This Row],[_Row]])="",TRUE()),"",INDEX(tsk_ID,GanttView[[#This Row],[_Row]]))</f>
        <v/>
      </c>
      <c r="B139" s="120" t="str">
        <f aca="false">IF(IFERROR(INDEX(tsk_Name,GanttView[[#This Row],[_Row]])="",TRUE()),"",INDEX(tsk_WBS,GanttView[[#This Row],[_Row]]))</f>
        <v/>
      </c>
      <c r="C139" s="121" t="str">
        <f aca="false">IF(IFERROR(INDEX(tsk_Name,GanttView[[#This Row],[_Row]])="",TRUE()),"",REPT("    ",INDEX(tsk_Level,GanttView[[#This Row],[_Row]])-1)&amp;INDEX(tsk_Name,GanttView[[#This Row],[_Row]]))</f>
        <v/>
      </c>
      <c r="D139" s="120" t="str">
        <f aca="false">IF(IFERROR(INDEX(tsk_Name,GanttView[[#This Row],[_Row]])="",TRUE()),"",IF(INDEX(tsk_IsSummary,GanttView[[#This Row],[_Row]]),NETWORKDAYS.INTL(INDEX(tsk_FcStart,GanttView[[#This Row],[_Row]]),INDEX(tsk_FcFinish,GanttView[[#This Row],[_Row]]),WorkWeek,Holidays),N(INDEX(tsk_Duration,GanttView[[#This Row],[_Row]]))))</f>
        <v/>
      </c>
      <c r="E139" s="122" t="str">
        <f aca="false">IF(IFERROR(INDEX(tsk_Name,GanttView[[#This Row],[_Row]])="",TRUE()),"",INDEX(tsk_PlanStart,GanttView[[#This Row],[_Row]]))</f>
        <v/>
      </c>
      <c r="F139" s="122" t="str">
        <f aca="false">IF(IFERROR(INDEX(tsk_Name,GanttView[[#This Row],[_Row]])="",TRUE()),"",INDEX(tsk_PlanFinish,GanttView[[#This Row],[_Row]]))</f>
        <v/>
      </c>
      <c r="G139" s="122" t="str">
        <f aca="false">IF(IFERROR(INDEX(tsk_Name,GanttView[[#This Row],[_Row]])="",TRUE()),"",INDEX(tsk_FcStart,GanttView[[#This Row],[_Row]]))</f>
        <v/>
      </c>
      <c r="H139" s="122" t="str">
        <f aca="false">IF(IFERROR(INDEX(tsk_Name,GanttView[[#This Row],[_Row]])="",TRUE()),"",INDEX(tsk_FcFinish,GanttView[[#This Row],[_Row]]))</f>
        <v/>
      </c>
      <c r="I139" s="123" t="str">
        <f aca="false">IF(IFERROR(INDEX(tsk_Name,GanttView[[#This Row],[_Row]])="",TRUE()),"",INDEX(tsk_Progress,GanttView[[#This Row],[_Row]]))</f>
        <v/>
      </c>
      <c r="J139" s="121" t="str">
        <f aca="false">IF(IFERROR(INDEX(tsk_Name,GanttView[[#This Row],[_Row]])="",TRUE()),"",INDEX(tsk_Resource,GanttView[[#This Row],[_Row]])&amp;"")</f>
        <v/>
      </c>
      <c r="K139" s="124" t="str">
        <f aca="false">IF(IFERROR(INDEX(tsk_Name,GanttView[[#This Row],[_Row]])="",TRUE()),"",INDEX(tsk_Status,GanttView[[#This Row],[_Row]]))</f>
        <v/>
      </c>
      <c r="L139" s="125" t="n">
        <f aca="false">ROW()-ROW(GanttView[[#Headers],[ID]])</f>
        <v>134</v>
      </c>
      <c r="M139" s="126" t="b">
        <f aca="false">IF(IFERROR(INDEX(tsk_Name,GanttView[[#This Row],[_Row]])="",TRUE()),FALSE(),INDEX(tsk_IsSummary,GanttView[[#This Row],[_Row]]))</f>
        <v>0</v>
      </c>
      <c r="N139" s="126" t="b">
        <f aca="false">IF(IFERROR(INDEX(tsk_Name,GanttView[[#This Row],[_Row]])="",TRUE()),FALSE(),AND(INDEX(tsk_IsLeaf,GanttView[[#This Row],[_Row]])=1,N(INDEX(tsk_Duration,GanttView[[#This Row],[_Row]]))=0))</f>
        <v>0</v>
      </c>
      <c r="O139" s="127" t="n">
        <f aca="false">IF(IFERROR(INDEX(tsk_Name,GanttView[[#This Row],[_Row]])="",TRUE()),0,IF(AND(INDEX(tsk_IsLeaf,GanttView[[#This Row],[_Row]])=1,NOT(GanttView[[#This Row],[_IsMilestone]]),N(GanttView[[#This Row],[%]])&gt;0),GanttView[[#This Row],[Forecast Start]],0))</f>
        <v>0</v>
      </c>
      <c r="P139" s="127" t="n">
        <f aca="false">IF(GanttView[[#This Row],[_DoneFrom]]=0,0,IF(GanttView[[#This Row],[%]]&gt;=1,GanttView[[#This Row],[Forecast Finish]],MAX(GanttView[[#This Row],[_DoneFrom]],GanttView[[#This Row],[Forecast Start]]+ROUND((GanttView[[#This Row],[Forecast Finish]]-GanttView[[#This Row],[Forecast Start]]+1)*GanttView[[#This Row],[%]],0)-1)))</f>
        <v>0</v>
      </c>
      <c r="Q139" s="127" t="n">
        <f aca="false">IF(IFERROR(INDEX(tsk_Name,GanttView[[#This Row],[_Row]])="",TRUE()),0,IF(OR(INDEX(tsk_IsLeaf,GanttView[[#This Row],[_Row]])&lt;&gt;1,GanttView[[#This Row],[_IsMilestone]],N(GanttView[[#This Row],[%]])&gt;=1),0,IF(GanttView[[#This Row],[_DoneTo]]&gt;0,GanttView[[#This Row],[_DoneTo]]+1,GanttView[[#This Row],[Forecast Start]])))</f>
        <v>0</v>
      </c>
      <c r="R139" s="127" t="n">
        <f aca="false">IF(GanttView[[#This Row],[_RemFrom]]=0,0,GanttView[[#This Row],[Forecast Finish]])</f>
        <v>0</v>
      </c>
      <c r="S139" s="126" t="b">
        <f aca="false">IF(IFERROR(INDEX(tsk_Name,GanttView[[#This Row],[_Row]])="",TRUE()),FALSE(),N(INDEX(tsk_Variance,GanttView[[#This Row],[_Row]]))&gt;0)</f>
        <v>0</v>
      </c>
      <c r="T139" s="127" t="n">
        <f aca="false">IF(IFERROR(INDEX(tsk_Name,GanttView[[#This Row],[_Row]])="",TRUE()),0,N(INDEX(tsk_Deadline,GanttView[[#This Row],[_Row]])))</f>
        <v>0</v>
      </c>
      <c r="U139" s="126" t="b">
        <f aca="false">IF(IFERROR(INDEX(tsk_Name,GanttView[[#This Row],[_Row]])="",TRUE()),FALSE(),INDEX(tsk_Critical,GanttView[[#This Row],[_Row]])="Yes")</f>
        <v>0</v>
      </c>
    </row>
    <row r="140" customFormat="false" ht="15" hidden="false" customHeight="false" outlineLevel="0" collapsed="false">
      <c r="A140" s="120" t="str">
        <f aca="false">IF(IFERROR(INDEX(tsk_Name,GanttView[[#This Row],[_Row]])="",TRUE()),"",INDEX(tsk_ID,GanttView[[#This Row],[_Row]]))</f>
        <v/>
      </c>
      <c r="B140" s="120" t="str">
        <f aca="false">IF(IFERROR(INDEX(tsk_Name,GanttView[[#This Row],[_Row]])="",TRUE()),"",INDEX(tsk_WBS,GanttView[[#This Row],[_Row]]))</f>
        <v/>
      </c>
      <c r="C140" s="121" t="str">
        <f aca="false">IF(IFERROR(INDEX(tsk_Name,GanttView[[#This Row],[_Row]])="",TRUE()),"",REPT("    ",INDEX(tsk_Level,GanttView[[#This Row],[_Row]])-1)&amp;INDEX(tsk_Name,GanttView[[#This Row],[_Row]]))</f>
        <v/>
      </c>
      <c r="D140" s="120" t="str">
        <f aca="false">IF(IFERROR(INDEX(tsk_Name,GanttView[[#This Row],[_Row]])="",TRUE()),"",IF(INDEX(tsk_IsSummary,GanttView[[#This Row],[_Row]]),NETWORKDAYS.INTL(INDEX(tsk_FcStart,GanttView[[#This Row],[_Row]]),INDEX(tsk_FcFinish,GanttView[[#This Row],[_Row]]),WorkWeek,Holidays),N(INDEX(tsk_Duration,GanttView[[#This Row],[_Row]]))))</f>
        <v/>
      </c>
      <c r="E140" s="122" t="str">
        <f aca="false">IF(IFERROR(INDEX(tsk_Name,GanttView[[#This Row],[_Row]])="",TRUE()),"",INDEX(tsk_PlanStart,GanttView[[#This Row],[_Row]]))</f>
        <v/>
      </c>
      <c r="F140" s="122" t="str">
        <f aca="false">IF(IFERROR(INDEX(tsk_Name,GanttView[[#This Row],[_Row]])="",TRUE()),"",INDEX(tsk_PlanFinish,GanttView[[#This Row],[_Row]]))</f>
        <v/>
      </c>
      <c r="G140" s="122" t="str">
        <f aca="false">IF(IFERROR(INDEX(tsk_Name,GanttView[[#This Row],[_Row]])="",TRUE()),"",INDEX(tsk_FcStart,GanttView[[#This Row],[_Row]]))</f>
        <v/>
      </c>
      <c r="H140" s="122" t="str">
        <f aca="false">IF(IFERROR(INDEX(tsk_Name,GanttView[[#This Row],[_Row]])="",TRUE()),"",INDEX(tsk_FcFinish,GanttView[[#This Row],[_Row]]))</f>
        <v/>
      </c>
      <c r="I140" s="123" t="str">
        <f aca="false">IF(IFERROR(INDEX(tsk_Name,GanttView[[#This Row],[_Row]])="",TRUE()),"",INDEX(tsk_Progress,GanttView[[#This Row],[_Row]]))</f>
        <v/>
      </c>
      <c r="J140" s="121" t="str">
        <f aca="false">IF(IFERROR(INDEX(tsk_Name,GanttView[[#This Row],[_Row]])="",TRUE()),"",INDEX(tsk_Resource,GanttView[[#This Row],[_Row]])&amp;"")</f>
        <v/>
      </c>
      <c r="K140" s="124" t="str">
        <f aca="false">IF(IFERROR(INDEX(tsk_Name,GanttView[[#This Row],[_Row]])="",TRUE()),"",INDEX(tsk_Status,GanttView[[#This Row],[_Row]]))</f>
        <v/>
      </c>
      <c r="L140" s="125" t="n">
        <f aca="false">ROW()-ROW(GanttView[[#Headers],[ID]])</f>
        <v>135</v>
      </c>
      <c r="M140" s="126" t="b">
        <f aca="false">IF(IFERROR(INDEX(tsk_Name,GanttView[[#This Row],[_Row]])="",TRUE()),FALSE(),INDEX(tsk_IsSummary,GanttView[[#This Row],[_Row]]))</f>
        <v>0</v>
      </c>
      <c r="N140" s="126" t="b">
        <f aca="false">IF(IFERROR(INDEX(tsk_Name,GanttView[[#This Row],[_Row]])="",TRUE()),FALSE(),AND(INDEX(tsk_IsLeaf,GanttView[[#This Row],[_Row]])=1,N(INDEX(tsk_Duration,GanttView[[#This Row],[_Row]]))=0))</f>
        <v>0</v>
      </c>
      <c r="O140" s="127" t="n">
        <f aca="false">IF(IFERROR(INDEX(tsk_Name,GanttView[[#This Row],[_Row]])="",TRUE()),0,IF(AND(INDEX(tsk_IsLeaf,GanttView[[#This Row],[_Row]])=1,NOT(GanttView[[#This Row],[_IsMilestone]]),N(GanttView[[#This Row],[%]])&gt;0),GanttView[[#This Row],[Forecast Start]],0))</f>
        <v>0</v>
      </c>
      <c r="P140" s="127" t="n">
        <f aca="false">IF(GanttView[[#This Row],[_DoneFrom]]=0,0,IF(GanttView[[#This Row],[%]]&gt;=1,GanttView[[#This Row],[Forecast Finish]],MAX(GanttView[[#This Row],[_DoneFrom]],GanttView[[#This Row],[Forecast Start]]+ROUND((GanttView[[#This Row],[Forecast Finish]]-GanttView[[#This Row],[Forecast Start]]+1)*GanttView[[#This Row],[%]],0)-1)))</f>
        <v>0</v>
      </c>
      <c r="Q140" s="127" t="n">
        <f aca="false">IF(IFERROR(INDEX(tsk_Name,GanttView[[#This Row],[_Row]])="",TRUE()),0,IF(OR(INDEX(tsk_IsLeaf,GanttView[[#This Row],[_Row]])&lt;&gt;1,GanttView[[#This Row],[_IsMilestone]],N(GanttView[[#This Row],[%]])&gt;=1),0,IF(GanttView[[#This Row],[_DoneTo]]&gt;0,GanttView[[#This Row],[_DoneTo]]+1,GanttView[[#This Row],[Forecast Start]])))</f>
        <v>0</v>
      </c>
      <c r="R140" s="127" t="n">
        <f aca="false">IF(GanttView[[#This Row],[_RemFrom]]=0,0,GanttView[[#This Row],[Forecast Finish]])</f>
        <v>0</v>
      </c>
      <c r="S140" s="126" t="b">
        <f aca="false">IF(IFERROR(INDEX(tsk_Name,GanttView[[#This Row],[_Row]])="",TRUE()),FALSE(),N(INDEX(tsk_Variance,GanttView[[#This Row],[_Row]]))&gt;0)</f>
        <v>0</v>
      </c>
      <c r="T140" s="127" t="n">
        <f aca="false">IF(IFERROR(INDEX(tsk_Name,GanttView[[#This Row],[_Row]])="",TRUE()),0,N(INDEX(tsk_Deadline,GanttView[[#This Row],[_Row]])))</f>
        <v>0</v>
      </c>
      <c r="U140" s="126" t="b">
        <f aca="false">IF(IFERROR(INDEX(tsk_Name,GanttView[[#This Row],[_Row]])="",TRUE()),FALSE(),INDEX(tsk_Critical,GanttView[[#This Row],[_Row]])="Yes")</f>
        <v>0</v>
      </c>
    </row>
    <row r="141" customFormat="false" ht="15" hidden="false" customHeight="false" outlineLevel="0" collapsed="false">
      <c r="A141" s="120" t="str">
        <f aca="false">IF(IFERROR(INDEX(tsk_Name,GanttView[[#This Row],[_Row]])="",TRUE()),"",INDEX(tsk_ID,GanttView[[#This Row],[_Row]]))</f>
        <v/>
      </c>
      <c r="B141" s="120" t="str">
        <f aca="false">IF(IFERROR(INDEX(tsk_Name,GanttView[[#This Row],[_Row]])="",TRUE()),"",INDEX(tsk_WBS,GanttView[[#This Row],[_Row]]))</f>
        <v/>
      </c>
      <c r="C141" s="121" t="str">
        <f aca="false">IF(IFERROR(INDEX(tsk_Name,GanttView[[#This Row],[_Row]])="",TRUE()),"",REPT("    ",INDEX(tsk_Level,GanttView[[#This Row],[_Row]])-1)&amp;INDEX(tsk_Name,GanttView[[#This Row],[_Row]]))</f>
        <v/>
      </c>
      <c r="D141" s="120" t="str">
        <f aca="false">IF(IFERROR(INDEX(tsk_Name,GanttView[[#This Row],[_Row]])="",TRUE()),"",IF(INDEX(tsk_IsSummary,GanttView[[#This Row],[_Row]]),NETWORKDAYS.INTL(INDEX(tsk_FcStart,GanttView[[#This Row],[_Row]]),INDEX(tsk_FcFinish,GanttView[[#This Row],[_Row]]),WorkWeek,Holidays),N(INDEX(tsk_Duration,GanttView[[#This Row],[_Row]]))))</f>
        <v/>
      </c>
      <c r="E141" s="122" t="str">
        <f aca="false">IF(IFERROR(INDEX(tsk_Name,GanttView[[#This Row],[_Row]])="",TRUE()),"",INDEX(tsk_PlanStart,GanttView[[#This Row],[_Row]]))</f>
        <v/>
      </c>
      <c r="F141" s="122" t="str">
        <f aca="false">IF(IFERROR(INDEX(tsk_Name,GanttView[[#This Row],[_Row]])="",TRUE()),"",INDEX(tsk_PlanFinish,GanttView[[#This Row],[_Row]]))</f>
        <v/>
      </c>
      <c r="G141" s="122" t="str">
        <f aca="false">IF(IFERROR(INDEX(tsk_Name,GanttView[[#This Row],[_Row]])="",TRUE()),"",INDEX(tsk_FcStart,GanttView[[#This Row],[_Row]]))</f>
        <v/>
      </c>
      <c r="H141" s="122" t="str">
        <f aca="false">IF(IFERROR(INDEX(tsk_Name,GanttView[[#This Row],[_Row]])="",TRUE()),"",INDEX(tsk_FcFinish,GanttView[[#This Row],[_Row]]))</f>
        <v/>
      </c>
      <c r="I141" s="123" t="str">
        <f aca="false">IF(IFERROR(INDEX(tsk_Name,GanttView[[#This Row],[_Row]])="",TRUE()),"",INDEX(tsk_Progress,GanttView[[#This Row],[_Row]]))</f>
        <v/>
      </c>
      <c r="J141" s="121" t="str">
        <f aca="false">IF(IFERROR(INDEX(tsk_Name,GanttView[[#This Row],[_Row]])="",TRUE()),"",INDEX(tsk_Resource,GanttView[[#This Row],[_Row]])&amp;"")</f>
        <v/>
      </c>
      <c r="K141" s="124" t="str">
        <f aca="false">IF(IFERROR(INDEX(tsk_Name,GanttView[[#This Row],[_Row]])="",TRUE()),"",INDEX(tsk_Status,GanttView[[#This Row],[_Row]]))</f>
        <v/>
      </c>
      <c r="L141" s="125" t="n">
        <f aca="false">ROW()-ROW(GanttView[[#Headers],[ID]])</f>
        <v>136</v>
      </c>
      <c r="M141" s="126" t="b">
        <f aca="false">IF(IFERROR(INDEX(tsk_Name,GanttView[[#This Row],[_Row]])="",TRUE()),FALSE(),INDEX(tsk_IsSummary,GanttView[[#This Row],[_Row]]))</f>
        <v>0</v>
      </c>
      <c r="N141" s="126" t="b">
        <f aca="false">IF(IFERROR(INDEX(tsk_Name,GanttView[[#This Row],[_Row]])="",TRUE()),FALSE(),AND(INDEX(tsk_IsLeaf,GanttView[[#This Row],[_Row]])=1,N(INDEX(tsk_Duration,GanttView[[#This Row],[_Row]]))=0))</f>
        <v>0</v>
      </c>
      <c r="O141" s="127" t="n">
        <f aca="false">IF(IFERROR(INDEX(tsk_Name,GanttView[[#This Row],[_Row]])="",TRUE()),0,IF(AND(INDEX(tsk_IsLeaf,GanttView[[#This Row],[_Row]])=1,NOT(GanttView[[#This Row],[_IsMilestone]]),N(GanttView[[#This Row],[%]])&gt;0),GanttView[[#This Row],[Forecast Start]],0))</f>
        <v>0</v>
      </c>
      <c r="P141" s="127" t="n">
        <f aca="false">IF(GanttView[[#This Row],[_DoneFrom]]=0,0,IF(GanttView[[#This Row],[%]]&gt;=1,GanttView[[#This Row],[Forecast Finish]],MAX(GanttView[[#This Row],[_DoneFrom]],GanttView[[#This Row],[Forecast Start]]+ROUND((GanttView[[#This Row],[Forecast Finish]]-GanttView[[#This Row],[Forecast Start]]+1)*GanttView[[#This Row],[%]],0)-1)))</f>
        <v>0</v>
      </c>
      <c r="Q141" s="127" t="n">
        <f aca="false">IF(IFERROR(INDEX(tsk_Name,GanttView[[#This Row],[_Row]])="",TRUE()),0,IF(OR(INDEX(tsk_IsLeaf,GanttView[[#This Row],[_Row]])&lt;&gt;1,GanttView[[#This Row],[_IsMilestone]],N(GanttView[[#This Row],[%]])&gt;=1),0,IF(GanttView[[#This Row],[_DoneTo]]&gt;0,GanttView[[#This Row],[_DoneTo]]+1,GanttView[[#This Row],[Forecast Start]])))</f>
        <v>0</v>
      </c>
      <c r="R141" s="127" t="n">
        <f aca="false">IF(GanttView[[#This Row],[_RemFrom]]=0,0,GanttView[[#This Row],[Forecast Finish]])</f>
        <v>0</v>
      </c>
      <c r="S141" s="126" t="b">
        <f aca="false">IF(IFERROR(INDEX(tsk_Name,GanttView[[#This Row],[_Row]])="",TRUE()),FALSE(),N(INDEX(tsk_Variance,GanttView[[#This Row],[_Row]]))&gt;0)</f>
        <v>0</v>
      </c>
      <c r="T141" s="127" t="n">
        <f aca="false">IF(IFERROR(INDEX(tsk_Name,GanttView[[#This Row],[_Row]])="",TRUE()),0,N(INDEX(tsk_Deadline,GanttView[[#This Row],[_Row]])))</f>
        <v>0</v>
      </c>
      <c r="U141" s="126" t="b">
        <f aca="false">IF(IFERROR(INDEX(tsk_Name,GanttView[[#This Row],[_Row]])="",TRUE()),FALSE(),INDEX(tsk_Critical,GanttView[[#This Row],[_Row]])="Yes")</f>
        <v>0</v>
      </c>
    </row>
    <row r="142" customFormat="false" ht="15" hidden="false" customHeight="false" outlineLevel="0" collapsed="false">
      <c r="A142" s="120" t="str">
        <f aca="false">IF(IFERROR(INDEX(tsk_Name,GanttView[[#This Row],[_Row]])="",TRUE()),"",INDEX(tsk_ID,GanttView[[#This Row],[_Row]]))</f>
        <v/>
      </c>
      <c r="B142" s="120" t="str">
        <f aca="false">IF(IFERROR(INDEX(tsk_Name,GanttView[[#This Row],[_Row]])="",TRUE()),"",INDEX(tsk_WBS,GanttView[[#This Row],[_Row]]))</f>
        <v/>
      </c>
      <c r="C142" s="121" t="str">
        <f aca="false">IF(IFERROR(INDEX(tsk_Name,GanttView[[#This Row],[_Row]])="",TRUE()),"",REPT("    ",INDEX(tsk_Level,GanttView[[#This Row],[_Row]])-1)&amp;INDEX(tsk_Name,GanttView[[#This Row],[_Row]]))</f>
        <v/>
      </c>
      <c r="D142" s="120" t="str">
        <f aca="false">IF(IFERROR(INDEX(tsk_Name,GanttView[[#This Row],[_Row]])="",TRUE()),"",IF(INDEX(tsk_IsSummary,GanttView[[#This Row],[_Row]]),NETWORKDAYS.INTL(INDEX(tsk_FcStart,GanttView[[#This Row],[_Row]]),INDEX(tsk_FcFinish,GanttView[[#This Row],[_Row]]),WorkWeek,Holidays),N(INDEX(tsk_Duration,GanttView[[#This Row],[_Row]]))))</f>
        <v/>
      </c>
      <c r="E142" s="122" t="str">
        <f aca="false">IF(IFERROR(INDEX(tsk_Name,GanttView[[#This Row],[_Row]])="",TRUE()),"",INDEX(tsk_PlanStart,GanttView[[#This Row],[_Row]]))</f>
        <v/>
      </c>
      <c r="F142" s="122" t="str">
        <f aca="false">IF(IFERROR(INDEX(tsk_Name,GanttView[[#This Row],[_Row]])="",TRUE()),"",INDEX(tsk_PlanFinish,GanttView[[#This Row],[_Row]]))</f>
        <v/>
      </c>
      <c r="G142" s="122" t="str">
        <f aca="false">IF(IFERROR(INDEX(tsk_Name,GanttView[[#This Row],[_Row]])="",TRUE()),"",INDEX(tsk_FcStart,GanttView[[#This Row],[_Row]]))</f>
        <v/>
      </c>
      <c r="H142" s="122" t="str">
        <f aca="false">IF(IFERROR(INDEX(tsk_Name,GanttView[[#This Row],[_Row]])="",TRUE()),"",INDEX(tsk_FcFinish,GanttView[[#This Row],[_Row]]))</f>
        <v/>
      </c>
      <c r="I142" s="123" t="str">
        <f aca="false">IF(IFERROR(INDEX(tsk_Name,GanttView[[#This Row],[_Row]])="",TRUE()),"",INDEX(tsk_Progress,GanttView[[#This Row],[_Row]]))</f>
        <v/>
      </c>
      <c r="J142" s="121" t="str">
        <f aca="false">IF(IFERROR(INDEX(tsk_Name,GanttView[[#This Row],[_Row]])="",TRUE()),"",INDEX(tsk_Resource,GanttView[[#This Row],[_Row]])&amp;"")</f>
        <v/>
      </c>
      <c r="K142" s="124" t="str">
        <f aca="false">IF(IFERROR(INDEX(tsk_Name,GanttView[[#This Row],[_Row]])="",TRUE()),"",INDEX(tsk_Status,GanttView[[#This Row],[_Row]]))</f>
        <v/>
      </c>
      <c r="L142" s="125" t="n">
        <f aca="false">ROW()-ROW(GanttView[[#Headers],[ID]])</f>
        <v>137</v>
      </c>
      <c r="M142" s="126" t="b">
        <f aca="false">IF(IFERROR(INDEX(tsk_Name,GanttView[[#This Row],[_Row]])="",TRUE()),FALSE(),INDEX(tsk_IsSummary,GanttView[[#This Row],[_Row]]))</f>
        <v>0</v>
      </c>
      <c r="N142" s="126" t="b">
        <f aca="false">IF(IFERROR(INDEX(tsk_Name,GanttView[[#This Row],[_Row]])="",TRUE()),FALSE(),AND(INDEX(tsk_IsLeaf,GanttView[[#This Row],[_Row]])=1,N(INDEX(tsk_Duration,GanttView[[#This Row],[_Row]]))=0))</f>
        <v>0</v>
      </c>
      <c r="O142" s="127" t="n">
        <f aca="false">IF(IFERROR(INDEX(tsk_Name,GanttView[[#This Row],[_Row]])="",TRUE()),0,IF(AND(INDEX(tsk_IsLeaf,GanttView[[#This Row],[_Row]])=1,NOT(GanttView[[#This Row],[_IsMilestone]]),N(GanttView[[#This Row],[%]])&gt;0),GanttView[[#This Row],[Forecast Start]],0))</f>
        <v>0</v>
      </c>
      <c r="P142" s="127" t="n">
        <f aca="false">IF(GanttView[[#This Row],[_DoneFrom]]=0,0,IF(GanttView[[#This Row],[%]]&gt;=1,GanttView[[#This Row],[Forecast Finish]],MAX(GanttView[[#This Row],[_DoneFrom]],GanttView[[#This Row],[Forecast Start]]+ROUND((GanttView[[#This Row],[Forecast Finish]]-GanttView[[#This Row],[Forecast Start]]+1)*GanttView[[#This Row],[%]],0)-1)))</f>
        <v>0</v>
      </c>
      <c r="Q142" s="127" t="n">
        <f aca="false">IF(IFERROR(INDEX(tsk_Name,GanttView[[#This Row],[_Row]])="",TRUE()),0,IF(OR(INDEX(tsk_IsLeaf,GanttView[[#This Row],[_Row]])&lt;&gt;1,GanttView[[#This Row],[_IsMilestone]],N(GanttView[[#This Row],[%]])&gt;=1),0,IF(GanttView[[#This Row],[_DoneTo]]&gt;0,GanttView[[#This Row],[_DoneTo]]+1,GanttView[[#This Row],[Forecast Start]])))</f>
        <v>0</v>
      </c>
      <c r="R142" s="127" t="n">
        <f aca="false">IF(GanttView[[#This Row],[_RemFrom]]=0,0,GanttView[[#This Row],[Forecast Finish]])</f>
        <v>0</v>
      </c>
      <c r="S142" s="126" t="b">
        <f aca="false">IF(IFERROR(INDEX(tsk_Name,GanttView[[#This Row],[_Row]])="",TRUE()),FALSE(),N(INDEX(tsk_Variance,GanttView[[#This Row],[_Row]]))&gt;0)</f>
        <v>0</v>
      </c>
      <c r="T142" s="127" t="n">
        <f aca="false">IF(IFERROR(INDEX(tsk_Name,GanttView[[#This Row],[_Row]])="",TRUE()),0,N(INDEX(tsk_Deadline,GanttView[[#This Row],[_Row]])))</f>
        <v>0</v>
      </c>
      <c r="U142" s="126" t="b">
        <f aca="false">IF(IFERROR(INDEX(tsk_Name,GanttView[[#This Row],[_Row]])="",TRUE()),FALSE(),INDEX(tsk_Critical,GanttView[[#This Row],[_Row]])="Yes")</f>
        <v>0</v>
      </c>
    </row>
    <row r="143" customFormat="false" ht="15" hidden="false" customHeight="false" outlineLevel="0" collapsed="false">
      <c r="A143" s="120" t="str">
        <f aca="false">IF(IFERROR(INDEX(tsk_Name,GanttView[[#This Row],[_Row]])="",TRUE()),"",INDEX(tsk_ID,GanttView[[#This Row],[_Row]]))</f>
        <v/>
      </c>
      <c r="B143" s="120" t="str">
        <f aca="false">IF(IFERROR(INDEX(tsk_Name,GanttView[[#This Row],[_Row]])="",TRUE()),"",INDEX(tsk_WBS,GanttView[[#This Row],[_Row]]))</f>
        <v/>
      </c>
      <c r="C143" s="121" t="str">
        <f aca="false">IF(IFERROR(INDEX(tsk_Name,GanttView[[#This Row],[_Row]])="",TRUE()),"",REPT("    ",INDEX(tsk_Level,GanttView[[#This Row],[_Row]])-1)&amp;INDEX(tsk_Name,GanttView[[#This Row],[_Row]]))</f>
        <v/>
      </c>
      <c r="D143" s="120" t="str">
        <f aca="false">IF(IFERROR(INDEX(tsk_Name,GanttView[[#This Row],[_Row]])="",TRUE()),"",IF(INDEX(tsk_IsSummary,GanttView[[#This Row],[_Row]]),NETWORKDAYS.INTL(INDEX(tsk_FcStart,GanttView[[#This Row],[_Row]]),INDEX(tsk_FcFinish,GanttView[[#This Row],[_Row]]),WorkWeek,Holidays),N(INDEX(tsk_Duration,GanttView[[#This Row],[_Row]]))))</f>
        <v/>
      </c>
      <c r="E143" s="122" t="str">
        <f aca="false">IF(IFERROR(INDEX(tsk_Name,GanttView[[#This Row],[_Row]])="",TRUE()),"",INDEX(tsk_PlanStart,GanttView[[#This Row],[_Row]]))</f>
        <v/>
      </c>
      <c r="F143" s="122" t="str">
        <f aca="false">IF(IFERROR(INDEX(tsk_Name,GanttView[[#This Row],[_Row]])="",TRUE()),"",INDEX(tsk_PlanFinish,GanttView[[#This Row],[_Row]]))</f>
        <v/>
      </c>
      <c r="G143" s="122" t="str">
        <f aca="false">IF(IFERROR(INDEX(tsk_Name,GanttView[[#This Row],[_Row]])="",TRUE()),"",INDEX(tsk_FcStart,GanttView[[#This Row],[_Row]]))</f>
        <v/>
      </c>
      <c r="H143" s="122" t="str">
        <f aca="false">IF(IFERROR(INDEX(tsk_Name,GanttView[[#This Row],[_Row]])="",TRUE()),"",INDEX(tsk_FcFinish,GanttView[[#This Row],[_Row]]))</f>
        <v/>
      </c>
      <c r="I143" s="123" t="str">
        <f aca="false">IF(IFERROR(INDEX(tsk_Name,GanttView[[#This Row],[_Row]])="",TRUE()),"",INDEX(tsk_Progress,GanttView[[#This Row],[_Row]]))</f>
        <v/>
      </c>
      <c r="J143" s="121" t="str">
        <f aca="false">IF(IFERROR(INDEX(tsk_Name,GanttView[[#This Row],[_Row]])="",TRUE()),"",INDEX(tsk_Resource,GanttView[[#This Row],[_Row]])&amp;"")</f>
        <v/>
      </c>
      <c r="K143" s="124" t="str">
        <f aca="false">IF(IFERROR(INDEX(tsk_Name,GanttView[[#This Row],[_Row]])="",TRUE()),"",INDEX(tsk_Status,GanttView[[#This Row],[_Row]]))</f>
        <v/>
      </c>
      <c r="L143" s="125" t="n">
        <f aca="false">ROW()-ROW(GanttView[[#Headers],[ID]])</f>
        <v>138</v>
      </c>
      <c r="M143" s="126" t="b">
        <f aca="false">IF(IFERROR(INDEX(tsk_Name,GanttView[[#This Row],[_Row]])="",TRUE()),FALSE(),INDEX(tsk_IsSummary,GanttView[[#This Row],[_Row]]))</f>
        <v>0</v>
      </c>
      <c r="N143" s="126" t="b">
        <f aca="false">IF(IFERROR(INDEX(tsk_Name,GanttView[[#This Row],[_Row]])="",TRUE()),FALSE(),AND(INDEX(tsk_IsLeaf,GanttView[[#This Row],[_Row]])=1,N(INDEX(tsk_Duration,GanttView[[#This Row],[_Row]]))=0))</f>
        <v>0</v>
      </c>
      <c r="O143" s="127" t="n">
        <f aca="false">IF(IFERROR(INDEX(tsk_Name,GanttView[[#This Row],[_Row]])="",TRUE()),0,IF(AND(INDEX(tsk_IsLeaf,GanttView[[#This Row],[_Row]])=1,NOT(GanttView[[#This Row],[_IsMilestone]]),N(GanttView[[#This Row],[%]])&gt;0),GanttView[[#This Row],[Forecast Start]],0))</f>
        <v>0</v>
      </c>
      <c r="P143" s="127" t="n">
        <f aca="false">IF(GanttView[[#This Row],[_DoneFrom]]=0,0,IF(GanttView[[#This Row],[%]]&gt;=1,GanttView[[#This Row],[Forecast Finish]],MAX(GanttView[[#This Row],[_DoneFrom]],GanttView[[#This Row],[Forecast Start]]+ROUND((GanttView[[#This Row],[Forecast Finish]]-GanttView[[#This Row],[Forecast Start]]+1)*GanttView[[#This Row],[%]],0)-1)))</f>
        <v>0</v>
      </c>
      <c r="Q143" s="127" t="n">
        <f aca="false">IF(IFERROR(INDEX(tsk_Name,GanttView[[#This Row],[_Row]])="",TRUE()),0,IF(OR(INDEX(tsk_IsLeaf,GanttView[[#This Row],[_Row]])&lt;&gt;1,GanttView[[#This Row],[_IsMilestone]],N(GanttView[[#This Row],[%]])&gt;=1),0,IF(GanttView[[#This Row],[_DoneTo]]&gt;0,GanttView[[#This Row],[_DoneTo]]+1,GanttView[[#This Row],[Forecast Start]])))</f>
        <v>0</v>
      </c>
      <c r="R143" s="127" t="n">
        <f aca="false">IF(GanttView[[#This Row],[_RemFrom]]=0,0,GanttView[[#This Row],[Forecast Finish]])</f>
        <v>0</v>
      </c>
      <c r="S143" s="126" t="b">
        <f aca="false">IF(IFERROR(INDEX(tsk_Name,GanttView[[#This Row],[_Row]])="",TRUE()),FALSE(),N(INDEX(tsk_Variance,GanttView[[#This Row],[_Row]]))&gt;0)</f>
        <v>0</v>
      </c>
      <c r="T143" s="127" t="n">
        <f aca="false">IF(IFERROR(INDEX(tsk_Name,GanttView[[#This Row],[_Row]])="",TRUE()),0,N(INDEX(tsk_Deadline,GanttView[[#This Row],[_Row]])))</f>
        <v>0</v>
      </c>
      <c r="U143" s="126" t="b">
        <f aca="false">IF(IFERROR(INDEX(tsk_Name,GanttView[[#This Row],[_Row]])="",TRUE()),FALSE(),INDEX(tsk_Critical,GanttView[[#This Row],[_Row]])="Yes")</f>
        <v>0</v>
      </c>
    </row>
    <row r="144" customFormat="false" ht="15" hidden="false" customHeight="false" outlineLevel="0" collapsed="false">
      <c r="A144" s="120" t="str">
        <f aca="false">IF(IFERROR(INDEX(tsk_Name,GanttView[[#This Row],[_Row]])="",TRUE()),"",INDEX(tsk_ID,GanttView[[#This Row],[_Row]]))</f>
        <v/>
      </c>
      <c r="B144" s="120" t="str">
        <f aca="false">IF(IFERROR(INDEX(tsk_Name,GanttView[[#This Row],[_Row]])="",TRUE()),"",INDEX(tsk_WBS,GanttView[[#This Row],[_Row]]))</f>
        <v/>
      </c>
      <c r="C144" s="121" t="str">
        <f aca="false">IF(IFERROR(INDEX(tsk_Name,GanttView[[#This Row],[_Row]])="",TRUE()),"",REPT("    ",INDEX(tsk_Level,GanttView[[#This Row],[_Row]])-1)&amp;INDEX(tsk_Name,GanttView[[#This Row],[_Row]]))</f>
        <v/>
      </c>
      <c r="D144" s="120" t="str">
        <f aca="false">IF(IFERROR(INDEX(tsk_Name,GanttView[[#This Row],[_Row]])="",TRUE()),"",IF(INDEX(tsk_IsSummary,GanttView[[#This Row],[_Row]]),NETWORKDAYS.INTL(INDEX(tsk_FcStart,GanttView[[#This Row],[_Row]]),INDEX(tsk_FcFinish,GanttView[[#This Row],[_Row]]),WorkWeek,Holidays),N(INDEX(tsk_Duration,GanttView[[#This Row],[_Row]]))))</f>
        <v/>
      </c>
      <c r="E144" s="122" t="str">
        <f aca="false">IF(IFERROR(INDEX(tsk_Name,GanttView[[#This Row],[_Row]])="",TRUE()),"",INDEX(tsk_PlanStart,GanttView[[#This Row],[_Row]]))</f>
        <v/>
      </c>
      <c r="F144" s="122" t="str">
        <f aca="false">IF(IFERROR(INDEX(tsk_Name,GanttView[[#This Row],[_Row]])="",TRUE()),"",INDEX(tsk_PlanFinish,GanttView[[#This Row],[_Row]]))</f>
        <v/>
      </c>
      <c r="G144" s="122" t="str">
        <f aca="false">IF(IFERROR(INDEX(tsk_Name,GanttView[[#This Row],[_Row]])="",TRUE()),"",INDEX(tsk_FcStart,GanttView[[#This Row],[_Row]]))</f>
        <v/>
      </c>
      <c r="H144" s="122" t="str">
        <f aca="false">IF(IFERROR(INDEX(tsk_Name,GanttView[[#This Row],[_Row]])="",TRUE()),"",INDEX(tsk_FcFinish,GanttView[[#This Row],[_Row]]))</f>
        <v/>
      </c>
      <c r="I144" s="123" t="str">
        <f aca="false">IF(IFERROR(INDEX(tsk_Name,GanttView[[#This Row],[_Row]])="",TRUE()),"",INDEX(tsk_Progress,GanttView[[#This Row],[_Row]]))</f>
        <v/>
      </c>
      <c r="J144" s="121" t="str">
        <f aca="false">IF(IFERROR(INDEX(tsk_Name,GanttView[[#This Row],[_Row]])="",TRUE()),"",INDEX(tsk_Resource,GanttView[[#This Row],[_Row]])&amp;"")</f>
        <v/>
      </c>
      <c r="K144" s="124" t="str">
        <f aca="false">IF(IFERROR(INDEX(tsk_Name,GanttView[[#This Row],[_Row]])="",TRUE()),"",INDEX(tsk_Status,GanttView[[#This Row],[_Row]]))</f>
        <v/>
      </c>
      <c r="L144" s="125" t="n">
        <f aca="false">ROW()-ROW(GanttView[[#Headers],[ID]])</f>
        <v>139</v>
      </c>
      <c r="M144" s="126" t="b">
        <f aca="false">IF(IFERROR(INDEX(tsk_Name,GanttView[[#This Row],[_Row]])="",TRUE()),FALSE(),INDEX(tsk_IsSummary,GanttView[[#This Row],[_Row]]))</f>
        <v>0</v>
      </c>
      <c r="N144" s="126" t="b">
        <f aca="false">IF(IFERROR(INDEX(tsk_Name,GanttView[[#This Row],[_Row]])="",TRUE()),FALSE(),AND(INDEX(tsk_IsLeaf,GanttView[[#This Row],[_Row]])=1,N(INDEX(tsk_Duration,GanttView[[#This Row],[_Row]]))=0))</f>
        <v>0</v>
      </c>
      <c r="O144" s="127" t="n">
        <f aca="false">IF(IFERROR(INDEX(tsk_Name,GanttView[[#This Row],[_Row]])="",TRUE()),0,IF(AND(INDEX(tsk_IsLeaf,GanttView[[#This Row],[_Row]])=1,NOT(GanttView[[#This Row],[_IsMilestone]]),N(GanttView[[#This Row],[%]])&gt;0),GanttView[[#This Row],[Forecast Start]],0))</f>
        <v>0</v>
      </c>
      <c r="P144" s="127" t="n">
        <f aca="false">IF(GanttView[[#This Row],[_DoneFrom]]=0,0,IF(GanttView[[#This Row],[%]]&gt;=1,GanttView[[#This Row],[Forecast Finish]],MAX(GanttView[[#This Row],[_DoneFrom]],GanttView[[#This Row],[Forecast Start]]+ROUND((GanttView[[#This Row],[Forecast Finish]]-GanttView[[#This Row],[Forecast Start]]+1)*GanttView[[#This Row],[%]],0)-1)))</f>
        <v>0</v>
      </c>
      <c r="Q144" s="127" t="n">
        <f aca="false">IF(IFERROR(INDEX(tsk_Name,GanttView[[#This Row],[_Row]])="",TRUE()),0,IF(OR(INDEX(tsk_IsLeaf,GanttView[[#This Row],[_Row]])&lt;&gt;1,GanttView[[#This Row],[_IsMilestone]],N(GanttView[[#This Row],[%]])&gt;=1),0,IF(GanttView[[#This Row],[_DoneTo]]&gt;0,GanttView[[#This Row],[_DoneTo]]+1,GanttView[[#This Row],[Forecast Start]])))</f>
        <v>0</v>
      </c>
      <c r="R144" s="127" t="n">
        <f aca="false">IF(GanttView[[#This Row],[_RemFrom]]=0,0,GanttView[[#This Row],[Forecast Finish]])</f>
        <v>0</v>
      </c>
      <c r="S144" s="126" t="b">
        <f aca="false">IF(IFERROR(INDEX(tsk_Name,GanttView[[#This Row],[_Row]])="",TRUE()),FALSE(),N(INDEX(tsk_Variance,GanttView[[#This Row],[_Row]]))&gt;0)</f>
        <v>0</v>
      </c>
      <c r="T144" s="127" t="n">
        <f aca="false">IF(IFERROR(INDEX(tsk_Name,GanttView[[#This Row],[_Row]])="",TRUE()),0,N(INDEX(tsk_Deadline,GanttView[[#This Row],[_Row]])))</f>
        <v>0</v>
      </c>
      <c r="U144" s="126" t="b">
        <f aca="false">IF(IFERROR(INDEX(tsk_Name,GanttView[[#This Row],[_Row]])="",TRUE()),FALSE(),INDEX(tsk_Critical,GanttView[[#This Row],[_Row]])="Yes")</f>
        <v>0</v>
      </c>
    </row>
    <row r="145" customFormat="false" ht="15" hidden="false" customHeight="false" outlineLevel="0" collapsed="false">
      <c r="A145" s="120" t="str">
        <f aca="false">IF(IFERROR(INDEX(tsk_Name,GanttView[[#This Row],[_Row]])="",TRUE()),"",INDEX(tsk_ID,GanttView[[#This Row],[_Row]]))</f>
        <v/>
      </c>
      <c r="B145" s="120" t="str">
        <f aca="false">IF(IFERROR(INDEX(tsk_Name,GanttView[[#This Row],[_Row]])="",TRUE()),"",INDEX(tsk_WBS,GanttView[[#This Row],[_Row]]))</f>
        <v/>
      </c>
      <c r="C145" s="121" t="str">
        <f aca="false">IF(IFERROR(INDEX(tsk_Name,GanttView[[#This Row],[_Row]])="",TRUE()),"",REPT("    ",INDEX(tsk_Level,GanttView[[#This Row],[_Row]])-1)&amp;INDEX(tsk_Name,GanttView[[#This Row],[_Row]]))</f>
        <v/>
      </c>
      <c r="D145" s="120" t="str">
        <f aca="false">IF(IFERROR(INDEX(tsk_Name,GanttView[[#This Row],[_Row]])="",TRUE()),"",IF(INDEX(tsk_IsSummary,GanttView[[#This Row],[_Row]]),NETWORKDAYS.INTL(INDEX(tsk_FcStart,GanttView[[#This Row],[_Row]]),INDEX(tsk_FcFinish,GanttView[[#This Row],[_Row]]),WorkWeek,Holidays),N(INDEX(tsk_Duration,GanttView[[#This Row],[_Row]]))))</f>
        <v/>
      </c>
      <c r="E145" s="122" t="str">
        <f aca="false">IF(IFERROR(INDEX(tsk_Name,GanttView[[#This Row],[_Row]])="",TRUE()),"",INDEX(tsk_PlanStart,GanttView[[#This Row],[_Row]]))</f>
        <v/>
      </c>
      <c r="F145" s="122" t="str">
        <f aca="false">IF(IFERROR(INDEX(tsk_Name,GanttView[[#This Row],[_Row]])="",TRUE()),"",INDEX(tsk_PlanFinish,GanttView[[#This Row],[_Row]]))</f>
        <v/>
      </c>
      <c r="G145" s="122" t="str">
        <f aca="false">IF(IFERROR(INDEX(tsk_Name,GanttView[[#This Row],[_Row]])="",TRUE()),"",INDEX(tsk_FcStart,GanttView[[#This Row],[_Row]]))</f>
        <v/>
      </c>
      <c r="H145" s="122" t="str">
        <f aca="false">IF(IFERROR(INDEX(tsk_Name,GanttView[[#This Row],[_Row]])="",TRUE()),"",INDEX(tsk_FcFinish,GanttView[[#This Row],[_Row]]))</f>
        <v/>
      </c>
      <c r="I145" s="123" t="str">
        <f aca="false">IF(IFERROR(INDEX(tsk_Name,GanttView[[#This Row],[_Row]])="",TRUE()),"",INDEX(tsk_Progress,GanttView[[#This Row],[_Row]]))</f>
        <v/>
      </c>
      <c r="J145" s="121" t="str">
        <f aca="false">IF(IFERROR(INDEX(tsk_Name,GanttView[[#This Row],[_Row]])="",TRUE()),"",INDEX(tsk_Resource,GanttView[[#This Row],[_Row]])&amp;"")</f>
        <v/>
      </c>
      <c r="K145" s="124" t="str">
        <f aca="false">IF(IFERROR(INDEX(tsk_Name,GanttView[[#This Row],[_Row]])="",TRUE()),"",INDEX(tsk_Status,GanttView[[#This Row],[_Row]]))</f>
        <v/>
      </c>
      <c r="L145" s="125" t="n">
        <f aca="false">ROW()-ROW(GanttView[[#Headers],[ID]])</f>
        <v>140</v>
      </c>
      <c r="M145" s="126" t="b">
        <f aca="false">IF(IFERROR(INDEX(tsk_Name,GanttView[[#This Row],[_Row]])="",TRUE()),FALSE(),INDEX(tsk_IsSummary,GanttView[[#This Row],[_Row]]))</f>
        <v>0</v>
      </c>
      <c r="N145" s="126" t="b">
        <f aca="false">IF(IFERROR(INDEX(tsk_Name,GanttView[[#This Row],[_Row]])="",TRUE()),FALSE(),AND(INDEX(tsk_IsLeaf,GanttView[[#This Row],[_Row]])=1,N(INDEX(tsk_Duration,GanttView[[#This Row],[_Row]]))=0))</f>
        <v>0</v>
      </c>
      <c r="O145" s="127" t="n">
        <f aca="false">IF(IFERROR(INDEX(tsk_Name,GanttView[[#This Row],[_Row]])="",TRUE()),0,IF(AND(INDEX(tsk_IsLeaf,GanttView[[#This Row],[_Row]])=1,NOT(GanttView[[#This Row],[_IsMilestone]]),N(GanttView[[#This Row],[%]])&gt;0),GanttView[[#This Row],[Forecast Start]],0))</f>
        <v>0</v>
      </c>
      <c r="P145" s="127" t="n">
        <f aca="false">IF(GanttView[[#This Row],[_DoneFrom]]=0,0,IF(GanttView[[#This Row],[%]]&gt;=1,GanttView[[#This Row],[Forecast Finish]],MAX(GanttView[[#This Row],[_DoneFrom]],GanttView[[#This Row],[Forecast Start]]+ROUND((GanttView[[#This Row],[Forecast Finish]]-GanttView[[#This Row],[Forecast Start]]+1)*GanttView[[#This Row],[%]],0)-1)))</f>
        <v>0</v>
      </c>
      <c r="Q145" s="127" t="n">
        <f aca="false">IF(IFERROR(INDEX(tsk_Name,GanttView[[#This Row],[_Row]])="",TRUE()),0,IF(OR(INDEX(tsk_IsLeaf,GanttView[[#This Row],[_Row]])&lt;&gt;1,GanttView[[#This Row],[_IsMilestone]],N(GanttView[[#This Row],[%]])&gt;=1),0,IF(GanttView[[#This Row],[_DoneTo]]&gt;0,GanttView[[#This Row],[_DoneTo]]+1,GanttView[[#This Row],[Forecast Start]])))</f>
        <v>0</v>
      </c>
      <c r="R145" s="127" t="n">
        <f aca="false">IF(GanttView[[#This Row],[_RemFrom]]=0,0,GanttView[[#This Row],[Forecast Finish]])</f>
        <v>0</v>
      </c>
      <c r="S145" s="126" t="b">
        <f aca="false">IF(IFERROR(INDEX(tsk_Name,GanttView[[#This Row],[_Row]])="",TRUE()),FALSE(),N(INDEX(tsk_Variance,GanttView[[#This Row],[_Row]]))&gt;0)</f>
        <v>0</v>
      </c>
      <c r="T145" s="127" t="n">
        <f aca="false">IF(IFERROR(INDEX(tsk_Name,GanttView[[#This Row],[_Row]])="",TRUE()),0,N(INDEX(tsk_Deadline,GanttView[[#This Row],[_Row]])))</f>
        <v>0</v>
      </c>
      <c r="U145" s="126" t="b">
        <f aca="false">IF(IFERROR(INDEX(tsk_Name,GanttView[[#This Row],[_Row]])="",TRUE()),FALSE(),INDEX(tsk_Critical,GanttView[[#This Row],[_Row]])="Yes")</f>
        <v>0</v>
      </c>
    </row>
    <row r="146" customFormat="false" ht="15" hidden="false" customHeight="false" outlineLevel="0" collapsed="false">
      <c r="A146" s="120" t="str">
        <f aca="false">IF(IFERROR(INDEX(tsk_Name,GanttView[[#This Row],[_Row]])="",TRUE()),"",INDEX(tsk_ID,GanttView[[#This Row],[_Row]]))</f>
        <v/>
      </c>
      <c r="B146" s="120" t="str">
        <f aca="false">IF(IFERROR(INDEX(tsk_Name,GanttView[[#This Row],[_Row]])="",TRUE()),"",INDEX(tsk_WBS,GanttView[[#This Row],[_Row]]))</f>
        <v/>
      </c>
      <c r="C146" s="121" t="str">
        <f aca="false">IF(IFERROR(INDEX(tsk_Name,GanttView[[#This Row],[_Row]])="",TRUE()),"",REPT("    ",INDEX(tsk_Level,GanttView[[#This Row],[_Row]])-1)&amp;INDEX(tsk_Name,GanttView[[#This Row],[_Row]]))</f>
        <v/>
      </c>
      <c r="D146" s="120" t="str">
        <f aca="false">IF(IFERROR(INDEX(tsk_Name,GanttView[[#This Row],[_Row]])="",TRUE()),"",IF(INDEX(tsk_IsSummary,GanttView[[#This Row],[_Row]]),NETWORKDAYS.INTL(INDEX(tsk_FcStart,GanttView[[#This Row],[_Row]]),INDEX(tsk_FcFinish,GanttView[[#This Row],[_Row]]),WorkWeek,Holidays),N(INDEX(tsk_Duration,GanttView[[#This Row],[_Row]]))))</f>
        <v/>
      </c>
      <c r="E146" s="122" t="str">
        <f aca="false">IF(IFERROR(INDEX(tsk_Name,GanttView[[#This Row],[_Row]])="",TRUE()),"",INDEX(tsk_PlanStart,GanttView[[#This Row],[_Row]]))</f>
        <v/>
      </c>
      <c r="F146" s="122" t="str">
        <f aca="false">IF(IFERROR(INDEX(tsk_Name,GanttView[[#This Row],[_Row]])="",TRUE()),"",INDEX(tsk_PlanFinish,GanttView[[#This Row],[_Row]]))</f>
        <v/>
      </c>
      <c r="G146" s="122" t="str">
        <f aca="false">IF(IFERROR(INDEX(tsk_Name,GanttView[[#This Row],[_Row]])="",TRUE()),"",INDEX(tsk_FcStart,GanttView[[#This Row],[_Row]]))</f>
        <v/>
      </c>
      <c r="H146" s="122" t="str">
        <f aca="false">IF(IFERROR(INDEX(tsk_Name,GanttView[[#This Row],[_Row]])="",TRUE()),"",INDEX(tsk_FcFinish,GanttView[[#This Row],[_Row]]))</f>
        <v/>
      </c>
      <c r="I146" s="123" t="str">
        <f aca="false">IF(IFERROR(INDEX(tsk_Name,GanttView[[#This Row],[_Row]])="",TRUE()),"",INDEX(tsk_Progress,GanttView[[#This Row],[_Row]]))</f>
        <v/>
      </c>
      <c r="J146" s="121" t="str">
        <f aca="false">IF(IFERROR(INDEX(tsk_Name,GanttView[[#This Row],[_Row]])="",TRUE()),"",INDEX(tsk_Resource,GanttView[[#This Row],[_Row]])&amp;"")</f>
        <v/>
      </c>
      <c r="K146" s="124" t="str">
        <f aca="false">IF(IFERROR(INDEX(tsk_Name,GanttView[[#This Row],[_Row]])="",TRUE()),"",INDEX(tsk_Status,GanttView[[#This Row],[_Row]]))</f>
        <v/>
      </c>
      <c r="L146" s="125" t="n">
        <f aca="false">ROW()-ROW(GanttView[[#Headers],[ID]])</f>
        <v>141</v>
      </c>
      <c r="M146" s="126" t="b">
        <f aca="false">IF(IFERROR(INDEX(tsk_Name,GanttView[[#This Row],[_Row]])="",TRUE()),FALSE(),INDEX(tsk_IsSummary,GanttView[[#This Row],[_Row]]))</f>
        <v>0</v>
      </c>
      <c r="N146" s="126" t="b">
        <f aca="false">IF(IFERROR(INDEX(tsk_Name,GanttView[[#This Row],[_Row]])="",TRUE()),FALSE(),AND(INDEX(tsk_IsLeaf,GanttView[[#This Row],[_Row]])=1,N(INDEX(tsk_Duration,GanttView[[#This Row],[_Row]]))=0))</f>
        <v>0</v>
      </c>
      <c r="O146" s="127" t="n">
        <f aca="false">IF(IFERROR(INDEX(tsk_Name,GanttView[[#This Row],[_Row]])="",TRUE()),0,IF(AND(INDEX(tsk_IsLeaf,GanttView[[#This Row],[_Row]])=1,NOT(GanttView[[#This Row],[_IsMilestone]]),N(GanttView[[#This Row],[%]])&gt;0),GanttView[[#This Row],[Forecast Start]],0))</f>
        <v>0</v>
      </c>
      <c r="P146" s="127" t="n">
        <f aca="false">IF(GanttView[[#This Row],[_DoneFrom]]=0,0,IF(GanttView[[#This Row],[%]]&gt;=1,GanttView[[#This Row],[Forecast Finish]],MAX(GanttView[[#This Row],[_DoneFrom]],GanttView[[#This Row],[Forecast Start]]+ROUND((GanttView[[#This Row],[Forecast Finish]]-GanttView[[#This Row],[Forecast Start]]+1)*GanttView[[#This Row],[%]],0)-1)))</f>
        <v>0</v>
      </c>
      <c r="Q146" s="127" t="n">
        <f aca="false">IF(IFERROR(INDEX(tsk_Name,GanttView[[#This Row],[_Row]])="",TRUE()),0,IF(OR(INDEX(tsk_IsLeaf,GanttView[[#This Row],[_Row]])&lt;&gt;1,GanttView[[#This Row],[_IsMilestone]],N(GanttView[[#This Row],[%]])&gt;=1),0,IF(GanttView[[#This Row],[_DoneTo]]&gt;0,GanttView[[#This Row],[_DoneTo]]+1,GanttView[[#This Row],[Forecast Start]])))</f>
        <v>0</v>
      </c>
      <c r="R146" s="127" t="n">
        <f aca="false">IF(GanttView[[#This Row],[_RemFrom]]=0,0,GanttView[[#This Row],[Forecast Finish]])</f>
        <v>0</v>
      </c>
      <c r="S146" s="126" t="b">
        <f aca="false">IF(IFERROR(INDEX(tsk_Name,GanttView[[#This Row],[_Row]])="",TRUE()),FALSE(),N(INDEX(tsk_Variance,GanttView[[#This Row],[_Row]]))&gt;0)</f>
        <v>0</v>
      </c>
      <c r="T146" s="127" t="n">
        <f aca="false">IF(IFERROR(INDEX(tsk_Name,GanttView[[#This Row],[_Row]])="",TRUE()),0,N(INDEX(tsk_Deadline,GanttView[[#This Row],[_Row]])))</f>
        <v>0</v>
      </c>
      <c r="U146" s="126" t="b">
        <f aca="false">IF(IFERROR(INDEX(tsk_Name,GanttView[[#This Row],[_Row]])="",TRUE()),FALSE(),INDEX(tsk_Critical,GanttView[[#This Row],[_Row]])="Yes")</f>
        <v>0</v>
      </c>
    </row>
    <row r="147" customFormat="false" ht="15" hidden="false" customHeight="false" outlineLevel="0" collapsed="false">
      <c r="A147" s="120" t="str">
        <f aca="false">IF(IFERROR(INDEX(tsk_Name,GanttView[[#This Row],[_Row]])="",TRUE()),"",INDEX(tsk_ID,GanttView[[#This Row],[_Row]]))</f>
        <v/>
      </c>
      <c r="B147" s="120" t="str">
        <f aca="false">IF(IFERROR(INDEX(tsk_Name,GanttView[[#This Row],[_Row]])="",TRUE()),"",INDEX(tsk_WBS,GanttView[[#This Row],[_Row]]))</f>
        <v/>
      </c>
      <c r="C147" s="121" t="str">
        <f aca="false">IF(IFERROR(INDEX(tsk_Name,GanttView[[#This Row],[_Row]])="",TRUE()),"",REPT("    ",INDEX(tsk_Level,GanttView[[#This Row],[_Row]])-1)&amp;INDEX(tsk_Name,GanttView[[#This Row],[_Row]]))</f>
        <v/>
      </c>
      <c r="D147" s="120" t="str">
        <f aca="false">IF(IFERROR(INDEX(tsk_Name,GanttView[[#This Row],[_Row]])="",TRUE()),"",IF(INDEX(tsk_IsSummary,GanttView[[#This Row],[_Row]]),NETWORKDAYS.INTL(INDEX(tsk_FcStart,GanttView[[#This Row],[_Row]]),INDEX(tsk_FcFinish,GanttView[[#This Row],[_Row]]),WorkWeek,Holidays),N(INDEX(tsk_Duration,GanttView[[#This Row],[_Row]]))))</f>
        <v/>
      </c>
      <c r="E147" s="122" t="str">
        <f aca="false">IF(IFERROR(INDEX(tsk_Name,GanttView[[#This Row],[_Row]])="",TRUE()),"",INDEX(tsk_PlanStart,GanttView[[#This Row],[_Row]]))</f>
        <v/>
      </c>
      <c r="F147" s="122" t="str">
        <f aca="false">IF(IFERROR(INDEX(tsk_Name,GanttView[[#This Row],[_Row]])="",TRUE()),"",INDEX(tsk_PlanFinish,GanttView[[#This Row],[_Row]]))</f>
        <v/>
      </c>
      <c r="G147" s="122" t="str">
        <f aca="false">IF(IFERROR(INDEX(tsk_Name,GanttView[[#This Row],[_Row]])="",TRUE()),"",INDEX(tsk_FcStart,GanttView[[#This Row],[_Row]]))</f>
        <v/>
      </c>
      <c r="H147" s="122" t="str">
        <f aca="false">IF(IFERROR(INDEX(tsk_Name,GanttView[[#This Row],[_Row]])="",TRUE()),"",INDEX(tsk_FcFinish,GanttView[[#This Row],[_Row]]))</f>
        <v/>
      </c>
      <c r="I147" s="123" t="str">
        <f aca="false">IF(IFERROR(INDEX(tsk_Name,GanttView[[#This Row],[_Row]])="",TRUE()),"",INDEX(tsk_Progress,GanttView[[#This Row],[_Row]]))</f>
        <v/>
      </c>
      <c r="J147" s="121" t="str">
        <f aca="false">IF(IFERROR(INDEX(tsk_Name,GanttView[[#This Row],[_Row]])="",TRUE()),"",INDEX(tsk_Resource,GanttView[[#This Row],[_Row]])&amp;"")</f>
        <v/>
      </c>
      <c r="K147" s="124" t="str">
        <f aca="false">IF(IFERROR(INDEX(tsk_Name,GanttView[[#This Row],[_Row]])="",TRUE()),"",INDEX(tsk_Status,GanttView[[#This Row],[_Row]]))</f>
        <v/>
      </c>
      <c r="L147" s="125" t="n">
        <f aca="false">ROW()-ROW(GanttView[[#Headers],[ID]])</f>
        <v>142</v>
      </c>
      <c r="M147" s="126" t="b">
        <f aca="false">IF(IFERROR(INDEX(tsk_Name,GanttView[[#This Row],[_Row]])="",TRUE()),FALSE(),INDEX(tsk_IsSummary,GanttView[[#This Row],[_Row]]))</f>
        <v>0</v>
      </c>
      <c r="N147" s="126" t="b">
        <f aca="false">IF(IFERROR(INDEX(tsk_Name,GanttView[[#This Row],[_Row]])="",TRUE()),FALSE(),AND(INDEX(tsk_IsLeaf,GanttView[[#This Row],[_Row]])=1,N(INDEX(tsk_Duration,GanttView[[#This Row],[_Row]]))=0))</f>
        <v>0</v>
      </c>
      <c r="O147" s="127" t="n">
        <f aca="false">IF(IFERROR(INDEX(tsk_Name,GanttView[[#This Row],[_Row]])="",TRUE()),0,IF(AND(INDEX(tsk_IsLeaf,GanttView[[#This Row],[_Row]])=1,NOT(GanttView[[#This Row],[_IsMilestone]]),N(GanttView[[#This Row],[%]])&gt;0),GanttView[[#This Row],[Forecast Start]],0))</f>
        <v>0</v>
      </c>
      <c r="P147" s="127" t="n">
        <f aca="false">IF(GanttView[[#This Row],[_DoneFrom]]=0,0,IF(GanttView[[#This Row],[%]]&gt;=1,GanttView[[#This Row],[Forecast Finish]],MAX(GanttView[[#This Row],[_DoneFrom]],GanttView[[#This Row],[Forecast Start]]+ROUND((GanttView[[#This Row],[Forecast Finish]]-GanttView[[#This Row],[Forecast Start]]+1)*GanttView[[#This Row],[%]],0)-1)))</f>
        <v>0</v>
      </c>
      <c r="Q147" s="127" t="n">
        <f aca="false">IF(IFERROR(INDEX(tsk_Name,GanttView[[#This Row],[_Row]])="",TRUE()),0,IF(OR(INDEX(tsk_IsLeaf,GanttView[[#This Row],[_Row]])&lt;&gt;1,GanttView[[#This Row],[_IsMilestone]],N(GanttView[[#This Row],[%]])&gt;=1),0,IF(GanttView[[#This Row],[_DoneTo]]&gt;0,GanttView[[#This Row],[_DoneTo]]+1,GanttView[[#This Row],[Forecast Start]])))</f>
        <v>0</v>
      </c>
      <c r="R147" s="127" t="n">
        <f aca="false">IF(GanttView[[#This Row],[_RemFrom]]=0,0,GanttView[[#This Row],[Forecast Finish]])</f>
        <v>0</v>
      </c>
      <c r="S147" s="126" t="b">
        <f aca="false">IF(IFERROR(INDEX(tsk_Name,GanttView[[#This Row],[_Row]])="",TRUE()),FALSE(),N(INDEX(tsk_Variance,GanttView[[#This Row],[_Row]]))&gt;0)</f>
        <v>0</v>
      </c>
      <c r="T147" s="127" t="n">
        <f aca="false">IF(IFERROR(INDEX(tsk_Name,GanttView[[#This Row],[_Row]])="",TRUE()),0,N(INDEX(tsk_Deadline,GanttView[[#This Row],[_Row]])))</f>
        <v>0</v>
      </c>
      <c r="U147" s="126" t="b">
        <f aca="false">IF(IFERROR(INDEX(tsk_Name,GanttView[[#This Row],[_Row]])="",TRUE()),FALSE(),INDEX(tsk_Critical,GanttView[[#This Row],[_Row]])="Yes")</f>
        <v>0</v>
      </c>
    </row>
    <row r="148" customFormat="false" ht="15" hidden="false" customHeight="false" outlineLevel="0" collapsed="false">
      <c r="A148" s="120" t="str">
        <f aca="false">IF(IFERROR(INDEX(tsk_Name,GanttView[[#This Row],[_Row]])="",TRUE()),"",INDEX(tsk_ID,GanttView[[#This Row],[_Row]]))</f>
        <v/>
      </c>
      <c r="B148" s="120" t="str">
        <f aca="false">IF(IFERROR(INDEX(tsk_Name,GanttView[[#This Row],[_Row]])="",TRUE()),"",INDEX(tsk_WBS,GanttView[[#This Row],[_Row]]))</f>
        <v/>
      </c>
      <c r="C148" s="121" t="str">
        <f aca="false">IF(IFERROR(INDEX(tsk_Name,GanttView[[#This Row],[_Row]])="",TRUE()),"",REPT("    ",INDEX(tsk_Level,GanttView[[#This Row],[_Row]])-1)&amp;INDEX(tsk_Name,GanttView[[#This Row],[_Row]]))</f>
        <v/>
      </c>
      <c r="D148" s="120" t="str">
        <f aca="false">IF(IFERROR(INDEX(tsk_Name,GanttView[[#This Row],[_Row]])="",TRUE()),"",IF(INDEX(tsk_IsSummary,GanttView[[#This Row],[_Row]]),NETWORKDAYS.INTL(INDEX(tsk_FcStart,GanttView[[#This Row],[_Row]]),INDEX(tsk_FcFinish,GanttView[[#This Row],[_Row]]),WorkWeek,Holidays),N(INDEX(tsk_Duration,GanttView[[#This Row],[_Row]]))))</f>
        <v/>
      </c>
      <c r="E148" s="122" t="str">
        <f aca="false">IF(IFERROR(INDEX(tsk_Name,GanttView[[#This Row],[_Row]])="",TRUE()),"",INDEX(tsk_PlanStart,GanttView[[#This Row],[_Row]]))</f>
        <v/>
      </c>
      <c r="F148" s="122" t="str">
        <f aca="false">IF(IFERROR(INDEX(tsk_Name,GanttView[[#This Row],[_Row]])="",TRUE()),"",INDEX(tsk_PlanFinish,GanttView[[#This Row],[_Row]]))</f>
        <v/>
      </c>
      <c r="G148" s="122" t="str">
        <f aca="false">IF(IFERROR(INDEX(tsk_Name,GanttView[[#This Row],[_Row]])="",TRUE()),"",INDEX(tsk_FcStart,GanttView[[#This Row],[_Row]]))</f>
        <v/>
      </c>
      <c r="H148" s="122" t="str">
        <f aca="false">IF(IFERROR(INDEX(tsk_Name,GanttView[[#This Row],[_Row]])="",TRUE()),"",INDEX(tsk_FcFinish,GanttView[[#This Row],[_Row]]))</f>
        <v/>
      </c>
      <c r="I148" s="123" t="str">
        <f aca="false">IF(IFERROR(INDEX(tsk_Name,GanttView[[#This Row],[_Row]])="",TRUE()),"",INDEX(tsk_Progress,GanttView[[#This Row],[_Row]]))</f>
        <v/>
      </c>
      <c r="J148" s="121" t="str">
        <f aca="false">IF(IFERROR(INDEX(tsk_Name,GanttView[[#This Row],[_Row]])="",TRUE()),"",INDEX(tsk_Resource,GanttView[[#This Row],[_Row]])&amp;"")</f>
        <v/>
      </c>
      <c r="K148" s="124" t="str">
        <f aca="false">IF(IFERROR(INDEX(tsk_Name,GanttView[[#This Row],[_Row]])="",TRUE()),"",INDEX(tsk_Status,GanttView[[#This Row],[_Row]]))</f>
        <v/>
      </c>
      <c r="L148" s="125" t="n">
        <f aca="false">ROW()-ROW(GanttView[[#Headers],[ID]])</f>
        <v>143</v>
      </c>
      <c r="M148" s="126" t="b">
        <f aca="false">IF(IFERROR(INDEX(tsk_Name,GanttView[[#This Row],[_Row]])="",TRUE()),FALSE(),INDEX(tsk_IsSummary,GanttView[[#This Row],[_Row]]))</f>
        <v>0</v>
      </c>
      <c r="N148" s="126" t="b">
        <f aca="false">IF(IFERROR(INDEX(tsk_Name,GanttView[[#This Row],[_Row]])="",TRUE()),FALSE(),AND(INDEX(tsk_IsLeaf,GanttView[[#This Row],[_Row]])=1,N(INDEX(tsk_Duration,GanttView[[#This Row],[_Row]]))=0))</f>
        <v>0</v>
      </c>
      <c r="O148" s="127" t="n">
        <f aca="false">IF(IFERROR(INDEX(tsk_Name,GanttView[[#This Row],[_Row]])="",TRUE()),0,IF(AND(INDEX(tsk_IsLeaf,GanttView[[#This Row],[_Row]])=1,NOT(GanttView[[#This Row],[_IsMilestone]]),N(GanttView[[#This Row],[%]])&gt;0),GanttView[[#This Row],[Forecast Start]],0))</f>
        <v>0</v>
      </c>
      <c r="P148" s="127" t="n">
        <f aca="false">IF(GanttView[[#This Row],[_DoneFrom]]=0,0,IF(GanttView[[#This Row],[%]]&gt;=1,GanttView[[#This Row],[Forecast Finish]],MAX(GanttView[[#This Row],[_DoneFrom]],GanttView[[#This Row],[Forecast Start]]+ROUND((GanttView[[#This Row],[Forecast Finish]]-GanttView[[#This Row],[Forecast Start]]+1)*GanttView[[#This Row],[%]],0)-1)))</f>
        <v>0</v>
      </c>
      <c r="Q148" s="127" t="n">
        <f aca="false">IF(IFERROR(INDEX(tsk_Name,GanttView[[#This Row],[_Row]])="",TRUE()),0,IF(OR(INDEX(tsk_IsLeaf,GanttView[[#This Row],[_Row]])&lt;&gt;1,GanttView[[#This Row],[_IsMilestone]],N(GanttView[[#This Row],[%]])&gt;=1),0,IF(GanttView[[#This Row],[_DoneTo]]&gt;0,GanttView[[#This Row],[_DoneTo]]+1,GanttView[[#This Row],[Forecast Start]])))</f>
        <v>0</v>
      </c>
      <c r="R148" s="127" t="n">
        <f aca="false">IF(GanttView[[#This Row],[_RemFrom]]=0,0,GanttView[[#This Row],[Forecast Finish]])</f>
        <v>0</v>
      </c>
      <c r="S148" s="126" t="b">
        <f aca="false">IF(IFERROR(INDEX(tsk_Name,GanttView[[#This Row],[_Row]])="",TRUE()),FALSE(),N(INDEX(tsk_Variance,GanttView[[#This Row],[_Row]]))&gt;0)</f>
        <v>0</v>
      </c>
      <c r="T148" s="127" t="n">
        <f aca="false">IF(IFERROR(INDEX(tsk_Name,GanttView[[#This Row],[_Row]])="",TRUE()),0,N(INDEX(tsk_Deadline,GanttView[[#This Row],[_Row]])))</f>
        <v>0</v>
      </c>
      <c r="U148" s="126" t="b">
        <f aca="false">IF(IFERROR(INDEX(tsk_Name,GanttView[[#This Row],[_Row]])="",TRUE()),FALSE(),INDEX(tsk_Critical,GanttView[[#This Row],[_Row]])="Yes")</f>
        <v>0</v>
      </c>
    </row>
    <row r="149" customFormat="false" ht="15" hidden="false" customHeight="false" outlineLevel="0" collapsed="false">
      <c r="A149" s="120" t="str">
        <f aca="false">IF(IFERROR(INDEX(tsk_Name,GanttView[[#This Row],[_Row]])="",TRUE()),"",INDEX(tsk_ID,GanttView[[#This Row],[_Row]]))</f>
        <v/>
      </c>
      <c r="B149" s="120" t="str">
        <f aca="false">IF(IFERROR(INDEX(tsk_Name,GanttView[[#This Row],[_Row]])="",TRUE()),"",INDEX(tsk_WBS,GanttView[[#This Row],[_Row]]))</f>
        <v/>
      </c>
      <c r="C149" s="121" t="str">
        <f aca="false">IF(IFERROR(INDEX(tsk_Name,GanttView[[#This Row],[_Row]])="",TRUE()),"",REPT("    ",INDEX(tsk_Level,GanttView[[#This Row],[_Row]])-1)&amp;INDEX(tsk_Name,GanttView[[#This Row],[_Row]]))</f>
        <v/>
      </c>
      <c r="D149" s="120" t="str">
        <f aca="false">IF(IFERROR(INDEX(tsk_Name,GanttView[[#This Row],[_Row]])="",TRUE()),"",IF(INDEX(tsk_IsSummary,GanttView[[#This Row],[_Row]]),NETWORKDAYS.INTL(INDEX(tsk_FcStart,GanttView[[#This Row],[_Row]]),INDEX(tsk_FcFinish,GanttView[[#This Row],[_Row]]),WorkWeek,Holidays),N(INDEX(tsk_Duration,GanttView[[#This Row],[_Row]]))))</f>
        <v/>
      </c>
      <c r="E149" s="122" t="str">
        <f aca="false">IF(IFERROR(INDEX(tsk_Name,GanttView[[#This Row],[_Row]])="",TRUE()),"",INDEX(tsk_PlanStart,GanttView[[#This Row],[_Row]]))</f>
        <v/>
      </c>
      <c r="F149" s="122" t="str">
        <f aca="false">IF(IFERROR(INDEX(tsk_Name,GanttView[[#This Row],[_Row]])="",TRUE()),"",INDEX(tsk_PlanFinish,GanttView[[#This Row],[_Row]]))</f>
        <v/>
      </c>
      <c r="G149" s="122" t="str">
        <f aca="false">IF(IFERROR(INDEX(tsk_Name,GanttView[[#This Row],[_Row]])="",TRUE()),"",INDEX(tsk_FcStart,GanttView[[#This Row],[_Row]]))</f>
        <v/>
      </c>
      <c r="H149" s="122" t="str">
        <f aca="false">IF(IFERROR(INDEX(tsk_Name,GanttView[[#This Row],[_Row]])="",TRUE()),"",INDEX(tsk_FcFinish,GanttView[[#This Row],[_Row]]))</f>
        <v/>
      </c>
      <c r="I149" s="123" t="str">
        <f aca="false">IF(IFERROR(INDEX(tsk_Name,GanttView[[#This Row],[_Row]])="",TRUE()),"",INDEX(tsk_Progress,GanttView[[#This Row],[_Row]]))</f>
        <v/>
      </c>
      <c r="J149" s="121" t="str">
        <f aca="false">IF(IFERROR(INDEX(tsk_Name,GanttView[[#This Row],[_Row]])="",TRUE()),"",INDEX(tsk_Resource,GanttView[[#This Row],[_Row]])&amp;"")</f>
        <v/>
      </c>
      <c r="K149" s="124" t="str">
        <f aca="false">IF(IFERROR(INDEX(tsk_Name,GanttView[[#This Row],[_Row]])="",TRUE()),"",INDEX(tsk_Status,GanttView[[#This Row],[_Row]]))</f>
        <v/>
      </c>
      <c r="L149" s="125" t="n">
        <f aca="false">ROW()-ROW(GanttView[[#Headers],[ID]])</f>
        <v>144</v>
      </c>
      <c r="M149" s="126" t="b">
        <f aca="false">IF(IFERROR(INDEX(tsk_Name,GanttView[[#This Row],[_Row]])="",TRUE()),FALSE(),INDEX(tsk_IsSummary,GanttView[[#This Row],[_Row]]))</f>
        <v>0</v>
      </c>
      <c r="N149" s="126" t="b">
        <f aca="false">IF(IFERROR(INDEX(tsk_Name,GanttView[[#This Row],[_Row]])="",TRUE()),FALSE(),AND(INDEX(tsk_IsLeaf,GanttView[[#This Row],[_Row]])=1,N(INDEX(tsk_Duration,GanttView[[#This Row],[_Row]]))=0))</f>
        <v>0</v>
      </c>
      <c r="O149" s="127" t="n">
        <f aca="false">IF(IFERROR(INDEX(tsk_Name,GanttView[[#This Row],[_Row]])="",TRUE()),0,IF(AND(INDEX(tsk_IsLeaf,GanttView[[#This Row],[_Row]])=1,NOT(GanttView[[#This Row],[_IsMilestone]]),N(GanttView[[#This Row],[%]])&gt;0),GanttView[[#This Row],[Forecast Start]],0))</f>
        <v>0</v>
      </c>
      <c r="P149" s="127" t="n">
        <f aca="false">IF(GanttView[[#This Row],[_DoneFrom]]=0,0,IF(GanttView[[#This Row],[%]]&gt;=1,GanttView[[#This Row],[Forecast Finish]],MAX(GanttView[[#This Row],[_DoneFrom]],GanttView[[#This Row],[Forecast Start]]+ROUND((GanttView[[#This Row],[Forecast Finish]]-GanttView[[#This Row],[Forecast Start]]+1)*GanttView[[#This Row],[%]],0)-1)))</f>
        <v>0</v>
      </c>
      <c r="Q149" s="127" t="n">
        <f aca="false">IF(IFERROR(INDEX(tsk_Name,GanttView[[#This Row],[_Row]])="",TRUE()),0,IF(OR(INDEX(tsk_IsLeaf,GanttView[[#This Row],[_Row]])&lt;&gt;1,GanttView[[#This Row],[_IsMilestone]],N(GanttView[[#This Row],[%]])&gt;=1),0,IF(GanttView[[#This Row],[_DoneTo]]&gt;0,GanttView[[#This Row],[_DoneTo]]+1,GanttView[[#This Row],[Forecast Start]])))</f>
        <v>0</v>
      </c>
      <c r="R149" s="127" t="n">
        <f aca="false">IF(GanttView[[#This Row],[_RemFrom]]=0,0,GanttView[[#This Row],[Forecast Finish]])</f>
        <v>0</v>
      </c>
      <c r="S149" s="126" t="b">
        <f aca="false">IF(IFERROR(INDEX(tsk_Name,GanttView[[#This Row],[_Row]])="",TRUE()),FALSE(),N(INDEX(tsk_Variance,GanttView[[#This Row],[_Row]]))&gt;0)</f>
        <v>0</v>
      </c>
      <c r="T149" s="127" t="n">
        <f aca="false">IF(IFERROR(INDEX(tsk_Name,GanttView[[#This Row],[_Row]])="",TRUE()),0,N(INDEX(tsk_Deadline,GanttView[[#This Row],[_Row]])))</f>
        <v>0</v>
      </c>
      <c r="U149" s="126" t="b">
        <f aca="false">IF(IFERROR(INDEX(tsk_Name,GanttView[[#This Row],[_Row]])="",TRUE()),FALSE(),INDEX(tsk_Critical,GanttView[[#This Row],[_Row]])="Yes")</f>
        <v>0</v>
      </c>
    </row>
    <row r="150" customFormat="false" ht="15" hidden="false" customHeight="false" outlineLevel="0" collapsed="false">
      <c r="A150" s="120" t="str">
        <f aca="false">IF(IFERROR(INDEX(tsk_Name,GanttView[[#This Row],[_Row]])="",TRUE()),"",INDEX(tsk_ID,GanttView[[#This Row],[_Row]]))</f>
        <v/>
      </c>
      <c r="B150" s="120" t="str">
        <f aca="false">IF(IFERROR(INDEX(tsk_Name,GanttView[[#This Row],[_Row]])="",TRUE()),"",INDEX(tsk_WBS,GanttView[[#This Row],[_Row]]))</f>
        <v/>
      </c>
      <c r="C150" s="121" t="str">
        <f aca="false">IF(IFERROR(INDEX(tsk_Name,GanttView[[#This Row],[_Row]])="",TRUE()),"",REPT("    ",INDEX(tsk_Level,GanttView[[#This Row],[_Row]])-1)&amp;INDEX(tsk_Name,GanttView[[#This Row],[_Row]]))</f>
        <v/>
      </c>
      <c r="D150" s="120" t="str">
        <f aca="false">IF(IFERROR(INDEX(tsk_Name,GanttView[[#This Row],[_Row]])="",TRUE()),"",IF(INDEX(tsk_IsSummary,GanttView[[#This Row],[_Row]]),NETWORKDAYS.INTL(INDEX(tsk_FcStart,GanttView[[#This Row],[_Row]]),INDEX(tsk_FcFinish,GanttView[[#This Row],[_Row]]),WorkWeek,Holidays),N(INDEX(tsk_Duration,GanttView[[#This Row],[_Row]]))))</f>
        <v/>
      </c>
      <c r="E150" s="122" t="str">
        <f aca="false">IF(IFERROR(INDEX(tsk_Name,GanttView[[#This Row],[_Row]])="",TRUE()),"",INDEX(tsk_PlanStart,GanttView[[#This Row],[_Row]]))</f>
        <v/>
      </c>
      <c r="F150" s="122" t="str">
        <f aca="false">IF(IFERROR(INDEX(tsk_Name,GanttView[[#This Row],[_Row]])="",TRUE()),"",INDEX(tsk_PlanFinish,GanttView[[#This Row],[_Row]]))</f>
        <v/>
      </c>
      <c r="G150" s="122" t="str">
        <f aca="false">IF(IFERROR(INDEX(tsk_Name,GanttView[[#This Row],[_Row]])="",TRUE()),"",INDEX(tsk_FcStart,GanttView[[#This Row],[_Row]]))</f>
        <v/>
      </c>
      <c r="H150" s="122" t="str">
        <f aca="false">IF(IFERROR(INDEX(tsk_Name,GanttView[[#This Row],[_Row]])="",TRUE()),"",INDEX(tsk_FcFinish,GanttView[[#This Row],[_Row]]))</f>
        <v/>
      </c>
      <c r="I150" s="123" t="str">
        <f aca="false">IF(IFERROR(INDEX(tsk_Name,GanttView[[#This Row],[_Row]])="",TRUE()),"",INDEX(tsk_Progress,GanttView[[#This Row],[_Row]]))</f>
        <v/>
      </c>
      <c r="J150" s="121" t="str">
        <f aca="false">IF(IFERROR(INDEX(tsk_Name,GanttView[[#This Row],[_Row]])="",TRUE()),"",INDEX(tsk_Resource,GanttView[[#This Row],[_Row]])&amp;"")</f>
        <v/>
      </c>
      <c r="K150" s="124" t="str">
        <f aca="false">IF(IFERROR(INDEX(tsk_Name,GanttView[[#This Row],[_Row]])="",TRUE()),"",INDEX(tsk_Status,GanttView[[#This Row],[_Row]]))</f>
        <v/>
      </c>
      <c r="L150" s="125" t="n">
        <f aca="false">ROW()-ROW(GanttView[[#Headers],[ID]])</f>
        <v>145</v>
      </c>
      <c r="M150" s="126" t="b">
        <f aca="false">IF(IFERROR(INDEX(tsk_Name,GanttView[[#This Row],[_Row]])="",TRUE()),FALSE(),INDEX(tsk_IsSummary,GanttView[[#This Row],[_Row]]))</f>
        <v>0</v>
      </c>
      <c r="N150" s="126" t="b">
        <f aca="false">IF(IFERROR(INDEX(tsk_Name,GanttView[[#This Row],[_Row]])="",TRUE()),FALSE(),AND(INDEX(tsk_IsLeaf,GanttView[[#This Row],[_Row]])=1,N(INDEX(tsk_Duration,GanttView[[#This Row],[_Row]]))=0))</f>
        <v>0</v>
      </c>
      <c r="O150" s="127" t="n">
        <f aca="false">IF(IFERROR(INDEX(tsk_Name,GanttView[[#This Row],[_Row]])="",TRUE()),0,IF(AND(INDEX(tsk_IsLeaf,GanttView[[#This Row],[_Row]])=1,NOT(GanttView[[#This Row],[_IsMilestone]]),N(GanttView[[#This Row],[%]])&gt;0),GanttView[[#This Row],[Forecast Start]],0))</f>
        <v>0</v>
      </c>
      <c r="P150" s="127" t="n">
        <f aca="false">IF(GanttView[[#This Row],[_DoneFrom]]=0,0,IF(GanttView[[#This Row],[%]]&gt;=1,GanttView[[#This Row],[Forecast Finish]],MAX(GanttView[[#This Row],[_DoneFrom]],GanttView[[#This Row],[Forecast Start]]+ROUND((GanttView[[#This Row],[Forecast Finish]]-GanttView[[#This Row],[Forecast Start]]+1)*GanttView[[#This Row],[%]],0)-1)))</f>
        <v>0</v>
      </c>
      <c r="Q150" s="127" t="n">
        <f aca="false">IF(IFERROR(INDEX(tsk_Name,GanttView[[#This Row],[_Row]])="",TRUE()),0,IF(OR(INDEX(tsk_IsLeaf,GanttView[[#This Row],[_Row]])&lt;&gt;1,GanttView[[#This Row],[_IsMilestone]],N(GanttView[[#This Row],[%]])&gt;=1),0,IF(GanttView[[#This Row],[_DoneTo]]&gt;0,GanttView[[#This Row],[_DoneTo]]+1,GanttView[[#This Row],[Forecast Start]])))</f>
        <v>0</v>
      </c>
      <c r="R150" s="127" t="n">
        <f aca="false">IF(GanttView[[#This Row],[_RemFrom]]=0,0,GanttView[[#This Row],[Forecast Finish]])</f>
        <v>0</v>
      </c>
      <c r="S150" s="126" t="b">
        <f aca="false">IF(IFERROR(INDEX(tsk_Name,GanttView[[#This Row],[_Row]])="",TRUE()),FALSE(),N(INDEX(tsk_Variance,GanttView[[#This Row],[_Row]]))&gt;0)</f>
        <v>0</v>
      </c>
      <c r="T150" s="127" t="n">
        <f aca="false">IF(IFERROR(INDEX(tsk_Name,GanttView[[#This Row],[_Row]])="",TRUE()),0,N(INDEX(tsk_Deadline,GanttView[[#This Row],[_Row]])))</f>
        <v>0</v>
      </c>
      <c r="U150" s="126" t="b">
        <f aca="false">IF(IFERROR(INDEX(tsk_Name,GanttView[[#This Row],[_Row]])="",TRUE()),FALSE(),INDEX(tsk_Critical,GanttView[[#This Row],[_Row]])="Yes")</f>
        <v>0</v>
      </c>
    </row>
    <row r="151" customFormat="false" ht="15" hidden="false" customHeight="false" outlineLevel="0" collapsed="false">
      <c r="A151" s="120" t="str">
        <f aca="false">IF(IFERROR(INDEX(tsk_Name,GanttView[[#This Row],[_Row]])="",TRUE()),"",INDEX(tsk_ID,GanttView[[#This Row],[_Row]]))</f>
        <v/>
      </c>
      <c r="B151" s="120" t="str">
        <f aca="false">IF(IFERROR(INDEX(tsk_Name,GanttView[[#This Row],[_Row]])="",TRUE()),"",INDEX(tsk_WBS,GanttView[[#This Row],[_Row]]))</f>
        <v/>
      </c>
      <c r="C151" s="121" t="str">
        <f aca="false">IF(IFERROR(INDEX(tsk_Name,GanttView[[#This Row],[_Row]])="",TRUE()),"",REPT("    ",INDEX(tsk_Level,GanttView[[#This Row],[_Row]])-1)&amp;INDEX(tsk_Name,GanttView[[#This Row],[_Row]]))</f>
        <v/>
      </c>
      <c r="D151" s="120" t="str">
        <f aca="false">IF(IFERROR(INDEX(tsk_Name,GanttView[[#This Row],[_Row]])="",TRUE()),"",IF(INDEX(tsk_IsSummary,GanttView[[#This Row],[_Row]]),NETWORKDAYS.INTL(INDEX(tsk_FcStart,GanttView[[#This Row],[_Row]]),INDEX(tsk_FcFinish,GanttView[[#This Row],[_Row]]),WorkWeek,Holidays),N(INDEX(tsk_Duration,GanttView[[#This Row],[_Row]]))))</f>
        <v/>
      </c>
      <c r="E151" s="122" t="str">
        <f aca="false">IF(IFERROR(INDEX(tsk_Name,GanttView[[#This Row],[_Row]])="",TRUE()),"",INDEX(tsk_PlanStart,GanttView[[#This Row],[_Row]]))</f>
        <v/>
      </c>
      <c r="F151" s="122" t="str">
        <f aca="false">IF(IFERROR(INDEX(tsk_Name,GanttView[[#This Row],[_Row]])="",TRUE()),"",INDEX(tsk_PlanFinish,GanttView[[#This Row],[_Row]]))</f>
        <v/>
      </c>
      <c r="G151" s="122" t="str">
        <f aca="false">IF(IFERROR(INDEX(tsk_Name,GanttView[[#This Row],[_Row]])="",TRUE()),"",INDEX(tsk_FcStart,GanttView[[#This Row],[_Row]]))</f>
        <v/>
      </c>
      <c r="H151" s="122" t="str">
        <f aca="false">IF(IFERROR(INDEX(tsk_Name,GanttView[[#This Row],[_Row]])="",TRUE()),"",INDEX(tsk_FcFinish,GanttView[[#This Row],[_Row]]))</f>
        <v/>
      </c>
      <c r="I151" s="123" t="str">
        <f aca="false">IF(IFERROR(INDEX(tsk_Name,GanttView[[#This Row],[_Row]])="",TRUE()),"",INDEX(tsk_Progress,GanttView[[#This Row],[_Row]]))</f>
        <v/>
      </c>
      <c r="J151" s="121" t="str">
        <f aca="false">IF(IFERROR(INDEX(tsk_Name,GanttView[[#This Row],[_Row]])="",TRUE()),"",INDEX(tsk_Resource,GanttView[[#This Row],[_Row]])&amp;"")</f>
        <v/>
      </c>
      <c r="K151" s="124" t="str">
        <f aca="false">IF(IFERROR(INDEX(tsk_Name,GanttView[[#This Row],[_Row]])="",TRUE()),"",INDEX(tsk_Status,GanttView[[#This Row],[_Row]]))</f>
        <v/>
      </c>
      <c r="L151" s="125" t="n">
        <f aca="false">ROW()-ROW(GanttView[[#Headers],[ID]])</f>
        <v>146</v>
      </c>
      <c r="M151" s="126" t="b">
        <f aca="false">IF(IFERROR(INDEX(tsk_Name,GanttView[[#This Row],[_Row]])="",TRUE()),FALSE(),INDEX(tsk_IsSummary,GanttView[[#This Row],[_Row]]))</f>
        <v>0</v>
      </c>
      <c r="N151" s="126" t="b">
        <f aca="false">IF(IFERROR(INDEX(tsk_Name,GanttView[[#This Row],[_Row]])="",TRUE()),FALSE(),AND(INDEX(tsk_IsLeaf,GanttView[[#This Row],[_Row]])=1,N(INDEX(tsk_Duration,GanttView[[#This Row],[_Row]]))=0))</f>
        <v>0</v>
      </c>
      <c r="O151" s="127" t="n">
        <f aca="false">IF(IFERROR(INDEX(tsk_Name,GanttView[[#This Row],[_Row]])="",TRUE()),0,IF(AND(INDEX(tsk_IsLeaf,GanttView[[#This Row],[_Row]])=1,NOT(GanttView[[#This Row],[_IsMilestone]]),N(GanttView[[#This Row],[%]])&gt;0),GanttView[[#This Row],[Forecast Start]],0))</f>
        <v>0</v>
      </c>
      <c r="P151" s="127" t="n">
        <f aca="false">IF(GanttView[[#This Row],[_DoneFrom]]=0,0,IF(GanttView[[#This Row],[%]]&gt;=1,GanttView[[#This Row],[Forecast Finish]],MAX(GanttView[[#This Row],[_DoneFrom]],GanttView[[#This Row],[Forecast Start]]+ROUND((GanttView[[#This Row],[Forecast Finish]]-GanttView[[#This Row],[Forecast Start]]+1)*GanttView[[#This Row],[%]],0)-1)))</f>
        <v>0</v>
      </c>
      <c r="Q151" s="127" t="n">
        <f aca="false">IF(IFERROR(INDEX(tsk_Name,GanttView[[#This Row],[_Row]])="",TRUE()),0,IF(OR(INDEX(tsk_IsLeaf,GanttView[[#This Row],[_Row]])&lt;&gt;1,GanttView[[#This Row],[_IsMilestone]],N(GanttView[[#This Row],[%]])&gt;=1),0,IF(GanttView[[#This Row],[_DoneTo]]&gt;0,GanttView[[#This Row],[_DoneTo]]+1,GanttView[[#This Row],[Forecast Start]])))</f>
        <v>0</v>
      </c>
      <c r="R151" s="127" t="n">
        <f aca="false">IF(GanttView[[#This Row],[_RemFrom]]=0,0,GanttView[[#This Row],[Forecast Finish]])</f>
        <v>0</v>
      </c>
      <c r="S151" s="126" t="b">
        <f aca="false">IF(IFERROR(INDEX(tsk_Name,GanttView[[#This Row],[_Row]])="",TRUE()),FALSE(),N(INDEX(tsk_Variance,GanttView[[#This Row],[_Row]]))&gt;0)</f>
        <v>0</v>
      </c>
      <c r="T151" s="127" t="n">
        <f aca="false">IF(IFERROR(INDEX(tsk_Name,GanttView[[#This Row],[_Row]])="",TRUE()),0,N(INDEX(tsk_Deadline,GanttView[[#This Row],[_Row]])))</f>
        <v>0</v>
      </c>
      <c r="U151" s="126" t="b">
        <f aca="false">IF(IFERROR(INDEX(tsk_Name,GanttView[[#This Row],[_Row]])="",TRUE()),FALSE(),INDEX(tsk_Critical,GanttView[[#This Row],[_Row]])="Yes")</f>
        <v>0</v>
      </c>
    </row>
    <row r="152" customFormat="false" ht="15" hidden="false" customHeight="false" outlineLevel="0" collapsed="false">
      <c r="A152" s="120" t="str">
        <f aca="false">IF(IFERROR(INDEX(tsk_Name,GanttView[[#This Row],[_Row]])="",TRUE()),"",INDEX(tsk_ID,GanttView[[#This Row],[_Row]]))</f>
        <v/>
      </c>
      <c r="B152" s="120" t="str">
        <f aca="false">IF(IFERROR(INDEX(tsk_Name,GanttView[[#This Row],[_Row]])="",TRUE()),"",INDEX(tsk_WBS,GanttView[[#This Row],[_Row]]))</f>
        <v/>
      </c>
      <c r="C152" s="121" t="str">
        <f aca="false">IF(IFERROR(INDEX(tsk_Name,GanttView[[#This Row],[_Row]])="",TRUE()),"",REPT("    ",INDEX(tsk_Level,GanttView[[#This Row],[_Row]])-1)&amp;INDEX(tsk_Name,GanttView[[#This Row],[_Row]]))</f>
        <v/>
      </c>
      <c r="D152" s="120" t="str">
        <f aca="false">IF(IFERROR(INDEX(tsk_Name,GanttView[[#This Row],[_Row]])="",TRUE()),"",IF(INDEX(tsk_IsSummary,GanttView[[#This Row],[_Row]]),NETWORKDAYS.INTL(INDEX(tsk_FcStart,GanttView[[#This Row],[_Row]]),INDEX(tsk_FcFinish,GanttView[[#This Row],[_Row]]),WorkWeek,Holidays),N(INDEX(tsk_Duration,GanttView[[#This Row],[_Row]]))))</f>
        <v/>
      </c>
      <c r="E152" s="122" t="str">
        <f aca="false">IF(IFERROR(INDEX(tsk_Name,GanttView[[#This Row],[_Row]])="",TRUE()),"",INDEX(tsk_PlanStart,GanttView[[#This Row],[_Row]]))</f>
        <v/>
      </c>
      <c r="F152" s="122" t="str">
        <f aca="false">IF(IFERROR(INDEX(tsk_Name,GanttView[[#This Row],[_Row]])="",TRUE()),"",INDEX(tsk_PlanFinish,GanttView[[#This Row],[_Row]]))</f>
        <v/>
      </c>
      <c r="G152" s="122" t="str">
        <f aca="false">IF(IFERROR(INDEX(tsk_Name,GanttView[[#This Row],[_Row]])="",TRUE()),"",INDEX(tsk_FcStart,GanttView[[#This Row],[_Row]]))</f>
        <v/>
      </c>
      <c r="H152" s="122" t="str">
        <f aca="false">IF(IFERROR(INDEX(tsk_Name,GanttView[[#This Row],[_Row]])="",TRUE()),"",INDEX(tsk_FcFinish,GanttView[[#This Row],[_Row]]))</f>
        <v/>
      </c>
      <c r="I152" s="123" t="str">
        <f aca="false">IF(IFERROR(INDEX(tsk_Name,GanttView[[#This Row],[_Row]])="",TRUE()),"",INDEX(tsk_Progress,GanttView[[#This Row],[_Row]]))</f>
        <v/>
      </c>
      <c r="J152" s="121" t="str">
        <f aca="false">IF(IFERROR(INDEX(tsk_Name,GanttView[[#This Row],[_Row]])="",TRUE()),"",INDEX(tsk_Resource,GanttView[[#This Row],[_Row]])&amp;"")</f>
        <v/>
      </c>
      <c r="K152" s="124" t="str">
        <f aca="false">IF(IFERROR(INDEX(tsk_Name,GanttView[[#This Row],[_Row]])="",TRUE()),"",INDEX(tsk_Status,GanttView[[#This Row],[_Row]]))</f>
        <v/>
      </c>
      <c r="L152" s="125" t="n">
        <f aca="false">ROW()-ROW(GanttView[[#Headers],[ID]])</f>
        <v>147</v>
      </c>
      <c r="M152" s="126" t="b">
        <f aca="false">IF(IFERROR(INDEX(tsk_Name,GanttView[[#This Row],[_Row]])="",TRUE()),FALSE(),INDEX(tsk_IsSummary,GanttView[[#This Row],[_Row]]))</f>
        <v>0</v>
      </c>
      <c r="N152" s="126" t="b">
        <f aca="false">IF(IFERROR(INDEX(tsk_Name,GanttView[[#This Row],[_Row]])="",TRUE()),FALSE(),AND(INDEX(tsk_IsLeaf,GanttView[[#This Row],[_Row]])=1,N(INDEX(tsk_Duration,GanttView[[#This Row],[_Row]]))=0))</f>
        <v>0</v>
      </c>
      <c r="O152" s="127" t="n">
        <f aca="false">IF(IFERROR(INDEX(tsk_Name,GanttView[[#This Row],[_Row]])="",TRUE()),0,IF(AND(INDEX(tsk_IsLeaf,GanttView[[#This Row],[_Row]])=1,NOT(GanttView[[#This Row],[_IsMilestone]]),N(GanttView[[#This Row],[%]])&gt;0),GanttView[[#This Row],[Forecast Start]],0))</f>
        <v>0</v>
      </c>
      <c r="P152" s="127" t="n">
        <f aca="false">IF(GanttView[[#This Row],[_DoneFrom]]=0,0,IF(GanttView[[#This Row],[%]]&gt;=1,GanttView[[#This Row],[Forecast Finish]],MAX(GanttView[[#This Row],[_DoneFrom]],GanttView[[#This Row],[Forecast Start]]+ROUND((GanttView[[#This Row],[Forecast Finish]]-GanttView[[#This Row],[Forecast Start]]+1)*GanttView[[#This Row],[%]],0)-1)))</f>
        <v>0</v>
      </c>
      <c r="Q152" s="127" t="n">
        <f aca="false">IF(IFERROR(INDEX(tsk_Name,GanttView[[#This Row],[_Row]])="",TRUE()),0,IF(OR(INDEX(tsk_IsLeaf,GanttView[[#This Row],[_Row]])&lt;&gt;1,GanttView[[#This Row],[_IsMilestone]],N(GanttView[[#This Row],[%]])&gt;=1),0,IF(GanttView[[#This Row],[_DoneTo]]&gt;0,GanttView[[#This Row],[_DoneTo]]+1,GanttView[[#This Row],[Forecast Start]])))</f>
        <v>0</v>
      </c>
      <c r="R152" s="127" t="n">
        <f aca="false">IF(GanttView[[#This Row],[_RemFrom]]=0,0,GanttView[[#This Row],[Forecast Finish]])</f>
        <v>0</v>
      </c>
      <c r="S152" s="126" t="b">
        <f aca="false">IF(IFERROR(INDEX(tsk_Name,GanttView[[#This Row],[_Row]])="",TRUE()),FALSE(),N(INDEX(tsk_Variance,GanttView[[#This Row],[_Row]]))&gt;0)</f>
        <v>0</v>
      </c>
      <c r="T152" s="127" t="n">
        <f aca="false">IF(IFERROR(INDEX(tsk_Name,GanttView[[#This Row],[_Row]])="",TRUE()),0,N(INDEX(tsk_Deadline,GanttView[[#This Row],[_Row]])))</f>
        <v>0</v>
      </c>
      <c r="U152" s="126" t="b">
        <f aca="false">IF(IFERROR(INDEX(tsk_Name,GanttView[[#This Row],[_Row]])="",TRUE()),FALSE(),INDEX(tsk_Critical,GanttView[[#This Row],[_Row]])="Yes")</f>
        <v>0</v>
      </c>
    </row>
    <row r="153" customFormat="false" ht="15" hidden="false" customHeight="false" outlineLevel="0" collapsed="false">
      <c r="A153" s="120" t="str">
        <f aca="false">IF(IFERROR(INDEX(tsk_Name,GanttView[[#This Row],[_Row]])="",TRUE()),"",INDEX(tsk_ID,GanttView[[#This Row],[_Row]]))</f>
        <v/>
      </c>
      <c r="B153" s="120" t="str">
        <f aca="false">IF(IFERROR(INDEX(tsk_Name,GanttView[[#This Row],[_Row]])="",TRUE()),"",INDEX(tsk_WBS,GanttView[[#This Row],[_Row]]))</f>
        <v/>
      </c>
      <c r="C153" s="121" t="str">
        <f aca="false">IF(IFERROR(INDEX(tsk_Name,GanttView[[#This Row],[_Row]])="",TRUE()),"",REPT("    ",INDEX(tsk_Level,GanttView[[#This Row],[_Row]])-1)&amp;INDEX(tsk_Name,GanttView[[#This Row],[_Row]]))</f>
        <v/>
      </c>
      <c r="D153" s="120" t="str">
        <f aca="false">IF(IFERROR(INDEX(tsk_Name,GanttView[[#This Row],[_Row]])="",TRUE()),"",IF(INDEX(tsk_IsSummary,GanttView[[#This Row],[_Row]]),NETWORKDAYS.INTL(INDEX(tsk_FcStart,GanttView[[#This Row],[_Row]]),INDEX(tsk_FcFinish,GanttView[[#This Row],[_Row]]),WorkWeek,Holidays),N(INDEX(tsk_Duration,GanttView[[#This Row],[_Row]]))))</f>
        <v/>
      </c>
      <c r="E153" s="122" t="str">
        <f aca="false">IF(IFERROR(INDEX(tsk_Name,GanttView[[#This Row],[_Row]])="",TRUE()),"",INDEX(tsk_PlanStart,GanttView[[#This Row],[_Row]]))</f>
        <v/>
      </c>
      <c r="F153" s="122" t="str">
        <f aca="false">IF(IFERROR(INDEX(tsk_Name,GanttView[[#This Row],[_Row]])="",TRUE()),"",INDEX(tsk_PlanFinish,GanttView[[#This Row],[_Row]]))</f>
        <v/>
      </c>
      <c r="G153" s="122" t="str">
        <f aca="false">IF(IFERROR(INDEX(tsk_Name,GanttView[[#This Row],[_Row]])="",TRUE()),"",INDEX(tsk_FcStart,GanttView[[#This Row],[_Row]]))</f>
        <v/>
      </c>
      <c r="H153" s="122" t="str">
        <f aca="false">IF(IFERROR(INDEX(tsk_Name,GanttView[[#This Row],[_Row]])="",TRUE()),"",INDEX(tsk_FcFinish,GanttView[[#This Row],[_Row]]))</f>
        <v/>
      </c>
      <c r="I153" s="123" t="str">
        <f aca="false">IF(IFERROR(INDEX(tsk_Name,GanttView[[#This Row],[_Row]])="",TRUE()),"",INDEX(tsk_Progress,GanttView[[#This Row],[_Row]]))</f>
        <v/>
      </c>
      <c r="J153" s="121" t="str">
        <f aca="false">IF(IFERROR(INDEX(tsk_Name,GanttView[[#This Row],[_Row]])="",TRUE()),"",INDEX(tsk_Resource,GanttView[[#This Row],[_Row]])&amp;"")</f>
        <v/>
      </c>
      <c r="K153" s="124" t="str">
        <f aca="false">IF(IFERROR(INDEX(tsk_Name,GanttView[[#This Row],[_Row]])="",TRUE()),"",INDEX(tsk_Status,GanttView[[#This Row],[_Row]]))</f>
        <v/>
      </c>
      <c r="L153" s="125" t="n">
        <f aca="false">ROW()-ROW(GanttView[[#Headers],[ID]])</f>
        <v>148</v>
      </c>
      <c r="M153" s="126" t="b">
        <f aca="false">IF(IFERROR(INDEX(tsk_Name,GanttView[[#This Row],[_Row]])="",TRUE()),FALSE(),INDEX(tsk_IsSummary,GanttView[[#This Row],[_Row]]))</f>
        <v>0</v>
      </c>
      <c r="N153" s="126" t="b">
        <f aca="false">IF(IFERROR(INDEX(tsk_Name,GanttView[[#This Row],[_Row]])="",TRUE()),FALSE(),AND(INDEX(tsk_IsLeaf,GanttView[[#This Row],[_Row]])=1,N(INDEX(tsk_Duration,GanttView[[#This Row],[_Row]]))=0))</f>
        <v>0</v>
      </c>
      <c r="O153" s="127" t="n">
        <f aca="false">IF(IFERROR(INDEX(tsk_Name,GanttView[[#This Row],[_Row]])="",TRUE()),0,IF(AND(INDEX(tsk_IsLeaf,GanttView[[#This Row],[_Row]])=1,NOT(GanttView[[#This Row],[_IsMilestone]]),N(GanttView[[#This Row],[%]])&gt;0),GanttView[[#This Row],[Forecast Start]],0))</f>
        <v>0</v>
      </c>
      <c r="P153" s="127" t="n">
        <f aca="false">IF(GanttView[[#This Row],[_DoneFrom]]=0,0,IF(GanttView[[#This Row],[%]]&gt;=1,GanttView[[#This Row],[Forecast Finish]],MAX(GanttView[[#This Row],[_DoneFrom]],GanttView[[#This Row],[Forecast Start]]+ROUND((GanttView[[#This Row],[Forecast Finish]]-GanttView[[#This Row],[Forecast Start]]+1)*GanttView[[#This Row],[%]],0)-1)))</f>
        <v>0</v>
      </c>
      <c r="Q153" s="127" t="n">
        <f aca="false">IF(IFERROR(INDEX(tsk_Name,GanttView[[#This Row],[_Row]])="",TRUE()),0,IF(OR(INDEX(tsk_IsLeaf,GanttView[[#This Row],[_Row]])&lt;&gt;1,GanttView[[#This Row],[_IsMilestone]],N(GanttView[[#This Row],[%]])&gt;=1),0,IF(GanttView[[#This Row],[_DoneTo]]&gt;0,GanttView[[#This Row],[_DoneTo]]+1,GanttView[[#This Row],[Forecast Start]])))</f>
        <v>0</v>
      </c>
      <c r="R153" s="127" t="n">
        <f aca="false">IF(GanttView[[#This Row],[_RemFrom]]=0,0,GanttView[[#This Row],[Forecast Finish]])</f>
        <v>0</v>
      </c>
      <c r="S153" s="126" t="b">
        <f aca="false">IF(IFERROR(INDEX(tsk_Name,GanttView[[#This Row],[_Row]])="",TRUE()),FALSE(),N(INDEX(tsk_Variance,GanttView[[#This Row],[_Row]]))&gt;0)</f>
        <v>0</v>
      </c>
      <c r="T153" s="127" t="n">
        <f aca="false">IF(IFERROR(INDEX(tsk_Name,GanttView[[#This Row],[_Row]])="",TRUE()),0,N(INDEX(tsk_Deadline,GanttView[[#This Row],[_Row]])))</f>
        <v>0</v>
      </c>
      <c r="U153" s="126" t="b">
        <f aca="false">IF(IFERROR(INDEX(tsk_Name,GanttView[[#This Row],[_Row]])="",TRUE()),FALSE(),INDEX(tsk_Critical,GanttView[[#This Row],[_Row]])="Yes")</f>
        <v>0</v>
      </c>
    </row>
    <row r="154" customFormat="false" ht="15" hidden="false" customHeight="false" outlineLevel="0" collapsed="false">
      <c r="A154" s="120" t="str">
        <f aca="false">IF(IFERROR(INDEX(tsk_Name,GanttView[[#This Row],[_Row]])="",TRUE()),"",INDEX(tsk_ID,GanttView[[#This Row],[_Row]]))</f>
        <v/>
      </c>
      <c r="B154" s="120" t="str">
        <f aca="false">IF(IFERROR(INDEX(tsk_Name,GanttView[[#This Row],[_Row]])="",TRUE()),"",INDEX(tsk_WBS,GanttView[[#This Row],[_Row]]))</f>
        <v/>
      </c>
      <c r="C154" s="121" t="str">
        <f aca="false">IF(IFERROR(INDEX(tsk_Name,GanttView[[#This Row],[_Row]])="",TRUE()),"",REPT("    ",INDEX(tsk_Level,GanttView[[#This Row],[_Row]])-1)&amp;INDEX(tsk_Name,GanttView[[#This Row],[_Row]]))</f>
        <v/>
      </c>
      <c r="D154" s="120" t="str">
        <f aca="false">IF(IFERROR(INDEX(tsk_Name,GanttView[[#This Row],[_Row]])="",TRUE()),"",IF(INDEX(tsk_IsSummary,GanttView[[#This Row],[_Row]]),NETWORKDAYS.INTL(INDEX(tsk_FcStart,GanttView[[#This Row],[_Row]]),INDEX(tsk_FcFinish,GanttView[[#This Row],[_Row]]),WorkWeek,Holidays),N(INDEX(tsk_Duration,GanttView[[#This Row],[_Row]]))))</f>
        <v/>
      </c>
      <c r="E154" s="122" t="str">
        <f aca="false">IF(IFERROR(INDEX(tsk_Name,GanttView[[#This Row],[_Row]])="",TRUE()),"",INDEX(tsk_PlanStart,GanttView[[#This Row],[_Row]]))</f>
        <v/>
      </c>
      <c r="F154" s="122" t="str">
        <f aca="false">IF(IFERROR(INDEX(tsk_Name,GanttView[[#This Row],[_Row]])="",TRUE()),"",INDEX(tsk_PlanFinish,GanttView[[#This Row],[_Row]]))</f>
        <v/>
      </c>
      <c r="G154" s="122" t="str">
        <f aca="false">IF(IFERROR(INDEX(tsk_Name,GanttView[[#This Row],[_Row]])="",TRUE()),"",INDEX(tsk_FcStart,GanttView[[#This Row],[_Row]]))</f>
        <v/>
      </c>
      <c r="H154" s="122" t="str">
        <f aca="false">IF(IFERROR(INDEX(tsk_Name,GanttView[[#This Row],[_Row]])="",TRUE()),"",INDEX(tsk_FcFinish,GanttView[[#This Row],[_Row]]))</f>
        <v/>
      </c>
      <c r="I154" s="123" t="str">
        <f aca="false">IF(IFERROR(INDEX(tsk_Name,GanttView[[#This Row],[_Row]])="",TRUE()),"",INDEX(tsk_Progress,GanttView[[#This Row],[_Row]]))</f>
        <v/>
      </c>
      <c r="J154" s="121" t="str">
        <f aca="false">IF(IFERROR(INDEX(tsk_Name,GanttView[[#This Row],[_Row]])="",TRUE()),"",INDEX(tsk_Resource,GanttView[[#This Row],[_Row]])&amp;"")</f>
        <v/>
      </c>
      <c r="K154" s="124" t="str">
        <f aca="false">IF(IFERROR(INDEX(tsk_Name,GanttView[[#This Row],[_Row]])="",TRUE()),"",INDEX(tsk_Status,GanttView[[#This Row],[_Row]]))</f>
        <v/>
      </c>
      <c r="L154" s="125" t="n">
        <f aca="false">ROW()-ROW(GanttView[[#Headers],[ID]])</f>
        <v>149</v>
      </c>
      <c r="M154" s="126" t="b">
        <f aca="false">IF(IFERROR(INDEX(tsk_Name,GanttView[[#This Row],[_Row]])="",TRUE()),FALSE(),INDEX(tsk_IsSummary,GanttView[[#This Row],[_Row]]))</f>
        <v>0</v>
      </c>
      <c r="N154" s="126" t="b">
        <f aca="false">IF(IFERROR(INDEX(tsk_Name,GanttView[[#This Row],[_Row]])="",TRUE()),FALSE(),AND(INDEX(tsk_IsLeaf,GanttView[[#This Row],[_Row]])=1,N(INDEX(tsk_Duration,GanttView[[#This Row],[_Row]]))=0))</f>
        <v>0</v>
      </c>
      <c r="O154" s="127" t="n">
        <f aca="false">IF(IFERROR(INDEX(tsk_Name,GanttView[[#This Row],[_Row]])="",TRUE()),0,IF(AND(INDEX(tsk_IsLeaf,GanttView[[#This Row],[_Row]])=1,NOT(GanttView[[#This Row],[_IsMilestone]]),N(GanttView[[#This Row],[%]])&gt;0),GanttView[[#This Row],[Forecast Start]],0))</f>
        <v>0</v>
      </c>
      <c r="P154" s="127" t="n">
        <f aca="false">IF(GanttView[[#This Row],[_DoneFrom]]=0,0,IF(GanttView[[#This Row],[%]]&gt;=1,GanttView[[#This Row],[Forecast Finish]],MAX(GanttView[[#This Row],[_DoneFrom]],GanttView[[#This Row],[Forecast Start]]+ROUND((GanttView[[#This Row],[Forecast Finish]]-GanttView[[#This Row],[Forecast Start]]+1)*GanttView[[#This Row],[%]],0)-1)))</f>
        <v>0</v>
      </c>
      <c r="Q154" s="127" t="n">
        <f aca="false">IF(IFERROR(INDEX(tsk_Name,GanttView[[#This Row],[_Row]])="",TRUE()),0,IF(OR(INDEX(tsk_IsLeaf,GanttView[[#This Row],[_Row]])&lt;&gt;1,GanttView[[#This Row],[_IsMilestone]],N(GanttView[[#This Row],[%]])&gt;=1),0,IF(GanttView[[#This Row],[_DoneTo]]&gt;0,GanttView[[#This Row],[_DoneTo]]+1,GanttView[[#This Row],[Forecast Start]])))</f>
        <v>0</v>
      </c>
      <c r="R154" s="127" t="n">
        <f aca="false">IF(GanttView[[#This Row],[_RemFrom]]=0,0,GanttView[[#This Row],[Forecast Finish]])</f>
        <v>0</v>
      </c>
      <c r="S154" s="126" t="b">
        <f aca="false">IF(IFERROR(INDEX(tsk_Name,GanttView[[#This Row],[_Row]])="",TRUE()),FALSE(),N(INDEX(tsk_Variance,GanttView[[#This Row],[_Row]]))&gt;0)</f>
        <v>0</v>
      </c>
      <c r="T154" s="127" t="n">
        <f aca="false">IF(IFERROR(INDEX(tsk_Name,GanttView[[#This Row],[_Row]])="",TRUE()),0,N(INDEX(tsk_Deadline,GanttView[[#This Row],[_Row]])))</f>
        <v>0</v>
      </c>
      <c r="U154" s="126" t="b">
        <f aca="false">IF(IFERROR(INDEX(tsk_Name,GanttView[[#This Row],[_Row]])="",TRUE()),FALSE(),INDEX(tsk_Critical,GanttView[[#This Row],[_Row]])="Yes")</f>
        <v>0</v>
      </c>
    </row>
    <row r="155" customFormat="false" ht="15" hidden="false" customHeight="false" outlineLevel="0" collapsed="false">
      <c r="A155" s="120" t="str">
        <f aca="false">IF(IFERROR(INDEX(tsk_Name,GanttView[[#This Row],[_Row]])="",TRUE()),"",INDEX(tsk_ID,GanttView[[#This Row],[_Row]]))</f>
        <v/>
      </c>
      <c r="B155" s="120" t="str">
        <f aca="false">IF(IFERROR(INDEX(tsk_Name,GanttView[[#This Row],[_Row]])="",TRUE()),"",INDEX(tsk_WBS,GanttView[[#This Row],[_Row]]))</f>
        <v/>
      </c>
      <c r="C155" s="121" t="str">
        <f aca="false">IF(IFERROR(INDEX(tsk_Name,GanttView[[#This Row],[_Row]])="",TRUE()),"",REPT("    ",INDEX(tsk_Level,GanttView[[#This Row],[_Row]])-1)&amp;INDEX(tsk_Name,GanttView[[#This Row],[_Row]]))</f>
        <v/>
      </c>
      <c r="D155" s="120" t="str">
        <f aca="false">IF(IFERROR(INDEX(tsk_Name,GanttView[[#This Row],[_Row]])="",TRUE()),"",IF(INDEX(tsk_IsSummary,GanttView[[#This Row],[_Row]]),NETWORKDAYS.INTL(INDEX(tsk_FcStart,GanttView[[#This Row],[_Row]]),INDEX(tsk_FcFinish,GanttView[[#This Row],[_Row]]),WorkWeek,Holidays),N(INDEX(tsk_Duration,GanttView[[#This Row],[_Row]]))))</f>
        <v/>
      </c>
      <c r="E155" s="122" t="str">
        <f aca="false">IF(IFERROR(INDEX(tsk_Name,GanttView[[#This Row],[_Row]])="",TRUE()),"",INDEX(tsk_PlanStart,GanttView[[#This Row],[_Row]]))</f>
        <v/>
      </c>
      <c r="F155" s="122" t="str">
        <f aca="false">IF(IFERROR(INDEX(tsk_Name,GanttView[[#This Row],[_Row]])="",TRUE()),"",INDEX(tsk_PlanFinish,GanttView[[#This Row],[_Row]]))</f>
        <v/>
      </c>
      <c r="G155" s="122" t="str">
        <f aca="false">IF(IFERROR(INDEX(tsk_Name,GanttView[[#This Row],[_Row]])="",TRUE()),"",INDEX(tsk_FcStart,GanttView[[#This Row],[_Row]]))</f>
        <v/>
      </c>
      <c r="H155" s="122" t="str">
        <f aca="false">IF(IFERROR(INDEX(tsk_Name,GanttView[[#This Row],[_Row]])="",TRUE()),"",INDEX(tsk_FcFinish,GanttView[[#This Row],[_Row]]))</f>
        <v/>
      </c>
      <c r="I155" s="123" t="str">
        <f aca="false">IF(IFERROR(INDEX(tsk_Name,GanttView[[#This Row],[_Row]])="",TRUE()),"",INDEX(tsk_Progress,GanttView[[#This Row],[_Row]]))</f>
        <v/>
      </c>
      <c r="J155" s="121" t="str">
        <f aca="false">IF(IFERROR(INDEX(tsk_Name,GanttView[[#This Row],[_Row]])="",TRUE()),"",INDEX(tsk_Resource,GanttView[[#This Row],[_Row]])&amp;"")</f>
        <v/>
      </c>
      <c r="K155" s="124" t="str">
        <f aca="false">IF(IFERROR(INDEX(tsk_Name,GanttView[[#This Row],[_Row]])="",TRUE()),"",INDEX(tsk_Status,GanttView[[#This Row],[_Row]]))</f>
        <v/>
      </c>
      <c r="L155" s="125" t="n">
        <f aca="false">ROW()-ROW(GanttView[[#Headers],[ID]])</f>
        <v>150</v>
      </c>
      <c r="M155" s="126" t="b">
        <f aca="false">IF(IFERROR(INDEX(tsk_Name,GanttView[[#This Row],[_Row]])="",TRUE()),FALSE(),INDEX(tsk_IsSummary,GanttView[[#This Row],[_Row]]))</f>
        <v>0</v>
      </c>
      <c r="N155" s="126" t="b">
        <f aca="false">IF(IFERROR(INDEX(tsk_Name,GanttView[[#This Row],[_Row]])="",TRUE()),FALSE(),AND(INDEX(tsk_IsLeaf,GanttView[[#This Row],[_Row]])=1,N(INDEX(tsk_Duration,GanttView[[#This Row],[_Row]]))=0))</f>
        <v>0</v>
      </c>
      <c r="O155" s="127" t="n">
        <f aca="false">IF(IFERROR(INDEX(tsk_Name,GanttView[[#This Row],[_Row]])="",TRUE()),0,IF(AND(INDEX(tsk_IsLeaf,GanttView[[#This Row],[_Row]])=1,NOT(GanttView[[#This Row],[_IsMilestone]]),N(GanttView[[#This Row],[%]])&gt;0),GanttView[[#This Row],[Forecast Start]],0))</f>
        <v>0</v>
      </c>
      <c r="P155" s="127" t="n">
        <f aca="false">IF(GanttView[[#This Row],[_DoneFrom]]=0,0,IF(GanttView[[#This Row],[%]]&gt;=1,GanttView[[#This Row],[Forecast Finish]],MAX(GanttView[[#This Row],[_DoneFrom]],GanttView[[#This Row],[Forecast Start]]+ROUND((GanttView[[#This Row],[Forecast Finish]]-GanttView[[#This Row],[Forecast Start]]+1)*GanttView[[#This Row],[%]],0)-1)))</f>
        <v>0</v>
      </c>
      <c r="Q155" s="127" t="n">
        <f aca="false">IF(IFERROR(INDEX(tsk_Name,GanttView[[#This Row],[_Row]])="",TRUE()),0,IF(OR(INDEX(tsk_IsLeaf,GanttView[[#This Row],[_Row]])&lt;&gt;1,GanttView[[#This Row],[_IsMilestone]],N(GanttView[[#This Row],[%]])&gt;=1),0,IF(GanttView[[#This Row],[_DoneTo]]&gt;0,GanttView[[#This Row],[_DoneTo]]+1,GanttView[[#This Row],[Forecast Start]])))</f>
        <v>0</v>
      </c>
      <c r="R155" s="127" t="n">
        <f aca="false">IF(GanttView[[#This Row],[_RemFrom]]=0,0,GanttView[[#This Row],[Forecast Finish]])</f>
        <v>0</v>
      </c>
      <c r="S155" s="126" t="b">
        <f aca="false">IF(IFERROR(INDEX(tsk_Name,GanttView[[#This Row],[_Row]])="",TRUE()),FALSE(),N(INDEX(tsk_Variance,GanttView[[#This Row],[_Row]]))&gt;0)</f>
        <v>0</v>
      </c>
      <c r="T155" s="127" t="n">
        <f aca="false">IF(IFERROR(INDEX(tsk_Name,GanttView[[#This Row],[_Row]])="",TRUE()),0,N(INDEX(tsk_Deadline,GanttView[[#This Row],[_Row]])))</f>
        <v>0</v>
      </c>
      <c r="U155" s="126" t="b">
        <f aca="false">IF(IFERROR(INDEX(tsk_Name,GanttView[[#This Row],[_Row]])="",TRUE()),FALSE(),INDEX(tsk_Critical,GanttView[[#This Row],[_Row]])="Yes")</f>
        <v>0</v>
      </c>
    </row>
    <row r="156" customFormat="false" ht="15" hidden="false" customHeight="false" outlineLevel="0" collapsed="false">
      <c r="A156" s="120" t="str">
        <f aca="false">IF(IFERROR(INDEX(tsk_Name,GanttView[[#This Row],[_Row]])="",TRUE()),"",INDEX(tsk_ID,GanttView[[#This Row],[_Row]]))</f>
        <v/>
      </c>
      <c r="B156" s="120" t="str">
        <f aca="false">IF(IFERROR(INDEX(tsk_Name,GanttView[[#This Row],[_Row]])="",TRUE()),"",INDEX(tsk_WBS,GanttView[[#This Row],[_Row]]))</f>
        <v/>
      </c>
      <c r="C156" s="121" t="str">
        <f aca="false">IF(IFERROR(INDEX(tsk_Name,GanttView[[#This Row],[_Row]])="",TRUE()),"",REPT("    ",INDEX(tsk_Level,GanttView[[#This Row],[_Row]])-1)&amp;INDEX(tsk_Name,GanttView[[#This Row],[_Row]]))</f>
        <v/>
      </c>
      <c r="D156" s="120" t="str">
        <f aca="false">IF(IFERROR(INDEX(tsk_Name,GanttView[[#This Row],[_Row]])="",TRUE()),"",IF(INDEX(tsk_IsSummary,GanttView[[#This Row],[_Row]]),NETWORKDAYS.INTL(INDEX(tsk_FcStart,GanttView[[#This Row],[_Row]]),INDEX(tsk_FcFinish,GanttView[[#This Row],[_Row]]),WorkWeek,Holidays),N(INDEX(tsk_Duration,GanttView[[#This Row],[_Row]]))))</f>
        <v/>
      </c>
      <c r="E156" s="122" t="str">
        <f aca="false">IF(IFERROR(INDEX(tsk_Name,GanttView[[#This Row],[_Row]])="",TRUE()),"",INDEX(tsk_PlanStart,GanttView[[#This Row],[_Row]]))</f>
        <v/>
      </c>
      <c r="F156" s="122" t="str">
        <f aca="false">IF(IFERROR(INDEX(tsk_Name,GanttView[[#This Row],[_Row]])="",TRUE()),"",INDEX(tsk_PlanFinish,GanttView[[#This Row],[_Row]]))</f>
        <v/>
      </c>
      <c r="G156" s="122" t="str">
        <f aca="false">IF(IFERROR(INDEX(tsk_Name,GanttView[[#This Row],[_Row]])="",TRUE()),"",INDEX(tsk_FcStart,GanttView[[#This Row],[_Row]]))</f>
        <v/>
      </c>
      <c r="H156" s="122" t="str">
        <f aca="false">IF(IFERROR(INDEX(tsk_Name,GanttView[[#This Row],[_Row]])="",TRUE()),"",INDEX(tsk_FcFinish,GanttView[[#This Row],[_Row]]))</f>
        <v/>
      </c>
      <c r="I156" s="123" t="str">
        <f aca="false">IF(IFERROR(INDEX(tsk_Name,GanttView[[#This Row],[_Row]])="",TRUE()),"",INDEX(tsk_Progress,GanttView[[#This Row],[_Row]]))</f>
        <v/>
      </c>
      <c r="J156" s="121" t="str">
        <f aca="false">IF(IFERROR(INDEX(tsk_Name,GanttView[[#This Row],[_Row]])="",TRUE()),"",INDEX(tsk_Resource,GanttView[[#This Row],[_Row]])&amp;"")</f>
        <v/>
      </c>
      <c r="K156" s="124" t="str">
        <f aca="false">IF(IFERROR(INDEX(tsk_Name,GanttView[[#This Row],[_Row]])="",TRUE()),"",INDEX(tsk_Status,GanttView[[#This Row],[_Row]]))</f>
        <v/>
      </c>
      <c r="L156" s="125" t="n">
        <f aca="false">ROW()-ROW(GanttView[[#Headers],[ID]])</f>
        <v>151</v>
      </c>
      <c r="M156" s="126" t="b">
        <f aca="false">IF(IFERROR(INDEX(tsk_Name,GanttView[[#This Row],[_Row]])="",TRUE()),FALSE(),INDEX(tsk_IsSummary,GanttView[[#This Row],[_Row]]))</f>
        <v>0</v>
      </c>
      <c r="N156" s="126" t="b">
        <f aca="false">IF(IFERROR(INDEX(tsk_Name,GanttView[[#This Row],[_Row]])="",TRUE()),FALSE(),AND(INDEX(tsk_IsLeaf,GanttView[[#This Row],[_Row]])=1,N(INDEX(tsk_Duration,GanttView[[#This Row],[_Row]]))=0))</f>
        <v>0</v>
      </c>
      <c r="O156" s="127" t="n">
        <f aca="false">IF(IFERROR(INDEX(tsk_Name,GanttView[[#This Row],[_Row]])="",TRUE()),0,IF(AND(INDEX(tsk_IsLeaf,GanttView[[#This Row],[_Row]])=1,NOT(GanttView[[#This Row],[_IsMilestone]]),N(GanttView[[#This Row],[%]])&gt;0),GanttView[[#This Row],[Forecast Start]],0))</f>
        <v>0</v>
      </c>
      <c r="P156" s="127" t="n">
        <f aca="false">IF(GanttView[[#This Row],[_DoneFrom]]=0,0,IF(GanttView[[#This Row],[%]]&gt;=1,GanttView[[#This Row],[Forecast Finish]],MAX(GanttView[[#This Row],[_DoneFrom]],GanttView[[#This Row],[Forecast Start]]+ROUND((GanttView[[#This Row],[Forecast Finish]]-GanttView[[#This Row],[Forecast Start]]+1)*GanttView[[#This Row],[%]],0)-1)))</f>
        <v>0</v>
      </c>
      <c r="Q156" s="127" t="n">
        <f aca="false">IF(IFERROR(INDEX(tsk_Name,GanttView[[#This Row],[_Row]])="",TRUE()),0,IF(OR(INDEX(tsk_IsLeaf,GanttView[[#This Row],[_Row]])&lt;&gt;1,GanttView[[#This Row],[_IsMilestone]],N(GanttView[[#This Row],[%]])&gt;=1),0,IF(GanttView[[#This Row],[_DoneTo]]&gt;0,GanttView[[#This Row],[_DoneTo]]+1,GanttView[[#This Row],[Forecast Start]])))</f>
        <v>0</v>
      </c>
      <c r="R156" s="127" t="n">
        <f aca="false">IF(GanttView[[#This Row],[_RemFrom]]=0,0,GanttView[[#This Row],[Forecast Finish]])</f>
        <v>0</v>
      </c>
      <c r="S156" s="126" t="b">
        <f aca="false">IF(IFERROR(INDEX(tsk_Name,GanttView[[#This Row],[_Row]])="",TRUE()),FALSE(),N(INDEX(tsk_Variance,GanttView[[#This Row],[_Row]]))&gt;0)</f>
        <v>0</v>
      </c>
      <c r="T156" s="127" t="n">
        <f aca="false">IF(IFERROR(INDEX(tsk_Name,GanttView[[#This Row],[_Row]])="",TRUE()),0,N(INDEX(tsk_Deadline,GanttView[[#This Row],[_Row]])))</f>
        <v>0</v>
      </c>
      <c r="U156" s="126" t="b">
        <f aca="false">IF(IFERROR(INDEX(tsk_Name,GanttView[[#This Row],[_Row]])="",TRUE()),FALSE(),INDEX(tsk_Critical,GanttView[[#This Row],[_Row]])="Yes")</f>
        <v>0</v>
      </c>
    </row>
    <row r="157" customFormat="false" ht="15" hidden="false" customHeight="false" outlineLevel="0" collapsed="false">
      <c r="A157" s="120" t="str">
        <f aca="false">IF(IFERROR(INDEX(tsk_Name,GanttView[[#This Row],[_Row]])="",TRUE()),"",INDEX(tsk_ID,GanttView[[#This Row],[_Row]]))</f>
        <v/>
      </c>
      <c r="B157" s="120" t="str">
        <f aca="false">IF(IFERROR(INDEX(tsk_Name,GanttView[[#This Row],[_Row]])="",TRUE()),"",INDEX(tsk_WBS,GanttView[[#This Row],[_Row]]))</f>
        <v/>
      </c>
      <c r="C157" s="121" t="str">
        <f aca="false">IF(IFERROR(INDEX(tsk_Name,GanttView[[#This Row],[_Row]])="",TRUE()),"",REPT("    ",INDEX(tsk_Level,GanttView[[#This Row],[_Row]])-1)&amp;INDEX(tsk_Name,GanttView[[#This Row],[_Row]]))</f>
        <v/>
      </c>
      <c r="D157" s="120" t="str">
        <f aca="false">IF(IFERROR(INDEX(tsk_Name,GanttView[[#This Row],[_Row]])="",TRUE()),"",IF(INDEX(tsk_IsSummary,GanttView[[#This Row],[_Row]]),NETWORKDAYS.INTL(INDEX(tsk_FcStart,GanttView[[#This Row],[_Row]]),INDEX(tsk_FcFinish,GanttView[[#This Row],[_Row]]),WorkWeek,Holidays),N(INDEX(tsk_Duration,GanttView[[#This Row],[_Row]]))))</f>
        <v/>
      </c>
      <c r="E157" s="122" t="str">
        <f aca="false">IF(IFERROR(INDEX(tsk_Name,GanttView[[#This Row],[_Row]])="",TRUE()),"",INDEX(tsk_PlanStart,GanttView[[#This Row],[_Row]]))</f>
        <v/>
      </c>
      <c r="F157" s="122" t="str">
        <f aca="false">IF(IFERROR(INDEX(tsk_Name,GanttView[[#This Row],[_Row]])="",TRUE()),"",INDEX(tsk_PlanFinish,GanttView[[#This Row],[_Row]]))</f>
        <v/>
      </c>
      <c r="G157" s="122" t="str">
        <f aca="false">IF(IFERROR(INDEX(tsk_Name,GanttView[[#This Row],[_Row]])="",TRUE()),"",INDEX(tsk_FcStart,GanttView[[#This Row],[_Row]]))</f>
        <v/>
      </c>
      <c r="H157" s="122" t="str">
        <f aca="false">IF(IFERROR(INDEX(tsk_Name,GanttView[[#This Row],[_Row]])="",TRUE()),"",INDEX(tsk_FcFinish,GanttView[[#This Row],[_Row]]))</f>
        <v/>
      </c>
      <c r="I157" s="123" t="str">
        <f aca="false">IF(IFERROR(INDEX(tsk_Name,GanttView[[#This Row],[_Row]])="",TRUE()),"",INDEX(tsk_Progress,GanttView[[#This Row],[_Row]]))</f>
        <v/>
      </c>
      <c r="J157" s="121" t="str">
        <f aca="false">IF(IFERROR(INDEX(tsk_Name,GanttView[[#This Row],[_Row]])="",TRUE()),"",INDEX(tsk_Resource,GanttView[[#This Row],[_Row]])&amp;"")</f>
        <v/>
      </c>
      <c r="K157" s="124" t="str">
        <f aca="false">IF(IFERROR(INDEX(tsk_Name,GanttView[[#This Row],[_Row]])="",TRUE()),"",INDEX(tsk_Status,GanttView[[#This Row],[_Row]]))</f>
        <v/>
      </c>
      <c r="L157" s="125" t="n">
        <f aca="false">ROW()-ROW(GanttView[[#Headers],[ID]])</f>
        <v>152</v>
      </c>
      <c r="M157" s="126" t="b">
        <f aca="false">IF(IFERROR(INDEX(tsk_Name,GanttView[[#This Row],[_Row]])="",TRUE()),FALSE(),INDEX(tsk_IsSummary,GanttView[[#This Row],[_Row]]))</f>
        <v>0</v>
      </c>
      <c r="N157" s="126" t="b">
        <f aca="false">IF(IFERROR(INDEX(tsk_Name,GanttView[[#This Row],[_Row]])="",TRUE()),FALSE(),AND(INDEX(tsk_IsLeaf,GanttView[[#This Row],[_Row]])=1,N(INDEX(tsk_Duration,GanttView[[#This Row],[_Row]]))=0))</f>
        <v>0</v>
      </c>
      <c r="O157" s="127" t="n">
        <f aca="false">IF(IFERROR(INDEX(tsk_Name,GanttView[[#This Row],[_Row]])="",TRUE()),0,IF(AND(INDEX(tsk_IsLeaf,GanttView[[#This Row],[_Row]])=1,NOT(GanttView[[#This Row],[_IsMilestone]]),N(GanttView[[#This Row],[%]])&gt;0),GanttView[[#This Row],[Forecast Start]],0))</f>
        <v>0</v>
      </c>
      <c r="P157" s="127" t="n">
        <f aca="false">IF(GanttView[[#This Row],[_DoneFrom]]=0,0,IF(GanttView[[#This Row],[%]]&gt;=1,GanttView[[#This Row],[Forecast Finish]],MAX(GanttView[[#This Row],[_DoneFrom]],GanttView[[#This Row],[Forecast Start]]+ROUND((GanttView[[#This Row],[Forecast Finish]]-GanttView[[#This Row],[Forecast Start]]+1)*GanttView[[#This Row],[%]],0)-1)))</f>
        <v>0</v>
      </c>
      <c r="Q157" s="127" t="n">
        <f aca="false">IF(IFERROR(INDEX(tsk_Name,GanttView[[#This Row],[_Row]])="",TRUE()),0,IF(OR(INDEX(tsk_IsLeaf,GanttView[[#This Row],[_Row]])&lt;&gt;1,GanttView[[#This Row],[_IsMilestone]],N(GanttView[[#This Row],[%]])&gt;=1),0,IF(GanttView[[#This Row],[_DoneTo]]&gt;0,GanttView[[#This Row],[_DoneTo]]+1,GanttView[[#This Row],[Forecast Start]])))</f>
        <v>0</v>
      </c>
      <c r="R157" s="127" t="n">
        <f aca="false">IF(GanttView[[#This Row],[_RemFrom]]=0,0,GanttView[[#This Row],[Forecast Finish]])</f>
        <v>0</v>
      </c>
      <c r="S157" s="126" t="b">
        <f aca="false">IF(IFERROR(INDEX(tsk_Name,GanttView[[#This Row],[_Row]])="",TRUE()),FALSE(),N(INDEX(tsk_Variance,GanttView[[#This Row],[_Row]]))&gt;0)</f>
        <v>0</v>
      </c>
      <c r="T157" s="127" t="n">
        <f aca="false">IF(IFERROR(INDEX(tsk_Name,GanttView[[#This Row],[_Row]])="",TRUE()),0,N(INDEX(tsk_Deadline,GanttView[[#This Row],[_Row]])))</f>
        <v>0</v>
      </c>
      <c r="U157" s="126" t="b">
        <f aca="false">IF(IFERROR(INDEX(tsk_Name,GanttView[[#This Row],[_Row]])="",TRUE()),FALSE(),INDEX(tsk_Critical,GanttView[[#This Row],[_Row]])="Yes")</f>
        <v>0</v>
      </c>
    </row>
    <row r="158" customFormat="false" ht="15" hidden="false" customHeight="false" outlineLevel="0" collapsed="false">
      <c r="A158" s="120" t="str">
        <f aca="false">IF(IFERROR(INDEX(tsk_Name,GanttView[[#This Row],[_Row]])="",TRUE()),"",INDEX(tsk_ID,GanttView[[#This Row],[_Row]]))</f>
        <v/>
      </c>
      <c r="B158" s="120" t="str">
        <f aca="false">IF(IFERROR(INDEX(tsk_Name,GanttView[[#This Row],[_Row]])="",TRUE()),"",INDEX(tsk_WBS,GanttView[[#This Row],[_Row]]))</f>
        <v/>
      </c>
      <c r="C158" s="121" t="str">
        <f aca="false">IF(IFERROR(INDEX(tsk_Name,GanttView[[#This Row],[_Row]])="",TRUE()),"",REPT("    ",INDEX(tsk_Level,GanttView[[#This Row],[_Row]])-1)&amp;INDEX(tsk_Name,GanttView[[#This Row],[_Row]]))</f>
        <v/>
      </c>
      <c r="D158" s="120" t="str">
        <f aca="false">IF(IFERROR(INDEX(tsk_Name,GanttView[[#This Row],[_Row]])="",TRUE()),"",IF(INDEX(tsk_IsSummary,GanttView[[#This Row],[_Row]]),NETWORKDAYS.INTL(INDEX(tsk_FcStart,GanttView[[#This Row],[_Row]]),INDEX(tsk_FcFinish,GanttView[[#This Row],[_Row]]),WorkWeek,Holidays),N(INDEX(tsk_Duration,GanttView[[#This Row],[_Row]]))))</f>
        <v/>
      </c>
      <c r="E158" s="122" t="str">
        <f aca="false">IF(IFERROR(INDEX(tsk_Name,GanttView[[#This Row],[_Row]])="",TRUE()),"",INDEX(tsk_PlanStart,GanttView[[#This Row],[_Row]]))</f>
        <v/>
      </c>
      <c r="F158" s="122" t="str">
        <f aca="false">IF(IFERROR(INDEX(tsk_Name,GanttView[[#This Row],[_Row]])="",TRUE()),"",INDEX(tsk_PlanFinish,GanttView[[#This Row],[_Row]]))</f>
        <v/>
      </c>
      <c r="G158" s="122" t="str">
        <f aca="false">IF(IFERROR(INDEX(tsk_Name,GanttView[[#This Row],[_Row]])="",TRUE()),"",INDEX(tsk_FcStart,GanttView[[#This Row],[_Row]]))</f>
        <v/>
      </c>
      <c r="H158" s="122" t="str">
        <f aca="false">IF(IFERROR(INDEX(tsk_Name,GanttView[[#This Row],[_Row]])="",TRUE()),"",INDEX(tsk_FcFinish,GanttView[[#This Row],[_Row]]))</f>
        <v/>
      </c>
      <c r="I158" s="123" t="str">
        <f aca="false">IF(IFERROR(INDEX(tsk_Name,GanttView[[#This Row],[_Row]])="",TRUE()),"",INDEX(tsk_Progress,GanttView[[#This Row],[_Row]]))</f>
        <v/>
      </c>
      <c r="J158" s="121" t="str">
        <f aca="false">IF(IFERROR(INDEX(tsk_Name,GanttView[[#This Row],[_Row]])="",TRUE()),"",INDEX(tsk_Resource,GanttView[[#This Row],[_Row]])&amp;"")</f>
        <v/>
      </c>
      <c r="K158" s="124" t="str">
        <f aca="false">IF(IFERROR(INDEX(tsk_Name,GanttView[[#This Row],[_Row]])="",TRUE()),"",INDEX(tsk_Status,GanttView[[#This Row],[_Row]]))</f>
        <v/>
      </c>
      <c r="L158" s="125" t="n">
        <f aca="false">ROW()-ROW(GanttView[[#Headers],[ID]])</f>
        <v>153</v>
      </c>
      <c r="M158" s="126" t="b">
        <f aca="false">IF(IFERROR(INDEX(tsk_Name,GanttView[[#This Row],[_Row]])="",TRUE()),FALSE(),INDEX(tsk_IsSummary,GanttView[[#This Row],[_Row]]))</f>
        <v>0</v>
      </c>
      <c r="N158" s="126" t="b">
        <f aca="false">IF(IFERROR(INDEX(tsk_Name,GanttView[[#This Row],[_Row]])="",TRUE()),FALSE(),AND(INDEX(tsk_IsLeaf,GanttView[[#This Row],[_Row]])=1,N(INDEX(tsk_Duration,GanttView[[#This Row],[_Row]]))=0))</f>
        <v>0</v>
      </c>
      <c r="O158" s="127" t="n">
        <f aca="false">IF(IFERROR(INDEX(tsk_Name,GanttView[[#This Row],[_Row]])="",TRUE()),0,IF(AND(INDEX(tsk_IsLeaf,GanttView[[#This Row],[_Row]])=1,NOT(GanttView[[#This Row],[_IsMilestone]]),N(GanttView[[#This Row],[%]])&gt;0),GanttView[[#This Row],[Forecast Start]],0))</f>
        <v>0</v>
      </c>
      <c r="P158" s="127" t="n">
        <f aca="false">IF(GanttView[[#This Row],[_DoneFrom]]=0,0,IF(GanttView[[#This Row],[%]]&gt;=1,GanttView[[#This Row],[Forecast Finish]],MAX(GanttView[[#This Row],[_DoneFrom]],GanttView[[#This Row],[Forecast Start]]+ROUND((GanttView[[#This Row],[Forecast Finish]]-GanttView[[#This Row],[Forecast Start]]+1)*GanttView[[#This Row],[%]],0)-1)))</f>
        <v>0</v>
      </c>
      <c r="Q158" s="127" t="n">
        <f aca="false">IF(IFERROR(INDEX(tsk_Name,GanttView[[#This Row],[_Row]])="",TRUE()),0,IF(OR(INDEX(tsk_IsLeaf,GanttView[[#This Row],[_Row]])&lt;&gt;1,GanttView[[#This Row],[_IsMilestone]],N(GanttView[[#This Row],[%]])&gt;=1),0,IF(GanttView[[#This Row],[_DoneTo]]&gt;0,GanttView[[#This Row],[_DoneTo]]+1,GanttView[[#This Row],[Forecast Start]])))</f>
        <v>0</v>
      </c>
      <c r="R158" s="127" t="n">
        <f aca="false">IF(GanttView[[#This Row],[_RemFrom]]=0,0,GanttView[[#This Row],[Forecast Finish]])</f>
        <v>0</v>
      </c>
      <c r="S158" s="126" t="b">
        <f aca="false">IF(IFERROR(INDEX(tsk_Name,GanttView[[#This Row],[_Row]])="",TRUE()),FALSE(),N(INDEX(tsk_Variance,GanttView[[#This Row],[_Row]]))&gt;0)</f>
        <v>0</v>
      </c>
      <c r="T158" s="127" t="n">
        <f aca="false">IF(IFERROR(INDEX(tsk_Name,GanttView[[#This Row],[_Row]])="",TRUE()),0,N(INDEX(tsk_Deadline,GanttView[[#This Row],[_Row]])))</f>
        <v>0</v>
      </c>
      <c r="U158" s="126" t="b">
        <f aca="false">IF(IFERROR(INDEX(tsk_Name,GanttView[[#This Row],[_Row]])="",TRUE()),FALSE(),INDEX(tsk_Critical,GanttView[[#This Row],[_Row]])="Yes")</f>
        <v>0</v>
      </c>
    </row>
    <row r="159" customFormat="false" ht="15" hidden="false" customHeight="false" outlineLevel="0" collapsed="false">
      <c r="A159" s="120" t="str">
        <f aca="false">IF(IFERROR(INDEX(tsk_Name,GanttView[[#This Row],[_Row]])="",TRUE()),"",INDEX(tsk_ID,GanttView[[#This Row],[_Row]]))</f>
        <v/>
      </c>
      <c r="B159" s="120" t="str">
        <f aca="false">IF(IFERROR(INDEX(tsk_Name,GanttView[[#This Row],[_Row]])="",TRUE()),"",INDEX(tsk_WBS,GanttView[[#This Row],[_Row]]))</f>
        <v/>
      </c>
      <c r="C159" s="121" t="str">
        <f aca="false">IF(IFERROR(INDEX(tsk_Name,GanttView[[#This Row],[_Row]])="",TRUE()),"",REPT("    ",INDEX(tsk_Level,GanttView[[#This Row],[_Row]])-1)&amp;INDEX(tsk_Name,GanttView[[#This Row],[_Row]]))</f>
        <v/>
      </c>
      <c r="D159" s="120" t="str">
        <f aca="false">IF(IFERROR(INDEX(tsk_Name,GanttView[[#This Row],[_Row]])="",TRUE()),"",IF(INDEX(tsk_IsSummary,GanttView[[#This Row],[_Row]]),NETWORKDAYS.INTL(INDEX(tsk_FcStart,GanttView[[#This Row],[_Row]]),INDEX(tsk_FcFinish,GanttView[[#This Row],[_Row]]),WorkWeek,Holidays),N(INDEX(tsk_Duration,GanttView[[#This Row],[_Row]]))))</f>
        <v/>
      </c>
      <c r="E159" s="122" t="str">
        <f aca="false">IF(IFERROR(INDEX(tsk_Name,GanttView[[#This Row],[_Row]])="",TRUE()),"",INDEX(tsk_PlanStart,GanttView[[#This Row],[_Row]]))</f>
        <v/>
      </c>
      <c r="F159" s="122" t="str">
        <f aca="false">IF(IFERROR(INDEX(tsk_Name,GanttView[[#This Row],[_Row]])="",TRUE()),"",INDEX(tsk_PlanFinish,GanttView[[#This Row],[_Row]]))</f>
        <v/>
      </c>
      <c r="G159" s="122" t="str">
        <f aca="false">IF(IFERROR(INDEX(tsk_Name,GanttView[[#This Row],[_Row]])="",TRUE()),"",INDEX(tsk_FcStart,GanttView[[#This Row],[_Row]]))</f>
        <v/>
      </c>
      <c r="H159" s="122" t="str">
        <f aca="false">IF(IFERROR(INDEX(tsk_Name,GanttView[[#This Row],[_Row]])="",TRUE()),"",INDEX(tsk_FcFinish,GanttView[[#This Row],[_Row]]))</f>
        <v/>
      </c>
      <c r="I159" s="123" t="str">
        <f aca="false">IF(IFERROR(INDEX(tsk_Name,GanttView[[#This Row],[_Row]])="",TRUE()),"",INDEX(tsk_Progress,GanttView[[#This Row],[_Row]]))</f>
        <v/>
      </c>
      <c r="J159" s="121" t="str">
        <f aca="false">IF(IFERROR(INDEX(tsk_Name,GanttView[[#This Row],[_Row]])="",TRUE()),"",INDEX(tsk_Resource,GanttView[[#This Row],[_Row]])&amp;"")</f>
        <v/>
      </c>
      <c r="K159" s="124" t="str">
        <f aca="false">IF(IFERROR(INDEX(tsk_Name,GanttView[[#This Row],[_Row]])="",TRUE()),"",INDEX(tsk_Status,GanttView[[#This Row],[_Row]]))</f>
        <v/>
      </c>
      <c r="L159" s="125" t="n">
        <f aca="false">ROW()-ROW(GanttView[[#Headers],[ID]])</f>
        <v>154</v>
      </c>
      <c r="M159" s="126" t="b">
        <f aca="false">IF(IFERROR(INDEX(tsk_Name,GanttView[[#This Row],[_Row]])="",TRUE()),FALSE(),INDEX(tsk_IsSummary,GanttView[[#This Row],[_Row]]))</f>
        <v>0</v>
      </c>
      <c r="N159" s="126" t="b">
        <f aca="false">IF(IFERROR(INDEX(tsk_Name,GanttView[[#This Row],[_Row]])="",TRUE()),FALSE(),AND(INDEX(tsk_IsLeaf,GanttView[[#This Row],[_Row]])=1,N(INDEX(tsk_Duration,GanttView[[#This Row],[_Row]]))=0))</f>
        <v>0</v>
      </c>
      <c r="O159" s="127" t="n">
        <f aca="false">IF(IFERROR(INDEX(tsk_Name,GanttView[[#This Row],[_Row]])="",TRUE()),0,IF(AND(INDEX(tsk_IsLeaf,GanttView[[#This Row],[_Row]])=1,NOT(GanttView[[#This Row],[_IsMilestone]]),N(GanttView[[#This Row],[%]])&gt;0),GanttView[[#This Row],[Forecast Start]],0))</f>
        <v>0</v>
      </c>
      <c r="P159" s="127" t="n">
        <f aca="false">IF(GanttView[[#This Row],[_DoneFrom]]=0,0,IF(GanttView[[#This Row],[%]]&gt;=1,GanttView[[#This Row],[Forecast Finish]],MAX(GanttView[[#This Row],[_DoneFrom]],GanttView[[#This Row],[Forecast Start]]+ROUND((GanttView[[#This Row],[Forecast Finish]]-GanttView[[#This Row],[Forecast Start]]+1)*GanttView[[#This Row],[%]],0)-1)))</f>
        <v>0</v>
      </c>
      <c r="Q159" s="127" t="n">
        <f aca="false">IF(IFERROR(INDEX(tsk_Name,GanttView[[#This Row],[_Row]])="",TRUE()),0,IF(OR(INDEX(tsk_IsLeaf,GanttView[[#This Row],[_Row]])&lt;&gt;1,GanttView[[#This Row],[_IsMilestone]],N(GanttView[[#This Row],[%]])&gt;=1),0,IF(GanttView[[#This Row],[_DoneTo]]&gt;0,GanttView[[#This Row],[_DoneTo]]+1,GanttView[[#This Row],[Forecast Start]])))</f>
        <v>0</v>
      </c>
      <c r="R159" s="127" t="n">
        <f aca="false">IF(GanttView[[#This Row],[_RemFrom]]=0,0,GanttView[[#This Row],[Forecast Finish]])</f>
        <v>0</v>
      </c>
      <c r="S159" s="126" t="b">
        <f aca="false">IF(IFERROR(INDEX(tsk_Name,GanttView[[#This Row],[_Row]])="",TRUE()),FALSE(),N(INDEX(tsk_Variance,GanttView[[#This Row],[_Row]]))&gt;0)</f>
        <v>0</v>
      </c>
      <c r="T159" s="127" t="n">
        <f aca="false">IF(IFERROR(INDEX(tsk_Name,GanttView[[#This Row],[_Row]])="",TRUE()),0,N(INDEX(tsk_Deadline,GanttView[[#This Row],[_Row]])))</f>
        <v>0</v>
      </c>
      <c r="U159" s="126" t="b">
        <f aca="false">IF(IFERROR(INDEX(tsk_Name,GanttView[[#This Row],[_Row]])="",TRUE()),FALSE(),INDEX(tsk_Critical,GanttView[[#This Row],[_Row]])="Yes")</f>
        <v>0</v>
      </c>
    </row>
    <row r="160" customFormat="false" ht="15" hidden="false" customHeight="false" outlineLevel="0" collapsed="false">
      <c r="A160" s="120" t="str">
        <f aca="false">IF(IFERROR(INDEX(tsk_Name,GanttView[[#This Row],[_Row]])="",TRUE()),"",INDEX(tsk_ID,GanttView[[#This Row],[_Row]]))</f>
        <v/>
      </c>
      <c r="B160" s="120" t="str">
        <f aca="false">IF(IFERROR(INDEX(tsk_Name,GanttView[[#This Row],[_Row]])="",TRUE()),"",INDEX(tsk_WBS,GanttView[[#This Row],[_Row]]))</f>
        <v/>
      </c>
      <c r="C160" s="121" t="str">
        <f aca="false">IF(IFERROR(INDEX(tsk_Name,GanttView[[#This Row],[_Row]])="",TRUE()),"",REPT("    ",INDEX(tsk_Level,GanttView[[#This Row],[_Row]])-1)&amp;INDEX(tsk_Name,GanttView[[#This Row],[_Row]]))</f>
        <v/>
      </c>
      <c r="D160" s="120" t="str">
        <f aca="false">IF(IFERROR(INDEX(tsk_Name,GanttView[[#This Row],[_Row]])="",TRUE()),"",IF(INDEX(tsk_IsSummary,GanttView[[#This Row],[_Row]]),NETWORKDAYS.INTL(INDEX(tsk_FcStart,GanttView[[#This Row],[_Row]]),INDEX(tsk_FcFinish,GanttView[[#This Row],[_Row]]),WorkWeek,Holidays),N(INDEX(tsk_Duration,GanttView[[#This Row],[_Row]]))))</f>
        <v/>
      </c>
      <c r="E160" s="122" t="str">
        <f aca="false">IF(IFERROR(INDEX(tsk_Name,GanttView[[#This Row],[_Row]])="",TRUE()),"",INDEX(tsk_PlanStart,GanttView[[#This Row],[_Row]]))</f>
        <v/>
      </c>
      <c r="F160" s="122" t="str">
        <f aca="false">IF(IFERROR(INDEX(tsk_Name,GanttView[[#This Row],[_Row]])="",TRUE()),"",INDEX(tsk_PlanFinish,GanttView[[#This Row],[_Row]]))</f>
        <v/>
      </c>
      <c r="G160" s="122" t="str">
        <f aca="false">IF(IFERROR(INDEX(tsk_Name,GanttView[[#This Row],[_Row]])="",TRUE()),"",INDEX(tsk_FcStart,GanttView[[#This Row],[_Row]]))</f>
        <v/>
      </c>
      <c r="H160" s="122" t="str">
        <f aca="false">IF(IFERROR(INDEX(tsk_Name,GanttView[[#This Row],[_Row]])="",TRUE()),"",INDEX(tsk_FcFinish,GanttView[[#This Row],[_Row]]))</f>
        <v/>
      </c>
      <c r="I160" s="123" t="str">
        <f aca="false">IF(IFERROR(INDEX(tsk_Name,GanttView[[#This Row],[_Row]])="",TRUE()),"",INDEX(tsk_Progress,GanttView[[#This Row],[_Row]]))</f>
        <v/>
      </c>
      <c r="J160" s="121" t="str">
        <f aca="false">IF(IFERROR(INDEX(tsk_Name,GanttView[[#This Row],[_Row]])="",TRUE()),"",INDEX(tsk_Resource,GanttView[[#This Row],[_Row]])&amp;"")</f>
        <v/>
      </c>
      <c r="K160" s="124" t="str">
        <f aca="false">IF(IFERROR(INDEX(tsk_Name,GanttView[[#This Row],[_Row]])="",TRUE()),"",INDEX(tsk_Status,GanttView[[#This Row],[_Row]]))</f>
        <v/>
      </c>
      <c r="L160" s="125" t="n">
        <f aca="false">ROW()-ROW(GanttView[[#Headers],[ID]])</f>
        <v>155</v>
      </c>
      <c r="M160" s="126" t="b">
        <f aca="false">IF(IFERROR(INDEX(tsk_Name,GanttView[[#This Row],[_Row]])="",TRUE()),FALSE(),INDEX(tsk_IsSummary,GanttView[[#This Row],[_Row]]))</f>
        <v>0</v>
      </c>
      <c r="N160" s="126" t="b">
        <f aca="false">IF(IFERROR(INDEX(tsk_Name,GanttView[[#This Row],[_Row]])="",TRUE()),FALSE(),AND(INDEX(tsk_IsLeaf,GanttView[[#This Row],[_Row]])=1,N(INDEX(tsk_Duration,GanttView[[#This Row],[_Row]]))=0))</f>
        <v>0</v>
      </c>
      <c r="O160" s="127" t="n">
        <f aca="false">IF(IFERROR(INDEX(tsk_Name,GanttView[[#This Row],[_Row]])="",TRUE()),0,IF(AND(INDEX(tsk_IsLeaf,GanttView[[#This Row],[_Row]])=1,NOT(GanttView[[#This Row],[_IsMilestone]]),N(GanttView[[#This Row],[%]])&gt;0),GanttView[[#This Row],[Forecast Start]],0))</f>
        <v>0</v>
      </c>
      <c r="P160" s="127" t="n">
        <f aca="false">IF(GanttView[[#This Row],[_DoneFrom]]=0,0,IF(GanttView[[#This Row],[%]]&gt;=1,GanttView[[#This Row],[Forecast Finish]],MAX(GanttView[[#This Row],[_DoneFrom]],GanttView[[#This Row],[Forecast Start]]+ROUND((GanttView[[#This Row],[Forecast Finish]]-GanttView[[#This Row],[Forecast Start]]+1)*GanttView[[#This Row],[%]],0)-1)))</f>
        <v>0</v>
      </c>
      <c r="Q160" s="127" t="n">
        <f aca="false">IF(IFERROR(INDEX(tsk_Name,GanttView[[#This Row],[_Row]])="",TRUE()),0,IF(OR(INDEX(tsk_IsLeaf,GanttView[[#This Row],[_Row]])&lt;&gt;1,GanttView[[#This Row],[_IsMilestone]],N(GanttView[[#This Row],[%]])&gt;=1),0,IF(GanttView[[#This Row],[_DoneTo]]&gt;0,GanttView[[#This Row],[_DoneTo]]+1,GanttView[[#This Row],[Forecast Start]])))</f>
        <v>0</v>
      </c>
      <c r="R160" s="127" t="n">
        <f aca="false">IF(GanttView[[#This Row],[_RemFrom]]=0,0,GanttView[[#This Row],[Forecast Finish]])</f>
        <v>0</v>
      </c>
      <c r="S160" s="126" t="b">
        <f aca="false">IF(IFERROR(INDEX(tsk_Name,GanttView[[#This Row],[_Row]])="",TRUE()),FALSE(),N(INDEX(tsk_Variance,GanttView[[#This Row],[_Row]]))&gt;0)</f>
        <v>0</v>
      </c>
      <c r="T160" s="127" t="n">
        <f aca="false">IF(IFERROR(INDEX(tsk_Name,GanttView[[#This Row],[_Row]])="",TRUE()),0,N(INDEX(tsk_Deadline,GanttView[[#This Row],[_Row]])))</f>
        <v>0</v>
      </c>
      <c r="U160" s="126" t="b">
        <f aca="false">IF(IFERROR(INDEX(tsk_Name,GanttView[[#This Row],[_Row]])="",TRUE()),FALSE(),INDEX(tsk_Critical,GanttView[[#This Row],[_Row]])="Yes")</f>
        <v>0</v>
      </c>
    </row>
    <row r="161" customFormat="false" ht="15" hidden="false" customHeight="false" outlineLevel="0" collapsed="false">
      <c r="A161" s="120" t="str">
        <f aca="false">IF(IFERROR(INDEX(tsk_Name,GanttView[[#This Row],[_Row]])="",TRUE()),"",INDEX(tsk_ID,GanttView[[#This Row],[_Row]]))</f>
        <v/>
      </c>
      <c r="B161" s="120" t="str">
        <f aca="false">IF(IFERROR(INDEX(tsk_Name,GanttView[[#This Row],[_Row]])="",TRUE()),"",INDEX(tsk_WBS,GanttView[[#This Row],[_Row]]))</f>
        <v/>
      </c>
      <c r="C161" s="121" t="str">
        <f aca="false">IF(IFERROR(INDEX(tsk_Name,GanttView[[#This Row],[_Row]])="",TRUE()),"",REPT("    ",INDEX(tsk_Level,GanttView[[#This Row],[_Row]])-1)&amp;INDEX(tsk_Name,GanttView[[#This Row],[_Row]]))</f>
        <v/>
      </c>
      <c r="D161" s="120" t="str">
        <f aca="false">IF(IFERROR(INDEX(tsk_Name,GanttView[[#This Row],[_Row]])="",TRUE()),"",IF(INDEX(tsk_IsSummary,GanttView[[#This Row],[_Row]]),NETWORKDAYS.INTL(INDEX(tsk_FcStart,GanttView[[#This Row],[_Row]]),INDEX(tsk_FcFinish,GanttView[[#This Row],[_Row]]),WorkWeek,Holidays),N(INDEX(tsk_Duration,GanttView[[#This Row],[_Row]]))))</f>
        <v/>
      </c>
      <c r="E161" s="122" t="str">
        <f aca="false">IF(IFERROR(INDEX(tsk_Name,GanttView[[#This Row],[_Row]])="",TRUE()),"",INDEX(tsk_PlanStart,GanttView[[#This Row],[_Row]]))</f>
        <v/>
      </c>
      <c r="F161" s="122" t="str">
        <f aca="false">IF(IFERROR(INDEX(tsk_Name,GanttView[[#This Row],[_Row]])="",TRUE()),"",INDEX(tsk_PlanFinish,GanttView[[#This Row],[_Row]]))</f>
        <v/>
      </c>
      <c r="G161" s="122" t="str">
        <f aca="false">IF(IFERROR(INDEX(tsk_Name,GanttView[[#This Row],[_Row]])="",TRUE()),"",INDEX(tsk_FcStart,GanttView[[#This Row],[_Row]]))</f>
        <v/>
      </c>
      <c r="H161" s="122" t="str">
        <f aca="false">IF(IFERROR(INDEX(tsk_Name,GanttView[[#This Row],[_Row]])="",TRUE()),"",INDEX(tsk_FcFinish,GanttView[[#This Row],[_Row]]))</f>
        <v/>
      </c>
      <c r="I161" s="123" t="str">
        <f aca="false">IF(IFERROR(INDEX(tsk_Name,GanttView[[#This Row],[_Row]])="",TRUE()),"",INDEX(tsk_Progress,GanttView[[#This Row],[_Row]]))</f>
        <v/>
      </c>
      <c r="J161" s="121" t="str">
        <f aca="false">IF(IFERROR(INDEX(tsk_Name,GanttView[[#This Row],[_Row]])="",TRUE()),"",INDEX(tsk_Resource,GanttView[[#This Row],[_Row]])&amp;"")</f>
        <v/>
      </c>
      <c r="K161" s="124" t="str">
        <f aca="false">IF(IFERROR(INDEX(tsk_Name,GanttView[[#This Row],[_Row]])="",TRUE()),"",INDEX(tsk_Status,GanttView[[#This Row],[_Row]]))</f>
        <v/>
      </c>
      <c r="L161" s="125" t="n">
        <f aca="false">ROW()-ROW(GanttView[[#Headers],[ID]])</f>
        <v>156</v>
      </c>
      <c r="M161" s="126" t="b">
        <f aca="false">IF(IFERROR(INDEX(tsk_Name,GanttView[[#This Row],[_Row]])="",TRUE()),FALSE(),INDEX(tsk_IsSummary,GanttView[[#This Row],[_Row]]))</f>
        <v>0</v>
      </c>
      <c r="N161" s="126" t="b">
        <f aca="false">IF(IFERROR(INDEX(tsk_Name,GanttView[[#This Row],[_Row]])="",TRUE()),FALSE(),AND(INDEX(tsk_IsLeaf,GanttView[[#This Row],[_Row]])=1,N(INDEX(tsk_Duration,GanttView[[#This Row],[_Row]]))=0))</f>
        <v>0</v>
      </c>
      <c r="O161" s="127" t="n">
        <f aca="false">IF(IFERROR(INDEX(tsk_Name,GanttView[[#This Row],[_Row]])="",TRUE()),0,IF(AND(INDEX(tsk_IsLeaf,GanttView[[#This Row],[_Row]])=1,NOT(GanttView[[#This Row],[_IsMilestone]]),N(GanttView[[#This Row],[%]])&gt;0),GanttView[[#This Row],[Forecast Start]],0))</f>
        <v>0</v>
      </c>
      <c r="P161" s="127" t="n">
        <f aca="false">IF(GanttView[[#This Row],[_DoneFrom]]=0,0,IF(GanttView[[#This Row],[%]]&gt;=1,GanttView[[#This Row],[Forecast Finish]],MAX(GanttView[[#This Row],[_DoneFrom]],GanttView[[#This Row],[Forecast Start]]+ROUND((GanttView[[#This Row],[Forecast Finish]]-GanttView[[#This Row],[Forecast Start]]+1)*GanttView[[#This Row],[%]],0)-1)))</f>
        <v>0</v>
      </c>
      <c r="Q161" s="127" t="n">
        <f aca="false">IF(IFERROR(INDEX(tsk_Name,GanttView[[#This Row],[_Row]])="",TRUE()),0,IF(OR(INDEX(tsk_IsLeaf,GanttView[[#This Row],[_Row]])&lt;&gt;1,GanttView[[#This Row],[_IsMilestone]],N(GanttView[[#This Row],[%]])&gt;=1),0,IF(GanttView[[#This Row],[_DoneTo]]&gt;0,GanttView[[#This Row],[_DoneTo]]+1,GanttView[[#This Row],[Forecast Start]])))</f>
        <v>0</v>
      </c>
      <c r="R161" s="127" t="n">
        <f aca="false">IF(GanttView[[#This Row],[_RemFrom]]=0,0,GanttView[[#This Row],[Forecast Finish]])</f>
        <v>0</v>
      </c>
      <c r="S161" s="126" t="b">
        <f aca="false">IF(IFERROR(INDEX(tsk_Name,GanttView[[#This Row],[_Row]])="",TRUE()),FALSE(),N(INDEX(tsk_Variance,GanttView[[#This Row],[_Row]]))&gt;0)</f>
        <v>0</v>
      </c>
      <c r="T161" s="127" t="n">
        <f aca="false">IF(IFERROR(INDEX(tsk_Name,GanttView[[#This Row],[_Row]])="",TRUE()),0,N(INDEX(tsk_Deadline,GanttView[[#This Row],[_Row]])))</f>
        <v>0</v>
      </c>
      <c r="U161" s="126" t="b">
        <f aca="false">IF(IFERROR(INDEX(tsk_Name,GanttView[[#This Row],[_Row]])="",TRUE()),FALSE(),INDEX(tsk_Critical,GanttView[[#This Row],[_Row]])="Yes")</f>
        <v>0</v>
      </c>
    </row>
    <row r="162" customFormat="false" ht="15" hidden="false" customHeight="false" outlineLevel="0" collapsed="false">
      <c r="A162" s="120" t="str">
        <f aca="false">IF(IFERROR(INDEX(tsk_Name,GanttView[[#This Row],[_Row]])="",TRUE()),"",INDEX(tsk_ID,GanttView[[#This Row],[_Row]]))</f>
        <v/>
      </c>
      <c r="B162" s="120" t="str">
        <f aca="false">IF(IFERROR(INDEX(tsk_Name,GanttView[[#This Row],[_Row]])="",TRUE()),"",INDEX(tsk_WBS,GanttView[[#This Row],[_Row]]))</f>
        <v/>
      </c>
      <c r="C162" s="121" t="str">
        <f aca="false">IF(IFERROR(INDEX(tsk_Name,GanttView[[#This Row],[_Row]])="",TRUE()),"",REPT("    ",INDEX(tsk_Level,GanttView[[#This Row],[_Row]])-1)&amp;INDEX(tsk_Name,GanttView[[#This Row],[_Row]]))</f>
        <v/>
      </c>
      <c r="D162" s="120" t="str">
        <f aca="false">IF(IFERROR(INDEX(tsk_Name,GanttView[[#This Row],[_Row]])="",TRUE()),"",IF(INDEX(tsk_IsSummary,GanttView[[#This Row],[_Row]]),NETWORKDAYS.INTL(INDEX(tsk_FcStart,GanttView[[#This Row],[_Row]]),INDEX(tsk_FcFinish,GanttView[[#This Row],[_Row]]),WorkWeek,Holidays),N(INDEX(tsk_Duration,GanttView[[#This Row],[_Row]]))))</f>
        <v/>
      </c>
      <c r="E162" s="122" t="str">
        <f aca="false">IF(IFERROR(INDEX(tsk_Name,GanttView[[#This Row],[_Row]])="",TRUE()),"",INDEX(tsk_PlanStart,GanttView[[#This Row],[_Row]]))</f>
        <v/>
      </c>
      <c r="F162" s="122" t="str">
        <f aca="false">IF(IFERROR(INDEX(tsk_Name,GanttView[[#This Row],[_Row]])="",TRUE()),"",INDEX(tsk_PlanFinish,GanttView[[#This Row],[_Row]]))</f>
        <v/>
      </c>
      <c r="G162" s="122" t="str">
        <f aca="false">IF(IFERROR(INDEX(tsk_Name,GanttView[[#This Row],[_Row]])="",TRUE()),"",INDEX(tsk_FcStart,GanttView[[#This Row],[_Row]]))</f>
        <v/>
      </c>
      <c r="H162" s="122" t="str">
        <f aca="false">IF(IFERROR(INDEX(tsk_Name,GanttView[[#This Row],[_Row]])="",TRUE()),"",INDEX(tsk_FcFinish,GanttView[[#This Row],[_Row]]))</f>
        <v/>
      </c>
      <c r="I162" s="123" t="str">
        <f aca="false">IF(IFERROR(INDEX(tsk_Name,GanttView[[#This Row],[_Row]])="",TRUE()),"",INDEX(tsk_Progress,GanttView[[#This Row],[_Row]]))</f>
        <v/>
      </c>
      <c r="J162" s="121" t="str">
        <f aca="false">IF(IFERROR(INDEX(tsk_Name,GanttView[[#This Row],[_Row]])="",TRUE()),"",INDEX(tsk_Resource,GanttView[[#This Row],[_Row]])&amp;"")</f>
        <v/>
      </c>
      <c r="K162" s="124" t="str">
        <f aca="false">IF(IFERROR(INDEX(tsk_Name,GanttView[[#This Row],[_Row]])="",TRUE()),"",INDEX(tsk_Status,GanttView[[#This Row],[_Row]]))</f>
        <v/>
      </c>
      <c r="L162" s="125" t="n">
        <f aca="false">ROW()-ROW(GanttView[[#Headers],[ID]])</f>
        <v>157</v>
      </c>
      <c r="M162" s="126" t="b">
        <f aca="false">IF(IFERROR(INDEX(tsk_Name,GanttView[[#This Row],[_Row]])="",TRUE()),FALSE(),INDEX(tsk_IsSummary,GanttView[[#This Row],[_Row]]))</f>
        <v>0</v>
      </c>
      <c r="N162" s="126" t="b">
        <f aca="false">IF(IFERROR(INDEX(tsk_Name,GanttView[[#This Row],[_Row]])="",TRUE()),FALSE(),AND(INDEX(tsk_IsLeaf,GanttView[[#This Row],[_Row]])=1,N(INDEX(tsk_Duration,GanttView[[#This Row],[_Row]]))=0))</f>
        <v>0</v>
      </c>
      <c r="O162" s="127" t="n">
        <f aca="false">IF(IFERROR(INDEX(tsk_Name,GanttView[[#This Row],[_Row]])="",TRUE()),0,IF(AND(INDEX(tsk_IsLeaf,GanttView[[#This Row],[_Row]])=1,NOT(GanttView[[#This Row],[_IsMilestone]]),N(GanttView[[#This Row],[%]])&gt;0),GanttView[[#This Row],[Forecast Start]],0))</f>
        <v>0</v>
      </c>
      <c r="P162" s="127" t="n">
        <f aca="false">IF(GanttView[[#This Row],[_DoneFrom]]=0,0,IF(GanttView[[#This Row],[%]]&gt;=1,GanttView[[#This Row],[Forecast Finish]],MAX(GanttView[[#This Row],[_DoneFrom]],GanttView[[#This Row],[Forecast Start]]+ROUND((GanttView[[#This Row],[Forecast Finish]]-GanttView[[#This Row],[Forecast Start]]+1)*GanttView[[#This Row],[%]],0)-1)))</f>
        <v>0</v>
      </c>
      <c r="Q162" s="127" t="n">
        <f aca="false">IF(IFERROR(INDEX(tsk_Name,GanttView[[#This Row],[_Row]])="",TRUE()),0,IF(OR(INDEX(tsk_IsLeaf,GanttView[[#This Row],[_Row]])&lt;&gt;1,GanttView[[#This Row],[_IsMilestone]],N(GanttView[[#This Row],[%]])&gt;=1),0,IF(GanttView[[#This Row],[_DoneTo]]&gt;0,GanttView[[#This Row],[_DoneTo]]+1,GanttView[[#This Row],[Forecast Start]])))</f>
        <v>0</v>
      </c>
      <c r="R162" s="127" t="n">
        <f aca="false">IF(GanttView[[#This Row],[_RemFrom]]=0,0,GanttView[[#This Row],[Forecast Finish]])</f>
        <v>0</v>
      </c>
      <c r="S162" s="126" t="b">
        <f aca="false">IF(IFERROR(INDEX(tsk_Name,GanttView[[#This Row],[_Row]])="",TRUE()),FALSE(),N(INDEX(tsk_Variance,GanttView[[#This Row],[_Row]]))&gt;0)</f>
        <v>0</v>
      </c>
      <c r="T162" s="127" t="n">
        <f aca="false">IF(IFERROR(INDEX(tsk_Name,GanttView[[#This Row],[_Row]])="",TRUE()),0,N(INDEX(tsk_Deadline,GanttView[[#This Row],[_Row]])))</f>
        <v>0</v>
      </c>
      <c r="U162" s="126" t="b">
        <f aca="false">IF(IFERROR(INDEX(tsk_Name,GanttView[[#This Row],[_Row]])="",TRUE()),FALSE(),INDEX(tsk_Critical,GanttView[[#This Row],[_Row]])="Yes")</f>
        <v>0</v>
      </c>
    </row>
    <row r="163" customFormat="false" ht="15" hidden="false" customHeight="false" outlineLevel="0" collapsed="false">
      <c r="A163" s="120" t="str">
        <f aca="false">IF(IFERROR(INDEX(tsk_Name,GanttView[[#This Row],[_Row]])="",TRUE()),"",INDEX(tsk_ID,GanttView[[#This Row],[_Row]]))</f>
        <v/>
      </c>
      <c r="B163" s="120" t="str">
        <f aca="false">IF(IFERROR(INDEX(tsk_Name,GanttView[[#This Row],[_Row]])="",TRUE()),"",INDEX(tsk_WBS,GanttView[[#This Row],[_Row]]))</f>
        <v/>
      </c>
      <c r="C163" s="121" t="str">
        <f aca="false">IF(IFERROR(INDEX(tsk_Name,GanttView[[#This Row],[_Row]])="",TRUE()),"",REPT("    ",INDEX(tsk_Level,GanttView[[#This Row],[_Row]])-1)&amp;INDEX(tsk_Name,GanttView[[#This Row],[_Row]]))</f>
        <v/>
      </c>
      <c r="D163" s="120" t="str">
        <f aca="false">IF(IFERROR(INDEX(tsk_Name,GanttView[[#This Row],[_Row]])="",TRUE()),"",IF(INDEX(tsk_IsSummary,GanttView[[#This Row],[_Row]]),NETWORKDAYS.INTL(INDEX(tsk_FcStart,GanttView[[#This Row],[_Row]]),INDEX(tsk_FcFinish,GanttView[[#This Row],[_Row]]),WorkWeek,Holidays),N(INDEX(tsk_Duration,GanttView[[#This Row],[_Row]]))))</f>
        <v/>
      </c>
      <c r="E163" s="122" t="str">
        <f aca="false">IF(IFERROR(INDEX(tsk_Name,GanttView[[#This Row],[_Row]])="",TRUE()),"",INDEX(tsk_PlanStart,GanttView[[#This Row],[_Row]]))</f>
        <v/>
      </c>
      <c r="F163" s="122" t="str">
        <f aca="false">IF(IFERROR(INDEX(tsk_Name,GanttView[[#This Row],[_Row]])="",TRUE()),"",INDEX(tsk_PlanFinish,GanttView[[#This Row],[_Row]]))</f>
        <v/>
      </c>
      <c r="G163" s="122" t="str">
        <f aca="false">IF(IFERROR(INDEX(tsk_Name,GanttView[[#This Row],[_Row]])="",TRUE()),"",INDEX(tsk_FcStart,GanttView[[#This Row],[_Row]]))</f>
        <v/>
      </c>
      <c r="H163" s="122" t="str">
        <f aca="false">IF(IFERROR(INDEX(tsk_Name,GanttView[[#This Row],[_Row]])="",TRUE()),"",INDEX(tsk_FcFinish,GanttView[[#This Row],[_Row]]))</f>
        <v/>
      </c>
      <c r="I163" s="123" t="str">
        <f aca="false">IF(IFERROR(INDEX(tsk_Name,GanttView[[#This Row],[_Row]])="",TRUE()),"",INDEX(tsk_Progress,GanttView[[#This Row],[_Row]]))</f>
        <v/>
      </c>
      <c r="J163" s="121" t="str">
        <f aca="false">IF(IFERROR(INDEX(tsk_Name,GanttView[[#This Row],[_Row]])="",TRUE()),"",INDEX(tsk_Resource,GanttView[[#This Row],[_Row]])&amp;"")</f>
        <v/>
      </c>
      <c r="K163" s="124" t="str">
        <f aca="false">IF(IFERROR(INDEX(tsk_Name,GanttView[[#This Row],[_Row]])="",TRUE()),"",INDEX(tsk_Status,GanttView[[#This Row],[_Row]]))</f>
        <v/>
      </c>
      <c r="L163" s="125" t="n">
        <f aca="false">ROW()-ROW(GanttView[[#Headers],[ID]])</f>
        <v>158</v>
      </c>
      <c r="M163" s="126" t="b">
        <f aca="false">IF(IFERROR(INDEX(tsk_Name,GanttView[[#This Row],[_Row]])="",TRUE()),FALSE(),INDEX(tsk_IsSummary,GanttView[[#This Row],[_Row]]))</f>
        <v>0</v>
      </c>
      <c r="N163" s="126" t="b">
        <f aca="false">IF(IFERROR(INDEX(tsk_Name,GanttView[[#This Row],[_Row]])="",TRUE()),FALSE(),AND(INDEX(tsk_IsLeaf,GanttView[[#This Row],[_Row]])=1,N(INDEX(tsk_Duration,GanttView[[#This Row],[_Row]]))=0))</f>
        <v>0</v>
      </c>
      <c r="O163" s="127" t="n">
        <f aca="false">IF(IFERROR(INDEX(tsk_Name,GanttView[[#This Row],[_Row]])="",TRUE()),0,IF(AND(INDEX(tsk_IsLeaf,GanttView[[#This Row],[_Row]])=1,NOT(GanttView[[#This Row],[_IsMilestone]]),N(GanttView[[#This Row],[%]])&gt;0),GanttView[[#This Row],[Forecast Start]],0))</f>
        <v>0</v>
      </c>
      <c r="P163" s="127" t="n">
        <f aca="false">IF(GanttView[[#This Row],[_DoneFrom]]=0,0,IF(GanttView[[#This Row],[%]]&gt;=1,GanttView[[#This Row],[Forecast Finish]],MAX(GanttView[[#This Row],[_DoneFrom]],GanttView[[#This Row],[Forecast Start]]+ROUND((GanttView[[#This Row],[Forecast Finish]]-GanttView[[#This Row],[Forecast Start]]+1)*GanttView[[#This Row],[%]],0)-1)))</f>
        <v>0</v>
      </c>
      <c r="Q163" s="127" t="n">
        <f aca="false">IF(IFERROR(INDEX(tsk_Name,GanttView[[#This Row],[_Row]])="",TRUE()),0,IF(OR(INDEX(tsk_IsLeaf,GanttView[[#This Row],[_Row]])&lt;&gt;1,GanttView[[#This Row],[_IsMilestone]],N(GanttView[[#This Row],[%]])&gt;=1),0,IF(GanttView[[#This Row],[_DoneTo]]&gt;0,GanttView[[#This Row],[_DoneTo]]+1,GanttView[[#This Row],[Forecast Start]])))</f>
        <v>0</v>
      </c>
      <c r="R163" s="127" t="n">
        <f aca="false">IF(GanttView[[#This Row],[_RemFrom]]=0,0,GanttView[[#This Row],[Forecast Finish]])</f>
        <v>0</v>
      </c>
      <c r="S163" s="126" t="b">
        <f aca="false">IF(IFERROR(INDEX(tsk_Name,GanttView[[#This Row],[_Row]])="",TRUE()),FALSE(),N(INDEX(tsk_Variance,GanttView[[#This Row],[_Row]]))&gt;0)</f>
        <v>0</v>
      </c>
      <c r="T163" s="127" t="n">
        <f aca="false">IF(IFERROR(INDEX(tsk_Name,GanttView[[#This Row],[_Row]])="",TRUE()),0,N(INDEX(tsk_Deadline,GanttView[[#This Row],[_Row]])))</f>
        <v>0</v>
      </c>
      <c r="U163" s="126" t="b">
        <f aca="false">IF(IFERROR(INDEX(tsk_Name,GanttView[[#This Row],[_Row]])="",TRUE()),FALSE(),INDEX(tsk_Critical,GanttView[[#This Row],[_Row]])="Yes")</f>
        <v>0</v>
      </c>
    </row>
    <row r="164" customFormat="false" ht="15" hidden="false" customHeight="false" outlineLevel="0" collapsed="false">
      <c r="A164" s="120" t="str">
        <f aca="false">IF(IFERROR(INDEX(tsk_Name,GanttView[[#This Row],[_Row]])="",TRUE()),"",INDEX(tsk_ID,GanttView[[#This Row],[_Row]]))</f>
        <v/>
      </c>
      <c r="B164" s="120" t="str">
        <f aca="false">IF(IFERROR(INDEX(tsk_Name,GanttView[[#This Row],[_Row]])="",TRUE()),"",INDEX(tsk_WBS,GanttView[[#This Row],[_Row]]))</f>
        <v/>
      </c>
      <c r="C164" s="121" t="str">
        <f aca="false">IF(IFERROR(INDEX(tsk_Name,GanttView[[#This Row],[_Row]])="",TRUE()),"",REPT("    ",INDEX(tsk_Level,GanttView[[#This Row],[_Row]])-1)&amp;INDEX(tsk_Name,GanttView[[#This Row],[_Row]]))</f>
        <v/>
      </c>
      <c r="D164" s="120" t="str">
        <f aca="false">IF(IFERROR(INDEX(tsk_Name,GanttView[[#This Row],[_Row]])="",TRUE()),"",IF(INDEX(tsk_IsSummary,GanttView[[#This Row],[_Row]]),NETWORKDAYS.INTL(INDEX(tsk_FcStart,GanttView[[#This Row],[_Row]]),INDEX(tsk_FcFinish,GanttView[[#This Row],[_Row]]),WorkWeek,Holidays),N(INDEX(tsk_Duration,GanttView[[#This Row],[_Row]]))))</f>
        <v/>
      </c>
      <c r="E164" s="122" t="str">
        <f aca="false">IF(IFERROR(INDEX(tsk_Name,GanttView[[#This Row],[_Row]])="",TRUE()),"",INDEX(tsk_PlanStart,GanttView[[#This Row],[_Row]]))</f>
        <v/>
      </c>
      <c r="F164" s="122" t="str">
        <f aca="false">IF(IFERROR(INDEX(tsk_Name,GanttView[[#This Row],[_Row]])="",TRUE()),"",INDEX(tsk_PlanFinish,GanttView[[#This Row],[_Row]]))</f>
        <v/>
      </c>
      <c r="G164" s="122" t="str">
        <f aca="false">IF(IFERROR(INDEX(tsk_Name,GanttView[[#This Row],[_Row]])="",TRUE()),"",INDEX(tsk_FcStart,GanttView[[#This Row],[_Row]]))</f>
        <v/>
      </c>
      <c r="H164" s="122" t="str">
        <f aca="false">IF(IFERROR(INDEX(tsk_Name,GanttView[[#This Row],[_Row]])="",TRUE()),"",INDEX(tsk_FcFinish,GanttView[[#This Row],[_Row]]))</f>
        <v/>
      </c>
      <c r="I164" s="123" t="str">
        <f aca="false">IF(IFERROR(INDEX(tsk_Name,GanttView[[#This Row],[_Row]])="",TRUE()),"",INDEX(tsk_Progress,GanttView[[#This Row],[_Row]]))</f>
        <v/>
      </c>
      <c r="J164" s="121" t="str">
        <f aca="false">IF(IFERROR(INDEX(tsk_Name,GanttView[[#This Row],[_Row]])="",TRUE()),"",INDEX(tsk_Resource,GanttView[[#This Row],[_Row]])&amp;"")</f>
        <v/>
      </c>
      <c r="K164" s="124" t="str">
        <f aca="false">IF(IFERROR(INDEX(tsk_Name,GanttView[[#This Row],[_Row]])="",TRUE()),"",INDEX(tsk_Status,GanttView[[#This Row],[_Row]]))</f>
        <v/>
      </c>
      <c r="L164" s="125" t="n">
        <f aca="false">ROW()-ROW(GanttView[[#Headers],[ID]])</f>
        <v>159</v>
      </c>
      <c r="M164" s="126" t="b">
        <f aca="false">IF(IFERROR(INDEX(tsk_Name,GanttView[[#This Row],[_Row]])="",TRUE()),FALSE(),INDEX(tsk_IsSummary,GanttView[[#This Row],[_Row]]))</f>
        <v>0</v>
      </c>
      <c r="N164" s="126" t="b">
        <f aca="false">IF(IFERROR(INDEX(tsk_Name,GanttView[[#This Row],[_Row]])="",TRUE()),FALSE(),AND(INDEX(tsk_IsLeaf,GanttView[[#This Row],[_Row]])=1,N(INDEX(tsk_Duration,GanttView[[#This Row],[_Row]]))=0))</f>
        <v>0</v>
      </c>
      <c r="O164" s="127" t="n">
        <f aca="false">IF(IFERROR(INDEX(tsk_Name,GanttView[[#This Row],[_Row]])="",TRUE()),0,IF(AND(INDEX(tsk_IsLeaf,GanttView[[#This Row],[_Row]])=1,NOT(GanttView[[#This Row],[_IsMilestone]]),N(GanttView[[#This Row],[%]])&gt;0),GanttView[[#This Row],[Forecast Start]],0))</f>
        <v>0</v>
      </c>
      <c r="P164" s="127" t="n">
        <f aca="false">IF(GanttView[[#This Row],[_DoneFrom]]=0,0,IF(GanttView[[#This Row],[%]]&gt;=1,GanttView[[#This Row],[Forecast Finish]],MAX(GanttView[[#This Row],[_DoneFrom]],GanttView[[#This Row],[Forecast Start]]+ROUND((GanttView[[#This Row],[Forecast Finish]]-GanttView[[#This Row],[Forecast Start]]+1)*GanttView[[#This Row],[%]],0)-1)))</f>
        <v>0</v>
      </c>
      <c r="Q164" s="127" t="n">
        <f aca="false">IF(IFERROR(INDEX(tsk_Name,GanttView[[#This Row],[_Row]])="",TRUE()),0,IF(OR(INDEX(tsk_IsLeaf,GanttView[[#This Row],[_Row]])&lt;&gt;1,GanttView[[#This Row],[_IsMilestone]],N(GanttView[[#This Row],[%]])&gt;=1),0,IF(GanttView[[#This Row],[_DoneTo]]&gt;0,GanttView[[#This Row],[_DoneTo]]+1,GanttView[[#This Row],[Forecast Start]])))</f>
        <v>0</v>
      </c>
      <c r="R164" s="127" t="n">
        <f aca="false">IF(GanttView[[#This Row],[_RemFrom]]=0,0,GanttView[[#This Row],[Forecast Finish]])</f>
        <v>0</v>
      </c>
      <c r="S164" s="126" t="b">
        <f aca="false">IF(IFERROR(INDEX(tsk_Name,GanttView[[#This Row],[_Row]])="",TRUE()),FALSE(),N(INDEX(tsk_Variance,GanttView[[#This Row],[_Row]]))&gt;0)</f>
        <v>0</v>
      </c>
      <c r="T164" s="127" t="n">
        <f aca="false">IF(IFERROR(INDEX(tsk_Name,GanttView[[#This Row],[_Row]])="",TRUE()),0,N(INDEX(tsk_Deadline,GanttView[[#This Row],[_Row]])))</f>
        <v>0</v>
      </c>
      <c r="U164" s="126" t="b">
        <f aca="false">IF(IFERROR(INDEX(tsk_Name,GanttView[[#This Row],[_Row]])="",TRUE()),FALSE(),INDEX(tsk_Critical,GanttView[[#This Row],[_Row]])="Yes")</f>
        <v>0</v>
      </c>
    </row>
    <row r="165" customFormat="false" ht="15" hidden="false" customHeight="false" outlineLevel="0" collapsed="false">
      <c r="A165" s="120" t="str">
        <f aca="false">IF(IFERROR(INDEX(tsk_Name,GanttView[[#This Row],[_Row]])="",TRUE()),"",INDEX(tsk_ID,GanttView[[#This Row],[_Row]]))</f>
        <v/>
      </c>
      <c r="B165" s="120" t="str">
        <f aca="false">IF(IFERROR(INDEX(tsk_Name,GanttView[[#This Row],[_Row]])="",TRUE()),"",INDEX(tsk_WBS,GanttView[[#This Row],[_Row]]))</f>
        <v/>
      </c>
      <c r="C165" s="121" t="str">
        <f aca="false">IF(IFERROR(INDEX(tsk_Name,GanttView[[#This Row],[_Row]])="",TRUE()),"",REPT("    ",INDEX(tsk_Level,GanttView[[#This Row],[_Row]])-1)&amp;INDEX(tsk_Name,GanttView[[#This Row],[_Row]]))</f>
        <v/>
      </c>
      <c r="D165" s="120" t="str">
        <f aca="false">IF(IFERROR(INDEX(tsk_Name,GanttView[[#This Row],[_Row]])="",TRUE()),"",IF(INDEX(tsk_IsSummary,GanttView[[#This Row],[_Row]]),NETWORKDAYS.INTL(INDEX(tsk_FcStart,GanttView[[#This Row],[_Row]]),INDEX(tsk_FcFinish,GanttView[[#This Row],[_Row]]),WorkWeek,Holidays),N(INDEX(tsk_Duration,GanttView[[#This Row],[_Row]]))))</f>
        <v/>
      </c>
      <c r="E165" s="122" t="str">
        <f aca="false">IF(IFERROR(INDEX(tsk_Name,GanttView[[#This Row],[_Row]])="",TRUE()),"",INDEX(tsk_PlanStart,GanttView[[#This Row],[_Row]]))</f>
        <v/>
      </c>
      <c r="F165" s="122" t="str">
        <f aca="false">IF(IFERROR(INDEX(tsk_Name,GanttView[[#This Row],[_Row]])="",TRUE()),"",INDEX(tsk_PlanFinish,GanttView[[#This Row],[_Row]]))</f>
        <v/>
      </c>
      <c r="G165" s="122" t="str">
        <f aca="false">IF(IFERROR(INDEX(tsk_Name,GanttView[[#This Row],[_Row]])="",TRUE()),"",INDEX(tsk_FcStart,GanttView[[#This Row],[_Row]]))</f>
        <v/>
      </c>
      <c r="H165" s="122" t="str">
        <f aca="false">IF(IFERROR(INDEX(tsk_Name,GanttView[[#This Row],[_Row]])="",TRUE()),"",INDEX(tsk_FcFinish,GanttView[[#This Row],[_Row]]))</f>
        <v/>
      </c>
      <c r="I165" s="123" t="str">
        <f aca="false">IF(IFERROR(INDEX(tsk_Name,GanttView[[#This Row],[_Row]])="",TRUE()),"",INDEX(tsk_Progress,GanttView[[#This Row],[_Row]]))</f>
        <v/>
      </c>
      <c r="J165" s="121" t="str">
        <f aca="false">IF(IFERROR(INDEX(tsk_Name,GanttView[[#This Row],[_Row]])="",TRUE()),"",INDEX(tsk_Resource,GanttView[[#This Row],[_Row]])&amp;"")</f>
        <v/>
      </c>
      <c r="K165" s="124" t="str">
        <f aca="false">IF(IFERROR(INDEX(tsk_Name,GanttView[[#This Row],[_Row]])="",TRUE()),"",INDEX(tsk_Status,GanttView[[#This Row],[_Row]]))</f>
        <v/>
      </c>
      <c r="L165" s="125" t="n">
        <f aca="false">ROW()-ROW(GanttView[[#Headers],[ID]])</f>
        <v>160</v>
      </c>
      <c r="M165" s="126" t="b">
        <f aca="false">IF(IFERROR(INDEX(tsk_Name,GanttView[[#This Row],[_Row]])="",TRUE()),FALSE(),INDEX(tsk_IsSummary,GanttView[[#This Row],[_Row]]))</f>
        <v>0</v>
      </c>
      <c r="N165" s="126" t="b">
        <f aca="false">IF(IFERROR(INDEX(tsk_Name,GanttView[[#This Row],[_Row]])="",TRUE()),FALSE(),AND(INDEX(tsk_IsLeaf,GanttView[[#This Row],[_Row]])=1,N(INDEX(tsk_Duration,GanttView[[#This Row],[_Row]]))=0))</f>
        <v>0</v>
      </c>
      <c r="O165" s="127" t="n">
        <f aca="false">IF(IFERROR(INDEX(tsk_Name,GanttView[[#This Row],[_Row]])="",TRUE()),0,IF(AND(INDEX(tsk_IsLeaf,GanttView[[#This Row],[_Row]])=1,NOT(GanttView[[#This Row],[_IsMilestone]]),N(GanttView[[#This Row],[%]])&gt;0),GanttView[[#This Row],[Forecast Start]],0))</f>
        <v>0</v>
      </c>
      <c r="P165" s="127" t="n">
        <f aca="false">IF(GanttView[[#This Row],[_DoneFrom]]=0,0,IF(GanttView[[#This Row],[%]]&gt;=1,GanttView[[#This Row],[Forecast Finish]],MAX(GanttView[[#This Row],[_DoneFrom]],GanttView[[#This Row],[Forecast Start]]+ROUND((GanttView[[#This Row],[Forecast Finish]]-GanttView[[#This Row],[Forecast Start]]+1)*GanttView[[#This Row],[%]],0)-1)))</f>
        <v>0</v>
      </c>
      <c r="Q165" s="127" t="n">
        <f aca="false">IF(IFERROR(INDEX(tsk_Name,GanttView[[#This Row],[_Row]])="",TRUE()),0,IF(OR(INDEX(tsk_IsLeaf,GanttView[[#This Row],[_Row]])&lt;&gt;1,GanttView[[#This Row],[_IsMilestone]],N(GanttView[[#This Row],[%]])&gt;=1),0,IF(GanttView[[#This Row],[_DoneTo]]&gt;0,GanttView[[#This Row],[_DoneTo]]+1,GanttView[[#This Row],[Forecast Start]])))</f>
        <v>0</v>
      </c>
      <c r="R165" s="127" t="n">
        <f aca="false">IF(GanttView[[#This Row],[_RemFrom]]=0,0,GanttView[[#This Row],[Forecast Finish]])</f>
        <v>0</v>
      </c>
      <c r="S165" s="126" t="b">
        <f aca="false">IF(IFERROR(INDEX(tsk_Name,GanttView[[#This Row],[_Row]])="",TRUE()),FALSE(),N(INDEX(tsk_Variance,GanttView[[#This Row],[_Row]]))&gt;0)</f>
        <v>0</v>
      </c>
      <c r="T165" s="127" t="n">
        <f aca="false">IF(IFERROR(INDEX(tsk_Name,GanttView[[#This Row],[_Row]])="",TRUE()),0,N(INDEX(tsk_Deadline,GanttView[[#This Row],[_Row]])))</f>
        <v>0</v>
      </c>
      <c r="U165" s="126" t="b">
        <f aca="false">IF(IFERROR(INDEX(tsk_Name,GanttView[[#This Row],[_Row]])="",TRUE()),FALSE(),INDEX(tsk_Critical,GanttView[[#This Row],[_Row]])="Yes")</f>
        <v>0</v>
      </c>
    </row>
    <row r="166" customFormat="false" ht="15" hidden="false" customHeight="false" outlineLevel="0" collapsed="false">
      <c r="A166" s="120" t="str">
        <f aca="false">IF(IFERROR(INDEX(tsk_Name,GanttView[[#This Row],[_Row]])="",TRUE()),"",INDEX(tsk_ID,GanttView[[#This Row],[_Row]]))</f>
        <v/>
      </c>
      <c r="B166" s="120" t="str">
        <f aca="false">IF(IFERROR(INDEX(tsk_Name,GanttView[[#This Row],[_Row]])="",TRUE()),"",INDEX(tsk_WBS,GanttView[[#This Row],[_Row]]))</f>
        <v/>
      </c>
      <c r="C166" s="121" t="str">
        <f aca="false">IF(IFERROR(INDEX(tsk_Name,GanttView[[#This Row],[_Row]])="",TRUE()),"",REPT("    ",INDEX(tsk_Level,GanttView[[#This Row],[_Row]])-1)&amp;INDEX(tsk_Name,GanttView[[#This Row],[_Row]]))</f>
        <v/>
      </c>
      <c r="D166" s="120" t="str">
        <f aca="false">IF(IFERROR(INDEX(tsk_Name,GanttView[[#This Row],[_Row]])="",TRUE()),"",IF(INDEX(tsk_IsSummary,GanttView[[#This Row],[_Row]]),NETWORKDAYS.INTL(INDEX(tsk_FcStart,GanttView[[#This Row],[_Row]]),INDEX(tsk_FcFinish,GanttView[[#This Row],[_Row]]),WorkWeek,Holidays),N(INDEX(tsk_Duration,GanttView[[#This Row],[_Row]]))))</f>
        <v/>
      </c>
      <c r="E166" s="122" t="str">
        <f aca="false">IF(IFERROR(INDEX(tsk_Name,GanttView[[#This Row],[_Row]])="",TRUE()),"",INDEX(tsk_PlanStart,GanttView[[#This Row],[_Row]]))</f>
        <v/>
      </c>
      <c r="F166" s="122" t="str">
        <f aca="false">IF(IFERROR(INDEX(tsk_Name,GanttView[[#This Row],[_Row]])="",TRUE()),"",INDEX(tsk_PlanFinish,GanttView[[#This Row],[_Row]]))</f>
        <v/>
      </c>
      <c r="G166" s="122" t="str">
        <f aca="false">IF(IFERROR(INDEX(tsk_Name,GanttView[[#This Row],[_Row]])="",TRUE()),"",INDEX(tsk_FcStart,GanttView[[#This Row],[_Row]]))</f>
        <v/>
      </c>
      <c r="H166" s="122" t="str">
        <f aca="false">IF(IFERROR(INDEX(tsk_Name,GanttView[[#This Row],[_Row]])="",TRUE()),"",INDEX(tsk_FcFinish,GanttView[[#This Row],[_Row]]))</f>
        <v/>
      </c>
      <c r="I166" s="123" t="str">
        <f aca="false">IF(IFERROR(INDEX(tsk_Name,GanttView[[#This Row],[_Row]])="",TRUE()),"",INDEX(tsk_Progress,GanttView[[#This Row],[_Row]]))</f>
        <v/>
      </c>
      <c r="J166" s="121" t="str">
        <f aca="false">IF(IFERROR(INDEX(tsk_Name,GanttView[[#This Row],[_Row]])="",TRUE()),"",INDEX(tsk_Resource,GanttView[[#This Row],[_Row]])&amp;"")</f>
        <v/>
      </c>
      <c r="K166" s="124" t="str">
        <f aca="false">IF(IFERROR(INDEX(tsk_Name,GanttView[[#This Row],[_Row]])="",TRUE()),"",INDEX(tsk_Status,GanttView[[#This Row],[_Row]]))</f>
        <v/>
      </c>
      <c r="L166" s="125" t="n">
        <f aca="false">ROW()-ROW(GanttView[[#Headers],[ID]])</f>
        <v>161</v>
      </c>
      <c r="M166" s="126" t="b">
        <f aca="false">IF(IFERROR(INDEX(tsk_Name,GanttView[[#This Row],[_Row]])="",TRUE()),FALSE(),INDEX(tsk_IsSummary,GanttView[[#This Row],[_Row]]))</f>
        <v>0</v>
      </c>
      <c r="N166" s="126" t="b">
        <f aca="false">IF(IFERROR(INDEX(tsk_Name,GanttView[[#This Row],[_Row]])="",TRUE()),FALSE(),AND(INDEX(tsk_IsLeaf,GanttView[[#This Row],[_Row]])=1,N(INDEX(tsk_Duration,GanttView[[#This Row],[_Row]]))=0))</f>
        <v>0</v>
      </c>
      <c r="O166" s="127" t="n">
        <f aca="false">IF(IFERROR(INDEX(tsk_Name,GanttView[[#This Row],[_Row]])="",TRUE()),0,IF(AND(INDEX(tsk_IsLeaf,GanttView[[#This Row],[_Row]])=1,NOT(GanttView[[#This Row],[_IsMilestone]]),N(GanttView[[#This Row],[%]])&gt;0),GanttView[[#This Row],[Forecast Start]],0))</f>
        <v>0</v>
      </c>
      <c r="P166" s="127" t="n">
        <f aca="false">IF(GanttView[[#This Row],[_DoneFrom]]=0,0,IF(GanttView[[#This Row],[%]]&gt;=1,GanttView[[#This Row],[Forecast Finish]],MAX(GanttView[[#This Row],[_DoneFrom]],GanttView[[#This Row],[Forecast Start]]+ROUND((GanttView[[#This Row],[Forecast Finish]]-GanttView[[#This Row],[Forecast Start]]+1)*GanttView[[#This Row],[%]],0)-1)))</f>
        <v>0</v>
      </c>
      <c r="Q166" s="127" t="n">
        <f aca="false">IF(IFERROR(INDEX(tsk_Name,GanttView[[#This Row],[_Row]])="",TRUE()),0,IF(OR(INDEX(tsk_IsLeaf,GanttView[[#This Row],[_Row]])&lt;&gt;1,GanttView[[#This Row],[_IsMilestone]],N(GanttView[[#This Row],[%]])&gt;=1),0,IF(GanttView[[#This Row],[_DoneTo]]&gt;0,GanttView[[#This Row],[_DoneTo]]+1,GanttView[[#This Row],[Forecast Start]])))</f>
        <v>0</v>
      </c>
      <c r="R166" s="127" t="n">
        <f aca="false">IF(GanttView[[#This Row],[_RemFrom]]=0,0,GanttView[[#This Row],[Forecast Finish]])</f>
        <v>0</v>
      </c>
      <c r="S166" s="126" t="b">
        <f aca="false">IF(IFERROR(INDEX(tsk_Name,GanttView[[#This Row],[_Row]])="",TRUE()),FALSE(),N(INDEX(tsk_Variance,GanttView[[#This Row],[_Row]]))&gt;0)</f>
        <v>0</v>
      </c>
      <c r="T166" s="127" t="n">
        <f aca="false">IF(IFERROR(INDEX(tsk_Name,GanttView[[#This Row],[_Row]])="",TRUE()),0,N(INDEX(tsk_Deadline,GanttView[[#This Row],[_Row]])))</f>
        <v>0</v>
      </c>
      <c r="U166" s="126" t="b">
        <f aca="false">IF(IFERROR(INDEX(tsk_Name,GanttView[[#This Row],[_Row]])="",TRUE()),FALSE(),INDEX(tsk_Critical,GanttView[[#This Row],[_Row]])="Yes")</f>
        <v>0</v>
      </c>
    </row>
    <row r="167" customFormat="false" ht="15" hidden="false" customHeight="false" outlineLevel="0" collapsed="false">
      <c r="A167" s="120" t="str">
        <f aca="false">IF(IFERROR(INDEX(tsk_Name,GanttView[[#This Row],[_Row]])="",TRUE()),"",INDEX(tsk_ID,GanttView[[#This Row],[_Row]]))</f>
        <v/>
      </c>
      <c r="B167" s="120" t="str">
        <f aca="false">IF(IFERROR(INDEX(tsk_Name,GanttView[[#This Row],[_Row]])="",TRUE()),"",INDEX(tsk_WBS,GanttView[[#This Row],[_Row]]))</f>
        <v/>
      </c>
      <c r="C167" s="121" t="str">
        <f aca="false">IF(IFERROR(INDEX(tsk_Name,GanttView[[#This Row],[_Row]])="",TRUE()),"",REPT("    ",INDEX(tsk_Level,GanttView[[#This Row],[_Row]])-1)&amp;INDEX(tsk_Name,GanttView[[#This Row],[_Row]]))</f>
        <v/>
      </c>
      <c r="D167" s="120" t="str">
        <f aca="false">IF(IFERROR(INDEX(tsk_Name,GanttView[[#This Row],[_Row]])="",TRUE()),"",IF(INDEX(tsk_IsSummary,GanttView[[#This Row],[_Row]]),NETWORKDAYS.INTL(INDEX(tsk_FcStart,GanttView[[#This Row],[_Row]]),INDEX(tsk_FcFinish,GanttView[[#This Row],[_Row]]),WorkWeek,Holidays),N(INDEX(tsk_Duration,GanttView[[#This Row],[_Row]]))))</f>
        <v/>
      </c>
      <c r="E167" s="122" t="str">
        <f aca="false">IF(IFERROR(INDEX(tsk_Name,GanttView[[#This Row],[_Row]])="",TRUE()),"",INDEX(tsk_PlanStart,GanttView[[#This Row],[_Row]]))</f>
        <v/>
      </c>
      <c r="F167" s="122" t="str">
        <f aca="false">IF(IFERROR(INDEX(tsk_Name,GanttView[[#This Row],[_Row]])="",TRUE()),"",INDEX(tsk_PlanFinish,GanttView[[#This Row],[_Row]]))</f>
        <v/>
      </c>
      <c r="G167" s="122" t="str">
        <f aca="false">IF(IFERROR(INDEX(tsk_Name,GanttView[[#This Row],[_Row]])="",TRUE()),"",INDEX(tsk_FcStart,GanttView[[#This Row],[_Row]]))</f>
        <v/>
      </c>
      <c r="H167" s="122" t="str">
        <f aca="false">IF(IFERROR(INDEX(tsk_Name,GanttView[[#This Row],[_Row]])="",TRUE()),"",INDEX(tsk_FcFinish,GanttView[[#This Row],[_Row]]))</f>
        <v/>
      </c>
      <c r="I167" s="123" t="str">
        <f aca="false">IF(IFERROR(INDEX(tsk_Name,GanttView[[#This Row],[_Row]])="",TRUE()),"",INDEX(tsk_Progress,GanttView[[#This Row],[_Row]]))</f>
        <v/>
      </c>
      <c r="J167" s="121" t="str">
        <f aca="false">IF(IFERROR(INDEX(tsk_Name,GanttView[[#This Row],[_Row]])="",TRUE()),"",INDEX(tsk_Resource,GanttView[[#This Row],[_Row]])&amp;"")</f>
        <v/>
      </c>
      <c r="K167" s="124" t="str">
        <f aca="false">IF(IFERROR(INDEX(tsk_Name,GanttView[[#This Row],[_Row]])="",TRUE()),"",INDEX(tsk_Status,GanttView[[#This Row],[_Row]]))</f>
        <v/>
      </c>
      <c r="L167" s="125" t="n">
        <f aca="false">ROW()-ROW(GanttView[[#Headers],[ID]])</f>
        <v>162</v>
      </c>
      <c r="M167" s="126" t="b">
        <f aca="false">IF(IFERROR(INDEX(tsk_Name,GanttView[[#This Row],[_Row]])="",TRUE()),FALSE(),INDEX(tsk_IsSummary,GanttView[[#This Row],[_Row]]))</f>
        <v>0</v>
      </c>
      <c r="N167" s="126" t="b">
        <f aca="false">IF(IFERROR(INDEX(tsk_Name,GanttView[[#This Row],[_Row]])="",TRUE()),FALSE(),AND(INDEX(tsk_IsLeaf,GanttView[[#This Row],[_Row]])=1,N(INDEX(tsk_Duration,GanttView[[#This Row],[_Row]]))=0))</f>
        <v>0</v>
      </c>
      <c r="O167" s="127" t="n">
        <f aca="false">IF(IFERROR(INDEX(tsk_Name,GanttView[[#This Row],[_Row]])="",TRUE()),0,IF(AND(INDEX(tsk_IsLeaf,GanttView[[#This Row],[_Row]])=1,NOT(GanttView[[#This Row],[_IsMilestone]]),N(GanttView[[#This Row],[%]])&gt;0),GanttView[[#This Row],[Forecast Start]],0))</f>
        <v>0</v>
      </c>
      <c r="P167" s="127" t="n">
        <f aca="false">IF(GanttView[[#This Row],[_DoneFrom]]=0,0,IF(GanttView[[#This Row],[%]]&gt;=1,GanttView[[#This Row],[Forecast Finish]],MAX(GanttView[[#This Row],[_DoneFrom]],GanttView[[#This Row],[Forecast Start]]+ROUND((GanttView[[#This Row],[Forecast Finish]]-GanttView[[#This Row],[Forecast Start]]+1)*GanttView[[#This Row],[%]],0)-1)))</f>
        <v>0</v>
      </c>
      <c r="Q167" s="127" t="n">
        <f aca="false">IF(IFERROR(INDEX(tsk_Name,GanttView[[#This Row],[_Row]])="",TRUE()),0,IF(OR(INDEX(tsk_IsLeaf,GanttView[[#This Row],[_Row]])&lt;&gt;1,GanttView[[#This Row],[_IsMilestone]],N(GanttView[[#This Row],[%]])&gt;=1),0,IF(GanttView[[#This Row],[_DoneTo]]&gt;0,GanttView[[#This Row],[_DoneTo]]+1,GanttView[[#This Row],[Forecast Start]])))</f>
        <v>0</v>
      </c>
      <c r="R167" s="127" t="n">
        <f aca="false">IF(GanttView[[#This Row],[_RemFrom]]=0,0,GanttView[[#This Row],[Forecast Finish]])</f>
        <v>0</v>
      </c>
      <c r="S167" s="126" t="b">
        <f aca="false">IF(IFERROR(INDEX(tsk_Name,GanttView[[#This Row],[_Row]])="",TRUE()),FALSE(),N(INDEX(tsk_Variance,GanttView[[#This Row],[_Row]]))&gt;0)</f>
        <v>0</v>
      </c>
      <c r="T167" s="127" t="n">
        <f aca="false">IF(IFERROR(INDEX(tsk_Name,GanttView[[#This Row],[_Row]])="",TRUE()),0,N(INDEX(tsk_Deadline,GanttView[[#This Row],[_Row]])))</f>
        <v>0</v>
      </c>
      <c r="U167" s="126" t="b">
        <f aca="false">IF(IFERROR(INDEX(tsk_Name,GanttView[[#This Row],[_Row]])="",TRUE()),FALSE(),INDEX(tsk_Critical,GanttView[[#This Row],[_Row]])="Yes")</f>
        <v>0</v>
      </c>
    </row>
    <row r="168" customFormat="false" ht="15" hidden="false" customHeight="false" outlineLevel="0" collapsed="false">
      <c r="A168" s="120" t="str">
        <f aca="false">IF(IFERROR(INDEX(tsk_Name,GanttView[[#This Row],[_Row]])="",TRUE()),"",INDEX(tsk_ID,GanttView[[#This Row],[_Row]]))</f>
        <v/>
      </c>
      <c r="B168" s="120" t="str">
        <f aca="false">IF(IFERROR(INDEX(tsk_Name,GanttView[[#This Row],[_Row]])="",TRUE()),"",INDEX(tsk_WBS,GanttView[[#This Row],[_Row]]))</f>
        <v/>
      </c>
      <c r="C168" s="121" t="str">
        <f aca="false">IF(IFERROR(INDEX(tsk_Name,GanttView[[#This Row],[_Row]])="",TRUE()),"",REPT("    ",INDEX(tsk_Level,GanttView[[#This Row],[_Row]])-1)&amp;INDEX(tsk_Name,GanttView[[#This Row],[_Row]]))</f>
        <v/>
      </c>
      <c r="D168" s="120" t="str">
        <f aca="false">IF(IFERROR(INDEX(tsk_Name,GanttView[[#This Row],[_Row]])="",TRUE()),"",IF(INDEX(tsk_IsSummary,GanttView[[#This Row],[_Row]]),NETWORKDAYS.INTL(INDEX(tsk_FcStart,GanttView[[#This Row],[_Row]]),INDEX(tsk_FcFinish,GanttView[[#This Row],[_Row]]),WorkWeek,Holidays),N(INDEX(tsk_Duration,GanttView[[#This Row],[_Row]]))))</f>
        <v/>
      </c>
      <c r="E168" s="122" t="str">
        <f aca="false">IF(IFERROR(INDEX(tsk_Name,GanttView[[#This Row],[_Row]])="",TRUE()),"",INDEX(tsk_PlanStart,GanttView[[#This Row],[_Row]]))</f>
        <v/>
      </c>
      <c r="F168" s="122" t="str">
        <f aca="false">IF(IFERROR(INDEX(tsk_Name,GanttView[[#This Row],[_Row]])="",TRUE()),"",INDEX(tsk_PlanFinish,GanttView[[#This Row],[_Row]]))</f>
        <v/>
      </c>
      <c r="G168" s="122" t="str">
        <f aca="false">IF(IFERROR(INDEX(tsk_Name,GanttView[[#This Row],[_Row]])="",TRUE()),"",INDEX(tsk_FcStart,GanttView[[#This Row],[_Row]]))</f>
        <v/>
      </c>
      <c r="H168" s="122" t="str">
        <f aca="false">IF(IFERROR(INDEX(tsk_Name,GanttView[[#This Row],[_Row]])="",TRUE()),"",INDEX(tsk_FcFinish,GanttView[[#This Row],[_Row]]))</f>
        <v/>
      </c>
      <c r="I168" s="123" t="str">
        <f aca="false">IF(IFERROR(INDEX(tsk_Name,GanttView[[#This Row],[_Row]])="",TRUE()),"",INDEX(tsk_Progress,GanttView[[#This Row],[_Row]]))</f>
        <v/>
      </c>
      <c r="J168" s="121" t="str">
        <f aca="false">IF(IFERROR(INDEX(tsk_Name,GanttView[[#This Row],[_Row]])="",TRUE()),"",INDEX(tsk_Resource,GanttView[[#This Row],[_Row]])&amp;"")</f>
        <v/>
      </c>
      <c r="K168" s="124" t="str">
        <f aca="false">IF(IFERROR(INDEX(tsk_Name,GanttView[[#This Row],[_Row]])="",TRUE()),"",INDEX(tsk_Status,GanttView[[#This Row],[_Row]]))</f>
        <v/>
      </c>
      <c r="L168" s="125" t="n">
        <f aca="false">ROW()-ROW(GanttView[[#Headers],[ID]])</f>
        <v>163</v>
      </c>
      <c r="M168" s="126" t="b">
        <f aca="false">IF(IFERROR(INDEX(tsk_Name,GanttView[[#This Row],[_Row]])="",TRUE()),FALSE(),INDEX(tsk_IsSummary,GanttView[[#This Row],[_Row]]))</f>
        <v>0</v>
      </c>
      <c r="N168" s="126" t="b">
        <f aca="false">IF(IFERROR(INDEX(tsk_Name,GanttView[[#This Row],[_Row]])="",TRUE()),FALSE(),AND(INDEX(tsk_IsLeaf,GanttView[[#This Row],[_Row]])=1,N(INDEX(tsk_Duration,GanttView[[#This Row],[_Row]]))=0))</f>
        <v>0</v>
      </c>
      <c r="O168" s="127" t="n">
        <f aca="false">IF(IFERROR(INDEX(tsk_Name,GanttView[[#This Row],[_Row]])="",TRUE()),0,IF(AND(INDEX(tsk_IsLeaf,GanttView[[#This Row],[_Row]])=1,NOT(GanttView[[#This Row],[_IsMilestone]]),N(GanttView[[#This Row],[%]])&gt;0),GanttView[[#This Row],[Forecast Start]],0))</f>
        <v>0</v>
      </c>
      <c r="P168" s="127" t="n">
        <f aca="false">IF(GanttView[[#This Row],[_DoneFrom]]=0,0,IF(GanttView[[#This Row],[%]]&gt;=1,GanttView[[#This Row],[Forecast Finish]],MAX(GanttView[[#This Row],[_DoneFrom]],GanttView[[#This Row],[Forecast Start]]+ROUND((GanttView[[#This Row],[Forecast Finish]]-GanttView[[#This Row],[Forecast Start]]+1)*GanttView[[#This Row],[%]],0)-1)))</f>
        <v>0</v>
      </c>
      <c r="Q168" s="127" t="n">
        <f aca="false">IF(IFERROR(INDEX(tsk_Name,GanttView[[#This Row],[_Row]])="",TRUE()),0,IF(OR(INDEX(tsk_IsLeaf,GanttView[[#This Row],[_Row]])&lt;&gt;1,GanttView[[#This Row],[_IsMilestone]],N(GanttView[[#This Row],[%]])&gt;=1),0,IF(GanttView[[#This Row],[_DoneTo]]&gt;0,GanttView[[#This Row],[_DoneTo]]+1,GanttView[[#This Row],[Forecast Start]])))</f>
        <v>0</v>
      </c>
      <c r="R168" s="127" t="n">
        <f aca="false">IF(GanttView[[#This Row],[_RemFrom]]=0,0,GanttView[[#This Row],[Forecast Finish]])</f>
        <v>0</v>
      </c>
      <c r="S168" s="126" t="b">
        <f aca="false">IF(IFERROR(INDEX(tsk_Name,GanttView[[#This Row],[_Row]])="",TRUE()),FALSE(),N(INDEX(tsk_Variance,GanttView[[#This Row],[_Row]]))&gt;0)</f>
        <v>0</v>
      </c>
      <c r="T168" s="127" t="n">
        <f aca="false">IF(IFERROR(INDEX(tsk_Name,GanttView[[#This Row],[_Row]])="",TRUE()),0,N(INDEX(tsk_Deadline,GanttView[[#This Row],[_Row]])))</f>
        <v>0</v>
      </c>
      <c r="U168" s="126" t="b">
        <f aca="false">IF(IFERROR(INDEX(tsk_Name,GanttView[[#This Row],[_Row]])="",TRUE()),FALSE(),INDEX(tsk_Critical,GanttView[[#This Row],[_Row]])="Yes")</f>
        <v>0</v>
      </c>
    </row>
    <row r="169" customFormat="false" ht="15" hidden="false" customHeight="false" outlineLevel="0" collapsed="false">
      <c r="A169" s="120" t="str">
        <f aca="false">IF(IFERROR(INDEX(tsk_Name,GanttView[[#This Row],[_Row]])="",TRUE()),"",INDEX(tsk_ID,GanttView[[#This Row],[_Row]]))</f>
        <v/>
      </c>
      <c r="B169" s="120" t="str">
        <f aca="false">IF(IFERROR(INDEX(tsk_Name,GanttView[[#This Row],[_Row]])="",TRUE()),"",INDEX(tsk_WBS,GanttView[[#This Row],[_Row]]))</f>
        <v/>
      </c>
      <c r="C169" s="121" t="str">
        <f aca="false">IF(IFERROR(INDEX(tsk_Name,GanttView[[#This Row],[_Row]])="",TRUE()),"",REPT("    ",INDEX(tsk_Level,GanttView[[#This Row],[_Row]])-1)&amp;INDEX(tsk_Name,GanttView[[#This Row],[_Row]]))</f>
        <v/>
      </c>
      <c r="D169" s="120" t="str">
        <f aca="false">IF(IFERROR(INDEX(tsk_Name,GanttView[[#This Row],[_Row]])="",TRUE()),"",IF(INDEX(tsk_IsSummary,GanttView[[#This Row],[_Row]]),NETWORKDAYS.INTL(INDEX(tsk_FcStart,GanttView[[#This Row],[_Row]]),INDEX(tsk_FcFinish,GanttView[[#This Row],[_Row]]),WorkWeek,Holidays),N(INDEX(tsk_Duration,GanttView[[#This Row],[_Row]]))))</f>
        <v/>
      </c>
      <c r="E169" s="122" t="str">
        <f aca="false">IF(IFERROR(INDEX(tsk_Name,GanttView[[#This Row],[_Row]])="",TRUE()),"",INDEX(tsk_PlanStart,GanttView[[#This Row],[_Row]]))</f>
        <v/>
      </c>
      <c r="F169" s="122" t="str">
        <f aca="false">IF(IFERROR(INDEX(tsk_Name,GanttView[[#This Row],[_Row]])="",TRUE()),"",INDEX(tsk_PlanFinish,GanttView[[#This Row],[_Row]]))</f>
        <v/>
      </c>
      <c r="G169" s="122" t="str">
        <f aca="false">IF(IFERROR(INDEX(tsk_Name,GanttView[[#This Row],[_Row]])="",TRUE()),"",INDEX(tsk_FcStart,GanttView[[#This Row],[_Row]]))</f>
        <v/>
      </c>
      <c r="H169" s="122" t="str">
        <f aca="false">IF(IFERROR(INDEX(tsk_Name,GanttView[[#This Row],[_Row]])="",TRUE()),"",INDEX(tsk_FcFinish,GanttView[[#This Row],[_Row]]))</f>
        <v/>
      </c>
      <c r="I169" s="123" t="str">
        <f aca="false">IF(IFERROR(INDEX(tsk_Name,GanttView[[#This Row],[_Row]])="",TRUE()),"",INDEX(tsk_Progress,GanttView[[#This Row],[_Row]]))</f>
        <v/>
      </c>
      <c r="J169" s="121" t="str">
        <f aca="false">IF(IFERROR(INDEX(tsk_Name,GanttView[[#This Row],[_Row]])="",TRUE()),"",INDEX(tsk_Resource,GanttView[[#This Row],[_Row]])&amp;"")</f>
        <v/>
      </c>
      <c r="K169" s="124" t="str">
        <f aca="false">IF(IFERROR(INDEX(tsk_Name,GanttView[[#This Row],[_Row]])="",TRUE()),"",INDEX(tsk_Status,GanttView[[#This Row],[_Row]]))</f>
        <v/>
      </c>
      <c r="L169" s="125" t="n">
        <f aca="false">ROW()-ROW(GanttView[[#Headers],[ID]])</f>
        <v>164</v>
      </c>
      <c r="M169" s="126" t="b">
        <f aca="false">IF(IFERROR(INDEX(tsk_Name,GanttView[[#This Row],[_Row]])="",TRUE()),FALSE(),INDEX(tsk_IsSummary,GanttView[[#This Row],[_Row]]))</f>
        <v>0</v>
      </c>
      <c r="N169" s="126" t="b">
        <f aca="false">IF(IFERROR(INDEX(tsk_Name,GanttView[[#This Row],[_Row]])="",TRUE()),FALSE(),AND(INDEX(tsk_IsLeaf,GanttView[[#This Row],[_Row]])=1,N(INDEX(tsk_Duration,GanttView[[#This Row],[_Row]]))=0))</f>
        <v>0</v>
      </c>
      <c r="O169" s="127" t="n">
        <f aca="false">IF(IFERROR(INDEX(tsk_Name,GanttView[[#This Row],[_Row]])="",TRUE()),0,IF(AND(INDEX(tsk_IsLeaf,GanttView[[#This Row],[_Row]])=1,NOT(GanttView[[#This Row],[_IsMilestone]]),N(GanttView[[#This Row],[%]])&gt;0),GanttView[[#This Row],[Forecast Start]],0))</f>
        <v>0</v>
      </c>
      <c r="P169" s="127" t="n">
        <f aca="false">IF(GanttView[[#This Row],[_DoneFrom]]=0,0,IF(GanttView[[#This Row],[%]]&gt;=1,GanttView[[#This Row],[Forecast Finish]],MAX(GanttView[[#This Row],[_DoneFrom]],GanttView[[#This Row],[Forecast Start]]+ROUND((GanttView[[#This Row],[Forecast Finish]]-GanttView[[#This Row],[Forecast Start]]+1)*GanttView[[#This Row],[%]],0)-1)))</f>
        <v>0</v>
      </c>
      <c r="Q169" s="127" t="n">
        <f aca="false">IF(IFERROR(INDEX(tsk_Name,GanttView[[#This Row],[_Row]])="",TRUE()),0,IF(OR(INDEX(tsk_IsLeaf,GanttView[[#This Row],[_Row]])&lt;&gt;1,GanttView[[#This Row],[_IsMilestone]],N(GanttView[[#This Row],[%]])&gt;=1),0,IF(GanttView[[#This Row],[_DoneTo]]&gt;0,GanttView[[#This Row],[_DoneTo]]+1,GanttView[[#This Row],[Forecast Start]])))</f>
        <v>0</v>
      </c>
      <c r="R169" s="127" t="n">
        <f aca="false">IF(GanttView[[#This Row],[_RemFrom]]=0,0,GanttView[[#This Row],[Forecast Finish]])</f>
        <v>0</v>
      </c>
      <c r="S169" s="126" t="b">
        <f aca="false">IF(IFERROR(INDEX(tsk_Name,GanttView[[#This Row],[_Row]])="",TRUE()),FALSE(),N(INDEX(tsk_Variance,GanttView[[#This Row],[_Row]]))&gt;0)</f>
        <v>0</v>
      </c>
      <c r="T169" s="127" t="n">
        <f aca="false">IF(IFERROR(INDEX(tsk_Name,GanttView[[#This Row],[_Row]])="",TRUE()),0,N(INDEX(tsk_Deadline,GanttView[[#This Row],[_Row]])))</f>
        <v>0</v>
      </c>
      <c r="U169" s="126" t="b">
        <f aca="false">IF(IFERROR(INDEX(tsk_Name,GanttView[[#This Row],[_Row]])="",TRUE()),FALSE(),INDEX(tsk_Critical,GanttView[[#This Row],[_Row]])="Yes")</f>
        <v>0</v>
      </c>
    </row>
    <row r="170" customFormat="false" ht="15" hidden="false" customHeight="false" outlineLevel="0" collapsed="false">
      <c r="A170" s="120" t="str">
        <f aca="false">IF(IFERROR(INDEX(tsk_Name,GanttView[[#This Row],[_Row]])="",TRUE()),"",INDEX(tsk_ID,GanttView[[#This Row],[_Row]]))</f>
        <v/>
      </c>
      <c r="B170" s="120" t="str">
        <f aca="false">IF(IFERROR(INDEX(tsk_Name,GanttView[[#This Row],[_Row]])="",TRUE()),"",INDEX(tsk_WBS,GanttView[[#This Row],[_Row]]))</f>
        <v/>
      </c>
      <c r="C170" s="121" t="str">
        <f aca="false">IF(IFERROR(INDEX(tsk_Name,GanttView[[#This Row],[_Row]])="",TRUE()),"",REPT("    ",INDEX(tsk_Level,GanttView[[#This Row],[_Row]])-1)&amp;INDEX(tsk_Name,GanttView[[#This Row],[_Row]]))</f>
        <v/>
      </c>
      <c r="D170" s="120" t="str">
        <f aca="false">IF(IFERROR(INDEX(tsk_Name,GanttView[[#This Row],[_Row]])="",TRUE()),"",IF(INDEX(tsk_IsSummary,GanttView[[#This Row],[_Row]]),NETWORKDAYS.INTL(INDEX(tsk_FcStart,GanttView[[#This Row],[_Row]]),INDEX(tsk_FcFinish,GanttView[[#This Row],[_Row]]),WorkWeek,Holidays),N(INDEX(tsk_Duration,GanttView[[#This Row],[_Row]]))))</f>
        <v/>
      </c>
      <c r="E170" s="122" t="str">
        <f aca="false">IF(IFERROR(INDEX(tsk_Name,GanttView[[#This Row],[_Row]])="",TRUE()),"",INDEX(tsk_PlanStart,GanttView[[#This Row],[_Row]]))</f>
        <v/>
      </c>
      <c r="F170" s="122" t="str">
        <f aca="false">IF(IFERROR(INDEX(tsk_Name,GanttView[[#This Row],[_Row]])="",TRUE()),"",INDEX(tsk_PlanFinish,GanttView[[#This Row],[_Row]]))</f>
        <v/>
      </c>
      <c r="G170" s="122" t="str">
        <f aca="false">IF(IFERROR(INDEX(tsk_Name,GanttView[[#This Row],[_Row]])="",TRUE()),"",INDEX(tsk_FcStart,GanttView[[#This Row],[_Row]]))</f>
        <v/>
      </c>
      <c r="H170" s="122" t="str">
        <f aca="false">IF(IFERROR(INDEX(tsk_Name,GanttView[[#This Row],[_Row]])="",TRUE()),"",INDEX(tsk_FcFinish,GanttView[[#This Row],[_Row]]))</f>
        <v/>
      </c>
      <c r="I170" s="123" t="str">
        <f aca="false">IF(IFERROR(INDEX(tsk_Name,GanttView[[#This Row],[_Row]])="",TRUE()),"",INDEX(tsk_Progress,GanttView[[#This Row],[_Row]]))</f>
        <v/>
      </c>
      <c r="J170" s="121" t="str">
        <f aca="false">IF(IFERROR(INDEX(tsk_Name,GanttView[[#This Row],[_Row]])="",TRUE()),"",INDEX(tsk_Resource,GanttView[[#This Row],[_Row]])&amp;"")</f>
        <v/>
      </c>
      <c r="K170" s="124" t="str">
        <f aca="false">IF(IFERROR(INDEX(tsk_Name,GanttView[[#This Row],[_Row]])="",TRUE()),"",INDEX(tsk_Status,GanttView[[#This Row],[_Row]]))</f>
        <v/>
      </c>
      <c r="L170" s="125" t="n">
        <f aca="false">ROW()-ROW(GanttView[[#Headers],[ID]])</f>
        <v>165</v>
      </c>
      <c r="M170" s="126" t="b">
        <f aca="false">IF(IFERROR(INDEX(tsk_Name,GanttView[[#This Row],[_Row]])="",TRUE()),FALSE(),INDEX(tsk_IsSummary,GanttView[[#This Row],[_Row]]))</f>
        <v>0</v>
      </c>
      <c r="N170" s="126" t="b">
        <f aca="false">IF(IFERROR(INDEX(tsk_Name,GanttView[[#This Row],[_Row]])="",TRUE()),FALSE(),AND(INDEX(tsk_IsLeaf,GanttView[[#This Row],[_Row]])=1,N(INDEX(tsk_Duration,GanttView[[#This Row],[_Row]]))=0))</f>
        <v>0</v>
      </c>
      <c r="O170" s="127" t="n">
        <f aca="false">IF(IFERROR(INDEX(tsk_Name,GanttView[[#This Row],[_Row]])="",TRUE()),0,IF(AND(INDEX(tsk_IsLeaf,GanttView[[#This Row],[_Row]])=1,NOT(GanttView[[#This Row],[_IsMilestone]]),N(GanttView[[#This Row],[%]])&gt;0),GanttView[[#This Row],[Forecast Start]],0))</f>
        <v>0</v>
      </c>
      <c r="P170" s="127" t="n">
        <f aca="false">IF(GanttView[[#This Row],[_DoneFrom]]=0,0,IF(GanttView[[#This Row],[%]]&gt;=1,GanttView[[#This Row],[Forecast Finish]],MAX(GanttView[[#This Row],[_DoneFrom]],GanttView[[#This Row],[Forecast Start]]+ROUND((GanttView[[#This Row],[Forecast Finish]]-GanttView[[#This Row],[Forecast Start]]+1)*GanttView[[#This Row],[%]],0)-1)))</f>
        <v>0</v>
      </c>
      <c r="Q170" s="127" t="n">
        <f aca="false">IF(IFERROR(INDEX(tsk_Name,GanttView[[#This Row],[_Row]])="",TRUE()),0,IF(OR(INDEX(tsk_IsLeaf,GanttView[[#This Row],[_Row]])&lt;&gt;1,GanttView[[#This Row],[_IsMilestone]],N(GanttView[[#This Row],[%]])&gt;=1),0,IF(GanttView[[#This Row],[_DoneTo]]&gt;0,GanttView[[#This Row],[_DoneTo]]+1,GanttView[[#This Row],[Forecast Start]])))</f>
        <v>0</v>
      </c>
      <c r="R170" s="127" t="n">
        <f aca="false">IF(GanttView[[#This Row],[_RemFrom]]=0,0,GanttView[[#This Row],[Forecast Finish]])</f>
        <v>0</v>
      </c>
      <c r="S170" s="126" t="b">
        <f aca="false">IF(IFERROR(INDEX(tsk_Name,GanttView[[#This Row],[_Row]])="",TRUE()),FALSE(),N(INDEX(tsk_Variance,GanttView[[#This Row],[_Row]]))&gt;0)</f>
        <v>0</v>
      </c>
      <c r="T170" s="127" t="n">
        <f aca="false">IF(IFERROR(INDEX(tsk_Name,GanttView[[#This Row],[_Row]])="",TRUE()),0,N(INDEX(tsk_Deadline,GanttView[[#This Row],[_Row]])))</f>
        <v>0</v>
      </c>
      <c r="U170" s="126" t="b">
        <f aca="false">IF(IFERROR(INDEX(tsk_Name,GanttView[[#This Row],[_Row]])="",TRUE()),FALSE(),INDEX(tsk_Critical,GanttView[[#This Row],[_Row]])="Yes")</f>
        <v>0</v>
      </c>
    </row>
    <row r="171" customFormat="false" ht="15" hidden="false" customHeight="false" outlineLevel="0" collapsed="false">
      <c r="A171" s="120" t="str">
        <f aca="false">IF(IFERROR(INDEX(tsk_Name,GanttView[[#This Row],[_Row]])="",TRUE()),"",INDEX(tsk_ID,GanttView[[#This Row],[_Row]]))</f>
        <v/>
      </c>
      <c r="B171" s="120" t="str">
        <f aca="false">IF(IFERROR(INDEX(tsk_Name,GanttView[[#This Row],[_Row]])="",TRUE()),"",INDEX(tsk_WBS,GanttView[[#This Row],[_Row]]))</f>
        <v/>
      </c>
      <c r="C171" s="121" t="str">
        <f aca="false">IF(IFERROR(INDEX(tsk_Name,GanttView[[#This Row],[_Row]])="",TRUE()),"",REPT("    ",INDEX(tsk_Level,GanttView[[#This Row],[_Row]])-1)&amp;INDEX(tsk_Name,GanttView[[#This Row],[_Row]]))</f>
        <v/>
      </c>
      <c r="D171" s="120" t="str">
        <f aca="false">IF(IFERROR(INDEX(tsk_Name,GanttView[[#This Row],[_Row]])="",TRUE()),"",IF(INDEX(tsk_IsSummary,GanttView[[#This Row],[_Row]]),NETWORKDAYS.INTL(INDEX(tsk_FcStart,GanttView[[#This Row],[_Row]]),INDEX(tsk_FcFinish,GanttView[[#This Row],[_Row]]),WorkWeek,Holidays),N(INDEX(tsk_Duration,GanttView[[#This Row],[_Row]]))))</f>
        <v/>
      </c>
      <c r="E171" s="122" t="str">
        <f aca="false">IF(IFERROR(INDEX(tsk_Name,GanttView[[#This Row],[_Row]])="",TRUE()),"",INDEX(tsk_PlanStart,GanttView[[#This Row],[_Row]]))</f>
        <v/>
      </c>
      <c r="F171" s="122" t="str">
        <f aca="false">IF(IFERROR(INDEX(tsk_Name,GanttView[[#This Row],[_Row]])="",TRUE()),"",INDEX(tsk_PlanFinish,GanttView[[#This Row],[_Row]]))</f>
        <v/>
      </c>
      <c r="G171" s="122" t="str">
        <f aca="false">IF(IFERROR(INDEX(tsk_Name,GanttView[[#This Row],[_Row]])="",TRUE()),"",INDEX(tsk_FcStart,GanttView[[#This Row],[_Row]]))</f>
        <v/>
      </c>
      <c r="H171" s="122" t="str">
        <f aca="false">IF(IFERROR(INDEX(tsk_Name,GanttView[[#This Row],[_Row]])="",TRUE()),"",INDEX(tsk_FcFinish,GanttView[[#This Row],[_Row]]))</f>
        <v/>
      </c>
      <c r="I171" s="123" t="str">
        <f aca="false">IF(IFERROR(INDEX(tsk_Name,GanttView[[#This Row],[_Row]])="",TRUE()),"",INDEX(tsk_Progress,GanttView[[#This Row],[_Row]]))</f>
        <v/>
      </c>
      <c r="J171" s="121" t="str">
        <f aca="false">IF(IFERROR(INDEX(tsk_Name,GanttView[[#This Row],[_Row]])="",TRUE()),"",INDEX(tsk_Resource,GanttView[[#This Row],[_Row]])&amp;"")</f>
        <v/>
      </c>
      <c r="K171" s="124" t="str">
        <f aca="false">IF(IFERROR(INDEX(tsk_Name,GanttView[[#This Row],[_Row]])="",TRUE()),"",INDEX(tsk_Status,GanttView[[#This Row],[_Row]]))</f>
        <v/>
      </c>
      <c r="L171" s="125" t="n">
        <f aca="false">ROW()-ROW(GanttView[[#Headers],[ID]])</f>
        <v>166</v>
      </c>
      <c r="M171" s="126" t="b">
        <f aca="false">IF(IFERROR(INDEX(tsk_Name,GanttView[[#This Row],[_Row]])="",TRUE()),FALSE(),INDEX(tsk_IsSummary,GanttView[[#This Row],[_Row]]))</f>
        <v>0</v>
      </c>
      <c r="N171" s="126" t="b">
        <f aca="false">IF(IFERROR(INDEX(tsk_Name,GanttView[[#This Row],[_Row]])="",TRUE()),FALSE(),AND(INDEX(tsk_IsLeaf,GanttView[[#This Row],[_Row]])=1,N(INDEX(tsk_Duration,GanttView[[#This Row],[_Row]]))=0))</f>
        <v>0</v>
      </c>
      <c r="O171" s="127" t="n">
        <f aca="false">IF(IFERROR(INDEX(tsk_Name,GanttView[[#This Row],[_Row]])="",TRUE()),0,IF(AND(INDEX(tsk_IsLeaf,GanttView[[#This Row],[_Row]])=1,NOT(GanttView[[#This Row],[_IsMilestone]]),N(GanttView[[#This Row],[%]])&gt;0),GanttView[[#This Row],[Forecast Start]],0))</f>
        <v>0</v>
      </c>
      <c r="P171" s="127" t="n">
        <f aca="false">IF(GanttView[[#This Row],[_DoneFrom]]=0,0,IF(GanttView[[#This Row],[%]]&gt;=1,GanttView[[#This Row],[Forecast Finish]],MAX(GanttView[[#This Row],[_DoneFrom]],GanttView[[#This Row],[Forecast Start]]+ROUND((GanttView[[#This Row],[Forecast Finish]]-GanttView[[#This Row],[Forecast Start]]+1)*GanttView[[#This Row],[%]],0)-1)))</f>
        <v>0</v>
      </c>
      <c r="Q171" s="127" t="n">
        <f aca="false">IF(IFERROR(INDEX(tsk_Name,GanttView[[#This Row],[_Row]])="",TRUE()),0,IF(OR(INDEX(tsk_IsLeaf,GanttView[[#This Row],[_Row]])&lt;&gt;1,GanttView[[#This Row],[_IsMilestone]],N(GanttView[[#This Row],[%]])&gt;=1),0,IF(GanttView[[#This Row],[_DoneTo]]&gt;0,GanttView[[#This Row],[_DoneTo]]+1,GanttView[[#This Row],[Forecast Start]])))</f>
        <v>0</v>
      </c>
      <c r="R171" s="127" t="n">
        <f aca="false">IF(GanttView[[#This Row],[_RemFrom]]=0,0,GanttView[[#This Row],[Forecast Finish]])</f>
        <v>0</v>
      </c>
      <c r="S171" s="126" t="b">
        <f aca="false">IF(IFERROR(INDEX(tsk_Name,GanttView[[#This Row],[_Row]])="",TRUE()),FALSE(),N(INDEX(tsk_Variance,GanttView[[#This Row],[_Row]]))&gt;0)</f>
        <v>0</v>
      </c>
      <c r="T171" s="127" t="n">
        <f aca="false">IF(IFERROR(INDEX(tsk_Name,GanttView[[#This Row],[_Row]])="",TRUE()),0,N(INDEX(tsk_Deadline,GanttView[[#This Row],[_Row]])))</f>
        <v>0</v>
      </c>
      <c r="U171" s="126" t="b">
        <f aca="false">IF(IFERROR(INDEX(tsk_Name,GanttView[[#This Row],[_Row]])="",TRUE()),FALSE(),INDEX(tsk_Critical,GanttView[[#This Row],[_Row]])="Yes")</f>
        <v>0</v>
      </c>
    </row>
    <row r="172" customFormat="false" ht="15" hidden="false" customHeight="false" outlineLevel="0" collapsed="false">
      <c r="A172" s="120" t="str">
        <f aca="false">IF(IFERROR(INDEX(tsk_Name,GanttView[[#This Row],[_Row]])="",TRUE()),"",INDEX(tsk_ID,GanttView[[#This Row],[_Row]]))</f>
        <v/>
      </c>
      <c r="B172" s="120" t="str">
        <f aca="false">IF(IFERROR(INDEX(tsk_Name,GanttView[[#This Row],[_Row]])="",TRUE()),"",INDEX(tsk_WBS,GanttView[[#This Row],[_Row]]))</f>
        <v/>
      </c>
      <c r="C172" s="121" t="str">
        <f aca="false">IF(IFERROR(INDEX(tsk_Name,GanttView[[#This Row],[_Row]])="",TRUE()),"",REPT("    ",INDEX(tsk_Level,GanttView[[#This Row],[_Row]])-1)&amp;INDEX(tsk_Name,GanttView[[#This Row],[_Row]]))</f>
        <v/>
      </c>
      <c r="D172" s="120" t="str">
        <f aca="false">IF(IFERROR(INDEX(tsk_Name,GanttView[[#This Row],[_Row]])="",TRUE()),"",IF(INDEX(tsk_IsSummary,GanttView[[#This Row],[_Row]]),NETWORKDAYS.INTL(INDEX(tsk_FcStart,GanttView[[#This Row],[_Row]]),INDEX(tsk_FcFinish,GanttView[[#This Row],[_Row]]),WorkWeek,Holidays),N(INDEX(tsk_Duration,GanttView[[#This Row],[_Row]]))))</f>
        <v/>
      </c>
      <c r="E172" s="122" t="str">
        <f aca="false">IF(IFERROR(INDEX(tsk_Name,GanttView[[#This Row],[_Row]])="",TRUE()),"",INDEX(tsk_PlanStart,GanttView[[#This Row],[_Row]]))</f>
        <v/>
      </c>
      <c r="F172" s="122" t="str">
        <f aca="false">IF(IFERROR(INDEX(tsk_Name,GanttView[[#This Row],[_Row]])="",TRUE()),"",INDEX(tsk_PlanFinish,GanttView[[#This Row],[_Row]]))</f>
        <v/>
      </c>
      <c r="G172" s="122" t="str">
        <f aca="false">IF(IFERROR(INDEX(tsk_Name,GanttView[[#This Row],[_Row]])="",TRUE()),"",INDEX(tsk_FcStart,GanttView[[#This Row],[_Row]]))</f>
        <v/>
      </c>
      <c r="H172" s="122" t="str">
        <f aca="false">IF(IFERROR(INDEX(tsk_Name,GanttView[[#This Row],[_Row]])="",TRUE()),"",INDEX(tsk_FcFinish,GanttView[[#This Row],[_Row]]))</f>
        <v/>
      </c>
      <c r="I172" s="123" t="str">
        <f aca="false">IF(IFERROR(INDEX(tsk_Name,GanttView[[#This Row],[_Row]])="",TRUE()),"",INDEX(tsk_Progress,GanttView[[#This Row],[_Row]]))</f>
        <v/>
      </c>
      <c r="J172" s="121" t="str">
        <f aca="false">IF(IFERROR(INDEX(tsk_Name,GanttView[[#This Row],[_Row]])="",TRUE()),"",INDEX(tsk_Resource,GanttView[[#This Row],[_Row]])&amp;"")</f>
        <v/>
      </c>
      <c r="K172" s="124" t="str">
        <f aca="false">IF(IFERROR(INDEX(tsk_Name,GanttView[[#This Row],[_Row]])="",TRUE()),"",INDEX(tsk_Status,GanttView[[#This Row],[_Row]]))</f>
        <v/>
      </c>
      <c r="L172" s="125" t="n">
        <f aca="false">ROW()-ROW(GanttView[[#Headers],[ID]])</f>
        <v>167</v>
      </c>
      <c r="M172" s="126" t="b">
        <f aca="false">IF(IFERROR(INDEX(tsk_Name,GanttView[[#This Row],[_Row]])="",TRUE()),FALSE(),INDEX(tsk_IsSummary,GanttView[[#This Row],[_Row]]))</f>
        <v>0</v>
      </c>
      <c r="N172" s="126" t="b">
        <f aca="false">IF(IFERROR(INDEX(tsk_Name,GanttView[[#This Row],[_Row]])="",TRUE()),FALSE(),AND(INDEX(tsk_IsLeaf,GanttView[[#This Row],[_Row]])=1,N(INDEX(tsk_Duration,GanttView[[#This Row],[_Row]]))=0))</f>
        <v>0</v>
      </c>
      <c r="O172" s="127" t="n">
        <f aca="false">IF(IFERROR(INDEX(tsk_Name,GanttView[[#This Row],[_Row]])="",TRUE()),0,IF(AND(INDEX(tsk_IsLeaf,GanttView[[#This Row],[_Row]])=1,NOT(GanttView[[#This Row],[_IsMilestone]]),N(GanttView[[#This Row],[%]])&gt;0),GanttView[[#This Row],[Forecast Start]],0))</f>
        <v>0</v>
      </c>
      <c r="P172" s="127" t="n">
        <f aca="false">IF(GanttView[[#This Row],[_DoneFrom]]=0,0,IF(GanttView[[#This Row],[%]]&gt;=1,GanttView[[#This Row],[Forecast Finish]],MAX(GanttView[[#This Row],[_DoneFrom]],GanttView[[#This Row],[Forecast Start]]+ROUND((GanttView[[#This Row],[Forecast Finish]]-GanttView[[#This Row],[Forecast Start]]+1)*GanttView[[#This Row],[%]],0)-1)))</f>
        <v>0</v>
      </c>
      <c r="Q172" s="127" t="n">
        <f aca="false">IF(IFERROR(INDEX(tsk_Name,GanttView[[#This Row],[_Row]])="",TRUE()),0,IF(OR(INDEX(tsk_IsLeaf,GanttView[[#This Row],[_Row]])&lt;&gt;1,GanttView[[#This Row],[_IsMilestone]],N(GanttView[[#This Row],[%]])&gt;=1),0,IF(GanttView[[#This Row],[_DoneTo]]&gt;0,GanttView[[#This Row],[_DoneTo]]+1,GanttView[[#This Row],[Forecast Start]])))</f>
        <v>0</v>
      </c>
      <c r="R172" s="127" t="n">
        <f aca="false">IF(GanttView[[#This Row],[_RemFrom]]=0,0,GanttView[[#This Row],[Forecast Finish]])</f>
        <v>0</v>
      </c>
      <c r="S172" s="126" t="b">
        <f aca="false">IF(IFERROR(INDEX(tsk_Name,GanttView[[#This Row],[_Row]])="",TRUE()),FALSE(),N(INDEX(tsk_Variance,GanttView[[#This Row],[_Row]]))&gt;0)</f>
        <v>0</v>
      </c>
      <c r="T172" s="127" t="n">
        <f aca="false">IF(IFERROR(INDEX(tsk_Name,GanttView[[#This Row],[_Row]])="",TRUE()),0,N(INDEX(tsk_Deadline,GanttView[[#This Row],[_Row]])))</f>
        <v>0</v>
      </c>
      <c r="U172" s="126" t="b">
        <f aca="false">IF(IFERROR(INDEX(tsk_Name,GanttView[[#This Row],[_Row]])="",TRUE()),FALSE(),INDEX(tsk_Critical,GanttView[[#This Row],[_Row]])="Yes")</f>
        <v>0</v>
      </c>
    </row>
    <row r="173" customFormat="false" ht="15" hidden="false" customHeight="false" outlineLevel="0" collapsed="false">
      <c r="A173" s="120" t="str">
        <f aca="false">IF(IFERROR(INDEX(tsk_Name,GanttView[[#This Row],[_Row]])="",TRUE()),"",INDEX(tsk_ID,GanttView[[#This Row],[_Row]]))</f>
        <v/>
      </c>
      <c r="B173" s="120" t="str">
        <f aca="false">IF(IFERROR(INDEX(tsk_Name,GanttView[[#This Row],[_Row]])="",TRUE()),"",INDEX(tsk_WBS,GanttView[[#This Row],[_Row]]))</f>
        <v/>
      </c>
      <c r="C173" s="121" t="str">
        <f aca="false">IF(IFERROR(INDEX(tsk_Name,GanttView[[#This Row],[_Row]])="",TRUE()),"",REPT("    ",INDEX(tsk_Level,GanttView[[#This Row],[_Row]])-1)&amp;INDEX(tsk_Name,GanttView[[#This Row],[_Row]]))</f>
        <v/>
      </c>
      <c r="D173" s="120" t="str">
        <f aca="false">IF(IFERROR(INDEX(tsk_Name,GanttView[[#This Row],[_Row]])="",TRUE()),"",IF(INDEX(tsk_IsSummary,GanttView[[#This Row],[_Row]]),NETWORKDAYS.INTL(INDEX(tsk_FcStart,GanttView[[#This Row],[_Row]]),INDEX(tsk_FcFinish,GanttView[[#This Row],[_Row]]),WorkWeek,Holidays),N(INDEX(tsk_Duration,GanttView[[#This Row],[_Row]]))))</f>
        <v/>
      </c>
      <c r="E173" s="122" t="str">
        <f aca="false">IF(IFERROR(INDEX(tsk_Name,GanttView[[#This Row],[_Row]])="",TRUE()),"",INDEX(tsk_PlanStart,GanttView[[#This Row],[_Row]]))</f>
        <v/>
      </c>
      <c r="F173" s="122" t="str">
        <f aca="false">IF(IFERROR(INDEX(tsk_Name,GanttView[[#This Row],[_Row]])="",TRUE()),"",INDEX(tsk_PlanFinish,GanttView[[#This Row],[_Row]]))</f>
        <v/>
      </c>
      <c r="G173" s="122" t="str">
        <f aca="false">IF(IFERROR(INDEX(tsk_Name,GanttView[[#This Row],[_Row]])="",TRUE()),"",INDEX(tsk_FcStart,GanttView[[#This Row],[_Row]]))</f>
        <v/>
      </c>
      <c r="H173" s="122" t="str">
        <f aca="false">IF(IFERROR(INDEX(tsk_Name,GanttView[[#This Row],[_Row]])="",TRUE()),"",INDEX(tsk_FcFinish,GanttView[[#This Row],[_Row]]))</f>
        <v/>
      </c>
      <c r="I173" s="123" t="str">
        <f aca="false">IF(IFERROR(INDEX(tsk_Name,GanttView[[#This Row],[_Row]])="",TRUE()),"",INDEX(tsk_Progress,GanttView[[#This Row],[_Row]]))</f>
        <v/>
      </c>
      <c r="J173" s="121" t="str">
        <f aca="false">IF(IFERROR(INDEX(tsk_Name,GanttView[[#This Row],[_Row]])="",TRUE()),"",INDEX(tsk_Resource,GanttView[[#This Row],[_Row]])&amp;"")</f>
        <v/>
      </c>
      <c r="K173" s="124" t="str">
        <f aca="false">IF(IFERROR(INDEX(tsk_Name,GanttView[[#This Row],[_Row]])="",TRUE()),"",INDEX(tsk_Status,GanttView[[#This Row],[_Row]]))</f>
        <v/>
      </c>
      <c r="L173" s="125" t="n">
        <f aca="false">ROW()-ROW(GanttView[[#Headers],[ID]])</f>
        <v>168</v>
      </c>
      <c r="M173" s="126" t="b">
        <f aca="false">IF(IFERROR(INDEX(tsk_Name,GanttView[[#This Row],[_Row]])="",TRUE()),FALSE(),INDEX(tsk_IsSummary,GanttView[[#This Row],[_Row]]))</f>
        <v>0</v>
      </c>
      <c r="N173" s="126" t="b">
        <f aca="false">IF(IFERROR(INDEX(tsk_Name,GanttView[[#This Row],[_Row]])="",TRUE()),FALSE(),AND(INDEX(tsk_IsLeaf,GanttView[[#This Row],[_Row]])=1,N(INDEX(tsk_Duration,GanttView[[#This Row],[_Row]]))=0))</f>
        <v>0</v>
      </c>
      <c r="O173" s="127" t="n">
        <f aca="false">IF(IFERROR(INDEX(tsk_Name,GanttView[[#This Row],[_Row]])="",TRUE()),0,IF(AND(INDEX(tsk_IsLeaf,GanttView[[#This Row],[_Row]])=1,NOT(GanttView[[#This Row],[_IsMilestone]]),N(GanttView[[#This Row],[%]])&gt;0),GanttView[[#This Row],[Forecast Start]],0))</f>
        <v>0</v>
      </c>
      <c r="P173" s="127" t="n">
        <f aca="false">IF(GanttView[[#This Row],[_DoneFrom]]=0,0,IF(GanttView[[#This Row],[%]]&gt;=1,GanttView[[#This Row],[Forecast Finish]],MAX(GanttView[[#This Row],[_DoneFrom]],GanttView[[#This Row],[Forecast Start]]+ROUND((GanttView[[#This Row],[Forecast Finish]]-GanttView[[#This Row],[Forecast Start]]+1)*GanttView[[#This Row],[%]],0)-1)))</f>
        <v>0</v>
      </c>
      <c r="Q173" s="127" t="n">
        <f aca="false">IF(IFERROR(INDEX(tsk_Name,GanttView[[#This Row],[_Row]])="",TRUE()),0,IF(OR(INDEX(tsk_IsLeaf,GanttView[[#This Row],[_Row]])&lt;&gt;1,GanttView[[#This Row],[_IsMilestone]],N(GanttView[[#This Row],[%]])&gt;=1),0,IF(GanttView[[#This Row],[_DoneTo]]&gt;0,GanttView[[#This Row],[_DoneTo]]+1,GanttView[[#This Row],[Forecast Start]])))</f>
        <v>0</v>
      </c>
      <c r="R173" s="127" t="n">
        <f aca="false">IF(GanttView[[#This Row],[_RemFrom]]=0,0,GanttView[[#This Row],[Forecast Finish]])</f>
        <v>0</v>
      </c>
      <c r="S173" s="126" t="b">
        <f aca="false">IF(IFERROR(INDEX(tsk_Name,GanttView[[#This Row],[_Row]])="",TRUE()),FALSE(),N(INDEX(tsk_Variance,GanttView[[#This Row],[_Row]]))&gt;0)</f>
        <v>0</v>
      </c>
      <c r="T173" s="127" t="n">
        <f aca="false">IF(IFERROR(INDEX(tsk_Name,GanttView[[#This Row],[_Row]])="",TRUE()),0,N(INDEX(tsk_Deadline,GanttView[[#This Row],[_Row]])))</f>
        <v>0</v>
      </c>
      <c r="U173" s="126" t="b">
        <f aca="false">IF(IFERROR(INDEX(tsk_Name,GanttView[[#This Row],[_Row]])="",TRUE()),FALSE(),INDEX(tsk_Critical,GanttView[[#This Row],[_Row]])="Yes")</f>
        <v>0</v>
      </c>
    </row>
    <row r="174" customFormat="false" ht="15" hidden="false" customHeight="false" outlineLevel="0" collapsed="false">
      <c r="A174" s="120" t="str">
        <f aca="false">IF(IFERROR(INDEX(tsk_Name,GanttView[[#This Row],[_Row]])="",TRUE()),"",INDEX(tsk_ID,GanttView[[#This Row],[_Row]]))</f>
        <v/>
      </c>
      <c r="B174" s="120" t="str">
        <f aca="false">IF(IFERROR(INDEX(tsk_Name,GanttView[[#This Row],[_Row]])="",TRUE()),"",INDEX(tsk_WBS,GanttView[[#This Row],[_Row]]))</f>
        <v/>
      </c>
      <c r="C174" s="121" t="str">
        <f aca="false">IF(IFERROR(INDEX(tsk_Name,GanttView[[#This Row],[_Row]])="",TRUE()),"",REPT("    ",INDEX(tsk_Level,GanttView[[#This Row],[_Row]])-1)&amp;INDEX(tsk_Name,GanttView[[#This Row],[_Row]]))</f>
        <v/>
      </c>
      <c r="D174" s="120" t="str">
        <f aca="false">IF(IFERROR(INDEX(tsk_Name,GanttView[[#This Row],[_Row]])="",TRUE()),"",IF(INDEX(tsk_IsSummary,GanttView[[#This Row],[_Row]]),NETWORKDAYS.INTL(INDEX(tsk_FcStart,GanttView[[#This Row],[_Row]]),INDEX(tsk_FcFinish,GanttView[[#This Row],[_Row]]),WorkWeek,Holidays),N(INDEX(tsk_Duration,GanttView[[#This Row],[_Row]]))))</f>
        <v/>
      </c>
      <c r="E174" s="122" t="str">
        <f aca="false">IF(IFERROR(INDEX(tsk_Name,GanttView[[#This Row],[_Row]])="",TRUE()),"",INDEX(tsk_PlanStart,GanttView[[#This Row],[_Row]]))</f>
        <v/>
      </c>
      <c r="F174" s="122" t="str">
        <f aca="false">IF(IFERROR(INDEX(tsk_Name,GanttView[[#This Row],[_Row]])="",TRUE()),"",INDEX(tsk_PlanFinish,GanttView[[#This Row],[_Row]]))</f>
        <v/>
      </c>
      <c r="G174" s="122" t="str">
        <f aca="false">IF(IFERROR(INDEX(tsk_Name,GanttView[[#This Row],[_Row]])="",TRUE()),"",INDEX(tsk_FcStart,GanttView[[#This Row],[_Row]]))</f>
        <v/>
      </c>
      <c r="H174" s="122" t="str">
        <f aca="false">IF(IFERROR(INDEX(tsk_Name,GanttView[[#This Row],[_Row]])="",TRUE()),"",INDEX(tsk_FcFinish,GanttView[[#This Row],[_Row]]))</f>
        <v/>
      </c>
      <c r="I174" s="123" t="str">
        <f aca="false">IF(IFERROR(INDEX(tsk_Name,GanttView[[#This Row],[_Row]])="",TRUE()),"",INDEX(tsk_Progress,GanttView[[#This Row],[_Row]]))</f>
        <v/>
      </c>
      <c r="J174" s="121" t="str">
        <f aca="false">IF(IFERROR(INDEX(tsk_Name,GanttView[[#This Row],[_Row]])="",TRUE()),"",INDEX(tsk_Resource,GanttView[[#This Row],[_Row]])&amp;"")</f>
        <v/>
      </c>
      <c r="K174" s="124" t="str">
        <f aca="false">IF(IFERROR(INDEX(tsk_Name,GanttView[[#This Row],[_Row]])="",TRUE()),"",INDEX(tsk_Status,GanttView[[#This Row],[_Row]]))</f>
        <v/>
      </c>
      <c r="L174" s="125" t="n">
        <f aca="false">ROW()-ROW(GanttView[[#Headers],[ID]])</f>
        <v>169</v>
      </c>
      <c r="M174" s="126" t="b">
        <f aca="false">IF(IFERROR(INDEX(tsk_Name,GanttView[[#This Row],[_Row]])="",TRUE()),FALSE(),INDEX(tsk_IsSummary,GanttView[[#This Row],[_Row]]))</f>
        <v>0</v>
      </c>
      <c r="N174" s="126" t="b">
        <f aca="false">IF(IFERROR(INDEX(tsk_Name,GanttView[[#This Row],[_Row]])="",TRUE()),FALSE(),AND(INDEX(tsk_IsLeaf,GanttView[[#This Row],[_Row]])=1,N(INDEX(tsk_Duration,GanttView[[#This Row],[_Row]]))=0))</f>
        <v>0</v>
      </c>
      <c r="O174" s="127" t="n">
        <f aca="false">IF(IFERROR(INDEX(tsk_Name,GanttView[[#This Row],[_Row]])="",TRUE()),0,IF(AND(INDEX(tsk_IsLeaf,GanttView[[#This Row],[_Row]])=1,NOT(GanttView[[#This Row],[_IsMilestone]]),N(GanttView[[#This Row],[%]])&gt;0),GanttView[[#This Row],[Forecast Start]],0))</f>
        <v>0</v>
      </c>
      <c r="P174" s="127" t="n">
        <f aca="false">IF(GanttView[[#This Row],[_DoneFrom]]=0,0,IF(GanttView[[#This Row],[%]]&gt;=1,GanttView[[#This Row],[Forecast Finish]],MAX(GanttView[[#This Row],[_DoneFrom]],GanttView[[#This Row],[Forecast Start]]+ROUND((GanttView[[#This Row],[Forecast Finish]]-GanttView[[#This Row],[Forecast Start]]+1)*GanttView[[#This Row],[%]],0)-1)))</f>
        <v>0</v>
      </c>
      <c r="Q174" s="127" t="n">
        <f aca="false">IF(IFERROR(INDEX(tsk_Name,GanttView[[#This Row],[_Row]])="",TRUE()),0,IF(OR(INDEX(tsk_IsLeaf,GanttView[[#This Row],[_Row]])&lt;&gt;1,GanttView[[#This Row],[_IsMilestone]],N(GanttView[[#This Row],[%]])&gt;=1),0,IF(GanttView[[#This Row],[_DoneTo]]&gt;0,GanttView[[#This Row],[_DoneTo]]+1,GanttView[[#This Row],[Forecast Start]])))</f>
        <v>0</v>
      </c>
      <c r="R174" s="127" t="n">
        <f aca="false">IF(GanttView[[#This Row],[_RemFrom]]=0,0,GanttView[[#This Row],[Forecast Finish]])</f>
        <v>0</v>
      </c>
      <c r="S174" s="126" t="b">
        <f aca="false">IF(IFERROR(INDEX(tsk_Name,GanttView[[#This Row],[_Row]])="",TRUE()),FALSE(),N(INDEX(tsk_Variance,GanttView[[#This Row],[_Row]]))&gt;0)</f>
        <v>0</v>
      </c>
      <c r="T174" s="127" t="n">
        <f aca="false">IF(IFERROR(INDEX(tsk_Name,GanttView[[#This Row],[_Row]])="",TRUE()),0,N(INDEX(tsk_Deadline,GanttView[[#This Row],[_Row]])))</f>
        <v>0</v>
      </c>
      <c r="U174" s="126" t="b">
        <f aca="false">IF(IFERROR(INDEX(tsk_Name,GanttView[[#This Row],[_Row]])="",TRUE()),FALSE(),INDEX(tsk_Critical,GanttView[[#This Row],[_Row]])="Yes")</f>
        <v>0</v>
      </c>
    </row>
    <row r="175" customFormat="false" ht="15" hidden="false" customHeight="false" outlineLevel="0" collapsed="false">
      <c r="A175" s="120" t="str">
        <f aca="false">IF(IFERROR(INDEX(tsk_Name,GanttView[[#This Row],[_Row]])="",TRUE()),"",INDEX(tsk_ID,GanttView[[#This Row],[_Row]]))</f>
        <v/>
      </c>
      <c r="B175" s="120" t="str">
        <f aca="false">IF(IFERROR(INDEX(tsk_Name,GanttView[[#This Row],[_Row]])="",TRUE()),"",INDEX(tsk_WBS,GanttView[[#This Row],[_Row]]))</f>
        <v/>
      </c>
      <c r="C175" s="121" t="str">
        <f aca="false">IF(IFERROR(INDEX(tsk_Name,GanttView[[#This Row],[_Row]])="",TRUE()),"",REPT("    ",INDEX(tsk_Level,GanttView[[#This Row],[_Row]])-1)&amp;INDEX(tsk_Name,GanttView[[#This Row],[_Row]]))</f>
        <v/>
      </c>
      <c r="D175" s="120" t="str">
        <f aca="false">IF(IFERROR(INDEX(tsk_Name,GanttView[[#This Row],[_Row]])="",TRUE()),"",IF(INDEX(tsk_IsSummary,GanttView[[#This Row],[_Row]]),NETWORKDAYS.INTL(INDEX(tsk_FcStart,GanttView[[#This Row],[_Row]]),INDEX(tsk_FcFinish,GanttView[[#This Row],[_Row]]),WorkWeek,Holidays),N(INDEX(tsk_Duration,GanttView[[#This Row],[_Row]]))))</f>
        <v/>
      </c>
      <c r="E175" s="122" t="str">
        <f aca="false">IF(IFERROR(INDEX(tsk_Name,GanttView[[#This Row],[_Row]])="",TRUE()),"",INDEX(tsk_PlanStart,GanttView[[#This Row],[_Row]]))</f>
        <v/>
      </c>
      <c r="F175" s="122" t="str">
        <f aca="false">IF(IFERROR(INDEX(tsk_Name,GanttView[[#This Row],[_Row]])="",TRUE()),"",INDEX(tsk_PlanFinish,GanttView[[#This Row],[_Row]]))</f>
        <v/>
      </c>
      <c r="G175" s="122" t="str">
        <f aca="false">IF(IFERROR(INDEX(tsk_Name,GanttView[[#This Row],[_Row]])="",TRUE()),"",INDEX(tsk_FcStart,GanttView[[#This Row],[_Row]]))</f>
        <v/>
      </c>
      <c r="H175" s="122" t="str">
        <f aca="false">IF(IFERROR(INDEX(tsk_Name,GanttView[[#This Row],[_Row]])="",TRUE()),"",INDEX(tsk_FcFinish,GanttView[[#This Row],[_Row]]))</f>
        <v/>
      </c>
      <c r="I175" s="123" t="str">
        <f aca="false">IF(IFERROR(INDEX(tsk_Name,GanttView[[#This Row],[_Row]])="",TRUE()),"",INDEX(tsk_Progress,GanttView[[#This Row],[_Row]]))</f>
        <v/>
      </c>
      <c r="J175" s="121" t="str">
        <f aca="false">IF(IFERROR(INDEX(tsk_Name,GanttView[[#This Row],[_Row]])="",TRUE()),"",INDEX(tsk_Resource,GanttView[[#This Row],[_Row]])&amp;"")</f>
        <v/>
      </c>
      <c r="K175" s="124" t="str">
        <f aca="false">IF(IFERROR(INDEX(tsk_Name,GanttView[[#This Row],[_Row]])="",TRUE()),"",INDEX(tsk_Status,GanttView[[#This Row],[_Row]]))</f>
        <v/>
      </c>
      <c r="L175" s="125" t="n">
        <f aca="false">ROW()-ROW(GanttView[[#Headers],[ID]])</f>
        <v>170</v>
      </c>
      <c r="M175" s="126" t="b">
        <f aca="false">IF(IFERROR(INDEX(tsk_Name,GanttView[[#This Row],[_Row]])="",TRUE()),FALSE(),INDEX(tsk_IsSummary,GanttView[[#This Row],[_Row]]))</f>
        <v>0</v>
      </c>
      <c r="N175" s="126" t="b">
        <f aca="false">IF(IFERROR(INDEX(tsk_Name,GanttView[[#This Row],[_Row]])="",TRUE()),FALSE(),AND(INDEX(tsk_IsLeaf,GanttView[[#This Row],[_Row]])=1,N(INDEX(tsk_Duration,GanttView[[#This Row],[_Row]]))=0))</f>
        <v>0</v>
      </c>
      <c r="O175" s="127" t="n">
        <f aca="false">IF(IFERROR(INDEX(tsk_Name,GanttView[[#This Row],[_Row]])="",TRUE()),0,IF(AND(INDEX(tsk_IsLeaf,GanttView[[#This Row],[_Row]])=1,NOT(GanttView[[#This Row],[_IsMilestone]]),N(GanttView[[#This Row],[%]])&gt;0),GanttView[[#This Row],[Forecast Start]],0))</f>
        <v>0</v>
      </c>
      <c r="P175" s="127" t="n">
        <f aca="false">IF(GanttView[[#This Row],[_DoneFrom]]=0,0,IF(GanttView[[#This Row],[%]]&gt;=1,GanttView[[#This Row],[Forecast Finish]],MAX(GanttView[[#This Row],[_DoneFrom]],GanttView[[#This Row],[Forecast Start]]+ROUND((GanttView[[#This Row],[Forecast Finish]]-GanttView[[#This Row],[Forecast Start]]+1)*GanttView[[#This Row],[%]],0)-1)))</f>
        <v>0</v>
      </c>
      <c r="Q175" s="127" t="n">
        <f aca="false">IF(IFERROR(INDEX(tsk_Name,GanttView[[#This Row],[_Row]])="",TRUE()),0,IF(OR(INDEX(tsk_IsLeaf,GanttView[[#This Row],[_Row]])&lt;&gt;1,GanttView[[#This Row],[_IsMilestone]],N(GanttView[[#This Row],[%]])&gt;=1),0,IF(GanttView[[#This Row],[_DoneTo]]&gt;0,GanttView[[#This Row],[_DoneTo]]+1,GanttView[[#This Row],[Forecast Start]])))</f>
        <v>0</v>
      </c>
      <c r="R175" s="127" t="n">
        <f aca="false">IF(GanttView[[#This Row],[_RemFrom]]=0,0,GanttView[[#This Row],[Forecast Finish]])</f>
        <v>0</v>
      </c>
      <c r="S175" s="126" t="b">
        <f aca="false">IF(IFERROR(INDEX(tsk_Name,GanttView[[#This Row],[_Row]])="",TRUE()),FALSE(),N(INDEX(tsk_Variance,GanttView[[#This Row],[_Row]]))&gt;0)</f>
        <v>0</v>
      </c>
      <c r="T175" s="127" t="n">
        <f aca="false">IF(IFERROR(INDEX(tsk_Name,GanttView[[#This Row],[_Row]])="",TRUE()),0,N(INDEX(tsk_Deadline,GanttView[[#This Row],[_Row]])))</f>
        <v>0</v>
      </c>
      <c r="U175" s="126" t="b">
        <f aca="false">IF(IFERROR(INDEX(tsk_Name,GanttView[[#This Row],[_Row]])="",TRUE()),FALSE(),INDEX(tsk_Critical,GanttView[[#This Row],[_Row]])="Yes")</f>
        <v>0</v>
      </c>
    </row>
    <row r="176" customFormat="false" ht="15" hidden="false" customHeight="false" outlineLevel="0" collapsed="false">
      <c r="A176" s="120" t="str">
        <f aca="false">IF(IFERROR(INDEX(tsk_Name,GanttView[[#This Row],[_Row]])="",TRUE()),"",INDEX(tsk_ID,GanttView[[#This Row],[_Row]]))</f>
        <v/>
      </c>
      <c r="B176" s="120" t="str">
        <f aca="false">IF(IFERROR(INDEX(tsk_Name,GanttView[[#This Row],[_Row]])="",TRUE()),"",INDEX(tsk_WBS,GanttView[[#This Row],[_Row]]))</f>
        <v/>
      </c>
      <c r="C176" s="121" t="str">
        <f aca="false">IF(IFERROR(INDEX(tsk_Name,GanttView[[#This Row],[_Row]])="",TRUE()),"",REPT("    ",INDEX(tsk_Level,GanttView[[#This Row],[_Row]])-1)&amp;INDEX(tsk_Name,GanttView[[#This Row],[_Row]]))</f>
        <v/>
      </c>
      <c r="D176" s="120" t="str">
        <f aca="false">IF(IFERROR(INDEX(tsk_Name,GanttView[[#This Row],[_Row]])="",TRUE()),"",IF(INDEX(tsk_IsSummary,GanttView[[#This Row],[_Row]]),NETWORKDAYS.INTL(INDEX(tsk_FcStart,GanttView[[#This Row],[_Row]]),INDEX(tsk_FcFinish,GanttView[[#This Row],[_Row]]),WorkWeek,Holidays),N(INDEX(tsk_Duration,GanttView[[#This Row],[_Row]]))))</f>
        <v/>
      </c>
      <c r="E176" s="122" t="str">
        <f aca="false">IF(IFERROR(INDEX(tsk_Name,GanttView[[#This Row],[_Row]])="",TRUE()),"",INDEX(tsk_PlanStart,GanttView[[#This Row],[_Row]]))</f>
        <v/>
      </c>
      <c r="F176" s="122" t="str">
        <f aca="false">IF(IFERROR(INDEX(tsk_Name,GanttView[[#This Row],[_Row]])="",TRUE()),"",INDEX(tsk_PlanFinish,GanttView[[#This Row],[_Row]]))</f>
        <v/>
      </c>
      <c r="G176" s="122" t="str">
        <f aca="false">IF(IFERROR(INDEX(tsk_Name,GanttView[[#This Row],[_Row]])="",TRUE()),"",INDEX(tsk_FcStart,GanttView[[#This Row],[_Row]]))</f>
        <v/>
      </c>
      <c r="H176" s="122" t="str">
        <f aca="false">IF(IFERROR(INDEX(tsk_Name,GanttView[[#This Row],[_Row]])="",TRUE()),"",INDEX(tsk_FcFinish,GanttView[[#This Row],[_Row]]))</f>
        <v/>
      </c>
      <c r="I176" s="123" t="str">
        <f aca="false">IF(IFERROR(INDEX(tsk_Name,GanttView[[#This Row],[_Row]])="",TRUE()),"",INDEX(tsk_Progress,GanttView[[#This Row],[_Row]]))</f>
        <v/>
      </c>
      <c r="J176" s="121" t="str">
        <f aca="false">IF(IFERROR(INDEX(tsk_Name,GanttView[[#This Row],[_Row]])="",TRUE()),"",INDEX(tsk_Resource,GanttView[[#This Row],[_Row]])&amp;"")</f>
        <v/>
      </c>
      <c r="K176" s="124" t="str">
        <f aca="false">IF(IFERROR(INDEX(tsk_Name,GanttView[[#This Row],[_Row]])="",TRUE()),"",INDEX(tsk_Status,GanttView[[#This Row],[_Row]]))</f>
        <v/>
      </c>
      <c r="L176" s="125" t="n">
        <f aca="false">ROW()-ROW(GanttView[[#Headers],[ID]])</f>
        <v>171</v>
      </c>
      <c r="M176" s="126" t="b">
        <f aca="false">IF(IFERROR(INDEX(tsk_Name,GanttView[[#This Row],[_Row]])="",TRUE()),FALSE(),INDEX(tsk_IsSummary,GanttView[[#This Row],[_Row]]))</f>
        <v>0</v>
      </c>
      <c r="N176" s="126" t="b">
        <f aca="false">IF(IFERROR(INDEX(tsk_Name,GanttView[[#This Row],[_Row]])="",TRUE()),FALSE(),AND(INDEX(tsk_IsLeaf,GanttView[[#This Row],[_Row]])=1,N(INDEX(tsk_Duration,GanttView[[#This Row],[_Row]]))=0))</f>
        <v>0</v>
      </c>
      <c r="O176" s="127" t="n">
        <f aca="false">IF(IFERROR(INDEX(tsk_Name,GanttView[[#This Row],[_Row]])="",TRUE()),0,IF(AND(INDEX(tsk_IsLeaf,GanttView[[#This Row],[_Row]])=1,NOT(GanttView[[#This Row],[_IsMilestone]]),N(GanttView[[#This Row],[%]])&gt;0),GanttView[[#This Row],[Forecast Start]],0))</f>
        <v>0</v>
      </c>
      <c r="P176" s="127" t="n">
        <f aca="false">IF(GanttView[[#This Row],[_DoneFrom]]=0,0,IF(GanttView[[#This Row],[%]]&gt;=1,GanttView[[#This Row],[Forecast Finish]],MAX(GanttView[[#This Row],[_DoneFrom]],GanttView[[#This Row],[Forecast Start]]+ROUND((GanttView[[#This Row],[Forecast Finish]]-GanttView[[#This Row],[Forecast Start]]+1)*GanttView[[#This Row],[%]],0)-1)))</f>
        <v>0</v>
      </c>
      <c r="Q176" s="127" t="n">
        <f aca="false">IF(IFERROR(INDEX(tsk_Name,GanttView[[#This Row],[_Row]])="",TRUE()),0,IF(OR(INDEX(tsk_IsLeaf,GanttView[[#This Row],[_Row]])&lt;&gt;1,GanttView[[#This Row],[_IsMilestone]],N(GanttView[[#This Row],[%]])&gt;=1),0,IF(GanttView[[#This Row],[_DoneTo]]&gt;0,GanttView[[#This Row],[_DoneTo]]+1,GanttView[[#This Row],[Forecast Start]])))</f>
        <v>0</v>
      </c>
      <c r="R176" s="127" t="n">
        <f aca="false">IF(GanttView[[#This Row],[_RemFrom]]=0,0,GanttView[[#This Row],[Forecast Finish]])</f>
        <v>0</v>
      </c>
      <c r="S176" s="126" t="b">
        <f aca="false">IF(IFERROR(INDEX(tsk_Name,GanttView[[#This Row],[_Row]])="",TRUE()),FALSE(),N(INDEX(tsk_Variance,GanttView[[#This Row],[_Row]]))&gt;0)</f>
        <v>0</v>
      </c>
      <c r="T176" s="127" t="n">
        <f aca="false">IF(IFERROR(INDEX(tsk_Name,GanttView[[#This Row],[_Row]])="",TRUE()),0,N(INDEX(tsk_Deadline,GanttView[[#This Row],[_Row]])))</f>
        <v>0</v>
      </c>
      <c r="U176" s="126" t="b">
        <f aca="false">IF(IFERROR(INDEX(tsk_Name,GanttView[[#This Row],[_Row]])="",TRUE()),FALSE(),INDEX(tsk_Critical,GanttView[[#This Row],[_Row]])="Yes")</f>
        <v>0</v>
      </c>
    </row>
    <row r="177" customFormat="false" ht="15" hidden="false" customHeight="false" outlineLevel="0" collapsed="false">
      <c r="A177" s="120" t="str">
        <f aca="false">IF(IFERROR(INDEX(tsk_Name,GanttView[[#This Row],[_Row]])="",TRUE()),"",INDEX(tsk_ID,GanttView[[#This Row],[_Row]]))</f>
        <v/>
      </c>
      <c r="B177" s="120" t="str">
        <f aca="false">IF(IFERROR(INDEX(tsk_Name,GanttView[[#This Row],[_Row]])="",TRUE()),"",INDEX(tsk_WBS,GanttView[[#This Row],[_Row]]))</f>
        <v/>
      </c>
      <c r="C177" s="121" t="str">
        <f aca="false">IF(IFERROR(INDEX(tsk_Name,GanttView[[#This Row],[_Row]])="",TRUE()),"",REPT("    ",INDEX(tsk_Level,GanttView[[#This Row],[_Row]])-1)&amp;INDEX(tsk_Name,GanttView[[#This Row],[_Row]]))</f>
        <v/>
      </c>
      <c r="D177" s="120" t="str">
        <f aca="false">IF(IFERROR(INDEX(tsk_Name,GanttView[[#This Row],[_Row]])="",TRUE()),"",IF(INDEX(tsk_IsSummary,GanttView[[#This Row],[_Row]]),NETWORKDAYS.INTL(INDEX(tsk_FcStart,GanttView[[#This Row],[_Row]]),INDEX(tsk_FcFinish,GanttView[[#This Row],[_Row]]),WorkWeek,Holidays),N(INDEX(tsk_Duration,GanttView[[#This Row],[_Row]]))))</f>
        <v/>
      </c>
      <c r="E177" s="122" t="str">
        <f aca="false">IF(IFERROR(INDEX(tsk_Name,GanttView[[#This Row],[_Row]])="",TRUE()),"",INDEX(tsk_PlanStart,GanttView[[#This Row],[_Row]]))</f>
        <v/>
      </c>
      <c r="F177" s="122" t="str">
        <f aca="false">IF(IFERROR(INDEX(tsk_Name,GanttView[[#This Row],[_Row]])="",TRUE()),"",INDEX(tsk_PlanFinish,GanttView[[#This Row],[_Row]]))</f>
        <v/>
      </c>
      <c r="G177" s="122" t="str">
        <f aca="false">IF(IFERROR(INDEX(tsk_Name,GanttView[[#This Row],[_Row]])="",TRUE()),"",INDEX(tsk_FcStart,GanttView[[#This Row],[_Row]]))</f>
        <v/>
      </c>
      <c r="H177" s="122" t="str">
        <f aca="false">IF(IFERROR(INDEX(tsk_Name,GanttView[[#This Row],[_Row]])="",TRUE()),"",INDEX(tsk_FcFinish,GanttView[[#This Row],[_Row]]))</f>
        <v/>
      </c>
      <c r="I177" s="123" t="str">
        <f aca="false">IF(IFERROR(INDEX(tsk_Name,GanttView[[#This Row],[_Row]])="",TRUE()),"",INDEX(tsk_Progress,GanttView[[#This Row],[_Row]]))</f>
        <v/>
      </c>
      <c r="J177" s="121" t="str">
        <f aca="false">IF(IFERROR(INDEX(tsk_Name,GanttView[[#This Row],[_Row]])="",TRUE()),"",INDEX(tsk_Resource,GanttView[[#This Row],[_Row]])&amp;"")</f>
        <v/>
      </c>
      <c r="K177" s="124" t="str">
        <f aca="false">IF(IFERROR(INDEX(tsk_Name,GanttView[[#This Row],[_Row]])="",TRUE()),"",INDEX(tsk_Status,GanttView[[#This Row],[_Row]]))</f>
        <v/>
      </c>
      <c r="L177" s="125" t="n">
        <f aca="false">ROW()-ROW(GanttView[[#Headers],[ID]])</f>
        <v>172</v>
      </c>
      <c r="M177" s="126" t="b">
        <f aca="false">IF(IFERROR(INDEX(tsk_Name,GanttView[[#This Row],[_Row]])="",TRUE()),FALSE(),INDEX(tsk_IsSummary,GanttView[[#This Row],[_Row]]))</f>
        <v>0</v>
      </c>
      <c r="N177" s="126" t="b">
        <f aca="false">IF(IFERROR(INDEX(tsk_Name,GanttView[[#This Row],[_Row]])="",TRUE()),FALSE(),AND(INDEX(tsk_IsLeaf,GanttView[[#This Row],[_Row]])=1,N(INDEX(tsk_Duration,GanttView[[#This Row],[_Row]]))=0))</f>
        <v>0</v>
      </c>
      <c r="O177" s="127" t="n">
        <f aca="false">IF(IFERROR(INDEX(tsk_Name,GanttView[[#This Row],[_Row]])="",TRUE()),0,IF(AND(INDEX(tsk_IsLeaf,GanttView[[#This Row],[_Row]])=1,NOT(GanttView[[#This Row],[_IsMilestone]]),N(GanttView[[#This Row],[%]])&gt;0),GanttView[[#This Row],[Forecast Start]],0))</f>
        <v>0</v>
      </c>
      <c r="P177" s="127" t="n">
        <f aca="false">IF(GanttView[[#This Row],[_DoneFrom]]=0,0,IF(GanttView[[#This Row],[%]]&gt;=1,GanttView[[#This Row],[Forecast Finish]],MAX(GanttView[[#This Row],[_DoneFrom]],GanttView[[#This Row],[Forecast Start]]+ROUND((GanttView[[#This Row],[Forecast Finish]]-GanttView[[#This Row],[Forecast Start]]+1)*GanttView[[#This Row],[%]],0)-1)))</f>
        <v>0</v>
      </c>
      <c r="Q177" s="127" t="n">
        <f aca="false">IF(IFERROR(INDEX(tsk_Name,GanttView[[#This Row],[_Row]])="",TRUE()),0,IF(OR(INDEX(tsk_IsLeaf,GanttView[[#This Row],[_Row]])&lt;&gt;1,GanttView[[#This Row],[_IsMilestone]],N(GanttView[[#This Row],[%]])&gt;=1),0,IF(GanttView[[#This Row],[_DoneTo]]&gt;0,GanttView[[#This Row],[_DoneTo]]+1,GanttView[[#This Row],[Forecast Start]])))</f>
        <v>0</v>
      </c>
      <c r="R177" s="127" t="n">
        <f aca="false">IF(GanttView[[#This Row],[_RemFrom]]=0,0,GanttView[[#This Row],[Forecast Finish]])</f>
        <v>0</v>
      </c>
      <c r="S177" s="126" t="b">
        <f aca="false">IF(IFERROR(INDEX(tsk_Name,GanttView[[#This Row],[_Row]])="",TRUE()),FALSE(),N(INDEX(tsk_Variance,GanttView[[#This Row],[_Row]]))&gt;0)</f>
        <v>0</v>
      </c>
      <c r="T177" s="127" t="n">
        <f aca="false">IF(IFERROR(INDEX(tsk_Name,GanttView[[#This Row],[_Row]])="",TRUE()),0,N(INDEX(tsk_Deadline,GanttView[[#This Row],[_Row]])))</f>
        <v>0</v>
      </c>
      <c r="U177" s="126" t="b">
        <f aca="false">IF(IFERROR(INDEX(tsk_Name,GanttView[[#This Row],[_Row]])="",TRUE()),FALSE(),INDEX(tsk_Critical,GanttView[[#This Row],[_Row]])="Yes")</f>
        <v>0</v>
      </c>
    </row>
    <row r="178" customFormat="false" ht="15" hidden="false" customHeight="false" outlineLevel="0" collapsed="false">
      <c r="A178" s="120" t="str">
        <f aca="false">IF(IFERROR(INDEX(tsk_Name,GanttView[[#This Row],[_Row]])="",TRUE()),"",INDEX(tsk_ID,GanttView[[#This Row],[_Row]]))</f>
        <v/>
      </c>
      <c r="B178" s="120" t="str">
        <f aca="false">IF(IFERROR(INDEX(tsk_Name,GanttView[[#This Row],[_Row]])="",TRUE()),"",INDEX(tsk_WBS,GanttView[[#This Row],[_Row]]))</f>
        <v/>
      </c>
      <c r="C178" s="121" t="str">
        <f aca="false">IF(IFERROR(INDEX(tsk_Name,GanttView[[#This Row],[_Row]])="",TRUE()),"",REPT("    ",INDEX(tsk_Level,GanttView[[#This Row],[_Row]])-1)&amp;INDEX(tsk_Name,GanttView[[#This Row],[_Row]]))</f>
        <v/>
      </c>
      <c r="D178" s="120" t="str">
        <f aca="false">IF(IFERROR(INDEX(tsk_Name,GanttView[[#This Row],[_Row]])="",TRUE()),"",IF(INDEX(tsk_IsSummary,GanttView[[#This Row],[_Row]]),NETWORKDAYS.INTL(INDEX(tsk_FcStart,GanttView[[#This Row],[_Row]]),INDEX(tsk_FcFinish,GanttView[[#This Row],[_Row]]),WorkWeek,Holidays),N(INDEX(tsk_Duration,GanttView[[#This Row],[_Row]]))))</f>
        <v/>
      </c>
      <c r="E178" s="122" t="str">
        <f aca="false">IF(IFERROR(INDEX(tsk_Name,GanttView[[#This Row],[_Row]])="",TRUE()),"",INDEX(tsk_PlanStart,GanttView[[#This Row],[_Row]]))</f>
        <v/>
      </c>
      <c r="F178" s="122" t="str">
        <f aca="false">IF(IFERROR(INDEX(tsk_Name,GanttView[[#This Row],[_Row]])="",TRUE()),"",INDEX(tsk_PlanFinish,GanttView[[#This Row],[_Row]]))</f>
        <v/>
      </c>
      <c r="G178" s="122" t="str">
        <f aca="false">IF(IFERROR(INDEX(tsk_Name,GanttView[[#This Row],[_Row]])="",TRUE()),"",INDEX(tsk_FcStart,GanttView[[#This Row],[_Row]]))</f>
        <v/>
      </c>
      <c r="H178" s="122" t="str">
        <f aca="false">IF(IFERROR(INDEX(tsk_Name,GanttView[[#This Row],[_Row]])="",TRUE()),"",INDEX(tsk_FcFinish,GanttView[[#This Row],[_Row]]))</f>
        <v/>
      </c>
      <c r="I178" s="123" t="str">
        <f aca="false">IF(IFERROR(INDEX(tsk_Name,GanttView[[#This Row],[_Row]])="",TRUE()),"",INDEX(tsk_Progress,GanttView[[#This Row],[_Row]]))</f>
        <v/>
      </c>
      <c r="J178" s="121" t="str">
        <f aca="false">IF(IFERROR(INDEX(tsk_Name,GanttView[[#This Row],[_Row]])="",TRUE()),"",INDEX(tsk_Resource,GanttView[[#This Row],[_Row]])&amp;"")</f>
        <v/>
      </c>
      <c r="K178" s="124" t="str">
        <f aca="false">IF(IFERROR(INDEX(tsk_Name,GanttView[[#This Row],[_Row]])="",TRUE()),"",INDEX(tsk_Status,GanttView[[#This Row],[_Row]]))</f>
        <v/>
      </c>
      <c r="L178" s="125" t="n">
        <f aca="false">ROW()-ROW(GanttView[[#Headers],[ID]])</f>
        <v>173</v>
      </c>
      <c r="M178" s="126" t="b">
        <f aca="false">IF(IFERROR(INDEX(tsk_Name,GanttView[[#This Row],[_Row]])="",TRUE()),FALSE(),INDEX(tsk_IsSummary,GanttView[[#This Row],[_Row]]))</f>
        <v>0</v>
      </c>
      <c r="N178" s="126" t="b">
        <f aca="false">IF(IFERROR(INDEX(tsk_Name,GanttView[[#This Row],[_Row]])="",TRUE()),FALSE(),AND(INDEX(tsk_IsLeaf,GanttView[[#This Row],[_Row]])=1,N(INDEX(tsk_Duration,GanttView[[#This Row],[_Row]]))=0))</f>
        <v>0</v>
      </c>
      <c r="O178" s="127" t="n">
        <f aca="false">IF(IFERROR(INDEX(tsk_Name,GanttView[[#This Row],[_Row]])="",TRUE()),0,IF(AND(INDEX(tsk_IsLeaf,GanttView[[#This Row],[_Row]])=1,NOT(GanttView[[#This Row],[_IsMilestone]]),N(GanttView[[#This Row],[%]])&gt;0),GanttView[[#This Row],[Forecast Start]],0))</f>
        <v>0</v>
      </c>
      <c r="P178" s="127" t="n">
        <f aca="false">IF(GanttView[[#This Row],[_DoneFrom]]=0,0,IF(GanttView[[#This Row],[%]]&gt;=1,GanttView[[#This Row],[Forecast Finish]],MAX(GanttView[[#This Row],[_DoneFrom]],GanttView[[#This Row],[Forecast Start]]+ROUND((GanttView[[#This Row],[Forecast Finish]]-GanttView[[#This Row],[Forecast Start]]+1)*GanttView[[#This Row],[%]],0)-1)))</f>
        <v>0</v>
      </c>
      <c r="Q178" s="127" t="n">
        <f aca="false">IF(IFERROR(INDEX(tsk_Name,GanttView[[#This Row],[_Row]])="",TRUE()),0,IF(OR(INDEX(tsk_IsLeaf,GanttView[[#This Row],[_Row]])&lt;&gt;1,GanttView[[#This Row],[_IsMilestone]],N(GanttView[[#This Row],[%]])&gt;=1),0,IF(GanttView[[#This Row],[_DoneTo]]&gt;0,GanttView[[#This Row],[_DoneTo]]+1,GanttView[[#This Row],[Forecast Start]])))</f>
        <v>0</v>
      </c>
      <c r="R178" s="127" t="n">
        <f aca="false">IF(GanttView[[#This Row],[_RemFrom]]=0,0,GanttView[[#This Row],[Forecast Finish]])</f>
        <v>0</v>
      </c>
      <c r="S178" s="126" t="b">
        <f aca="false">IF(IFERROR(INDEX(tsk_Name,GanttView[[#This Row],[_Row]])="",TRUE()),FALSE(),N(INDEX(tsk_Variance,GanttView[[#This Row],[_Row]]))&gt;0)</f>
        <v>0</v>
      </c>
      <c r="T178" s="127" t="n">
        <f aca="false">IF(IFERROR(INDEX(tsk_Name,GanttView[[#This Row],[_Row]])="",TRUE()),0,N(INDEX(tsk_Deadline,GanttView[[#This Row],[_Row]])))</f>
        <v>0</v>
      </c>
      <c r="U178" s="126" t="b">
        <f aca="false">IF(IFERROR(INDEX(tsk_Name,GanttView[[#This Row],[_Row]])="",TRUE()),FALSE(),INDEX(tsk_Critical,GanttView[[#This Row],[_Row]])="Yes")</f>
        <v>0</v>
      </c>
    </row>
    <row r="179" customFormat="false" ht="15" hidden="false" customHeight="false" outlineLevel="0" collapsed="false">
      <c r="A179" s="120" t="str">
        <f aca="false">IF(IFERROR(INDEX(tsk_Name,GanttView[[#This Row],[_Row]])="",TRUE()),"",INDEX(tsk_ID,GanttView[[#This Row],[_Row]]))</f>
        <v/>
      </c>
      <c r="B179" s="120" t="str">
        <f aca="false">IF(IFERROR(INDEX(tsk_Name,GanttView[[#This Row],[_Row]])="",TRUE()),"",INDEX(tsk_WBS,GanttView[[#This Row],[_Row]]))</f>
        <v/>
      </c>
      <c r="C179" s="121" t="str">
        <f aca="false">IF(IFERROR(INDEX(tsk_Name,GanttView[[#This Row],[_Row]])="",TRUE()),"",REPT("    ",INDEX(tsk_Level,GanttView[[#This Row],[_Row]])-1)&amp;INDEX(tsk_Name,GanttView[[#This Row],[_Row]]))</f>
        <v/>
      </c>
      <c r="D179" s="120" t="str">
        <f aca="false">IF(IFERROR(INDEX(tsk_Name,GanttView[[#This Row],[_Row]])="",TRUE()),"",IF(INDEX(tsk_IsSummary,GanttView[[#This Row],[_Row]]),NETWORKDAYS.INTL(INDEX(tsk_FcStart,GanttView[[#This Row],[_Row]]),INDEX(tsk_FcFinish,GanttView[[#This Row],[_Row]]),WorkWeek,Holidays),N(INDEX(tsk_Duration,GanttView[[#This Row],[_Row]]))))</f>
        <v/>
      </c>
      <c r="E179" s="122" t="str">
        <f aca="false">IF(IFERROR(INDEX(tsk_Name,GanttView[[#This Row],[_Row]])="",TRUE()),"",INDEX(tsk_PlanStart,GanttView[[#This Row],[_Row]]))</f>
        <v/>
      </c>
      <c r="F179" s="122" t="str">
        <f aca="false">IF(IFERROR(INDEX(tsk_Name,GanttView[[#This Row],[_Row]])="",TRUE()),"",INDEX(tsk_PlanFinish,GanttView[[#This Row],[_Row]]))</f>
        <v/>
      </c>
      <c r="G179" s="122" t="str">
        <f aca="false">IF(IFERROR(INDEX(tsk_Name,GanttView[[#This Row],[_Row]])="",TRUE()),"",INDEX(tsk_FcStart,GanttView[[#This Row],[_Row]]))</f>
        <v/>
      </c>
      <c r="H179" s="122" t="str">
        <f aca="false">IF(IFERROR(INDEX(tsk_Name,GanttView[[#This Row],[_Row]])="",TRUE()),"",INDEX(tsk_FcFinish,GanttView[[#This Row],[_Row]]))</f>
        <v/>
      </c>
      <c r="I179" s="123" t="str">
        <f aca="false">IF(IFERROR(INDEX(tsk_Name,GanttView[[#This Row],[_Row]])="",TRUE()),"",INDEX(tsk_Progress,GanttView[[#This Row],[_Row]]))</f>
        <v/>
      </c>
      <c r="J179" s="121" t="str">
        <f aca="false">IF(IFERROR(INDEX(tsk_Name,GanttView[[#This Row],[_Row]])="",TRUE()),"",INDEX(tsk_Resource,GanttView[[#This Row],[_Row]])&amp;"")</f>
        <v/>
      </c>
      <c r="K179" s="124" t="str">
        <f aca="false">IF(IFERROR(INDEX(tsk_Name,GanttView[[#This Row],[_Row]])="",TRUE()),"",INDEX(tsk_Status,GanttView[[#This Row],[_Row]]))</f>
        <v/>
      </c>
      <c r="L179" s="125" t="n">
        <f aca="false">ROW()-ROW(GanttView[[#Headers],[ID]])</f>
        <v>174</v>
      </c>
      <c r="M179" s="126" t="b">
        <f aca="false">IF(IFERROR(INDEX(tsk_Name,GanttView[[#This Row],[_Row]])="",TRUE()),FALSE(),INDEX(tsk_IsSummary,GanttView[[#This Row],[_Row]]))</f>
        <v>0</v>
      </c>
      <c r="N179" s="126" t="b">
        <f aca="false">IF(IFERROR(INDEX(tsk_Name,GanttView[[#This Row],[_Row]])="",TRUE()),FALSE(),AND(INDEX(tsk_IsLeaf,GanttView[[#This Row],[_Row]])=1,N(INDEX(tsk_Duration,GanttView[[#This Row],[_Row]]))=0))</f>
        <v>0</v>
      </c>
      <c r="O179" s="127" t="n">
        <f aca="false">IF(IFERROR(INDEX(tsk_Name,GanttView[[#This Row],[_Row]])="",TRUE()),0,IF(AND(INDEX(tsk_IsLeaf,GanttView[[#This Row],[_Row]])=1,NOT(GanttView[[#This Row],[_IsMilestone]]),N(GanttView[[#This Row],[%]])&gt;0),GanttView[[#This Row],[Forecast Start]],0))</f>
        <v>0</v>
      </c>
      <c r="P179" s="127" t="n">
        <f aca="false">IF(GanttView[[#This Row],[_DoneFrom]]=0,0,IF(GanttView[[#This Row],[%]]&gt;=1,GanttView[[#This Row],[Forecast Finish]],MAX(GanttView[[#This Row],[_DoneFrom]],GanttView[[#This Row],[Forecast Start]]+ROUND((GanttView[[#This Row],[Forecast Finish]]-GanttView[[#This Row],[Forecast Start]]+1)*GanttView[[#This Row],[%]],0)-1)))</f>
        <v>0</v>
      </c>
      <c r="Q179" s="127" t="n">
        <f aca="false">IF(IFERROR(INDEX(tsk_Name,GanttView[[#This Row],[_Row]])="",TRUE()),0,IF(OR(INDEX(tsk_IsLeaf,GanttView[[#This Row],[_Row]])&lt;&gt;1,GanttView[[#This Row],[_IsMilestone]],N(GanttView[[#This Row],[%]])&gt;=1),0,IF(GanttView[[#This Row],[_DoneTo]]&gt;0,GanttView[[#This Row],[_DoneTo]]+1,GanttView[[#This Row],[Forecast Start]])))</f>
        <v>0</v>
      </c>
      <c r="R179" s="127" t="n">
        <f aca="false">IF(GanttView[[#This Row],[_RemFrom]]=0,0,GanttView[[#This Row],[Forecast Finish]])</f>
        <v>0</v>
      </c>
      <c r="S179" s="126" t="b">
        <f aca="false">IF(IFERROR(INDEX(tsk_Name,GanttView[[#This Row],[_Row]])="",TRUE()),FALSE(),N(INDEX(tsk_Variance,GanttView[[#This Row],[_Row]]))&gt;0)</f>
        <v>0</v>
      </c>
      <c r="T179" s="127" t="n">
        <f aca="false">IF(IFERROR(INDEX(tsk_Name,GanttView[[#This Row],[_Row]])="",TRUE()),0,N(INDEX(tsk_Deadline,GanttView[[#This Row],[_Row]])))</f>
        <v>0</v>
      </c>
      <c r="U179" s="126" t="b">
        <f aca="false">IF(IFERROR(INDEX(tsk_Name,GanttView[[#This Row],[_Row]])="",TRUE()),FALSE(),INDEX(tsk_Critical,GanttView[[#This Row],[_Row]])="Yes")</f>
        <v>0</v>
      </c>
    </row>
    <row r="180" customFormat="false" ht="15" hidden="false" customHeight="false" outlineLevel="0" collapsed="false">
      <c r="A180" s="120" t="str">
        <f aca="false">IF(IFERROR(INDEX(tsk_Name,GanttView[[#This Row],[_Row]])="",TRUE()),"",INDEX(tsk_ID,GanttView[[#This Row],[_Row]]))</f>
        <v/>
      </c>
      <c r="B180" s="120" t="str">
        <f aca="false">IF(IFERROR(INDEX(tsk_Name,GanttView[[#This Row],[_Row]])="",TRUE()),"",INDEX(tsk_WBS,GanttView[[#This Row],[_Row]]))</f>
        <v/>
      </c>
      <c r="C180" s="121" t="str">
        <f aca="false">IF(IFERROR(INDEX(tsk_Name,GanttView[[#This Row],[_Row]])="",TRUE()),"",REPT("    ",INDEX(tsk_Level,GanttView[[#This Row],[_Row]])-1)&amp;INDEX(tsk_Name,GanttView[[#This Row],[_Row]]))</f>
        <v/>
      </c>
      <c r="D180" s="120" t="str">
        <f aca="false">IF(IFERROR(INDEX(tsk_Name,GanttView[[#This Row],[_Row]])="",TRUE()),"",IF(INDEX(tsk_IsSummary,GanttView[[#This Row],[_Row]]),NETWORKDAYS.INTL(INDEX(tsk_FcStart,GanttView[[#This Row],[_Row]]),INDEX(tsk_FcFinish,GanttView[[#This Row],[_Row]]),WorkWeek,Holidays),N(INDEX(tsk_Duration,GanttView[[#This Row],[_Row]]))))</f>
        <v/>
      </c>
      <c r="E180" s="122" t="str">
        <f aca="false">IF(IFERROR(INDEX(tsk_Name,GanttView[[#This Row],[_Row]])="",TRUE()),"",INDEX(tsk_PlanStart,GanttView[[#This Row],[_Row]]))</f>
        <v/>
      </c>
      <c r="F180" s="122" t="str">
        <f aca="false">IF(IFERROR(INDEX(tsk_Name,GanttView[[#This Row],[_Row]])="",TRUE()),"",INDEX(tsk_PlanFinish,GanttView[[#This Row],[_Row]]))</f>
        <v/>
      </c>
      <c r="G180" s="122" t="str">
        <f aca="false">IF(IFERROR(INDEX(tsk_Name,GanttView[[#This Row],[_Row]])="",TRUE()),"",INDEX(tsk_FcStart,GanttView[[#This Row],[_Row]]))</f>
        <v/>
      </c>
      <c r="H180" s="122" t="str">
        <f aca="false">IF(IFERROR(INDEX(tsk_Name,GanttView[[#This Row],[_Row]])="",TRUE()),"",INDEX(tsk_FcFinish,GanttView[[#This Row],[_Row]]))</f>
        <v/>
      </c>
      <c r="I180" s="123" t="str">
        <f aca="false">IF(IFERROR(INDEX(tsk_Name,GanttView[[#This Row],[_Row]])="",TRUE()),"",INDEX(tsk_Progress,GanttView[[#This Row],[_Row]]))</f>
        <v/>
      </c>
      <c r="J180" s="121" t="str">
        <f aca="false">IF(IFERROR(INDEX(tsk_Name,GanttView[[#This Row],[_Row]])="",TRUE()),"",INDEX(tsk_Resource,GanttView[[#This Row],[_Row]])&amp;"")</f>
        <v/>
      </c>
      <c r="K180" s="124" t="str">
        <f aca="false">IF(IFERROR(INDEX(tsk_Name,GanttView[[#This Row],[_Row]])="",TRUE()),"",INDEX(tsk_Status,GanttView[[#This Row],[_Row]]))</f>
        <v/>
      </c>
      <c r="L180" s="125" t="n">
        <f aca="false">ROW()-ROW(GanttView[[#Headers],[ID]])</f>
        <v>175</v>
      </c>
      <c r="M180" s="126" t="b">
        <f aca="false">IF(IFERROR(INDEX(tsk_Name,GanttView[[#This Row],[_Row]])="",TRUE()),FALSE(),INDEX(tsk_IsSummary,GanttView[[#This Row],[_Row]]))</f>
        <v>0</v>
      </c>
      <c r="N180" s="126" t="b">
        <f aca="false">IF(IFERROR(INDEX(tsk_Name,GanttView[[#This Row],[_Row]])="",TRUE()),FALSE(),AND(INDEX(tsk_IsLeaf,GanttView[[#This Row],[_Row]])=1,N(INDEX(tsk_Duration,GanttView[[#This Row],[_Row]]))=0))</f>
        <v>0</v>
      </c>
      <c r="O180" s="127" t="n">
        <f aca="false">IF(IFERROR(INDEX(tsk_Name,GanttView[[#This Row],[_Row]])="",TRUE()),0,IF(AND(INDEX(tsk_IsLeaf,GanttView[[#This Row],[_Row]])=1,NOT(GanttView[[#This Row],[_IsMilestone]]),N(GanttView[[#This Row],[%]])&gt;0),GanttView[[#This Row],[Forecast Start]],0))</f>
        <v>0</v>
      </c>
      <c r="P180" s="127" t="n">
        <f aca="false">IF(GanttView[[#This Row],[_DoneFrom]]=0,0,IF(GanttView[[#This Row],[%]]&gt;=1,GanttView[[#This Row],[Forecast Finish]],MAX(GanttView[[#This Row],[_DoneFrom]],GanttView[[#This Row],[Forecast Start]]+ROUND((GanttView[[#This Row],[Forecast Finish]]-GanttView[[#This Row],[Forecast Start]]+1)*GanttView[[#This Row],[%]],0)-1)))</f>
        <v>0</v>
      </c>
      <c r="Q180" s="127" t="n">
        <f aca="false">IF(IFERROR(INDEX(tsk_Name,GanttView[[#This Row],[_Row]])="",TRUE()),0,IF(OR(INDEX(tsk_IsLeaf,GanttView[[#This Row],[_Row]])&lt;&gt;1,GanttView[[#This Row],[_IsMilestone]],N(GanttView[[#This Row],[%]])&gt;=1),0,IF(GanttView[[#This Row],[_DoneTo]]&gt;0,GanttView[[#This Row],[_DoneTo]]+1,GanttView[[#This Row],[Forecast Start]])))</f>
        <v>0</v>
      </c>
      <c r="R180" s="127" t="n">
        <f aca="false">IF(GanttView[[#This Row],[_RemFrom]]=0,0,GanttView[[#This Row],[Forecast Finish]])</f>
        <v>0</v>
      </c>
      <c r="S180" s="126" t="b">
        <f aca="false">IF(IFERROR(INDEX(tsk_Name,GanttView[[#This Row],[_Row]])="",TRUE()),FALSE(),N(INDEX(tsk_Variance,GanttView[[#This Row],[_Row]]))&gt;0)</f>
        <v>0</v>
      </c>
      <c r="T180" s="127" t="n">
        <f aca="false">IF(IFERROR(INDEX(tsk_Name,GanttView[[#This Row],[_Row]])="",TRUE()),0,N(INDEX(tsk_Deadline,GanttView[[#This Row],[_Row]])))</f>
        <v>0</v>
      </c>
      <c r="U180" s="126" t="b">
        <f aca="false">IF(IFERROR(INDEX(tsk_Name,GanttView[[#This Row],[_Row]])="",TRUE()),FALSE(),INDEX(tsk_Critical,GanttView[[#This Row],[_Row]])="Yes")</f>
        <v>0</v>
      </c>
    </row>
    <row r="181" customFormat="false" ht="15" hidden="false" customHeight="false" outlineLevel="0" collapsed="false">
      <c r="A181" s="120" t="str">
        <f aca="false">IF(IFERROR(INDEX(tsk_Name,GanttView[[#This Row],[_Row]])="",TRUE()),"",INDEX(tsk_ID,GanttView[[#This Row],[_Row]]))</f>
        <v/>
      </c>
      <c r="B181" s="120" t="str">
        <f aca="false">IF(IFERROR(INDEX(tsk_Name,GanttView[[#This Row],[_Row]])="",TRUE()),"",INDEX(tsk_WBS,GanttView[[#This Row],[_Row]]))</f>
        <v/>
      </c>
      <c r="C181" s="121" t="str">
        <f aca="false">IF(IFERROR(INDEX(tsk_Name,GanttView[[#This Row],[_Row]])="",TRUE()),"",REPT("    ",INDEX(tsk_Level,GanttView[[#This Row],[_Row]])-1)&amp;INDEX(tsk_Name,GanttView[[#This Row],[_Row]]))</f>
        <v/>
      </c>
      <c r="D181" s="120" t="str">
        <f aca="false">IF(IFERROR(INDEX(tsk_Name,GanttView[[#This Row],[_Row]])="",TRUE()),"",IF(INDEX(tsk_IsSummary,GanttView[[#This Row],[_Row]]),NETWORKDAYS.INTL(INDEX(tsk_FcStart,GanttView[[#This Row],[_Row]]),INDEX(tsk_FcFinish,GanttView[[#This Row],[_Row]]),WorkWeek,Holidays),N(INDEX(tsk_Duration,GanttView[[#This Row],[_Row]]))))</f>
        <v/>
      </c>
      <c r="E181" s="122" t="str">
        <f aca="false">IF(IFERROR(INDEX(tsk_Name,GanttView[[#This Row],[_Row]])="",TRUE()),"",INDEX(tsk_PlanStart,GanttView[[#This Row],[_Row]]))</f>
        <v/>
      </c>
      <c r="F181" s="122" t="str">
        <f aca="false">IF(IFERROR(INDEX(tsk_Name,GanttView[[#This Row],[_Row]])="",TRUE()),"",INDEX(tsk_PlanFinish,GanttView[[#This Row],[_Row]]))</f>
        <v/>
      </c>
      <c r="G181" s="122" t="str">
        <f aca="false">IF(IFERROR(INDEX(tsk_Name,GanttView[[#This Row],[_Row]])="",TRUE()),"",INDEX(tsk_FcStart,GanttView[[#This Row],[_Row]]))</f>
        <v/>
      </c>
      <c r="H181" s="122" t="str">
        <f aca="false">IF(IFERROR(INDEX(tsk_Name,GanttView[[#This Row],[_Row]])="",TRUE()),"",INDEX(tsk_FcFinish,GanttView[[#This Row],[_Row]]))</f>
        <v/>
      </c>
      <c r="I181" s="123" t="str">
        <f aca="false">IF(IFERROR(INDEX(tsk_Name,GanttView[[#This Row],[_Row]])="",TRUE()),"",INDEX(tsk_Progress,GanttView[[#This Row],[_Row]]))</f>
        <v/>
      </c>
      <c r="J181" s="121" t="str">
        <f aca="false">IF(IFERROR(INDEX(tsk_Name,GanttView[[#This Row],[_Row]])="",TRUE()),"",INDEX(tsk_Resource,GanttView[[#This Row],[_Row]])&amp;"")</f>
        <v/>
      </c>
      <c r="K181" s="124" t="str">
        <f aca="false">IF(IFERROR(INDEX(tsk_Name,GanttView[[#This Row],[_Row]])="",TRUE()),"",INDEX(tsk_Status,GanttView[[#This Row],[_Row]]))</f>
        <v/>
      </c>
      <c r="L181" s="125" t="n">
        <f aca="false">ROW()-ROW(GanttView[[#Headers],[ID]])</f>
        <v>176</v>
      </c>
      <c r="M181" s="126" t="b">
        <f aca="false">IF(IFERROR(INDEX(tsk_Name,GanttView[[#This Row],[_Row]])="",TRUE()),FALSE(),INDEX(tsk_IsSummary,GanttView[[#This Row],[_Row]]))</f>
        <v>0</v>
      </c>
      <c r="N181" s="126" t="b">
        <f aca="false">IF(IFERROR(INDEX(tsk_Name,GanttView[[#This Row],[_Row]])="",TRUE()),FALSE(),AND(INDEX(tsk_IsLeaf,GanttView[[#This Row],[_Row]])=1,N(INDEX(tsk_Duration,GanttView[[#This Row],[_Row]]))=0))</f>
        <v>0</v>
      </c>
      <c r="O181" s="127" t="n">
        <f aca="false">IF(IFERROR(INDEX(tsk_Name,GanttView[[#This Row],[_Row]])="",TRUE()),0,IF(AND(INDEX(tsk_IsLeaf,GanttView[[#This Row],[_Row]])=1,NOT(GanttView[[#This Row],[_IsMilestone]]),N(GanttView[[#This Row],[%]])&gt;0),GanttView[[#This Row],[Forecast Start]],0))</f>
        <v>0</v>
      </c>
      <c r="P181" s="127" t="n">
        <f aca="false">IF(GanttView[[#This Row],[_DoneFrom]]=0,0,IF(GanttView[[#This Row],[%]]&gt;=1,GanttView[[#This Row],[Forecast Finish]],MAX(GanttView[[#This Row],[_DoneFrom]],GanttView[[#This Row],[Forecast Start]]+ROUND((GanttView[[#This Row],[Forecast Finish]]-GanttView[[#This Row],[Forecast Start]]+1)*GanttView[[#This Row],[%]],0)-1)))</f>
        <v>0</v>
      </c>
      <c r="Q181" s="127" t="n">
        <f aca="false">IF(IFERROR(INDEX(tsk_Name,GanttView[[#This Row],[_Row]])="",TRUE()),0,IF(OR(INDEX(tsk_IsLeaf,GanttView[[#This Row],[_Row]])&lt;&gt;1,GanttView[[#This Row],[_IsMilestone]],N(GanttView[[#This Row],[%]])&gt;=1),0,IF(GanttView[[#This Row],[_DoneTo]]&gt;0,GanttView[[#This Row],[_DoneTo]]+1,GanttView[[#This Row],[Forecast Start]])))</f>
        <v>0</v>
      </c>
      <c r="R181" s="127" t="n">
        <f aca="false">IF(GanttView[[#This Row],[_RemFrom]]=0,0,GanttView[[#This Row],[Forecast Finish]])</f>
        <v>0</v>
      </c>
      <c r="S181" s="126" t="b">
        <f aca="false">IF(IFERROR(INDEX(tsk_Name,GanttView[[#This Row],[_Row]])="",TRUE()),FALSE(),N(INDEX(tsk_Variance,GanttView[[#This Row],[_Row]]))&gt;0)</f>
        <v>0</v>
      </c>
      <c r="T181" s="127" t="n">
        <f aca="false">IF(IFERROR(INDEX(tsk_Name,GanttView[[#This Row],[_Row]])="",TRUE()),0,N(INDEX(tsk_Deadline,GanttView[[#This Row],[_Row]])))</f>
        <v>0</v>
      </c>
      <c r="U181" s="126" t="b">
        <f aca="false">IF(IFERROR(INDEX(tsk_Name,GanttView[[#This Row],[_Row]])="",TRUE()),FALSE(),INDEX(tsk_Critical,GanttView[[#This Row],[_Row]])="Yes")</f>
        <v>0</v>
      </c>
    </row>
    <row r="182" customFormat="false" ht="15" hidden="false" customHeight="false" outlineLevel="0" collapsed="false">
      <c r="A182" s="120" t="str">
        <f aca="false">IF(IFERROR(INDEX(tsk_Name,GanttView[[#This Row],[_Row]])="",TRUE()),"",INDEX(tsk_ID,GanttView[[#This Row],[_Row]]))</f>
        <v/>
      </c>
      <c r="B182" s="120" t="str">
        <f aca="false">IF(IFERROR(INDEX(tsk_Name,GanttView[[#This Row],[_Row]])="",TRUE()),"",INDEX(tsk_WBS,GanttView[[#This Row],[_Row]]))</f>
        <v/>
      </c>
      <c r="C182" s="121" t="str">
        <f aca="false">IF(IFERROR(INDEX(tsk_Name,GanttView[[#This Row],[_Row]])="",TRUE()),"",REPT("    ",INDEX(tsk_Level,GanttView[[#This Row],[_Row]])-1)&amp;INDEX(tsk_Name,GanttView[[#This Row],[_Row]]))</f>
        <v/>
      </c>
      <c r="D182" s="120" t="str">
        <f aca="false">IF(IFERROR(INDEX(tsk_Name,GanttView[[#This Row],[_Row]])="",TRUE()),"",IF(INDEX(tsk_IsSummary,GanttView[[#This Row],[_Row]]),NETWORKDAYS.INTL(INDEX(tsk_FcStart,GanttView[[#This Row],[_Row]]),INDEX(tsk_FcFinish,GanttView[[#This Row],[_Row]]),WorkWeek,Holidays),N(INDEX(tsk_Duration,GanttView[[#This Row],[_Row]]))))</f>
        <v/>
      </c>
      <c r="E182" s="122" t="str">
        <f aca="false">IF(IFERROR(INDEX(tsk_Name,GanttView[[#This Row],[_Row]])="",TRUE()),"",INDEX(tsk_PlanStart,GanttView[[#This Row],[_Row]]))</f>
        <v/>
      </c>
      <c r="F182" s="122" t="str">
        <f aca="false">IF(IFERROR(INDEX(tsk_Name,GanttView[[#This Row],[_Row]])="",TRUE()),"",INDEX(tsk_PlanFinish,GanttView[[#This Row],[_Row]]))</f>
        <v/>
      </c>
      <c r="G182" s="122" t="str">
        <f aca="false">IF(IFERROR(INDEX(tsk_Name,GanttView[[#This Row],[_Row]])="",TRUE()),"",INDEX(tsk_FcStart,GanttView[[#This Row],[_Row]]))</f>
        <v/>
      </c>
      <c r="H182" s="122" t="str">
        <f aca="false">IF(IFERROR(INDEX(tsk_Name,GanttView[[#This Row],[_Row]])="",TRUE()),"",INDEX(tsk_FcFinish,GanttView[[#This Row],[_Row]]))</f>
        <v/>
      </c>
      <c r="I182" s="123" t="str">
        <f aca="false">IF(IFERROR(INDEX(tsk_Name,GanttView[[#This Row],[_Row]])="",TRUE()),"",INDEX(tsk_Progress,GanttView[[#This Row],[_Row]]))</f>
        <v/>
      </c>
      <c r="J182" s="121" t="str">
        <f aca="false">IF(IFERROR(INDEX(tsk_Name,GanttView[[#This Row],[_Row]])="",TRUE()),"",INDEX(tsk_Resource,GanttView[[#This Row],[_Row]])&amp;"")</f>
        <v/>
      </c>
      <c r="K182" s="124" t="str">
        <f aca="false">IF(IFERROR(INDEX(tsk_Name,GanttView[[#This Row],[_Row]])="",TRUE()),"",INDEX(tsk_Status,GanttView[[#This Row],[_Row]]))</f>
        <v/>
      </c>
      <c r="L182" s="125" t="n">
        <f aca="false">ROW()-ROW(GanttView[[#Headers],[ID]])</f>
        <v>177</v>
      </c>
      <c r="M182" s="126" t="b">
        <f aca="false">IF(IFERROR(INDEX(tsk_Name,GanttView[[#This Row],[_Row]])="",TRUE()),FALSE(),INDEX(tsk_IsSummary,GanttView[[#This Row],[_Row]]))</f>
        <v>0</v>
      </c>
      <c r="N182" s="126" t="b">
        <f aca="false">IF(IFERROR(INDEX(tsk_Name,GanttView[[#This Row],[_Row]])="",TRUE()),FALSE(),AND(INDEX(tsk_IsLeaf,GanttView[[#This Row],[_Row]])=1,N(INDEX(tsk_Duration,GanttView[[#This Row],[_Row]]))=0))</f>
        <v>0</v>
      </c>
      <c r="O182" s="127" t="n">
        <f aca="false">IF(IFERROR(INDEX(tsk_Name,GanttView[[#This Row],[_Row]])="",TRUE()),0,IF(AND(INDEX(tsk_IsLeaf,GanttView[[#This Row],[_Row]])=1,NOT(GanttView[[#This Row],[_IsMilestone]]),N(GanttView[[#This Row],[%]])&gt;0),GanttView[[#This Row],[Forecast Start]],0))</f>
        <v>0</v>
      </c>
      <c r="P182" s="127" t="n">
        <f aca="false">IF(GanttView[[#This Row],[_DoneFrom]]=0,0,IF(GanttView[[#This Row],[%]]&gt;=1,GanttView[[#This Row],[Forecast Finish]],MAX(GanttView[[#This Row],[_DoneFrom]],GanttView[[#This Row],[Forecast Start]]+ROUND((GanttView[[#This Row],[Forecast Finish]]-GanttView[[#This Row],[Forecast Start]]+1)*GanttView[[#This Row],[%]],0)-1)))</f>
        <v>0</v>
      </c>
      <c r="Q182" s="127" t="n">
        <f aca="false">IF(IFERROR(INDEX(tsk_Name,GanttView[[#This Row],[_Row]])="",TRUE()),0,IF(OR(INDEX(tsk_IsLeaf,GanttView[[#This Row],[_Row]])&lt;&gt;1,GanttView[[#This Row],[_IsMilestone]],N(GanttView[[#This Row],[%]])&gt;=1),0,IF(GanttView[[#This Row],[_DoneTo]]&gt;0,GanttView[[#This Row],[_DoneTo]]+1,GanttView[[#This Row],[Forecast Start]])))</f>
        <v>0</v>
      </c>
      <c r="R182" s="127" t="n">
        <f aca="false">IF(GanttView[[#This Row],[_RemFrom]]=0,0,GanttView[[#This Row],[Forecast Finish]])</f>
        <v>0</v>
      </c>
      <c r="S182" s="126" t="b">
        <f aca="false">IF(IFERROR(INDEX(tsk_Name,GanttView[[#This Row],[_Row]])="",TRUE()),FALSE(),N(INDEX(tsk_Variance,GanttView[[#This Row],[_Row]]))&gt;0)</f>
        <v>0</v>
      </c>
      <c r="T182" s="127" t="n">
        <f aca="false">IF(IFERROR(INDEX(tsk_Name,GanttView[[#This Row],[_Row]])="",TRUE()),0,N(INDEX(tsk_Deadline,GanttView[[#This Row],[_Row]])))</f>
        <v>0</v>
      </c>
      <c r="U182" s="126" t="b">
        <f aca="false">IF(IFERROR(INDEX(tsk_Name,GanttView[[#This Row],[_Row]])="",TRUE()),FALSE(),INDEX(tsk_Critical,GanttView[[#This Row],[_Row]])="Yes")</f>
        <v>0</v>
      </c>
    </row>
    <row r="183" customFormat="false" ht="15" hidden="false" customHeight="false" outlineLevel="0" collapsed="false">
      <c r="A183" s="120" t="str">
        <f aca="false">IF(IFERROR(INDEX(tsk_Name,GanttView[[#This Row],[_Row]])="",TRUE()),"",INDEX(tsk_ID,GanttView[[#This Row],[_Row]]))</f>
        <v/>
      </c>
      <c r="B183" s="120" t="str">
        <f aca="false">IF(IFERROR(INDEX(tsk_Name,GanttView[[#This Row],[_Row]])="",TRUE()),"",INDEX(tsk_WBS,GanttView[[#This Row],[_Row]]))</f>
        <v/>
      </c>
      <c r="C183" s="121" t="str">
        <f aca="false">IF(IFERROR(INDEX(tsk_Name,GanttView[[#This Row],[_Row]])="",TRUE()),"",REPT("    ",INDEX(tsk_Level,GanttView[[#This Row],[_Row]])-1)&amp;INDEX(tsk_Name,GanttView[[#This Row],[_Row]]))</f>
        <v/>
      </c>
      <c r="D183" s="120" t="str">
        <f aca="false">IF(IFERROR(INDEX(tsk_Name,GanttView[[#This Row],[_Row]])="",TRUE()),"",IF(INDEX(tsk_IsSummary,GanttView[[#This Row],[_Row]]),NETWORKDAYS.INTL(INDEX(tsk_FcStart,GanttView[[#This Row],[_Row]]),INDEX(tsk_FcFinish,GanttView[[#This Row],[_Row]]),WorkWeek,Holidays),N(INDEX(tsk_Duration,GanttView[[#This Row],[_Row]]))))</f>
        <v/>
      </c>
      <c r="E183" s="122" t="str">
        <f aca="false">IF(IFERROR(INDEX(tsk_Name,GanttView[[#This Row],[_Row]])="",TRUE()),"",INDEX(tsk_PlanStart,GanttView[[#This Row],[_Row]]))</f>
        <v/>
      </c>
      <c r="F183" s="122" t="str">
        <f aca="false">IF(IFERROR(INDEX(tsk_Name,GanttView[[#This Row],[_Row]])="",TRUE()),"",INDEX(tsk_PlanFinish,GanttView[[#This Row],[_Row]]))</f>
        <v/>
      </c>
      <c r="G183" s="122" t="str">
        <f aca="false">IF(IFERROR(INDEX(tsk_Name,GanttView[[#This Row],[_Row]])="",TRUE()),"",INDEX(tsk_FcStart,GanttView[[#This Row],[_Row]]))</f>
        <v/>
      </c>
      <c r="H183" s="122" t="str">
        <f aca="false">IF(IFERROR(INDEX(tsk_Name,GanttView[[#This Row],[_Row]])="",TRUE()),"",INDEX(tsk_FcFinish,GanttView[[#This Row],[_Row]]))</f>
        <v/>
      </c>
      <c r="I183" s="123" t="str">
        <f aca="false">IF(IFERROR(INDEX(tsk_Name,GanttView[[#This Row],[_Row]])="",TRUE()),"",INDEX(tsk_Progress,GanttView[[#This Row],[_Row]]))</f>
        <v/>
      </c>
      <c r="J183" s="121" t="str">
        <f aca="false">IF(IFERROR(INDEX(tsk_Name,GanttView[[#This Row],[_Row]])="",TRUE()),"",INDEX(tsk_Resource,GanttView[[#This Row],[_Row]])&amp;"")</f>
        <v/>
      </c>
      <c r="K183" s="124" t="str">
        <f aca="false">IF(IFERROR(INDEX(tsk_Name,GanttView[[#This Row],[_Row]])="",TRUE()),"",INDEX(tsk_Status,GanttView[[#This Row],[_Row]]))</f>
        <v/>
      </c>
      <c r="L183" s="125" t="n">
        <f aca="false">ROW()-ROW(GanttView[[#Headers],[ID]])</f>
        <v>178</v>
      </c>
      <c r="M183" s="126" t="b">
        <f aca="false">IF(IFERROR(INDEX(tsk_Name,GanttView[[#This Row],[_Row]])="",TRUE()),FALSE(),INDEX(tsk_IsSummary,GanttView[[#This Row],[_Row]]))</f>
        <v>0</v>
      </c>
      <c r="N183" s="126" t="b">
        <f aca="false">IF(IFERROR(INDEX(tsk_Name,GanttView[[#This Row],[_Row]])="",TRUE()),FALSE(),AND(INDEX(tsk_IsLeaf,GanttView[[#This Row],[_Row]])=1,N(INDEX(tsk_Duration,GanttView[[#This Row],[_Row]]))=0))</f>
        <v>0</v>
      </c>
      <c r="O183" s="127" t="n">
        <f aca="false">IF(IFERROR(INDEX(tsk_Name,GanttView[[#This Row],[_Row]])="",TRUE()),0,IF(AND(INDEX(tsk_IsLeaf,GanttView[[#This Row],[_Row]])=1,NOT(GanttView[[#This Row],[_IsMilestone]]),N(GanttView[[#This Row],[%]])&gt;0),GanttView[[#This Row],[Forecast Start]],0))</f>
        <v>0</v>
      </c>
      <c r="P183" s="127" t="n">
        <f aca="false">IF(GanttView[[#This Row],[_DoneFrom]]=0,0,IF(GanttView[[#This Row],[%]]&gt;=1,GanttView[[#This Row],[Forecast Finish]],MAX(GanttView[[#This Row],[_DoneFrom]],GanttView[[#This Row],[Forecast Start]]+ROUND((GanttView[[#This Row],[Forecast Finish]]-GanttView[[#This Row],[Forecast Start]]+1)*GanttView[[#This Row],[%]],0)-1)))</f>
        <v>0</v>
      </c>
      <c r="Q183" s="127" t="n">
        <f aca="false">IF(IFERROR(INDEX(tsk_Name,GanttView[[#This Row],[_Row]])="",TRUE()),0,IF(OR(INDEX(tsk_IsLeaf,GanttView[[#This Row],[_Row]])&lt;&gt;1,GanttView[[#This Row],[_IsMilestone]],N(GanttView[[#This Row],[%]])&gt;=1),0,IF(GanttView[[#This Row],[_DoneTo]]&gt;0,GanttView[[#This Row],[_DoneTo]]+1,GanttView[[#This Row],[Forecast Start]])))</f>
        <v>0</v>
      </c>
      <c r="R183" s="127" t="n">
        <f aca="false">IF(GanttView[[#This Row],[_RemFrom]]=0,0,GanttView[[#This Row],[Forecast Finish]])</f>
        <v>0</v>
      </c>
      <c r="S183" s="126" t="b">
        <f aca="false">IF(IFERROR(INDEX(tsk_Name,GanttView[[#This Row],[_Row]])="",TRUE()),FALSE(),N(INDEX(tsk_Variance,GanttView[[#This Row],[_Row]]))&gt;0)</f>
        <v>0</v>
      </c>
      <c r="T183" s="127" t="n">
        <f aca="false">IF(IFERROR(INDEX(tsk_Name,GanttView[[#This Row],[_Row]])="",TRUE()),0,N(INDEX(tsk_Deadline,GanttView[[#This Row],[_Row]])))</f>
        <v>0</v>
      </c>
      <c r="U183" s="126" t="b">
        <f aca="false">IF(IFERROR(INDEX(tsk_Name,GanttView[[#This Row],[_Row]])="",TRUE()),FALSE(),INDEX(tsk_Critical,GanttView[[#This Row],[_Row]])="Yes")</f>
        <v>0</v>
      </c>
    </row>
    <row r="184" customFormat="false" ht="15" hidden="false" customHeight="false" outlineLevel="0" collapsed="false">
      <c r="A184" s="120" t="str">
        <f aca="false">IF(IFERROR(INDEX(tsk_Name,GanttView[[#This Row],[_Row]])="",TRUE()),"",INDEX(tsk_ID,GanttView[[#This Row],[_Row]]))</f>
        <v/>
      </c>
      <c r="B184" s="120" t="str">
        <f aca="false">IF(IFERROR(INDEX(tsk_Name,GanttView[[#This Row],[_Row]])="",TRUE()),"",INDEX(tsk_WBS,GanttView[[#This Row],[_Row]]))</f>
        <v/>
      </c>
      <c r="C184" s="121" t="str">
        <f aca="false">IF(IFERROR(INDEX(tsk_Name,GanttView[[#This Row],[_Row]])="",TRUE()),"",REPT("    ",INDEX(tsk_Level,GanttView[[#This Row],[_Row]])-1)&amp;INDEX(tsk_Name,GanttView[[#This Row],[_Row]]))</f>
        <v/>
      </c>
      <c r="D184" s="120" t="str">
        <f aca="false">IF(IFERROR(INDEX(tsk_Name,GanttView[[#This Row],[_Row]])="",TRUE()),"",IF(INDEX(tsk_IsSummary,GanttView[[#This Row],[_Row]]),NETWORKDAYS.INTL(INDEX(tsk_FcStart,GanttView[[#This Row],[_Row]]),INDEX(tsk_FcFinish,GanttView[[#This Row],[_Row]]),WorkWeek,Holidays),N(INDEX(tsk_Duration,GanttView[[#This Row],[_Row]]))))</f>
        <v/>
      </c>
      <c r="E184" s="122" t="str">
        <f aca="false">IF(IFERROR(INDEX(tsk_Name,GanttView[[#This Row],[_Row]])="",TRUE()),"",INDEX(tsk_PlanStart,GanttView[[#This Row],[_Row]]))</f>
        <v/>
      </c>
      <c r="F184" s="122" t="str">
        <f aca="false">IF(IFERROR(INDEX(tsk_Name,GanttView[[#This Row],[_Row]])="",TRUE()),"",INDEX(tsk_PlanFinish,GanttView[[#This Row],[_Row]]))</f>
        <v/>
      </c>
      <c r="G184" s="122" t="str">
        <f aca="false">IF(IFERROR(INDEX(tsk_Name,GanttView[[#This Row],[_Row]])="",TRUE()),"",INDEX(tsk_FcStart,GanttView[[#This Row],[_Row]]))</f>
        <v/>
      </c>
      <c r="H184" s="122" t="str">
        <f aca="false">IF(IFERROR(INDEX(tsk_Name,GanttView[[#This Row],[_Row]])="",TRUE()),"",INDEX(tsk_FcFinish,GanttView[[#This Row],[_Row]]))</f>
        <v/>
      </c>
      <c r="I184" s="123" t="str">
        <f aca="false">IF(IFERROR(INDEX(tsk_Name,GanttView[[#This Row],[_Row]])="",TRUE()),"",INDEX(tsk_Progress,GanttView[[#This Row],[_Row]]))</f>
        <v/>
      </c>
      <c r="J184" s="121" t="str">
        <f aca="false">IF(IFERROR(INDEX(tsk_Name,GanttView[[#This Row],[_Row]])="",TRUE()),"",INDEX(tsk_Resource,GanttView[[#This Row],[_Row]])&amp;"")</f>
        <v/>
      </c>
      <c r="K184" s="124" t="str">
        <f aca="false">IF(IFERROR(INDEX(tsk_Name,GanttView[[#This Row],[_Row]])="",TRUE()),"",INDEX(tsk_Status,GanttView[[#This Row],[_Row]]))</f>
        <v/>
      </c>
      <c r="L184" s="125" t="n">
        <f aca="false">ROW()-ROW(GanttView[[#Headers],[ID]])</f>
        <v>179</v>
      </c>
      <c r="M184" s="126" t="b">
        <f aca="false">IF(IFERROR(INDEX(tsk_Name,GanttView[[#This Row],[_Row]])="",TRUE()),FALSE(),INDEX(tsk_IsSummary,GanttView[[#This Row],[_Row]]))</f>
        <v>0</v>
      </c>
      <c r="N184" s="126" t="b">
        <f aca="false">IF(IFERROR(INDEX(tsk_Name,GanttView[[#This Row],[_Row]])="",TRUE()),FALSE(),AND(INDEX(tsk_IsLeaf,GanttView[[#This Row],[_Row]])=1,N(INDEX(tsk_Duration,GanttView[[#This Row],[_Row]]))=0))</f>
        <v>0</v>
      </c>
      <c r="O184" s="127" t="n">
        <f aca="false">IF(IFERROR(INDEX(tsk_Name,GanttView[[#This Row],[_Row]])="",TRUE()),0,IF(AND(INDEX(tsk_IsLeaf,GanttView[[#This Row],[_Row]])=1,NOT(GanttView[[#This Row],[_IsMilestone]]),N(GanttView[[#This Row],[%]])&gt;0),GanttView[[#This Row],[Forecast Start]],0))</f>
        <v>0</v>
      </c>
      <c r="P184" s="127" t="n">
        <f aca="false">IF(GanttView[[#This Row],[_DoneFrom]]=0,0,IF(GanttView[[#This Row],[%]]&gt;=1,GanttView[[#This Row],[Forecast Finish]],MAX(GanttView[[#This Row],[_DoneFrom]],GanttView[[#This Row],[Forecast Start]]+ROUND((GanttView[[#This Row],[Forecast Finish]]-GanttView[[#This Row],[Forecast Start]]+1)*GanttView[[#This Row],[%]],0)-1)))</f>
        <v>0</v>
      </c>
      <c r="Q184" s="127" t="n">
        <f aca="false">IF(IFERROR(INDEX(tsk_Name,GanttView[[#This Row],[_Row]])="",TRUE()),0,IF(OR(INDEX(tsk_IsLeaf,GanttView[[#This Row],[_Row]])&lt;&gt;1,GanttView[[#This Row],[_IsMilestone]],N(GanttView[[#This Row],[%]])&gt;=1),0,IF(GanttView[[#This Row],[_DoneTo]]&gt;0,GanttView[[#This Row],[_DoneTo]]+1,GanttView[[#This Row],[Forecast Start]])))</f>
        <v>0</v>
      </c>
      <c r="R184" s="127" t="n">
        <f aca="false">IF(GanttView[[#This Row],[_RemFrom]]=0,0,GanttView[[#This Row],[Forecast Finish]])</f>
        <v>0</v>
      </c>
      <c r="S184" s="126" t="b">
        <f aca="false">IF(IFERROR(INDEX(tsk_Name,GanttView[[#This Row],[_Row]])="",TRUE()),FALSE(),N(INDEX(tsk_Variance,GanttView[[#This Row],[_Row]]))&gt;0)</f>
        <v>0</v>
      </c>
      <c r="T184" s="127" t="n">
        <f aca="false">IF(IFERROR(INDEX(tsk_Name,GanttView[[#This Row],[_Row]])="",TRUE()),0,N(INDEX(tsk_Deadline,GanttView[[#This Row],[_Row]])))</f>
        <v>0</v>
      </c>
      <c r="U184" s="126" t="b">
        <f aca="false">IF(IFERROR(INDEX(tsk_Name,GanttView[[#This Row],[_Row]])="",TRUE()),FALSE(),INDEX(tsk_Critical,GanttView[[#This Row],[_Row]])="Yes")</f>
        <v>0</v>
      </c>
    </row>
    <row r="185" customFormat="false" ht="15" hidden="false" customHeight="false" outlineLevel="0" collapsed="false">
      <c r="A185" s="120" t="str">
        <f aca="false">IF(IFERROR(INDEX(tsk_Name,GanttView[[#This Row],[_Row]])="",TRUE()),"",INDEX(tsk_ID,GanttView[[#This Row],[_Row]]))</f>
        <v/>
      </c>
      <c r="B185" s="120" t="str">
        <f aca="false">IF(IFERROR(INDEX(tsk_Name,GanttView[[#This Row],[_Row]])="",TRUE()),"",INDEX(tsk_WBS,GanttView[[#This Row],[_Row]]))</f>
        <v/>
      </c>
      <c r="C185" s="121" t="str">
        <f aca="false">IF(IFERROR(INDEX(tsk_Name,GanttView[[#This Row],[_Row]])="",TRUE()),"",REPT("    ",INDEX(tsk_Level,GanttView[[#This Row],[_Row]])-1)&amp;INDEX(tsk_Name,GanttView[[#This Row],[_Row]]))</f>
        <v/>
      </c>
      <c r="D185" s="120" t="str">
        <f aca="false">IF(IFERROR(INDEX(tsk_Name,GanttView[[#This Row],[_Row]])="",TRUE()),"",IF(INDEX(tsk_IsSummary,GanttView[[#This Row],[_Row]]),NETWORKDAYS.INTL(INDEX(tsk_FcStart,GanttView[[#This Row],[_Row]]),INDEX(tsk_FcFinish,GanttView[[#This Row],[_Row]]),WorkWeek,Holidays),N(INDEX(tsk_Duration,GanttView[[#This Row],[_Row]]))))</f>
        <v/>
      </c>
      <c r="E185" s="122" t="str">
        <f aca="false">IF(IFERROR(INDEX(tsk_Name,GanttView[[#This Row],[_Row]])="",TRUE()),"",INDEX(tsk_PlanStart,GanttView[[#This Row],[_Row]]))</f>
        <v/>
      </c>
      <c r="F185" s="122" t="str">
        <f aca="false">IF(IFERROR(INDEX(tsk_Name,GanttView[[#This Row],[_Row]])="",TRUE()),"",INDEX(tsk_PlanFinish,GanttView[[#This Row],[_Row]]))</f>
        <v/>
      </c>
      <c r="G185" s="122" t="str">
        <f aca="false">IF(IFERROR(INDEX(tsk_Name,GanttView[[#This Row],[_Row]])="",TRUE()),"",INDEX(tsk_FcStart,GanttView[[#This Row],[_Row]]))</f>
        <v/>
      </c>
      <c r="H185" s="122" t="str">
        <f aca="false">IF(IFERROR(INDEX(tsk_Name,GanttView[[#This Row],[_Row]])="",TRUE()),"",INDEX(tsk_FcFinish,GanttView[[#This Row],[_Row]]))</f>
        <v/>
      </c>
      <c r="I185" s="123" t="str">
        <f aca="false">IF(IFERROR(INDEX(tsk_Name,GanttView[[#This Row],[_Row]])="",TRUE()),"",INDEX(tsk_Progress,GanttView[[#This Row],[_Row]]))</f>
        <v/>
      </c>
      <c r="J185" s="121" t="str">
        <f aca="false">IF(IFERROR(INDEX(tsk_Name,GanttView[[#This Row],[_Row]])="",TRUE()),"",INDEX(tsk_Resource,GanttView[[#This Row],[_Row]])&amp;"")</f>
        <v/>
      </c>
      <c r="K185" s="124" t="str">
        <f aca="false">IF(IFERROR(INDEX(tsk_Name,GanttView[[#This Row],[_Row]])="",TRUE()),"",INDEX(tsk_Status,GanttView[[#This Row],[_Row]]))</f>
        <v/>
      </c>
      <c r="L185" s="125" t="n">
        <f aca="false">ROW()-ROW(GanttView[[#Headers],[ID]])</f>
        <v>180</v>
      </c>
      <c r="M185" s="126" t="b">
        <f aca="false">IF(IFERROR(INDEX(tsk_Name,GanttView[[#This Row],[_Row]])="",TRUE()),FALSE(),INDEX(tsk_IsSummary,GanttView[[#This Row],[_Row]]))</f>
        <v>0</v>
      </c>
      <c r="N185" s="126" t="b">
        <f aca="false">IF(IFERROR(INDEX(tsk_Name,GanttView[[#This Row],[_Row]])="",TRUE()),FALSE(),AND(INDEX(tsk_IsLeaf,GanttView[[#This Row],[_Row]])=1,N(INDEX(tsk_Duration,GanttView[[#This Row],[_Row]]))=0))</f>
        <v>0</v>
      </c>
      <c r="O185" s="127" t="n">
        <f aca="false">IF(IFERROR(INDEX(tsk_Name,GanttView[[#This Row],[_Row]])="",TRUE()),0,IF(AND(INDEX(tsk_IsLeaf,GanttView[[#This Row],[_Row]])=1,NOT(GanttView[[#This Row],[_IsMilestone]]),N(GanttView[[#This Row],[%]])&gt;0),GanttView[[#This Row],[Forecast Start]],0))</f>
        <v>0</v>
      </c>
      <c r="P185" s="127" t="n">
        <f aca="false">IF(GanttView[[#This Row],[_DoneFrom]]=0,0,IF(GanttView[[#This Row],[%]]&gt;=1,GanttView[[#This Row],[Forecast Finish]],MAX(GanttView[[#This Row],[_DoneFrom]],GanttView[[#This Row],[Forecast Start]]+ROUND((GanttView[[#This Row],[Forecast Finish]]-GanttView[[#This Row],[Forecast Start]]+1)*GanttView[[#This Row],[%]],0)-1)))</f>
        <v>0</v>
      </c>
      <c r="Q185" s="127" t="n">
        <f aca="false">IF(IFERROR(INDEX(tsk_Name,GanttView[[#This Row],[_Row]])="",TRUE()),0,IF(OR(INDEX(tsk_IsLeaf,GanttView[[#This Row],[_Row]])&lt;&gt;1,GanttView[[#This Row],[_IsMilestone]],N(GanttView[[#This Row],[%]])&gt;=1),0,IF(GanttView[[#This Row],[_DoneTo]]&gt;0,GanttView[[#This Row],[_DoneTo]]+1,GanttView[[#This Row],[Forecast Start]])))</f>
        <v>0</v>
      </c>
      <c r="R185" s="127" t="n">
        <f aca="false">IF(GanttView[[#This Row],[_RemFrom]]=0,0,GanttView[[#This Row],[Forecast Finish]])</f>
        <v>0</v>
      </c>
      <c r="S185" s="126" t="b">
        <f aca="false">IF(IFERROR(INDEX(tsk_Name,GanttView[[#This Row],[_Row]])="",TRUE()),FALSE(),N(INDEX(tsk_Variance,GanttView[[#This Row],[_Row]]))&gt;0)</f>
        <v>0</v>
      </c>
      <c r="T185" s="127" t="n">
        <f aca="false">IF(IFERROR(INDEX(tsk_Name,GanttView[[#This Row],[_Row]])="",TRUE()),0,N(INDEX(tsk_Deadline,GanttView[[#This Row],[_Row]])))</f>
        <v>0</v>
      </c>
      <c r="U185" s="126" t="b">
        <f aca="false">IF(IFERROR(INDEX(tsk_Name,GanttView[[#This Row],[_Row]])="",TRUE()),FALSE(),INDEX(tsk_Critical,GanttView[[#This Row],[_Row]])="Yes")</f>
        <v>0</v>
      </c>
    </row>
    <row r="186" customFormat="false" ht="15" hidden="false" customHeight="false" outlineLevel="0" collapsed="false">
      <c r="A186" s="120" t="str">
        <f aca="false">IF(IFERROR(INDEX(tsk_Name,GanttView[[#This Row],[_Row]])="",TRUE()),"",INDEX(tsk_ID,GanttView[[#This Row],[_Row]]))</f>
        <v/>
      </c>
      <c r="B186" s="120" t="str">
        <f aca="false">IF(IFERROR(INDEX(tsk_Name,GanttView[[#This Row],[_Row]])="",TRUE()),"",INDEX(tsk_WBS,GanttView[[#This Row],[_Row]]))</f>
        <v/>
      </c>
      <c r="C186" s="121" t="str">
        <f aca="false">IF(IFERROR(INDEX(tsk_Name,GanttView[[#This Row],[_Row]])="",TRUE()),"",REPT("    ",INDEX(tsk_Level,GanttView[[#This Row],[_Row]])-1)&amp;INDEX(tsk_Name,GanttView[[#This Row],[_Row]]))</f>
        <v/>
      </c>
      <c r="D186" s="120" t="str">
        <f aca="false">IF(IFERROR(INDEX(tsk_Name,GanttView[[#This Row],[_Row]])="",TRUE()),"",IF(INDEX(tsk_IsSummary,GanttView[[#This Row],[_Row]]),NETWORKDAYS.INTL(INDEX(tsk_FcStart,GanttView[[#This Row],[_Row]]),INDEX(tsk_FcFinish,GanttView[[#This Row],[_Row]]),WorkWeek,Holidays),N(INDEX(tsk_Duration,GanttView[[#This Row],[_Row]]))))</f>
        <v/>
      </c>
      <c r="E186" s="122" t="str">
        <f aca="false">IF(IFERROR(INDEX(tsk_Name,GanttView[[#This Row],[_Row]])="",TRUE()),"",INDEX(tsk_PlanStart,GanttView[[#This Row],[_Row]]))</f>
        <v/>
      </c>
      <c r="F186" s="122" t="str">
        <f aca="false">IF(IFERROR(INDEX(tsk_Name,GanttView[[#This Row],[_Row]])="",TRUE()),"",INDEX(tsk_PlanFinish,GanttView[[#This Row],[_Row]]))</f>
        <v/>
      </c>
      <c r="G186" s="122" t="str">
        <f aca="false">IF(IFERROR(INDEX(tsk_Name,GanttView[[#This Row],[_Row]])="",TRUE()),"",INDEX(tsk_FcStart,GanttView[[#This Row],[_Row]]))</f>
        <v/>
      </c>
      <c r="H186" s="122" t="str">
        <f aca="false">IF(IFERROR(INDEX(tsk_Name,GanttView[[#This Row],[_Row]])="",TRUE()),"",INDEX(tsk_FcFinish,GanttView[[#This Row],[_Row]]))</f>
        <v/>
      </c>
      <c r="I186" s="123" t="str">
        <f aca="false">IF(IFERROR(INDEX(tsk_Name,GanttView[[#This Row],[_Row]])="",TRUE()),"",INDEX(tsk_Progress,GanttView[[#This Row],[_Row]]))</f>
        <v/>
      </c>
      <c r="J186" s="121" t="str">
        <f aca="false">IF(IFERROR(INDEX(tsk_Name,GanttView[[#This Row],[_Row]])="",TRUE()),"",INDEX(tsk_Resource,GanttView[[#This Row],[_Row]])&amp;"")</f>
        <v/>
      </c>
      <c r="K186" s="124" t="str">
        <f aca="false">IF(IFERROR(INDEX(tsk_Name,GanttView[[#This Row],[_Row]])="",TRUE()),"",INDEX(tsk_Status,GanttView[[#This Row],[_Row]]))</f>
        <v/>
      </c>
      <c r="L186" s="125" t="n">
        <f aca="false">ROW()-ROW(GanttView[[#Headers],[ID]])</f>
        <v>181</v>
      </c>
      <c r="M186" s="126" t="b">
        <f aca="false">IF(IFERROR(INDEX(tsk_Name,GanttView[[#This Row],[_Row]])="",TRUE()),FALSE(),INDEX(tsk_IsSummary,GanttView[[#This Row],[_Row]]))</f>
        <v>0</v>
      </c>
      <c r="N186" s="126" t="b">
        <f aca="false">IF(IFERROR(INDEX(tsk_Name,GanttView[[#This Row],[_Row]])="",TRUE()),FALSE(),AND(INDEX(tsk_IsLeaf,GanttView[[#This Row],[_Row]])=1,N(INDEX(tsk_Duration,GanttView[[#This Row],[_Row]]))=0))</f>
        <v>0</v>
      </c>
      <c r="O186" s="127" t="n">
        <f aca="false">IF(IFERROR(INDEX(tsk_Name,GanttView[[#This Row],[_Row]])="",TRUE()),0,IF(AND(INDEX(tsk_IsLeaf,GanttView[[#This Row],[_Row]])=1,NOT(GanttView[[#This Row],[_IsMilestone]]),N(GanttView[[#This Row],[%]])&gt;0),GanttView[[#This Row],[Forecast Start]],0))</f>
        <v>0</v>
      </c>
      <c r="P186" s="127" t="n">
        <f aca="false">IF(GanttView[[#This Row],[_DoneFrom]]=0,0,IF(GanttView[[#This Row],[%]]&gt;=1,GanttView[[#This Row],[Forecast Finish]],MAX(GanttView[[#This Row],[_DoneFrom]],GanttView[[#This Row],[Forecast Start]]+ROUND((GanttView[[#This Row],[Forecast Finish]]-GanttView[[#This Row],[Forecast Start]]+1)*GanttView[[#This Row],[%]],0)-1)))</f>
        <v>0</v>
      </c>
      <c r="Q186" s="127" t="n">
        <f aca="false">IF(IFERROR(INDEX(tsk_Name,GanttView[[#This Row],[_Row]])="",TRUE()),0,IF(OR(INDEX(tsk_IsLeaf,GanttView[[#This Row],[_Row]])&lt;&gt;1,GanttView[[#This Row],[_IsMilestone]],N(GanttView[[#This Row],[%]])&gt;=1),0,IF(GanttView[[#This Row],[_DoneTo]]&gt;0,GanttView[[#This Row],[_DoneTo]]+1,GanttView[[#This Row],[Forecast Start]])))</f>
        <v>0</v>
      </c>
      <c r="R186" s="127" t="n">
        <f aca="false">IF(GanttView[[#This Row],[_RemFrom]]=0,0,GanttView[[#This Row],[Forecast Finish]])</f>
        <v>0</v>
      </c>
      <c r="S186" s="126" t="b">
        <f aca="false">IF(IFERROR(INDEX(tsk_Name,GanttView[[#This Row],[_Row]])="",TRUE()),FALSE(),N(INDEX(tsk_Variance,GanttView[[#This Row],[_Row]]))&gt;0)</f>
        <v>0</v>
      </c>
      <c r="T186" s="127" t="n">
        <f aca="false">IF(IFERROR(INDEX(tsk_Name,GanttView[[#This Row],[_Row]])="",TRUE()),0,N(INDEX(tsk_Deadline,GanttView[[#This Row],[_Row]])))</f>
        <v>0</v>
      </c>
      <c r="U186" s="126" t="b">
        <f aca="false">IF(IFERROR(INDEX(tsk_Name,GanttView[[#This Row],[_Row]])="",TRUE()),FALSE(),INDEX(tsk_Critical,GanttView[[#This Row],[_Row]])="Yes")</f>
        <v>0</v>
      </c>
    </row>
    <row r="187" customFormat="false" ht="15" hidden="false" customHeight="false" outlineLevel="0" collapsed="false">
      <c r="A187" s="120" t="str">
        <f aca="false">IF(IFERROR(INDEX(tsk_Name,GanttView[[#This Row],[_Row]])="",TRUE()),"",INDEX(tsk_ID,GanttView[[#This Row],[_Row]]))</f>
        <v/>
      </c>
      <c r="B187" s="120" t="str">
        <f aca="false">IF(IFERROR(INDEX(tsk_Name,GanttView[[#This Row],[_Row]])="",TRUE()),"",INDEX(tsk_WBS,GanttView[[#This Row],[_Row]]))</f>
        <v/>
      </c>
      <c r="C187" s="121" t="str">
        <f aca="false">IF(IFERROR(INDEX(tsk_Name,GanttView[[#This Row],[_Row]])="",TRUE()),"",REPT("    ",INDEX(tsk_Level,GanttView[[#This Row],[_Row]])-1)&amp;INDEX(tsk_Name,GanttView[[#This Row],[_Row]]))</f>
        <v/>
      </c>
      <c r="D187" s="120" t="str">
        <f aca="false">IF(IFERROR(INDEX(tsk_Name,GanttView[[#This Row],[_Row]])="",TRUE()),"",IF(INDEX(tsk_IsSummary,GanttView[[#This Row],[_Row]]),NETWORKDAYS.INTL(INDEX(tsk_FcStart,GanttView[[#This Row],[_Row]]),INDEX(tsk_FcFinish,GanttView[[#This Row],[_Row]]),WorkWeek,Holidays),N(INDEX(tsk_Duration,GanttView[[#This Row],[_Row]]))))</f>
        <v/>
      </c>
      <c r="E187" s="122" t="str">
        <f aca="false">IF(IFERROR(INDEX(tsk_Name,GanttView[[#This Row],[_Row]])="",TRUE()),"",INDEX(tsk_PlanStart,GanttView[[#This Row],[_Row]]))</f>
        <v/>
      </c>
      <c r="F187" s="122" t="str">
        <f aca="false">IF(IFERROR(INDEX(tsk_Name,GanttView[[#This Row],[_Row]])="",TRUE()),"",INDEX(tsk_PlanFinish,GanttView[[#This Row],[_Row]]))</f>
        <v/>
      </c>
      <c r="G187" s="122" t="str">
        <f aca="false">IF(IFERROR(INDEX(tsk_Name,GanttView[[#This Row],[_Row]])="",TRUE()),"",INDEX(tsk_FcStart,GanttView[[#This Row],[_Row]]))</f>
        <v/>
      </c>
      <c r="H187" s="122" t="str">
        <f aca="false">IF(IFERROR(INDEX(tsk_Name,GanttView[[#This Row],[_Row]])="",TRUE()),"",INDEX(tsk_FcFinish,GanttView[[#This Row],[_Row]]))</f>
        <v/>
      </c>
      <c r="I187" s="123" t="str">
        <f aca="false">IF(IFERROR(INDEX(tsk_Name,GanttView[[#This Row],[_Row]])="",TRUE()),"",INDEX(tsk_Progress,GanttView[[#This Row],[_Row]]))</f>
        <v/>
      </c>
      <c r="J187" s="121" t="str">
        <f aca="false">IF(IFERROR(INDEX(tsk_Name,GanttView[[#This Row],[_Row]])="",TRUE()),"",INDEX(tsk_Resource,GanttView[[#This Row],[_Row]])&amp;"")</f>
        <v/>
      </c>
      <c r="K187" s="124" t="str">
        <f aca="false">IF(IFERROR(INDEX(tsk_Name,GanttView[[#This Row],[_Row]])="",TRUE()),"",INDEX(tsk_Status,GanttView[[#This Row],[_Row]]))</f>
        <v/>
      </c>
      <c r="L187" s="125" t="n">
        <f aca="false">ROW()-ROW(GanttView[[#Headers],[ID]])</f>
        <v>182</v>
      </c>
      <c r="M187" s="126" t="b">
        <f aca="false">IF(IFERROR(INDEX(tsk_Name,GanttView[[#This Row],[_Row]])="",TRUE()),FALSE(),INDEX(tsk_IsSummary,GanttView[[#This Row],[_Row]]))</f>
        <v>0</v>
      </c>
      <c r="N187" s="126" t="b">
        <f aca="false">IF(IFERROR(INDEX(tsk_Name,GanttView[[#This Row],[_Row]])="",TRUE()),FALSE(),AND(INDEX(tsk_IsLeaf,GanttView[[#This Row],[_Row]])=1,N(INDEX(tsk_Duration,GanttView[[#This Row],[_Row]]))=0))</f>
        <v>0</v>
      </c>
      <c r="O187" s="127" t="n">
        <f aca="false">IF(IFERROR(INDEX(tsk_Name,GanttView[[#This Row],[_Row]])="",TRUE()),0,IF(AND(INDEX(tsk_IsLeaf,GanttView[[#This Row],[_Row]])=1,NOT(GanttView[[#This Row],[_IsMilestone]]),N(GanttView[[#This Row],[%]])&gt;0),GanttView[[#This Row],[Forecast Start]],0))</f>
        <v>0</v>
      </c>
      <c r="P187" s="127" t="n">
        <f aca="false">IF(GanttView[[#This Row],[_DoneFrom]]=0,0,IF(GanttView[[#This Row],[%]]&gt;=1,GanttView[[#This Row],[Forecast Finish]],MAX(GanttView[[#This Row],[_DoneFrom]],GanttView[[#This Row],[Forecast Start]]+ROUND((GanttView[[#This Row],[Forecast Finish]]-GanttView[[#This Row],[Forecast Start]]+1)*GanttView[[#This Row],[%]],0)-1)))</f>
        <v>0</v>
      </c>
      <c r="Q187" s="127" t="n">
        <f aca="false">IF(IFERROR(INDEX(tsk_Name,GanttView[[#This Row],[_Row]])="",TRUE()),0,IF(OR(INDEX(tsk_IsLeaf,GanttView[[#This Row],[_Row]])&lt;&gt;1,GanttView[[#This Row],[_IsMilestone]],N(GanttView[[#This Row],[%]])&gt;=1),0,IF(GanttView[[#This Row],[_DoneTo]]&gt;0,GanttView[[#This Row],[_DoneTo]]+1,GanttView[[#This Row],[Forecast Start]])))</f>
        <v>0</v>
      </c>
      <c r="R187" s="127" t="n">
        <f aca="false">IF(GanttView[[#This Row],[_RemFrom]]=0,0,GanttView[[#This Row],[Forecast Finish]])</f>
        <v>0</v>
      </c>
      <c r="S187" s="126" t="b">
        <f aca="false">IF(IFERROR(INDEX(tsk_Name,GanttView[[#This Row],[_Row]])="",TRUE()),FALSE(),N(INDEX(tsk_Variance,GanttView[[#This Row],[_Row]]))&gt;0)</f>
        <v>0</v>
      </c>
      <c r="T187" s="127" t="n">
        <f aca="false">IF(IFERROR(INDEX(tsk_Name,GanttView[[#This Row],[_Row]])="",TRUE()),0,N(INDEX(tsk_Deadline,GanttView[[#This Row],[_Row]])))</f>
        <v>0</v>
      </c>
      <c r="U187" s="126" t="b">
        <f aca="false">IF(IFERROR(INDEX(tsk_Name,GanttView[[#This Row],[_Row]])="",TRUE()),FALSE(),INDEX(tsk_Critical,GanttView[[#This Row],[_Row]])="Yes")</f>
        <v>0</v>
      </c>
    </row>
    <row r="188" customFormat="false" ht="15" hidden="false" customHeight="false" outlineLevel="0" collapsed="false">
      <c r="A188" s="120" t="str">
        <f aca="false">IF(IFERROR(INDEX(tsk_Name,GanttView[[#This Row],[_Row]])="",TRUE()),"",INDEX(tsk_ID,GanttView[[#This Row],[_Row]]))</f>
        <v/>
      </c>
      <c r="B188" s="120" t="str">
        <f aca="false">IF(IFERROR(INDEX(tsk_Name,GanttView[[#This Row],[_Row]])="",TRUE()),"",INDEX(tsk_WBS,GanttView[[#This Row],[_Row]]))</f>
        <v/>
      </c>
      <c r="C188" s="121" t="str">
        <f aca="false">IF(IFERROR(INDEX(tsk_Name,GanttView[[#This Row],[_Row]])="",TRUE()),"",REPT("    ",INDEX(tsk_Level,GanttView[[#This Row],[_Row]])-1)&amp;INDEX(tsk_Name,GanttView[[#This Row],[_Row]]))</f>
        <v/>
      </c>
      <c r="D188" s="120" t="str">
        <f aca="false">IF(IFERROR(INDEX(tsk_Name,GanttView[[#This Row],[_Row]])="",TRUE()),"",IF(INDEX(tsk_IsSummary,GanttView[[#This Row],[_Row]]),NETWORKDAYS.INTL(INDEX(tsk_FcStart,GanttView[[#This Row],[_Row]]),INDEX(tsk_FcFinish,GanttView[[#This Row],[_Row]]),WorkWeek,Holidays),N(INDEX(tsk_Duration,GanttView[[#This Row],[_Row]]))))</f>
        <v/>
      </c>
      <c r="E188" s="122" t="str">
        <f aca="false">IF(IFERROR(INDEX(tsk_Name,GanttView[[#This Row],[_Row]])="",TRUE()),"",INDEX(tsk_PlanStart,GanttView[[#This Row],[_Row]]))</f>
        <v/>
      </c>
      <c r="F188" s="122" t="str">
        <f aca="false">IF(IFERROR(INDEX(tsk_Name,GanttView[[#This Row],[_Row]])="",TRUE()),"",INDEX(tsk_PlanFinish,GanttView[[#This Row],[_Row]]))</f>
        <v/>
      </c>
      <c r="G188" s="122" t="str">
        <f aca="false">IF(IFERROR(INDEX(tsk_Name,GanttView[[#This Row],[_Row]])="",TRUE()),"",INDEX(tsk_FcStart,GanttView[[#This Row],[_Row]]))</f>
        <v/>
      </c>
      <c r="H188" s="122" t="str">
        <f aca="false">IF(IFERROR(INDEX(tsk_Name,GanttView[[#This Row],[_Row]])="",TRUE()),"",INDEX(tsk_FcFinish,GanttView[[#This Row],[_Row]]))</f>
        <v/>
      </c>
      <c r="I188" s="123" t="str">
        <f aca="false">IF(IFERROR(INDEX(tsk_Name,GanttView[[#This Row],[_Row]])="",TRUE()),"",INDEX(tsk_Progress,GanttView[[#This Row],[_Row]]))</f>
        <v/>
      </c>
      <c r="J188" s="121" t="str">
        <f aca="false">IF(IFERROR(INDEX(tsk_Name,GanttView[[#This Row],[_Row]])="",TRUE()),"",INDEX(tsk_Resource,GanttView[[#This Row],[_Row]])&amp;"")</f>
        <v/>
      </c>
      <c r="K188" s="124" t="str">
        <f aca="false">IF(IFERROR(INDEX(tsk_Name,GanttView[[#This Row],[_Row]])="",TRUE()),"",INDEX(tsk_Status,GanttView[[#This Row],[_Row]]))</f>
        <v/>
      </c>
      <c r="L188" s="125" t="n">
        <f aca="false">ROW()-ROW(GanttView[[#Headers],[ID]])</f>
        <v>183</v>
      </c>
      <c r="M188" s="126" t="b">
        <f aca="false">IF(IFERROR(INDEX(tsk_Name,GanttView[[#This Row],[_Row]])="",TRUE()),FALSE(),INDEX(tsk_IsSummary,GanttView[[#This Row],[_Row]]))</f>
        <v>0</v>
      </c>
      <c r="N188" s="126" t="b">
        <f aca="false">IF(IFERROR(INDEX(tsk_Name,GanttView[[#This Row],[_Row]])="",TRUE()),FALSE(),AND(INDEX(tsk_IsLeaf,GanttView[[#This Row],[_Row]])=1,N(INDEX(tsk_Duration,GanttView[[#This Row],[_Row]]))=0))</f>
        <v>0</v>
      </c>
      <c r="O188" s="127" t="n">
        <f aca="false">IF(IFERROR(INDEX(tsk_Name,GanttView[[#This Row],[_Row]])="",TRUE()),0,IF(AND(INDEX(tsk_IsLeaf,GanttView[[#This Row],[_Row]])=1,NOT(GanttView[[#This Row],[_IsMilestone]]),N(GanttView[[#This Row],[%]])&gt;0),GanttView[[#This Row],[Forecast Start]],0))</f>
        <v>0</v>
      </c>
      <c r="P188" s="127" t="n">
        <f aca="false">IF(GanttView[[#This Row],[_DoneFrom]]=0,0,IF(GanttView[[#This Row],[%]]&gt;=1,GanttView[[#This Row],[Forecast Finish]],MAX(GanttView[[#This Row],[_DoneFrom]],GanttView[[#This Row],[Forecast Start]]+ROUND((GanttView[[#This Row],[Forecast Finish]]-GanttView[[#This Row],[Forecast Start]]+1)*GanttView[[#This Row],[%]],0)-1)))</f>
        <v>0</v>
      </c>
      <c r="Q188" s="127" t="n">
        <f aca="false">IF(IFERROR(INDEX(tsk_Name,GanttView[[#This Row],[_Row]])="",TRUE()),0,IF(OR(INDEX(tsk_IsLeaf,GanttView[[#This Row],[_Row]])&lt;&gt;1,GanttView[[#This Row],[_IsMilestone]],N(GanttView[[#This Row],[%]])&gt;=1),0,IF(GanttView[[#This Row],[_DoneTo]]&gt;0,GanttView[[#This Row],[_DoneTo]]+1,GanttView[[#This Row],[Forecast Start]])))</f>
        <v>0</v>
      </c>
      <c r="R188" s="127" t="n">
        <f aca="false">IF(GanttView[[#This Row],[_RemFrom]]=0,0,GanttView[[#This Row],[Forecast Finish]])</f>
        <v>0</v>
      </c>
      <c r="S188" s="126" t="b">
        <f aca="false">IF(IFERROR(INDEX(tsk_Name,GanttView[[#This Row],[_Row]])="",TRUE()),FALSE(),N(INDEX(tsk_Variance,GanttView[[#This Row],[_Row]]))&gt;0)</f>
        <v>0</v>
      </c>
      <c r="T188" s="127" t="n">
        <f aca="false">IF(IFERROR(INDEX(tsk_Name,GanttView[[#This Row],[_Row]])="",TRUE()),0,N(INDEX(tsk_Deadline,GanttView[[#This Row],[_Row]])))</f>
        <v>0</v>
      </c>
      <c r="U188" s="126" t="b">
        <f aca="false">IF(IFERROR(INDEX(tsk_Name,GanttView[[#This Row],[_Row]])="",TRUE()),FALSE(),INDEX(tsk_Critical,GanttView[[#This Row],[_Row]])="Yes")</f>
        <v>0</v>
      </c>
    </row>
    <row r="189" customFormat="false" ht="15" hidden="false" customHeight="false" outlineLevel="0" collapsed="false">
      <c r="A189" s="120" t="str">
        <f aca="false">IF(IFERROR(INDEX(tsk_Name,GanttView[[#This Row],[_Row]])="",TRUE()),"",INDEX(tsk_ID,GanttView[[#This Row],[_Row]]))</f>
        <v/>
      </c>
      <c r="B189" s="120" t="str">
        <f aca="false">IF(IFERROR(INDEX(tsk_Name,GanttView[[#This Row],[_Row]])="",TRUE()),"",INDEX(tsk_WBS,GanttView[[#This Row],[_Row]]))</f>
        <v/>
      </c>
      <c r="C189" s="121" t="str">
        <f aca="false">IF(IFERROR(INDEX(tsk_Name,GanttView[[#This Row],[_Row]])="",TRUE()),"",REPT("    ",INDEX(tsk_Level,GanttView[[#This Row],[_Row]])-1)&amp;INDEX(tsk_Name,GanttView[[#This Row],[_Row]]))</f>
        <v/>
      </c>
      <c r="D189" s="120" t="str">
        <f aca="false">IF(IFERROR(INDEX(tsk_Name,GanttView[[#This Row],[_Row]])="",TRUE()),"",IF(INDEX(tsk_IsSummary,GanttView[[#This Row],[_Row]]),NETWORKDAYS.INTL(INDEX(tsk_FcStart,GanttView[[#This Row],[_Row]]),INDEX(tsk_FcFinish,GanttView[[#This Row],[_Row]]),WorkWeek,Holidays),N(INDEX(tsk_Duration,GanttView[[#This Row],[_Row]]))))</f>
        <v/>
      </c>
      <c r="E189" s="122" t="str">
        <f aca="false">IF(IFERROR(INDEX(tsk_Name,GanttView[[#This Row],[_Row]])="",TRUE()),"",INDEX(tsk_PlanStart,GanttView[[#This Row],[_Row]]))</f>
        <v/>
      </c>
      <c r="F189" s="122" t="str">
        <f aca="false">IF(IFERROR(INDEX(tsk_Name,GanttView[[#This Row],[_Row]])="",TRUE()),"",INDEX(tsk_PlanFinish,GanttView[[#This Row],[_Row]]))</f>
        <v/>
      </c>
      <c r="G189" s="122" t="str">
        <f aca="false">IF(IFERROR(INDEX(tsk_Name,GanttView[[#This Row],[_Row]])="",TRUE()),"",INDEX(tsk_FcStart,GanttView[[#This Row],[_Row]]))</f>
        <v/>
      </c>
      <c r="H189" s="122" t="str">
        <f aca="false">IF(IFERROR(INDEX(tsk_Name,GanttView[[#This Row],[_Row]])="",TRUE()),"",INDEX(tsk_FcFinish,GanttView[[#This Row],[_Row]]))</f>
        <v/>
      </c>
      <c r="I189" s="123" t="str">
        <f aca="false">IF(IFERROR(INDEX(tsk_Name,GanttView[[#This Row],[_Row]])="",TRUE()),"",INDEX(tsk_Progress,GanttView[[#This Row],[_Row]]))</f>
        <v/>
      </c>
      <c r="J189" s="121" t="str">
        <f aca="false">IF(IFERROR(INDEX(tsk_Name,GanttView[[#This Row],[_Row]])="",TRUE()),"",INDEX(tsk_Resource,GanttView[[#This Row],[_Row]])&amp;"")</f>
        <v/>
      </c>
      <c r="K189" s="124" t="str">
        <f aca="false">IF(IFERROR(INDEX(tsk_Name,GanttView[[#This Row],[_Row]])="",TRUE()),"",INDEX(tsk_Status,GanttView[[#This Row],[_Row]]))</f>
        <v/>
      </c>
      <c r="L189" s="125" t="n">
        <f aca="false">ROW()-ROW(GanttView[[#Headers],[ID]])</f>
        <v>184</v>
      </c>
      <c r="M189" s="126" t="b">
        <f aca="false">IF(IFERROR(INDEX(tsk_Name,GanttView[[#This Row],[_Row]])="",TRUE()),FALSE(),INDEX(tsk_IsSummary,GanttView[[#This Row],[_Row]]))</f>
        <v>0</v>
      </c>
      <c r="N189" s="126" t="b">
        <f aca="false">IF(IFERROR(INDEX(tsk_Name,GanttView[[#This Row],[_Row]])="",TRUE()),FALSE(),AND(INDEX(tsk_IsLeaf,GanttView[[#This Row],[_Row]])=1,N(INDEX(tsk_Duration,GanttView[[#This Row],[_Row]]))=0))</f>
        <v>0</v>
      </c>
      <c r="O189" s="127" t="n">
        <f aca="false">IF(IFERROR(INDEX(tsk_Name,GanttView[[#This Row],[_Row]])="",TRUE()),0,IF(AND(INDEX(tsk_IsLeaf,GanttView[[#This Row],[_Row]])=1,NOT(GanttView[[#This Row],[_IsMilestone]]),N(GanttView[[#This Row],[%]])&gt;0),GanttView[[#This Row],[Forecast Start]],0))</f>
        <v>0</v>
      </c>
      <c r="P189" s="127" t="n">
        <f aca="false">IF(GanttView[[#This Row],[_DoneFrom]]=0,0,IF(GanttView[[#This Row],[%]]&gt;=1,GanttView[[#This Row],[Forecast Finish]],MAX(GanttView[[#This Row],[_DoneFrom]],GanttView[[#This Row],[Forecast Start]]+ROUND((GanttView[[#This Row],[Forecast Finish]]-GanttView[[#This Row],[Forecast Start]]+1)*GanttView[[#This Row],[%]],0)-1)))</f>
        <v>0</v>
      </c>
      <c r="Q189" s="127" t="n">
        <f aca="false">IF(IFERROR(INDEX(tsk_Name,GanttView[[#This Row],[_Row]])="",TRUE()),0,IF(OR(INDEX(tsk_IsLeaf,GanttView[[#This Row],[_Row]])&lt;&gt;1,GanttView[[#This Row],[_IsMilestone]],N(GanttView[[#This Row],[%]])&gt;=1),0,IF(GanttView[[#This Row],[_DoneTo]]&gt;0,GanttView[[#This Row],[_DoneTo]]+1,GanttView[[#This Row],[Forecast Start]])))</f>
        <v>0</v>
      </c>
      <c r="R189" s="127" t="n">
        <f aca="false">IF(GanttView[[#This Row],[_RemFrom]]=0,0,GanttView[[#This Row],[Forecast Finish]])</f>
        <v>0</v>
      </c>
      <c r="S189" s="126" t="b">
        <f aca="false">IF(IFERROR(INDEX(tsk_Name,GanttView[[#This Row],[_Row]])="",TRUE()),FALSE(),N(INDEX(tsk_Variance,GanttView[[#This Row],[_Row]]))&gt;0)</f>
        <v>0</v>
      </c>
      <c r="T189" s="127" t="n">
        <f aca="false">IF(IFERROR(INDEX(tsk_Name,GanttView[[#This Row],[_Row]])="",TRUE()),0,N(INDEX(tsk_Deadline,GanttView[[#This Row],[_Row]])))</f>
        <v>0</v>
      </c>
      <c r="U189" s="126" t="b">
        <f aca="false">IF(IFERROR(INDEX(tsk_Name,GanttView[[#This Row],[_Row]])="",TRUE()),FALSE(),INDEX(tsk_Critical,GanttView[[#This Row],[_Row]])="Yes")</f>
        <v>0</v>
      </c>
    </row>
    <row r="190" customFormat="false" ht="15" hidden="false" customHeight="false" outlineLevel="0" collapsed="false">
      <c r="A190" s="120" t="str">
        <f aca="false">IF(IFERROR(INDEX(tsk_Name,GanttView[[#This Row],[_Row]])="",TRUE()),"",INDEX(tsk_ID,GanttView[[#This Row],[_Row]]))</f>
        <v/>
      </c>
      <c r="B190" s="120" t="str">
        <f aca="false">IF(IFERROR(INDEX(tsk_Name,GanttView[[#This Row],[_Row]])="",TRUE()),"",INDEX(tsk_WBS,GanttView[[#This Row],[_Row]]))</f>
        <v/>
      </c>
      <c r="C190" s="121" t="str">
        <f aca="false">IF(IFERROR(INDEX(tsk_Name,GanttView[[#This Row],[_Row]])="",TRUE()),"",REPT("    ",INDEX(tsk_Level,GanttView[[#This Row],[_Row]])-1)&amp;INDEX(tsk_Name,GanttView[[#This Row],[_Row]]))</f>
        <v/>
      </c>
      <c r="D190" s="120" t="str">
        <f aca="false">IF(IFERROR(INDEX(tsk_Name,GanttView[[#This Row],[_Row]])="",TRUE()),"",IF(INDEX(tsk_IsSummary,GanttView[[#This Row],[_Row]]),NETWORKDAYS.INTL(INDEX(tsk_FcStart,GanttView[[#This Row],[_Row]]),INDEX(tsk_FcFinish,GanttView[[#This Row],[_Row]]),WorkWeek,Holidays),N(INDEX(tsk_Duration,GanttView[[#This Row],[_Row]]))))</f>
        <v/>
      </c>
      <c r="E190" s="122" t="str">
        <f aca="false">IF(IFERROR(INDEX(tsk_Name,GanttView[[#This Row],[_Row]])="",TRUE()),"",INDEX(tsk_PlanStart,GanttView[[#This Row],[_Row]]))</f>
        <v/>
      </c>
      <c r="F190" s="122" t="str">
        <f aca="false">IF(IFERROR(INDEX(tsk_Name,GanttView[[#This Row],[_Row]])="",TRUE()),"",INDEX(tsk_PlanFinish,GanttView[[#This Row],[_Row]]))</f>
        <v/>
      </c>
      <c r="G190" s="122" t="str">
        <f aca="false">IF(IFERROR(INDEX(tsk_Name,GanttView[[#This Row],[_Row]])="",TRUE()),"",INDEX(tsk_FcStart,GanttView[[#This Row],[_Row]]))</f>
        <v/>
      </c>
      <c r="H190" s="122" t="str">
        <f aca="false">IF(IFERROR(INDEX(tsk_Name,GanttView[[#This Row],[_Row]])="",TRUE()),"",INDEX(tsk_FcFinish,GanttView[[#This Row],[_Row]]))</f>
        <v/>
      </c>
      <c r="I190" s="123" t="str">
        <f aca="false">IF(IFERROR(INDEX(tsk_Name,GanttView[[#This Row],[_Row]])="",TRUE()),"",INDEX(tsk_Progress,GanttView[[#This Row],[_Row]]))</f>
        <v/>
      </c>
      <c r="J190" s="121" t="str">
        <f aca="false">IF(IFERROR(INDEX(tsk_Name,GanttView[[#This Row],[_Row]])="",TRUE()),"",INDEX(tsk_Resource,GanttView[[#This Row],[_Row]])&amp;"")</f>
        <v/>
      </c>
      <c r="K190" s="124" t="str">
        <f aca="false">IF(IFERROR(INDEX(tsk_Name,GanttView[[#This Row],[_Row]])="",TRUE()),"",INDEX(tsk_Status,GanttView[[#This Row],[_Row]]))</f>
        <v/>
      </c>
      <c r="L190" s="125" t="n">
        <f aca="false">ROW()-ROW(GanttView[[#Headers],[ID]])</f>
        <v>185</v>
      </c>
      <c r="M190" s="126" t="b">
        <f aca="false">IF(IFERROR(INDEX(tsk_Name,GanttView[[#This Row],[_Row]])="",TRUE()),FALSE(),INDEX(tsk_IsSummary,GanttView[[#This Row],[_Row]]))</f>
        <v>0</v>
      </c>
      <c r="N190" s="126" t="b">
        <f aca="false">IF(IFERROR(INDEX(tsk_Name,GanttView[[#This Row],[_Row]])="",TRUE()),FALSE(),AND(INDEX(tsk_IsLeaf,GanttView[[#This Row],[_Row]])=1,N(INDEX(tsk_Duration,GanttView[[#This Row],[_Row]]))=0))</f>
        <v>0</v>
      </c>
      <c r="O190" s="127" t="n">
        <f aca="false">IF(IFERROR(INDEX(tsk_Name,GanttView[[#This Row],[_Row]])="",TRUE()),0,IF(AND(INDEX(tsk_IsLeaf,GanttView[[#This Row],[_Row]])=1,NOT(GanttView[[#This Row],[_IsMilestone]]),N(GanttView[[#This Row],[%]])&gt;0),GanttView[[#This Row],[Forecast Start]],0))</f>
        <v>0</v>
      </c>
      <c r="P190" s="127" t="n">
        <f aca="false">IF(GanttView[[#This Row],[_DoneFrom]]=0,0,IF(GanttView[[#This Row],[%]]&gt;=1,GanttView[[#This Row],[Forecast Finish]],MAX(GanttView[[#This Row],[_DoneFrom]],GanttView[[#This Row],[Forecast Start]]+ROUND((GanttView[[#This Row],[Forecast Finish]]-GanttView[[#This Row],[Forecast Start]]+1)*GanttView[[#This Row],[%]],0)-1)))</f>
        <v>0</v>
      </c>
      <c r="Q190" s="127" t="n">
        <f aca="false">IF(IFERROR(INDEX(tsk_Name,GanttView[[#This Row],[_Row]])="",TRUE()),0,IF(OR(INDEX(tsk_IsLeaf,GanttView[[#This Row],[_Row]])&lt;&gt;1,GanttView[[#This Row],[_IsMilestone]],N(GanttView[[#This Row],[%]])&gt;=1),0,IF(GanttView[[#This Row],[_DoneTo]]&gt;0,GanttView[[#This Row],[_DoneTo]]+1,GanttView[[#This Row],[Forecast Start]])))</f>
        <v>0</v>
      </c>
      <c r="R190" s="127" t="n">
        <f aca="false">IF(GanttView[[#This Row],[_RemFrom]]=0,0,GanttView[[#This Row],[Forecast Finish]])</f>
        <v>0</v>
      </c>
      <c r="S190" s="126" t="b">
        <f aca="false">IF(IFERROR(INDEX(tsk_Name,GanttView[[#This Row],[_Row]])="",TRUE()),FALSE(),N(INDEX(tsk_Variance,GanttView[[#This Row],[_Row]]))&gt;0)</f>
        <v>0</v>
      </c>
      <c r="T190" s="127" t="n">
        <f aca="false">IF(IFERROR(INDEX(tsk_Name,GanttView[[#This Row],[_Row]])="",TRUE()),0,N(INDEX(tsk_Deadline,GanttView[[#This Row],[_Row]])))</f>
        <v>0</v>
      </c>
      <c r="U190" s="126" t="b">
        <f aca="false">IF(IFERROR(INDEX(tsk_Name,GanttView[[#This Row],[_Row]])="",TRUE()),FALSE(),INDEX(tsk_Critical,GanttView[[#This Row],[_Row]])="Yes")</f>
        <v>0</v>
      </c>
    </row>
    <row r="191" customFormat="false" ht="15" hidden="false" customHeight="false" outlineLevel="0" collapsed="false">
      <c r="A191" s="120" t="str">
        <f aca="false">IF(IFERROR(INDEX(tsk_Name,GanttView[[#This Row],[_Row]])="",TRUE()),"",INDEX(tsk_ID,GanttView[[#This Row],[_Row]]))</f>
        <v/>
      </c>
      <c r="B191" s="120" t="str">
        <f aca="false">IF(IFERROR(INDEX(tsk_Name,GanttView[[#This Row],[_Row]])="",TRUE()),"",INDEX(tsk_WBS,GanttView[[#This Row],[_Row]]))</f>
        <v/>
      </c>
      <c r="C191" s="121" t="str">
        <f aca="false">IF(IFERROR(INDEX(tsk_Name,GanttView[[#This Row],[_Row]])="",TRUE()),"",REPT("    ",INDEX(tsk_Level,GanttView[[#This Row],[_Row]])-1)&amp;INDEX(tsk_Name,GanttView[[#This Row],[_Row]]))</f>
        <v/>
      </c>
      <c r="D191" s="120" t="str">
        <f aca="false">IF(IFERROR(INDEX(tsk_Name,GanttView[[#This Row],[_Row]])="",TRUE()),"",IF(INDEX(tsk_IsSummary,GanttView[[#This Row],[_Row]]),NETWORKDAYS.INTL(INDEX(tsk_FcStart,GanttView[[#This Row],[_Row]]),INDEX(tsk_FcFinish,GanttView[[#This Row],[_Row]]),WorkWeek,Holidays),N(INDEX(tsk_Duration,GanttView[[#This Row],[_Row]]))))</f>
        <v/>
      </c>
      <c r="E191" s="122" t="str">
        <f aca="false">IF(IFERROR(INDEX(tsk_Name,GanttView[[#This Row],[_Row]])="",TRUE()),"",INDEX(tsk_PlanStart,GanttView[[#This Row],[_Row]]))</f>
        <v/>
      </c>
      <c r="F191" s="122" t="str">
        <f aca="false">IF(IFERROR(INDEX(tsk_Name,GanttView[[#This Row],[_Row]])="",TRUE()),"",INDEX(tsk_PlanFinish,GanttView[[#This Row],[_Row]]))</f>
        <v/>
      </c>
      <c r="G191" s="122" t="str">
        <f aca="false">IF(IFERROR(INDEX(tsk_Name,GanttView[[#This Row],[_Row]])="",TRUE()),"",INDEX(tsk_FcStart,GanttView[[#This Row],[_Row]]))</f>
        <v/>
      </c>
      <c r="H191" s="122" t="str">
        <f aca="false">IF(IFERROR(INDEX(tsk_Name,GanttView[[#This Row],[_Row]])="",TRUE()),"",INDEX(tsk_FcFinish,GanttView[[#This Row],[_Row]]))</f>
        <v/>
      </c>
      <c r="I191" s="123" t="str">
        <f aca="false">IF(IFERROR(INDEX(tsk_Name,GanttView[[#This Row],[_Row]])="",TRUE()),"",INDEX(tsk_Progress,GanttView[[#This Row],[_Row]]))</f>
        <v/>
      </c>
      <c r="J191" s="121" t="str">
        <f aca="false">IF(IFERROR(INDEX(tsk_Name,GanttView[[#This Row],[_Row]])="",TRUE()),"",INDEX(tsk_Resource,GanttView[[#This Row],[_Row]])&amp;"")</f>
        <v/>
      </c>
      <c r="K191" s="124" t="str">
        <f aca="false">IF(IFERROR(INDEX(tsk_Name,GanttView[[#This Row],[_Row]])="",TRUE()),"",INDEX(tsk_Status,GanttView[[#This Row],[_Row]]))</f>
        <v/>
      </c>
      <c r="L191" s="125" t="n">
        <f aca="false">ROW()-ROW(GanttView[[#Headers],[ID]])</f>
        <v>186</v>
      </c>
      <c r="M191" s="126" t="b">
        <f aca="false">IF(IFERROR(INDEX(tsk_Name,GanttView[[#This Row],[_Row]])="",TRUE()),FALSE(),INDEX(tsk_IsSummary,GanttView[[#This Row],[_Row]]))</f>
        <v>0</v>
      </c>
      <c r="N191" s="126" t="b">
        <f aca="false">IF(IFERROR(INDEX(tsk_Name,GanttView[[#This Row],[_Row]])="",TRUE()),FALSE(),AND(INDEX(tsk_IsLeaf,GanttView[[#This Row],[_Row]])=1,N(INDEX(tsk_Duration,GanttView[[#This Row],[_Row]]))=0))</f>
        <v>0</v>
      </c>
      <c r="O191" s="127" t="n">
        <f aca="false">IF(IFERROR(INDEX(tsk_Name,GanttView[[#This Row],[_Row]])="",TRUE()),0,IF(AND(INDEX(tsk_IsLeaf,GanttView[[#This Row],[_Row]])=1,NOT(GanttView[[#This Row],[_IsMilestone]]),N(GanttView[[#This Row],[%]])&gt;0),GanttView[[#This Row],[Forecast Start]],0))</f>
        <v>0</v>
      </c>
      <c r="P191" s="127" t="n">
        <f aca="false">IF(GanttView[[#This Row],[_DoneFrom]]=0,0,IF(GanttView[[#This Row],[%]]&gt;=1,GanttView[[#This Row],[Forecast Finish]],MAX(GanttView[[#This Row],[_DoneFrom]],GanttView[[#This Row],[Forecast Start]]+ROUND((GanttView[[#This Row],[Forecast Finish]]-GanttView[[#This Row],[Forecast Start]]+1)*GanttView[[#This Row],[%]],0)-1)))</f>
        <v>0</v>
      </c>
      <c r="Q191" s="127" t="n">
        <f aca="false">IF(IFERROR(INDEX(tsk_Name,GanttView[[#This Row],[_Row]])="",TRUE()),0,IF(OR(INDEX(tsk_IsLeaf,GanttView[[#This Row],[_Row]])&lt;&gt;1,GanttView[[#This Row],[_IsMilestone]],N(GanttView[[#This Row],[%]])&gt;=1),0,IF(GanttView[[#This Row],[_DoneTo]]&gt;0,GanttView[[#This Row],[_DoneTo]]+1,GanttView[[#This Row],[Forecast Start]])))</f>
        <v>0</v>
      </c>
      <c r="R191" s="127" t="n">
        <f aca="false">IF(GanttView[[#This Row],[_RemFrom]]=0,0,GanttView[[#This Row],[Forecast Finish]])</f>
        <v>0</v>
      </c>
      <c r="S191" s="126" t="b">
        <f aca="false">IF(IFERROR(INDEX(tsk_Name,GanttView[[#This Row],[_Row]])="",TRUE()),FALSE(),N(INDEX(tsk_Variance,GanttView[[#This Row],[_Row]]))&gt;0)</f>
        <v>0</v>
      </c>
      <c r="T191" s="127" t="n">
        <f aca="false">IF(IFERROR(INDEX(tsk_Name,GanttView[[#This Row],[_Row]])="",TRUE()),0,N(INDEX(tsk_Deadline,GanttView[[#This Row],[_Row]])))</f>
        <v>0</v>
      </c>
      <c r="U191" s="126" t="b">
        <f aca="false">IF(IFERROR(INDEX(tsk_Name,GanttView[[#This Row],[_Row]])="",TRUE()),FALSE(),INDEX(tsk_Critical,GanttView[[#This Row],[_Row]])="Yes")</f>
        <v>0</v>
      </c>
    </row>
    <row r="192" customFormat="false" ht="15" hidden="false" customHeight="false" outlineLevel="0" collapsed="false">
      <c r="A192" s="120" t="str">
        <f aca="false">IF(IFERROR(INDEX(tsk_Name,GanttView[[#This Row],[_Row]])="",TRUE()),"",INDEX(tsk_ID,GanttView[[#This Row],[_Row]]))</f>
        <v/>
      </c>
      <c r="B192" s="120" t="str">
        <f aca="false">IF(IFERROR(INDEX(tsk_Name,GanttView[[#This Row],[_Row]])="",TRUE()),"",INDEX(tsk_WBS,GanttView[[#This Row],[_Row]]))</f>
        <v/>
      </c>
      <c r="C192" s="121" t="str">
        <f aca="false">IF(IFERROR(INDEX(tsk_Name,GanttView[[#This Row],[_Row]])="",TRUE()),"",REPT("    ",INDEX(tsk_Level,GanttView[[#This Row],[_Row]])-1)&amp;INDEX(tsk_Name,GanttView[[#This Row],[_Row]]))</f>
        <v/>
      </c>
      <c r="D192" s="120" t="str">
        <f aca="false">IF(IFERROR(INDEX(tsk_Name,GanttView[[#This Row],[_Row]])="",TRUE()),"",IF(INDEX(tsk_IsSummary,GanttView[[#This Row],[_Row]]),NETWORKDAYS.INTL(INDEX(tsk_FcStart,GanttView[[#This Row],[_Row]]),INDEX(tsk_FcFinish,GanttView[[#This Row],[_Row]]),WorkWeek,Holidays),N(INDEX(tsk_Duration,GanttView[[#This Row],[_Row]]))))</f>
        <v/>
      </c>
      <c r="E192" s="122" t="str">
        <f aca="false">IF(IFERROR(INDEX(tsk_Name,GanttView[[#This Row],[_Row]])="",TRUE()),"",INDEX(tsk_PlanStart,GanttView[[#This Row],[_Row]]))</f>
        <v/>
      </c>
      <c r="F192" s="122" t="str">
        <f aca="false">IF(IFERROR(INDEX(tsk_Name,GanttView[[#This Row],[_Row]])="",TRUE()),"",INDEX(tsk_PlanFinish,GanttView[[#This Row],[_Row]]))</f>
        <v/>
      </c>
      <c r="G192" s="122" t="str">
        <f aca="false">IF(IFERROR(INDEX(tsk_Name,GanttView[[#This Row],[_Row]])="",TRUE()),"",INDEX(tsk_FcStart,GanttView[[#This Row],[_Row]]))</f>
        <v/>
      </c>
      <c r="H192" s="122" t="str">
        <f aca="false">IF(IFERROR(INDEX(tsk_Name,GanttView[[#This Row],[_Row]])="",TRUE()),"",INDEX(tsk_FcFinish,GanttView[[#This Row],[_Row]]))</f>
        <v/>
      </c>
      <c r="I192" s="123" t="str">
        <f aca="false">IF(IFERROR(INDEX(tsk_Name,GanttView[[#This Row],[_Row]])="",TRUE()),"",INDEX(tsk_Progress,GanttView[[#This Row],[_Row]]))</f>
        <v/>
      </c>
      <c r="J192" s="121" t="str">
        <f aca="false">IF(IFERROR(INDEX(tsk_Name,GanttView[[#This Row],[_Row]])="",TRUE()),"",INDEX(tsk_Resource,GanttView[[#This Row],[_Row]])&amp;"")</f>
        <v/>
      </c>
      <c r="K192" s="124" t="str">
        <f aca="false">IF(IFERROR(INDEX(tsk_Name,GanttView[[#This Row],[_Row]])="",TRUE()),"",INDEX(tsk_Status,GanttView[[#This Row],[_Row]]))</f>
        <v/>
      </c>
      <c r="L192" s="125" t="n">
        <f aca="false">ROW()-ROW(GanttView[[#Headers],[ID]])</f>
        <v>187</v>
      </c>
      <c r="M192" s="126" t="b">
        <f aca="false">IF(IFERROR(INDEX(tsk_Name,GanttView[[#This Row],[_Row]])="",TRUE()),FALSE(),INDEX(tsk_IsSummary,GanttView[[#This Row],[_Row]]))</f>
        <v>0</v>
      </c>
      <c r="N192" s="126" t="b">
        <f aca="false">IF(IFERROR(INDEX(tsk_Name,GanttView[[#This Row],[_Row]])="",TRUE()),FALSE(),AND(INDEX(tsk_IsLeaf,GanttView[[#This Row],[_Row]])=1,N(INDEX(tsk_Duration,GanttView[[#This Row],[_Row]]))=0))</f>
        <v>0</v>
      </c>
      <c r="O192" s="127" t="n">
        <f aca="false">IF(IFERROR(INDEX(tsk_Name,GanttView[[#This Row],[_Row]])="",TRUE()),0,IF(AND(INDEX(tsk_IsLeaf,GanttView[[#This Row],[_Row]])=1,NOT(GanttView[[#This Row],[_IsMilestone]]),N(GanttView[[#This Row],[%]])&gt;0),GanttView[[#This Row],[Forecast Start]],0))</f>
        <v>0</v>
      </c>
      <c r="P192" s="127" t="n">
        <f aca="false">IF(GanttView[[#This Row],[_DoneFrom]]=0,0,IF(GanttView[[#This Row],[%]]&gt;=1,GanttView[[#This Row],[Forecast Finish]],MAX(GanttView[[#This Row],[_DoneFrom]],GanttView[[#This Row],[Forecast Start]]+ROUND((GanttView[[#This Row],[Forecast Finish]]-GanttView[[#This Row],[Forecast Start]]+1)*GanttView[[#This Row],[%]],0)-1)))</f>
        <v>0</v>
      </c>
      <c r="Q192" s="127" t="n">
        <f aca="false">IF(IFERROR(INDEX(tsk_Name,GanttView[[#This Row],[_Row]])="",TRUE()),0,IF(OR(INDEX(tsk_IsLeaf,GanttView[[#This Row],[_Row]])&lt;&gt;1,GanttView[[#This Row],[_IsMilestone]],N(GanttView[[#This Row],[%]])&gt;=1),0,IF(GanttView[[#This Row],[_DoneTo]]&gt;0,GanttView[[#This Row],[_DoneTo]]+1,GanttView[[#This Row],[Forecast Start]])))</f>
        <v>0</v>
      </c>
      <c r="R192" s="127" t="n">
        <f aca="false">IF(GanttView[[#This Row],[_RemFrom]]=0,0,GanttView[[#This Row],[Forecast Finish]])</f>
        <v>0</v>
      </c>
      <c r="S192" s="126" t="b">
        <f aca="false">IF(IFERROR(INDEX(tsk_Name,GanttView[[#This Row],[_Row]])="",TRUE()),FALSE(),N(INDEX(tsk_Variance,GanttView[[#This Row],[_Row]]))&gt;0)</f>
        <v>0</v>
      </c>
      <c r="T192" s="127" t="n">
        <f aca="false">IF(IFERROR(INDEX(tsk_Name,GanttView[[#This Row],[_Row]])="",TRUE()),0,N(INDEX(tsk_Deadline,GanttView[[#This Row],[_Row]])))</f>
        <v>0</v>
      </c>
      <c r="U192" s="126" t="b">
        <f aca="false">IF(IFERROR(INDEX(tsk_Name,GanttView[[#This Row],[_Row]])="",TRUE()),FALSE(),INDEX(tsk_Critical,GanttView[[#This Row],[_Row]])="Yes")</f>
        <v>0</v>
      </c>
    </row>
    <row r="193" customFormat="false" ht="15" hidden="false" customHeight="false" outlineLevel="0" collapsed="false">
      <c r="A193" s="120" t="str">
        <f aca="false">IF(IFERROR(INDEX(tsk_Name,GanttView[[#This Row],[_Row]])="",TRUE()),"",INDEX(tsk_ID,GanttView[[#This Row],[_Row]]))</f>
        <v/>
      </c>
      <c r="B193" s="120" t="str">
        <f aca="false">IF(IFERROR(INDEX(tsk_Name,GanttView[[#This Row],[_Row]])="",TRUE()),"",INDEX(tsk_WBS,GanttView[[#This Row],[_Row]]))</f>
        <v/>
      </c>
      <c r="C193" s="121" t="str">
        <f aca="false">IF(IFERROR(INDEX(tsk_Name,GanttView[[#This Row],[_Row]])="",TRUE()),"",REPT("    ",INDEX(tsk_Level,GanttView[[#This Row],[_Row]])-1)&amp;INDEX(tsk_Name,GanttView[[#This Row],[_Row]]))</f>
        <v/>
      </c>
      <c r="D193" s="120" t="str">
        <f aca="false">IF(IFERROR(INDEX(tsk_Name,GanttView[[#This Row],[_Row]])="",TRUE()),"",IF(INDEX(tsk_IsSummary,GanttView[[#This Row],[_Row]]),NETWORKDAYS.INTL(INDEX(tsk_FcStart,GanttView[[#This Row],[_Row]]),INDEX(tsk_FcFinish,GanttView[[#This Row],[_Row]]),WorkWeek,Holidays),N(INDEX(tsk_Duration,GanttView[[#This Row],[_Row]]))))</f>
        <v/>
      </c>
      <c r="E193" s="122" t="str">
        <f aca="false">IF(IFERROR(INDEX(tsk_Name,GanttView[[#This Row],[_Row]])="",TRUE()),"",INDEX(tsk_PlanStart,GanttView[[#This Row],[_Row]]))</f>
        <v/>
      </c>
      <c r="F193" s="122" t="str">
        <f aca="false">IF(IFERROR(INDEX(tsk_Name,GanttView[[#This Row],[_Row]])="",TRUE()),"",INDEX(tsk_PlanFinish,GanttView[[#This Row],[_Row]]))</f>
        <v/>
      </c>
      <c r="G193" s="122" t="str">
        <f aca="false">IF(IFERROR(INDEX(tsk_Name,GanttView[[#This Row],[_Row]])="",TRUE()),"",INDEX(tsk_FcStart,GanttView[[#This Row],[_Row]]))</f>
        <v/>
      </c>
      <c r="H193" s="122" t="str">
        <f aca="false">IF(IFERROR(INDEX(tsk_Name,GanttView[[#This Row],[_Row]])="",TRUE()),"",INDEX(tsk_FcFinish,GanttView[[#This Row],[_Row]]))</f>
        <v/>
      </c>
      <c r="I193" s="123" t="str">
        <f aca="false">IF(IFERROR(INDEX(tsk_Name,GanttView[[#This Row],[_Row]])="",TRUE()),"",INDEX(tsk_Progress,GanttView[[#This Row],[_Row]]))</f>
        <v/>
      </c>
      <c r="J193" s="121" t="str">
        <f aca="false">IF(IFERROR(INDEX(tsk_Name,GanttView[[#This Row],[_Row]])="",TRUE()),"",INDEX(tsk_Resource,GanttView[[#This Row],[_Row]])&amp;"")</f>
        <v/>
      </c>
      <c r="K193" s="124" t="str">
        <f aca="false">IF(IFERROR(INDEX(tsk_Name,GanttView[[#This Row],[_Row]])="",TRUE()),"",INDEX(tsk_Status,GanttView[[#This Row],[_Row]]))</f>
        <v/>
      </c>
      <c r="L193" s="125" t="n">
        <f aca="false">ROW()-ROW(GanttView[[#Headers],[ID]])</f>
        <v>188</v>
      </c>
      <c r="M193" s="126" t="b">
        <f aca="false">IF(IFERROR(INDEX(tsk_Name,GanttView[[#This Row],[_Row]])="",TRUE()),FALSE(),INDEX(tsk_IsSummary,GanttView[[#This Row],[_Row]]))</f>
        <v>0</v>
      </c>
      <c r="N193" s="126" t="b">
        <f aca="false">IF(IFERROR(INDEX(tsk_Name,GanttView[[#This Row],[_Row]])="",TRUE()),FALSE(),AND(INDEX(tsk_IsLeaf,GanttView[[#This Row],[_Row]])=1,N(INDEX(tsk_Duration,GanttView[[#This Row],[_Row]]))=0))</f>
        <v>0</v>
      </c>
      <c r="O193" s="127" t="n">
        <f aca="false">IF(IFERROR(INDEX(tsk_Name,GanttView[[#This Row],[_Row]])="",TRUE()),0,IF(AND(INDEX(tsk_IsLeaf,GanttView[[#This Row],[_Row]])=1,NOT(GanttView[[#This Row],[_IsMilestone]]),N(GanttView[[#This Row],[%]])&gt;0),GanttView[[#This Row],[Forecast Start]],0))</f>
        <v>0</v>
      </c>
      <c r="P193" s="127" t="n">
        <f aca="false">IF(GanttView[[#This Row],[_DoneFrom]]=0,0,IF(GanttView[[#This Row],[%]]&gt;=1,GanttView[[#This Row],[Forecast Finish]],MAX(GanttView[[#This Row],[_DoneFrom]],GanttView[[#This Row],[Forecast Start]]+ROUND((GanttView[[#This Row],[Forecast Finish]]-GanttView[[#This Row],[Forecast Start]]+1)*GanttView[[#This Row],[%]],0)-1)))</f>
        <v>0</v>
      </c>
      <c r="Q193" s="127" t="n">
        <f aca="false">IF(IFERROR(INDEX(tsk_Name,GanttView[[#This Row],[_Row]])="",TRUE()),0,IF(OR(INDEX(tsk_IsLeaf,GanttView[[#This Row],[_Row]])&lt;&gt;1,GanttView[[#This Row],[_IsMilestone]],N(GanttView[[#This Row],[%]])&gt;=1),0,IF(GanttView[[#This Row],[_DoneTo]]&gt;0,GanttView[[#This Row],[_DoneTo]]+1,GanttView[[#This Row],[Forecast Start]])))</f>
        <v>0</v>
      </c>
      <c r="R193" s="127" t="n">
        <f aca="false">IF(GanttView[[#This Row],[_RemFrom]]=0,0,GanttView[[#This Row],[Forecast Finish]])</f>
        <v>0</v>
      </c>
      <c r="S193" s="126" t="b">
        <f aca="false">IF(IFERROR(INDEX(tsk_Name,GanttView[[#This Row],[_Row]])="",TRUE()),FALSE(),N(INDEX(tsk_Variance,GanttView[[#This Row],[_Row]]))&gt;0)</f>
        <v>0</v>
      </c>
      <c r="T193" s="127" t="n">
        <f aca="false">IF(IFERROR(INDEX(tsk_Name,GanttView[[#This Row],[_Row]])="",TRUE()),0,N(INDEX(tsk_Deadline,GanttView[[#This Row],[_Row]])))</f>
        <v>0</v>
      </c>
      <c r="U193" s="126" t="b">
        <f aca="false">IF(IFERROR(INDEX(tsk_Name,GanttView[[#This Row],[_Row]])="",TRUE()),FALSE(),INDEX(tsk_Critical,GanttView[[#This Row],[_Row]])="Yes")</f>
        <v>0</v>
      </c>
    </row>
    <row r="194" customFormat="false" ht="15" hidden="false" customHeight="false" outlineLevel="0" collapsed="false">
      <c r="A194" s="120" t="str">
        <f aca="false">IF(IFERROR(INDEX(tsk_Name,GanttView[[#This Row],[_Row]])="",TRUE()),"",INDEX(tsk_ID,GanttView[[#This Row],[_Row]]))</f>
        <v/>
      </c>
      <c r="B194" s="120" t="str">
        <f aca="false">IF(IFERROR(INDEX(tsk_Name,GanttView[[#This Row],[_Row]])="",TRUE()),"",INDEX(tsk_WBS,GanttView[[#This Row],[_Row]]))</f>
        <v/>
      </c>
      <c r="C194" s="121" t="str">
        <f aca="false">IF(IFERROR(INDEX(tsk_Name,GanttView[[#This Row],[_Row]])="",TRUE()),"",REPT("    ",INDEX(tsk_Level,GanttView[[#This Row],[_Row]])-1)&amp;INDEX(tsk_Name,GanttView[[#This Row],[_Row]]))</f>
        <v/>
      </c>
      <c r="D194" s="120" t="str">
        <f aca="false">IF(IFERROR(INDEX(tsk_Name,GanttView[[#This Row],[_Row]])="",TRUE()),"",IF(INDEX(tsk_IsSummary,GanttView[[#This Row],[_Row]]),NETWORKDAYS.INTL(INDEX(tsk_FcStart,GanttView[[#This Row],[_Row]]),INDEX(tsk_FcFinish,GanttView[[#This Row],[_Row]]),WorkWeek,Holidays),N(INDEX(tsk_Duration,GanttView[[#This Row],[_Row]]))))</f>
        <v/>
      </c>
      <c r="E194" s="122" t="str">
        <f aca="false">IF(IFERROR(INDEX(tsk_Name,GanttView[[#This Row],[_Row]])="",TRUE()),"",INDEX(tsk_PlanStart,GanttView[[#This Row],[_Row]]))</f>
        <v/>
      </c>
      <c r="F194" s="122" t="str">
        <f aca="false">IF(IFERROR(INDEX(tsk_Name,GanttView[[#This Row],[_Row]])="",TRUE()),"",INDEX(tsk_PlanFinish,GanttView[[#This Row],[_Row]]))</f>
        <v/>
      </c>
      <c r="G194" s="122" t="str">
        <f aca="false">IF(IFERROR(INDEX(tsk_Name,GanttView[[#This Row],[_Row]])="",TRUE()),"",INDEX(tsk_FcStart,GanttView[[#This Row],[_Row]]))</f>
        <v/>
      </c>
      <c r="H194" s="122" t="str">
        <f aca="false">IF(IFERROR(INDEX(tsk_Name,GanttView[[#This Row],[_Row]])="",TRUE()),"",INDEX(tsk_FcFinish,GanttView[[#This Row],[_Row]]))</f>
        <v/>
      </c>
      <c r="I194" s="123" t="str">
        <f aca="false">IF(IFERROR(INDEX(tsk_Name,GanttView[[#This Row],[_Row]])="",TRUE()),"",INDEX(tsk_Progress,GanttView[[#This Row],[_Row]]))</f>
        <v/>
      </c>
      <c r="J194" s="121" t="str">
        <f aca="false">IF(IFERROR(INDEX(tsk_Name,GanttView[[#This Row],[_Row]])="",TRUE()),"",INDEX(tsk_Resource,GanttView[[#This Row],[_Row]])&amp;"")</f>
        <v/>
      </c>
      <c r="K194" s="124" t="str">
        <f aca="false">IF(IFERROR(INDEX(tsk_Name,GanttView[[#This Row],[_Row]])="",TRUE()),"",INDEX(tsk_Status,GanttView[[#This Row],[_Row]]))</f>
        <v/>
      </c>
      <c r="L194" s="125" t="n">
        <f aca="false">ROW()-ROW(GanttView[[#Headers],[ID]])</f>
        <v>189</v>
      </c>
      <c r="M194" s="126" t="b">
        <f aca="false">IF(IFERROR(INDEX(tsk_Name,GanttView[[#This Row],[_Row]])="",TRUE()),FALSE(),INDEX(tsk_IsSummary,GanttView[[#This Row],[_Row]]))</f>
        <v>0</v>
      </c>
      <c r="N194" s="126" t="b">
        <f aca="false">IF(IFERROR(INDEX(tsk_Name,GanttView[[#This Row],[_Row]])="",TRUE()),FALSE(),AND(INDEX(tsk_IsLeaf,GanttView[[#This Row],[_Row]])=1,N(INDEX(tsk_Duration,GanttView[[#This Row],[_Row]]))=0))</f>
        <v>0</v>
      </c>
      <c r="O194" s="127" t="n">
        <f aca="false">IF(IFERROR(INDEX(tsk_Name,GanttView[[#This Row],[_Row]])="",TRUE()),0,IF(AND(INDEX(tsk_IsLeaf,GanttView[[#This Row],[_Row]])=1,NOT(GanttView[[#This Row],[_IsMilestone]]),N(GanttView[[#This Row],[%]])&gt;0),GanttView[[#This Row],[Forecast Start]],0))</f>
        <v>0</v>
      </c>
      <c r="P194" s="127" t="n">
        <f aca="false">IF(GanttView[[#This Row],[_DoneFrom]]=0,0,IF(GanttView[[#This Row],[%]]&gt;=1,GanttView[[#This Row],[Forecast Finish]],MAX(GanttView[[#This Row],[_DoneFrom]],GanttView[[#This Row],[Forecast Start]]+ROUND((GanttView[[#This Row],[Forecast Finish]]-GanttView[[#This Row],[Forecast Start]]+1)*GanttView[[#This Row],[%]],0)-1)))</f>
        <v>0</v>
      </c>
      <c r="Q194" s="127" t="n">
        <f aca="false">IF(IFERROR(INDEX(tsk_Name,GanttView[[#This Row],[_Row]])="",TRUE()),0,IF(OR(INDEX(tsk_IsLeaf,GanttView[[#This Row],[_Row]])&lt;&gt;1,GanttView[[#This Row],[_IsMilestone]],N(GanttView[[#This Row],[%]])&gt;=1),0,IF(GanttView[[#This Row],[_DoneTo]]&gt;0,GanttView[[#This Row],[_DoneTo]]+1,GanttView[[#This Row],[Forecast Start]])))</f>
        <v>0</v>
      </c>
      <c r="R194" s="127" t="n">
        <f aca="false">IF(GanttView[[#This Row],[_RemFrom]]=0,0,GanttView[[#This Row],[Forecast Finish]])</f>
        <v>0</v>
      </c>
      <c r="S194" s="126" t="b">
        <f aca="false">IF(IFERROR(INDEX(tsk_Name,GanttView[[#This Row],[_Row]])="",TRUE()),FALSE(),N(INDEX(tsk_Variance,GanttView[[#This Row],[_Row]]))&gt;0)</f>
        <v>0</v>
      </c>
      <c r="T194" s="127" t="n">
        <f aca="false">IF(IFERROR(INDEX(tsk_Name,GanttView[[#This Row],[_Row]])="",TRUE()),0,N(INDEX(tsk_Deadline,GanttView[[#This Row],[_Row]])))</f>
        <v>0</v>
      </c>
      <c r="U194" s="126" t="b">
        <f aca="false">IF(IFERROR(INDEX(tsk_Name,GanttView[[#This Row],[_Row]])="",TRUE()),FALSE(),INDEX(tsk_Critical,GanttView[[#This Row],[_Row]])="Yes")</f>
        <v>0</v>
      </c>
    </row>
    <row r="195" customFormat="false" ht="15" hidden="false" customHeight="false" outlineLevel="0" collapsed="false">
      <c r="A195" s="120" t="str">
        <f aca="false">IF(IFERROR(INDEX(tsk_Name,GanttView[[#This Row],[_Row]])="",TRUE()),"",INDEX(tsk_ID,GanttView[[#This Row],[_Row]]))</f>
        <v/>
      </c>
      <c r="B195" s="120" t="str">
        <f aca="false">IF(IFERROR(INDEX(tsk_Name,GanttView[[#This Row],[_Row]])="",TRUE()),"",INDEX(tsk_WBS,GanttView[[#This Row],[_Row]]))</f>
        <v/>
      </c>
      <c r="C195" s="121" t="str">
        <f aca="false">IF(IFERROR(INDEX(tsk_Name,GanttView[[#This Row],[_Row]])="",TRUE()),"",REPT("    ",INDEX(tsk_Level,GanttView[[#This Row],[_Row]])-1)&amp;INDEX(tsk_Name,GanttView[[#This Row],[_Row]]))</f>
        <v/>
      </c>
      <c r="D195" s="120" t="str">
        <f aca="false">IF(IFERROR(INDEX(tsk_Name,GanttView[[#This Row],[_Row]])="",TRUE()),"",IF(INDEX(tsk_IsSummary,GanttView[[#This Row],[_Row]]),NETWORKDAYS.INTL(INDEX(tsk_FcStart,GanttView[[#This Row],[_Row]]),INDEX(tsk_FcFinish,GanttView[[#This Row],[_Row]]),WorkWeek,Holidays),N(INDEX(tsk_Duration,GanttView[[#This Row],[_Row]]))))</f>
        <v/>
      </c>
      <c r="E195" s="122" t="str">
        <f aca="false">IF(IFERROR(INDEX(tsk_Name,GanttView[[#This Row],[_Row]])="",TRUE()),"",INDEX(tsk_PlanStart,GanttView[[#This Row],[_Row]]))</f>
        <v/>
      </c>
      <c r="F195" s="122" t="str">
        <f aca="false">IF(IFERROR(INDEX(tsk_Name,GanttView[[#This Row],[_Row]])="",TRUE()),"",INDEX(tsk_PlanFinish,GanttView[[#This Row],[_Row]]))</f>
        <v/>
      </c>
      <c r="G195" s="122" t="str">
        <f aca="false">IF(IFERROR(INDEX(tsk_Name,GanttView[[#This Row],[_Row]])="",TRUE()),"",INDEX(tsk_FcStart,GanttView[[#This Row],[_Row]]))</f>
        <v/>
      </c>
      <c r="H195" s="122" t="str">
        <f aca="false">IF(IFERROR(INDEX(tsk_Name,GanttView[[#This Row],[_Row]])="",TRUE()),"",INDEX(tsk_FcFinish,GanttView[[#This Row],[_Row]]))</f>
        <v/>
      </c>
      <c r="I195" s="123" t="str">
        <f aca="false">IF(IFERROR(INDEX(tsk_Name,GanttView[[#This Row],[_Row]])="",TRUE()),"",INDEX(tsk_Progress,GanttView[[#This Row],[_Row]]))</f>
        <v/>
      </c>
      <c r="J195" s="121" t="str">
        <f aca="false">IF(IFERROR(INDEX(tsk_Name,GanttView[[#This Row],[_Row]])="",TRUE()),"",INDEX(tsk_Resource,GanttView[[#This Row],[_Row]])&amp;"")</f>
        <v/>
      </c>
      <c r="K195" s="124" t="str">
        <f aca="false">IF(IFERROR(INDEX(tsk_Name,GanttView[[#This Row],[_Row]])="",TRUE()),"",INDEX(tsk_Status,GanttView[[#This Row],[_Row]]))</f>
        <v/>
      </c>
      <c r="L195" s="125" t="n">
        <f aca="false">ROW()-ROW(GanttView[[#Headers],[ID]])</f>
        <v>190</v>
      </c>
      <c r="M195" s="126" t="b">
        <f aca="false">IF(IFERROR(INDEX(tsk_Name,GanttView[[#This Row],[_Row]])="",TRUE()),FALSE(),INDEX(tsk_IsSummary,GanttView[[#This Row],[_Row]]))</f>
        <v>0</v>
      </c>
      <c r="N195" s="126" t="b">
        <f aca="false">IF(IFERROR(INDEX(tsk_Name,GanttView[[#This Row],[_Row]])="",TRUE()),FALSE(),AND(INDEX(tsk_IsLeaf,GanttView[[#This Row],[_Row]])=1,N(INDEX(tsk_Duration,GanttView[[#This Row],[_Row]]))=0))</f>
        <v>0</v>
      </c>
      <c r="O195" s="127" t="n">
        <f aca="false">IF(IFERROR(INDEX(tsk_Name,GanttView[[#This Row],[_Row]])="",TRUE()),0,IF(AND(INDEX(tsk_IsLeaf,GanttView[[#This Row],[_Row]])=1,NOT(GanttView[[#This Row],[_IsMilestone]]),N(GanttView[[#This Row],[%]])&gt;0),GanttView[[#This Row],[Forecast Start]],0))</f>
        <v>0</v>
      </c>
      <c r="P195" s="127" t="n">
        <f aca="false">IF(GanttView[[#This Row],[_DoneFrom]]=0,0,IF(GanttView[[#This Row],[%]]&gt;=1,GanttView[[#This Row],[Forecast Finish]],MAX(GanttView[[#This Row],[_DoneFrom]],GanttView[[#This Row],[Forecast Start]]+ROUND((GanttView[[#This Row],[Forecast Finish]]-GanttView[[#This Row],[Forecast Start]]+1)*GanttView[[#This Row],[%]],0)-1)))</f>
        <v>0</v>
      </c>
      <c r="Q195" s="127" t="n">
        <f aca="false">IF(IFERROR(INDEX(tsk_Name,GanttView[[#This Row],[_Row]])="",TRUE()),0,IF(OR(INDEX(tsk_IsLeaf,GanttView[[#This Row],[_Row]])&lt;&gt;1,GanttView[[#This Row],[_IsMilestone]],N(GanttView[[#This Row],[%]])&gt;=1),0,IF(GanttView[[#This Row],[_DoneTo]]&gt;0,GanttView[[#This Row],[_DoneTo]]+1,GanttView[[#This Row],[Forecast Start]])))</f>
        <v>0</v>
      </c>
      <c r="R195" s="127" t="n">
        <f aca="false">IF(GanttView[[#This Row],[_RemFrom]]=0,0,GanttView[[#This Row],[Forecast Finish]])</f>
        <v>0</v>
      </c>
      <c r="S195" s="126" t="b">
        <f aca="false">IF(IFERROR(INDEX(tsk_Name,GanttView[[#This Row],[_Row]])="",TRUE()),FALSE(),N(INDEX(tsk_Variance,GanttView[[#This Row],[_Row]]))&gt;0)</f>
        <v>0</v>
      </c>
      <c r="T195" s="127" t="n">
        <f aca="false">IF(IFERROR(INDEX(tsk_Name,GanttView[[#This Row],[_Row]])="",TRUE()),0,N(INDEX(tsk_Deadline,GanttView[[#This Row],[_Row]])))</f>
        <v>0</v>
      </c>
      <c r="U195" s="126" t="b">
        <f aca="false">IF(IFERROR(INDEX(tsk_Name,GanttView[[#This Row],[_Row]])="",TRUE()),FALSE(),INDEX(tsk_Critical,GanttView[[#This Row],[_Row]])="Yes")</f>
        <v>0</v>
      </c>
    </row>
    <row r="196" customFormat="false" ht="15" hidden="false" customHeight="false" outlineLevel="0" collapsed="false">
      <c r="A196" s="120" t="str">
        <f aca="false">IF(IFERROR(INDEX(tsk_Name,GanttView[[#This Row],[_Row]])="",TRUE()),"",INDEX(tsk_ID,GanttView[[#This Row],[_Row]]))</f>
        <v/>
      </c>
      <c r="B196" s="120" t="str">
        <f aca="false">IF(IFERROR(INDEX(tsk_Name,GanttView[[#This Row],[_Row]])="",TRUE()),"",INDEX(tsk_WBS,GanttView[[#This Row],[_Row]]))</f>
        <v/>
      </c>
      <c r="C196" s="121" t="str">
        <f aca="false">IF(IFERROR(INDEX(tsk_Name,GanttView[[#This Row],[_Row]])="",TRUE()),"",REPT("    ",INDEX(tsk_Level,GanttView[[#This Row],[_Row]])-1)&amp;INDEX(tsk_Name,GanttView[[#This Row],[_Row]]))</f>
        <v/>
      </c>
      <c r="D196" s="120" t="str">
        <f aca="false">IF(IFERROR(INDEX(tsk_Name,GanttView[[#This Row],[_Row]])="",TRUE()),"",IF(INDEX(tsk_IsSummary,GanttView[[#This Row],[_Row]]),NETWORKDAYS.INTL(INDEX(tsk_FcStart,GanttView[[#This Row],[_Row]]),INDEX(tsk_FcFinish,GanttView[[#This Row],[_Row]]),WorkWeek,Holidays),N(INDEX(tsk_Duration,GanttView[[#This Row],[_Row]]))))</f>
        <v/>
      </c>
      <c r="E196" s="122" t="str">
        <f aca="false">IF(IFERROR(INDEX(tsk_Name,GanttView[[#This Row],[_Row]])="",TRUE()),"",INDEX(tsk_PlanStart,GanttView[[#This Row],[_Row]]))</f>
        <v/>
      </c>
      <c r="F196" s="122" t="str">
        <f aca="false">IF(IFERROR(INDEX(tsk_Name,GanttView[[#This Row],[_Row]])="",TRUE()),"",INDEX(tsk_PlanFinish,GanttView[[#This Row],[_Row]]))</f>
        <v/>
      </c>
      <c r="G196" s="122" t="str">
        <f aca="false">IF(IFERROR(INDEX(tsk_Name,GanttView[[#This Row],[_Row]])="",TRUE()),"",INDEX(tsk_FcStart,GanttView[[#This Row],[_Row]]))</f>
        <v/>
      </c>
      <c r="H196" s="122" t="str">
        <f aca="false">IF(IFERROR(INDEX(tsk_Name,GanttView[[#This Row],[_Row]])="",TRUE()),"",INDEX(tsk_FcFinish,GanttView[[#This Row],[_Row]]))</f>
        <v/>
      </c>
      <c r="I196" s="123" t="str">
        <f aca="false">IF(IFERROR(INDEX(tsk_Name,GanttView[[#This Row],[_Row]])="",TRUE()),"",INDEX(tsk_Progress,GanttView[[#This Row],[_Row]]))</f>
        <v/>
      </c>
      <c r="J196" s="121" t="str">
        <f aca="false">IF(IFERROR(INDEX(tsk_Name,GanttView[[#This Row],[_Row]])="",TRUE()),"",INDEX(tsk_Resource,GanttView[[#This Row],[_Row]])&amp;"")</f>
        <v/>
      </c>
      <c r="K196" s="124" t="str">
        <f aca="false">IF(IFERROR(INDEX(tsk_Name,GanttView[[#This Row],[_Row]])="",TRUE()),"",INDEX(tsk_Status,GanttView[[#This Row],[_Row]]))</f>
        <v/>
      </c>
      <c r="L196" s="125" t="n">
        <f aca="false">ROW()-ROW(GanttView[[#Headers],[ID]])</f>
        <v>191</v>
      </c>
      <c r="M196" s="126" t="b">
        <f aca="false">IF(IFERROR(INDEX(tsk_Name,GanttView[[#This Row],[_Row]])="",TRUE()),FALSE(),INDEX(tsk_IsSummary,GanttView[[#This Row],[_Row]]))</f>
        <v>0</v>
      </c>
      <c r="N196" s="126" t="b">
        <f aca="false">IF(IFERROR(INDEX(tsk_Name,GanttView[[#This Row],[_Row]])="",TRUE()),FALSE(),AND(INDEX(tsk_IsLeaf,GanttView[[#This Row],[_Row]])=1,N(INDEX(tsk_Duration,GanttView[[#This Row],[_Row]]))=0))</f>
        <v>0</v>
      </c>
      <c r="O196" s="127" t="n">
        <f aca="false">IF(IFERROR(INDEX(tsk_Name,GanttView[[#This Row],[_Row]])="",TRUE()),0,IF(AND(INDEX(tsk_IsLeaf,GanttView[[#This Row],[_Row]])=1,NOT(GanttView[[#This Row],[_IsMilestone]]),N(GanttView[[#This Row],[%]])&gt;0),GanttView[[#This Row],[Forecast Start]],0))</f>
        <v>0</v>
      </c>
      <c r="P196" s="127" t="n">
        <f aca="false">IF(GanttView[[#This Row],[_DoneFrom]]=0,0,IF(GanttView[[#This Row],[%]]&gt;=1,GanttView[[#This Row],[Forecast Finish]],MAX(GanttView[[#This Row],[_DoneFrom]],GanttView[[#This Row],[Forecast Start]]+ROUND((GanttView[[#This Row],[Forecast Finish]]-GanttView[[#This Row],[Forecast Start]]+1)*GanttView[[#This Row],[%]],0)-1)))</f>
        <v>0</v>
      </c>
      <c r="Q196" s="127" t="n">
        <f aca="false">IF(IFERROR(INDEX(tsk_Name,GanttView[[#This Row],[_Row]])="",TRUE()),0,IF(OR(INDEX(tsk_IsLeaf,GanttView[[#This Row],[_Row]])&lt;&gt;1,GanttView[[#This Row],[_IsMilestone]],N(GanttView[[#This Row],[%]])&gt;=1),0,IF(GanttView[[#This Row],[_DoneTo]]&gt;0,GanttView[[#This Row],[_DoneTo]]+1,GanttView[[#This Row],[Forecast Start]])))</f>
        <v>0</v>
      </c>
      <c r="R196" s="127" t="n">
        <f aca="false">IF(GanttView[[#This Row],[_RemFrom]]=0,0,GanttView[[#This Row],[Forecast Finish]])</f>
        <v>0</v>
      </c>
      <c r="S196" s="126" t="b">
        <f aca="false">IF(IFERROR(INDEX(tsk_Name,GanttView[[#This Row],[_Row]])="",TRUE()),FALSE(),N(INDEX(tsk_Variance,GanttView[[#This Row],[_Row]]))&gt;0)</f>
        <v>0</v>
      </c>
      <c r="T196" s="127" t="n">
        <f aca="false">IF(IFERROR(INDEX(tsk_Name,GanttView[[#This Row],[_Row]])="",TRUE()),0,N(INDEX(tsk_Deadline,GanttView[[#This Row],[_Row]])))</f>
        <v>0</v>
      </c>
      <c r="U196" s="126" t="b">
        <f aca="false">IF(IFERROR(INDEX(tsk_Name,GanttView[[#This Row],[_Row]])="",TRUE()),FALSE(),INDEX(tsk_Critical,GanttView[[#This Row],[_Row]])="Yes")</f>
        <v>0</v>
      </c>
    </row>
    <row r="197" customFormat="false" ht="15" hidden="false" customHeight="false" outlineLevel="0" collapsed="false">
      <c r="A197" s="120" t="str">
        <f aca="false">IF(IFERROR(INDEX(tsk_Name,GanttView[[#This Row],[_Row]])="",TRUE()),"",INDEX(tsk_ID,GanttView[[#This Row],[_Row]]))</f>
        <v/>
      </c>
      <c r="B197" s="120" t="str">
        <f aca="false">IF(IFERROR(INDEX(tsk_Name,GanttView[[#This Row],[_Row]])="",TRUE()),"",INDEX(tsk_WBS,GanttView[[#This Row],[_Row]]))</f>
        <v/>
      </c>
      <c r="C197" s="121" t="str">
        <f aca="false">IF(IFERROR(INDEX(tsk_Name,GanttView[[#This Row],[_Row]])="",TRUE()),"",REPT("    ",INDEX(tsk_Level,GanttView[[#This Row],[_Row]])-1)&amp;INDEX(tsk_Name,GanttView[[#This Row],[_Row]]))</f>
        <v/>
      </c>
      <c r="D197" s="120" t="str">
        <f aca="false">IF(IFERROR(INDEX(tsk_Name,GanttView[[#This Row],[_Row]])="",TRUE()),"",IF(INDEX(tsk_IsSummary,GanttView[[#This Row],[_Row]]),NETWORKDAYS.INTL(INDEX(tsk_FcStart,GanttView[[#This Row],[_Row]]),INDEX(tsk_FcFinish,GanttView[[#This Row],[_Row]]),WorkWeek,Holidays),N(INDEX(tsk_Duration,GanttView[[#This Row],[_Row]]))))</f>
        <v/>
      </c>
      <c r="E197" s="122" t="str">
        <f aca="false">IF(IFERROR(INDEX(tsk_Name,GanttView[[#This Row],[_Row]])="",TRUE()),"",INDEX(tsk_PlanStart,GanttView[[#This Row],[_Row]]))</f>
        <v/>
      </c>
      <c r="F197" s="122" t="str">
        <f aca="false">IF(IFERROR(INDEX(tsk_Name,GanttView[[#This Row],[_Row]])="",TRUE()),"",INDEX(tsk_PlanFinish,GanttView[[#This Row],[_Row]]))</f>
        <v/>
      </c>
      <c r="G197" s="122" t="str">
        <f aca="false">IF(IFERROR(INDEX(tsk_Name,GanttView[[#This Row],[_Row]])="",TRUE()),"",INDEX(tsk_FcStart,GanttView[[#This Row],[_Row]]))</f>
        <v/>
      </c>
      <c r="H197" s="122" t="str">
        <f aca="false">IF(IFERROR(INDEX(tsk_Name,GanttView[[#This Row],[_Row]])="",TRUE()),"",INDEX(tsk_FcFinish,GanttView[[#This Row],[_Row]]))</f>
        <v/>
      </c>
      <c r="I197" s="123" t="str">
        <f aca="false">IF(IFERROR(INDEX(tsk_Name,GanttView[[#This Row],[_Row]])="",TRUE()),"",INDEX(tsk_Progress,GanttView[[#This Row],[_Row]]))</f>
        <v/>
      </c>
      <c r="J197" s="121" t="str">
        <f aca="false">IF(IFERROR(INDEX(tsk_Name,GanttView[[#This Row],[_Row]])="",TRUE()),"",INDEX(tsk_Resource,GanttView[[#This Row],[_Row]])&amp;"")</f>
        <v/>
      </c>
      <c r="K197" s="124" t="str">
        <f aca="false">IF(IFERROR(INDEX(tsk_Name,GanttView[[#This Row],[_Row]])="",TRUE()),"",INDEX(tsk_Status,GanttView[[#This Row],[_Row]]))</f>
        <v/>
      </c>
      <c r="L197" s="125" t="n">
        <f aca="false">ROW()-ROW(GanttView[[#Headers],[ID]])</f>
        <v>192</v>
      </c>
      <c r="M197" s="126" t="b">
        <f aca="false">IF(IFERROR(INDEX(tsk_Name,GanttView[[#This Row],[_Row]])="",TRUE()),FALSE(),INDEX(tsk_IsSummary,GanttView[[#This Row],[_Row]]))</f>
        <v>0</v>
      </c>
      <c r="N197" s="126" t="b">
        <f aca="false">IF(IFERROR(INDEX(tsk_Name,GanttView[[#This Row],[_Row]])="",TRUE()),FALSE(),AND(INDEX(tsk_IsLeaf,GanttView[[#This Row],[_Row]])=1,N(INDEX(tsk_Duration,GanttView[[#This Row],[_Row]]))=0))</f>
        <v>0</v>
      </c>
      <c r="O197" s="127" t="n">
        <f aca="false">IF(IFERROR(INDEX(tsk_Name,GanttView[[#This Row],[_Row]])="",TRUE()),0,IF(AND(INDEX(tsk_IsLeaf,GanttView[[#This Row],[_Row]])=1,NOT(GanttView[[#This Row],[_IsMilestone]]),N(GanttView[[#This Row],[%]])&gt;0),GanttView[[#This Row],[Forecast Start]],0))</f>
        <v>0</v>
      </c>
      <c r="P197" s="127" t="n">
        <f aca="false">IF(GanttView[[#This Row],[_DoneFrom]]=0,0,IF(GanttView[[#This Row],[%]]&gt;=1,GanttView[[#This Row],[Forecast Finish]],MAX(GanttView[[#This Row],[_DoneFrom]],GanttView[[#This Row],[Forecast Start]]+ROUND((GanttView[[#This Row],[Forecast Finish]]-GanttView[[#This Row],[Forecast Start]]+1)*GanttView[[#This Row],[%]],0)-1)))</f>
        <v>0</v>
      </c>
      <c r="Q197" s="127" t="n">
        <f aca="false">IF(IFERROR(INDEX(tsk_Name,GanttView[[#This Row],[_Row]])="",TRUE()),0,IF(OR(INDEX(tsk_IsLeaf,GanttView[[#This Row],[_Row]])&lt;&gt;1,GanttView[[#This Row],[_IsMilestone]],N(GanttView[[#This Row],[%]])&gt;=1),0,IF(GanttView[[#This Row],[_DoneTo]]&gt;0,GanttView[[#This Row],[_DoneTo]]+1,GanttView[[#This Row],[Forecast Start]])))</f>
        <v>0</v>
      </c>
      <c r="R197" s="127" t="n">
        <f aca="false">IF(GanttView[[#This Row],[_RemFrom]]=0,0,GanttView[[#This Row],[Forecast Finish]])</f>
        <v>0</v>
      </c>
      <c r="S197" s="126" t="b">
        <f aca="false">IF(IFERROR(INDEX(tsk_Name,GanttView[[#This Row],[_Row]])="",TRUE()),FALSE(),N(INDEX(tsk_Variance,GanttView[[#This Row],[_Row]]))&gt;0)</f>
        <v>0</v>
      </c>
      <c r="T197" s="127" t="n">
        <f aca="false">IF(IFERROR(INDEX(tsk_Name,GanttView[[#This Row],[_Row]])="",TRUE()),0,N(INDEX(tsk_Deadline,GanttView[[#This Row],[_Row]])))</f>
        <v>0</v>
      </c>
      <c r="U197" s="126" t="b">
        <f aca="false">IF(IFERROR(INDEX(tsk_Name,GanttView[[#This Row],[_Row]])="",TRUE()),FALSE(),INDEX(tsk_Critical,GanttView[[#This Row],[_Row]])="Yes")</f>
        <v>0</v>
      </c>
    </row>
    <row r="198" customFormat="false" ht="15" hidden="false" customHeight="false" outlineLevel="0" collapsed="false">
      <c r="A198" s="120" t="str">
        <f aca="false">IF(IFERROR(INDEX(tsk_Name,GanttView[[#This Row],[_Row]])="",TRUE()),"",INDEX(tsk_ID,GanttView[[#This Row],[_Row]]))</f>
        <v/>
      </c>
      <c r="B198" s="120" t="str">
        <f aca="false">IF(IFERROR(INDEX(tsk_Name,GanttView[[#This Row],[_Row]])="",TRUE()),"",INDEX(tsk_WBS,GanttView[[#This Row],[_Row]]))</f>
        <v/>
      </c>
      <c r="C198" s="121" t="str">
        <f aca="false">IF(IFERROR(INDEX(tsk_Name,GanttView[[#This Row],[_Row]])="",TRUE()),"",REPT("    ",INDEX(tsk_Level,GanttView[[#This Row],[_Row]])-1)&amp;INDEX(tsk_Name,GanttView[[#This Row],[_Row]]))</f>
        <v/>
      </c>
      <c r="D198" s="120" t="str">
        <f aca="false">IF(IFERROR(INDEX(tsk_Name,GanttView[[#This Row],[_Row]])="",TRUE()),"",IF(INDEX(tsk_IsSummary,GanttView[[#This Row],[_Row]]),NETWORKDAYS.INTL(INDEX(tsk_FcStart,GanttView[[#This Row],[_Row]]),INDEX(tsk_FcFinish,GanttView[[#This Row],[_Row]]),WorkWeek,Holidays),N(INDEX(tsk_Duration,GanttView[[#This Row],[_Row]]))))</f>
        <v/>
      </c>
      <c r="E198" s="122" t="str">
        <f aca="false">IF(IFERROR(INDEX(tsk_Name,GanttView[[#This Row],[_Row]])="",TRUE()),"",INDEX(tsk_PlanStart,GanttView[[#This Row],[_Row]]))</f>
        <v/>
      </c>
      <c r="F198" s="122" t="str">
        <f aca="false">IF(IFERROR(INDEX(tsk_Name,GanttView[[#This Row],[_Row]])="",TRUE()),"",INDEX(tsk_PlanFinish,GanttView[[#This Row],[_Row]]))</f>
        <v/>
      </c>
      <c r="G198" s="122" t="str">
        <f aca="false">IF(IFERROR(INDEX(tsk_Name,GanttView[[#This Row],[_Row]])="",TRUE()),"",INDEX(tsk_FcStart,GanttView[[#This Row],[_Row]]))</f>
        <v/>
      </c>
      <c r="H198" s="122" t="str">
        <f aca="false">IF(IFERROR(INDEX(tsk_Name,GanttView[[#This Row],[_Row]])="",TRUE()),"",INDEX(tsk_FcFinish,GanttView[[#This Row],[_Row]]))</f>
        <v/>
      </c>
      <c r="I198" s="123" t="str">
        <f aca="false">IF(IFERROR(INDEX(tsk_Name,GanttView[[#This Row],[_Row]])="",TRUE()),"",INDEX(tsk_Progress,GanttView[[#This Row],[_Row]]))</f>
        <v/>
      </c>
      <c r="J198" s="121" t="str">
        <f aca="false">IF(IFERROR(INDEX(tsk_Name,GanttView[[#This Row],[_Row]])="",TRUE()),"",INDEX(tsk_Resource,GanttView[[#This Row],[_Row]])&amp;"")</f>
        <v/>
      </c>
      <c r="K198" s="124" t="str">
        <f aca="false">IF(IFERROR(INDEX(tsk_Name,GanttView[[#This Row],[_Row]])="",TRUE()),"",INDEX(tsk_Status,GanttView[[#This Row],[_Row]]))</f>
        <v/>
      </c>
      <c r="L198" s="125" t="n">
        <f aca="false">ROW()-ROW(GanttView[[#Headers],[ID]])</f>
        <v>193</v>
      </c>
      <c r="M198" s="126" t="b">
        <f aca="false">IF(IFERROR(INDEX(tsk_Name,GanttView[[#This Row],[_Row]])="",TRUE()),FALSE(),INDEX(tsk_IsSummary,GanttView[[#This Row],[_Row]]))</f>
        <v>0</v>
      </c>
      <c r="N198" s="126" t="b">
        <f aca="false">IF(IFERROR(INDEX(tsk_Name,GanttView[[#This Row],[_Row]])="",TRUE()),FALSE(),AND(INDEX(tsk_IsLeaf,GanttView[[#This Row],[_Row]])=1,N(INDEX(tsk_Duration,GanttView[[#This Row],[_Row]]))=0))</f>
        <v>0</v>
      </c>
      <c r="O198" s="127" t="n">
        <f aca="false">IF(IFERROR(INDEX(tsk_Name,GanttView[[#This Row],[_Row]])="",TRUE()),0,IF(AND(INDEX(tsk_IsLeaf,GanttView[[#This Row],[_Row]])=1,NOT(GanttView[[#This Row],[_IsMilestone]]),N(GanttView[[#This Row],[%]])&gt;0),GanttView[[#This Row],[Forecast Start]],0))</f>
        <v>0</v>
      </c>
      <c r="P198" s="127" t="n">
        <f aca="false">IF(GanttView[[#This Row],[_DoneFrom]]=0,0,IF(GanttView[[#This Row],[%]]&gt;=1,GanttView[[#This Row],[Forecast Finish]],MAX(GanttView[[#This Row],[_DoneFrom]],GanttView[[#This Row],[Forecast Start]]+ROUND((GanttView[[#This Row],[Forecast Finish]]-GanttView[[#This Row],[Forecast Start]]+1)*GanttView[[#This Row],[%]],0)-1)))</f>
        <v>0</v>
      </c>
      <c r="Q198" s="127" t="n">
        <f aca="false">IF(IFERROR(INDEX(tsk_Name,GanttView[[#This Row],[_Row]])="",TRUE()),0,IF(OR(INDEX(tsk_IsLeaf,GanttView[[#This Row],[_Row]])&lt;&gt;1,GanttView[[#This Row],[_IsMilestone]],N(GanttView[[#This Row],[%]])&gt;=1),0,IF(GanttView[[#This Row],[_DoneTo]]&gt;0,GanttView[[#This Row],[_DoneTo]]+1,GanttView[[#This Row],[Forecast Start]])))</f>
        <v>0</v>
      </c>
      <c r="R198" s="127" t="n">
        <f aca="false">IF(GanttView[[#This Row],[_RemFrom]]=0,0,GanttView[[#This Row],[Forecast Finish]])</f>
        <v>0</v>
      </c>
      <c r="S198" s="126" t="b">
        <f aca="false">IF(IFERROR(INDEX(tsk_Name,GanttView[[#This Row],[_Row]])="",TRUE()),FALSE(),N(INDEX(tsk_Variance,GanttView[[#This Row],[_Row]]))&gt;0)</f>
        <v>0</v>
      </c>
      <c r="T198" s="127" t="n">
        <f aca="false">IF(IFERROR(INDEX(tsk_Name,GanttView[[#This Row],[_Row]])="",TRUE()),0,N(INDEX(tsk_Deadline,GanttView[[#This Row],[_Row]])))</f>
        <v>0</v>
      </c>
      <c r="U198" s="126" t="b">
        <f aca="false">IF(IFERROR(INDEX(tsk_Name,GanttView[[#This Row],[_Row]])="",TRUE()),FALSE(),INDEX(tsk_Critical,GanttView[[#This Row],[_Row]])="Yes")</f>
        <v>0</v>
      </c>
    </row>
    <row r="199" customFormat="false" ht="15" hidden="false" customHeight="false" outlineLevel="0" collapsed="false">
      <c r="A199" s="120" t="str">
        <f aca="false">IF(IFERROR(INDEX(tsk_Name,GanttView[[#This Row],[_Row]])="",TRUE()),"",INDEX(tsk_ID,GanttView[[#This Row],[_Row]]))</f>
        <v/>
      </c>
      <c r="B199" s="120" t="str">
        <f aca="false">IF(IFERROR(INDEX(tsk_Name,GanttView[[#This Row],[_Row]])="",TRUE()),"",INDEX(tsk_WBS,GanttView[[#This Row],[_Row]]))</f>
        <v/>
      </c>
      <c r="C199" s="121" t="str">
        <f aca="false">IF(IFERROR(INDEX(tsk_Name,GanttView[[#This Row],[_Row]])="",TRUE()),"",REPT("    ",INDEX(tsk_Level,GanttView[[#This Row],[_Row]])-1)&amp;INDEX(tsk_Name,GanttView[[#This Row],[_Row]]))</f>
        <v/>
      </c>
      <c r="D199" s="120" t="str">
        <f aca="false">IF(IFERROR(INDEX(tsk_Name,GanttView[[#This Row],[_Row]])="",TRUE()),"",IF(INDEX(tsk_IsSummary,GanttView[[#This Row],[_Row]]),NETWORKDAYS.INTL(INDEX(tsk_FcStart,GanttView[[#This Row],[_Row]]),INDEX(tsk_FcFinish,GanttView[[#This Row],[_Row]]),WorkWeek,Holidays),N(INDEX(tsk_Duration,GanttView[[#This Row],[_Row]]))))</f>
        <v/>
      </c>
      <c r="E199" s="122" t="str">
        <f aca="false">IF(IFERROR(INDEX(tsk_Name,GanttView[[#This Row],[_Row]])="",TRUE()),"",INDEX(tsk_PlanStart,GanttView[[#This Row],[_Row]]))</f>
        <v/>
      </c>
      <c r="F199" s="122" t="str">
        <f aca="false">IF(IFERROR(INDEX(tsk_Name,GanttView[[#This Row],[_Row]])="",TRUE()),"",INDEX(tsk_PlanFinish,GanttView[[#This Row],[_Row]]))</f>
        <v/>
      </c>
      <c r="G199" s="122" t="str">
        <f aca="false">IF(IFERROR(INDEX(tsk_Name,GanttView[[#This Row],[_Row]])="",TRUE()),"",INDEX(tsk_FcStart,GanttView[[#This Row],[_Row]]))</f>
        <v/>
      </c>
      <c r="H199" s="122" t="str">
        <f aca="false">IF(IFERROR(INDEX(tsk_Name,GanttView[[#This Row],[_Row]])="",TRUE()),"",INDEX(tsk_FcFinish,GanttView[[#This Row],[_Row]]))</f>
        <v/>
      </c>
      <c r="I199" s="123" t="str">
        <f aca="false">IF(IFERROR(INDEX(tsk_Name,GanttView[[#This Row],[_Row]])="",TRUE()),"",INDEX(tsk_Progress,GanttView[[#This Row],[_Row]]))</f>
        <v/>
      </c>
      <c r="J199" s="121" t="str">
        <f aca="false">IF(IFERROR(INDEX(tsk_Name,GanttView[[#This Row],[_Row]])="",TRUE()),"",INDEX(tsk_Resource,GanttView[[#This Row],[_Row]])&amp;"")</f>
        <v/>
      </c>
      <c r="K199" s="124" t="str">
        <f aca="false">IF(IFERROR(INDEX(tsk_Name,GanttView[[#This Row],[_Row]])="",TRUE()),"",INDEX(tsk_Status,GanttView[[#This Row],[_Row]]))</f>
        <v/>
      </c>
      <c r="L199" s="125" t="n">
        <f aca="false">ROW()-ROW(GanttView[[#Headers],[ID]])</f>
        <v>194</v>
      </c>
      <c r="M199" s="126" t="b">
        <f aca="false">IF(IFERROR(INDEX(tsk_Name,GanttView[[#This Row],[_Row]])="",TRUE()),FALSE(),INDEX(tsk_IsSummary,GanttView[[#This Row],[_Row]]))</f>
        <v>0</v>
      </c>
      <c r="N199" s="126" t="b">
        <f aca="false">IF(IFERROR(INDEX(tsk_Name,GanttView[[#This Row],[_Row]])="",TRUE()),FALSE(),AND(INDEX(tsk_IsLeaf,GanttView[[#This Row],[_Row]])=1,N(INDEX(tsk_Duration,GanttView[[#This Row],[_Row]]))=0))</f>
        <v>0</v>
      </c>
      <c r="O199" s="127" t="n">
        <f aca="false">IF(IFERROR(INDEX(tsk_Name,GanttView[[#This Row],[_Row]])="",TRUE()),0,IF(AND(INDEX(tsk_IsLeaf,GanttView[[#This Row],[_Row]])=1,NOT(GanttView[[#This Row],[_IsMilestone]]),N(GanttView[[#This Row],[%]])&gt;0),GanttView[[#This Row],[Forecast Start]],0))</f>
        <v>0</v>
      </c>
      <c r="P199" s="127" t="n">
        <f aca="false">IF(GanttView[[#This Row],[_DoneFrom]]=0,0,IF(GanttView[[#This Row],[%]]&gt;=1,GanttView[[#This Row],[Forecast Finish]],MAX(GanttView[[#This Row],[_DoneFrom]],GanttView[[#This Row],[Forecast Start]]+ROUND((GanttView[[#This Row],[Forecast Finish]]-GanttView[[#This Row],[Forecast Start]]+1)*GanttView[[#This Row],[%]],0)-1)))</f>
        <v>0</v>
      </c>
      <c r="Q199" s="127" t="n">
        <f aca="false">IF(IFERROR(INDEX(tsk_Name,GanttView[[#This Row],[_Row]])="",TRUE()),0,IF(OR(INDEX(tsk_IsLeaf,GanttView[[#This Row],[_Row]])&lt;&gt;1,GanttView[[#This Row],[_IsMilestone]],N(GanttView[[#This Row],[%]])&gt;=1),0,IF(GanttView[[#This Row],[_DoneTo]]&gt;0,GanttView[[#This Row],[_DoneTo]]+1,GanttView[[#This Row],[Forecast Start]])))</f>
        <v>0</v>
      </c>
      <c r="R199" s="127" t="n">
        <f aca="false">IF(GanttView[[#This Row],[_RemFrom]]=0,0,GanttView[[#This Row],[Forecast Finish]])</f>
        <v>0</v>
      </c>
      <c r="S199" s="126" t="b">
        <f aca="false">IF(IFERROR(INDEX(tsk_Name,GanttView[[#This Row],[_Row]])="",TRUE()),FALSE(),N(INDEX(tsk_Variance,GanttView[[#This Row],[_Row]]))&gt;0)</f>
        <v>0</v>
      </c>
      <c r="T199" s="127" t="n">
        <f aca="false">IF(IFERROR(INDEX(tsk_Name,GanttView[[#This Row],[_Row]])="",TRUE()),0,N(INDEX(tsk_Deadline,GanttView[[#This Row],[_Row]])))</f>
        <v>0</v>
      </c>
      <c r="U199" s="126" t="b">
        <f aca="false">IF(IFERROR(INDEX(tsk_Name,GanttView[[#This Row],[_Row]])="",TRUE()),FALSE(),INDEX(tsk_Critical,GanttView[[#This Row],[_Row]])="Yes")</f>
        <v>0</v>
      </c>
    </row>
    <row r="200" customFormat="false" ht="15" hidden="false" customHeight="false" outlineLevel="0" collapsed="false">
      <c r="A200" s="120" t="str">
        <f aca="false">IF(IFERROR(INDEX(tsk_Name,GanttView[[#This Row],[_Row]])="",TRUE()),"",INDEX(tsk_ID,GanttView[[#This Row],[_Row]]))</f>
        <v/>
      </c>
      <c r="B200" s="120" t="str">
        <f aca="false">IF(IFERROR(INDEX(tsk_Name,GanttView[[#This Row],[_Row]])="",TRUE()),"",INDEX(tsk_WBS,GanttView[[#This Row],[_Row]]))</f>
        <v/>
      </c>
      <c r="C200" s="121" t="str">
        <f aca="false">IF(IFERROR(INDEX(tsk_Name,GanttView[[#This Row],[_Row]])="",TRUE()),"",REPT("    ",INDEX(tsk_Level,GanttView[[#This Row],[_Row]])-1)&amp;INDEX(tsk_Name,GanttView[[#This Row],[_Row]]))</f>
        <v/>
      </c>
      <c r="D200" s="120" t="str">
        <f aca="false">IF(IFERROR(INDEX(tsk_Name,GanttView[[#This Row],[_Row]])="",TRUE()),"",IF(INDEX(tsk_IsSummary,GanttView[[#This Row],[_Row]]),NETWORKDAYS.INTL(INDEX(tsk_FcStart,GanttView[[#This Row],[_Row]]),INDEX(tsk_FcFinish,GanttView[[#This Row],[_Row]]),WorkWeek,Holidays),N(INDEX(tsk_Duration,GanttView[[#This Row],[_Row]]))))</f>
        <v/>
      </c>
      <c r="E200" s="122" t="str">
        <f aca="false">IF(IFERROR(INDEX(tsk_Name,GanttView[[#This Row],[_Row]])="",TRUE()),"",INDEX(tsk_PlanStart,GanttView[[#This Row],[_Row]]))</f>
        <v/>
      </c>
      <c r="F200" s="122" t="str">
        <f aca="false">IF(IFERROR(INDEX(tsk_Name,GanttView[[#This Row],[_Row]])="",TRUE()),"",INDEX(tsk_PlanFinish,GanttView[[#This Row],[_Row]]))</f>
        <v/>
      </c>
      <c r="G200" s="122" t="str">
        <f aca="false">IF(IFERROR(INDEX(tsk_Name,GanttView[[#This Row],[_Row]])="",TRUE()),"",INDEX(tsk_FcStart,GanttView[[#This Row],[_Row]]))</f>
        <v/>
      </c>
      <c r="H200" s="122" t="str">
        <f aca="false">IF(IFERROR(INDEX(tsk_Name,GanttView[[#This Row],[_Row]])="",TRUE()),"",INDEX(tsk_FcFinish,GanttView[[#This Row],[_Row]]))</f>
        <v/>
      </c>
      <c r="I200" s="123" t="str">
        <f aca="false">IF(IFERROR(INDEX(tsk_Name,GanttView[[#This Row],[_Row]])="",TRUE()),"",INDEX(tsk_Progress,GanttView[[#This Row],[_Row]]))</f>
        <v/>
      </c>
      <c r="J200" s="121" t="str">
        <f aca="false">IF(IFERROR(INDEX(tsk_Name,GanttView[[#This Row],[_Row]])="",TRUE()),"",INDEX(tsk_Resource,GanttView[[#This Row],[_Row]])&amp;"")</f>
        <v/>
      </c>
      <c r="K200" s="124" t="str">
        <f aca="false">IF(IFERROR(INDEX(tsk_Name,GanttView[[#This Row],[_Row]])="",TRUE()),"",INDEX(tsk_Status,GanttView[[#This Row],[_Row]]))</f>
        <v/>
      </c>
      <c r="L200" s="125" t="n">
        <f aca="false">ROW()-ROW(GanttView[[#Headers],[ID]])</f>
        <v>195</v>
      </c>
      <c r="M200" s="126" t="b">
        <f aca="false">IF(IFERROR(INDEX(tsk_Name,GanttView[[#This Row],[_Row]])="",TRUE()),FALSE(),INDEX(tsk_IsSummary,GanttView[[#This Row],[_Row]]))</f>
        <v>0</v>
      </c>
      <c r="N200" s="126" t="b">
        <f aca="false">IF(IFERROR(INDEX(tsk_Name,GanttView[[#This Row],[_Row]])="",TRUE()),FALSE(),AND(INDEX(tsk_IsLeaf,GanttView[[#This Row],[_Row]])=1,N(INDEX(tsk_Duration,GanttView[[#This Row],[_Row]]))=0))</f>
        <v>0</v>
      </c>
      <c r="O200" s="127" t="n">
        <f aca="false">IF(IFERROR(INDEX(tsk_Name,GanttView[[#This Row],[_Row]])="",TRUE()),0,IF(AND(INDEX(tsk_IsLeaf,GanttView[[#This Row],[_Row]])=1,NOT(GanttView[[#This Row],[_IsMilestone]]),N(GanttView[[#This Row],[%]])&gt;0),GanttView[[#This Row],[Forecast Start]],0))</f>
        <v>0</v>
      </c>
      <c r="P200" s="127" t="n">
        <f aca="false">IF(GanttView[[#This Row],[_DoneFrom]]=0,0,IF(GanttView[[#This Row],[%]]&gt;=1,GanttView[[#This Row],[Forecast Finish]],MAX(GanttView[[#This Row],[_DoneFrom]],GanttView[[#This Row],[Forecast Start]]+ROUND((GanttView[[#This Row],[Forecast Finish]]-GanttView[[#This Row],[Forecast Start]]+1)*GanttView[[#This Row],[%]],0)-1)))</f>
        <v>0</v>
      </c>
      <c r="Q200" s="127" t="n">
        <f aca="false">IF(IFERROR(INDEX(tsk_Name,GanttView[[#This Row],[_Row]])="",TRUE()),0,IF(OR(INDEX(tsk_IsLeaf,GanttView[[#This Row],[_Row]])&lt;&gt;1,GanttView[[#This Row],[_IsMilestone]],N(GanttView[[#This Row],[%]])&gt;=1),0,IF(GanttView[[#This Row],[_DoneTo]]&gt;0,GanttView[[#This Row],[_DoneTo]]+1,GanttView[[#This Row],[Forecast Start]])))</f>
        <v>0</v>
      </c>
      <c r="R200" s="127" t="n">
        <f aca="false">IF(GanttView[[#This Row],[_RemFrom]]=0,0,GanttView[[#This Row],[Forecast Finish]])</f>
        <v>0</v>
      </c>
      <c r="S200" s="126" t="b">
        <f aca="false">IF(IFERROR(INDEX(tsk_Name,GanttView[[#This Row],[_Row]])="",TRUE()),FALSE(),N(INDEX(tsk_Variance,GanttView[[#This Row],[_Row]]))&gt;0)</f>
        <v>0</v>
      </c>
      <c r="T200" s="127" t="n">
        <f aca="false">IF(IFERROR(INDEX(tsk_Name,GanttView[[#This Row],[_Row]])="",TRUE()),0,N(INDEX(tsk_Deadline,GanttView[[#This Row],[_Row]])))</f>
        <v>0</v>
      </c>
      <c r="U200" s="126" t="b">
        <f aca="false">IF(IFERROR(INDEX(tsk_Name,GanttView[[#This Row],[_Row]])="",TRUE()),FALSE(),INDEX(tsk_Critical,GanttView[[#This Row],[_Row]])="Yes")</f>
        <v>0</v>
      </c>
    </row>
    <row r="201" customFormat="false" ht="15" hidden="false" customHeight="false" outlineLevel="0" collapsed="false">
      <c r="A201" s="120" t="str">
        <f aca="false">IF(IFERROR(INDEX(tsk_Name,GanttView[[#This Row],[_Row]])="",TRUE()),"",INDEX(tsk_ID,GanttView[[#This Row],[_Row]]))</f>
        <v/>
      </c>
      <c r="B201" s="120" t="str">
        <f aca="false">IF(IFERROR(INDEX(tsk_Name,GanttView[[#This Row],[_Row]])="",TRUE()),"",INDEX(tsk_WBS,GanttView[[#This Row],[_Row]]))</f>
        <v/>
      </c>
      <c r="C201" s="121" t="str">
        <f aca="false">IF(IFERROR(INDEX(tsk_Name,GanttView[[#This Row],[_Row]])="",TRUE()),"",REPT("    ",INDEX(tsk_Level,GanttView[[#This Row],[_Row]])-1)&amp;INDEX(tsk_Name,GanttView[[#This Row],[_Row]]))</f>
        <v/>
      </c>
      <c r="D201" s="120" t="str">
        <f aca="false">IF(IFERROR(INDEX(tsk_Name,GanttView[[#This Row],[_Row]])="",TRUE()),"",IF(INDEX(tsk_IsSummary,GanttView[[#This Row],[_Row]]),NETWORKDAYS.INTL(INDEX(tsk_FcStart,GanttView[[#This Row],[_Row]]),INDEX(tsk_FcFinish,GanttView[[#This Row],[_Row]]),WorkWeek,Holidays),N(INDEX(tsk_Duration,GanttView[[#This Row],[_Row]]))))</f>
        <v/>
      </c>
      <c r="E201" s="122" t="str">
        <f aca="false">IF(IFERROR(INDEX(tsk_Name,GanttView[[#This Row],[_Row]])="",TRUE()),"",INDEX(tsk_PlanStart,GanttView[[#This Row],[_Row]]))</f>
        <v/>
      </c>
      <c r="F201" s="122" t="str">
        <f aca="false">IF(IFERROR(INDEX(tsk_Name,GanttView[[#This Row],[_Row]])="",TRUE()),"",INDEX(tsk_PlanFinish,GanttView[[#This Row],[_Row]]))</f>
        <v/>
      </c>
      <c r="G201" s="122" t="str">
        <f aca="false">IF(IFERROR(INDEX(tsk_Name,GanttView[[#This Row],[_Row]])="",TRUE()),"",INDEX(tsk_FcStart,GanttView[[#This Row],[_Row]]))</f>
        <v/>
      </c>
      <c r="H201" s="122" t="str">
        <f aca="false">IF(IFERROR(INDEX(tsk_Name,GanttView[[#This Row],[_Row]])="",TRUE()),"",INDEX(tsk_FcFinish,GanttView[[#This Row],[_Row]]))</f>
        <v/>
      </c>
      <c r="I201" s="123" t="str">
        <f aca="false">IF(IFERROR(INDEX(tsk_Name,GanttView[[#This Row],[_Row]])="",TRUE()),"",INDEX(tsk_Progress,GanttView[[#This Row],[_Row]]))</f>
        <v/>
      </c>
      <c r="J201" s="121" t="str">
        <f aca="false">IF(IFERROR(INDEX(tsk_Name,GanttView[[#This Row],[_Row]])="",TRUE()),"",INDEX(tsk_Resource,GanttView[[#This Row],[_Row]])&amp;"")</f>
        <v/>
      </c>
      <c r="K201" s="124" t="str">
        <f aca="false">IF(IFERROR(INDEX(tsk_Name,GanttView[[#This Row],[_Row]])="",TRUE()),"",INDEX(tsk_Status,GanttView[[#This Row],[_Row]]))</f>
        <v/>
      </c>
      <c r="L201" s="125" t="n">
        <f aca="false">ROW()-ROW(GanttView[[#Headers],[ID]])</f>
        <v>196</v>
      </c>
      <c r="M201" s="126" t="b">
        <f aca="false">IF(IFERROR(INDEX(tsk_Name,GanttView[[#This Row],[_Row]])="",TRUE()),FALSE(),INDEX(tsk_IsSummary,GanttView[[#This Row],[_Row]]))</f>
        <v>0</v>
      </c>
      <c r="N201" s="126" t="b">
        <f aca="false">IF(IFERROR(INDEX(tsk_Name,GanttView[[#This Row],[_Row]])="",TRUE()),FALSE(),AND(INDEX(tsk_IsLeaf,GanttView[[#This Row],[_Row]])=1,N(INDEX(tsk_Duration,GanttView[[#This Row],[_Row]]))=0))</f>
        <v>0</v>
      </c>
      <c r="O201" s="127" t="n">
        <f aca="false">IF(IFERROR(INDEX(tsk_Name,GanttView[[#This Row],[_Row]])="",TRUE()),0,IF(AND(INDEX(tsk_IsLeaf,GanttView[[#This Row],[_Row]])=1,NOT(GanttView[[#This Row],[_IsMilestone]]),N(GanttView[[#This Row],[%]])&gt;0),GanttView[[#This Row],[Forecast Start]],0))</f>
        <v>0</v>
      </c>
      <c r="P201" s="127" t="n">
        <f aca="false">IF(GanttView[[#This Row],[_DoneFrom]]=0,0,IF(GanttView[[#This Row],[%]]&gt;=1,GanttView[[#This Row],[Forecast Finish]],MAX(GanttView[[#This Row],[_DoneFrom]],GanttView[[#This Row],[Forecast Start]]+ROUND((GanttView[[#This Row],[Forecast Finish]]-GanttView[[#This Row],[Forecast Start]]+1)*GanttView[[#This Row],[%]],0)-1)))</f>
        <v>0</v>
      </c>
      <c r="Q201" s="127" t="n">
        <f aca="false">IF(IFERROR(INDEX(tsk_Name,GanttView[[#This Row],[_Row]])="",TRUE()),0,IF(OR(INDEX(tsk_IsLeaf,GanttView[[#This Row],[_Row]])&lt;&gt;1,GanttView[[#This Row],[_IsMilestone]],N(GanttView[[#This Row],[%]])&gt;=1),0,IF(GanttView[[#This Row],[_DoneTo]]&gt;0,GanttView[[#This Row],[_DoneTo]]+1,GanttView[[#This Row],[Forecast Start]])))</f>
        <v>0</v>
      </c>
      <c r="R201" s="127" t="n">
        <f aca="false">IF(GanttView[[#This Row],[_RemFrom]]=0,0,GanttView[[#This Row],[Forecast Finish]])</f>
        <v>0</v>
      </c>
      <c r="S201" s="126" t="b">
        <f aca="false">IF(IFERROR(INDEX(tsk_Name,GanttView[[#This Row],[_Row]])="",TRUE()),FALSE(),N(INDEX(tsk_Variance,GanttView[[#This Row],[_Row]]))&gt;0)</f>
        <v>0</v>
      </c>
      <c r="T201" s="127" t="n">
        <f aca="false">IF(IFERROR(INDEX(tsk_Name,GanttView[[#This Row],[_Row]])="",TRUE()),0,N(INDEX(tsk_Deadline,GanttView[[#This Row],[_Row]])))</f>
        <v>0</v>
      </c>
      <c r="U201" s="126" t="b">
        <f aca="false">IF(IFERROR(INDEX(tsk_Name,GanttView[[#This Row],[_Row]])="",TRUE()),FALSE(),INDEX(tsk_Critical,GanttView[[#This Row],[_Row]])="Yes")</f>
        <v>0</v>
      </c>
    </row>
    <row r="202" customFormat="false" ht="15" hidden="false" customHeight="false" outlineLevel="0" collapsed="false">
      <c r="A202" s="120" t="str">
        <f aca="false">IF(IFERROR(INDEX(tsk_Name,GanttView[[#This Row],[_Row]])="",TRUE()),"",INDEX(tsk_ID,GanttView[[#This Row],[_Row]]))</f>
        <v/>
      </c>
      <c r="B202" s="120" t="str">
        <f aca="false">IF(IFERROR(INDEX(tsk_Name,GanttView[[#This Row],[_Row]])="",TRUE()),"",INDEX(tsk_WBS,GanttView[[#This Row],[_Row]]))</f>
        <v/>
      </c>
      <c r="C202" s="121" t="str">
        <f aca="false">IF(IFERROR(INDEX(tsk_Name,GanttView[[#This Row],[_Row]])="",TRUE()),"",REPT("    ",INDEX(tsk_Level,GanttView[[#This Row],[_Row]])-1)&amp;INDEX(tsk_Name,GanttView[[#This Row],[_Row]]))</f>
        <v/>
      </c>
      <c r="D202" s="120" t="str">
        <f aca="false">IF(IFERROR(INDEX(tsk_Name,GanttView[[#This Row],[_Row]])="",TRUE()),"",IF(INDEX(tsk_IsSummary,GanttView[[#This Row],[_Row]]),NETWORKDAYS.INTL(INDEX(tsk_FcStart,GanttView[[#This Row],[_Row]]),INDEX(tsk_FcFinish,GanttView[[#This Row],[_Row]]),WorkWeek,Holidays),N(INDEX(tsk_Duration,GanttView[[#This Row],[_Row]]))))</f>
        <v/>
      </c>
      <c r="E202" s="122" t="str">
        <f aca="false">IF(IFERROR(INDEX(tsk_Name,GanttView[[#This Row],[_Row]])="",TRUE()),"",INDEX(tsk_PlanStart,GanttView[[#This Row],[_Row]]))</f>
        <v/>
      </c>
      <c r="F202" s="122" t="str">
        <f aca="false">IF(IFERROR(INDEX(tsk_Name,GanttView[[#This Row],[_Row]])="",TRUE()),"",INDEX(tsk_PlanFinish,GanttView[[#This Row],[_Row]]))</f>
        <v/>
      </c>
      <c r="G202" s="122" t="str">
        <f aca="false">IF(IFERROR(INDEX(tsk_Name,GanttView[[#This Row],[_Row]])="",TRUE()),"",INDEX(tsk_FcStart,GanttView[[#This Row],[_Row]]))</f>
        <v/>
      </c>
      <c r="H202" s="122" t="str">
        <f aca="false">IF(IFERROR(INDEX(tsk_Name,GanttView[[#This Row],[_Row]])="",TRUE()),"",INDEX(tsk_FcFinish,GanttView[[#This Row],[_Row]]))</f>
        <v/>
      </c>
      <c r="I202" s="123" t="str">
        <f aca="false">IF(IFERROR(INDEX(tsk_Name,GanttView[[#This Row],[_Row]])="",TRUE()),"",INDEX(tsk_Progress,GanttView[[#This Row],[_Row]]))</f>
        <v/>
      </c>
      <c r="J202" s="121" t="str">
        <f aca="false">IF(IFERROR(INDEX(tsk_Name,GanttView[[#This Row],[_Row]])="",TRUE()),"",INDEX(tsk_Resource,GanttView[[#This Row],[_Row]])&amp;"")</f>
        <v/>
      </c>
      <c r="K202" s="124" t="str">
        <f aca="false">IF(IFERROR(INDEX(tsk_Name,GanttView[[#This Row],[_Row]])="",TRUE()),"",INDEX(tsk_Status,GanttView[[#This Row],[_Row]]))</f>
        <v/>
      </c>
      <c r="L202" s="125" t="n">
        <f aca="false">ROW()-ROW(GanttView[[#Headers],[ID]])</f>
        <v>197</v>
      </c>
      <c r="M202" s="126" t="b">
        <f aca="false">IF(IFERROR(INDEX(tsk_Name,GanttView[[#This Row],[_Row]])="",TRUE()),FALSE(),INDEX(tsk_IsSummary,GanttView[[#This Row],[_Row]]))</f>
        <v>0</v>
      </c>
      <c r="N202" s="126" t="b">
        <f aca="false">IF(IFERROR(INDEX(tsk_Name,GanttView[[#This Row],[_Row]])="",TRUE()),FALSE(),AND(INDEX(tsk_IsLeaf,GanttView[[#This Row],[_Row]])=1,N(INDEX(tsk_Duration,GanttView[[#This Row],[_Row]]))=0))</f>
        <v>0</v>
      </c>
      <c r="O202" s="127" t="n">
        <f aca="false">IF(IFERROR(INDEX(tsk_Name,GanttView[[#This Row],[_Row]])="",TRUE()),0,IF(AND(INDEX(tsk_IsLeaf,GanttView[[#This Row],[_Row]])=1,NOT(GanttView[[#This Row],[_IsMilestone]]),N(GanttView[[#This Row],[%]])&gt;0),GanttView[[#This Row],[Forecast Start]],0))</f>
        <v>0</v>
      </c>
      <c r="P202" s="127" t="n">
        <f aca="false">IF(GanttView[[#This Row],[_DoneFrom]]=0,0,IF(GanttView[[#This Row],[%]]&gt;=1,GanttView[[#This Row],[Forecast Finish]],MAX(GanttView[[#This Row],[_DoneFrom]],GanttView[[#This Row],[Forecast Start]]+ROUND((GanttView[[#This Row],[Forecast Finish]]-GanttView[[#This Row],[Forecast Start]]+1)*GanttView[[#This Row],[%]],0)-1)))</f>
        <v>0</v>
      </c>
      <c r="Q202" s="127" t="n">
        <f aca="false">IF(IFERROR(INDEX(tsk_Name,GanttView[[#This Row],[_Row]])="",TRUE()),0,IF(OR(INDEX(tsk_IsLeaf,GanttView[[#This Row],[_Row]])&lt;&gt;1,GanttView[[#This Row],[_IsMilestone]],N(GanttView[[#This Row],[%]])&gt;=1),0,IF(GanttView[[#This Row],[_DoneTo]]&gt;0,GanttView[[#This Row],[_DoneTo]]+1,GanttView[[#This Row],[Forecast Start]])))</f>
        <v>0</v>
      </c>
      <c r="R202" s="127" t="n">
        <f aca="false">IF(GanttView[[#This Row],[_RemFrom]]=0,0,GanttView[[#This Row],[Forecast Finish]])</f>
        <v>0</v>
      </c>
      <c r="S202" s="126" t="b">
        <f aca="false">IF(IFERROR(INDEX(tsk_Name,GanttView[[#This Row],[_Row]])="",TRUE()),FALSE(),N(INDEX(tsk_Variance,GanttView[[#This Row],[_Row]]))&gt;0)</f>
        <v>0</v>
      </c>
      <c r="T202" s="127" t="n">
        <f aca="false">IF(IFERROR(INDEX(tsk_Name,GanttView[[#This Row],[_Row]])="",TRUE()),0,N(INDEX(tsk_Deadline,GanttView[[#This Row],[_Row]])))</f>
        <v>0</v>
      </c>
      <c r="U202" s="126" t="b">
        <f aca="false">IF(IFERROR(INDEX(tsk_Name,GanttView[[#This Row],[_Row]])="",TRUE()),FALSE(),INDEX(tsk_Critical,GanttView[[#This Row],[_Row]])="Yes")</f>
        <v>0</v>
      </c>
    </row>
    <row r="203" customFormat="false" ht="15" hidden="false" customHeight="false" outlineLevel="0" collapsed="false">
      <c r="A203" s="120" t="str">
        <f aca="false">IF(IFERROR(INDEX(tsk_Name,GanttView[[#This Row],[_Row]])="",TRUE()),"",INDEX(tsk_ID,GanttView[[#This Row],[_Row]]))</f>
        <v/>
      </c>
      <c r="B203" s="120" t="str">
        <f aca="false">IF(IFERROR(INDEX(tsk_Name,GanttView[[#This Row],[_Row]])="",TRUE()),"",INDEX(tsk_WBS,GanttView[[#This Row],[_Row]]))</f>
        <v/>
      </c>
      <c r="C203" s="121" t="str">
        <f aca="false">IF(IFERROR(INDEX(tsk_Name,GanttView[[#This Row],[_Row]])="",TRUE()),"",REPT("    ",INDEX(tsk_Level,GanttView[[#This Row],[_Row]])-1)&amp;INDEX(tsk_Name,GanttView[[#This Row],[_Row]]))</f>
        <v/>
      </c>
      <c r="D203" s="120" t="str">
        <f aca="false">IF(IFERROR(INDEX(tsk_Name,GanttView[[#This Row],[_Row]])="",TRUE()),"",IF(INDEX(tsk_IsSummary,GanttView[[#This Row],[_Row]]),NETWORKDAYS.INTL(INDEX(tsk_FcStart,GanttView[[#This Row],[_Row]]),INDEX(tsk_FcFinish,GanttView[[#This Row],[_Row]]),WorkWeek,Holidays),N(INDEX(tsk_Duration,GanttView[[#This Row],[_Row]]))))</f>
        <v/>
      </c>
      <c r="E203" s="122" t="str">
        <f aca="false">IF(IFERROR(INDEX(tsk_Name,GanttView[[#This Row],[_Row]])="",TRUE()),"",INDEX(tsk_PlanStart,GanttView[[#This Row],[_Row]]))</f>
        <v/>
      </c>
      <c r="F203" s="122" t="str">
        <f aca="false">IF(IFERROR(INDEX(tsk_Name,GanttView[[#This Row],[_Row]])="",TRUE()),"",INDEX(tsk_PlanFinish,GanttView[[#This Row],[_Row]]))</f>
        <v/>
      </c>
      <c r="G203" s="122" t="str">
        <f aca="false">IF(IFERROR(INDEX(tsk_Name,GanttView[[#This Row],[_Row]])="",TRUE()),"",INDEX(tsk_FcStart,GanttView[[#This Row],[_Row]]))</f>
        <v/>
      </c>
      <c r="H203" s="122" t="str">
        <f aca="false">IF(IFERROR(INDEX(tsk_Name,GanttView[[#This Row],[_Row]])="",TRUE()),"",INDEX(tsk_FcFinish,GanttView[[#This Row],[_Row]]))</f>
        <v/>
      </c>
      <c r="I203" s="123" t="str">
        <f aca="false">IF(IFERROR(INDEX(tsk_Name,GanttView[[#This Row],[_Row]])="",TRUE()),"",INDEX(tsk_Progress,GanttView[[#This Row],[_Row]]))</f>
        <v/>
      </c>
      <c r="J203" s="121" t="str">
        <f aca="false">IF(IFERROR(INDEX(tsk_Name,GanttView[[#This Row],[_Row]])="",TRUE()),"",INDEX(tsk_Resource,GanttView[[#This Row],[_Row]])&amp;"")</f>
        <v/>
      </c>
      <c r="K203" s="124" t="str">
        <f aca="false">IF(IFERROR(INDEX(tsk_Name,GanttView[[#This Row],[_Row]])="",TRUE()),"",INDEX(tsk_Status,GanttView[[#This Row],[_Row]]))</f>
        <v/>
      </c>
      <c r="L203" s="125" t="n">
        <f aca="false">ROW()-ROW(GanttView[[#Headers],[ID]])</f>
        <v>198</v>
      </c>
      <c r="M203" s="126" t="b">
        <f aca="false">IF(IFERROR(INDEX(tsk_Name,GanttView[[#This Row],[_Row]])="",TRUE()),FALSE(),INDEX(tsk_IsSummary,GanttView[[#This Row],[_Row]]))</f>
        <v>0</v>
      </c>
      <c r="N203" s="126" t="b">
        <f aca="false">IF(IFERROR(INDEX(tsk_Name,GanttView[[#This Row],[_Row]])="",TRUE()),FALSE(),AND(INDEX(tsk_IsLeaf,GanttView[[#This Row],[_Row]])=1,N(INDEX(tsk_Duration,GanttView[[#This Row],[_Row]]))=0))</f>
        <v>0</v>
      </c>
      <c r="O203" s="127" t="n">
        <f aca="false">IF(IFERROR(INDEX(tsk_Name,GanttView[[#This Row],[_Row]])="",TRUE()),0,IF(AND(INDEX(tsk_IsLeaf,GanttView[[#This Row],[_Row]])=1,NOT(GanttView[[#This Row],[_IsMilestone]]),N(GanttView[[#This Row],[%]])&gt;0),GanttView[[#This Row],[Forecast Start]],0))</f>
        <v>0</v>
      </c>
      <c r="P203" s="127" t="n">
        <f aca="false">IF(GanttView[[#This Row],[_DoneFrom]]=0,0,IF(GanttView[[#This Row],[%]]&gt;=1,GanttView[[#This Row],[Forecast Finish]],MAX(GanttView[[#This Row],[_DoneFrom]],GanttView[[#This Row],[Forecast Start]]+ROUND((GanttView[[#This Row],[Forecast Finish]]-GanttView[[#This Row],[Forecast Start]]+1)*GanttView[[#This Row],[%]],0)-1)))</f>
        <v>0</v>
      </c>
      <c r="Q203" s="127" t="n">
        <f aca="false">IF(IFERROR(INDEX(tsk_Name,GanttView[[#This Row],[_Row]])="",TRUE()),0,IF(OR(INDEX(tsk_IsLeaf,GanttView[[#This Row],[_Row]])&lt;&gt;1,GanttView[[#This Row],[_IsMilestone]],N(GanttView[[#This Row],[%]])&gt;=1),0,IF(GanttView[[#This Row],[_DoneTo]]&gt;0,GanttView[[#This Row],[_DoneTo]]+1,GanttView[[#This Row],[Forecast Start]])))</f>
        <v>0</v>
      </c>
      <c r="R203" s="127" t="n">
        <f aca="false">IF(GanttView[[#This Row],[_RemFrom]]=0,0,GanttView[[#This Row],[Forecast Finish]])</f>
        <v>0</v>
      </c>
      <c r="S203" s="126" t="b">
        <f aca="false">IF(IFERROR(INDEX(tsk_Name,GanttView[[#This Row],[_Row]])="",TRUE()),FALSE(),N(INDEX(tsk_Variance,GanttView[[#This Row],[_Row]]))&gt;0)</f>
        <v>0</v>
      </c>
      <c r="T203" s="127" t="n">
        <f aca="false">IF(IFERROR(INDEX(tsk_Name,GanttView[[#This Row],[_Row]])="",TRUE()),0,N(INDEX(tsk_Deadline,GanttView[[#This Row],[_Row]])))</f>
        <v>0</v>
      </c>
      <c r="U203" s="126" t="b">
        <f aca="false">IF(IFERROR(INDEX(tsk_Name,GanttView[[#This Row],[_Row]])="",TRUE()),FALSE(),INDEX(tsk_Critical,GanttView[[#This Row],[_Row]])="Yes")</f>
        <v>0</v>
      </c>
    </row>
    <row r="204" customFormat="false" ht="15" hidden="false" customHeight="false" outlineLevel="0" collapsed="false">
      <c r="A204" s="120" t="str">
        <f aca="false">IF(IFERROR(INDEX(tsk_Name,GanttView[[#This Row],[_Row]])="",TRUE()),"",INDEX(tsk_ID,GanttView[[#This Row],[_Row]]))</f>
        <v/>
      </c>
      <c r="B204" s="120" t="str">
        <f aca="false">IF(IFERROR(INDEX(tsk_Name,GanttView[[#This Row],[_Row]])="",TRUE()),"",INDEX(tsk_WBS,GanttView[[#This Row],[_Row]]))</f>
        <v/>
      </c>
      <c r="C204" s="121" t="str">
        <f aca="false">IF(IFERROR(INDEX(tsk_Name,GanttView[[#This Row],[_Row]])="",TRUE()),"",REPT("    ",INDEX(tsk_Level,GanttView[[#This Row],[_Row]])-1)&amp;INDEX(tsk_Name,GanttView[[#This Row],[_Row]]))</f>
        <v/>
      </c>
      <c r="D204" s="120" t="str">
        <f aca="false">IF(IFERROR(INDEX(tsk_Name,GanttView[[#This Row],[_Row]])="",TRUE()),"",IF(INDEX(tsk_IsSummary,GanttView[[#This Row],[_Row]]),NETWORKDAYS.INTL(INDEX(tsk_FcStart,GanttView[[#This Row],[_Row]]),INDEX(tsk_FcFinish,GanttView[[#This Row],[_Row]]),WorkWeek,Holidays),N(INDEX(tsk_Duration,GanttView[[#This Row],[_Row]]))))</f>
        <v/>
      </c>
      <c r="E204" s="122" t="str">
        <f aca="false">IF(IFERROR(INDEX(tsk_Name,GanttView[[#This Row],[_Row]])="",TRUE()),"",INDEX(tsk_PlanStart,GanttView[[#This Row],[_Row]]))</f>
        <v/>
      </c>
      <c r="F204" s="122" t="str">
        <f aca="false">IF(IFERROR(INDEX(tsk_Name,GanttView[[#This Row],[_Row]])="",TRUE()),"",INDEX(tsk_PlanFinish,GanttView[[#This Row],[_Row]]))</f>
        <v/>
      </c>
      <c r="G204" s="122" t="str">
        <f aca="false">IF(IFERROR(INDEX(tsk_Name,GanttView[[#This Row],[_Row]])="",TRUE()),"",INDEX(tsk_FcStart,GanttView[[#This Row],[_Row]]))</f>
        <v/>
      </c>
      <c r="H204" s="122" t="str">
        <f aca="false">IF(IFERROR(INDEX(tsk_Name,GanttView[[#This Row],[_Row]])="",TRUE()),"",INDEX(tsk_FcFinish,GanttView[[#This Row],[_Row]]))</f>
        <v/>
      </c>
      <c r="I204" s="123" t="str">
        <f aca="false">IF(IFERROR(INDEX(tsk_Name,GanttView[[#This Row],[_Row]])="",TRUE()),"",INDEX(tsk_Progress,GanttView[[#This Row],[_Row]]))</f>
        <v/>
      </c>
      <c r="J204" s="121" t="str">
        <f aca="false">IF(IFERROR(INDEX(tsk_Name,GanttView[[#This Row],[_Row]])="",TRUE()),"",INDEX(tsk_Resource,GanttView[[#This Row],[_Row]])&amp;"")</f>
        <v/>
      </c>
      <c r="K204" s="124" t="str">
        <f aca="false">IF(IFERROR(INDEX(tsk_Name,GanttView[[#This Row],[_Row]])="",TRUE()),"",INDEX(tsk_Status,GanttView[[#This Row],[_Row]]))</f>
        <v/>
      </c>
      <c r="L204" s="125" t="n">
        <f aca="false">ROW()-ROW(GanttView[[#Headers],[ID]])</f>
        <v>199</v>
      </c>
      <c r="M204" s="126" t="b">
        <f aca="false">IF(IFERROR(INDEX(tsk_Name,GanttView[[#This Row],[_Row]])="",TRUE()),FALSE(),INDEX(tsk_IsSummary,GanttView[[#This Row],[_Row]]))</f>
        <v>0</v>
      </c>
      <c r="N204" s="126" t="b">
        <f aca="false">IF(IFERROR(INDEX(tsk_Name,GanttView[[#This Row],[_Row]])="",TRUE()),FALSE(),AND(INDEX(tsk_IsLeaf,GanttView[[#This Row],[_Row]])=1,N(INDEX(tsk_Duration,GanttView[[#This Row],[_Row]]))=0))</f>
        <v>0</v>
      </c>
      <c r="O204" s="127" t="n">
        <f aca="false">IF(IFERROR(INDEX(tsk_Name,GanttView[[#This Row],[_Row]])="",TRUE()),0,IF(AND(INDEX(tsk_IsLeaf,GanttView[[#This Row],[_Row]])=1,NOT(GanttView[[#This Row],[_IsMilestone]]),N(GanttView[[#This Row],[%]])&gt;0),GanttView[[#This Row],[Forecast Start]],0))</f>
        <v>0</v>
      </c>
      <c r="P204" s="127" t="n">
        <f aca="false">IF(GanttView[[#This Row],[_DoneFrom]]=0,0,IF(GanttView[[#This Row],[%]]&gt;=1,GanttView[[#This Row],[Forecast Finish]],MAX(GanttView[[#This Row],[_DoneFrom]],GanttView[[#This Row],[Forecast Start]]+ROUND((GanttView[[#This Row],[Forecast Finish]]-GanttView[[#This Row],[Forecast Start]]+1)*GanttView[[#This Row],[%]],0)-1)))</f>
        <v>0</v>
      </c>
      <c r="Q204" s="127" t="n">
        <f aca="false">IF(IFERROR(INDEX(tsk_Name,GanttView[[#This Row],[_Row]])="",TRUE()),0,IF(OR(INDEX(tsk_IsLeaf,GanttView[[#This Row],[_Row]])&lt;&gt;1,GanttView[[#This Row],[_IsMilestone]],N(GanttView[[#This Row],[%]])&gt;=1),0,IF(GanttView[[#This Row],[_DoneTo]]&gt;0,GanttView[[#This Row],[_DoneTo]]+1,GanttView[[#This Row],[Forecast Start]])))</f>
        <v>0</v>
      </c>
      <c r="R204" s="127" t="n">
        <f aca="false">IF(GanttView[[#This Row],[_RemFrom]]=0,0,GanttView[[#This Row],[Forecast Finish]])</f>
        <v>0</v>
      </c>
      <c r="S204" s="126" t="b">
        <f aca="false">IF(IFERROR(INDEX(tsk_Name,GanttView[[#This Row],[_Row]])="",TRUE()),FALSE(),N(INDEX(tsk_Variance,GanttView[[#This Row],[_Row]]))&gt;0)</f>
        <v>0</v>
      </c>
      <c r="T204" s="127" t="n">
        <f aca="false">IF(IFERROR(INDEX(tsk_Name,GanttView[[#This Row],[_Row]])="",TRUE()),0,N(INDEX(tsk_Deadline,GanttView[[#This Row],[_Row]])))</f>
        <v>0</v>
      </c>
      <c r="U204" s="126" t="b">
        <f aca="false">IF(IFERROR(INDEX(tsk_Name,GanttView[[#This Row],[_Row]])="",TRUE()),FALSE(),INDEX(tsk_Critical,GanttView[[#This Row],[_Row]])="Yes")</f>
        <v>0</v>
      </c>
    </row>
    <row r="205" customFormat="false" ht="15" hidden="false" customHeight="false" outlineLevel="0" collapsed="false">
      <c r="A205" s="120" t="str">
        <f aca="false">IF(IFERROR(INDEX(tsk_Name,GanttView[[#This Row],[_Row]])="",TRUE()),"",INDEX(tsk_ID,GanttView[[#This Row],[_Row]]))</f>
        <v/>
      </c>
      <c r="B205" s="120" t="str">
        <f aca="false">IF(IFERROR(INDEX(tsk_Name,GanttView[[#This Row],[_Row]])="",TRUE()),"",INDEX(tsk_WBS,GanttView[[#This Row],[_Row]]))</f>
        <v/>
      </c>
      <c r="C205" s="121" t="str">
        <f aca="false">IF(IFERROR(INDEX(tsk_Name,GanttView[[#This Row],[_Row]])="",TRUE()),"",REPT("    ",INDEX(tsk_Level,GanttView[[#This Row],[_Row]])-1)&amp;INDEX(tsk_Name,GanttView[[#This Row],[_Row]]))</f>
        <v/>
      </c>
      <c r="D205" s="120" t="str">
        <f aca="false">IF(IFERROR(INDEX(tsk_Name,GanttView[[#This Row],[_Row]])="",TRUE()),"",IF(INDEX(tsk_IsSummary,GanttView[[#This Row],[_Row]]),NETWORKDAYS.INTL(INDEX(tsk_FcStart,GanttView[[#This Row],[_Row]]),INDEX(tsk_FcFinish,GanttView[[#This Row],[_Row]]),WorkWeek,Holidays),N(INDEX(tsk_Duration,GanttView[[#This Row],[_Row]]))))</f>
        <v/>
      </c>
      <c r="E205" s="122" t="str">
        <f aca="false">IF(IFERROR(INDEX(tsk_Name,GanttView[[#This Row],[_Row]])="",TRUE()),"",INDEX(tsk_PlanStart,GanttView[[#This Row],[_Row]]))</f>
        <v/>
      </c>
      <c r="F205" s="122" t="str">
        <f aca="false">IF(IFERROR(INDEX(tsk_Name,GanttView[[#This Row],[_Row]])="",TRUE()),"",INDEX(tsk_PlanFinish,GanttView[[#This Row],[_Row]]))</f>
        <v/>
      </c>
      <c r="G205" s="122" t="str">
        <f aca="false">IF(IFERROR(INDEX(tsk_Name,GanttView[[#This Row],[_Row]])="",TRUE()),"",INDEX(tsk_FcStart,GanttView[[#This Row],[_Row]]))</f>
        <v/>
      </c>
      <c r="H205" s="122" t="str">
        <f aca="false">IF(IFERROR(INDEX(tsk_Name,GanttView[[#This Row],[_Row]])="",TRUE()),"",INDEX(tsk_FcFinish,GanttView[[#This Row],[_Row]]))</f>
        <v/>
      </c>
      <c r="I205" s="123" t="str">
        <f aca="false">IF(IFERROR(INDEX(tsk_Name,GanttView[[#This Row],[_Row]])="",TRUE()),"",INDEX(tsk_Progress,GanttView[[#This Row],[_Row]]))</f>
        <v/>
      </c>
      <c r="J205" s="121" t="str">
        <f aca="false">IF(IFERROR(INDEX(tsk_Name,GanttView[[#This Row],[_Row]])="",TRUE()),"",INDEX(tsk_Resource,GanttView[[#This Row],[_Row]])&amp;"")</f>
        <v/>
      </c>
      <c r="K205" s="124" t="str">
        <f aca="false">IF(IFERROR(INDEX(tsk_Name,GanttView[[#This Row],[_Row]])="",TRUE()),"",INDEX(tsk_Status,GanttView[[#This Row],[_Row]]))</f>
        <v/>
      </c>
      <c r="L205" s="125" t="n">
        <f aca="false">ROW()-ROW(GanttView[[#Headers],[ID]])</f>
        <v>200</v>
      </c>
      <c r="M205" s="126" t="b">
        <f aca="false">IF(IFERROR(INDEX(tsk_Name,GanttView[[#This Row],[_Row]])="",TRUE()),FALSE(),INDEX(tsk_IsSummary,GanttView[[#This Row],[_Row]]))</f>
        <v>0</v>
      </c>
      <c r="N205" s="126" t="b">
        <f aca="false">IF(IFERROR(INDEX(tsk_Name,GanttView[[#This Row],[_Row]])="",TRUE()),FALSE(),AND(INDEX(tsk_IsLeaf,GanttView[[#This Row],[_Row]])=1,N(INDEX(tsk_Duration,GanttView[[#This Row],[_Row]]))=0))</f>
        <v>0</v>
      </c>
      <c r="O205" s="127" t="n">
        <f aca="false">IF(IFERROR(INDEX(tsk_Name,GanttView[[#This Row],[_Row]])="",TRUE()),0,IF(AND(INDEX(tsk_IsLeaf,GanttView[[#This Row],[_Row]])=1,NOT(GanttView[[#This Row],[_IsMilestone]]),N(GanttView[[#This Row],[%]])&gt;0),GanttView[[#This Row],[Forecast Start]],0))</f>
        <v>0</v>
      </c>
      <c r="P205" s="127" t="n">
        <f aca="false">IF(GanttView[[#This Row],[_DoneFrom]]=0,0,IF(GanttView[[#This Row],[%]]&gt;=1,GanttView[[#This Row],[Forecast Finish]],MAX(GanttView[[#This Row],[_DoneFrom]],GanttView[[#This Row],[Forecast Start]]+ROUND((GanttView[[#This Row],[Forecast Finish]]-GanttView[[#This Row],[Forecast Start]]+1)*GanttView[[#This Row],[%]],0)-1)))</f>
        <v>0</v>
      </c>
      <c r="Q205" s="127" t="n">
        <f aca="false">IF(IFERROR(INDEX(tsk_Name,GanttView[[#This Row],[_Row]])="",TRUE()),0,IF(OR(INDEX(tsk_IsLeaf,GanttView[[#This Row],[_Row]])&lt;&gt;1,GanttView[[#This Row],[_IsMilestone]],N(GanttView[[#This Row],[%]])&gt;=1),0,IF(GanttView[[#This Row],[_DoneTo]]&gt;0,GanttView[[#This Row],[_DoneTo]]+1,GanttView[[#This Row],[Forecast Start]])))</f>
        <v>0</v>
      </c>
      <c r="R205" s="127" t="n">
        <f aca="false">IF(GanttView[[#This Row],[_RemFrom]]=0,0,GanttView[[#This Row],[Forecast Finish]])</f>
        <v>0</v>
      </c>
      <c r="S205" s="126" t="b">
        <f aca="false">IF(IFERROR(INDEX(tsk_Name,GanttView[[#This Row],[_Row]])="",TRUE()),FALSE(),N(INDEX(tsk_Variance,GanttView[[#This Row],[_Row]]))&gt;0)</f>
        <v>0</v>
      </c>
      <c r="T205" s="127" t="n">
        <f aca="false">IF(IFERROR(INDEX(tsk_Name,GanttView[[#This Row],[_Row]])="",TRUE()),0,N(INDEX(tsk_Deadline,GanttView[[#This Row],[_Row]])))</f>
        <v>0</v>
      </c>
      <c r="U205" s="126" t="b">
        <f aca="false">IF(IFERROR(INDEX(tsk_Name,GanttView[[#This Row],[_Row]])="",TRUE()),FALSE(),INDEX(tsk_Critical,GanttView[[#This Row],[_Row]])="Yes")</f>
        <v>0</v>
      </c>
    </row>
  </sheetData>
  <conditionalFormatting sqref="W6:FP205">
    <cfRule type="expression" priority="2" aboveAverage="0" equalAverage="0" bottom="0" percent="0" rank="0" text="" dxfId="42">
      <formula>AND($T6&gt;0,$T6&gt;=W$5,$T6&lt;W$5+GanttPeriod)</formula>
    </cfRule>
    <cfRule type="expression" priority="3" aboveAverage="0" equalAverage="0" bottom="0" percent="0" rank="0" text="" dxfId="43">
      <formula>AND($M6,AND($G6&gt;0,W$5&lt;=$H6,W$5+GanttPeriod-1&gt;=$G6))</formula>
    </cfRule>
    <cfRule type="expression" priority="4" aboveAverage="0" equalAverage="0" bottom="0" percent="0" rank="0" text="" dxfId="44">
      <formula>AND($N6,AND($G6&gt;0,$G6&gt;=W$5,$G6&lt;W$5+GanttPeriod))</formula>
    </cfRule>
    <cfRule type="expression" priority="5" aboveAverage="0" equalAverage="0" bottom="0" percent="0" rank="0" text="" dxfId="45">
      <formula>AND($O6&gt;0,W$5&lt;=$P6,W$5+GanttPeriod-1&gt;=$O6)</formula>
    </cfRule>
    <cfRule type="expression" priority="6" aboveAverage="0" equalAverage="0" bottom="0" percent="0" rank="0" text="" dxfId="46">
      <formula>AND($U6,AND($Q6&gt;0,W$5&lt;=$R6,W$5+GanttPeriod-1&gt;=$Q6))</formula>
    </cfRule>
    <cfRule type="expression" priority="7" aboveAverage="0" equalAverage="0" bottom="0" percent="0" rank="0" text="" dxfId="47">
      <formula>AND($S6,AND($Q6&gt;0,W$5&lt;=$R6,W$5+GanttPeriod-1&gt;=$Q6))</formula>
    </cfRule>
    <cfRule type="expression" priority="8" aboveAverage="0" equalAverage="0" bottom="0" percent="0" rank="0" text="" dxfId="48">
      <formula>AND($Q6&gt;0,W$5&lt;=$R6,W$5+GanttPeriod-1&gt;=$Q6)</formula>
    </cfRule>
    <cfRule type="expression" priority="9" aboveAverage="0" equalAverage="0" bottom="0" percent="0" rank="0" text="" dxfId="49">
      <formula>AND(ISNUMBER($E6),AND($E6&gt;0,W$5&lt;=$F6,W$5+GanttPeriod-1&gt;=$E6))</formula>
    </cfRule>
    <cfRule type="expression" priority="10" aboveAverage="0" equalAverage="0" bottom="0" percent="0" rank="0" text="" dxfId="50">
      <formula>AND(StatusDate&gt;0,StatusDate&gt;=W$5,StatusDate&lt;W$5+GanttPeriod)</formula>
    </cfRule>
    <cfRule type="expression" priority="11" aboveAverage="0" equalAverage="0" bottom="0" percent="0" rank="0" text="" dxfId="51">
      <formula>AND(GanttPeriod=1,NETWORKDAYS.INTL(W$5,W$5,WorkWeek,Holidays)=0)</formula>
    </cfRule>
  </conditionalFormatting>
  <conditionalFormatting sqref="W5:FP5">
    <cfRule type="expression" priority="12" aboveAverage="0" equalAverage="0" bottom="0" percent="0" rank="0" text="" dxfId="42">
      <formula>AND(StatusDate&gt;0,StatusDate&gt;=W$5,StatusDate&lt;W$5+GanttPeriod)</formula>
    </cfRule>
  </conditionalFormatting>
  <conditionalFormatting sqref="A6:K205">
    <cfRule type="expression" priority="13" aboveAverage="0" equalAverage="0" bottom="0" percent="0" rank="0" text="" dxfId="35">
      <formula>$M6</formula>
    </cfRule>
  </conditionalFormatting>
  <conditionalFormatting sqref="K6:K205">
    <cfRule type="expression" priority="14" aboveAverage="0" equalAverage="0" bottom="0" percent="0" rank="0" text="" dxfId="12">
      <formula>$K6="Complete"</formula>
    </cfRule>
    <cfRule type="expression" priority="15" aboveAverage="0" equalAverage="0" bottom="0" percent="0" rank="0" text="" dxfId="37">
      <formula>$K6="In Progress"</formula>
    </cfRule>
    <cfRule type="expression" priority="16" aboveAverage="0" equalAverage="0" bottom="0" percent="0" rank="0" text="" dxfId="24">
      <formula>$K6="Behind"</formula>
    </cfRule>
    <cfRule type="expression" priority="17" aboveAverage="0" equalAverage="0" bottom="0" percent="0" rank="0" text="" dxfId="30">
      <formula>$K6="Late Start"</formula>
    </cfRule>
    <cfRule type="expression" priority="18" aboveAverage="0" equalAverage="0" bottom="0" percent="0" rank="0" text="" dxfId="38">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662</v>
      </c>
    </row>
    <row r="2" customFormat="false" ht="15" hidden="false" customHeight="false" outlineLevel="0" collapsed="false">
      <c r="A2" s="8" t="s">
        <v>663</v>
      </c>
    </row>
    <row r="5" customFormat="false" ht="15" hidden="false" customHeight="false" outlineLevel="0" collapsed="false">
      <c r="B5" s="27" t="s">
        <v>664</v>
      </c>
      <c r="C5" s="27" t="s">
        <v>665</v>
      </c>
      <c r="D5" s="27" t="s">
        <v>666</v>
      </c>
      <c r="E5" s="27" t="s">
        <v>273</v>
      </c>
      <c r="F5" s="27" t="s">
        <v>229</v>
      </c>
      <c r="G5" s="27" t="s">
        <v>667</v>
      </c>
      <c r="H5" s="27" t="s">
        <v>668</v>
      </c>
      <c r="I5" s="9" t="s">
        <v>230</v>
      </c>
      <c r="J5" s="9" t="s">
        <v>231</v>
      </c>
      <c r="K5" s="9" t="s">
        <v>234</v>
      </c>
      <c r="L5" s="9" t="s">
        <v>235</v>
      </c>
      <c r="M5" s="27" t="s">
        <v>198</v>
      </c>
    </row>
    <row r="6" customFormat="false" ht="15" hidden="false" customHeight="false" outlineLevel="0" collapsed="false">
      <c r="B6" s="30" t="s">
        <v>295</v>
      </c>
      <c r="C6" s="30" t="s">
        <v>669</v>
      </c>
      <c r="D6" s="30" t="s">
        <v>670</v>
      </c>
      <c r="E6" s="30" t="s">
        <v>231</v>
      </c>
      <c r="F6" s="91" t="n">
        <v>0.5</v>
      </c>
      <c r="G6" s="100" t="n">
        <v>95</v>
      </c>
      <c r="H6" s="30" t="s">
        <v>671</v>
      </c>
      <c r="I6" s="96" t="n">
        <f aca="false">IF(ResourceTable[[#This Row],[Resource Name]]="","",COUNTIFS(tsk_Resource,ResourceTable[[#This Row],[Resource Name]],tsk_IsLeaf,1))</f>
        <v>4</v>
      </c>
      <c r="J6" s="98" t="n">
        <f aca="false">IF(ResourceTable[[#This Row],[Resource Name]]="","",SUMIFS(tsk_Work,tsk_Resource,ResourceTable[[#This Row],[Resource Name]],tsk_IsLeaf,1))</f>
        <v>56</v>
      </c>
      <c r="K6" s="99" t="n">
        <f aca="false">IF(ResourceTable[[#This Row],[Resource Name]]="","",SUMIFS(tsk_Cost,tsk_Resource,ResourceTable[[#This Row],[Resource Name]],tsk_IsLeaf,1))</f>
        <v>5320</v>
      </c>
      <c r="L6" s="99" t="n">
        <f aca="false">IF(ResourceTable[[#This Row],[Resource Name]]="","",SUMIFS(tsk_LeafAC,tsk_Resource,ResourceTable[[#This Row],[Resource Name]]))</f>
        <v>3040</v>
      </c>
      <c r="M6" s="30"/>
    </row>
    <row r="7" customFormat="false" ht="15" hidden="false" customHeight="false" outlineLevel="0" collapsed="false">
      <c r="B7" s="30" t="s">
        <v>300</v>
      </c>
      <c r="C7" s="30" t="s">
        <v>672</v>
      </c>
      <c r="D7" s="30" t="s">
        <v>673</v>
      </c>
      <c r="E7" s="30" t="s">
        <v>231</v>
      </c>
      <c r="F7" s="91" t="n">
        <v>1</v>
      </c>
      <c r="G7" s="100" t="n">
        <v>70</v>
      </c>
      <c r="H7" s="30" t="s">
        <v>674</v>
      </c>
      <c r="I7" s="96" t="n">
        <f aca="false">IF(ResourceTable[[#This Row],[Resource Name]]="","",COUNTIFS(tsk_Resource,ResourceTable[[#This Row],[Resource Name]],tsk_IsLeaf,1))</f>
        <v>3</v>
      </c>
      <c r="J7" s="98" t="n">
        <f aca="false">IF(ResourceTable[[#This Row],[Resource Name]]="","",SUMIFS(tsk_Work,tsk_Resource,ResourceTable[[#This Row],[Resource Name]],tsk_IsLeaf,1))</f>
        <v>128</v>
      </c>
      <c r="K7" s="99" t="n">
        <f aca="false">IF(ResourceTable[[#This Row],[Resource Name]]="","",SUMIFS(tsk_Cost,tsk_Resource,ResourceTable[[#This Row],[Resource Name]],tsk_IsLeaf,1))</f>
        <v>8960</v>
      </c>
      <c r="L7" s="99" t="n">
        <f aca="false">IF(ResourceTable[[#This Row],[Resource Name]]="","",SUMIFS(tsk_LeafAC,tsk_Resource,ResourceTable[[#This Row],[Resource Name]]))</f>
        <v>6160</v>
      </c>
      <c r="M7" s="30"/>
    </row>
    <row r="8" customFormat="false" ht="15" hidden="false" customHeight="false" outlineLevel="0" collapsed="false">
      <c r="B8" s="30" t="s">
        <v>304</v>
      </c>
      <c r="C8" s="30" t="s">
        <v>214</v>
      </c>
      <c r="D8" s="30" t="s">
        <v>675</v>
      </c>
      <c r="E8" s="30" t="s">
        <v>231</v>
      </c>
      <c r="F8" s="91" t="n">
        <v>0.5</v>
      </c>
      <c r="G8" s="100" t="n">
        <v>110</v>
      </c>
      <c r="H8" s="30" t="s">
        <v>676</v>
      </c>
      <c r="I8" s="96" t="n">
        <f aca="false">IF(ResourceTable[[#This Row],[Resource Name]]="","",COUNTIFS(tsk_Resource,ResourceTable[[#This Row],[Resource Name]],tsk_IsLeaf,1))</f>
        <v>1</v>
      </c>
      <c r="J8" s="98" t="n">
        <f aca="false">IF(ResourceTable[[#This Row],[Resource Name]]="","",SUMIFS(tsk_Work,tsk_Resource,ResourceTable[[#This Row],[Resource Name]],tsk_IsLeaf,1))</f>
        <v>40</v>
      </c>
      <c r="K8" s="99" t="n">
        <f aca="false">IF(ResourceTable[[#This Row],[Resource Name]]="","",SUMIFS(tsk_Cost,tsk_Resource,ResourceTable[[#This Row],[Resource Name]],tsk_IsLeaf,1))</f>
        <v>4400</v>
      </c>
      <c r="L8" s="99" t="n">
        <f aca="false">IF(ResourceTable[[#This Row],[Resource Name]]="","",SUMIFS(tsk_LeafAC,tsk_Resource,ResourceTable[[#This Row],[Resource Name]]))</f>
        <v>4400</v>
      </c>
      <c r="M8" s="30"/>
    </row>
    <row r="9" customFormat="false" ht="15" hidden="false" customHeight="false" outlineLevel="0" collapsed="false">
      <c r="B9" s="30" t="s">
        <v>291</v>
      </c>
      <c r="C9" s="30" t="s">
        <v>677</v>
      </c>
      <c r="D9" s="30" t="s">
        <v>678</v>
      </c>
      <c r="E9" s="30" t="s">
        <v>231</v>
      </c>
      <c r="F9" s="91" t="n">
        <v>1</v>
      </c>
      <c r="G9" s="100" t="n">
        <v>75</v>
      </c>
      <c r="H9" s="30" t="s">
        <v>679</v>
      </c>
      <c r="I9" s="96" t="n">
        <f aca="false">IF(ResourceTable[[#This Row],[Resource Name]]="","",COUNTIFS(tsk_Resource,ResourceTable[[#This Row],[Resource Name]],tsk_IsLeaf,1))</f>
        <v>3</v>
      </c>
      <c r="J9" s="98" t="n">
        <f aca="false">IF(ResourceTable[[#This Row],[Resource Name]]="","",SUMIFS(tsk_Work,tsk_Resource,ResourceTable[[#This Row],[Resource Name]],tsk_IsLeaf,1))</f>
        <v>80</v>
      </c>
      <c r="K9" s="99" t="n">
        <f aca="false">IF(ResourceTable[[#This Row],[Resource Name]]="","",SUMIFS(tsk_Cost,tsk_Resource,ResourceTable[[#This Row],[Resource Name]],tsk_IsLeaf,1))</f>
        <v>6000</v>
      </c>
      <c r="L9" s="99" t="n">
        <f aca="false">IF(ResourceTable[[#This Row],[Resource Name]]="","",SUMIFS(tsk_LeafAC,tsk_Resource,ResourceTable[[#This Row],[Resource Name]]))</f>
        <v>3600</v>
      </c>
      <c r="M9" s="30"/>
    </row>
    <row r="10" customFormat="false" ht="15" hidden="false" customHeight="false" outlineLevel="0" collapsed="false">
      <c r="B10" s="30" t="s">
        <v>286</v>
      </c>
      <c r="C10" s="30" t="s">
        <v>680</v>
      </c>
      <c r="D10" s="30" t="s">
        <v>681</v>
      </c>
      <c r="E10" s="30" t="s">
        <v>231</v>
      </c>
      <c r="F10" s="91" t="n">
        <v>1</v>
      </c>
      <c r="G10" s="100" t="n">
        <v>85</v>
      </c>
      <c r="H10" s="30" t="s">
        <v>682</v>
      </c>
      <c r="I10" s="96" t="n">
        <f aca="false">IF(ResourceTable[[#This Row],[Resource Name]]="","",COUNTIFS(tsk_Resource,ResourceTable[[#This Row],[Resource Name]],tsk_IsLeaf,1))</f>
        <v>4</v>
      </c>
      <c r="J10" s="98" t="n">
        <f aca="false">IF(ResourceTable[[#This Row],[Resource Name]]="","",SUMIFS(tsk_Work,tsk_Resource,ResourceTable[[#This Row],[Resource Name]],tsk_IsLeaf,1))</f>
        <v>208</v>
      </c>
      <c r="K10" s="99" t="n">
        <f aca="false">IF(ResourceTable[[#This Row],[Resource Name]]="","",SUMIFS(tsk_Cost,tsk_Resource,ResourceTable[[#This Row],[Resource Name]],tsk_IsLeaf,1))</f>
        <v>17680</v>
      </c>
      <c r="L10" s="99" t="n">
        <f aca="false">IF(ResourceTable[[#This Row],[Resource Name]]="","",SUMIFS(tsk_LeafAC,tsk_Resource,ResourceTable[[#This Row],[Resource Name]]))</f>
        <v>7480</v>
      </c>
      <c r="M10" s="30"/>
    </row>
    <row r="11" customFormat="false" ht="15" hidden="false" customHeight="false" outlineLevel="0" collapsed="false">
      <c r="B11" s="30" t="s">
        <v>620</v>
      </c>
      <c r="C11" s="30" t="s">
        <v>683</v>
      </c>
      <c r="D11" s="30" t="s">
        <v>684</v>
      </c>
      <c r="E11" s="30" t="s">
        <v>231</v>
      </c>
      <c r="F11" s="91" t="n">
        <v>1</v>
      </c>
      <c r="G11" s="100" t="n">
        <v>80</v>
      </c>
      <c r="H11" s="30" t="s">
        <v>685</v>
      </c>
      <c r="I11" s="96" t="n">
        <f aca="false">IF(ResourceTable[[#This Row],[Resource Name]]="","",COUNTIFS(tsk_Resource,ResourceTable[[#This Row],[Resource Name]],tsk_IsLeaf,1))</f>
        <v>2</v>
      </c>
      <c r="J11" s="98" t="n">
        <f aca="false">IF(ResourceTable[[#This Row],[Resource Name]]="","",SUMIFS(tsk_Work,tsk_Resource,ResourceTable[[#This Row],[Resource Name]],tsk_IsLeaf,1))</f>
        <v>144</v>
      </c>
      <c r="K11" s="99" t="n">
        <f aca="false">IF(ResourceTable[[#This Row],[Resource Name]]="","",SUMIFS(tsk_Cost,tsk_Resource,ResourceTable[[#This Row],[Resource Name]],tsk_IsLeaf,1))</f>
        <v>11520</v>
      </c>
      <c r="L11" s="99" t="n">
        <f aca="false">IF(ResourceTable[[#This Row],[Resource Name]]="","",SUMIFS(tsk_LeafAC,tsk_Resource,ResourceTable[[#This Row],[Resource Name]]))</f>
        <v>5760</v>
      </c>
      <c r="M11" s="30"/>
    </row>
    <row r="12" customFormat="false" ht="15" hidden="false" customHeight="false" outlineLevel="0" collapsed="false">
      <c r="B12" s="30" t="s">
        <v>629</v>
      </c>
      <c r="C12" s="30" t="s">
        <v>686</v>
      </c>
      <c r="D12" s="30" t="s">
        <v>687</v>
      </c>
      <c r="E12" s="30" t="s">
        <v>231</v>
      </c>
      <c r="F12" s="91" t="n">
        <v>1</v>
      </c>
      <c r="G12" s="100" t="n">
        <v>65</v>
      </c>
      <c r="H12" s="30" t="s">
        <v>688</v>
      </c>
      <c r="I12" s="96" t="n">
        <f aca="false">IF(ResourceTable[[#This Row],[Resource Name]]="","",COUNTIFS(tsk_Resource,ResourceTable[[#This Row],[Resource Name]],tsk_IsLeaf,1))</f>
        <v>1</v>
      </c>
      <c r="J12" s="98" t="n">
        <f aca="false">IF(ResourceTable[[#This Row],[Resource Name]]="","",SUMIFS(tsk_Work,tsk_Resource,ResourceTable[[#This Row],[Resource Name]],tsk_IsLeaf,1))</f>
        <v>64</v>
      </c>
      <c r="K12" s="99" t="n">
        <f aca="false">IF(ResourceTable[[#This Row],[Resource Name]]="","",SUMIFS(tsk_Cost,tsk_Resource,ResourceTable[[#This Row],[Resource Name]],tsk_IsLeaf,1))</f>
        <v>4160</v>
      </c>
      <c r="L12" s="99" t="n">
        <f aca="false">IF(ResourceTable[[#This Row],[Resource Name]]="","",SUMIFS(tsk_LeafAC,tsk_Resource,ResourceTable[[#This Row],[Resource Name]]))</f>
        <v>0</v>
      </c>
      <c r="M12" s="30"/>
    </row>
    <row r="13" customFormat="false" ht="15" hidden="false" customHeight="false" outlineLevel="0" collapsed="false">
      <c r="B13" s="30"/>
      <c r="C13" s="30"/>
      <c r="D13" s="30"/>
      <c r="E13" s="30"/>
      <c r="F13" s="91"/>
      <c r="G13" s="100"/>
      <c r="H13" s="30"/>
      <c r="I13" s="96" t="str">
        <f aca="false">IF(ResourceTable[[#This Row],[Resource Name]]="","",COUNTIFS(tsk_Resource,ResourceTable[[#This Row],[Resource Name]],tsk_IsLeaf,1))</f>
        <v/>
      </c>
      <c r="J13" s="98" t="str">
        <f aca="false">IF(ResourceTable[[#This Row],[Resource Name]]="","",SUMIFS(tsk_Work,tsk_Resource,ResourceTable[[#This Row],[Resource Name]],tsk_IsLeaf,1))</f>
        <v/>
      </c>
      <c r="K13" s="99" t="str">
        <f aca="false">IF(ResourceTable[[#This Row],[Resource Name]]="","",SUMIFS(tsk_Cost,tsk_Resource,ResourceTable[[#This Row],[Resource Name]],tsk_IsLeaf,1))</f>
        <v/>
      </c>
      <c r="L13" s="99" t="str">
        <f aca="false">IF(ResourceTable[[#This Row],[Resource Name]]="","",SUMIFS(tsk_LeafAC,tsk_Resource,ResourceTable[[#This Row],[Resource Name]]))</f>
        <v/>
      </c>
      <c r="M13" s="30"/>
    </row>
    <row r="14" customFormat="false" ht="15" hidden="false" customHeight="false" outlineLevel="0" collapsed="false">
      <c r="B14" s="30"/>
      <c r="C14" s="30"/>
      <c r="D14" s="30"/>
      <c r="E14" s="30"/>
      <c r="F14" s="91"/>
      <c r="G14" s="100"/>
      <c r="H14" s="30"/>
      <c r="I14" s="96" t="str">
        <f aca="false">IF(ResourceTable[[#This Row],[Resource Name]]="","",COUNTIFS(tsk_Resource,ResourceTable[[#This Row],[Resource Name]],tsk_IsLeaf,1))</f>
        <v/>
      </c>
      <c r="J14" s="98" t="str">
        <f aca="false">IF(ResourceTable[[#This Row],[Resource Name]]="","",SUMIFS(tsk_Work,tsk_Resource,ResourceTable[[#This Row],[Resource Name]],tsk_IsLeaf,1))</f>
        <v/>
      </c>
      <c r="K14" s="99" t="str">
        <f aca="false">IF(ResourceTable[[#This Row],[Resource Name]]="","",SUMIFS(tsk_Cost,tsk_Resource,ResourceTable[[#This Row],[Resource Name]],tsk_IsLeaf,1))</f>
        <v/>
      </c>
      <c r="L14" s="99" t="str">
        <f aca="false">IF(ResourceTable[[#This Row],[Resource Name]]="","",SUMIFS(tsk_LeafAC,tsk_Resource,ResourceTable[[#This Row],[Resource Name]]))</f>
        <v/>
      </c>
      <c r="M14" s="30"/>
    </row>
    <row r="15" customFormat="false" ht="15" hidden="false" customHeight="false" outlineLevel="0" collapsed="false">
      <c r="B15" s="30"/>
      <c r="C15" s="30"/>
      <c r="D15" s="30"/>
      <c r="E15" s="30"/>
      <c r="F15" s="91"/>
      <c r="G15" s="100"/>
      <c r="H15" s="30"/>
      <c r="I15" s="96" t="str">
        <f aca="false">IF(ResourceTable[[#This Row],[Resource Name]]="","",COUNTIFS(tsk_Resource,ResourceTable[[#This Row],[Resource Name]],tsk_IsLeaf,1))</f>
        <v/>
      </c>
      <c r="J15" s="98" t="str">
        <f aca="false">IF(ResourceTable[[#This Row],[Resource Name]]="","",SUMIFS(tsk_Work,tsk_Resource,ResourceTable[[#This Row],[Resource Name]],tsk_IsLeaf,1))</f>
        <v/>
      </c>
      <c r="K15" s="99" t="str">
        <f aca="false">IF(ResourceTable[[#This Row],[Resource Name]]="","",SUMIFS(tsk_Cost,tsk_Resource,ResourceTable[[#This Row],[Resource Name]],tsk_IsLeaf,1))</f>
        <v/>
      </c>
      <c r="L15" s="99" t="str">
        <f aca="false">IF(ResourceTable[[#This Row],[Resource Name]]="","",SUMIFS(tsk_LeafAC,tsk_Resource,ResourceTable[[#This Row],[Resource Name]]))</f>
        <v/>
      </c>
      <c r="M15" s="30"/>
    </row>
    <row r="16" customFormat="false" ht="15" hidden="false" customHeight="false" outlineLevel="0" collapsed="false">
      <c r="B16" s="30"/>
      <c r="C16" s="30"/>
      <c r="D16" s="30"/>
      <c r="E16" s="30"/>
      <c r="F16" s="91"/>
      <c r="G16" s="100"/>
      <c r="H16" s="30"/>
      <c r="I16" s="96" t="str">
        <f aca="false">IF(ResourceTable[[#This Row],[Resource Name]]="","",COUNTIFS(tsk_Resource,ResourceTable[[#This Row],[Resource Name]],tsk_IsLeaf,1))</f>
        <v/>
      </c>
      <c r="J16" s="98" t="str">
        <f aca="false">IF(ResourceTable[[#This Row],[Resource Name]]="","",SUMIFS(tsk_Work,tsk_Resource,ResourceTable[[#This Row],[Resource Name]],tsk_IsLeaf,1))</f>
        <v/>
      </c>
      <c r="K16" s="99" t="str">
        <f aca="false">IF(ResourceTable[[#This Row],[Resource Name]]="","",SUMIFS(tsk_Cost,tsk_Resource,ResourceTable[[#This Row],[Resource Name]],tsk_IsLeaf,1))</f>
        <v/>
      </c>
      <c r="L16" s="99" t="str">
        <f aca="false">IF(ResourceTable[[#This Row],[Resource Name]]="","",SUMIFS(tsk_LeafAC,tsk_Resource,ResourceTable[[#This Row],[Resource Name]]))</f>
        <v/>
      </c>
      <c r="M16" s="30"/>
    </row>
    <row r="17" customFormat="false" ht="15" hidden="false" customHeight="false" outlineLevel="0" collapsed="false">
      <c r="B17" s="30"/>
      <c r="C17" s="30"/>
      <c r="D17" s="30"/>
      <c r="E17" s="30"/>
      <c r="F17" s="91"/>
      <c r="G17" s="100"/>
      <c r="H17" s="30"/>
      <c r="I17" s="96" t="str">
        <f aca="false">IF(ResourceTable[[#This Row],[Resource Name]]="","",COUNTIFS(tsk_Resource,ResourceTable[[#This Row],[Resource Name]],tsk_IsLeaf,1))</f>
        <v/>
      </c>
      <c r="J17" s="98" t="str">
        <f aca="false">IF(ResourceTable[[#This Row],[Resource Name]]="","",SUMIFS(tsk_Work,tsk_Resource,ResourceTable[[#This Row],[Resource Name]],tsk_IsLeaf,1))</f>
        <v/>
      </c>
      <c r="K17" s="99" t="str">
        <f aca="false">IF(ResourceTable[[#This Row],[Resource Name]]="","",SUMIFS(tsk_Cost,tsk_Resource,ResourceTable[[#This Row],[Resource Name]],tsk_IsLeaf,1))</f>
        <v/>
      </c>
      <c r="L17" s="99" t="str">
        <f aca="false">IF(ResourceTable[[#This Row],[Resource Name]]="","",SUMIFS(tsk_LeafAC,tsk_Resource,ResourceTable[[#This Row],[Resource Name]]))</f>
        <v/>
      </c>
      <c r="M17" s="30"/>
    </row>
    <row r="18" customFormat="false" ht="15" hidden="false" customHeight="false" outlineLevel="0" collapsed="false">
      <c r="B18" s="30"/>
      <c r="C18" s="30"/>
      <c r="D18" s="30"/>
      <c r="E18" s="30"/>
      <c r="F18" s="91"/>
      <c r="G18" s="100"/>
      <c r="H18" s="30"/>
      <c r="I18" s="96" t="str">
        <f aca="false">IF(ResourceTable[[#This Row],[Resource Name]]="","",COUNTIFS(tsk_Resource,ResourceTable[[#This Row],[Resource Name]],tsk_IsLeaf,1))</f>
        <v/>
      </c>
      <c r="J18" s="98" t="str">
        <f aca="false">IF(ResourceTable[[#This Row],[Resource Name]]="","",SUMIFS(tsk_Work,tsk_Resource,ResourceTable[[#This Row],[Resource Name]],tsk_IsLeaf,1))</f>
        <v/>
      </c>
      <c r="K18" s="99" t="str">
        <f aca="false">IF(ResourceTable[[#This Row],[Resource Name]]="","",SUMIFS(tsk_Cost,tsk_Resource,ResourceTable[[#This Row],[Resource Name]],tsk_IsLeaf,1))</f>
        <v/>
      </c>
      <c r="L18" s="99" t="str">
        <f aca="false">IF(ResourceTable[[#This Row],[Resource Name]]="","",SUMIFS(tsk_LeafAC,tsk_Resource,ResourceTable[[#This Row],[Resource Name]]))</f>
        <v/>
      </c>
      <c r="M18" s="30"/>
    </row>
    <row r="19" customFormat="false" ht="15" hidden="false" customHeight="false" outlineLevel="0" collapsed="false">
      <c r="B19" s="30"/>
      <c r="C19" s="30"/>
      <c r="D19" s="30"/>
      <c r="E19" s="30"/>
      <c r="F19" s="91"/>
      <c r="G19" s="100"/>
      <c r="H19" s="30"/>
      <c r="I19" s="96" t="str">
        <f aca="false">IF(ResourceTable[[#This Row],[Resource Name]]="","",COUNTIFS(tsk_Resource,ResourceTable[[#This Row],[Resource Name]],tsk_IsLeaf,1))</f>
        <v/>
      </c>
      <c r="J19" s="98" t="str">
        <f aca="false">IF(ResourceTable[[#This Row],[Resource Name]]="","",SUMIFS(tsk_Work,tsk_Resource,ResourceTable[[#This Row],[Resource Name]],tsk_IsLeaf,1))</f>
        <v/>
      </c>
      <c r="K19" s="99" t="str">
        <f aca="false">IF(ResourceTable[[#This Row],[Resource Name]]="","",SUMIFS(tsk_Cost,tsk_Resource,ResourceTable[[#This Row],[Resource Name]],tsk_IsLeaf,1))</f>
        <v/>
      </c>
      <c r="L19" s="99" t="str">
        <f aca="false">IF(ResourceTable[[#This Row],[Resource Name]]="","",SUMIFS(tsk_LeafAC,tsk_Resource,ResourceTable[[#This Row],[Resource Name]]))</f>
        <v/>
      </c>
      <c r="M19" s="30"/>
    </row>
    <row r="20" customFormat="false" ht="15" hidden="false" customHeight="false" outlineLevel="0" collapsed="false">
      <c r="B20" s="30"/>
      <c r="C20" s="30"/>
      <c r="D20" s="30"/>
      <c r="E20" s="30"/>
      <c r="F20" s="91"/>
      <c r="G20" s="100"/>
      <c r="H20" s="30"/>
      <c r="I20" s="96" t="str">
        <f aca="false">IF(ResourceTable[[#This Row],[Resource Name]]="","",COUNTIFS(tsk_Resource,ResourceTable[[#This Row],[Resource Name]],tsk_IsLeaf,1))</f>
        <v/>
      </c>
      <c r="J20" s="98" t="str">
        <f aca="false">IF(ResourceTable[[#This Row],[Resource Name]]="","",SUMIFS(tsk_Work,tsk_Resource,ResourceTable[[#This Row],[Resource Name]],tsk_IsLeaf,1))</f>
        <v/>
      </c>
      <c r="K20" s="99" t="str">
        <f aca="false">IF(ResourceTable[[#This Row],[Resource Name]]="","",SUMIFS(tsk_Cost,tsk_Resource,ResourceTable[[#This Row],[Resource Name]],tsk_IsLeaf,1))</f>
        <v/>
      </c>
      <c r="L20" s="99" t="str">
        <f aca="false">IF(ResourceTable[[#This Row],[Resource Name]]="","",SUMIFS(tsk_LeafAC,tsk_Resource,ResourceTable[[#This Row],[Resource Name]]))</f>
        <v/>
      </c>
      <c r="M20" s="30"/>
    </row>
    <row r="21" customFormat="false" ht="15" hidden="false" customHeight="false" outlineLevel="0" collapsed="false">
      <c r="B21" s="30"/>
      <c r="C21" s="30"/>
      <c r="D21" s="30"/>
      <c r="E21" s="30"/>
      <c r="F21" s="91"/>
      <c r="G21" s="100"/>
      <c r="H21" s="30"/>
      <c r="I21" s="96" t="str">
        <f aca="false">IF(ResourceTable[[#This Row],[Resource Name]]="","",COUNTIFS(tsk_Resource,ResourceTable[[#This Row],[Resource Name]],tsk_IsLeaf,1))</f>
        <v/>
      </c>
      <c r="J21" s="98" t="str">
        <f aca="false">IF(ResourceTable[[#This Row],[Resource Name]]="","",SUMIFS(tsk_Work,tsk_Resource,ResourceTable[[#This Row],[Resource Name]],tsk_IsLeaf,1))</f>
        <v/>
      </c>
      <c r="K21" s="99" t="str">
        <f aca="false">IF(ResourceTable[[#This Row],[Resource Name]]="","",SUMIFS(tsk_Cost,tsk_Resource,ResourceTable[[#This Row],[Resource Name]],tsk_IsLeaf,1))</f>
        <v/>
      </c>
      <c r="L21" s="99" t="str">
        <f aca="false">IF(ResourceTable[[#This Row],[Resource Name]]="","",SUMIFS(tsk_LeafAC,tsk_Resource,ResourceTable[[#This Row],[Resource Name]]))</f>
        <v/>
      </c>
      <c r="M21" s="30"/>
    </row>
    <row r="22" customFormat="false" ht="15" hidden="false" customHeight="false" outlineLevel="0" collapsed="false">
      <c r="B22" s="30"/>
      <c r="C22" s="30"/>
      <c r="D22" s="30"/>
      <c r="E22" s="30"/>
      <c r="F22" s="91"/>
      <c r="G22" s="100"/>
      <c r="H22" s="30"/>
      <c r="I22" s="96" t="str">
        <f aca="false">IF(ResourceTable[[#This Row],[Resource Name]]="","",COUNTIFS(tsk_Resource,ResourceTable[[#This Row],[Resource Name]],tsk_IsLeaf,1))</f>
        <v/>
      </c>
      <c r="J22" s="98" t="str">
        <f aca="false">IF(ResourceTable[[#This Row],[Resource Name]]="","",SUMIFS(tsk_Work,tsk_Resource,ResourceTable[[#This Row],[Resource Name]],tsk_IsLeaf,1))</f>
        <v/>
      </c>
      <c r="K22" s="99" t="str">
        <f aca="false">IF(ResourceTable[[#This Row],[Resource Name]]="","",SUMIFS(tsk_Cost,tsk_Resource,ResourceTable[[#This Row],[Resource Name]],tsk_IsLeaf,1))</f>
        <v/>
      </c>
      <c r="L22" s="99" t="str">
        <f aca="false">IF(ResourceTable[[#This Row],[Resource Name]]="","",SUMIFS(tsk_LeafAC,tsk_Resource,ResourceTable[[#This Row],[Resource Name]]))</f>
        <v/>
      </c>
      <c r="M22" s="30"/>
    </row>
    <row r="23" customFormat="false" ht="15" hidden="false" customHeight="false" outlineLevel="0" collapsed="false">
      <c r="B23" s="30"/>
      <c r="C23" s="30"/>
      <c r="D23" s="30"/>
      <c r="E23" s="30"/>
      <c r="F23" s="91"/>
      <c r="G23" s="100"/>
      <c r="H23" s="30"/>
      <c r="I23" s="96" t="str">
        <f aca="false">IF(ResourceTable[[#This Row],[Resource Name]]="","",COUNTIFS(tsk_Resource,ResourceTable[[#This Row],[Resource Name]],tsk_IsLeaf,1))</f>
        <v/>
      </c>
      <c r="J23" s="98" t="str">
        <f aca="false">IF(ResourceTable[[#This Row],[Resource Name]]="","",SUMIFS(tsk_Work,tsk_Resource,ResourceTable[[#This Row],[Resource Name]],tsk_IsLeaf,1))</f>
        <v/>
      </c>
      <c r="K23" s="99" t="str">
        <f aca="false">IF(ResourceTable[[#This Row],[Resource Name]]="","",SUMIFS(tsk_Cost,tsk_Resource,ResourceTable[[#This Row],[Resource Name]],tsk_IsLeaf,1))</f>
        <v/>
      </c>
      <c r="L23" s="99" t="str">
        <f aca="false">IF(ResourceTable[[#This Row],[Resource Name]]="","",SUMIFS(tsk_LeafAC,tsk_Resource,ResourceTable[[#This Row],[Resource Name]]))</f>
        <v/>
      </c>
      <c r="M23" s="30"/>
    </row>
    <row r="24" customFormat="false" ht="15" hidden="false" customHeight="false" outlineLevel="0" collapsed="false">
      <c r="B24" s="30"/>
      <c r="C24" s="30"/>
      <c r="D24" s="30"/>
      <c r="E24" s="30"/>
      <c r="F24" s="91"/>
      <c r="G24" s="100"/>
      <c r="H24" s="30"/>
      <c r="I24" s="96" t="str">
        <f aca="false">IF(ResourceTable[[#This Row],[Resource Name]]="","",COUNTIFS(tsk_Resource,ResourceTable[[#This Row],[Resource Name]],tsk_IsLeaf,1))</f>
        <v/>
      </c>
      <c r="J24" s="98" t="str">
        <f aca="false">IF(ResourceTable[[#This Row],[Resource Name]]="","",SUMIFS(tsk_Work,tsk_Resource,ResourceTable[[#This Row],[Resource Name]],tsk_IsLeaf,1))</f>
        <v/>
      </c>
      <c r="K24" s="99" t="str">
        <f aca="false">IF(ResourceTable[[#This Row],[Resource Name]]="","",SUMIFS(tsk_Cost,tsk_Resource,ResourceTable[[#This Row],[Resource Name]],tsk_IsLeaf,1))</f>
        <v/>
      </c>
      <c r="L24" s="99" t="str">
        <f aca="false">IF(ResourceTable[[#This Row],[Resource Name]]="","",SUMIFS(tsk_LeafAC,tsk_Resource,ResourceTable[[#This Row],[Resource Name]]))</f>
        <v/>
      </c>
      <c r="M24" s="30"/>
    </row>
    <row r="25" customFormat="false" ht="15" hidden="false" customHeight="false" outlineLevel="0" collapsed="false">
      <c r="B25" s="30"/>
      <c r="C25" s="30"/>
      <c r="D25" s="30"/>
      <c r="E25" s="30"/>
      <c r="F25" s="91"/>
      <c r="G25" s="100"/>
      <c r="H25" s="30"/>
      <c r="I25" s="96" t="str">
        <f aca="false">IF(ResourceTable[[#This Row],[Resource Name]]="","",COUNTIFS(tsk_Resource,ResourceTable[[#This Row],[Resource Name]],tsk_IsLeaf,1))</f>
        <v/>
      </c>
      <c r="J25" s="98" t="str">
        <f aca="false">IF(ResourceTable[[#This Row],[Resource Name]]="","",SUMIFS(tsk_Work,tsk_Resource,ResourceTable[[#This Row],[Resource Name]],tsk_IsLeaf,1))</f>
        <v/>
      </c>
      <c r="K25" s="99" t="str">
        <f aca="false">IF(ResourceTable[[#This Row],[Resource Name]]="","",SUMIFS(tsk_Cost,tsk_Resource,ResourceTable[[#This Row],[Resource Name]],tsk_IsLeaf,1))</f>
        <v/>
      </c>
      <c r="L25" s="99" t="str">
        <f aca="false">IF(ResourceTable[[#This Row],[Resource Name]]="","",SUMIFS(tsk_LeafAC,tsk_Resource,ResourceTable[[#This Row],[Resource Name]]))</f>
        <v/>
      </c>
      <c r="M25" s="30"/>
    </row>
    <row r="26" customFormat="false" ht="15" hidden="false" customHeight="false" outlineLevel="0" collapsed="false">
      <c r="B26" s="30"/>
      <c r="C26" s="30"/>
      <c r="D26" s="30"/>
      <c r="E26" s="30"/>
      <c r="F26" s="91"/>
      <c r="G26" s="100"/>
      <c r="H26" s="30"/>
      <c r="I26" s="96" t="str">
        <f aca="false">IF(ResourceTable[[#This Row],[Resource Name]]="","",COUNTIFS(tsk_Resource,ResourceTable[[#This Row],[Resource Name]],tsk_IsLeaf,1))</f>
        <v/>
      </c>
      <c r="J26" s="98" t="str">
        <f aca="false">IF(ResourceTable[[#This Row],[Resource Name]]="","",SUMIFS(tsk_Work,tsk_Resource,ResourceTable[[#This Row],[Resource Name]],tsk_IsLeaf,1))</f>
        <v/>
      </c>
      <c r="K26" s="99" t="str">
        <f aca="false">IF(ResourceTable[[#This Row],[Resource Name]]="","",SUMIFS(tsk_Cost,tsk_Resource,ResourceTable[[#This Row],[Resource Name]],tsk_IsLeaf,1))</f>
        <v/>
      </c>
      <c r="L26" s="99" t="str">
        <f aca="false">IF(ResourceTable[[#This Row],[Resource Name]]="","",SUMIFS(tsk_LeafAC,tsk_Resource,ResourceTable[[#This Row],[Resource Name]]))</f>
        <v/>
      </c>
      <c r="M26" s="30"/>
    </row>
    <row r="27" customFormat="false" ht="15" hidden="false" customHeight="false" outlineLevel="0" collapsed="false">
      <c r="B27" s="30"/>
      <c r="C27" s="30"/>
      <c r="D27" s="30"/>
      <c r="E27" s="30"/>
      <c r="F27" s="91"/>
      <c r="G27" s="100"/>
      <c r="H27" s="30"/>
      <c r="I27" s="96" t="str">
        <f aca="false">IF(ResourceTable[[#This Row],[Resource Name]]="","",COUNTIFS(tsk_Resource,ResourceTable[[#This Row],[Resource Name]],tsk_IsLeaf,1))</f>
        <v/>
      </c>
      <c r="J27" s="98" t="str">
        <f aca="false">IF(ResourceTable[[#This Row],[Resource Name]]="","",SUMIFS(tsk_Work,tsk_Resource,ResourceTable[[#This Row],[Resource Name]],tsk_IsLeaf,1))</f>
        <v/>
      </c>
      <c r="K27" s="99" t="str">
        <f aca="false">IF(ResourceTable[[#This Row],[Resource Name]]="","",SUMIFS(tsk_Cost,tsk_Resource,ResourceTable[[#This Row],[Resource Name]],tsk_IsLeaf,1))</f>
        <v/>
      </c>
      <c r="L27" s="99" t="str">
        <f aca="false">IF(ResourceTable[[#This Row],[Resource Name]]="","",SUMIFS(tsk_LeafAC,tsk_Resource,ResourceTable[[#This Row],[Resource Name]]))</f>
        <v/>
      </c>
      <c r="M27" s="30"/>
    </row>
    <row r="28" customFormat="false" ht="15" hidden="false" customHeight="false" outlineLevel="0" collapsed="false">
      <c r="B28" s="30"/>
      <c r="C28" s="30"/>
      <c r="D28" s="30"/>
      <c r="E28" s="30"/>
      <c r="F28" s="91"/>
      <c r="G28" s="100"/>
      <c r="H28" s="30"/>
      <c r="I28" s="96" t="str">
        <f aca="false">IF(ResourceTable[[#This Row],[Resource Name]]="","",COUNTIFS(tsk_Resource,ResourceTable[[#This Row],[Resource Name]],tsk_IsLeaf,1))</f>
        <v/>
      </c>
      <c r="J28" s="98" t="str">
        <f aca="false">IF(ResourceTable[[#This Row],[Resource Name]]="","",SUMIFS(tsk_Work,tsk_Resource,ResourceTable[[#This Row],[Resource Name]],tsk_IsLeaf,1))</f>
        <v/>
      </c>
      <c r="K28" s="99" t="str">
        <f aca="false">IF(ResourceTable[[#This Row],[Resource Name]]="","",SUMIFS(tsk_Cost,tsk_Resource,ResourceTable[[#This Row],[Resource Name]],tsk_IsLeaf,1))</f>
        <v/>
      </c>
      <c r="L28" s="99" t="str">
        <f aca="false">IF(ResourceTable[[#This Row],[Resource Name]]="","",SUMIFS(tsk_LeafAC,tsk_Resource,ResourceTable[[#This Row],[Resource Name]]))</f>
        <v/>
      </c>
      <c r="M28" s="30"/>
    </row>
    <row r="29" customFormat="false" ht="15" hidden="false" customHeight="false" outlineLevel="0" collapsed="false">
      <c r="B29" s="30"/>
      <c r="C29" s="30"/>
      <c r="D29" s="30"/>
      <c r="E29" s="30"/>
      <c r="F29" s="91"/>
      <c r="G29" s="100"/>
      <c r="H29" s="30"/>
      <c r="I29" s="96" t="str">
        <f aca="false">IF(ResourceTable[[#This Row],[Resource Name]]="","",COUNTIFS(tsk_Resource,ResourceTable[[#This Row],[Resource Name]],tsk_IsLeaf,1))</f>
        <v/>
      </c>
      <c r="J29" s="98" t="str">
        <f aca="false">IF(ResourceTable[[#This Row],[Resource Name]]="","",SUMIFS(tsk_Work,tsk_Resource,ResourceTable[[#This Row],[Resource Name]],tsk_IsLeaf,1))</f>
        <v/>
      </c>
      <c r="K29" s="99" t="str">
        <f aca="false">IF(ResourceTable[[#This Row],[Resource Name]]="","",SUMIFS(tsk_Cost,tsk_Resource,ResourceTable[[#This Row],[Resource Name]],tsk_IsLeaf,1))</f>
        <v/>
      </c>
      <c r="L29" s="99" t="str">
        <f aca="false">IF(ResourceTable[[#This Row],[Resource Name]]="","",SUMIFS(tsk_LeafAC,tsk_Resource,ResourceTable[[#This Row],[Resource Name]]))</f>
        <v/>
      </c>
      <c r="M29" s="30"/>
    </row>
    <row r="30" customFormat="false" ht="15" hidden="false" customHeight="false" outlineLevel="0" collapsed="false">
      <c r="B30" s="30"/>
      <c r="C30" s="30"/>
      <c r="D30" s="30"/>
      <c r="E30" s="30"/>
      <c r="F30" s="91"/>
      <c r="G30" s="100"/>
      <c r="H30" s="30"/>
      <c r="I30" s="96" t="str">
        <f aca="false">IF(ResourceTable[[#This Row],[Resource Name]]="","",COUNTIFS(tsk_Resource,ResourceTable[[#This Row],[Resource Name]],tsk_IsLeaf,1))</f>
        <v/>
      </c>
      <c r="J30" s="98" t="str">
        <f aca="false">IF(ResourceTable[[#This Row],[Resource Name]]="","",SUMIFS(tsk_Work,tsk_Resource,ResourceTable[[#This Row],[Resource Name]],tsk_IsLeaf,1))</f>
        <v/>
      </c>
      <c r="K30" s="99" t="str">
        <f aca="false">IF(ResourceTable[[#This Row],[Resource Name]]="","",SUMIFS(tsk_Cost,tsk_Resource,ResourceTable[[#This Row],[Resource Name]],tsk_IsLeaf,1))</f>
        <v/>
      </c>
      <c r="L30" s="99" t="str">
        <f aca="false">IF(ResourceTable[[#This Row],[Resource Name]]="","",SUMIFS(tsk_LeafAC,tsk_Resource,ResourceTable[[#This Row],[Resource Name]]))</f>
        <v/>
      </c>
      <c r="M30" s="30"/>
    </row>
    <row r="31" customFormat="false" ht="15" hidden="false" customHeight="false" outlineLevel="0" collapsed="false">
      <c r="B31" s="30"/>
      <c r="C31" s="30"/>
      <c r="D31" s="30"/>
      <c r="E31" s="30"/>
      <c r="F31" s="91"/>
      <c r="G31" s="100"/>
      <c r="H31" s="30"/>
      <c r="I31" s="96" t="str">
        <f aca="false">IF(ResourceTable[[#This Row],[Resource Name]]="","",COUNTIFS(tsk_Resource,ResourceTable[[#This Row],[Resource Name]],tsk_IsLeaf,1))</f>
        <v/>
      </c>
      <c r="J31" s="98" t="str">
        <f aca="false">IF(ResourceTable[[#This Row],[Resource Name]]="","",SUMIFS(tsk_Work,tsk_Resource,ResourceTable[[#This Row],[Resource Name]],tsk_IsLeaf,1))</f>
        <v/>
      </c>
      <c r="K31" s="99" t="str">
        <f aca="false">IF(ResourceTable[[#This Row],[Resource Name]]="","",SUMIFS(tsk_Cost,tsk_Resource,ResourceTable[[#This Row],[Resource Name]],tsk_IsLeaf,1))</f>
        <v/>
      </c>
      <c r="L31" s="99" t="str">
        <f aca="false">IF(ResourceTable[[#This Row],[Resource Name]]="","",SUMIFS(tsk_LeafAC,tsk_Resource,ResourceTable[[#This Row],[Resource Name]]))</f>
        <v/>
      </c>
      <c r="M31" s="30"/>
    </row>
    <row r="32" customFormat="false" ht="15" hidden="false" customHeight="false" outlineLevel="0" collapsed="false">
      <c r="B32" s="30"/>
      <c r="C32" s="30"/>
      <c r="D32" s="30"/>
      <c r="E32" s="30"/>
      <c r="F32" s="91"/>
      <c r="G32" s="100"/>
      <c r="H32" s="30"/>
      <c r="I32" s="96" t="str">
        <f aca="false">IF(ResourceTable[[#This Row],[Resource Name]]="","",COUNTIFS(tsk_Resource,ResourceTable[[#This Row],[Resource Name]],tsk_IsLeaf,1))</f>
        <v/>
      </c>
      <c r="J32" s="98" t="str">
        <f aca="false">IF(ResourceTable[[#This Row],[Resource Name]]="","",SUMIFS(tsk_Work,tsk_Resource,ResourceTable[[#This Row],[Resource Name]],tsk_IsLeaf,1))</f>
        <v/>
      </c>
      <c r="K32" s="99" t="str">
        <f aca="false">IF(ResourceTable[[#This Row],[Resource Name]]="","",SUMIFS(tsk_Cost,tsk_Resource,ResourceTable[[#This Row],[Resource Name]],tsk_IsLeaf,1))</f>
        <v/>
      </c>
      <c r="L32" s="99" t="str">
        <f aca="false">IF(ResourceTable[[#This Row],[Resource Name]]="","",SUMIFS(tsk_LeafAC,tsk_Resource,ResourceTable[[#This Row],[Resource Name]]))</f>
        <v/>
      </c>
      <c r="M32" s="30"/>
    </row>
    <row r="33" customFormat="false" ht="15" hidden="false" customHeight="false" outlineLevel="0" collapsed="false">
      <c r="B33" s="30"/>
      <c r="C33" s="30"/>
      <c r="D33" s="30"/>
      <c r="E33" s="30"/>
      <c r="F33" s="91"/>
      <c r="G33" s="100"/>
      <c r="H33" s="30"/>
      <c r="I33" s="96" t="str">
        <f aca="false">IF(ResourceTable[[#This Row],[Resource Name]]="","",COUNTIFS(tsk_Resource,ResourceTable[[#This Row],[Resource Name]],tsk_IsLeaf,1))</f>
        <v/>
      </c>
      <c r="J33" s="98" t="str">
        <f aca="false">IF(ResourceTable[[#This Row],[Resource Name]]="","",SUMIFS(tsk_Work,tsk_Resource,ResourceTable[[#This Row],[Resource Name]],tsk_IsLeaf,1))</f>
        <v/>
      </c>
      <c r="K33" s="99" t="str">
        <f aca="false">IF(ResourceTable[[#This Row],[Resource Name]]="","",SUMIFS(tsk_Cost,tsk_Resource,ResourceTable[[#This Row],[Resource Name]],tsk_IsLeaf,1))</f>
        <v/>
      </c>
      <c r="L33" s="99" t="str">
        <f aca="false">IF(ResourceTable[[#This Row],[Resource Name]]="","",SUMIFS(tsk_LeafAC,tsk_Resource,ResourceTable[[#This Row],[Resource Name]]))</f>
        <v/>
      </c>
      <c r="M33" s="30"/>
    </row>
    <row r="34" customFormat="false" ht="15" hidden="false" customHeight="false" outlineLevel="0" collapsed="false">
      <c r="B34" s="30"/>
      <c r="C34" s="30"/>
      <c r="D34" s="30"/>
      <c r="E34" s="30"/>
      <c r="F34" s="91"/>
      <c r="G34" s="100"/>
      <c r="H34" s="30"/>
      <c r="I34" s="96" t="str">
        <f aca="false">IF(ResourceTable[[#This Row],[Resource Name]]="","",COUNTIFS(tsk_Resource,ResourceTable[[#This Row],[Resource Name]],tsk_IsLeaf,1))</f>
        <v/>
      </c>
      <c r="J34" s="98" t="str">
        <f aca="false">IF(ResourceTable[[#This Row],[Resource Name]]="","",SUMIFS(tsk_Work,tsk_Resource,ResourceTable[[#This Row],[Resource Name]],tsk_IsLeaf,1))</f>
        <v/>
      </c>
      <c r="K34" s="99" t="str">
        <f aca="false">IF(ResourceTable[[#This Row],[Resource Name]]="","",SUMIFS(tsk_Cost,tsk_Resource,ResourceTable[[#This Row],[Resource Name]],tsk_IsLeaf,1))</f>
        <v/>
      </c>
      <c r="L34" s="99" t="str">
        <f aca="false">IF(ResourceTable[[#This Row],[Resource Name]]="","",SUMIFS(tsk_LeafAC,tsk_Resource,ResourceTable[[#This Row],[Resource Name]]))</f>
        <v/>
      </c>
      <c r="M34" s="30"/>
    </row>
    <row r="35" customFormat="false" ht="15" hidden="false" customHeight="false" outlineLevel="0" collapsed="false">
      <c r="B35" s="30"/>
      <c r="C35" s="30"/>
      <c r="D35" s="30"/>
      <c r="E35" s="30"/>
      <c r="F35" s="91"/>
      <c r="G35" s="100"/>
      <c r="H35" s="30"/>
      <c r="I35" s="96" t="str">
        <f aca="false">IF(ResourceTable[[#This Row],[Resource Name]]="","",COUNTIFS(tsk_Resource,ResourceTable[[#This Row],[Resource Name]],tsk_IsLeaf,1))</f>
        <v/>
      </c>
      <c r="J35" s="98" t="str">
        <f aca="false">IF(ResourceTable[[#This Row],[Resource Name]]="","",SUMIFS(tsk_Work,tsk_Resource,ResourceTable[[#This Row],[Resource Name]],tsk_IsLeaf,1))</f>
        <v/>
      </c>
      <c r="K35" s="99" t="str">
        <f aca="false">IF(ResourceTable[[#This Row],[Resource Name]]="","",SUMIFS(tsk_Cost,tsk_Resource,ResourceTable[[#This Row],[Resource Name]],tsk_IsLeaf,1))</f>
        <v/>
      </c>
      <c r="L35" s="99" t="str">
        <f aca="false">IF(ResourceTable[[#This Row],[Resource Name]]="","",SUMIFS(tsk_LeafAC,tsk_Resource,ResourceTable[[#This Row],[Resource Name]]))</f>
        <v/>
      </c>
      <c r="M35" s="30"/>
    </row>
    <row r="36" customFormat="false" ht="15" hidden="false" customHeight="false" outlineLevel="0" collapsed="false">
      <c r="B36" s="30"/>
      <c r="C36" s="30"/>
      <c r="D36" s="30"/>
      <c r="E36" s="30"/>
      <c r="F36" s="91"/>
      <c r="G36" s="100"/>
      <c r="H36" s="30"/>
      <c r="I36" s="96" t="str">
        <f aca="false">IF(ResourceTable[[#This Row],[Resource Name]]="","",COUNTIFS(tsk_Resource,ResourceTable[[#This Row],[Resource Name]],tsk_IsLeaf,1))</f>
        <v/>
      </c>
      <c r="J36" s="98" t="str">
        <f aca="false">IF(ResourceTable[[#This Row],[Resource Name]]="","",SUMIFS(tsk_Work,tsk_Resource,ResourceTable[[#This Row],[Resource Name]],tsk_IsLeaf,1))</f>
        <v/>
      </c>
      <c r="K36" s="99" t="str">
        <f aca="false">IF(ResourceTable[[#This Row],[Resource Name]]="","",SUMIFS(tsk_Cost,tsk_Resource,ResourceTable[[#This Row],[Resource Name]],tsk_IsLeaf,1))</f>
        <v/>
      </c>
      <c r="L36" s="99" t="str">
        <f aca="false">IF(ResourceTable[[#This Row],[Resource Name]]="","",SUMIFS(tsk_LeafAC,tsk_Resource,ResourceTable[[#This Row],[Resource Name]]))</f>
        <v/>
      </c>
      <c r="M36" s="30"/>
    </row>
    <row r="37" customFormat="false" ht="15" hidden="false" customHeight="false" outlineLevel="0" collapsed="false">
      <c r="B37" s="30"/>
      <c r="C37" s="30"/>
      <c r="D37" s="30"/>
      <c r="E37" s="30"/>
      <c r="F37" s="91"/>
      <c r="G37" s="100"/>
      <c r="H37" s="30"/>
      <c r="I37" s="96" t="str">
        <f aca="false">IF(ResourceTable[[#This Row],[Resource Name]]="","",COUNTIFS(tsk_Resource,ResourceTable[[#This Row],[Resource Name]],tsk_IsLeaf,1))</f>
        <v/>
      </c>
      <c r="J37" s="98" t="str">
        <f aca="false">IF(ResourceTable[[#This Row],[Resource Name]]="","",SUMIFS(tsk_Work,tsk_Resource,ResourceTable[[#This Row],[Resource Name]],tsk_IsLeaf,1))</f>
        <v/>
      </c>
      <c r="K37" s="99" t="str">
        <f aca="false">IF(ResourceTable[[#This Row],[Resource Name]]="","",SUMIFS(tsk_Cost,tsk_Resource,ResourceTable[[#This Row],[Resource Name]],tsk_IsLeaf,1))</f>
        <v/>
      </c>
      <c r="L37" s="99" t="str">
        <f aca="false">IF(ResourceTable[[#This Row],[Resource Name]]="","",SUMIFS(tsk_LeafAC,tsk_Resource,ResourceTable[[#This Row],[Resource Name]]))</f>
        <v/>
      </c>
      <c r="M37" s="30"/>
    </row>
    <row r="38" customFormat="false" ht="15" hidden="false" customHeight="false" outlineLevel="0" collapsed="false">
      <c r="B38" s="30"/>
      <c r="C38" s="30"/>
      <c r="D38" s="30"/>
      <c r="E38" s="30"/>
      <c r="F38" s="91"/>
      <c r="G38" s="100"/>
      <c r="H38" s="30"/>
      <c r="I38" s="96" t="str">
        <f aca="false">IF(ResourceTable[[#This Row],[Resource Name]]="","",COUNTIFS(tsk_Resource,ResourceTable[[#This Row],[Resource Name]],tsk_IsLeaf,1))</f>
        <v/>
      </c>
      <c r="J38" s="98" t="str">
        <f aca="false">IF(ResourceTable[[#This Row],[Resource Name]]="","",SUMIFS(tsk_Work,tsk_Resource,ResourceTable[[#This Row],[Resource Name]],tsk_IsLeaf,1))</f>
        <v/>
      </c>
      <c r="K38" s="99" t="str">
        <f aca="false">IF(ResourceTable[[#This Row],[Resource Name]]="","",SUMIFS(tsk_Cost,tsk_Resource,ResourceTable[[#This Row],[Resource Name]],tsk_IsLeaf,1))</f>
        <v/>
      </c>
      <c r="L38" s="99" t="str">
        <f aca="false">IF(ResourceTable[[#This Row],[Resource Name]]="","",SUMIFS(tsk_LeafAC,tsk_Resource,ResourceTable[[#This Row],[Resource Name]]))</f>
        <v/>
      </c>
      <c r="M38" s="30"/>
    </row>
    <row r="39" customFormat="false" ht="15" hidden="false" customHeight="false" outlineLevel="0" collapsed="false">
      <c r="B39" s="30"/>
      <c r="C39" s="30"/>
      <c r="D39" s="30"/>
      <c r="E39" s="30"/>
      <c r="F39" s="91"/>
      <c r="G39" s="100"/>
      <c r="H39" s="30"/>
      <c r="I39" s="96" t="str">
        <f aca="false">IF(ResourceTable[[#This Row],[Resource Name]]="","",COUNTIFS(tsk_Resource,ResourceTable[[#This Row],[Resource Name]],tsk_IsLeaf,1))</f>
        <v/>
      </c>
      <c r="J39" s="98" t="str">
        <f aca="false">IF(ResourceTable[[#This Row],[Resource Name]]="","",SUMIFS(tsk_Work,tsk_Resource,ResourceTable[[#This Row],[Resource Name]],tsk_IsLeaf,1))</f>
        <v/>
      </c>
      <c r="K39" s="99" t="str">
        <f aca="false">IF(ResourceTable[[#This Row],[Resource Name]]="","",SUMIFS(tsk_Cost,tsk_Resource,ResourceTable[[#This Row],[Resource Name]],tsk_IsLeaf,1))</f>
        <v/>
      </c>
      <c r="L39" s="99" t="str">
        <f aca="false">IF(ResourceTable[[#This Row],[Resource Name]]="","",SUMIFS(tsk_LeafAC,tsk_Resource,ResourceTable[[#This Row],[Resource Name]]))</f>
        <v/>
      </c>
      <c r="M39" s="30"/>
    </row>
    <row r="40" customFormat="false" ht="15" hidden="false" customHeight="false" outlineLevel="0" collapsed="false">
      <c r="B40" s="30"/>
      <c r="C40" s="30"/>
      <c r="D40" s="30"/>
      <c r="E40" s="30"/>
      <c r="F40" s="91"/>
      <c r="G40" s="100"/>
      <c r="H40" s="30"/>
      <c r="I40" s="96" t="str">
        <f aca="false">IF(ResourceTable[[#This Row],[Resource Name]]="","",COUNTIFS(tsk_Resource,ResourceTable[[#This Row],[Resource Name]],tsk_IsLeaf,1))</f>
        <v/>
      </c>
      <c r="J40" s="98" t="str">
        <f aca="false">IF(ResourceTable[[#This Row],[Resource Name]]="","",SUMIFS(tsk_Work,tsk_Resource,ResourceTable[[#This Row],[Resource Name]],tsk_IsLeaf,1))</f>
        <v/>
      </c>
      <c r="K40" s="99" t="str">
        <f aca="false">IF(ResourceTable[[#This Row],[Resource Name]]="","",SUMIFS(tsk_Cost,tsk_Resource,ResourceTable[[#This Row],[Resource Name]],tsk_IsLeaf,1))</f>
        <v/>
      </c>
      <c r="L40" s="99" t="str">
        <f aca="false">IF(ResourceTable[[#This Row],[Resource Name]]="","",SUMIFS(tsk_LeafAC,tsk_Resource,ResourceTable[[#This Row],[Resource Name]]))</f>
        <v/>
      </c>
      <c r="M40" s="30"/>
    </row>
    <row r="41" customFormat="false" ht="15" hidden="false" customHeight="false" outlineLevel="0" collapsed="false">
      <c r="B41" s="30"/>
      <c r="C41" s="30"/>
      <c r="D41" s="30"/>
      <c r="E41" s="30"/>
      <c r="F41" s="91"/>
      <c r="G41" s="100"/>
      <c r="H41" s="30"/>
      <c r="I41" s="96" t="str">
        <f aca="false">IF(ResourceTable[[#This Row],[Resource Name]]="","",COUNTIFS(tsk_Resource,ResourceTable[[#This Row],[Resource Name]],tsk_IsLeaf,1))</f>
        <v/>
      </c>
      <c r="J41" s="98" t="str">
        <f aca="false">IF(ResourceTable[[#This Row],[Resource Name]]="","",SUMIFS(tsk_Work,tsk_Resource,ResourceTable[[#This Row],[Resource Name]],tsk_IsLeaf,1))</f>
        <v/>
      </c>
      <c r="K41" s="99" t="str">
        <f aca="false">IF(ResourceTable[[#This Row],[Resource Name]]="","",SUMIFS(tsk_Cost,tsk_Resource,ResourceTable[[#This Row],[Resource Name]],tsk_IsLeaf,1))</f>
        <v/>
      </c>
      <c r="L41" s="99" t="str">
        <f aca="false">IF(ResourceTable[[#This Row],[Resource Name]]="","",SUMIFS(tsk_LeafAC,tsk_Resource,ResourceTable[[#This Row],[Resource Name]]))</f>
        <v/>
      </c>
      <c r="M41" s="30"/>
    </row>
    <row r="42" customFormat="false" ht="15" hidden="false" customHeight="false" outlineLevel="0" collapsed="false">
      <c r="B42" s="30"/>
      <c r="C42" s="30"/>
      <c r="D42" s="30"/>
      <c r="E42" s="30"/>
      <c r="F42" s="91"/>
      <c r="G42" s="100"/>
      <c r="H42" s="30"/>
      <c r="I42" s="96" t="str">
        <f aca="false">IF(ResourceTable[[#This Row],[Resource Name]]="","",COUNTIFS(tsk_Resource,ResourceTable[[#This Row],[Resource Name]],tsk_IsLeaf,1))</f>
        <v/>
      </c>
      <c r="J42" s="98" t="str">
        <f aca="false">IF(ResourceTable[[#This Row],[Resource Name]]="","",SUMIFS(tsk_Work,tsk_Resource,ResourceTable[[#This Row],[Resource Name]],tsk_IsLeaf,1))</f>
        <v/>
      </c>
      <c r="K42" s="99" t="str">
        <f aca="false">IF(ResourceTable[[#This Row],[Resource Name]]="","",SUMIFS(tsk_Cost,tsk_Resource,ResourceTable[[#This Row],[Resource Name]],tsk_IsLeaf,1))</f>
        <v/>
      </c>
      <c r="L42" s="99" t="str">
        <f aca="false">IF(ResourceTable[[#This Row],[Resource Name]]="","",SUMIFS(tsk_LeafAC,tsk_Resource,ResourceTable[[#This Row],[Resource Name]]))</f>
        <v/>
      </c>
      <c r="M42" s="30"/>
    </row>
    <row r="43" customFormat="false" ht="15" hidden="false" customHeight="false" outlineLevel="0" collapsed="false">
      <c r="B43" s="30"/>
      <c r="C43" s="30"/>
      <c r="D43" s="30"/>
      <c r="E43" s="30"/>
      <c r="F43" s="91"/>
      <c r="G43" s="100"/>
      <c r="H43" s="30"/>
      <c r="I43" s="96" t="str">
        <f aca="false">IF(ResourceTable[[#This Row],[Resource Name]]="","",COUNTIFS(tsk_Resource,ResourceTable[[#This Row],[Resource Name]],tsk_IsLeaf,1))</f>
        <v/>
      </c>
      <c r="J43" s="98" t="str">
        <f aca="false">IF(ResourceTable[[#This Row],[Resource Name]]="","",SUMIFS(tsk_Work,tsk_Resource,ResourceTable[[#This Row],[Resource Name]],tsk_IsLeaf,1))</f>
        <v/>
      </c>
      <c r="K43" s="99" t="str">
        <f aca="false">IF(ResourceTable[[#This Row],[Resource Name]]="","",SUMIFS(tsk_Cost,tsk_Resource,ResourceTable[[#This Row],[Resource Name]],tsk_IsLeaf,1))</f>
        <v/>
      </c>
      <c r="L43" s="99" t="str">
        <f aca="false">IF(ResourceTable[[#This Row],[Resource Name]]="","",SUMIFS(tsk_LeafAC,tsk_Resource,ResourceTable[[#This Row],[Resource Name]]))</f>
        <v/>
      </c>
      <c r="M43" s="30"/>
    </row>
    <row r="44" customFormat="false" ht="15" hidden="false" customHeight="false" outlineLevel="0" collapsed="false">
      <c r="B44" s="30"/>
      <c r="C44" s="30"/>
      <c r="D44" s="30"/>
      <c r="E44" s="30"/>
      <c r="F44" s="91"/>
      <c r="G44" s="100"/>
      <c r="H44" s="30"/>
      <c r="I44" s="96" t="str">
        <f aca="false">IF(ResourceTable[[#This Row],[Resource Name]]="","",COUNTIFS(tsk_Resource,ResourceTable[[#This Row],[Resource Name]],tsk_IsLeaf,1))</f>
        <v/>
      </c>
      <c r="J44" s="98" t="str">
        <f aca="false">IF(ResourceTable[[#This Row],[Resource Name]]="","",SUMIFS(tsk_Work,tsk_Resource,ResourceTable[[#This Row],[Resource Name]],tsk_IsLeaf,1))</f>
        <v/>
      </c>
      <c r="K44" s="99" t="str">
        <f aca="false">IF(ResourceTable[[#This Row],[Resource Name]]="","",SUMIFS(tsk_Cost,tsk_Resource,ResourceTable[[#This Row],[Resource Name]],tsk_IsLeaf,1))</f>
        <v/>
      </c>
      <c r="L44" s="99" t="str">
        <f aca="false">IF(ResourceTable[[#This Row],[Resource Name]]="","",SUMIFS(tsk_LeafAC,tsk_Resource,ResourceTable[[#This Row],[Resource Name]]))</f>
        <v/>
      </c>
      <c r="M44" s="30"/>
    </row>
    <row r="45" customFormat="false" ht="15" hidden="false" customHeight="false" outlineLevel="0" collapsed="false">
      <c r="B45" s="30"/>
      <c r="C45" s="30"/>
      <c r="D45" s="30"/>
      <c r="E45" s="30"/>
      <c r="F45" s="91"/>
      <c r="G45" s="100"/>
      <c r="H45" s="30"/>
      <c r="I45" s="96" t="str">
        <f aca="false">IF(ResourceTable[[#This Row],[Resource Name]]="","",COUNTIFS(tsk_Resource,ResourceTable[[#This Row],[Resource Name]],tsk_IsLeaf,1))</f>
        <v/>
      </c>
      <c r="J45" s="98" t="str">
        <f aca="false">IF(ResourceTable[[#This Row],[Resource Name]]="","",SUMIFS(tsk_Work,tsk_Resource,ResourceTable[[#This Row],[Resource Name]],tsk_IsLeaf,1))</f>
        <v/>
      </c>
      <c r="K45" s="99" t="str">
        <f aca="false">IF(ResourceTable[[#This Row],[Resource Name]]="","",SUMIFS(tsk_Cost,tsk_Resource,ResourceTable[[#This Row],[Resource Name]],tsk_IsLeaf,1))</f>
        <v/>
      </c>
      <c r="L45" s="99" t="str">
        <f aca="false">IF(ResourceTable[[#This Row],[Resource Name]]="","",SUMIFS(tsk_LeafAC,tsk_Resource,ResourceTable[[#This Row],[Resource Name]]))</f>
        <v/>
      </c>
      <c r="M45" s="30"/>
    </row>
    <row r="46" customFormat="false" ht="15" hidden="false" customHeight="false" outlineLevel="0" collapsed="false">
      <c r="B46" s="30"/>
      <c r="C46" s="30"/>
      <c r="D46" s="30"/>
      <c r="E46" s="30"/>
      <c r="F46" s="91"/>
      <c r="G46" s="100"/>
      <c r="H46" s="30"/>
      <c r="I46" s="96" t="str">
        <f aca="false">IF(ResourceTable[[#This Row],[Resource Name]]="","",COUNTIFS(tsk_Resource,ResourceTable[[#This Row],[Resource Name]],tsk_IsLeaf,1))</f>
        <v/>
      </c>
      <c r="J46" s="98" t="str">
        <f aca="false">IF(ResourceTable[[#This Row],[Resource Name]]="","",SUMIFS(tsk_Work,tsk_Resource,ResourceTable[[#This Row],[Resource Name]],tsk_IsLeaf,1))</f>
        <v/>
      </c>
      <c r="K46" s="99" t="str">
        <f aca="false">IF(ResourceTable[[#This Row],[Resource Name]]="","",SUMIFS(tsk_Cost,tsk_Resource,ResourceTable[[#This Row],[Resource Name]],tsk_IsLeaf,1))</f>
        <v/>
      </c>
      <c r="L46" s="99" t="str">
        <f aca="false">IF(ResourceTable[[#This Row],[Resource Name]]="","",SUMIFS(tsk_LeafAC,tsk_Resource,ResourceTable[[#This Row],[Resource Name]]))</f>
        <v/>
      </c>
      <c r="M46" s="30"/>
    </row>
    <row r="47" customFormat="false" ht="15" hidden="false" customHeight="false" outlineLevel="0" collapsed="false">
      <c r="B47" s="30"/>
      <c r="C47" s="30"/>
      <c r="D47" s="30"/>
      <c r="E47" s="30"/>
      <c r="F47" s="91"/>
      <c r="G47" s="100"/>
      <c r="H47" s="30"/>
      <c r="I47" s="96" t="str">
        <f aca="false">IF(ResourceTable[[#This Row],[Resource Name]]="","",COUNTIFS(tsk_Resource,ResourceTable[[#This Row],[Resource Name]],tsk_IsLeaf,1))</f>
        <v/>
      </c>
      <c r="J47" s="98" t="str">
        <f aca="false">IF(ResourceTable[[#This Row],[Resource Name]]="","",SUMIFS(tsk_Work,tsk_Resource,ResourceTable[[#This Row],[Resource Name]],tsk_IsLeaf,1))</f>
        <v/>
      </c>
      <c r="K47" s="99" t="str">
        <f aca="false">IF(ResourceTable[[#This Row],[Resource Name]]="","",SUMIFS(tsk_Cost,tsk_Resource,ResourceTable[[#This Row],[Resource Name]],tsk_IsLeaf,1))</f>
        <v/>
      </c>
      <c r="L47" s="99" t="str">
        <f aca="false">IF(ResourceTable[[#This Row],[Resource Name]]="","",SUMIFS(tsk_LeafAC,tsk_Resource,ResourceTable[[#This Row],[Resource Name]]))</f>
        <v/>
      </c>
      <c r="M47" s="30"/>
    </row>
    <row r="48" customFormat="false" ht="15" hidden="false" customHeight="false" outlineLevel="0" collapsed="false">
      <c r="B48" s="30"/>
      <c r="C48" s="30"/>
      <c r="D48" s="30"/>
      <c r="E48" s="30"/>
      <c r="F48" s="91"/>
      <c r="G48" s="100"/>
      <c r="H48" s="30"/>
      <c r="I48" s="96" t="str">
        <f aca="false">IF(ResourceTable[[#This Row],[Resource Name]]="","",COUNTIFS(tsk_Resource,ResourceTable[[#This Row],[Resource Name]],tsk_IsLeaf,1))</f>
        <v/>
      </c>
      <c r="J48" s="98" t="str">
        <f aca="false">IF(ResourceTable[[#This Row],[Resource Name]]="","",SUMIFS(tsk_Work,tsk_Resource,ResourceTable[[#This Row],[Resource Name]],tsk_IsLeaf,1))</f>
        <v/>
      </c>
      <c r="K48" s="99" t="str">
        <f aca="false">IF(ResourceTable[[#This Row],[Resource Name]]="","",SUMIFS(tsk_Cost,tsk_Resource,ResourceTable[[#This Row],[Resource Name]],tsk_IsLeaf,1))</f>
        <v/>
      </c>
      <c r="L48" s="99" t="str">
        <f aca="false">IF(ResourceTable[[#This Row],[Resource Name]]="","",SUMIFS(tsk_LeafAC,tsk_Resource,ResourceTable[[#This Row],[Resource Name]]))</f>
        <v/>
      </c>
      <c r="M48" s="30"/>
    </row>
    <row r="49" customFormat="false" ht="15" hidden="false" customHeight="false" outlineLevel="0" collapsed="false">
      <c r="B49" s="30"/>
      <c r="C49" s="30"/>
      <c r="D49" s="30"/>
      <c r="E49" s="30"/>
      <c r="F49" s="91"/>
      <c r="G49" s="100"/>
      <c r="H49" s="30"/>
      <c r="I49" s="96" t="str">
        <f aca="false">IF(ResourceTable[[#This Row],[Resource Name]]="","",COUNTIFS(tsk_Resource,ResourceTable[[#This Row],[Resource Name]],tsk_IsLeaf,1))</f>
        <v/>
      </c>
      <c r="J49" s="98" t="str">
        <f aca="false">IF(ResourceTable[[#This Row],[Resource Name]]="","",SUMIFS(tsk_Work,tsk_Resource,ResourceTable[[#This Row],[Resource Name]],tsk_IsLeaf,1))</f>
        <v/>
      </c>
      <c r="K49" s="99" t="str">
        <f aca="false">IF(ResourceTable[[#This Row],[Resource Name]]="","",SUMIFS(tsk_Cost,tsk_Resource,ResourceTable[[#This Row],[Resource Name]],tsk_IsLeaf,1))</f>
        <v/>
      </c>
      <c r="L49" s="99" t="str">
        <f aca="false">IF(ResourceTable[[#This Row],[Resource Name]]="","",SUMIFS(tsk_LeafAC,tsk_Resource,ResourceTable[[#This Row],[Resource Name]]))</f>
        <v/>
      </c>
      <c r="M49" s="30"/>
    </row>
    <row r="50" customFormat="false" ht="15" hidden="false" customHeight="false" outlineLevel="0" collapsed="false">
      <c r="B50" s="30"/>
      <c r="C50" s="30"/>
      <c r="D50" s="30"/>
      <c r="E50" s="30"/>
      <c r="F50" s="91"/>
      <c r="G50" s="100"/>
      <c r="H50" s="30"/>
      <c r="I50" s="96" t="str">
        <f aca="false">IF(ResourceTable[[#This Row],[Resource Name]]="","",COUNTIFS(tsk_Resource,ResourceTable[[#This Row],[Resource Name]],tsk_IsLeaf,1))</f>
        <v/>
      </c>
      <c r="J50" s="98" t="str">
        <f aca="false">IF(ResourceTable[[#This Row],[Resource Name]]="","",SUMIFS(tsk_Work,tsk_Resource,ResourceTable[[#This Row],[Resource Name]],tsk_IsLeaf,1))</f>
        <v/>
      </c>
      <c r="K50" s="99" t="str">
        <f aca="false">IF(ResourceTable[[#This Row],[Resource Name]]="","",SUMIFS(tsk_Cost,tsk_Resource,ResourceTable[[#This Row],[Resource Name]],tsk_IsLeaf,1))</f>
        <v/>
      </c>
      <c r="L50" s="99" t="str">
        <f aca="false">IF(ResourceTable[[#This Row],[Resource Name]]="","",SUMIFS(tsk_LeafAC,tsk_Resource,ResourceTable[[#This Row],[Resource Name]]))</f>
        <v/>
      </c>
      <c r="M50" s="30"/>
    </row>
    <row r="51" customFormat="false" ht="15" hidden="false" customHeight="false" outlineLevel="0" collapsed="false">
      <c r="B51" s="30"/>
      <c r="C51" s="30"/>
      <c r="D51" s="30"/>
      <c r="E51" s="30"/>
      <c r="F51" s="91"/>
      <c r="G51" s="100"/>
      <c r="H51" s="30"/>
      <c r="I51" s="96" t="str">
        <f aca="false">IF(ResourceTable[[#This Row],[Resource Name]]="","",COUNTIFS(tsk_Resource,ResourceTable[[#This Row],[Resource Name]],tsk_IsLeaf,1))</f>
        <v/>
      </c>
      <c r="J51" s="98" t="str">
        <f aca="false">IF(ResourceTable[[#This Row],[Resource Name]]="","",SUMIFS(tsk_Work,tsk_Resource,ResourceTable[[#This Row],[Resource Name]],tsk_IsLeaf,1))</f>
        <v/>
      </c>
      <c r="K51" s="99" t="str">
        <f aca="false">IF(ResourceTable[[#This Row],[Resource Name]]="","",SUMIFS(tsk_Cost,tsk_Resource,ResourceTable[[#This Row],[Resource Name]],tsk_IsLeaf,1))</f>
        <v/>
      </c>
      <c r="L51" s="99" t="str">
        <f aca="false">IF(ResourceTable[[#This Row],[Resource Name]]="","",SUMIFS(tsk_LeafAC,tsk_Resource,ResourceTable[[#This Row],[Resource Name]]))</f>
        <v/>
      </c>
      <c r="M51" s="30"/>
    </row>
    <row r="52" customFormat="false" ht="15" hidden="false" customHeight="false" outlineLevel="0" collapsed="false">
      <c r="B52" s="30"/>
      <c r="C52" s="30"/>
      <c r="D52" s="30"/>
      <c r="E52" s="30"/>
      <c r="F52" s="91"/>
      <c r="G52" s="100"/>
      <c r="H52" s="30"/>
      <c r="I52" s="96" t="str">
        <f aca="false">IF(ResourceTable[[#This Row],[Resource Name]]="","",COUNTIFS(tsk_Resource,ResourceTable[[#This Row],[Resource Name]],tsk_IsLeaf,1))</f>
        <v/>
      </c>
      <c r="J52" s="98" t="str">
        <f aca="false">IF(ResourceTable[[#This Row],[Resource Name]]="","",SUMIFS(tsk_Work,tsk_Resource,ResourceTable[[#This Row],[Resource Name]],tsk_IsLeaf,1))</f>
        <v/>
      </c>
      <c r="K52" s="99" t="str">
        <f aca="false">IF(ResourceTable[[#This Row],[Resource Name]]="","",SUMIFS(tsk_Cost,tsk_Resource,ResourceTable[[#This Row],[Resource Name]],tsk_IsLeaf,1))</f>
        <v/>
      </c>
      <c r="L52" s="99" t="str">
        <f aca="false">IF(ResourceTable[[#This Row],[Resource Name]]="","",SUMIFS(tsk_LeafAC,tsk_Resource,ResourceTable[[#This Row],[Resource Name]]))</f>
        <v/>
      </c>
      <c r="M52" s="30"/>
    </row>
    <row r="53" customFormat="false" ht="15" hidden="false" customHeight="false" outlineLevel="0" collapsed="false">
      <c r="B53" s="30"/>
      <c r="C53" s="30"/>
      <c r="D53" s="30"/>
      <c r="E53" s="30"/>
      <c r="F53" s="91"/>
      <c r="G53" s="100"/>
      <c r="H53" s="30"/>
      <c r="I53" s="96" t="str">
        <f aca="false">IF(ResourceTable[[#This Row],[Resource Name]]="","",COUNTIFS(tsk_Resource,ResourceTable[[#This Row],[Resource Name]],tsk_IsLeaf,1))</f>
        <v/>
      </c>
      <c r="J53" s="98" t="str">
        <f aca="false">IF(ResourceTable[[#This Row],[Resource Name]]="","",SUMIFS(tsk_Work,tsk_Resource,ResourceTable[[#This Row],[Resource Name]],tsk_IsLeaf,1))</f>
        <v/>
      </c>
      <c r="K53" s="99" t="str">
        <f aca="false">IF(ResourceTable[[#This Row],[Resource Name]]="","",SUMIFS(tsk_Cost,tsk_Resource,ResourceTable[[#This Row],[Resource Name]],tsk_IsLeaf,1))</f>
        <v/>
      </c>
      <c r="L53" s="99" t="str">
        <f aca="false">IF(ResourceTable[[#This Row],[Resource Name]]="","",SUMIFS(tsk_LeafAC,tsk_Resource,ResourceTable[[#This Row],[Resource Name]]))</f>
        <v/>
      </c>
      <c r="M53" s="30"/>
    </row>
    <row r="54" customFormat="false" ht="15" hidden="false" customHeight="false" outlineLevel="0" collapsed="false">
      <c r="B54" s="30"/>
      <c r="C54" s="30"/>
      <c r="D54" s="30"/>
      <c r="E54" s="30"/>
      <c r="F54" s="91"/>
      <c r="G54" s="100"/>
      <c r="H54" s="30"/>
      <c r="I54" s="96" t="str">
        <f aca="false">IF(ResourceTable[[#This Row],[Resource Name]]="","",COUNTIFS(tsk_Resource,ResourceTable[[#This Row],[Resource Name]],tsk_IsLeaf,1))</f>
        <v/>
      </c>
      <c r="J54" s="98" t="str">
        <f aca="false">IF(ResourceTable[[#This Row],[Resource Name]]="","",SUMIFS(tsk_Work,tsk_Resource,ResourceTable[[#This Row],[Resource Name]],tsk_IsLeaf,1))</f>
        <v/>
      </c>
      <c r="K54" s="99" t="str">
        <f aca="false">IF(ResourceTable[[#This Row],[Resource Name]]="","",SUMIFS(tsk_Cost,tsk_Resource,ResourceTable[[#This Row],[Resource Name]],tsk_IsLeaf,1))</f>
        <v/>
      </c>
      <c r="L54" s="99" t="str">
        <f aca="false">IF(ResourceTable[[#This Row],[Resource Name]]="","",SUMIFS(tsk_LeafAC,tsk_Resource,ResourceTable[[#This Row],[Resource Name]]))</f>
        <v/>
      </c>
      <c r="M54" s="30"/>
    </row>
    <row r="55" customFormat="false" ht="15" hidden="false" customHeight="false" outlineLevel="0" collapsed="false">
      <c r="B55" s="30"/>
      <c r="C55" s="30"/>
      <c r="D55" s="30"/>
      <c r="E55" s="30"/>
      <c r="F55" s="91"/>
      <c r="G55" s="100"/>
      <c r="H55" s="30"/>
      <c r="I55" s="96" t="str">
        <f aca="false">IF(ResourceTable[[#This Row],[Resource Name]]="","",COUNTIFS(tsk_Resource,ResourceTable[[#This Row],[Resource Name]],tsk_IsLeaf,1))</f>
        <v/>
      </c>
      <c r="J55" s="98" t="str">
        <f aca="false">IF(ResourceTable[[#This Row],[Resource Name]]="","",SUMIFS(tsk_Work,tsk_Resource,ResourceTable[[#This Row],[Resource Name]],tsk_IsLeaf,1))</f>
        <v/>
      </c>
      <c r="K55" s="99" t="str">
        <f aca="false">IF(ResourceTable[[#This Row],[Resource Name]]="","",SUMIFS(tsk_Cost,tsk_Resource,ResourceTable[[#This Row],[Resource Name]],tsk_IsLeaf,1))</f>
        <v/>
      </c>
      <c r="L55" s="99" t="str">
        <f aca="false">IF(ResourceTable[[#This Row],[Resource Name]]="","",SUMIFS(tsk_LeafAC,tsk_Resource,ResourceTable[[#This Row],[Resource Name]]))</f>
        <v/>
      </c>
      <c r="M55" s="30"/>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1" max="22" min="19" style="0" width="10"/>
    <col collapsed="false" customWidth="true" hidden="false" outlineLevel="0" max="29" min="23" style="0" width="10"/>
  </cols>
  <sheetData>
    <row r="1" customFormat="false" ht="19.7" hidden="false" customHeight="false" outlineLevel="0" collapsed="false">
      <c r="A1" s="26" t="str">
        <f aca="false">ProjectName&amp;"  -  Sprint &amp; Capacity Planning"</f>
        <v>Customer Portal Implementation  -  Sprint &amp; Capacity Planning</v>
      </c>
    </row>
    <row r="2" customFormat="false" ht="15" hidden="false" customHeight="false" outlineLevel="0" collapsed="false">
      <c r="A2" s="8" t="s">
        <v>689</v>
      </c>
    </row>
    <row r="5" customFormat="false" ht="23.85" hidden="false" customHeight="false" outlineLevel="0" collapsed="false">
      <c r="A5" s="9" t="s">
        <v>407</v>
      </c>
      <c r="B5" s="9" t="s">
        <v>518</v>
      </c>
      <c r="C5" s="9" t="s">
        <v>690</v>
      </c>
      <c r="D5" s="9" t="s">
        <v>691</v>
      </c>
      <c r="E5" s="9" t="s">
        <v>692</v>
      </c>
      <c r="F5" s="27" t="s">
        <v>693</v>
      </c>
      <c r="G5" s="9" t="s">
        <v>694</v>
      </c>
      <c r="H5" s="9" t="s">
        <v>695</v>
      </c>
      <c r="I5" s="9" t="s">
        <v>61</v>
      </c>
      <c r="J5" s="9" t="s">
        <v>696</v>
      </c>
      <c r="K5" s="9" t="s">
        <v>95</v>
      </c>
      <c r="L5" s="27" t="s">
        <v>697</v>
      </c>
      <c r="M5" s="9" t="s">
        <v>698</v>
      </c>
      <c r="N5" s="9" t="s">
        <v>699</v>
      </c>
      <c r="O5" s="9" t="s">
        <v>700</v>
      </c>
      <c r="P5" s="9" t="s">
        <v>701</v>
      </c>
      <c r="Q5" s="9" t="s">
        <v>702</v>
      </c>
      <c r="R5" s="9" t="s">
        <v>703</v>
      </c>
      <c r="S5" s="40" t="s">
        <v>268</v>
      </c>
      <c r="T5" s="40" t="s">
        <v>704</v>
      </c>
      <c r="U5" s="40" t="s">
        <v>705</v>
      </c>
      <c r="V5" s="40" t="s">
        <v>706</v>
      </c>
    </row>
    <row r="6" customFormat="false" ht="15" hidden="false" customHeight="false" outlineLevel="0" collapsed="false">
      <c r="A6" s="28" t="n">
        <f aca="false">ROW()-ROW(SprintTable[[#Headers],[No]])</f>
        <v>1</v>
      </c>
      <c r="B6" s="24" t="str">
        <f aca="false">IF(SprintTable[[#This Row],[No]]&lt;=SprintCount,SprintPrefix&amp;SprintTable[[#This Row],[No]],"")</f>
        <v>Sprint 1</v>
      </c>
      <c r="C6" s="25" t="n">
        <f aca="false">Sprint1Start+(SprintTable[[#This Row],[No]]-1)*SprintLength</f>
        <v>46272</v>
      </c>
      <c r="D6" s="25" t="n">
        <f aca="false">SprintTable[[#This Row],[Start]]+SprintLength-1</f>
        <v>46285</v>
      </c>
      <c r="E6" s="28" t="n">
        <f aca="false">NETWORKDAYS.INTL(SprintTable[[#This Row],[Start]],SprintTable[[#This Row],[End]],WorkWeek,Holidays)</f>
        <v>10</v>
      </c>
      <c r="F6" s="30" t="s">
        <v>707</v>
      </c>
      <c r="G6" s="28" t="n">
        <f aca="false">IF(SprintTable[[#This Row],[Sprint]]="","",COUNTIF(tsk_Sprint,SprintTable[[#This Row],[Sprint]]))</f>
        <v>5</v>
      </c>
      <c r="H6"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75.1111111111111</v>
      </c>
      <c r="I6"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6" s="97" t="n">
        <f aca="false">IF(OR(SprintTable[[#This Row],[Sprint]]="",N(SprintTable[[#This Row],[Capacity]])=0),"",SprintTable[[#This Row],[Planned Work]]/SprintTable[[#This Row],[Capacity]])</f>
        <v>0.156481481481482</v>
      </c>
      <c r="K6" s="28" t="str">
        <f aca="false">IF(SprintTable[[#This Row],[Sprint]]="","",IF(StatusDate&gt;SprintTable[[#This Row],[End]],"Closed",IF(StatusDate&gt;=SprintTable[[#This Row],[Start]],"Active","Future")))</f>
        <v>Closed</v>
      </c>
      <c r="L6" s="85"/>
      <c r="M6" s="55" t="n">
        <f aca="false">IF(SprintTable[[#This Row],[Sprint]]="","",SUMIFS(tsk_LeafPoints,tsk_Sprint,SprintTable[[#This Row],[Sprint]]))</f>
        <v>18</v>
      </c>
      <c r="N6" s="55" t="n">
        <f aca="false">IF(OR(SprintTable[[#This Row],[Sprint]]="",SprintTable[[#This Row],[Status]]="Future"),"",SUMIFS(tsk_LeafPoints,tsk_DoneDate,"&gt;="&amp;SprintTable[[#This Row],[Start]],tsk_DoneDate,"&lt;="&amp;SprintTable[[#This Row],[End]]))</f>
        <v>5</v>
      </c>
      <c r="O6" s="128" t="n">
        <f aca="false">IF(OR(SprintTable[[#This Row],[Sprint]]="",SprintTable[[#This Row],[Status]]&lt;&gt;"Closed"),"",AVERAGE(INDEX(SprintTable[Done Points],MAX(1,SprintTable[[#This Row],[No]]-2)):INDEX(SprintTable[Done Points],SprintTable[[#This Row],[No]])))</f>
        <v>5</v>
      </c>
      <c r="P6" s="55" t="n">
        <f aca="false">IF(OR(SprintTable[[#This Row],[Sprint]]="",SprintTable[[#This Row],[Status]]="Future"),"",TotalPoints-SUMIFS(tsk_LeafPoints,tsk_DoneDate,"&lt;="&amp;MIN(SprintTable[[#This Row],[End]],StatusDate)))</f>
        <v>77</v>
      </c>
      <c r="Q6" s="55" t="n">
        <f aca="false">IF(SprintTable[[#This Row],[Sprint]]="","",TotalPoints-SUMIFS(tsk_LeafPoints,tsk_FcFinish,"&lt;="&amp;SprintTable[[#This Row],[End]]))</f>
        <v>77</v>
      </c>
      <c r="R6" s="55" t="n">
        <f aca="false">IF(SprintTable[[#This Row],[Sprint]]="","",TotalPoints*MAX(0,1-SprintTable[[#This Row],[No]]/SprintCount))</f>
        <v>75.1666666666667</v>
      </c>
      <c r="S6" s="76" t="n">
        <f aca="false">IF(SprintTable[[#This Row],[Remaining Points]]="",NA(),SprintTable[[#This Row],[Remaining Points]])</f>
        <v>77</v>
      </c>
      <c r="T6" s="41" t="n">
        <f aca="false">IFERROR(MATCH(MID("JanFebMarAprMayJunJulAugSepOctNovDec",MONTH(DATE(YEAR(SprintTable[[#This Row],[Start]]),MONTH(SprintTable[[#This Row],[Start]])+0,1))*3-2,3)&amp;"-"&amp;RIGHT(YEAR(DATE(YEAR(SprintTable[[#This Row],[Start]]),MONTH(SprintTable[[#This Row],[Start]])+0,1)),2),LeaveTable[#Headers],0),0)</f>
        <v>10</v>
      </c>
      <c r="U6" s="41" t="n">
        <f aca="false">IFERROR(MATCH(MID("JanFebMarAprMayJunJulAugSepOctNovDec",MONTH(DATE(YEAR(SprintTable[[#This Row],[Start]]),MONTH(SprintTable[[#This Row],[Start]])+1,1))*3-2,3)&amp;"-"&amp;RIGHT(YEAR(DATE(YEAR(SprintTable[[#This Row],[Start]]),MONTH(SprintTable[[#This Row],[Start]])+1,1)),2),LeaveTable[#Headers],0),0)</f>
        <v>11</v>
      </c>
      <c r="V6" s="41" t="n">
        <f aca="false">IFERROR(MATCH(MID("JanFebMarAprMayJunJulAugSepOctNovDec",MONTH(DATE(YEAR(SprintTable[[#This Row],[Start]]),MONTH(SprintTable[[#This Row],[Start]])+2,1))*3-2,3)&amp;"-"&amp;RIGHT(YEAR(DATE(YEAR(SprintTable[[#This Row],[Start]]),MONTH(SprintTable[[#This Row],[Start]])+2,1)),2),LeaveTable[#Headers],0),0)</f>
        <v>12</v>
      </c>
    </row>
    <row r="7" customFormat="false" ht="15" hidden="false" customHeight="false" outlineLevel="0" collapsed="false">
      <c r="A7" s="28" t="n">
        <f aca="false">ROW()-ROW(SprintTable[[#Headers],[No]])</f>
        <v>2</v>
      </c>
      <c r="B7" s="24" t="str">
        <f aca="false">IF(SprintTable[[#This Row],[No]]&lt;=SprintCount,SprintPrefix&amp;SprintTable[[#This Row],[No]],"")</f>
        <v>Sprint 2</v>
      </c>
      <c r="C7" s="25" t="n">
        <f aca="false">Sprint1Start+(SprintTable[[#This Row],[No]]-1)*SprintLength</f>
        <v>46286</v>
      </c>
      <c r="D7" s="25" t="n">
        <f aca="false">SprintTable[[#This Row],[Start]]+SprintLength-1</f>
        <v>46299</v>
      </c>
      <c r="E7" s="28" t="n">
        <f aca="false">NETWORKDAYS.INTL(SprintTable[[#This Row],[Start]],SprintTable[[#This Row],[End]],WorkWeek,Holidays)</f>
        <v>10</v>
      </c>
      <c r="F7" s="30" t="s">
        <v>708</v>
      </c>
      <c r="G7" s="28" t="n">
        <f aca="false">IF(SprintTable[[#This Row],[Sprint]]="","",COUNTIF(tsk_Sprint,SprintTable[[#This Row],[Sprint]]))</f>
        <v>1</v>
      </c>
      <c r="H7"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103.174603174603</v>
      </c>
      <c r="I7"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7" s="97" t="n">
        <f aca="false">IF(OR(SprintTable[[#This Row],[Sprint]]="",N(SprintTable[[#This Row],[Capacity]])=0),"",SprintTable[[#This Row],[Planned Work]]/SprintTable[[#This Row],[Capacity]])</f>
        <v>0.21494708994709</v>
      </c>
      <c r="K7" s="28" t="str">
        <f aca="false">IF(SprintTable[[#This Row],[Sprint]]="","",IF(StatusDate&gt;SprintTable[[#This Row],[End]],"Closed",IF(StatusDate&gt;=SprintTable[[#This Row],[Start]],"Active","Future")))</f>
        <v>Closed</v>
      </c>
      <c r="L7" s="85"/>
      <c r="M7" s="55" t="n">
        <f aca="false">IF(SprintTable[[#This Row],[Sprint]]="","",SUMIFS(tsk_LeafPoints,tsk_Sprint,SprintTable[[#This Row],[Sprint]]))</f>
        <v>5</v>
      </c>
      <c r="N7" s="55" t="n">
        <f aca="false">IF(OR(SprintTable[[#This Row],[Sprint]]="",SprintTable[[#This Row],[Status]]="Future"),"",SUMIFS(tsk_LeafPoints,tsk_DoneDate,"&gt;="&amp;SprintTable[[#This Row],[Start]],tsk_DoneDate,"&lt;="&amp;SprintTable[[#This Row],[End]]))</f>
        <v>13</v>
      </c>
      <c r="O7" s="128" t="n">
        <f aca="false">IF(OR(SprintTable[[#This Row],[Sprint]]="",SprintTable[[#This Row],[Status]]&lt;&gt;"Closed"),"",AVERAGE(INDEX(SprintTable[Done Points],MAX(1,SprintTable[[#This Row],[No]]-2)):INDEX(SprintTable[Done Points],SprintTable[[#This Row],[No]])))</f>
        <v>9</v>
      </c>
      <c r="P7" s="55" t="n">
        <f aca="false">IF(OR(SprintTable[[#This Row],[Sprint]]="",SprintTable[[#This Row],[Status]]="Future"),"",TotalPoints-SUMIFS(tsk_LeafPoints,tsk_DoneDate,"&lt;="&amp;MIN(SprintTable[[#This Row],[End]],StatusDate)))</f>
        <v>64</v>
      </c>
      <c r="Q7" s="55" t="n">
        <f aca="false">IF(SprintTable[[#This Row],[Sprint]]="","",TotalPoints-SUMIFS(tsk_LeafPoints,tsk_FcFinish,"&lt;="&amp;SprintTable[[#This Row],[End]]))</f>
        <v>64</v>
      </c>
      <c r="R7" s="55" t="n">
        <f aca="false">IF(SprintTable[[#This Row],[Sprint]]="","",TotalPoints*MAX(0,1-SprintTable[[#This Row],[No]]/SprintCount))</f>
        <v>68.3333333333333</v>
      </c>
      <c r="S7" s="76" t="n">
        <f aca="false">IF(SprintTable[[#This Row],[Remaining Points]]="",NA(),SprintTable[[#This Row],[Remaining Points]])</f>
        <v>64</v>
      </c>
      <c r="T7" s="41" t="n">
        <f aca="false">IFERROR(MATCH(MID("JanFebMarAprMayJunJulAugSepOctNovDec",MONTH(DATE(YEAR(SprintTable[[#This Row],[Start]]),MONTH(SprintTable[[#This Row],[Start]])+0,1))*3-2,3)&amp;"-"&amp;RIGHT(YEAR(DATE(YEAR(SprintTable[[#This Row],[Start]]),MONTH(SprintTable[[#This Row],[Start]])+0,1)),2),LeaveTable[#Headers],0),0)</f>
        <v>10</v>
      </c>
      <c r="U7" s="41" t="n">
        <f aca="false">IFERROR(MATCH(MID("JanFebMarAprMayJunJulAugSepOctNovDec",MONTH(DATE(YEAR(SprintTable[[#This Row],[Start]]),MONTH(SprintTable[[#This Row],[Start]])+1,1))*3-2,3)&amp;"-"&amp;RIGHT(YEAR(DATE(YEAR(SprintTable[[#This Row],[Start]]),MONTH(SprintTable[[#This Row],[Start]])+1,1)),2),LeaveTable[#Headers],0),0)</f>
        <v>11</v>
      </c>
      <c r="V7" s="41" t="n">
        <f aca="false">IFERROR(MATCH(MID("JanFebMarAprMayJunJulAugSepOctNovDec",MONTH(DATE(YEAR(SprintTable[[#This Row],[Start]]),MONTH(SprintTable[[#This Row],[Start]])+2,1))*3-2,3)&amp;"-"&amp;RIGHT(YEAR(DATE(YEAR(SprintTable[[#This Row],[Start]]),MONTH(SprintTable[[#This Row],[Start]])+2,1)),2),LeaveTable[#Headers],0),0)</f>
        <v>12</v>
      </c>
    </row>
    <row r="8" customFormat="false" ht="15" hidden="false" customHeight="false" outlineLevel="0" collapsed="false">
      <c r="A8" s="28" t="n">
        <f aca="false">ROW()-ROW(SprintTable[[#Headers],[No]])</f>
        <v>3</v>
      </c>
      <c r="B8" s="24" t="str">
        <f aca="false">IF(SprintTable[[#This Row],[No]]&lt;=SprintCount,SprintPrefix&amp;SprintTable[[#This Row],[No]],"")</f>
        <v>Sprint 3</v>
      </c>
      <c r="C8" s="25" t="n">
        <f aca="false">Sprint1Start+(SprintTable[[#This Row],[No]]-1)*SprintLength</f>
        <v>46300</v>
      </c>
      <c r="D8" s="25" t="n">
        <f aca="false">SprintTable[[#This Row],[Start]]+SprintLength-1</f>
        <v>46313</v>
      </c>
      <c r="E8" s="28" t="n">
        <f aca="false">NETWORKDAYS.INTL(SprintTable[[#This Row],[Start]],SprintTable[[#This Row],[End]],WorkWeek,Holidays)</f>
        <v>10</v>
      </c>
      <c r="F8" s="30" t="s">
        <v>709</v>
      </c>
      <c r="G8" s="28" t="n">
        <f aca="false">IF(SprintTable[[#This Row],[Sprint]]="","",COUNTIF(tsk_Sprint,SprintTable[[#This Row],[Sprint]]))</f>
        <v>4</v>
      </c>
      <c r="H8"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115.047619047619</v>
      </c>
      <c r="I8"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8" s="97" t="n">
        <f aca="false">IF(OR(SprintTable[[#This Row],[Sprint]]="",N(SprintTable[[#This Row],[Capacity]])=0),"",SprintTable[[#This Row],[Planned Work]]/SprintTable[[#This Row],[Capacity]])</f>
        <v>0.23968253968254</v>
      </c>
      <c r="K8" s="28" t="str">
        <f aca="false">IF(SprintTable[[#This Row],[Sprint]]="","",IF(StatusDate&gt;SprintTable[[#This Row],[End]],"Closed",IF(StatusDate&gt;=SprintTable[[#This Row],[Start]],"Active","Future")))</f>
        <v>Closed</v>
      </c>
      <c r="L8" s="85"/>
      <c r="M8" s="55" t="n">
        <f aca="false">IF(SprintTable[[#This Row],[Sprint]]="","",SUMIFS(tsk_LeafPoints,tsk_Sprint,SprintTable[[#This Row],[Sprint]]))</f>
        <v>18</v>
      </c>
      <c r="N8" s="55" t="n">
        <f aca="false">IF(OR(SprintTable[[#This Row],[Sprint]]="",SprintTable[[#This Row],[Status]]="Future"),"",SUMIFS(tsk_LeafPoints,tsk_DoneDate,"&gt;="&amp;SprintTable[[#This Row],[Start]],tsk_DoneDate,"&lt;="&amp;SprintTable[[#This Row],[End]]))</f>
        <v>15</v>
      </c>
      <c r="O8" s="128" t="n">
        <f aca="false">IF(OR(SprintTable[[#This Row],[Sprint]]="",SprintTable[[#This Row],[Status]]&lt;&gt;"Closed"),"",AVERAGE(INDEX(SprintTable[Done Points],MAX(1,SprintTable[[#This Row],[No]]-2)):INDEX(SprintTable[Done Points],SprintTable[[#This Row],[No]])))</f>
        <v>11</v>
      </c>
      <c r="P8" s="55" t="n">
        <f aca="false">IF(OR(SprintTable[[#This Row],[Sprint]]="",SprintTable[[#This Row],[Status]]="Future"),"",TotalPoints-SUMIFS(tsk_LeafPoints,tsk_DoneDate,"&lt;="&amp;MIN(SprintTable[[#This Row],[End]],StatusDate)))</f>
        <v>49</v>
      </c>
      <c r="Q8" s="55" t="n">
        <f aca="false">IF(SprintTable[[#This Row],[Sprint]]="","",TotalPoints-SUMIFS(tsk_LeafPoints,tsk_FcFinish,"&lt;="&amp;SprintTable[[#This Row],[End]]))</f>
        <v>49</v>
      </c>
      <c r="R8" s="55" t="n">
        <f aca="false">IF(SprintTable[[#This Row],[Sprint]]="","",TotalPoints*MAX(0,1-SprintTable[[#This Row],[No]]/SprintCount))</f>
        <v>61.5</v>
      </c>
      <c r="S8" s="76" t="n">
        <f aca="false">IF(SprintTable[[#This Row],[Remaining Points]]="",NA(),SprintTable[[#This Row],[Remaining Points]])</f>
        <v>49</v>
      </c>
      <c r="T8" s="41" t="n">
        <f aca="false">IFERROR(MATCH(MID("JanFebMarAprMayJunJulAugSepOctNovDec",MONTH(DATE(YEAR(SprintTable[[#This Row],[Start]]),MONTH(SprintTable[[#This Row],[Start]])+0,1))*3-2,3)&amp;"-"&amp;RIGHT(YEAR(DATE(YEAR(SprintTable[[#This Row],[Start]]),MONTH(SprintTable[[#This Row],[Start]])+0,1)),2),LeaveTable[#Headers],0),0)</f>
        <v>11</v>
      </c>
      <c r="U8" s="41" t="n">
        <f aca="false">IFERROR(MATCH(MID("JanFebMarAprMayJunJulAugSepOctNovDec",MONTH(DATE(YEAR(SprintTable[[#This Row],[Start]]),MONTH(SprintTable[[#This Row],[Start]])+1,1))*3-2,3)&amp;"-"&amp;RIGHT(YEAR(DATE(YEAR(SprintTable[[#This Row],[Start]]),MONTH(SprintTable[[#This Row],[Start]])+1,1)),2),LeaveTable[#Headers],0),0)</f>
        <v>12</v>
      </c>
      <c r="V8" s="41" t="n">
        <f aca="false">IFERROR(MATCH(MID("JanFebMarAprMayJunJulAugSepOctNovDec",MONTH(DATE(YEAR(SprintTable[[#This Row],[Start]]),MONTH(SprintTable[[#This Row],[Start]])+2,1))*3-2,3)&amp;"-"&amp;RIGHT(YEAR(DATE(YEAR(SprintTable[[#This Row],[Start]]),MONTH(SprintTable[[#This Row],[Start]])+2,1)),2),LeaveTable[#Headers],0),0)</f>
        <v>13</v>
      </c>
    </row>
    <row r="9" customFormat="false" ht="15" hidden="false" customHeight="false" outlineLevel="0" collapsed="false">
      <c r="A9" s="28" t="n">
        <f aca="false">ROW()-ROW(SprintTable[[#Headers],[No]])</f>
        <v>4</v>
      </c>
      <c r="B9" s="24" t="str">
        <f aca="false">IF(SprintTable[[#This Row],[No]]&lt;=SprintCount,SprintPrefix&amp;SprintTable[[#This Row],[No]],"")</f>
        <v>Sprint 4</v>
      </c>
      <c r="C9" s="25" t="n">
        <f aca="false">Sprint1Start+(SprintTable[[#This Row],[No]]-1)*SprintLength</f>
        <v>46314</v>
      </c>
      <c r="D9" s="25" t="n">
        <f aca="false">SprintTable[[#This Row],[Start]]+SprintLength-1</f>
        <v>46327</v>
      </c>
      <c r="E9" s="28" t="n">
        <f aca="false">NETWORKDAYS.INTL(SprintTable[[#This Row],[Start]],SprintTable[[#This Row],[End]],WorkWeek,Holidays)</f>
        <v>10</v>
      </c>
      <c r="F9" s="30" t="s">
        <v>710</v>
      </c>
      <c r="G9" s="28" t="n">
        <f aca="false">IF(SprintTable[[#This Row],[Sprint]]="","",COUNTIF(tsk_Sprint,SprintTable[[#This Row],[Sprint]]))</f>
        <v>1</v>
      </c>
      <c r="H9"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135.238095238095</v>
      </c>
      <c r="I9"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472</v>
      </c>
      <c r="J9" s="97" t="n">
        <f aca="false">IF(OR(SprintTable[[#This Row],[Sprint]]="",N(SprintTable[[#This Row],[Capacity]])=0),"",SprintTable[[#This Row],[Planned Work]]/SprintTable[[#This Row],[Capacity]])</f>
        <v>0.286521388216303</v>
      </c>
      <c r="K9" s="28" t="str">
        <f aca="false">IF(SprintTable[[#This Row],[Sprint]]="","",IF(StatusDate&gt;SprintTable[[#This Row],[End]],"Closed",IF(StatusDate&gt;=SprintTable[[#This Row],[Start]],"Active","Future")))</f>
        <v>Active</v>
      </c>
      <c r="L9" s="85"/>
      <c r="M9" s="55" t="n">
        <f aca="false">IF(SprintTable[[#This Row],[Sprint]]="","",SUMIFS(tsk_LeafPoints,tsk_Sprint,SprintTable[[#This Row],[Sprint]]))</f>
        <v>8</v>
      </c>
      <c r="N9" s="55" t="n">
        <f aca="false">IF(OR(SprintTable[[#This Row],[Sprint]]="",SprintTable[[#This Row],[Status]]="Future"),"",SUMIFS(tsk_LeafPoints,tsk_DoneDate,"&gt;="&amp;SprintTable[[#This Row],[Start]],tsk_DoneDate,"&lt;="&amp;SprintTable[[#This Row],[End]]))</f>
        <v>0</v>
      </c>
      <c r="O9" s="128" t="str">
        <f aca="false">IF(OR(SprintTable[[#This Row],[Sprint]]="",SprintTable[[#This Row],[Status]]&lt;&gt;"Closed"),"",AVERAGE(INDEX(SprintTable[Done Points],MAX(1,SprintTable[[#This Row],[No]]-2)):INDEX(SprintTable[Done Points],SprintTable[[#This Row],[No]])))</f>
        <v/>
      </c>
      <c r="P9" s="55" t="n">
        <f aca="false">IF(OR(SprintTable[[#This Row],[Sprint]]="",SprintTable[[#This Row],[Status]]="Future"),"",TotalPoints-SUMIFS(tsk_LeafPoints,tsk_DoneDate,"&lt;="&amp;MIN(SprintTable[[#This Row],[End]],StatusDate)))</f>
        <v>49</v>
      </c>
      <c r="Q9" s="55" t="n">
        <f aca="false">IF(SprintTable[[#This Row],[Sprint]]="","",TotalPoints-SUMIFS(tsk_LeafPoints,tsk_FcFinish,"&lt;="&amp;SprintTable[[#This Row],[End]]))</f>
        <v>41</v>
      </c>
      <c r="R9" s="55" t="n">
        <f aca="false">IF(SprintTable[[#This Row],[Sprint]]="","",TotalPoints*MAX(0,1-SprintTable[[#This Row],[No]]/SprintCount))</f>
        <v>54.6666666666667</v>
      </c>
      <c r="S9" s="76" t="n">
        <f aca="false">IF(SprintTable[[#This Row],[Remaining Points]]="",NA(),SprintTable[[#This Row],[Remaining Points]])</f>
        <v>49</v>
      </c>
      <c r="T9" s="41" t="n">
        <f aca="false">IFERROR(MATCH(MID("JanFebMarAprMayJunJulAugSepOctNovDec",MONTH(DATE(YEAR(SprintTable[[#This Row],[Start]]),MONTH(SprintTable[[#This Row],[Start]])+0,1))*3-2,3)&amp;"-"&amp;RIGHT(YEAR(DATE(YEAR(SprintTable[[#This Row],[Start]]),MONTH(SprintTable[[#This Row],[Start]])+0,1)),2),LeaveTable[#Headers],0),0)</f>
        <v>11</v>
      </c>
      <c r="U9" s="41" t="n">
        <f aca="false">IFERROR(MATCH(MID("JanFebMarAprMayJunJulAugSepOctNovDec",MONTH(DATE(YEAR(SprintTable[[#This Row],[Start]]),MONTH(SprintTable[[#This Row],[Start]])+1,1))*3-2,3)&amp;"-"&amp;RIGHT(YEAR(DATE(YEAR(SprintTable[[#This Row],[Start]]),MONTH(SprintTable[[#This Row],[Start]])+1,1)),2),LeaveTable[#Headers],0),0)</f>
        <v>12</v>
      </c>
      <c r="V9" s="41" t="n">
        <f aca="false">IFERROR(MATCH(MID("JanFebMarAprMayJunJulAugSepOctNovDec",MONTH(DATE(YEAR(SprintTable[[#This Row],[Start]]),MONTH(SprintTable[[#This Row],[Start]])+2,1))*3-2,3)&amp;"-"&amp;RIGHT(YEAR(DATE(YEAR(SprintTable[[#This Row],[Start]]),MONTH(SprintTable[[#This Row],[Start]])+2,1)),2),LeaveTable[#Headers],0),0)</f>
        <v>13</v>
      </c>
    </row>
    <row r="10" customFormat="false" ht="15" hidden="false" customHeight="false" outlineLevel="0" collapsed="false">
      <c r="A10" s="28" t="n">
        <f aca="false">ROW()-ROW(SprintTable[[#Headers],[No]])</f>
        <v>5</v>
      </c>
      <c r="B10" s="24" t="str">
        <f aca="false">IF(SprintTable[[#This Row],[No]]&lt;=SprintCount,SprintPrefix&amp;SprintTable[[#This Row],[No]],"")</f>
        <v>Sprint 5</v>
      </c>
      <c r="C10" s="25" t="n">
        <f aca="false">Sprint1Start+(SprintTable[[#This Row],[No]]-1)*SprintLength</f>
        <v>46328</v>
      </c>
      <c r="D10" s="25" t="n">
        <f aca="false">SprintTable[[#This Row],[Start]]+SprintLength-1</f>
        <v>46341</v>
      </c>
      <c r="E10" s="28" t="n">
        <f aca="false">NETWORKDAYS.INTL(SprintTable[[#This Row],[Start]],SprintTable[[#This Row],[End]],WorkWeek,Holidays)</f>
        <v>10</v>
      </c>
      <c r="F10" s="30" t="s">
        <v>711</v>
      </c>
      <c r="G10" s="28" t="n">
        <f aca="false">IF(SprintTable[[#This Row],[Sprint]]="","",COUNTIF(tsk_Sprint,SprintTable[[#This Row],[Sprint]]))</f>
        <v>5</v>
      </c>
      <c r="H10"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127.428571428571</v>
      </c>
      <c r="I10"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476</v>
      </c>
      <c r="J10" s="97" t="n">
        <f aca="false">IF(OR(SprintTable[[#This Row],[Sprint]]="",N(SprintTable[[#This Row],[Capacity]])=0),"",SprintTable[[#This Row],[Planned Work]]/SprintTable[[#This Row],[Capacity]])</f>
        <v>0.267707082833133</v>
      </c>
      <c r="K10" s="28" t="str">
        <f aca="false">IF(SprintTable[[#This Row],[Sprint]]="","",IF(StatusDate&gt;SprintTable[[#This Row],[End]],"Closed",IF(StatusDate&gt;=SprintTable[[#This Row],[Start]],"Active","Future")))</f>
        <v>Future</v>
      </c>
      <c r="L10" s="85"/>
      <c r="M10" s="55" t="n">
        <f aca="false">IF(SprintTable[[#This Row],[Sprint]]="","",SUMIFS(tsk_LeafPoints,tsk_Sprint,SprintTable[[#This Row],[Sprint]]))</f>
        <v>19</v>
      </c>
      <c r="N10" s="55" t="str">
        <f aca="false">IF(OR(SprintTable[[#This Row],[Sprint]]="",SprintTable[[#This Row],[Status]]="Future"),"",SUMIFS(tsk_LeafPoints,tsk_DoneDate,"&gt;="&amp;SprintTable[[#This Row],[Start]],tsk_DoneDate,"&lt;="&amp;SprintTable[[#This Row],[End]]))</f>
        <v/>
      </c>
      <c r="O10" s="128" t="str">
        <f aca="false">IF(OR(SprintTable[[#This Row],[Sprint]]="",SprintTable[[#This Row],[Status]]&lt;&gt;"Closed"),"",AVERAGE(INDEX(SprintTable[Done Points],MAX(1,SprintTable[[#This Row],[No]]-2)):INDEX(SprintTable[Done Points],SprintTable[[#This Row],[No]])))</f>
        <v/>
      </c>
      <c r="P10" s="55" t="str">
        <f aca="false">IF(OR(SprintTable[[#This Row],[Sprint]]="",SprintTable[[#This Row],[Status]]="Future"),"",TotalPoints-SUMIFS(tsk_LeafPoints,tsk_DoneDate,"&lt;="&amp;MIN(SprintTable[[#This Row],[End]],StatusDate)))</f>
        <v/>
      </c>
      <c r="Q10" s="55" t="n">
        <f aca="false">IF(SprintTable[[#This Row],[Sprint]]="","",TotalPoints-SUMIFS(tsk_LeafPoints,tsk_FcFinish,"&lt;="&amp;SprintTable[[#This Row],[End]]))</f>
        <v>25</v>
      </c>
      <c r="R10" s="55" t="n">
        <f aca="false">IF(SprintTable[[#This Row],[Sprint]]="","",TotalPoints*MAX(0,1-SprintTable[[#This Row],[No]]/SprintCount))</f>
        <v>47.8333333333333</v>
      </c>
      <c r="S10" s="41" t="e">
        <f aca="false">IF(SprintTable[[#This Row],[Remaining Points]]="",NA(),SprintTable[[#This Row],[Remaining Points]])</f>
        <v>#N/A</v>
      </c>
      <c r="T10" s="41" t="n">
        <f aca="false">IFERROR(MATCH(MID("JanFebMarAprMayJunJulAugSepOctNovDec",MONTH(DATE(YEAR(SprintTable[[#This Row],[Start]]),MONTH(SprintTable[[#This Row],[Start]])+0,1))*3-2,3)&amp;"-"&amp;RIGHT(YEAR(DATE(YEAR(SprintTable[[#This Row],[Start]]),MONTH(SprintTable[[#This Row],[Start]])+0,1)),2),LeaveTable[#Headers],0),0)</f>
        <v>12</v>
      </c>
      <c r="U10" s="41" t="n">
        <f aca="false">IFERROR(MATCH(MID("JanFebMarAprMayJunJulAugSepOctNovDec",MONTH(DATE(YEAR(SprintTable[[#This Row],[Start]]),MONTH(SprintTable[[#This Row],[Start]])+1,1))*3-2,3)&amp;"-"&amp;RIGHT(YEAR(DATE(YEAR(SprintTable[[#This Row],[Start]]),MONTH(SprintTable[[#This Row],[Start]])+1,1)),2),LeaveTable[#Headers],0),0)</f>
        <v>13</v>
      </c>
      <c r="V10" s="41" t="n">
        <f aca="false">IFERROR(MATCH(MID("JanFebMarAprMayJunJulAugSepOctNovDec",MONTH(DATE(YEAR(SprintTable[[#This Row],[Start]]),MONTH(SprintTable[[#This Row],[Start]])+2,1))*3-2,3)&amp;"-"&amp;RIGHT(YEAR(DATE(YEAR(SprintTable[[#This Row],[Start]]),MONTH(SprintTable[[#This Row],[Start]])+2,1)),2),LeaveTable[#Headers],0),0)</f>
        <v>14</v>
      </c>
    </row>
    <row r="11" customFormat="false" ht="15" hidden="false" customHeight="false" outlineLevel="0" collapsed="false">
      <c r="A11" s="28" t="n">
        <f aca="false">ROW()-ROW(SprintTable[[#Headers],[No]])</f>
        <v>6</v>
      </c>
      <c r="B11" s="24" t="str">
        <f aca="false">IF(SprintTable[[#This Row],[No]]&lt;=SprintCount,SprintPrefix&amp;SprintTable[[#This Row],[No]],"")</f>
        <v>Sprint 6</v>
      </c>
      <c r="C11" s="25" t="n">
        <f aca="false">Sprint1Start+(SprintTable[[#This Row],[No]]-1)*SprintLength</f>
        <v>46342</v>
      </c>
      <c r="D11" s="25" t="n">
        <f aca="false">SprintTable[[#This Row],[Start]]+SprintLength-1</f>
        <v>46355</v>
      </c>
      <c r="E11" s="28" t="n">
        <f aca="false">NETWORKDAYS.INTL(SprintTable[[#This Row],[Start]],SprintTable[[#This Row],[End]],WorkWeek,Holidays)</f>
        <v>10</v>
      </c>
      <c r="F11" s="30" t="s">
        <v>712</v>
      </c>
      <c r="G11" s="28" t="n">
        <f aca="false">IF(SprintTable[[#This Row],[Sprint]]="","",COUNTIF(tsk_Sprint,SprintTable[[#This Row],[Sprint]]))</f>
        <v>1</v>
      </c>
      <c r="H11"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52</v>
      </c>
      <c r="I11"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404</v>
      </c>
      <c r="J11" s="97" t="n">
        <f aca="false">IF(OR(SprintTable[[#This Row],[Sprint]]="",N(SprintTable[[#This Row],[Capacity]])=0),"",SprintTable[[#This Row],[Planned Work]]/SprintTable[[#This Row],[Capacity]])</f>
        <v>0.128712871287129</v>
      </c>
      <c r="K11" s="28" t="str">
        <f aca="false">IF(SprintTable[[#This Row],[Sprint]]="","",IF(StatusDate&gt;SprintTable[[#This Row],[End]],"Closed",IF(StatusDate&gt;=SprintTable[[#This Row],[Start]],"Active","Future")))</f>
        <v>Future</v>
      </c>
      <c r="L11" s="85"/>
      <c r="M11" s="55" t="n">
        <f aca="false">IF(SprintTable[[#This Row],[Sprint]]="","",SUMIFS(tsk_LeafPoints,tsk_Sprint,SprintTable[[#This Row],[Sprint]]))</f>
        <v>1</v>
      </c>
      <c r="N11" s="55" t="str">
        <f aca="false">IF(OR(SprintTable[[#This Row],[Sprint]]="",SprintTable[[#This Row],[Status]]="Future"),"",SUMIFS(tsk_LeafPoints,tsk_DoneDate,"&gt;="&amp;SprintTable[[#This Row],[Start]],tsk_DoneDate,"&lt;="&amp;SprintTable[[#This Row],[End]]))</f>
        <v/>
      </c>
      <c r="O11" s="128" t="str">
        <f aca="false">IF(OR(SprintTable[[#This Row],[Sprint]]="",SprintTable[[#This Row],[Status]]&lt;&gt;"Closed"),"",AVERAGE(INDEX(SprintTable[Done Points],MAX(1,SprintTable[[#This Row],[No]]-2)):INDEX(SprintTable[Done Points],SprintTable[[#This Row],[No]])))</f>
        <v/>
      </c>
      <c r="P11" s="55" t="str">
        <f aca="false">IF(OR(SprintTable[[#This Row],[Sprint]]="",SprintTable[[#This Row],[Status]]="Future"),"",TotalPoints-SUMIFS(tsk_LeafPoints,tsk_DoneDate,"&lt;="&amp;MIN(SprintTable[[#This Row],[End]],StatusDate)))</f>
        <v/>
      </c>
      <c r="Q11" s="55" t="n">
        <f aca="false">IF(SprintTable[[#This Row],[Sprint]]="","",TotalPoints-SUMIFS(tsk_LeafPoints,tsk_FcFinish,"&lt;="&amp;SprintTable[[#This Row],[End]]))</f>
        <v>13</v>
      </c>
      <c r="R11" s="55" t="n">
        <f aca="false">IF(SprintTable[[#This Row],[Sprint]]="","",TotalPoints*MAX(0,1-SprintTable[[#This Row],[No]]/SprintCount))</f>
        <v>41</v>
      </c>
      <c r="S11" s="41" t="e">
        <f aca="false">IF(SprintTable[[#This Row],[Remaining Points]]="",NA(),SprintTable[[#This Row],[Remaining Points]])</f>
        <v>#N/A</v>
      </c>
      <c r="T11" s="41" t="n">
        <f aca="false">IFERROR(MATCH(MID("JanFebMarAprMayJunJulAugSepOctNovDec",MONTH(DATE(YEAR(SprintTable[[#This Row],[Start]]),MONTH(SprintTable[[#This Row],[Start]])+0,1))*3-2,3)&amp;"-"&amp;RIGHT(YEAR(DATE(YEAR(SprintTable[[#This Row],[Start]]),MONTH(SprintTable[[#This Row],[Start]])+0,1)),2),LeaveTable[#Headers],0),0)</f>
        <v>12</v>
      </c>
      <c r="U11" s="41" t="n">
        <f aca="false">IFERROR(MATCH(MID("JanFebMarAprMayJunJulAugSepOctNovDec",MONTH(DATE(YEAR(SprintTable[[#This Row],[Start]]),MONTH(SprintTable[[#This Row],[Start]])+1,1))*3-2,3)&amp;"-"&amp;RIGHT(YEAR(DATE(YEAR(SprintTable[[#This Row],[Start]]),MONTH(SprintTable[[#This Row],[Start]])+1,1)),2),LeaveTable[#Headers],0),0)</f>
        <v>13</v>
      </c>
      <c r="V11" s="41" t="n">
        <f aca="false">IFERROR(MATCH(MID("JanFebMarAprMayJunJulAugSepOctNovDec",MONTH(DATE(YEAR(SprintTable[[#This Row],[Start]]),MONTH(SprintTable[[#This Row],[Start]])+2,1))*3-2,3)&amp;"-"&amp;RIGHT(YEAR(DATE(YEAR(SprintTable[[#This Row],[Start]]),MONTH(SprintTable[[#This Row],[Start]])+2,1)),2),LeaveTable[#Headers],0),0)</f>
        <v>14</v>
      </c>
    </row>
    <row r="12" customFormat="false" ht="15" hidden="false" customHeight="false" outlineLevel="0" collapsed="false">
      <c r="A12" s="28" t="n">
        <f aca="false">ROW()-ROW(SprintTable[[#Headers],[No]])</f>
        <v>7</v>
      </c>
      <c r="B12" s="24" t="str">
        <f aca="false">IF(SprintTable[[#This Row],[No]]&lt;=SprintCount,SprintPrefix&amp;SprintTable[[#This Row],[No]],"")</f>
        <v>Sprint 7</v>
      </c>
      <c r="C12" s="25" t="n">
        <f aca="false">Sprint1Start+(SprintTable[[#This Row],[No]]-1)*SprintLength</f>
        <v>46356</v>
      </c>
      <c r="D12" s="25" t="n">
        <f aca="false">SprintTable[[#This Row],[Start]]+SprintLength-1</f>
        <v>46369</v>
      </c>
      <c r="E12" s="28" t="n">
        <f aca="false">NETWORKDAYS.INTL(SprintTable[[#This Row],[Start]],SprintTable[[#This Row],[End]],WorkWeek,Holidays)</f>
        <v>10</v>
      </c>
      <c r="F12" s="30" t="s">
        <v>713</v>
      </c>
      <c r="G12" s="28" t="n">
        <f aca="false">IF(SprintTable[[#This Row],[Sprint]]="","",COUNTIF(tsk_Sprint,SprintTable[[#This Row],[Sprint]]))</f>
        <v>1</v>
      </c>
      <c r="H12"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40</v>
      </c>
      <c r="I12"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2" s="97" t="n">
        <f aca="false">IF(OR(SprintTable[[#This Row],[Sprint]]="",N(SprintTable[[#This Row],[Capacity]])=0),"",SprintTable[[#This Row],[Planned Work]]/SprintTable[[#This Row],[Capacity]])</f>
        <v>0.0833333333333333</v>
      </c>
      <c r="K12" s="28" t="str">
        <f aca="false">IF(SprintTable[[#This Row],[Sprint]]="","",IF(StatusDate&gt;SprintTable[[#This Row],[End]],"Closed",IF(StatusDate&gt;=SprintTable[[#This Row],[Start]],"Active","Future")))</f>
        <v>Future</v>
      </c>
      <c r="L12" s="85"/>
      <c r="M12" s="55" t="n">
        <f aca="false">IF(SprintTable[[#This Row],[Sprint]]="","",SUMIFS(tsk_LeafPoints,tsk_Sprint,SprintTable[[#This Row],[Sprint]]))</f>
        <v>5</v>
      </c>
      <c r="N12" s="55" t="str">
        <f aca="false">IF(OR(SprintTable[[#This Row],[Sprint]]="",SprintTable[[#This Row],[Status]]="Future"),"",SUMIFS(tsk_LeafPoints,tsk_DoneDate,"&gt;="&amp;SprintTable[[#This Row],[Start]],tsk_DoneDate,"&lt;="&amp;SprintTable[[#This Row],[End]]))</f>
        <v/>
      </c>
      <c r="O12" s="128" t="str">
        <f aca="false">IF(OR(SprintTable[[#This Row],[Sprint]]="",SprintTable[[#This Row],[Status]]&lt;&gt;"Closed"),"",AVERAGE(INDEX(SprintTable[Done Points],MAX(1,SprintTable[[#This Row],[No]]-2)):INDEX(SprintTable[Done Points],SprintTable[[#This Row],[No]])))</f>
        <v/>
      </c>
      <c r="P12" s="55" t="str">
        <f aca="false">IF(OR(SprintTable[[#This Row],[Sprint]]="",SprintTable[[#This Row],[Status]]="Future"),"",TotalPoints-SUMIFS(tsk_LeafPoints,tsk_DoneDate,"&lt;="&amp;MIN(SprintTable[[#This Row],[End]],StatusDate)))</f>
        <v/>
      </c>
      <c r="Q12" s="55" t="n">
        <f aca="false">IF(SprintTable[[#This Row],[Sprint]]="","",TotalPoints-SUMIFS(tsk_LeafPoints,tsk_FcFinish,"&lt;="&amp;SprintTable[[#This Row],[End]]))</f>
        <v>13</v>
      </c>
      <c r="R12" s="55" t="n">
        <f aca="false">IF(SprintTable[[#This Row],[Sprint]]="","",TotalPoints*MAX(0,1-SprintTable[[#This Row],[No]]/SprintCount))</f>
        <v>34.1666666666667</v>
      </c>
      <c r="S12" s="41" t="e">
        <f aca="false">IF(SprintTable[[#This Row],[Remaining Points]]="",NA(),SprintTable[[#This Row],[Remaining Points]])</f>
        <v>#N/A</v>
      </c>
      <c r="T12" s="41" t="n">
        <f aca="false">IFERROR(MATCH(MID("JanFebMarAprMayJunJulAugSepOctNovDec",MONTH(DATE(YEAR(SprintTable[[#This Row],[Start]]),MONTH(SprintTable[[#This Row],[Start]])+0,1))*3-2,3)&amp;"-"&amp;RIGHT(YEAR(DATE(YEAR(SprintTable[[#This Row],[Start]]),MONTH(SprintTable[[#This Row],[Start]])+0,1)),2),LeaveTable[#Headers],0),0)</f>
        <v>12</v>
      </c>
      <c r="U12" s="41" t="n">
        <f aca="false">IFERROR(MATCH(MID("JanFebMarAprMayJunJulAugSepOctNovDec",MONTH(DATE(YEAR(SprintTable[[#This Row],[Start]]),MONTH(SprintTable[[#This Row],[Start]])+1,1))*3-2,3)&amp;"-"&amp;RIGHT(YEAR(DATE(YEAR(SprintTable[[#This Row],[Start]]),MONTH(SprintTable[[#This Row],[Start]])+1,1)),2),LeaveTable[#Headers],0),0)</f>
        <v>13</v>
      </c>
      <c r="V12" s="41" t="n">
        <f aca="false">IFERROR(MATCH(MID("JanFebMarAprMayJunJulAugSepOctNovDec",MONTH(DATE(YEAR(SprintTable[[#This Row],[Start]]),MONTH(SprintTable[[#This Row],[Start]])+2,1))*3-2,3)&amp;"-"&amp;RIGHT(YEAR(DATE(YEAR(SprintTable[[#This Row],[Start]]),MONTH(SprintTable[[#This Row],[Start]])+2,1)),2),LeaveTable[#Headers],0),0)</f>
        <v>14</v>
      </c>
    </row>
    <row r="13" customFormat="false" ht="15" hidden="false" customHeight="false" outlineLevel="0" collapsed="false">
      <c r="A13" s="28" t="n">
        <f aca="false">ROW()-ROW(SprintTable[[#Headers],[No]])</f>
        <v>8</v>
      </c>
      <c r="B13" s="24" t="str">
        <f aca="false">IF(SprintTable[[#This Row],[No]]&lt;=SprintCount,SprintPrefix&amp;SprintTable[[#This Row],[No]],"")</f>
        <v>Sprint 8</v>
      </c>
      <c r="C13" s="25" t="n">
        <f aca="false">Sprint1Start+(SprintTable[[#This Row],[No]]-1)*SprintLength</f>
        <v>46370</v>
      </c>
      <c r="D13" s="25" t="n">
        <f aca="false">SprintTable[[#This Row],[Start]]+SprintLength-1</f>
        <v>46383</v>
      </c>
      <c r="E13" s="28" t="n">
        <f aca="false">NETWORKDAYS.INTL(SprintTable[[#This Row],[Start]],SprintTable[[#This Row],[End]],WorkWeek,Holidays)</f>
        <v>8</v>
      </c>
      <c r="F13" s="30" t="s">
        <v>714</v>
      </c>
      <c r="G13" s="28" t="n">
        <f aca="false">IF(SprintTable[[#This Row],[Sprint]]="","",COUNTIF(tsk_Sprint,SprintTable[[#This Row],[Sprint]]))</f>
        <v>3</v>
      </c>
      <c r="H13"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40</v>
      </c>
      <c r="I13"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364</v>
      </c>
      <c r="J13" s="97" t="n">
        <f aca="false">IF(OR(SprintTable[[#This Row],[Sprint]]="",N(SprintTable[[#This Row],[Capacity]])=0),"",SprintTable[[#This Row],[Planned Work]]/SprintTable[[#This Row],[Capacity]])</f>
        <v>0.10989010989011</v>
      </c>
      <c r="K13" s="28" t="str">
        <f aca="false">IF(SprintTable[[#This Row],[Sprint]]="","",IF(StatusDate&gt;SprintTable[[#This Row],[End]],"Closed",IF(StatusDate&gt;=SprintTable[[#This Row],[Start]],"Active","Future")))</f>
        <v>Future</v>
      </c>
      <c r="L13" s="85"/>
      <c r="M13" s="55" t="n">
        <f aca="false">IF(SprintTable[[#This Row],[Sprint]]="","",SUMIFS(tsk_LeafPoints,tsk_Sprint,SprintTable[[#This Row],[Sprint]]))</f>
        <v>6</v>
      </c>
      <c r="N13" s="55" t="str">
        <f aca="false">IF(OR(SprintTable[[#This Row],[Sprint]]="",SprintTable[[#This Row],[Status]]="Future"),"",SUMIFS(tsk_LeafPoints,tsk_DoneDate,"&gt;="&amp;SprintTable[[#This Row],[Start]],tsk_DoneDate,"&lt;="&amp;SprintTable[[#This Row],[End]]))</f>
        <v/>
      </c>
      <c r="O13" s="128" t="str">
        <f aca="false">IF(OR(SprintTable[[#This Row],[Sprint]]="",SprintTable[[#This Row],[Status]]&lt;&gt;"Closed"),"",AVERAGE(INDEX(SprintTable[Done Points],MAX(1,SprintTable[[#This Row],[No]]-2)):INDEX(SprintTable[Done Points],SprintTable[[#This Row],[No]])))</f>
        <v/>
      </c>
      <c r="P13" s="55" t="str">
        <f aca="false">IF(OR(SprintTable[[#This Row],[Sprint]]="",SprintTable[[#This Row],[Status]]="Future"),"",TotalPoints-SUMIFS(tsk_LeafPoints,tsk_DoneDate,"&lt;="&amp;MIN(SprintTable[[#This Row],[End]],StatusDate)))</f>
        <v/>
      </c>
      <c r="Q13" s="55" t="n">
        <f aca="false">IF(SprintTable[[#This Row],[Sprint]]="","",TotalPoints-SUMIFS(tsk_LeafPoints,tsk_FcFinish,"&lt;="&amp;SprintTable[[#This Row],[End]]))</f>
        <v>7</v>
      </c>
      <c r="R13" s="55" t="n">
        <f aca="false">IF(SprintTable[[#This Row],[Sprint]]="","",TotalPoints*MAX(0,1-SprintTable[[#This Row],[No]]/SprintCount))</f>
        <v>27.3333333333333</v>
      </c>
      <c r="S13" s="41" t="e">
        <f aca="false">IF(SprintTable[[#This Row],[Remaining Points]]="",NA(),SprintTable[[#This Row],[Remaining Points]])</f>
        <v>#N/A</v>
      </c>
      <c r="T13" s="41" t="n">
        <f aca="false">IFERROR(MATCH(MID("JanFebMarAprMayJunJulAugSepOctNovDec",MONTH(DATE(YEAR(SprintTable[[#This Row],[Start]]),MONTH(SprintTable[[#This Row],[Start]])+0,1))*3-2,3)&amp;"-"&amp;RIGHT(YEAR(DATE(YEAR(SprintTable[[#This Row],[Start]]),MONTH(SprintTable[[#This Row],[Start]])+0,1)),2),LeaveTable[#Headers],0),0)</f>
        <v>13</v>
      </c>
      <c r="U13" s="41" t="n">
        <f aca="false">IFERROR(MATCH(MID("JanFebMarAprMayJunJulAugSepOctNovDec",MONTH(DATE(YEAR(SprintTable[[#This Row],[Start]]),MONTH(SprintTable[[#This Row],[Start]])+1,1))*3-2,3)&amp;"-"&amp;RIGHT(YEAR(DATE(YEAR(SprintTable[[#This Row],[Start]]),MONTH(SprintTable[[#This Row],[Start]])+1,1)),2),LeaveTable[#Headers],0),0)</f>
        <v>14</v>
      </c>
      <c r="V13" s="41" t="n">
        <f aca="false">IFERROR(MATCH(MID("JanFebMarAprMayJunJulAugSepOctNovDec",MONTH(DATE(YEAR(SprintTable[[#This Row],[Start]]),MONTH(SprintTable[[#This Row],[Start]])+2,1))*3-2,3)&amp;"-"&amp;RIGHT(YEAR(DATE(YEAR(SprintTable[[#This Row],[Start]]),MONTH(SprintTable[[#This Row],[Start]])+2,1)),2),LeaveTable[#Headers],0),0)</f>
        <v>15</v>
      </c>
    </row>
    <row r="14" customFormat="false" ht="15" hidden="false" customHeight="false" outlineLevel="0" collapsed="false">
      <c r="A14" s="28" t="n">
        <f aca="false">ROW()-ROW(SprintTable[[#Headers],[No]])</f>
        <v>9</v>
      </c>
      <c r="B14" s="24" t="str">
        <f aca="false">IF(SprintTable[[#This Row],[No]]&lt;=SprintCount,SprintPrefix&amp;SprintTable[[#This Row],[No]],"")</f>
        <v>Sprint 9</v>
      </c>
      <c r="C14" s="25" t="n">
        <f aca="false">Sprint1Start+(SprintTable[[#This Row],[No]]-1)*SprintLength</f>
        <v>46384</v>
      </c>
      <c r="D14" s="25" t="n">
        <f aca="false">SprintTable[[#This Row],[Start]]+SprintLength-1</f>
        <v>46397</v>
      </c>
      <c r="E14" s="28" t="n">
        <f aca="false">NETWORKDAYS.INTL(SprintTable[[#This Row],[Start]],SprintTable[[#This Row],[End]],WorkWeek,Holidays)</f>
        <v>8</v>
      </c>
      <c r="F14" s="30" t="s">
        <v>715</v>
      </c>
      <c r="G14" s="28" t="n">
        <f aca="false">IF(SprintTable[[#This Row],[Sprint]]="","",COUNTIF(tsk_Sprint,SprintTable[[#This Row],[Sprint]]))</f>
        <v>2</v>
      </c>
      <c r="H14"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32</v>
      </c>
      <c r="I14"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360</v>
      </c>
      <c r="J14" s="97" t="n">
        <f aca="false">IF(OR(SprintTable[[#This Row],[Sprint]]="",N(SprintTable[[#This Row],[Capacity]])=0),"",SprintTable[[#This Row],[Planned Work]]/SprintTable[[#This Row],[Capacity]])</f>
        <v>0.0888888888888889</v>
      </c>
      <c r="K14" s="28" t="str">
        <f aca="false">IF(SprintTable[[#This Row],[Sprint]]="","",IF(StatusDate&gt;SprintTable[[#This Row],[End]],"Closed",IF(StatusDate&gt;=SprintTable[[#This Row],[Start]],"Active","Future")))</f>
        <v>Future</v>
      </c>
      <c r="L14" s="85"/>
      <c r="M14" s="55" t="n">
        <f aca="false">IF(SprintTable[[#This Row],[Sprint]]="","",SUMIFS(tsk_LeafPoints,tsk_Sprint,SprintTable[[#This Row],[Sprint]]))</f>
        <v>2</v>
      </c>
      <c r="N14" s="55" t="str">
        <f aca="false">IF(OR(SprintTable[[#This Row],[Sprint]]="",SprintTable[[#This Row],[Status]]="Future"),"",SUMIFS(tsk_LeafPoints,tsk_DoneDate,"&gt;="&amp;SprintTable[[#This Row],[Start]],tsk_DoneDate,"&lt;="&amp;SprintTable[[#This Row],[End]]))</f>
        <v/>
      </c>
      <c r="O14" s="128" t="str">
        <f aca="false">IF(OR(SprintTable[[#This Row],[Sprint]]="",SprintTable[[#This Row],[Status]]&lt;&gt;"Closed"),"",AVERAGE(INDEX(SprintTable[Done Points],MAX(1,SprintTable[[#This Row],[No]]-2)):INDEX(SprintTable[Done Points],SprintTable[[#This Row],[No]])))</f>
        <v/>
      </c>
      <c r="P14" s="55" t="str">
        <f aca="false">IF(OR(SprintTable[[#This Row],[Sprint]]="",SprintTable[[#This Row],[Status]]="Future"),"",TotalPoints-SUMIFS(tsk_LeafPoints,tsk_DoneDate,"&lt;="&amp;MIN(SprintTable[[#This Row],[End]],StatusDate)))</f>
        <v/>
      </c>
      <c r="Q14" s="55" t="n">
        <f aca="false">IF(SprintTable[[#This Row],[Sprint]]="","",TotalPoints-SUMIFS(tsk_LeafPoints,tsk_FcFinish,"&lt;="&amp;SprintTable[[#This Row],[End]]))</f>
        <v>0</v>
      </c>
      <c r="R14" s="55" t="n">
        <f aca="false">IF(SprintTable[[#This Row],[Sprint]]="","",TotalPoints*MAX(0,1-SprintTable[[#This Row],[No]]/SprintCount))</f>
        <v>20.5</v>
      </c>
      <c r="S14" s="41" t="e">
        <f aca="false">IF(SprintTable[[#This Row],[Remaining Points]]="",NA(),SprintTable[[#This Row],[Remaining Points]])</f>
        <v>#N/A</v>
      </c>
      <c r="T14" s="41" t="n">
        <f aca="false">IFERROR(MATCH(MID("JanFebMarAprMayJunJulAugSepOctNovDec",MONTH(DATE(YEAR(SprintTable[[#This Row],[Start]]),MONTH(SprintTable[[#This Row],[Start]])+0,1))*3-2,3)&amp;"-"&amp;RIGHT(YEAR(DATE(YEAR(SprintTable[[#This Row],[Start]]),MONTH(SprintTable[[#This Row],[Start]])+0,1)),2),LeaveTable[#Headers],0),0)</f>
        <v>13</v>
      </c>
      <c r="U14" s="41" t="n">
        <f aca="false">IFERROR(MATCH(MID("JanFebMarAprMayJunJulAugSepOctNovDec",MONTH(DATE(YEAR(SprintTable[[#This Row],[Start]]),MONTH(SprintTable[[#This Row],[Start]])+1,1))*3-2,3)&amp;"-"&amp;RIGHT(YEAR(DATE(YEAR(SprintTable[[#This Row],[Start]]),MONTH(SprintTable[[#This Row],[Start]])+1,1)),2),LeaveTable[#Headers],0),0)</f>
        <v>14</v>
      </c>
      <c r="V14" s="41" t="n">
        <f aca="false">IFERROR(MATCH(MID("JanFebMarAprMayJunJulAugSepOctNovDec",MONTH(DATE(YEAR(SprintTable[[#This Row],[Start]]),MONTH(SprintTable[[#This Row],[Start]])+2,1))*3-2,3)&amp;"-"&amp;RIGHT(YEAR(DATE(YEAR(SprintTable[[#This Row],[Start]]),MONTH(SprintTable[[#This Row],[Start]])+2,1)),2),LeaveTable[#Headers],0),0)</f>
        <v>15</v>
      </c>
    </row>
    <row r="15" customFormat="false" ht="15" hidden="false" customHeight="false" outlineLevel="0" collapsed="false">
      <c r="A15" s="28" t="n">
        <f aca="false">ROW()-ROW(SprintTable[[#Headers],[No]])</f>
        <v>10</v>
      </c>
      <c r="B15" s="24" t="str">
        <f aca="false">IF(SprintTable[[#This Row],[No]]&lt;=SprintCount,SprintPrefix&amp;SprintTable[[#This Row],[No]],"")</f>
        <v>Sprint 10</v>
      </c>
      <c r="C15" s="25" t="n">
        <f aca="false">Sprint1Start+(SprintTable[[#This Row],[No]]-1)*SprintLength</f>
        <v>46398</v>
      </c>
      <c r="D15" s="25" t="n">
        <f aca="false">SprintTable[[#This Row],[Start]]+SprintLength-1</f>
        <v>46411</v>
      </c>
      <c r="E15" s="28" t="n">
        <f aca="false">NETWORKDAYS.INTL(SprintTable[[#This Row],[Start]],SprintTable[[#This Row],[End]],WorkWeek,Holidays)</f>
        <v>10</v>
      </c>
      <c r="F15" s="30" t="s">
        <v>716</v>
      </c>
      <c r="G15" s="28" t="n">
        <f aca="false">IF(SprintTable[[#This Row],[Sprint]]="","",COUNTIF(tsk_Sprint,SprintTable[[#This Row],[Sprint]]))</f>
        <v>0</v>
      </c>
      <c r="H15"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5"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5" s="97" t="n">
        <f aca="false">IF(OR(SprintTable[[#This Row],[Sprint]]="",N(SprintTable[[#This Row],[Capacity]])=0),"",SprintTable[[#This Row],[Planned Work]]/SprintTable[[#This Row],[Capacity]])</f>
        <v>0</v>
      </c>
      <c r="K15" s="28" t="str">
        <f aca="false">IF(SprintTable[[#This Row],[Sprint]]="","",IF(StatusDate&gt;SprintTable[[#This Row],[End]],"Closed",IF(StatusDate&gt;=SprintTable[[#This Row],[Start]],"Active","Future")))</f>
        <v>Future</v>
      </c>
      <c r="L15" s="85"/>
      <c r="M15" s="55" t="n">
        <f aca="false">IF(SprintTable[[#This Row],[Sprint]]="","",SUMIFS(tsk_LeafPoints,tsk_Sprint,SprintTable[[#This Row],[Sprint]]))</f>
        <v>0</v>
      </c>
      <c r="N15" s="55" t="str">
        <f aca="false">IF(OR(SprintTable[[#This Row],[Sprint]]="",SprintTable[[#This Row],[Status]]="Future"),"",SUMIFS(tsk_LeafPoints,tsk_DoneDate,"&gt;="&amp;SprintTable[[#This Row],[Start]],tsk_DoneDate,"&lt;="&amp;SprintTable[[#This Row],[End]]))</f>
        <v/>
      </c>
      <c r="O15" s="128" t="str">
        <f aca="false">IF(OR(SprintTable[[#This Row],[Sprint]]="",SprintTable[[#This Row],[Status]]&lt;&gt;"Closed"),"",AVERAGE(INDEX(SprintTable[Done Points],MAX(1,SprintTable[[#This Row],[No]]-2)):INDEX(SprintTable[Done Points],SprintTable[[#This Row],[No]])))</f>
        <v/>
      </c>
      <c r="P15" s="55" t="str">
        <f aca="false">IF(OR(SprintTable[[#This Row],[Sprint]]="",SprintTable[[#This Row],[Status]]="Future"),"",TotalPoints-SUMIFS(tsk_LeafPoints,tsk_DoneDate,"&lt;="&amp;MIN(SprintTable[[#This Row],[End]],StatusDate)))</f>
        <v/>
      </c>
      <c r="Q15" s="55" t="n">
        <f aca="false">IF(SprintTable[[#This Row],[Sprint]]="","",TotalPoints-SUMIFS(tsk_LeafPoints,tsk_FcFinish,"&lt;="&amp;SprintTable[[#This Row],[End]]))</f>
        <v>0</v>
      </c>
      <c r="R15" s="55" t="n">
        <f aca="false">IF(SprintTable[[#This Row],[Sprint]]="","",TotalPoints*MAX(0,1-SprintTable[[#This Row],[No]]/SprintCount))</f>
        <v>13.6666666666667</v>
      </c>
      <c r="S15" s="41" t="e">
        <f aca="false">IF(SprintTable[[#This Row],[Remaining Points]]="",NA(),SprintTable[[#This Row],[Remaining Points]])</f>
        <v>#N/A</v>
      </c>
      <c r="T15" s="41" t="n">
        <f aca="false">IFERROR(MATCH(MID("JanFebMarAprMayJunJulAugSepOctNovDec",MONTH(DATE(YEAR(SprintTable[[#This Row],[Start]]),MONTH(SprintTable[[#This Row],[Start]])+0,1))*3-2,3)&amp;"-"&amp;RIGHT(YEAR(DATE(YEAR(SprintTable[[#This Row],[Start]]),MONTH(SprintTable[[#This Row],[Start]])+0,1)),2),LeaveTable[#Headers],0),0)</f>
        <v>14</v>
      </c>
      <c r="U15" s="41" t="n">
        <f aca="false">IFERROR(MATCH(MID("JanFebMarAprMayJunJulAugSepOctNovDec",MONTH(DATE(YEAR(SprintTable[[#This Row],[Start]]),MONTH(SprintTable[[#This Row],[Start]])+1,1))*3-2,3)&amp;"-"&amp;RIGHT(YEAR(DATE(YEAR(SprintTable[[#This Row],[Start]]),MONTH(SprintTable[[#This Row],[Start]])+1,1)),2),LeaveTable[#Headers],0),0)</f>
        <v>15</v>
      </c>
      <c r="V15" s="41" t="n">
        <f aca="false">IFERROR(MATCH(MID("JanFebMarAprMayJunJulAugSepOctNovDec",MONTH(DATE(YEAR(SprintTable[[#This Row],[Start]]),MONTH(SprintTable[[#This Row],[Start]])+2,1))*3-2,3)&amp;"-"&amp;RIGHT(YEAR(DATE(YEAR(SprintTable[[#This Row],[Start]]),MONTH(SprintTable[[#This Row],[Start]])+2,1)),2),LeaveTable[#Headers],0),0)</f>
        <v>16</v>
      </c>
    </row>
    <row r="16" customFormat="false" ht="15" hidden="false" customHeight="false" outlineLevel="0" collapsed="false">
      <c r="A16" s="28" t="n">
        <f aca="false">ROW()-ROW(SprintTable[[#Headers],[No]])</f>
        <v>11</v>
      </c>
      <c r="B16" s="24" t="str">
        <f aca="false">IF(SprintTable[[#This Row],[No]]&lt;=SprintCount,SprintPrefix&amp;SprintTable[[#This Row],[No]],"")</f>
        <v>Sprint 11</v>
      </c>
      <c r="C16" s="25" t="n">
        <f aca="false">Sprint1Start+(SprintTable[[#This Row],[No]]-1)*SprintLength</f>
        <v>46412</v>
      </c>
      <c r="D16" s="25" t="n">
        <f aca="false">SprintTable[[#This Row],[Start]]+SprintLength-1</f>
        <v>46425</v>
      </c>
      <c r="E16" s="28" t="n">
        <f aca="false">NETWORKDAYS.INTL(SprintTable[[#This Row],[Start]],SprintTable[[#This Row],[End]],WorkWeek,Holidays)</f>
        <v>10</v>
      </c>
      <c r="F16" s="30" t="s">
        <v>717</v>
      </c>
      <c r="G16" s="28" t="n">
        <f aca="false">IF(SprintTable[[#This Row],[Sprint]]="","",COUNTIF(tsk_Sprint,SprintTable[[#This Row],[Sprint]]))</f>
        <v>0</v>
      </c>
      <c r="H16"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6"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6" s="97" t="n">
        <f aca="false">IF(OR(SprintTable[[#This Row],[Sprint]]="",N(SprintTable[[#This Row],[Capacity]])=0),"",SprintTable[[#This Row],[Planned Work]]/SprintTable[[#This Row],[Capacity]])</f>
        <v>0</v>
      </c>
      <c r="K16" s="28" t="str">
        <f aca="false">IF(SprintTable[[#This Row],[Sprint]]="","",IF(StatusDate&gt;SprintTable[[#This Row],[End]],"Closed",IF(StatusDate&gt;=SprintTable[[#This Row],[Start]],"Active","Future")))</f>
        <v>Future</v>
      </c>
      <c r="L16" s="85"/>
      <c r="M16" s="55" t="n">
        <f aca="false">IF(SprintTable[[#This Row],[Sprint]]="","",SUMIFS(tsk_LeafPoints,tsk_Sprint,SprintTable[[#This Row],[Sprint]]))</f>
        <v>0</v>
      </c>
      <c r="N16" s="55" t="str">
        <f aca="false">IF(OR(SprintTable[[#This Row],[Sprint]]="",SprintTable[[#This Row],[Status]]="Future"),"",SUMIFS(tsk_LeafPoints,tsk_DoneDate,"&gt;="&amp;SprintTable[[#This Row],[Start]],tsk_DoneDate,"&lt;="&amp;SprintTable[[#This Row],[End]]))</f>
        <v/>
      </c>
      <c r="O16" s="128" t="str">
        <f aca="false">IF(OR(SprintTable[[#This Row],[Sprint]]="",SprintTable[[#This Row],[Status]]&lt;&gt;"Closed"),"",AVERAGE(INDEX(SprintTable[Done Points],MAX(1,SprintTable[[#This Row],[No]]-2)):INDEX(SprintTable[Done Points],SprintTable[[#This Row],[No]])))</f>
        <v/>
      </c>
      <c r="P16" s="55" t="str">
        <f aca="false">IF(OR(SprintTable[[#This Row],[Sprint]]="",SprintTable[[#This Row],[Status]]="Future"),"",TotalPoints-SUMIFS(tsk_LeafPoints,tsk_DoneDate,"&lt;="&amp;MIN(SprintTable[[#This Row],[End]],StatusDate)))</f>
        <v/>
      </c>
      <c r="Q16" s="55" t="n">
        <f aca="false">IF(SprintTable[[#This Row],[Sprint]]="","",TotalPoints-SUMIFS(tsk_LeafPoints,tsk_FcFinish,"&lt;="&amp;SprintTable[[#This Row],[End]]))</f>
        <v>0</v>
      </c>
      <c r="R16" s="55" t="n">
        <f aca="false">IF(SprintTable[[#This Row],[Sprint]]="","",TotalPoints*MAX(0,1-SprintTable[[#This Row],[No]]/SprintCount))</f>
        <v>6.83333333333334</v>
      </c>
      <c r="S16" s="41" t="e">
        <f aca="false">IF(SprintTable[[#This Row],[Remaining Points]]="",NA(),SprintTable[[#This Row],[Remaining Points]])</f>
        <v>#N/A</v>
      </c>
      <c r="T16" s="41" t="n">
        <f aca="false">IFERROR(MATCH(MID("JanFebMarAprMayJunJulAugSepOctNovDec",MONTH(DATE(YEAR(SprintTable[[#This Row],[Start]]),MONTH(SprintTable[[#This Row],[Start]])+0,1))*3-2,3)&amp;"-"&amp;RIGHT(YEAR(DATE(YEAR(SprintTable[[#This Row],[Start]]),MONTH(SprintTable[[#This Row],[Start]])+0,1)),2),LeaveTable[#Headers],0),0)</f>
        <v>14</v>
      </c>
      <c r="U16" s="41" t="n">
        <f aca="false">IFERROR(MATCH(MID("JanFebMarAprMayJunJulAugSepOctNovDec",MONTH(DATE(YEAR(SprintTable[[#This Row],[Start]]),MONTH(SprintTable[[#This Row],[Start]])+1,1))*3-2,3)&amp;"-"&amp;RIGHT(YEAR(DATE(YEAR(SprintTable[[#This Row],[Start]]),MONTH(SprintTable[[#This Row],[Start]])+1,1)),2),LeaveTable[#Headers],0),0)</f>
        <v>15</v>
      </c>
      <c r="V16" s="41" t="n">
        <f aca="false">IFERROR(MATCH(MID("JanFebMarAprMayJunJulAugSepOctNovDec",MONTH(DATE(YEAR(SprintTable[[#This Row],[Start]]),MONTH(SprintTable[[#This Row],[Start]])+2,1))*3-2,3)&amp;"-"&amp;RIGHT(YEAR(DATE(YEAR(SprintTable[[#This Row],[Start]]),MONTH(SprintTable[[#This Row],[Start]])+2,1)),2),LeaveTable[#Headers],0),0)</f>
        <v>16</v>
      </c>
    </row>
    <row r="17" customFormat="false" ht="15" hidden="false" customHeight="false" outlineLevel="0" collapsed="false">
      <c r="A17" s="28" t="n">
        <f aca="false">ROW()-ROW(SprintTable[[#Headers],[No]])</f>
        <v>12</v>
      </c>
      <c r="B17" s="24" t="str">
        <f aca="false">IF(SprintTable[[#This Row],[No]]&lt;=SprintCount,SprintPrefix&amp;SprintTable[[#This Row],[No]],"")</f>
        <v>Sprint 12</v>
      </c>
      <c r="C17" s="25" t="n">
        <f aca="false">Sprint1Start+(SprintTable[[#This Row],[No]]-1)*SprintLength</f>
        <v>46426</v>
      </c>
      <c r="D17" s="25" t="n">
        <f aca="false">SprintTable[[#This Row],[Start]]+SprintLength-1</f>
        <v>46439</v>
      </c>
      <c r="E17" s="28" t="n">
        <f aca="false">NETWORKDAYS.INTL(SprintTable[[#This Row],[Start]],SprintTable[[#This Row],[End]],WorkWeek,Holidays)</f>
        <v>10</v>
      </c>
      <c r="F17" s="30" t="s">
        <v>718</v>
      </c>
      <c r="G17" s="28" t="n">
        <f aca="false">IF(SprintTable[[#This Row],[Sprint]]="","",COUNTIF(tsk_Sprint,SprintTable[[#This Row],[Sprint]]))</f>
        <v>0</v>
      </c>
      <c r="H17" s="98"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7" s="98"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7" s="97" t="n">
        <f aca="false">IF(OR(SprintTable[[#This Row],[Sprint]]="",N(SprintTable[[#This Row],[Capacity]])=0),"",SprintTable[[#This Row],[Planned Work]]/SprintTable[[#This Row],[Capacity]])</f>
        <v>0</v>
      </c>
      <c r="K17" s="28" t="str">
        <f aca="false">IF(SprintTable[[#This Row],[Sprint]]="","",IF(StatusDate&gt;SprintTable[[#This Row],[End]],"Closed",IF(StatusDate&gt;=SprintTable[[#This Row],[Start]],"Active","Future")))</f>
        <v>Future</v>
      </c>
      <c r="L17" s="85"/>
      <c r="M17" s="55" t="n">
        <f aca="false">IF(SprintTable[[#This Row],[Sprint]]="","",SUMIFS(tsk_LeafPoints,tsk_Sprint,SprintTable[[#This Row],[Sprint]]))</f>
        <v>0</v>
      </c>
      <c r="N17" s="55" t="str">
        <f aca="false">IF(OR(SprintTable[[#This Row],[Sprint]]="",SprintTable[[#This Row],[Status]]="Future"),"",SUMIFS(tsk_LeafPoints,tsk_DoneDate,"&gt;="&amp;SprintTable[[#This Row],[Start]],tsk_DoneDate,"&lt;="&amp;SprintTable[[#This Row],[End]]))</f>
        <v/>
      </c>
      <c r="O17" s="128" t="str">
        <f aca="false">IF(OR(SprintTable[[#This Row],[Sprint]]="",SprintTable[[#This Row],[Status]]&lt;&gt;"Closed"),"",AVERAGE(INDEX(SprintTable[Done Points],MAX(1,SprintTable[[#This Row],[No]]-2)):INDEX(SprintTable[Done Points],SprintTable[[#This Row],[No]])))</f>
        <v/>
      </c>
      <c r="P17" s="55" t="str">
        <f aca="false">IF(OR(SprintTable[[#This Row],[Sprint]]="",SprintTable[[#This Row],[Status]]="Future"),"",TotalPoints-SUMIFS(tsk_LeafPoints,tsk_DoneDate,"&lt;="&amp;MIN(SprintTable[[#This Row],[End]],StatusDate)))</f>
        <v/>
      </c>
      <c r="Q17" s="55" t="n">
        <f aca="false">IF(SprintTable[[#This Row],[Sprint]]="","",TotalPoints-SUMIFS(tsk_LeafPoints,tsk_FcFinish,"&lt;="&amp;SprintTable[[#This Row],[End]]))</f>
        <v>0</v>
      </c>
      <c r="R17" s="55" t="n">
        <f aca="false">IF(SprintTable[[#This Row],[Sprint]]="","",TotalPoints*MAX(0,1-SprintTable[[#This Row],[No]]/SprintCount))</f>
        <v>0</v>
      </c>
      <c r="S17" s="41" t="e">
        <f aca="false">IF(SprintTable[[#This Row],[Remaining Points]]="",NA(),SprintTable[[#This Row],[Remaining Points]])</f>
        <v>#N/A</v>
      </c>
      <c r="T17" s="41" t="n">
        <f aca="false">IFERROR(MATCH(MID("JanFebMarAprMayJunJulAugSepOctNovDec",MONTH(DATE(YEAR(SprintTable[[#This Row],[Start]]),MONTH(SprintTable[[#This Row],[Start]])+0,1))*3-2,3)&amp;"-"&amp;RIGHT(YEAR(DATE(YEAR(SprintTable[[#This Row],[Start]]),MONTH(SprintTable[[#This Row],[Start]])+0,1)),2),LeaveTable[#Headers],0),0)</f>
        <v>15</v>
      </c>
      <c r="U17" s="41" t="n">
        <f aca="false">IFERROR(MATCH(MID("JanFebMarAprMayJunJulAugSepOctNovDec",MONTH(DATE(YEAR(SprintTable[[#This Row],[Start]]),MONTH(SprintTable[[#This Row],[Start]])+1,1))*3-2,3)&amp;"-"&amp;RIGHT(YEAR(DATE(YEAR(SprintTable[[#This Row],[Start]]),MONTH(SprintTable[[#This Row],[Start]])+1,1)),2),LeaveTable[#Headers],0),0)</f>
        <v>16</v>
      </c>
      <c r="V17" s="41" t="n">
        <f aca="false">IFERROR(MATCH(MID("JanFebMarAprMayJunJulAugSepOctNovDec",MONTH(DATE(YEAR(SprintTable[[#This Row],[Start]]),MONTH(SprintTable[[#This Row],[Start]])+2,1))*3-2,3)&amp;"-"&amp;RIGHT(YEAR(DATE(YEAR(SprintTable[[#This Row],[Start]]),MONTH(SprintTable[[#This Row],[Start]])+2,1)),2),LeaveTable[#Headers],0),0)</f>
        <v>17</v>
      </c>
    </row>
    <row r="18" customFormat="false" ht="15" hidden="false" customHeight="false" outlineLevel="0" collapsed="false">
      <c r="A18" s="28" t="n">
        <f aca="false">ROW()-ROW(SprintTable[[#Headers],[No]])</f>
        <v>13</v>
      </c>
      <c r="B18" s="24" t="str">
        <f aca="false">IF(SprintTable[[#This Row],[No]]&lt;=SprintCount,SprintPrefix&amp;SprintTable[[#This Row],[No]],"")</f>
        <v/>
      </c>
      <c r="C18" s="25" t="n">
        <f aca="false">Sprint1Start+(SprintTable[[#This Row],[No]]-1)*SprintLength</f>
        <v>46440</v>
      </c>
      <c r="D18" s="25" t="n">
        <f aca="false">SprintTable[[#This Row],[Start]]+SprintLength-1</f>
        <v>46453</v>
      </c>
      <c r="E18" s="28" t="n">
        <f aca="false">NETWORKDAYS.INTL(SprintTable[[#This Row],[Start]],SprintTable[[#This Row],[End]],WorkWeek,Holidays)</f>
        <v>10</v>
      </c>
      <c r="F18" s="30"/>
      <c r="G18" s="28" t="str">
        <f aca="false">IF(SprintTable[[#This Row],[Sprint]]="","",COUNTIF(tsk_Sprint,SprintTable[[#This Row],[Sprint]]))</f>
        <v/>
      </c>
      <c r="H18"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8"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8" s="97" t="str">
        <f aca="false">IF(OR(SprintTable[[#This Row],[Sprint]]="",N(SprintTable[[#This Row],[Capacity]])=0),"",SprintTable[[#This Row],[Planned Work]]/SprintTable[[#This Row],[Capacity]])</f>
        <v/>
      </c>
      <c r="K18" s="28" t="str">
        <f aca="false">IF(SprintTable[[#This Row],[Sprint]]="","",IF(StatusDate&gt;SprintTable[[#This Row],[End]],"Closed",IF(StatusDate&gt;=SprintTable[[#This Row],[Start]],"Active","Future")))</f>
        <v/>
      </c>
      <c r="L18" s="85"/>
      <c r="M18" s="55" t="str">
        <f aca="false">IF(SprintTable[[#This Row],[Sprint]]="","",SUMIFS(tsk_LeafPoints,tsk_Sprint,SprintTable[[#This Row],[Sprint]]))</f>
        <v/>
      </c>
      <c r="N18" s="55" t="str">
        <f aca="false">IF(OR(SprintTable[[#This Row],[Sprint]]="",SprintTable[[#This Row],[Status]]="Future"),"",SUMIFS(tsk_LeafPoints,tsk_DoneDate,"&gt;="&amp;SprintTable[[#This Row],[Start]],tsk_DoneDate,"&lt;="&amp;SprintTable[[#This Row],[End]]))</f>
        <v/>
      </c>
      <c r="O18" s="128" t="str">
        <f aca="false">IF(OR(SprintTable[[#This Row],[Sprint]]="",SprintTable[[#This Row],[Status]]&lt;&gt;"Closed"),"",AVERAGE(INDEX(SprintTable[Done Points],MAX(1,SprintTable[[#This Row],[No]]-2)):INDEX(SprintTable[Done Points],SprintTable[[#This Row],[No]])))</f>
        <v/>
      </c>
      <c r="P18" s="55" t="str">
        <f aca="false">IF(OR(SprintTable[[#This Row],[Sprint]]="",SprintTable[[#This Row],[Status]]="Future"),"",TotalPoints-SUMIFS(tsk_LeafPoints,tsk_DoneDate,"&lt;="&amp;MIN(SprintTable[[#This Row],[End]],StatusDate)))</f>
        <v/>
      </c>
      <c r="Q18" s="55" t="str">
        <f aca="false">IF(SprintTable[[#This Row],[Sprint]]="","",TotalPoints-SUMIFS(tsk_LeafPoints,tsk_FcFinish,"&lt;="&amp;SprintTable[[#This Row],[End]]))</f>
        <v/>
      </c>
      <c r="R18" s="55" t="str">
        <f aca="false">IF(SprintTable[[#This Row],[Sprint]]="","",TotalPoints*MAX(0,1-SprintTable[[#This Row],[No]]/SprintCount))</f>
        <v/>
      </c>
      <c r="S18" s="41" t="e">
        <f aca="false">IF(SprintTable[[#This Row],[Remaining Points]]="",NA(),SprintTable[[#This Row],[Remaining Points]])</f>
        <v>#N/A</v>
      </c>
      <c r="T18" s="41" t="n">
        <f aca="false">IFERROR(MATCH(MID("JanFebMarAprMayJunJulAugSepOctNovDec",MONTH(DATE(YEAR(SprintTable[[#This Row],[Start]]),MONTH(SprintTable[[#This Row],[Start]])+0,1))*3-2,3)&amp;"-"&amp;RIGHT(YEAR(DATE(YEAR(SprintTable[[#This Row],[Start]]),MONTH(SprintTable[[#This Row],[Start]])+0,1)),2),LeaveTable[#Headers],0),0)</f>
        <v>15</v>
      </c>
      <c r="U18" s="41" t="n">
        <f aca="false">IFERROR(MATCH(MID("JanFebMarAprMayJunJulAugSepOctNovDec",MONTH(DATE(YEAR(SprintTable[[#This Row],[Start]]),MONTH(SprintTable[[#This Row],[Start]])+1,1))*3-2,3)&amp;"-"&amp;RIGHT(YEAR(DATE(YEAR(SprintTable[[#This Row],[Start]]),MONTH(SprintTable[[#This Row],[Start]])+1,1)),2),LeaveTable[#Headers],0),0)</f>
        <v>16</v>
      </c>
      <c r="V18" s="41" t="n">
        <f aca="false">IFERROR(MATCH(MID("JanFebMarAprMayJunJulAugSepOctNovDec",MONTH(DATE(YEAR(SprintTable[[#This Row],[Start]]),MONTH(SprintTable[[#This Row],[Start]])+2,1))*3-2,3)&amp;"-"&amp;RIGHT(YEAR(DATE(YEAR(SprintTable[[#This Row],[Start]]),MONTH(SprintTable[[#This Row],[Start]])+2,1)),2),LeaveTable[#Headers],0),0)</f>
        <v>17</v>
      </c>
    </row>
    <row r="19" customFormat="false" ht="15" hidden="false" customHeight="false" outlineLevel="0" collapsed="false">
      <c r="A19" s="28" t="n">
        <f aca="false">ROW()-ROW(SprintTable[[#Headers],[No]])</f>
        <v>14</v>
      </c>
      <c r="B19" s="24" t="str">
        <f aca="false">IF(SprintTable[[#This Row],[No]]&lt;=SprintCount,SprintPrefix&amp;SprintTable[[#This Row],[No]],"")</f>
        <v/>
      </c>
      <c r="C19" s="25" t="n">
        <f aca="false">Sprint1Start+(SprintTable[[#This Row],[No]]-1)*SprintLength</f>
        <v>46454</v>
      </c>
      <c r="D19" s="25" t="n">
        <f aca="false">SprintTable[[#This Row],[Start]]+SprintLength-1</f>
        <v>46467</v>
      </c>
      <c r="E19" s="28" t="n">
        <f aca="false">NETWORKDAYS.INTL(SprintTable[[#This Row],[Start]],SprintTable[[#This Row],[End]],WorkWeek,Holidays)</f>
        <v>10</v>
      </c>
      <c r="F19" s="30"/>
      <c r="G19" s="28" t="str">
        <f aca="false">IF(SprintTable[[#This Row],[Sprint]]="","",COUNTIF(tsk_Sprint,SprintTable[[#This Row],[Sprint]]))</f>
        <v/>
      </c>
      <c r="H19"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9"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9" s="97" t="str">
        <f aca="false">IF(OR(SprintTable[[#This Row],[Sprint]]="",N(SprintTable[[#This Row],[Capacity]])=0),"",SprintTable[[#This Row],[Planned Work]]/SprintTable[[#This Row],[Capacity]])</f>
        <v/>
      </c>
      <c r="K19" s="28" t="str">
        <f aca="false">IF(SprintTable[[#This Row],[Sprint]]="","",IF(StatusDate&gt;SprintTable[[#This Row],[End]],"Closed",IF(StatusDate&gt;=SprintTable[[#This Row],[Start]],"Active","Future")))</f>
        <v/>
      </c>
      <c r="L19" s="85"/>
      <c r="M19" s="55" t="str">
        <f aca="false">IF(SprintTable[[#This Row],[Sprint]]="","",SUMIFS(tsk_LeafPoints,tsk_Sprint,SprintTable[[#This Row],[Sprint]]))</f>
        <v/>
      </c>
      <c r="N19" s="55" t="str">
        <f aca="false">IF(OR(SprintTable[[#This Row],[Sprint]]="",SprintTable[[#This Row],[Status]]="Future"),"",SUMIFS(tsk_LeafPoints,tsk_DoneDate,"&gt;="&amp;SprintTable[[#This Row],[Start]],tsk_DoneDate,"&lt;="&amp;SprintTable[[#This Row],[End]]))</f>
        <v/>
      </c>
      <c r="O19" s="128" t="str">
        <f aca="false">IF(OR(SprintTable[[#This Row],[Sprint]]="",SprintTable[[#This Row],[Status]]&lt;&gt;"Closed"),"",AVERAGE(INDEX(SprintTable[Done Points],MAX(1,SprintTable[[#This Row],[No]]-2)):INDEX(SprintTable[Done Points],SprintTable[[#This Row],[No]])))</f>
        <v/>
      </c>
      <c r="P19" s="55" t="str">
        <f aca="false">IF(OR(SprintTable[[#This Row],[Sprint]]="",SprintTable[[#This Row],[Status]]="Future"),"",TotalPoints-SUMIFS(tsk_LeafPoints,tsk_DoneDate,"&lt;="&amp;MIN(SprintTable[[#This Row],[End]],StatusDate)))</f>
        <v/>
      </c>
      <c r="Q19" s="55" t="str">
        <f aca="false">IF(SprintTable[[#This Row],[Sprint]]="","",TotalPoints-SUMIFS(tsk_LeafPoints,tsk_FcFinish,"&lt;="&amp;SprintTable[[#This Row],[End]]))</f>
        <v/>
      </c>
      <c r="R19" s="55" t="str">
        <f aca="false">IF(SprintTable[[#This Row],[Sprint]]="","",TotalPoints*MAX(0,1-SprintTable[[#This Row],[No]]/SprintCount))</f>
        <v/>
      </c>
      <c r="S19" s="41" t="e">
        <f aca="false">IF(SprintTable[[#This Row],[Remaining Points]]="",NA(),SprintTable[[#This Row],[Remaining Points]])</f>
        <v>#N/A</v>
      </c>
      <c r="T19" s="41" t="n">
        <f aca="false">IFERROR(MATCH(MID("JanFebMarAprMayJunJulAugSepOctNovDec",MONTH(DATE(YEAR(SprintTable[[#This Row],[Start]]),MONTH(SprintTable[[#This Row],[Start]])+0,1))*3-2,3)&amp;"-"&amp;RIGHT(YEAR(DATE(YEAR(SprintTable[[#This Row],[Start]]),MONTH(SprintTable[[#This Row],[Start]])+0,1)),2),LeaveTable[#Headers],0),0)</f>
        <v>16</v>
      </c>
      <c r="U19" s="41" t="n">
        <f aca="false">IFERROR(MATCH(MID("JanFebMarAprMayJunJulAugSepOctNovDec",MONTH(DATE(YEAR(SprintTable[[#This Row],[Start]]),MONTH(SprintTable[[#This Row],[Start]])+1,1))*3-2,3)&amp;"-"&amp;RIGHT(YEAR(DATE(YEAR(SprintTable[[#This Row],[Start]]),MONTH(SprintTable[[#This Row],[Start]])+1,1)),2),LeaveTable[#Headers],0),0)</f>
        <v>17</v>
      </c>
      <c r="V19" s="41" t="n">
        <f aca="false">IFERROR(MATCH(MID("JanFebMarAprMayJunJulAugSepOctNovDec",MONTH(DATE(YEAR(SprintTable[[#This Row],[Start]]),MONTH(SprintTable[[#This Row],[Start]])+2,1))*3-2,3)&amp;"-"&amp;RIGHT(YEAR(DATE(YEAR(SprintTable[[#This Row],[Start]]),MONTH(SprintTable[[#This Row],[Start]])+2,1)),2),LeaveTable[#Headers],0),0)</f>
        <v>18</v>
      </c>
    </row>
    <row r="20" customFormat="false" ht="15" hidden="false" customHeight="false" outlineLevel="0" collapsed="false">
      <c r="A20" s="28" t="n">
        <f aca="false">ROW()-ROW(SprintTable[[#Headers],[No]])</f>
        <v>15</v>
      </c>
      <c r="B20" s="24" t="str">
        <f aca="false">IF(SprintTable[[#This Row],[No]]&lt;=SprintCount,SprintPrefix&amp;SprintTable[[#This Row],[No]],"")</f>
        <v/>
      </c>
      <c r="C20" s="25" t="n">
        <f aca="false">Sprint1Start+(SprintTable[[#This Row],[No]]-1)*SprintLength</f>
        <v>46468</v>
      </c>
      <c r="D20" s="25" t="n">
        <f aca="false">SprintTable[[#This Row],[Start]]+SprintLength-1</f>
        <v>46481</v>
      </c>
      <c r="E20" s="28" t="n">
        <f aca="false">NETWORKDAYS.INTL(SprintTable[[#This Row],[Start]],SprintTable[[#This Row],[End]],WorkWeek,Holidays)</f>
        <v>10</v>
      </c>
      <c r="F20" s="30"/>
      <c r="G20" s="28" t="str">
        <f aca="false">IF(SprintTable[[#This Row],[Sprint]]="","",COUNTIF(tsk_Sprint,SprintTable[[#This Row],[Sprint]]))</f>
        <v/>
      </c>
      <c r="H20"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0"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0" s="97" t="str">
        <f aca="false">IF(OR(SprintTable[[#This Row],[Sprint]]="",N(SprintTable[[#This Row],[Capacity]])=0),"",SprintTable[[#This Row],[Planned Work]]/SprintTable[[#This Row],[Capacity]])</f>
        <v/>
      </c>
      <c r="K20" s="28" t="str">
        <f aca="false">IF(SprintTable[[#This Row],[Sprint]]="","",IF(StatusDate&gt;SprintTable[[#This Row],[End]],"Closed",IF(StatusDate&gt;=SprintTable[[#This Row],[Start]],"Active","Future")))</f>
        <v/>
      </c>
      <c r="L20" s="85"/>
      <c r="M20" s="55" t="str">
        <f aca="false">IF(SprintTable[[#This Row],[Sprint]]="","",SUMIFS(tsk_LeafPoints,tsk_Sprint,SprintTable[[#This Row],[Sprint]]))</f>
        <v/>
      </c>
      <c r="N20" s="55" t="str">
        <f aca="false">IF(OR(SprintTable[[#This Row],[Sprint]]="",SprintTable[[#This Row],[Status]]="Future"),"",SUMIFS(tsk_LeafPoints,tsk_DoneDate,"&gt;="&amp;SprintTable[[#This Row],[Start]],tsk_DoneDate,"&lt;="&amp;SprintTable[[#This Row],[End]]))</f>
        <v/>
      </c>
      <c r="O20" s="128" t="str">
        <f aca="false">IF(OR(SprintTable[[#This Row],[Sprint]]="",SprintTable[[#This Row],[Status]]&lt;&gt;"Closed"),"",AVERAGE(INDEX(SprintTable[Done Points],MAX(1,SprintTable[[#This Row],[No]]-2)):INDEX(SprintTable[Done Points],SprintTable[[#This Row],[No]])))</f>
        <v/>
      </c>
      <c r="P20" s="55" t="str">
        <f aca="false">IF(OR(SprintTable[[#This Row],[Sprint]]="",SprintTable[[#This Row],[Status]]="Future"),"",TotalPoints-SUMIFS(tsk_LeafPoints,tsk_DoneDate,"&lt;="&amp;MIN(SprintTable[[#This Row],[End]],StatusDate)))</f>
        <v/>
      </c>
      <c r="Q20" s="55" t="str">
        <f aca="false">IF(SprintTable[[#This Row],[Sprint]]="","",TotalPoints-SUMIFS(tsk_LeafPoints,tsk_FcFinish,"&lt;="&amp;SprintTable[[#This Row],[End]]))</f>
        <v/>
      </c>
      <c r="R20" s="55" t="str">
        <f aca="false">IF(SprintTable[[#This Row],[Sprint]]="","",TotalPoints*MAX(0,1-SprintTable[[#This Row],[No]]/SprintCount))</f>
        <v/>
      </c>
      <c r="S20" s="41" t="e">
        <f aca="false">IF(SprintTable[[#This Row],[Remaining Points]]="",NA(),SprintTable[[#This Row],[Remaining Points]])</f>
        <v>#N/A</v>
      </c>
      <c r="T20" s="41" t="n">
        <f aca="false">IFERROR(MATCH(MID("JanFebMarAprMayJunJulAugSepOctNovDec",MONTH(DATE(YEAR(SprintTable[[#This Row],[Start]]),MONTH(SprintTable[[#This Row],[Start]])+0,1))*3-2,3)&amp;"-"&amp;RIGHT(YEAR(DATE(YEAR(SprintTable[[#This Row],[Start]]),MONTH(SprintTable[[#This Row],[Start]])+0,1)),2),LeaveTable[#Headers],0),0)</f>
        <v>16</v>
      </c>
      <c r="U20" s="41" t="n">
        <f aca="false">IFERROR(MATCH(MID("JanFebMarAprMayJunJulAugSepOctNovDec",MONTH(DATE(YEAR(SprintTable[[#This Row],[Start]]),MONTH(SprintTable[[#This Row],[Start]])+1,1))*3-2,3)&amp;"-"&amp;RIGHT(YEAR(DATE(YEAR(SprintTable[[#This Row],[Start]]),MONTH(SprintTable[[#This Row],[Start]])+1,1)),2),LeaveTable[#Headers],0),0)</f>
        <v>17</v>
      </c>
      <c r="V20" s="41" t="n">
        <f aca="false">IFERROR(MATCH(MID("JanFebMarAprMayJunJulAugSepOctNovDec",MONTH(DATE(YEAR(SprintTable[[#This Row],[Start]]),MONTH(SprintTable[[#This Row],[Start]])+2,1))*3-2,3)&amp;"-"&amp;RIGHT(YEAR(DATE(YEAR(SprintTable[[#This Row],[Start]]),MONTH(SprintTable[[#This Row],[Start]])+2,1)),2),LeaveTable[#Headers],0),0)</f>
        <v>18</v>
      </c>
    </row>
    <row r="21" customFormat="false" ht="15" hidden="false" customHeight="false" outlineLevel="0" collapsed="false">
      <c r="A21" s="28" t="n">
        <f aca="false">ROW()-ROW(SprintTable[[#Headers],[No]])</f>
        <v>16</v>
      </c>
      <c r="B21" s="24" t="str">
        <f aca="false">IF(SprintTable[[#This Row],[No]]&lt;=SprintCount,SprintPrefix&amp;SprintTable[[#This Row],[No]],"")</f>
        <v/>
      </c>
      <c r="C21" s="25" t="n">
        <f aca="false">Sprint1Start+(SprintTable[[#This Row],[No]]-1)*SprintLength</f>
        <v>46482</v>
      </c>
      <c r="D21" s="25" t="n">
        <f aca="false">SprintTable[[#This Row],[Start]]+SprintLength-1</f>
        <v>46495</v>
      </c>
      <c r="E21" s="28" t="n">
        <f aca="false">NETWORKDAYS.INTL(SprintTable[[#This Row],[Start]],SprintTable[[#This Row],[End]],WorkWeek,Holidays)</f>
        <v>10</v>
      </c>
      <c r="F21" s="30"/>
      <c r="G21" s="28" t="str">
        <f aca="false">IF(SprintTable[[#This Row],[Sprint]]="","",COUNTIF(tsk_Sprint,SprintTable[[#This Row],[Sprint]]))</f>
        <v/>
      </c>
      <c r="H21"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1"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1" s="97" t="str">
        <f aca="false">IF(OR(SprintTable[[#This Row],[Sprint]]="",N(SprintTable[[#This Row],[Capacity]])=0),"",SprintTable[[#This Row],[Planned Work]]/SprintTable[[#This Row],[Capacity]])</f>
        <v/>
      </c>
      <c r="K21" s="28" t="str">
        <f aca="false">IF(SprintTable[[#This Row],[Sprint]]="","",IF(StatusDate&gt;SprintTable[[#This Row],[End]],"Closed",IF(StatusDate&gt;=SprintTable[[#This Row],[Start]],"Active","Future")))</f>
        <v/>
      </c>
      <c r="L21" s="85"/>
      <c r="M21" s="55" t="str">
        <f aca="false">IF(SprintTable[[#This Row],[Sprint]]="","",SUMIFS(tsk_LeafPoints,tsk_Sprint,SprintTable[[#This Row],[Sprint]]))</f>
        <v/>
      </c>
      <c r="N21" s="55" t="str">
        <f aca="false">IF(OR(SprintTable[[#This Row],[Sprint]]="",SprintTable[[#This Row],[Status]]="Future"),"",SUMIFS(tsk_LeafPoints,tsk_DoneDate,"&gt;="&amp;SprintTable[[#This Row],[Start]],tsk_DoneDate,"&lt;="&amp;SprintTable[[#This Row],[End]]))</f>
        <v/>
      </c>
      <c r="O21" s="128" t="str">
        <f aca="false">IF(OR(SprintTable[[#This Row],[Sprint]]="",SprintTable[[#This Row],[Status]]&lt;&gt;"Closed"),"",AVERAGE(INDEX(SprintTable[Done Points],MAX(1,SprintTable[[#This Row],[No]]-2)):INDEX(SprintTable[Done Points],SprintTable[[#This Row],[No]])))</f>
        <v/>
      </c>
      <c r="P21" s="55" t="str">
        <f aca="false">IF(OR(SprintTable[[#This Row],[Sprint]]="",SprintTable[[#This Row],[Status]]="Future"),"",TotalPoints-SUMIFS(tsk_LeafPoints,tsk_DoneDate,"&lt;="&amp;MIN(SprintTable[[#This Row],[End]],StatusDate)))</f>
        <v/>
      </c>
      <c r="Q21" s="55" t="str">
        <f aca="false">IF(SprintTable[[#This Row],[Sprint]]="","",TotalPoints-SUMIFS(tsk_LeafPoints,tsk_FcFinish,"&lt;="&amp;SprintTable[[#This Row],[End]]))</f>
        <v/>
      </c>
      <c r="R21" s="55" t="str">
        <f aca="false">IF(SprintTable[[#This Row],[Sprint]]="","",TotalPoints*MAX(0,1-SprintTable[[#This Row],[No]]/SprintCount))</f>
        <v/>
      </c>
      <c r="S21" s="41" t="e">
        <f aca="false">IF(SprintTable[[#This Row],[Remaining Points]]="",NA(),SprintTable[[#This Row],[Remaining Points]])</f>
        <v>#N/A</v>
      </c>
      <c r="T21" s="41" t="n">
        <f aca="false">IFERROR(MATCH(MID("JanFebMarAprMayJunJulAugSepOctNovDec",MONTH(DATE(YEAR(SprintTable[[#This Row],[Start]]),MONTH(SprintTable[[#This Row],[Start]])+0,1))*3-2,3)&amp;"-"&amp;RIGHT(YEAR(DATE(YEAR(SprintTable[[#This Row],[Start]]),MONTH(SprintTable[[#This Row],[Start]])+0,1)),2),LeaveTable[#Headers],0),0)</f>
        <v>17</v>
      </c>
      <c r="U21" s="41" t="n">
        <f aca="false">IFERROR(MATCH(MID("JanFebMarAprMayJunJulAugSepOctNovDec",MONTH(DATE(YEAR(SprintTable[[#This Row],[Start]]),MONTH(SprintTable[[#This Row],[Start]])+1,1))*3-2,3)&amp;"-"&amp;RIGHT(YEAR(DATE(YEAR(SprintTable[[#This Row],[Start]]),MONTH(SprintTable[[#This Row],[Start]])+1,1)),2),LeaveTable[#Headers],0),0)</f>
        <v>18</v>
      </c>
      <c r="V21" s="41" t="n">
        <f aca="false">IFERROR(MATCH(MID("JanFebMarAprMayJunJulAugSepOctNovDec",MONTH(DATE(YEAR(SprintTable[[#This Row],[Start]]),MONTH(SprintTable[[#This Row],[Start]])+2,1))*3-2,3)&amp;"-"&amp;RIGHT(YEAR(DATE(YEAR(SprintTable[[#This Row],[Start]]),MONTH(SprintTable[[#This Row],[Start]])+2,1)),2),LeaveTable[#Headers],0),0)</f>
        <v>19</v>
      </c>
    </row>
    <row r="22" customFormat="false" ht="15" hidden="false" customHeight="false" outlineLevel="0" collapsed="false">
      <c r="A22" s="28" t="n">
        <f aca="false">ROW()-ROW(SprintTable[[#Headers],[No]])</f>
        <v>17</v>
      </c>
      <c r="B22" s="24" t="str">
        <f aca="false">IF(SprintTable[[#This Row],[No]]&lt;=SprintCount,SprintPrefix&amp;SprintTable[[#This Row],[No]],"")</f>
        <v/>
      </c>
      <c r="C22" s="25" t="n">
        <f aca="false">Sprint1Start+(SprintTable[[#This Row],[No]]-1)*SprintLength</f>
        <v>46496</v>
      </c>
      <c r="D22" s="25" t="n">
        <f aca="false">SprintTable[[#This Row],[Start]]+SprintLength-1</f>
        <v>46509</v>
      </c>
      <c r="E22" s="28" t="n">
        <f aca="false">NETWORKDAYS.INTL(SprintTable[[#This Row],[Start]],SprintTable[[#This Row],[End]],WorkWeek,Holidays)</f>
        <v>10</v>
      </c>
      <c r="F22" s="30"/>
      <c r="G22" s="28" t="str">
        <f aca="false">IF(SprintTable[[#This Row],[Sprint]]="","",COUNTIF(tsk_Sprint,SprintTable[[#This Row],[Sprint]]))</f>
        <v/>
      </c>
      <c r="H22"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2"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2" s="97" t="str">
        <f aca="false">IF(OR(SprintTable[[#This Row],[Sprint]]="",N(SprintTable[[#This Row],[Capacity]])=0),"",SprintTable[[#This Row],[Planned Work]]/SprintTable[[#This Row],[Capacity]])</f>
        <v/>
      </c>
      <c r="K22" s="28" t="str">
        <f aca="false">IF(SprintTable[[#This Row],[Sprint]]="","",IF(StatusDate&gt;SprintTable[[#This Row],[End]],"Closed",IF(StatusDate&gt;=SprintTable[[#This Row],[Start]],"Active","Future")))</f>
        <v/>
      </c>
      <c r="L22" s="85"/>
      <c r="M22" s="55" t="str">
        <f aca="false">IF(SprintTable[[#This Row],[Sprint]]="","",SUMIFS(tsk_LeafPoints,tsk_Sprint,SprintTable[[#This Row],[Sprint]]))</f>
        <v/>
      </c>
      <c r="N22" s="55" t="str">
        <f aca="false">IF(OR(SprintTable[[#This Row],[Sprint]]="",SprintTable[[#This Row],[Status]]="Future"),"",SUMIFS(tsk_LeafPoints,tsk_DoneDate,"&gt;="&amp;SprintTable[[#This Row],[Start]],tsk_DoneDate,"&lt;="&amp;SprintTable[[#This Row],[End]]))</f>
        <v/>
      </c>
      <c r="O22" s="128" t="str">
        <f aca="false">IF(OR(SprintTable[[#This Row],[Sprint]]="",SprintTable[[#This Row],[Status]]&lt;&gt;"Closed"),"",AVERAGE(INDEX(SprintTable[Done Points],MAX(1,SprintTable[[#This Row],[No]]-2)):INDEX(SprintTable[Done Points],SprintTable[[#This Row],[No]])))</f>
        <v/>
      </c>
      <c r="P22" s="55" t="str">
        <f aca="false">IF(OR(SprintTable[[#This Row],[Sprint]]="",SprintTable[[#This Row],[Status]]="Future"),"",TotalPoints-SUMIFS(tsk_LeafPoints,tsk_DoneDate,"&lt;="&amp;MIN(SprintTable[[#This Row],[End]],StatusDate)))</f>
        <v/>
      </c>
      <c r="Q22" s="55" t="str">
        <f aca="false">IF(SprintTable[[#This Row],[Sprint]]="","",TotalPoints-SUMIFS(tsk_LeafPoints,tsk_FcFinish,"&lt;="&amp;SprintTable[[#This Row],[End]]))</f>
        <v/>
      </c>
      <c r="R22" s="55" t="str">
        <f aca="false">IF(SprintTable[[#This Row],[Sprint]]="","",TotalPoints*MAX(0,1-SprintTable[[#This Row],[No]]/SprintCount))</f>
        <v/>
      </c>
      <c r="S22" s="41" t="e">
        <f aca="false">IF(SprintTable[[#This Row],[Remaining Points]]="",NA(),SprintTable[[#This Row],[Remaining Points]])</f>
        <v>#N/A</v>
      </c>
      <c r="T22" s="41" t="n">
        <f aca="false">IFERROR(MATCH(MID("JanFebMarAprMayJunJulAugSepOctNovDec",MONTH(DATE(YEAR(SprintTable[[#This Row],[Start]]),MONTH(SprintTable[[#This Row],[Start]])+0,1))*3-2,3)&amp;"-"&amp;RIGHT(YEAR(DATE(YEAR(SprintTable[[#This Row],[Start]]),MONTH(SprintTable[[#This Row],[Start]])+0,1)),2),LeaveTable[#Headers],0),0)</f>
        <v>17</v>
      </c>
      <c r="U22" s="41" t="n">
        <f aca="false">IFERROR(MATCH(MID("JanFebMarAprMayJunJulAugSepOctNovDec",MONTH(DATE(YEAR(SprintTable[[#This Row],[Start]]),MONTH(SprintTable[[#This Row],[Start]])+1,1))*3-2,3)&amp;"-"&amp;RIGHT(YEAR(DATE(YEAR(SprintTable[[#This Row],[Start]]),MONTH(SprintTable[[#This Row],[Start]])+1,1)),2),LeaveTable[#Headers],0),0)</f>
        <v>18</v>
      </c>
      <c r="V22" s="41" t="n">
        <f aca="false">IFERROR(MATCH(MID("JanFebMarAprMayJunJulAugSepOctNovDec",MONTH(DATE(YEAR(SprintTable[[#This Row],[Start]]),MONTH(SprintTable[[#This Row],[Start]])+2,1))*3-2,3)&amp;"-"&amp;RIGHT(YEAR(DATE(YEAR(SprintTable[[#This Row],[Start]]),MONTH(SprintTable[[#This Row],[Start]])+2,1)),2),LeaveTable[#Headers],0),0)</f>
        <v>19</v>
      </c>
    </row>
    <row r="23" customFormat="false" ht="15" hidden="false" customHeight="false" outlineLevel="0" collapsed="false">
      <c r="A23" s="28" t="n">
        <f aca="false">ROW()-ROW(SprintTable[[#Headers],[No]])</f>
        <v>18</v>
      </c>
      <c r="B23" s="24" t="str">
        <f aca="false">IF(SprintTable[[#This Row],[No]]&lt;=SprintCount,SprintPrefix&amp;SprintTable[[#This Row],[No]],"")</f>
        <v/>
      </c>
      <c r="C23" s="25" t="n">
        <f aca="false">Sprint1Start+(SprintTable[[#This Row],[No]]-1)*SprintLength</f>
        <v>46510</v>
      </c>
      <c r="D23" s="25" t="n">
        <f aca="false">SprintTable[[#This Row],[Start]]+SprintLength-1</f>
        <v>46523</v>
      </c>
      <c r="E23" s="28" t="n">
        <f aca="false">NETWORKDAYS.INTL(SprintTable[[#This Row],[Start]],SprintTable[[#This Row],[End]],WorkWeek,Holidays)</f>
        <v>10</v>
      </c>
      <c r="F23" s="30"/>
      <c r="G23" s="28" t="str">
        <f aca="false">IF(SprintTable[[#This Row],[Sprint]]="","",COUNTIF(tsk_Sprint,SprintTable[[#This Row],[Sprint]]))</f>
        <v/>
      </c>
      <c r="H23"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3"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3" s="97" t="str">
        <f aca="false">IF(OR(SprintTable[[#This Row],[Sprint]]="",N(SprintTable[[#This Row],[Capacity]])=0),"",SprintTable[[#This Row],[Planned Work]]/SprintTable[[#This Row],[Capacity]])</f>
        <v/>
      </c>
      <c r="K23" s="28" t="str">
        <f aca="false">IF(SprintTable[[#This Row],[Sprint]]="","",IF(StatusDate&gt;SprintTable[[#This Row],[End]],"Closed",IF(StatusDate&gt;=SprintTable[[#This Row],[Start]],"Active","Future")))</f>
        <v/>
      </c>
      <c r="L23" s="85"/>
      <c r="M23" s="55" t="str">
        <f aca="false">IF(SprintTable[[#This Row],[Sprint]]="","",SUMIFS(tsk_LeafPoints,tsk_Sprint,SprintTable[[#This Row],[Sprint]]))</f>
        <v/>
      </c>
      <c r="N23" s="55" t="str">
        <f aca="false">IF(OR(SprintTable[[#This Row],[Sprint]]="",SprintTable[[#This Row],[Status]]="Future"),"",SUMIFS(tsk_LeafPoints,tsk_DoneDate,"&gt;="&amp;SprintTable[[#This Row],[Start]],tsk_DoneDate,"&lt;="&amp;SprintTable[[#This Row],[End]]))</f>
        <v/>
      </c>
      <c r="O23" s="128" t="str">
        <f aca="false">IF(OR(SprintTable[[#This Row],[Sprint]]="",SprintTable[[#This Row],[Status]]&lt;&gt;"Closed"),"",AVERAGE(INDEX(SprintTable[Done Points],MAX(1,SprintTable[[#This Row],[No]]-2)):INDEX(SprintTable[Done Points],SprintTable[[#This Row],[No]])))</f>
        <v/>
      </c>
      <c r="P23" s="55" t="str">
        <f aca="false">IF(OR(SprintTable[[#This Row],[Sprint]]="",SprintTable[[#This Row],[Status]]="Future"),"",TotalPoints-SUMIFS(tsk_LeafPoints,tsk_DoneDate,"&lt;="&amp;MIN(SprintTable[[#This Row],[End]],StatusDate)))</f>
        <v/>
      </c>
      <c r="Q23" s="55" t="str">
        <f aca="false">IF(SprintTable[[#This Row],[Sprint]]="","",TotalPoints-SUMIFS(tsk_LeafPoints,tsk_FcFinish,"&lt;="&amp;SprintTable[[#This Row],[End]]))</f>
        <v/>
      </c>
      <c r="R23" s="55" t="str">
        <f aca="false">IF(SprintTable[[#This Row],[Sprint]]="","",TotalPoints*MAX(0,1-SprintTable[[#This Row],[No]]/SprintCount))</f>
        <v/>
      </c>
      <c r="S23" s="41" t="e">
        <f aca="false">IF(SprintTable[[#This Row],[Remaining Points]]="",NA(),SprintTable[[#This Row],[Remaining Points]])</f>
        <v>#N/A</v>
      </c>
      <c r="T23" s="41" t="n">
        <f aca="false">IFERROR(MATCH(MID("JanFebMarAprMayJunJulAugSepOctNovDec",MONTH(DATE(YEAR(SprintTable[[#This Row],[Start]]),MONTH(SprintTable[[#This Row],[Start]])+0,1))*3-2,3)&amp;"-"&amp;RIGHT(YEAR(DATE(YEAR(SprintTable[[#This Row],[Start]]),MONTH(SprintTable[[#This Row],[Start]])+0,1)),2),LeaveTable[#Headers],0),0)</f>
        <v>18</v>
      </c>
      <c r="U23" s="41" t="n">
        <f aca="false">IFERROR(MATCH(MID("JanFebMarAprMayJunJulAugSepOctNovDec",MONTH(DATE(YEAR(SprintTable[[#This Row],[Start]]),MONTH(SprintTable[[#This Row],[Start]])+1,1))*3-2,3)&amp;"-"&amp;RIGHT(YEAR(DATE(YEAR(SprintTable[[#This Row],[Start]]),MONTH(SprintTable[[#This Row],[Start]])+1,1)),2),LeaveTable[#Headers],0),0)</f>
        <v>19</v>
      </c>
      <c r="V23" s="41" t="n">
        <f aca="false">IFERROR(MATCH(MID("JanFebMarAprMayJunJulAugSepOctNovDec",MONTH(DATE(YEAR(SprintTable[[#This Row],[Start]]),MONTH(SprintTable[[#This Row],[Start]])+2,1))*3-2,3)&amp;"-"&amp;RIGHT(YEAR(DATE(YEAR(SprintTable[[#This Row],[Start]]),MONTH(SprintTable[[#This Row],[Start]])+2,1)),2),LeaveTable[#Headers],0),0)</f>
        <v>20</v>
      </c>
    </row>
    <row r="24" customFormat="false" ht="15" hidden="false" customHeight="false" outlineLevel="0" collapsed="false">
      <c r="A24" s="28" t="n">
        <f aca="false">ROW()-ROW(SprintTable[[#Headers],[No]])</f>
        <v>19</v>
      </c>
      <c r="B24" s="24" t="str">
        <f aca="false">IF(SprintTable[[#This Row],[No]]&lt;=SprintCount,SprintPrefix&amp;SprintTable[[#This Row],[No]],"")</f>
        <v/>
      </c>
      <c r="C24" s="25" t="n">
        <f aca="false">Sprint1Start+(SprintTable[[#This Row],[No]]-1)*SprintLength</f>
        <v>46524</v>
      </c>
      <c r="D24" s="25" t="n">
        <f aca="false">SprintTable[[#This Row],[Start]]+SprintLength-1</f>
        <v>46537</v>
      </c>
      <c r="E24" s="28" t="n">
        <f aca="false">NETWORKDAYS.INTL(SprintTable[[#This Row],[Start]],SprintTable[[#This Row],[End]],WorkWeek,Holidays)</f>
        <v>10</v>
      </c>
      <c r="F24" s="30"/>
      <c r="G24" s="28" t="str">
        <f aca="false">IF(SprintTable[[#This Row],[Sprint]]="","",COUNTIF(tsk_Sprint,SprintTable[[#This Row],[Sprint]]))</f>
        <v/>
      </c>
      <c r="H24"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4"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4" s="97" t="str">
        <f aca="false">IF(OR(SprintTable[[#This Row],[Sprint]]="",N(SprintTable[[#This Row],[Capacity]])=0),"",SprintTable[[#This Row],[Planned Work]]/SprintTable[[#This Row],[Capacity]])</f>
        <v/>
      </c>
      <c r="K24" s="28" t="str">
        <f aca="false">IF(SprintTable[[#This Row],[Sprint]]="","",IF(StatusDate&gt;SprintTable[[#This Row],[End]],"Closed",IF(StatusDate&gt;=SprintTable[[#This Row],[Start]],"Active","Future")))</f>
        <v/>
      </c>
      <c r="L24" s="85"/>
      <c r="M24" s="55" t="str">
        <f aca="false">IF(SprintTable[[#This Row],[Sprint]]="","",SUMIFS(tsk_LeafPoints,tsk_Sprint,SprintTable[[#This Row],[Sprint]]))</f>
        <v/>
      </c>
      <c r="N24" s="55" t="str">
        <f aca="false">IF(OR(SprintTable[[#This Row],[Sprint]]="",SprintTable[[#This Row],[Status]]="Future"),"",SUMIFS(tsk_LeafPoints,tsk_DoneDate,"&gt;="&amp;SprintTable[[#This Row],[Start]],tsk_DoneDate,"&lt;="&amp;SprintTable[[#This Row],[End]]))</f>
        <v/>
      </c>
      <c r="O24" s="128" t="str">
        <f aca="false">IF(OR(SprintTable[[#This Row],[Sprint]]="",SprintTable[[#This Row],[Status]]&lt;&gt;"Closed"),"",AVERAGE(INDEX(SprintTable[Done Points],MAX(1,SprintTable[[#This Row],[No]]-2)):INDEX(SprintTable[Done Points],SprintTable[[#This Row],[No]])))</f>
        <v/>
      </c>
      <c r="P24" s="55" t="str">
        <f aca="false">IF(OR(SprintTable[[#This Row],[Sprint]]="",SprintTable[[#This Row],[Status]]="Future"),"",TotalPoints-SUMIFS(tsk_LeafPoints,tsk_DoneDate,"&lt;="&amp;MIN(SprintTable[[#This Row],[End]],StatusDate)))</f>
        <v/>
      </c>
      <c r="Q24" s="55" t="str">
        <f aca="false">IF(SprintTable[[#This Row],[Sprint]]="","",TotalPoints-SUMIFS(tsk_LeafPoints,tsk_FcFinish,"&lt;="&amp;SprintTable[[#This Row],[End]]))</f>
        <v/>
      </c>
      <c r="R24" s="55" t="str">
        <f aca="false">IF(SprintTable[[#This Row],[Sprint]]="","",TotalPoints*MAX(0,1-SprintTable[[#This Row],[No]]/SprintCount))</f>
        <v/>
      </c>
      <c r="S24" s="41" t="e">
        <f aca="false">IF(SprintTable[[#This Row],[Remaining Points]]="",NA(),SprintTable[[#This Row],[Remaining Points]])</f>
        <v>#N/A</v>
      </c>
      <c r="T24" s="41" t="n">
        <f aca="false">IFERROR(MATCH(MID("JanFebMarAprMayJunJulAugSepOctNovDec",MONTH(DATE(YEAR(SprintTable[[#This Row],[Start]]),MONTH(SprintTable[[#This Row],[Start]])+0,1))*3-2,3)&amp;"-"&amp;RIGHT(YEAR(DATE(YEAR(SprintTable[[#This Row],[Start]]),MONTH(SprintTable[[#This Row],[Start]])+0,1)),2),LeaveTable[#Headers],0),0)</f>
        <v>18</v>
      </c>
      <c r="U24" s="41" t="n">
        <f aca="false">IFERROR(MATCH(MID("JanFebMarAprMayJunJulAugSepOctNovDec",MONTH(DATE(YEAR(SprintTable[[#This Row],[Start]]),MONTH(SprintTable[[#This Row],[Start]])+1,1))*3-2,3)&amp;"-"&amp;RIGHT(YEAR(DATE(YEAR(SprintTable[[#This Row],[Start]]),MONTH(SprintTable[[#This Row],[Start]])+1,1)),2),LeaveTable[#Headers],0),0)</f>
        <v>19</v>
      </c>
      <c r="V24" s="41" t="n">
        <f aca="false">IFERROR(MATCH(MID("JanFebMarAprMayJunJulAugSepOctNovDec",MONTH(DATE(YEAR(SprintTable[[#This Row],[Start]]),MONTH(SprintTable[[#This Row],[Start]])+2,1))*3-2,3)&amp;"-"&amp;RIGHT(YEAR(DATE(YEAR(SprintTable[[#This Row],[Start]]),MONTH(SprintTable[[#This Row],[Start]])+2,1)),2),LeaveTable[#Headers],0),0)</f>
        <v>20</v>
      </c>
    </row>
    <row r="25" customFormat="false" ht="15" hidden="false" customHeight="false" outlineLevel="0" collapsed="false">
      <c r="A25" s="28" t="n">
        <f aca="false">ROW()-ROW(SprintTable[[#Headers],[No]])</f>
        <v>20</v>
      </c>
      <c r="B25" s="24" t="str">
        <f aca="false">IF(SprintTable[[#This Row],[No]]&lt;=SprintCount,SprintPrefix&amp;SprintTable[[#This Row],[No]],"")</f>
        <v/>
      </c>
      <c r="C25" s="25" t="n">
        <f aca="false">Sprint1Start+(SprintTable[[#This Row],[No]]-1)*SprintLength</f>
        <v>46538</v>
      </c>
      <c r="D25" s="25" t="n">
        <f aca="false">SprintTable[[#This Row],[Start]]+SprintLength-1</f>
        <v>46551</v>
      </c>
      <c r="E25" s="28" t="n">
        <f aca="false">NETWORKDAYS.INTL(SprintTable[[#This Row],[Start]],SprintTable[[#This Row],[End]],WorkWeek,Holidays)</f>
        <v>10</v>
      </c>
      <c r="F25" s="30"/>
      <c r="G25" s="28" t="str">
        <f aca="false">IF(SprintTable[[#This Row],[Sprint]]="","",COUNTIF(tsk_Sprint,SprintTable[[#This Row],[Sprint]]))</f>
        <v/>
      </c>
      <c r="H25"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5"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5" s="97" t="str">
        <f aca="false">IF(OR(SprintTable[[#This Row],[Sprint]]="",N(SprintTable[[#This Row],[Capacity]])=0),"",SprintTable[[#This Row],[Planned Work]]/SprintTable[[#This Row],[Capacity]])</f>
        <v/>
      </c>
      <c r="K25" s="28" t="str">
        <f aca="false">IF(SprintTable[[#This Row],[Sprint]]="","",IF(StatusDate&gt;SprintTable[[#This Row],[End]],"Closed",IF(StatusDate&gt;=SprintTable[[#This Row],[Start]],"Active","Future")))</f>
        <v/>
      </c>
      <c r="L25" s="85"/>
      <c r="M25" s="55" t="str">
        <f aca="false">IF(SprintTable[[#This Row],[Sprint]]="","",SUMIFS(tsk_LeafPoints,tsk_Sprint,SprintTable[[#This Row],[Sprint]]))</f>
        <v/>
      </c>
      <c r="N25" s="55" t="str">
        <f aca="false">IF(OR(SprintTable[[#This Row],[Sprint]]="",SprintTable[[#This Row],[Status]]="Future"),"",SUMIFS(tsk_LeafPoints,tsk_DoneDate,"&gt;="&amp;SprintTable[[#This Row],[Start]],tsk_DoneDate,"&lt;="&amp;SprintTable[[#This Row],[End]]))</f>
        <v/>
      </c>
      <c r="O25" s="128" t="str">
        <f aca="false">IF(OR(SprintTable[[#This Row],[Sprint]]="",SprintTable[[#This Row],[Status]]&lt;&gt;"Closed"),"",AVERAGE(INDEX(SprintTable[Done Points],MAX(1,SprintTable[[#This Row],[No]]-2)):INDEX(SprintTable[Done Points],SprintTable[[#This Row],[No]])))</f>
        <v/>
      </c>
      <c r="P25" s="55" t="str">
        <f aca="false">IF(OR(SprintTable[[#This Row],[Sprint]]="",SprintTable[[#This Row],[Status]]="Future"),"",TotalPoints-SUMIFS(tsk_LeafPoints,tsk_DoneDate,"&lt;="&amp;MIN(SprintTable[[#This Row],[End]],StatusDate)))</f>
        <v/>
      </c>
      <c r="Q25" s="55" t="str">
        <f aca="false">IF(SprintTable[[#This Row],[Sprint]]="","",TotalPoints-SUMIFS(tsk_LeafPoints,tsk_FcFinish,"&lt;="&amp;SprintTable[[#This Row],[End]]))</f>
        <v/>
      </c>
      <c r="R25" s="55" t="str">
        <f aca="false">IF(SprintTable[[#This Row],[Sprint]]="","",TotalPoints*MAX(0,1-SprintTable[[#This Row],[No]]/SprintCount))</f>
        <v/>
      </c>
      <c r="S25" s="41" t="e">
        <f aca="false">IF(SprintTable[[#This Row],[Remaining Points]]="",NA(),SprintTable[[#This Row],[Remaining Points]])</f>
        <v>#N/A</v>
      </c>
      <c r="T25" s="41" t="n">
        <f aca="false">IFERROR(MATCH(MID("JanFebMarAprMayJunJulAugSepOctNovDec",MONTH(DATE(YEAR(SprintTable[[#This Row],[Start]]),MONTH(SprintTable[[#This Row],[Start]])+0,1))*3-2,3)&amp;"-"&amp;RIGHT(YEAR(DATE(YEAR(SprintTable[[#This Row],[Start]]),MONTH(SprintTable[[#This Row],[Start]])+0,1)),2),LeaveTable[#Headers],0),0)</f>
        <v>18</v>
      </c>
      <c r="U25" s="41" t="n">
        <f aca="false">IFERROR(MATCH(MID("JanFebMarAprMayJunJulAugSepOctNovDec",MONTH(DATE(YEAR(SprintTable[[#This Row],[Start]]),MONTH(SprintTable[[#This Row],[Start]])+1,1))*3-2,3)&amp;"-"&amp;RIGHT(YEAR(DATE(YEAR(SprintTable[[#This Row],[Start]]),MONTH(SprintTable[[#This Row],[Start]])+1,1)),2),LeaveTable[#Headers],0),0)</f>
        <v>19</v>
      </c>
      <c r="V25" s="41" t="n">
        <f aca="false">IFERROR(MATCH(MID("JanFebMarAprMayJunJulAugSepOctNovDec",MONTH(DATE(YEAR(SprintTable[[#This Row],[Start]]),MONTH(SprintTable[[#This Row],[Start]])+2,1))*3-2,3)&amp;"-"&amp;RIGHT(YEAR(DATE(YEAR(SprintTable[[#This Row],[Start]]),MONTH(SprintTable[[#This Row],[Start]])+2,1)),2),LeaveTable[#Headers],0),0)</f>
        <v>20</v>
      </c>
    </row>
    <row r="26" customFormat="false" ht="15" hidden="false" customHeight="false" outlineLevel="0" collapsed="false">
      <c r="A26" s="28" t="n">
        <f aca="false">ROW()-ROW(SprintTable[[#Headers],[No]])</f>
        <v>21</v>
      </c>
      <c r="B26" s="24" t="str">
        <f aca="false">IF(SprintTable[[#This Row],[No]]&lt;=SprintCount,SprintPrefix&amp;SprintTable[[#This Row],[No]],"")</f>
        <v/>
      </c>
      <c r="C26" s="25" t="n">
        <f aca="false">Sprint1Start+(SprintTable[[#This Row],[No]]-1)*SprintLength</f>
        <v>46552</v>
      </c>
      <c r="D26" s="25" t="n">
        <f aca="false">SprintTable[[#This Row],[Start]]+SprintLength-1</f>
        <v>46565</v>
      </c>
      <c r="E26" s="28" t="n">
        <f aca="false">NETWORKDAYS.INTL(SprintTable[[#This Row],[Start]],SprintTable[[#This Row],[End]],WorkWeek,Holidays)</f>
        <v>10</v>
      </c>
      <c r="F26" s="30"/>
      <c r="G26" s="28" t="str">
        <f aca="false">IF(SprintTable[[#This Row],[Sprint]]="","",COUNTIF(tsk_Sprint,SprintTable[[#This Row],[Sprint]]))</f>
        <v/>
      </c>
      <c r="H26"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6"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6" s="97" t="str">
        <f aca="false">IF(OR(SprintTable[[#This Row],[Sprint]]="",N(SprintTable[[#This Row],[Capacity]])=0),"",SprintTable[[#This Row],[Planned Work]]/SprintTable[[#This Row],[Capacity]])</f>
        <v/>
      </c>
      <c r="K26" s="28" t="str">
        <f aca="false">IF(SprintTable[[#This Row],[Sprint]]="","",IF(StatusDate&gt;SprintTable[[#This Row],[End]],"Closed",IF(StatusDate&gt;=SprintTable[[#This Row],[Start]],"Active","Future")))</f>
        <v/>
      </c>
      <c r="L26" s="85"/>
      <c r="M26" s="55" t="str">
        <f aca="false">IF(SprintTable[[#This Row],[Sprint]]="","",SUMIFS(tsk_LeafPoints,tsk_Sprint,SprintTable[[#This Row],[Sprint]]))</f>
        <v/>
      </c>
      <c r="N26" s="55" t="str">
        <f aca="false">IF(OR(SprintTable[[#This Row],[Sprint]]="",SprintTable[[#This Row],[Status]]="Future"),"",SUMIFS(tsk_LeafPoints,tsk_DoneDate,"&gt;="&amp;SprintTable[[#This Row],[Start]],tsk_DoneDate,"&lt;="&amp;SprintTable[[#This Row],[End]]))</f>
        <v/>
      </c>
      <c r="O26" s="128" t="str">
        <f aca="false">IF(OR(SprintTable[[#This Row],[Sprint]]="",SprintTable[[#This Row],[Status]]&lt;&gt;"Closed"),"",AVERAGE(INDEX(SprintTable[Done Points],MAX(1,SprintTable[[#This Row],[No]]-2)):INDEX(SprintTable[Done Points],SprintTable[[#This Row],[No]])))</f>
        <v/>
      </c>
      <c r="P26" s="55" t="str">
        <f aca="false">IF(OR(SprintTable[[#This Row],[Sprint]]="",SprintTable[[#This Row],[Status]]="Future"),"",TotalPoints-SUMIFS(tsk_LeafPoints,tsk_DoneDate,"&lt;="&amp;MIN(SprintTable[[#This Row],[End]],StatusDate)))</f>
        <v/>
      </c>
      <c r="Q26" s="55" t="str">
        <f aca="false">IF(SprintTable[[#This Row],[Sprint]]="","",TotalPoints-SUMIFS(tsk_LeafPoints,tsk_FcFinish,"&lt;="&amp;SprintTable[[#This Row],[End]]))</f>
        <v/>
      </c>
      <c r="R26" s="55" t="str">
        <f aca="false">IF(SprintTable[[#This Row],[Sprint]]="","",TotalPoints*MAX(0,1-SprintTable[[#This Row],[No]]/SprintCount))</f>
        <v/>
      </c>
      <c r="S26" s="41" t="e">
        <f aca="false">IF(SprintTable[[#This Row],[Remaining Points]]="",NA(),SprintTable[[#This Row],[Remaining Points]])</f>
        <v>#N/A</v>
      </c>
      <c r="T26" s="41" t="n">
        <f aca="false">IFERROR(MATCH(MID("JanFebMarAprMayJunJulAugSepOctNovDec",MONTH(DATE(YEAR(SprintTable[[#This Row],[Start]]),MONTH(SprintTable[[#This Row],[Start]])+0,1))*3-2,3)&amp;"-"&amp;RIGHT(YEAR(DATE(YEAR(SprintTable[[#This Row],[Start]]),MONTH(SprintTable[[#This Row],[Start]])+0,1)),2),LeaveTable[#Headers],0),0)</f>
        <v>19</v>
      </c>
      <c r="U26" s="41" t="n">
        <f aca="false">IFERROR(MATCH(MID("JanFebMarAprMayJunJulAugSepOctNovDec",MONTH(DATE(YEAR(SprintTable[[#This Row],[Start]]),MONTH(SprintTable[[#This Row],[Start]])+1,1))*3-2,3)&amp;"-"&amp;RIGHT(YEAR(DATE(YEAR(SprintTable[[#This Row],[Start]]),MONTH(SprintTable[[#This Row],[Start]])+1,1)),2),LeaveTable[#Headers],0),0)</f>
        <v>20</v>
      </c>
      <c r="V26" s="41" t="n">
        <f aca="false">IFERROR(MATCH(MID("JanFebMarAprMayJunJulAugSepOctNovDec",MONTH(DATE(YEAR(SprintTable[[#This Row],[Start]]),MONTH(SprintTable[[#This Row],[Start]])+2,1))*3-2,3)&amp;"-"&amp;RIGHT(YEAR(DATE(YEAR(SprintTable[[#This Row],[Start]]),MONTH(SprintTable[[#This Row],[Start]])+2,1)),2),LeaveTable[#Headers],0),0)</f>
        <v>21</v>
      </c>
    </row>
    <row r="27" customFormat="false" ht="15" hidden="false" customHeight="false" outlineLevel="0" collapsed="false">
      <c r="A27" s="28" t="n">
        <f aca="false">ROW()-ROW(SprintTable[[#Headers],[No]])</f>
        <v>22</v>
      </c>
      <c r="B27" s="24" t="str">
        <f aca="false">IF(SprintTable[[#This Row],[No]]&lt;=SprintCount,SprintPrefix&amp;SprintTable[[#This Row],[No]],"")</f>
        <v/>
      </c>
      <c r="C27" s="25" t="n">
        <f aca="false">Sprint1Start+(SprintTable[[#This Row],[No]]-1)*SprintLength</f>
        <v>46566</v>
      </c>
      <c r="D27" s="25" t="n">
        <f aca="false">SprintTable[[#This Row],[Start]]+SprintLength-1</f>
        <v>46579</v>
      </c>
      <c r="E27" s="28" t="n">
        <f aca="false">NETWORKDAYS.INTL(SprintTable[[#This Row],[Start]],SprintTable[[#This Row],[End]],WorkWeek,Holidays)</f>
        <v>10</v>
      </c>
      <c r="F27" s="30"/>
      <c r="G27" s="28" t="str">
        <f aca="false">IF(SprintTable[[#This Row],[Sprint]]="","",COUNTIF(tsk_Sprint,SprintTable[[#This Row],[Sprint]]))</f>
        <v/>
      </c>
      <c r="H27"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7"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7" s="97" t="str">
        <f aca="false">IF(OR(SprintTable[[#This Row],[Sprint]]="",N(SprintTable[[#This Row],[Capacity]])=0),"",SprintTable[[#This Row],[Planned Work]]/SprintTable[[#This Row],[Capacity]])</f>
        <v/>
      </c>
      <c r="K27" s="28" t="str">
        <f aca="false">IF(SprintTable[[#This Row],[Sprint]]="","",IF(StatusDate&gt;SprintTable[[#This Row],[End]],"Closed",IF(StatusDate&gt;=SprintTable[[#This Row],[Start]],"Active","Future")))</f>
        <v/>
      </c>
      <c r="L27" s="85"/>
      <c r="M27" s="55" t="str">
        <f aca="false">IF(SprintTable[[#This Row],[Sprint]]="","",SUMIFS(tsk_LeafPoints,tsk_Sprint,SprintTable[[#This Row],[Sprint]]))</f>
        <v/>
      </c>
      <c r="N27" s="55" t="str">
        <f aca="false">IF(OR(SprintTable[[#This Row],[Sprint]]="",SprintTable[[#This Row],[Status]]="Future"),"",SUMIFS(tsk_LeafPoints,tsk_DoneDate,"&gt;="&amp;SprintTable[[#This Row],[Start]],tsk_DoneDate,"&lt;="&amp;SprintTable[[#This Row],[End]]))</f>
        <v/>
      </c>
      <c r="O27" s="128" t="str">
        <f aca="false">IF(OR(SprintTable[[#This Row],[Sprint]]="",SprintTable[[#This Row],[Status]]&lt;&gt;"Closed"),"",AVERAGE(INDEX(SprintTable[Done Points],MAX(1,SprintTable[[#This Row],[No]]-2)):INDEX(SprintTable[Done Points],SprintTable[[#This Row],[No]])))</f>
        <v/>
      </c>
      <c r="P27" s="55" t="str">
        <f aca="false">IF(OR(SprintTable[[#This Row],[Sprint]]="",SprintTable[[#This Row],[Status]]="Future"),"",TotalPoints-SUMIFS(tsk_LeafPoints,tsk_DoneDate,"&lt;="&amp;MIN(SprintTable[[#This Row],[End]],StatusDate)))</f>
        <v/>
      </c>
      <c r="Q27" s="55" t="str">
        <f aca="false">IF(SprintTable[[#This Row],[Sprint]]="","",TotalPoints-SUMIFS(tsk_LeafPoints,tsk_FcFinish,"&lt;="&amp;SprintTable[[#This Row],[End]]))</f>
        <v/>
      </c>
      <c r="R27" s="55" t="str">
        <f aca="false">IF(SprintTable[[#This Row],[Sprint]]="","",TotalPoints*MAX(0,1-SprintTable[[#This Row],[No]]/SprintCount))</f>
        <v/>
      </c>
      <c r="S27" s="41" t="e">
        <f aca="false">IF(SprintTable[[#This Row],[Remaining Points]]="",NA(),SprintTable[[#This Row],[Remaining Points]])</f>
        <v>#N/A</v>
      </c>
      <c r="T27" s="41" t="n">
        <f aca="false">IFERROR(MATCH(MID("JanFebMarAprMayJunJulAugSepOctNovDec",MONTH(DATE(YEAR(SprintTable[[#This Row],[Start]]),MONTH(SprintTable[[#This Row],[Start]])+0,1))*3-2,3)&amp;"-"&amp;RIGHT(YEAR(DATE(YEAR(SprintTable[[#This Row],[Start]]),MONTH(SprintTable[[#This Row],[Start]])+0,1)),2),LeaveTable[#Headers],0),0)</f>
        <v>19</v>
      </c>
      <c r="U27" s="41" t="n">
        <f aca="false">IFERROR(MATCH(MID("JanFebMarAprMayJunJulAugSepOctNovDec",MONTH(DATE(YEAR(SprintTable[[#This Row],[Start]]),MONTH(SprintTable[[#This Row],[Start]])+1,1))*3-2,3)&amp;"-"&amp;RIGHT(YEAR(DATE(YEAR(SprintTable[[#This Row],[Start]]),MONTH(SprintTable[[#This Row],[Start]])+1,1)),2),LeaveTable[#Headers],0),0)</f>
        <v>20</v>
      </c>
      <c r="V27" s="41" t="n">
        <f aca="false">IFERROR(MATCH(MID("JanFebMarAprMayJunJulAugSepOctNovDec",MONTH(DATE(YEAR(SprintTable[[#This Row],[Start]]),MONTH(SprintTable[[#This Row],[Start]])+2,1))*3-2,3)&amp;"-"&amp;RIGHT(YEAR(DATE(YEAR(SprintTable[[#This Row],[Start]]),MONTH(SprintTable[[#This Row],[Start]])+2,1)),2),LeaveTable[#Headers],0),0)</f>
        <v>21</v>
      </c>
    </row>
    <row r="28" customFormat="false" ht="15" hidden="false" customHeight="false" outlineLevel="0" collapsed="false">
      <c r="A28" s="28" t="n">
        <f aca="false">ROW()-ROW(SprintTable[[#Headers],[No]])</f>
        <v>23</v>
      </c>
      <c r="B28" s="24" t="str">
        <f aca="false">IF(SprintTable[[#This Row],[No]]&lt;=SprintCount,SprintPrefix&amp;SprintTable[[#This Row],[No]],"")</f>
        <v/>
      </c>
      <c r="C28" s="25" t="n">
        <f aca="false">Sprint1Start+(SprintTable[[#This Row],[No]]-1)*SprintLength</f>
        <v>46580</v>
      </c>
      <c r="D28" s="25" t="n">
        <f aca="false">SprintTable[[#This Row],[Start]]+SprintLength-1</f>
        <v>46593</v>
      </c>
      <c r="E28" s="28" t="n">
        <f aca="false">NETWORKDAYS.INTL(SprintTable[[#This Row],[Start]],SprintTable[[#This Row],[End]],WorkWeek,Holidays)</f>
        <v>10</v>
      </c>
      <c r="F28" s="30"/>
      <c r="G28" s="28" t="str">
        <f aca="false">IF(SprintTable[[#This Row],[Sprint]]="","",COUNTIF(tsk_Sprint,SprintTable[[#This Row],[Sprint]]))</f>
        <v/>
      </c>
      <c r="H28"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8"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8" s="97" t="str">
        <f aca="false">IF(OR(SprintTable[[#This Row],[Sprint]]="",N(SprintTable[[#This Row],[Capacity]])=0),"",SprintTable[[#This Row],[Planned Work]]/SprintTable[[#This Row],[Capacity]])</f>
        <v/>
      </c>
      <c r="K28" s="28" t="str">
        <f aca="false">IF(SprintTable[[#This Row],[Sprint]]="","",IF(StatusDate&gt;SprintTable[[#This Row],[End]],"Closed",IF(StatusDate&gt;=SprintTable[[#This Row],[Start]],"Active","Future")))</f>
        <v/>
      </c>
      <c r="L28" s="85"/>
      <c r="M28" s="55" t="str">
        <f aca="false">IF(SprintTable[[#This Row],[Sprint]]="","",SUMIFS(tsk_LeafPoints,tsk_Sprint,SprintTable[[#This Row],[Sprint]]))</f>
        <v/>
      </c>
      <c r="N28" s="55" t="str">
        <f aca="false">IF(OR(SprintTable[[#This Row],[Sprint]]="",SprintTable[[#This Row],[Status]]="Future"),"",SUMIFS(tsk_LeafPoints,tsk_DoneDate,"&gt;="&amp;SprintTable[[#This Row],[Start]],tsk_DoneDate,"&lt;="&amp;SprintTable[[#This Row],[End]]))</f>
        <v/>
      </c>
      <c r="O28" s="128" t="str">
        <f aca="false">IF(OR(SprintTable[[#This Row],[Sprint]]="",SprintTable[[#This Row],[Status]]&lt;&gt;"Closed"),"",AVERAGE(INDEX(SprintTable[Done Points],MAX(1,SprintTable[[#This Row],[No]]-2)):INDEX(SprintTable[Done Points],SprintTable[[#This Row],[No]])))</f>
        <v/>
      </c>
      <c r="P28" s="55" t="str">
        <f aca="false">IF(OR(SprintTable[[#This Row],[Sprint]]="",SprintTable[[#This Row],[Status]]="Future"),"",TotalPoints-SUMIFS(tsk_LeafPoints,tsk_DoneDate,"&lt;="&amp;MIN(SprintTable[[#This Row],[End]],StatusDate)))</f>
        <v/>
      </c>
      <c r="Q28" s="55" t="str">
        <f aca="false">IF(SprintTable[[#This Row],[Sprint]]="","",TotalPoints-SUMIFS(tsk_LeafPoints,tsk_FcFinish,"&lt;="&amp;SprintTable[[#This Row],[End]]))</f>
        <v/>
      </c>
      <c r="R28" s="55" t="str">
        <f aca="false">IF(SprintTable[[#This Row],[Sprint]]="","",TotalPoints*MAX(0,1-SprintTable[[#This Row],[No]]/SprintCount))</f>
        <v/>
      </c>
      <c r="S28" s="41" t="e">
        <f aca="false">IF(SprintTable[[#This Row],[Remaining Points]]="",NA(),SprintTable[[#This Row],[Remaining Points]])</f>
        <v>#N/A</v>
      </c>
      <c r="T28" s="41" t="n">
        <f aca="false">IFERROR(MATCH(MID("JanFebMarAprMayJunJulAugSepOctNovDec",MONTH(DATE(YEAR(SprintTable[[#This Row],[Start]]),MONTH(SprintTable[[#This Row],[Start]])+0,1))*3-2,3)&amp;"-"&amp;RIGHT(YEAR(DATE(YEAR(SprintTable[[#This Row],[Start]]),MONTH(SprintTable[[#This Row],[Start]])+0,1)),2),LeaveTable[#Headers],0),0)</f>
        <v>20</v>
      </c>
      <c r="U28" s="41" t="n">
        <f aca="false">IFERROR(MATCH(MID("JanFebMarAprMayJunJulAugSepOctNovDec",MONTH(DATE(YEAR(SprintTable[[#This Row],[Start]]),MONTH(SprintTable[[#This Row],[Start]])+1,1))*3-2,3)&amp;"-"&amp;RIGHT(YEAR(DATE(YEAR(SprintTable[[#This Row],[Start]]),MONTH(SprintTable[[#This Row],[Start]])+1,1)),2),LeaveTable[#Headers],0),0)</f>
        <v>21</v>
      </c>
      <c r="V28" s="41" t="n">
        <f aca="false">IFERROR(MATCH(MID("JanFebMarAprMayJunJulAugSepOctNovDec",MONTH(DATE(YEAR(SprintTable[[#This Row],[Start]]),MONTH(SprintTable[[#This Row],[Start]])+2,1))*3-2,3)&amp;"-"&amp;RIGHT(YEAR(DATE(YEAR(SprintTable[[#This Row],[Start]]),MONTH(SprintTable[[#This Row],[Start]])+2,1)),2),LeaveTable[#Headers],0),0)</f>
        <v>22</v>
      </c>
    </row>
    <row r="29" customFormat="false" ht="15" hidden="false" customHeight="false" outlineLevel="0" collapsed="false">
      <c r="A29" s="28" t="n">
        <f aca="false">ROW()-ROW(SprintTable[[#Headers],[No]])</f>
        <v>24</v>
      </c>
      <c r="B29" s="24" t="str">
        <f aca="false">IF(SprintTable[[#This Row],[No]]&lt;=SprintCount,SprintPrefix&amp;SprintTable[[#This Row],[No]],"")</f>
        <v/>
      </c>
      <c r="C29" s="25" t="n">
        <f aca="false">Sprint1Start+(SprintTable[[#This Row],[No]]-1)*SprintLength</f>
        <v>46594</v>
      </c>
      <c r="D29" s="25" t="n">
        <f aca="false">SprintTable[[#This Row],[Start]]+SprintLength-1</f>
        <v>46607</v>
      </c>
      <c r="E29" s="28" t="n">
        <f aca="false">NETWORKDAYS.INTL(SprintTable[[#This Row],[Start]],SprintTable[[#This Row],[End]],WorkWeek,Holidays)</f>
        <v>10</v>
      </c>
      <c r="F29" s="30"/>
      <c r="G29" s="28" t="str">
        <f aca="false">IF(SprintTable[[#This Row],[Sprint]]="","",COUNTIF(tsk_Sprint,SprintTable[[#This Row],[Sprint]]))</f>
        <v/>
      </c>
      <c r="H29"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9"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9" s="97" t="str">
        <f aca="false">IF(OR(SprintTable[[#This Row],[Sprint]]="",N(SprintTable[[#This Row],[Capacity]])=0),"",SprintTable[[#This Row],[Planned Work]]/SprintTable[[#This Row],[Capacity]])</f>
        <v/>
      </c>
      <c r="K29" s="28" t="str">
        <f aca="false">IF(SprintTable[[#This Row],[Sprint]]="","",IF(StatusDate&gt;SprintTable[[#This Row],[End]],"Closed",IF(StatusDate&gt;=SprintTable[[#This Row],[Start]],"Active","Future")))</f>
        <v/>
      </c>
      <c r="L29" s="85"/>
      <c r="M29" s="55" t="str">
        <f aca="false">IF(SprintTable[[#This Row],[Sprint]]="","",SUMIFS(tsk_LeafPoints,tsk_Sprint,SprintTable[[#This Row],[Sprint]]))</f>
        <v/>
      </c>
      <c r="N29" s="55" t="str">
        <f aca="false">IF(OR(SprintTable[[#This Row],[Sprint]]="",SprintTable[[#This Row],[Status]]="Future"),"",SUMIFS(tsk_LeafPoints,tsk_DoneDate,"&gt;="&amp;SprintTable[[#This Row],[Start]],tsk_DoneDate,"&lt;="&amp;SprintTable[[#This Row],[End]]))</f>
        <v/>
      </c>
      <c r="O29" s="128" t="str">
        <f aca="false">IF(OR(SprintTable[[#This Row],[Sprint]]="",SprintTable[[#This Row],[Status]]&lt;&gt;"Closed"),"",AVERAGE(INDEX(SprintTable[Done Points],MAX(1,SprintTable[[#This Row],[No]]-2)):INDEX(SprintTable[Done Points],SprintTable[[#This Row],[No]])))</f>
        <v/>
      </c>
      <c r="P29" s="55" t="str">
        <f aca="false">IF(OR(SprintTable[[#This Row],[Sprint]]="",SprintTable[[#This Row],[Status]]="Future"),"",TotalPoints-SUMIFS(tsk_LeafPoints,tsk_DoneDate,"&lt;="&amp;MIN(SprintTable[[#This Row],[End]],StatusDate)))</f>
        <v/>
      </c>
      <c r="Q29" s="55" t="str">
        <f aca="false">IF(SprintTable[[#This Row],[Sprint]]="","",TotalPoints-SUMIFS(tsk_LeafPoints,tsk_FcFinish,"&lt;="&amp;SprintTable[[#This Row],[End]]))</f>
        <v/>
      </c>
      <c r="R29" s="55" t="str">
        <f aca="false">IF(SprintTable[[#This Row],[Sprint]]="","",TotalPoints*MAX(0,1-SprintTable[[#This Row],[No]]/SprintCount))</f>
        <v/>
      </c>
      <c r="S29" s="41" t="e">
        <f aca="false">IF(SprintTable[[#This Row],[Remaining Points]]="",NA(),SprintTable[[#This Row],[Remaining Points]])</f>
        <v>#N/A</v>
      </c>
      <c r="T29" s="41" t="n">
        <f aca="false">IFERROR(MATCH(MID("JanFebMarAprMayJunJulAugSepOctNovDec",MONTH(DATE(YEAR(SprintTable[[#This Row],[Start]]),MONTH(SprintTable[[#This Row],[Start]])+0,1))*3-2,3)&amp;"-"&amp;RIGHT(YEAR(DATE(YEAR(SprintTable[[#This Row],[Start]]),MONTH(SprintTable[[#This Row],[Start]])+0,1)),2),LeaveTable[#Headers],0),0)</f>
        <v>20</v>
      </c>
      <c r="U29" s="41" t="n">
        <f aca="false">IFERROR(MATCH(MID("JanFebMarAprMayJunJulAugSepOctNovDec",MONTH(DATE(YEAR(SprintTable[[#This Row],[Start]]),MONTH(SprintTable[[#This Row],[Start]])+1,1))*3-2,3)&amp;"-"&amp;RIGHT(YEAR(DATE(YEAR(SprintTable[[#This Row],[Start]]),MONTH(SprintTable[[#This Row],[Start]])+1,1)),2),LeaveTable[#Headers],0),0)</f>
        <v>21</v>
      </c>
      <c r="V29" s="41" t="n">
        <f aca="false">IFERROR(MATCH(MID("JanFebMarAprMayJunJulAugSepOctNovDec",MONTH(DATE(YEAR(SprintTable[[#This Row],[Start]]),MONTH(SprintTable[[#This Row],[Start]])+2,1))*3-2,3)&amp;"-"&amp;RIGHT(YEAR(DATE(YEAR(SprintTable[[#This Row],[Start]]),MONTH(SprintTable[[#This Row],[Start]])+2,1)),2),LeaveTable[#Headers],0),0)</f>
        <v>22</v>
      </c>
    </row>
    <row r="30" customFormat="false" ht="15" hidden="false" customHeight="false" outlineLevel="0" collapsed="false">
      <c r="A30" s="28" t="n">
        <f aca="false">ROW()-ROW(SprintTable[[#Headers],[No]])</f>
        <v>25</v>
      </c>
      <c r="B30" s="24" t="str">
        <f aca="false">IF(SprintTable[[#This Row],[No]]&lt;=SprintCount,SprintPrefix&amp;SprintTable[[#This Row],[No]],"")</f>
        <v/>
      </c>
      <c r="C30" s="25" t="n">
        <f aca="false">Sprint1Start+(SprintTable[[#This Row],[No]]-1)*SprintLength</f>
        <v>46608</v>
      </c>
      <c r="D30" s="25" t="n">
        <f aca="false">SprintTable[[#This Row],[Start]]+SprintLength-1</f>
        <v>46621</v>
      </c>
      <c r="E30" s="28" t="n">
        <f aca="false">NETWORKDAYS.INTL(SprintTable[[#This Row],[Start]],SprintTable[[#This Row],[End]],WorkWeek,Holidays)</f>
        <v>10</v>
      </c>
      <c r="F30" s="30"/>
      <c r="G30" s="28" t="str">
        <f aca="false">IF(SprintTable[[#This Row],[Sprint]]="","",COUNTIF(tsk_Sprint,SprintTable[[#This Row],[Sprint]]))</f>
        <v/>
      </c>
      <c r="H30"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0"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0" s="97" t="str">
        <f aca="false">IF(OR(SprintTable[[#This Row],[Sprint]]="",N(SprintTable[[#This Row],[Capacity]])=0),"",SprintTable[[#This Row],[Planned Work]]/SprintTable[[#This Row],[Capacity]])</f>
        <v/>
      </c>
      <c r="K30" s="28" t="str">
        <f aca="false">IF(SprintTable[[#This Row],[Sprint]]="","",IF(StatusDate&gt;SprintTable[[#This Row],[End]],"Closed",IF(StatusDate&gt;=SprintTable[[#This Row],[Start]],"Active","Future")))</f>
        <v/>
      </c>
      <c r="L30" s="85"/>
      <c r="M30" s="55" t="str">
        <f aca="false">IF(SprintTable[[#This Row],[Sprint]]="","",SUMIFS(tsk_LeafPoints,tsk_Sprint,SprintTable[[#This Row],[Sprint]]))</f>
        <v/>
      </c>
      <c r="N30" s="55" t="str">
        <f aca="false">IF(OR(SprintTable[[#This Row],[Sprint]]="",SprintTable[[#This Row],[Status]]="Future"),"",SUMIFS(tsk_LeafPoints,tsk_DoneDate,"&gt;="&amp;SprintTable[[#This Row],[Start]],tsk_DoneDate,"&lt;="&amp;SprintTable[[#This Row],[End]]))</f>
        <v/>
      </c>
      <c r="O30" s="128" t="str">
        <f aca="false">IF(OR(SprintTable[[#This Row],[Sprint]]="",SprintTable[[#This Row],[Status]]&lt;&gt;"Closed"),"",AVERAGE(INDEX(SprintTable[Done Points],MAX(1,SprintTable[[#This Row],[No]]-2)):INDEX(SprintTable[Done Points],SprintTable[[#This Row],[No]])))</f>
        <v/>
      </c>
      <c r="P30" s="55" t="str">
        <f aca="false">IF(OR(SprintTable[[#This Row],[Sprint]]="",SprintTable[[#This Row],[Status]]="Future"),"",TotalPoints-SUMIFS(tsk_LeafPoints,tsk_DoneDate,"&lt;="&amp;MIN(SprintTable[[#This Row],[End]],StatusDate)))</f>
        <v/>
      </c>
      <c r="Q30" s="55" t="str">
        <f aca="false">IF(SprintTable[[#This Row],[Sprint]]="","",TotalPoints-SUMIFS(tsk_LeafPoints,tsk_FcFinish,"&lt;="&amp;SprintTable[[#This Row],[End]]))</f>
        <v/>
      </c>
      <c r="R30" s="55" t="str">
        <f aca="false">IF(SprintTable[[#This Row],[Sprint]]="","",TotalPoints*MAX(0,1-SprintTable[[#This Row],[No]]/SprintCount))</f>
        <v/>
      </c>
      <c r="S30" s="41" t="e">
        <f aca="false">IF(SprintTable[[#This Row],[Remaining Points]]="",NA(),SprintTable[[#This Row],[Remaining Points]])</f>
        <v>#N/A</v>
      </c>
      <c r="T30" s="41" t="n">
        <f aca="false">IFERROR(MATCH(MID("JanFebMarAprMayJunJulAugSepOctNovDec",MONTH(DATE(YEAR(SprintTable[[#This Row],[Start]]),MONTH(SprintTable[[#This Row],[Start]])+0,1))*3-2,3)&amp;"-"&amp;RIGHT(YEAR(DATE(YEAR(SprintTable[[#This Row],[Start]]),MONTH(SprintTable[[#This Row],[Start]])+0,1)),2),LeaveTable[#Headers],0),0)</f>
        <v>21</v>
      </c>
      <c r="U30" s="41" t="n">
        <f aca="false">IFERROR(MATCH(MID("JanFebMarAprMayJunJulAugSepOctNovDec",MONTH(DATE(YEAR(SprintTable[[#This Row],[Start]]),MONTH(SprintTable[[#This Row],[Start]])+1,1))*3-2,3)&amp;"-"&amp;RIGHT(YEAR(DATE(YEAR(SprintTable[[#This Row],[Start]]),MONTH(SprintTable[[#This Row],[Start]])+1,1)),2),LeaveTable[#Headers],0),0)</f>
        <v>22</v>
      </c>
      <c r="V30" s="41" t="n">
        <f aca="false">IFERROR(MATCH(MID("JanFebMarAprMayJunJulAugSepOctNovDec",MONTH(DATE(YEAR(SprintTable[[#This Row],[Start]]),MONTH(SprintTable[[#This Row],[Start]])+2,1))*3-2,3)&amp;"-"&amp;RIGHT(YEAR(DATE(YEAR(SprintTable[[#This Row],[Start]]),MONTH(SprintTable[[#This Row],[Start]])+2,1)),2),LeaveTable[#Headers],0),0)</f>
        <v>23</v>
      </c>
    </row>
    <row r="31" customFormat="false" ht="15" hidden="false" customHeight="false" outlineLevel="0" collapsed="false">
      <c r="A31" s="28" t="n">
        <f aca="false">ROW()-ROW(SprintTable[[#Headers],[No]])</f>
        <v>26</v>
      </c>
      <c r="B31" s="24" t="str">
        <f aca="false">IF(SprintTable[[#This Row],[No]]&lt;=SprintCount,SprintPrefix&amp;SprintTable[[#This Row],[No]],"")</f>
        <v/>
      </c>
      <c r="C31" s="25" t="n">
        <f aca="false">Sprint1Start+(SprintTable[[#This Row],[No]]-1)*SprintLength</f>
        <v>46622</v>
      </c>
      <c r="D31" s="25" t="n">
        <f aca="false">SprintTable[[#This Row],[Start]]+SprintLength-1</f>
        <v>46635</v>
      </c>
      <c r="E31" s="28" t="n">
        <f aca="false">NETWORKDAYS.INTL(SprintTable[[#This Row],[Start]],SprintTable[[#This Row],[End]],WorkWeek,Holidays)</f>
        <v>10</v>
      </c>
      <c r="F31" s="30"/>
      <c r="G31" s="28" t="str">
        <f aca="false">IF(SprintTable[[#This Row],[Sprint]]="","",COUNTIF(tsk_Sprint,SprintTable[[#This Row],[Sprint]]))</f>
        <v/>
      </c>
      <c r="H31" s="98"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1" s="98"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1" s="97" t="str">
        <f aca="false">IF(OR(SprintTable[[#This Row],[Sprint]]="",N(SprintTable[[#This Row],[Capacity]])=0),"",SprintTable[[#This Row],[Planned Work]]/SprintTable[[#This Row],[Capacity]])</f>
        <v/>
      </c>
      <c r="K31" s="28" t="str">
        <f aca="false">IF(SprintTable[[#This Row],[Sprint]]="","",IF(StatusDate&gt;SprintTable[[#This Row],[End]],"Closed",IF(StatusDate&gt;=SprintTable[[#This Row],[Start]],"Active","Future")))</f>
        <v/>
      </c>
      <c r="L31" s="85"/>
      <c r="M31" s="55" t="str">
        <f aca="false">IF(SprintTable[[#This Row],[Sprint]]="","",SUMIFS(tsk_LeafPoints,tsk_Sprint,SprintTable[[#This Row],[Sprint]]))</f>
        <v/>
      </c>
      <c r="N31" s="55" t="str">
        <f aca="false">IF(OR(SprintTable[[#This Row],[Sprint]]="",SprintTable[[#This Row],[Status]]="Future"),"",SUMIFS(tsk_LeafPoints,tsk_DoneDate,"&gt;="&amp;SprintTable[[#This Row],[Start]],tsk_DoneDate,"&lt;="&amp;SprintTable[[#This Row],[End]]))</f>
        <v/>
      </c>
      <c r="O31" s="128" t="str">
        <f aca="false">IF(OR(SprintTable[[#This Row],[Sprint]]="",SprintTable[[#This Row],[Status]]&lt;&gt;"Closed"),"",AVERAGE(INDEX(SprintTable[Done Points],MAX(1,SprintTable[[#This Row],[No]]-2)):INDEX(SprintTable[Done Points],SprintTable[[#This Row],[No]])))</f>
        <v/>
      </c>
      <c r="P31" s="55" t="str">
        <f aca="false">IF(OR(SprintTable[[#This Row],[Sprint]]="",SprintTable[[#This Row],[Status]]="Future"),"",TotalPoints-SUMIFS(tsk_LeafPoints,tsk_DoneDate,"&lt;="&amp;MIN(SprintTable[[#This Row],[End]],StatusDate)))</f>
        <v/>
      </c>
      <c r="Q31" s="55" t="str">
        <f aca="false">IF(SprintTable[[#This Row],[Sprint]]="","",TotalPoints-SUMIFS(tsk_LeafPoints,tsk_FcFinish,"&lt;="&amp;SprintTable[[#This Row],[End]]))</f>
        <v/>
      </c>
      <c r="R31" s="55" t="str">
        <f aca="false">IF(SprintTable[[#This Row],[Sprint]]="","",TotalPoints*MAX(0,1-SprintTable[[#This Row],[No]]/SprintCount))</f>
        <v/>
      </c>
      <c r="S31" s="41" t="e">
        <f aca="false">IF(SprintTable[[#This Row],[Remaining Points]]="",NA(),SprintTable[[#This Row],[Remaining Points]])</f>
        <v>#N/A</v>
      </c>
      <c r="T31" s="41" t="n">
        <f aca="false">IFERROR(MATCH(MID("JanFebMarAprMayJunJulAugSepOctNovDec",MONTH(DATE(YEAR(SprintTable[[#This Row],[Start]]),MONTH(SprintTable[[#This Row],[Start]])+0,1))*3-2,3)&amp;"-"&amp;RIGHT(YEAR(DATE(YEAR(SprintTable[[#This Row],[Start]]),MONTH(SprintTable[[#This Row],[Start]])+0,1)),2),LeaveTable[#Headers],0),0)</f>
        <v>21</v>
      </c>
      <c r="U31" s="41" t="n">
        <f aca="false">IFERROR(MATCH(MID("JanFebMarAprMayJunJulAugSepOctNovDec",MONTH(DATE(YEAR(SprintTable[[#This Row],[Start]]),MONTH(SprintTable[[#This Row],[Start]])+1,1))*3-2,3)&amp;"-"&amp;RIGHT(YEAR(DATE(YEAR(SprintTable[[#This Row],[Start]]),MONTH(SprintTable[[#This Row],[Start]])+1,1)),2),LeaveTable[#Headers],0),0)</f>
        <v>22</v>
      </c>
      <c r="V31" s="41" t="n">
        <f aca="false">IFERROR(MATCH(MID("JanFebMarAprMayJunJulAugSepOctNovDec",MONTH(DATE(YEAR(SprintTable[[#This Row],[Start]]),MONTH(SprintTable[[#This Row],[Start]])+2,1))*3-2,3)&amp;"-"&amp;RIGHT(YEAR(DATE(YEAR(SprintTable[[#This Row],[Start]]),MONTH(SprintTable[[#This Row],[Start]])+2,1)),2),LeaveTable[#Headers],0),0)</f>
        <v>23</v>
      </c>
    </row>
    <row r="33" customFormat="false" ht="15" hidden="false" customHeight="false" outlineLevel="0" collapsed="false">
      <c r="A33" s="56" t="s">
        <v>719</v>
      </c>
    </row>
    <row r="34" customFormat="false" ht="15" hidden="false" customHeight="false" outlineLevel="0" collapsed="false">
      <c r="B34" s="9" t="s">
        <v>223</v>
      </c>
      <c r="C34" s="9" t="s">
        <v>229</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58" t="s">
        <v>720</v>
      </c>
      <c r="D35" s="129" t="n">
        <f aca="false">IFERROR(IF(INDEX(spr_Name,(COLUMN()-COLUMN(load_Origin)-1))="","",INDEX(spr_Start,(COLUMN()-COLUMN(load_Origin)-1))),"")</f>
        <v>46272</v>
      </c>
      <c r="E35" s="129" t="n">
        <f aca="false">IFERROR(IF(INDEX(spr_Name,(COLUMN()-COLUMN(load_Origin)-1))="","",INDEX(spr_Start,(COLUMN()-COLUMN(load_Origin)-1))),"")</f>
        <v>46286</v>
      </c>
      <c r="F35" s="129" t="n">
        <f aca="false">IFERROR(IF(INDEX(spr_Name,(COLUMN()-COLUMN(load_Origin)-1))="","",INDEX(spr_Start,(COLUMN()-COLUMN(load_Origin)-1))),"")</f>
        <v>46300</v>
      </c>
      <c r="G35" s="129" t="n">
        <f aca="false">IFERROR(IF(INDEX(spr_Name,(COLUMN()-COLUMN(load_Origin)-1))="","",INDEX(spr_Start,(COLUMN()-COLUMN(load_Origin)-1))),"")</f>
        <v>46314</v>
      </c>
      <c r="H35" s="129" t="n">
        <f aca="false">IFERROR(IF(INDEX(spr_Name,(COLUMN()-COLUMN(load_Origin)-1))="","",INDEX(spr_Start,(COLUMN()-COLUMN(load_Origin)-1))),"")</f>
        <v>46328</v>
      </c>
      <c r="I35" s="129" t="n">
        <f aca="false">IFERROR(IF(INDEX(spr_Name,(COLUMN()-COLUMN(load_Origin)-1))="","",INDEX(spr_Start,(COLUMN()-COLUMN(load_Origin)-1))),"")</f>
        <v>46342</v>
      </c>
      <c r="J35" s="129" t="n">
        <f aca="false">IFERROR(IF(INDEX(spr_Name,(COLUMN()-COLUMN(load_Origin)-1))="","",INDEX(spr_Start,(COLUMN()-COLUMN(load_Origin)-1))),"")</f>
        <v>46356</v>
      </c>
      <c r="K35" s="129" t="n">
        <f aca="false">IFERROR(IF(INDEX(spr_Name,(COLUMN()-COLUMN(load_Origin)-1))="","",INDEX(spr_Start,(COLUMN()-COLUMN(load_Origin)-1))),"")</f>
        <v>46370</v>
      </c>
      <c r="L35" s="129" t="n">
        <f aca="false">IFERROR(IF(INDEX(spr_Name,(COLUMN()-COLUMN(load_Origin)-1))="","",INDEX(spr_Start,(COLUMN()-COLUMN(load_Origin)-1))),"")</f>
        <v>46384</v>
      </c>
      <c r="M35" s="129" t="n">
        <f aca="false">IFERROR(IF(INDEX(spr_Name,(COLUMN()-COLUMN(load_Origin)-1))="","",INDEX(spr_Start,(COLUMN()-COLUMN(load_Origin)-1))),"")</f>
        <v>46398</v>
      </c>
      <c r="N35" s="129" t="n">
        <f aca="false">IFERROR(IF(INDEX(spr_Name,(COLUMN()-COLUMN(load_Origin)-1))="","",INDEX(spr_Start,(COLUMN()-COLUMN(load_Origin)-1))),"")</f>
        <v>46412</v>
      </c>
      <c r="O35" s="129" t="n">
        <f aca="false">IFERROR(IF(INDEX(spr_Name,(COLUMN()-COLUMN(load_Origin)-1))="","",INDEX(spr_Start,(COLUMN()-COLUMN(load_Origin)-1))),"")</f>
        <v>46426</v>
      </c>
      <c r="P35" s="129" t="str">
        <f aca="false">IFERROR(IF(INDEX(spr_Name,(COLUMN()-COLUMN(load_Origin)-1))="","",INDEX(spr_Start,(COLUMN()-COLUMN(load_Origin)-1))),"")</f>
        <v/>
      </c>
      <c r="Q35" s="129" t="str">
        <f aca="false">IFERROR(IF(INDEX(spr_Name,(COLUMN()-COLUMN(load_Origin)-1))="","",INDEX(spr_Start,(COLUMN()-COLUMN(load_Origin)-1))),"")</f>
        <v/>
      </c>
      <c r="R35" s="129" t="str">
        <f aca="false">IFERROR(IF(INDEX(spr_Name,(COLUMN()-COLUMN(load_Origin)-1))="","",INDEX(spr_Start,(COLUMN()-COLUMN(load_Origin)-1))),"")</f>
        <v/>
      </c>
      <c r="S35" s="129" t="str">
        <f aca="false">IFERROR(IF(INDEX(spr_Name,(COLUMN()-COLUMN(load_Origin)-1))="","",INDEX(spr_Start,(COLUMN()-COLUMN(load_Origin)-1))),"")</f>
        <v/>
      </c>
      <c r="T35" s="129" t="str">
        <f aca="false">IFERROR(IF(INDEX(spr_Name,(COLUMN()-COLUMN(load_Origin)-1))="","",INDEX(spr_Start,(COLUMN()-COLUMN(load_Origin)-1))),"")</f>
        <v/>
      </c>
      <c r="U35" s="129" t="str">
        <f aca="false">IFERROR(IF(INDEX(spr_Name,(COLUMN()-COLUMN(load_Origin)-1))="","",INDEX(spr_Start,(COLUMN()-COLUMN(load_Origin)-1))),"")</f>
        <v/>
      </c>
      <c r="V35" s="129" t="str">
        <f aca="false">IFERROR(IF(INDEX(spr_Name,(COLUMN()-COLUMN(load_Origin)-1))="","",INDEX(spr_Start,(COLUMN()-COLUMN(load_Origin)-1))),"")</f>
        <v/>
      </c>
      <c r="W35" s="129" t="str">
        <f aca="false">IFERROR(IF(INDEX(spr_Name,(COLUMN()-COLUMN(load_Origin)-1))="","",INDEX(spr_Start,(COLUMN()-COLUMN(load_Origin)-1))),"")</f>
        <v/>
      </c>
      <c r="X35" s="129" t="str">
        <f aca="false">IFERROR(IF(INDEX(spr_Name,(COLUMN()-COLUMN(load_Origin)-1))="","",INDEX(spr_Start,(COLUMN()-COLUMN(load_Origin)-1))),"")</f>
        <v/>
      </c>
      <c r="Y35" s="129" t="str">
        <f aca="false">IFERROR(IF(INDEX(spr_Name,(COLUMN()-COLUMN(load_Origin)-1))="","",INDEX(spr_Start,(COLUMN()-COLUMN(load_Origin)-1))),"")</f>
        <v/>
      </c>
      <c r="Z35" s="129" t="str">
        <f aca="false">IFERROR(IF(INDEX(spr_Name,(COLUMN()-COLUMN(load_Origin)-1))="","",INDEX(spr_Start,(COLUMN()-COLUMN(load_Origin)-1))),"")</f>
        <v/>
      </c>
      <c r="AA35" s="129" t="str">
        <f aca="false">IFERROR(IF(INDEX(spr_Name,(COLUMN()-COLUMN(load_Origin)-1))="","",INDEX(spr_Start,(COLUMN()-COLUMN(load_Origin)-1))),"")</f>
        <v/>
      </c>
      <c r="AB35" s="129" t="str">
        <f aca="false">IFERROR(IF(INDEX(spr_Name,(COLUMN()-COLUMN(load_Origin)-1))="","",INDEX(spr_Start,(COLUMN()-COLUMN(load_Origin)-1))),"")</f>
        <v/>
      </c>
      <c r="AC35" s="129" t="str">
        <f aca="false">IFERROR(IF(INDEX(spr_Name,(COLUMN()-COLUMN(load_Origin)-1))="","",INDEX(spr_Start,(COLUMN()-COLUMN(load_Origin)-1))),"")</f>
        <v/>
      </c>
    </row>
    <row r="36" customFormat="false" ht="15" hidden="false" customHeight="false" outlineLevel="0" collapsed="false">
      <c r="B36" s="31" t="str">
        <f aca="false">IFERROR(INDEX(res_Name,(ROW()-ROW(load_Origin)-1))&amp;"","")</f>
        <v>Priya Sharma</v>
      </c>
      <c r="C36" s="60" t="n">
        <f aca="false">IFERROR(IF(INDEX(res_Name,(ROW()-ROW(load_Origin)-1))="","",INDEX(res_MaxUnits,(ROW()-ROW(load_Origin)-1))),"")</f>
        <v>0.5</v>
      </c>
      <c r="D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24</v>
      </c>
      <c r="E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J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L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16</v>
      </c>
      <c r="M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6"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7" customFormat="false" ht="15" hidden="false" customHeight="false" outlineLevel="0" collapsed="false">
      <c r="B37" s="31" t="str">
        <f aca="false">IFERROR(INDEX(res_Name,(ROW()-ROW(load_Origin)-1))&amp;"","")</f>
        <v>Morgan Patel</v>
      </c>
      <c r="C37" s="60" t="n">
        <f aca="false">IFERROR(IF(INDEX(res_Name,(ROW()-ROW(load_Origin)-1))="","",INDEX(res_MaxUnits,(ROW()-ROW(load_Origin)-1))),"")</f>
        <v>1</v>
      </c>
      <c r="D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44.4444444444445</v>
      </c>
      <c r="E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35.5555555555556</v>
      </c>
      <c r="F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40</v>
      </c>
      <c r="K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8</v>
      </c>
      <c r="L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7"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8" customFormat="false" ht="15" hidden="false" customHeight="false" outlineLevel="0" collapsed="false">
      <c r="B38" s="31" t="str">
        <f aca="false">IFERROR(INDEX(res_Name,(ROW()-ROW(load_Origin)-1))&amp;"","")</f>
        <v>Alex Chen</v>
      </c>
      <c r="C38" s="60" t="n">
        <f aca="false">IFERROR(IF(INDEX(res_Name,(ROW()-ROW(load_Origin)-1))="","",INDEX(res_MaxUnits,(ROW()-ROW(load_Origin)-1))),"")</f>
        <v>0.5</v>
      </c>
      <c r="D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6.66666666666667</v>
      </c>
      <c r="E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33.3333333333333</v>
      </c>
      <c r="F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I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8"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9" customFormat="false" ht="15" hidden="false" customHeight="false" outlineLevel="0" collapsed="false">
      <c r="B39" s="31" t="str">
        <f aca="false">IFERROR(INDEX(res_Name,(ROW()-ROW(load_Origin)-1))&amp;"","")</f>
        <v>Casey Kim</v>
      </c>
      <c r="C39" s="60" t="n">
        <f aca="false">IFERROR(IF(INDEX(res_Name,(ROW()-ROW(load_Origin)-1))="","",INDEX(res_MaxUnits,(ROW()-ROW(load_Origin)-1))),"")</f>
        <v>1</v>
      </c>
      <c r="D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34.2857142857143</v>
      </c>
      <c r="F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13.7142857142857</v>
      </c>
      <c r="G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20</v>
      </c>
      <c r="I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12</v>
      </c>
      <c r="J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39"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0" customFormat="false" ht="15" hidden="false" customHeight="false" outlineLevel="0" collapsed="false">
      <c r="B40" s="31" t="str">
        <f aca="false">IFERROR(INDEX(res_Name,(ROW()-ROW(load_Origin)-1))&amp;"","")</f>
        <v>Jordan Lee</v>
      </c>
      <c r="C40" s="60" t="n">
        <f aca="false">IFERROR(IF(INDEX(res_Name,(ROW()-ROW(load_Origin)-1))="","",INDEX(res_MaxUnits,(ROW()-ROW(load_Origin)-1))),"")</f>
        <v>1</v>
      </c>
      <c r="D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53.3333333333333</v>
      </c>
      <c r="G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66.6666666666667</v>
      </c>
      <c r="H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48</v>
      </c>
      <c r="I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24</v>
      </c>
      <c r="L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16</v>
      </c>
      <c r="M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0"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1" customFormat="false" ht="15" hidden="false" customHeight="false" outlineLevel="0" collapsed="false">
      <c r="B41" s="31" t="str">
        <f aca="false">IFERROR(INDEX(res_Name,(ROW()-ROW(load_Origin)-1))&amp;"","")</f>
        <v>Sam Rivera</v>
      </c>
      <c r="C41" s="60" t="n">
        <f aca="false">IFERROR(IF(INDEX(res_Name,(ROW()-ROW(load_Origin)-1))="","",INDEX(res_MaxUnits,(ROW()-ROW(load_Origin)-1))),"")</f>
        <v>1</v>
      </c>
      <c r="D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48</v>
      </c>
      <c r="G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68.5714285714286</v>
      </c>
      <c r="H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27.4285714285714</v>
      </c>
      <c r="I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J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1"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2" customFormat="false" ht="15" hidden="false" customHeight="false" outlineLevel="0" collapsed="false">
      <c r="B42" s="31" t="str">
        <f aca="false">IFERROR(INDEX(res_Name,(ROW()-ROW(load_Origin)-1))&amp;"","")</f>
        <v>Taylor Morgan</v>
      </c>
      <c r="C42" s="60" t="n">
        <f aca="false">IFERROR(IF(INDEX(res_Name,(ROW()-ROW(load_Origin)-1))="","",INDEX(res_MaxUnits,(ROW()-ROW(load_Origin)-1))),"")</f>
        <v>1</v>
      </c>
      <c r="D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E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F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G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H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32</v>
      </c>
      <c r="I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32</v>
      </c>
      <c r="J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K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L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M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N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O42" s="61"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0</v>
      </c>
      <c r="P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3" customFormat="false" ht="15" hidden="false" customHeight="false" outlineLevel="0" collapsed="false">
      <c r="B43" s="31" t="str">
        <f aca="false">IFERROR(INDEX(res_Name,(ROW()-ROW(load_Origin)-1))&amp;"","")</f>
        <v/>
      </c>
      <c r="C43" s="60" t="str">
        <f aca="false">IFERROR(IF(INDEX(res_Name,(ROW()-ROW(load_Origin)-1))="","",INDEX(res_MaxUnits,(ROW()-ROW(load_Origin)-1))),"")</f>
        <v/>
      </c>
      <c r="D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4" customFormat="false" ht="15" hidden="false" customHeight="false" outlineLevel="0" collapsed="false">
      <c r="B44" s="31" t="str">
        <f aca="false">IFERROR(INDEX(res_Name,(ROW()-ROW(load_Origin)-1))&amp;"","")</f>
        <v/>
      </c>
      <c r="C44" s="60" t="str">
        <f aca="false">IFERROR(IF(INDEX(res_Name,(ROW()-ROW(load_Origin)-1))="","",INDEX(res_MaxUnits,(ROW()-ROW(load_Origin)-1))),"")</f>
        <v/>
      </c>
      <c r="D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5" customFormat="false" ht="15" hidden="false" customHeight="false" outlineLevel="0" collapsed="false">
      <c r="B45" s="31" t="str">
        <f aca="false">IFERROR(INDEX(res_Name,(ROW()-ROW(load_Origin)-1))&amp;"","")</f>
        <v/>
      </c>
      <c r="C45" s="60" t="str">
        <f aca="false">IFERROR(IF(INDEX(res_Name,(ROW()-ROW(load_Origin)-1))="","",INDEX(res_MaxUnits,(ROW()-ROW(load_Origin)-1))),"")</f>
        <v/>
      </c>
      <c r="D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6" customFormat="false" ht="15" hidden="false" customHeight="false" outlineLevel="0" collapsed="false">
      <c r="B46" s="31" t="str">
        <f aca="false">IFERROR(INDEX(res_Name,(ROW()-ROW(load_Origin)-1))&amp;"","")</f>
        <v/>
      </c>
      <c r="C46" s="60" t="str">
        <f aca="false">IFERROR(IF(INDEX(res_Name,(ROW()-ROW(load_Origin)-1))="","",INDEX(res_MaxUnits,(ROW()-ROW(load_Origin)-1))),"")</f>
        <v/>
      </c>
      <c r="D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7" customFormat="false" ht="15" hidden="false" customHeight="false" outlineLevel="0" collapsed="false">
      <c r="B47" s="31" t="str">
        <f aca="false">IFERROR(INDEX(res_Name,(ROW()-ROW(load_Origin)-1))&amp;"","")</f>
        <v/>
      </c>
      <c r="C47" s="60" t="str">
        <f aca="false">IFERROR(IF(INDEX(res_Name,(ROW()-ROW(load_Origin)-1))="","",INDEX(res_MaxUnits,(ROW()-ROW(load_Origin)-1))),"")</f>
        <v/>
      </c>
      <c r="D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8" customFormat="false" ht="15" hidden="false" customHeight="false" outlineLevel="0" collapsed="false">
      <c r="B48" s="31" t="str">
        <f aca="false">IFERROR(INDEX(res_Name,(ROW()-ROW(load_Origin)-1))&amp;"","")</f>
        <v/>
      </c>
      <c r="C48" s="60" t="str">
        <f aca="false">IFERROR(IF(INDEX(res_Name,(ROW()-ROW(load_Origin)-1))="","",INDEX(res_MaxUnits,(ROW()-ROW(load_Origin)-1))),"")</f>
        <v/>
      </c>
      <c r="D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9" customFormat="false" ht="15" hidden="false" customHeight="false" outlineLevel="0" collapsed="false">
      <c r="B49" s="31" t="str">
        <f aca="false">IFERROR(INDEX(res_Name,(ROW()-ROW(load_Origin)-1))&amp;"","")</f>
        <v/>
      </c>
      <c r="C49" s="60" t="str">
        <f aca="false">IFERROR(IF(INDEX(res_Name,(ROW()-ROW(load_Origin)-1))="","",INDEX(res_MaxUnits,(ROW()-ROW(load_Origin)-1))),"")</f>
        <v/>
      </c>
      <c r="D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0" customFormat="false" ht="15" hidden="false" customHeight="false" outlineLevel="0" collapsed="false">
      <c r="B50" s="31" t="str">
        <f aca="false">IFERROR(INDEX(res_Name,(ROW()-ROW(load_Origin)-1))&amp;"","")</f>
        <v/>
      </c>
      <c r="C50" s="60" t="str">
        <f aca="false">IFERROR(IF(INDEX(res_Name,(ROW()-ROW(load_Origin)-1))="","",INDEX(res_MaxUnits,(ROW()-ROW(load_Origin)-1))),"")</f>
        <v/>
      </c>
      <c r="D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1" customFormat="false" ht="15" hidden="false" customHeight="false" outlineLevel="0" collapsed="false">
      <c r="B51" s="31" t="str">
        <f aca="false">IFERROR(INDEX(res_Name,(ROW()-ROW(load_Origin)-1))&amp;"","")</f>
        <v/>
      </c>
      <c r="C51" s="60" t="str">
        <f aca="false">IFERROR(IF(INDEX(res_Name,(ROW()-ROW(load_Origin)-1))="","",INDEX(res_MaxUnits,(ROW()-ROW(load_Origin)-1))),"")</f>
        <v/>
      </c>
      <c r="D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1"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2" customFormat="false" ht="15" hidden="false" customHeight="false" outlineLevel="0" collapsed="false">
      <c r="B52" s="31" t="str">
        <f aca="false">IFERROR(INDEX(res_Name,(ROW()-ROW(load_Origin)-1))&amp;"","")</f>
        <v/>
      </c>
      <c r="C52" s="60" t="str">
        <f aca="false">IFERROR(IF(INDEX(res_Name,(ROW()-ROW(load_Origin)-1))="","",INDEX(res_MaxUnits,(ROW()-ROW(load_Origin)-1))),"")</f>
        <v/>
      </c>
      <c r="D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2"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3" customFormat="false" ht="15" hidden="false" customHeight="false" outlineLevel="0" collapsed="false">
      <c r="B53" s="31" t="str">
        <f aca="false">IFERROR(INDEX(res_Name,(ROW()-ROW(load_Origin)-1))&amp;"","")</f>
        <v/>
      </c>
      <c r="C53" s="60" t="str">
        <f aca="false">IFERROR(IF(INDEX(res_Name,(ROW()-ROW(load_Origin)-1))="","",INDEX(res_MaxUnits,(ROW()-ROW(load_Origin)-1))),"")</f>
        <v/>
      </c>
      <c r="D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3"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4" customFormat="false" ht="15" hidden="false" customHeight="false" outlineLevel="0" collapsed="false">
      <c r="B54" s="31" t="str">
        <f aca="false">IFERROR(INDEX(res_Name,(ROW()-ROW(load_Origin)-1))&amp;"","")</f>
        <v/>
      </c>
      <c r="C54" s="60" t="str">
        <f aca="false">IFERROR(IF(INDEX(res_Name,(ROW()-ROW(load_Origin)-1))="","",INDEX(res_MaxUnits,(ROW()-ROW(load_Origin)-1))),"")</f>
        <v/>
      </c>
      <c r="D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4"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5" customFormat="false" ht="15" hidden="false" customHeight="false" outlineLevel="0" collapsed="false">
      <c r="B55" s="31" t="str">
        <f aca="false">IFERROR(INDEX(res_Name,(ROW()-ROW(load_Origin)-1))&amp;"","")</f>
        <v/>
      </c>
      <c r="C55" s="60" t="str">
        <f aca="false">IFERROR(IF(INDEX(res_Name,(ROW()-ROW(load_Origin)-1))="","",INDEX(res_MaxUnits,(ROW()-ROW(load_Origin)-1))),"")</f>
        <v/>
      </c>
      <c r="D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5"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6" customFormat="false" ht="15" hidden="false" customHeight="false" outlineLevel="0" collapsed="false">
      <c r="B56" s="31" t="str">
        <f aca="false">IFERROR(INDEX(res_Name,(ROW()-ROW(load_Origin)-1))&amp;"","")</f>
        <v/>
      </c>
      <c r="C56" s="60" t="str">
        <f aca="false">IFERROR(IF(INDEX(res_Name,(ROW()-ROW(load_Origin)-1))="","",INDEX(res_MaxUnits,(ROW()-ROW(load_Origin)-1))),"")</f>
        <v/>
      </c>
      <c r="D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6"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7" customFormat="false" ht="15" hidden="false" customHeight="false" outlineLevel="0" collapsed="false">
      <c r="B57" s="31" t="str">
        <f aca="false">IFERROR(INDEX(res_Name,(ROW()-ROW(load_Origin)-1))&amp;"","")</f>
        <v/>
      </c>
      <c r="C57" s="60" t="str">
        <f aca="false">IFERROR(IF(INDEX(res_Name,(ROW()-ROW(load_Origin)-1))="","",INDEX(res_MaxUnits,(ROW()-ROW(load_Origin)-1))),"")</f>
        <v/>
      </c>
      <c r="D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7"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8" customFormat="false" ht="15" hidden="false" customHeight="false" outlineLevel="0" collapsed="false">
      <c r="B58" s="31" t="str">
        <f aca="false">IFERROR(INDEX(res_Name,(ROW()-ROW(load_Origin)-1))&amp;"","")</f>
        <v/>
      </c>
      <c r="C58" s="60" t="str">
        <f aca="false">IFERROR(IF(INDEX(res_Name,(ROW()-ROW(load_Origin)-1))="","",INDEX(res_MaxUnits,(ROW()-ROW(load_Origin)-1))),"")</f>
        <v/>
      </c>
      <c r="D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8"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9" customFormat="false" ht="15" hidden="false" customHeight="false" outlineLevel="0" collapsed="false">
      <c r="B59" s="31" t="str">
        <f aca="false">IFERROR(INDEX(res_Name,(ROW()-ROW(load_Origin)-1))&amp;"","")</f>
        <v/>
      </c>
      <c r="C59" s="60" t="str">
        <f aca="false">IFERROR(IF(INDEX(res_Name,(ROW()-ROW(load_Origin)-1))="","",INDEX(res_MaxUnits,(ROW()-ROW(load_Origin)-1))),"")</f>
        <v/>
      </c>
      <c r="D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9"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0" customFormat="false" ht="15" hidden="false" customHeight="false" outlineLevel="0" collapsed="false">
      <c r="B60" s="31" t="str">
        <f aca="false">IFERROR(INDEX(res_Name,(ROW()-ROW(load_Origin)-1))&amp;"","")</f>
        <v/>
      </c>
      <c r="C60" s="60" t="str">
        <f aca="false">IFERROR(IF(INDEX(res_Name,(ROW()-ROW(load_Origin)-1))="","",INDEX(res_MaxUnits,(ROW()-ROW(load_Origin)-1))),"")</f>
        <v/>
      </c>
      <c r="D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60" s="61"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3" customFormat="false" ht="15" hidden="false" customHeight="false" outlineLevel="0" collapsed="false">
      <c r="A63" s="56" t="s">
        <v>721</v>
      </c>
    </row>
    <row r="64" customFormat="false" ht="15" hidden="false" customHeight="false" outlineLevel="0" collapsed="false">
      <c r="B64" s="9" t="s">
        <v>223</v>
      </c>
      <c r="C64" s="9" t="s">
        <v>229</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58" t="s">
        <v>720</v>
      </c>
      <c r="D65" s="129" t="n">
        <f aca="false">IFERROR(IF(INDEX(spr_Name,(COLUMN()-COLUMN(util_Origin)-1))="","",INDEX(spr_Start,(COLUMN()-COLUMN(util_Origin)-1))),"")</f>
        <v>46272</v>
      </c>
      <c r="E65" s="129" t="n">
        <f aca="false">IFERROR(IF(INDEX(spr_Name,(COLUMN()-COLUMN(util_Origin)-1))="","",INDEX(spr_Start,(COLUMN()-COLUMN(util_Origin)-1))),"")</f>
        <v>46286</v>
      </c>
      <c r="F65" s="129" t="n">
        <f aca="false">IFERROR(IF(INDEX(spr_Name,(COLUMN()-COLUMN(util_Origin)-1))="","",INDEX(spr_Start,(COLUMN()-COLUMN(util_Origin)-1))),"")</f>
        <v>46300</v>
      </c>
      <c r="G65" s="129" t="n">
        <f aca="false">IFERROR(IF(INDEX(spr_Name,(COLUMN()-COLUMN(util_Origin)-1))="","",INDEX(spr_Start,(COLUMN()-COLUMN(util_Origin)-1))),"")</f>
        <v>46314</v>
      </c>
      <c r="H65" s="129" t="n">
        <f aca="false">IFERROR(IF(INDEX(spr_Name,(COLUMN()-COLUMN(util_Origin)-1))="","",INDEX(spr_Start,(COLUMN()-COLUMN(util_Origin)-1))),"")</f>
        <v>46328</v>
      </c>
      <c r="I65" s="129" t="n">
        <f aca="false">IFERROR(IF(INDEX(spr_Name,(COLUMN()-COLUMN(util_Origin)-1))="","",INDEX(spr_Start,(COLUMN()-COLUMN(util_Origin)-1))),"")</f>
        <v>46342</v>
      </c>
      <c r="J65" s="129" t="n">
        <f aca="false">IFERROR(IF(INDEX(spr_Name,(COLUMN()-COLUMN(util_Origin)-1))="","",INDEX(spr_Start,(COLUMN()-COLUMN(util_Origin)-1))),"")</f>
        <v>46356</v>
      </c>
      <c r="K65" s="129" t="n">
        <f aca="false">IFERROR(IF(INDEX(spr_Name,(COLUMN()-COLUMN(util_Origin)-1))="","",INDEX(spr_Start,(COLUMN()-COLUMN(util_Origin)-1))),"")</f>
        <v>46370</v>
      </c>
      <c r="L65" s="129" t="n">
        <f aca="false">IFERROR(IF(INDEX(spr_Name,(COLUMN()-COLUMN(util_Origin)-1))="","",INDEX(spr_Start,(COLUMN()-COLUMN(util_Origin)-1))),"")</f>
        <v>46384</v>
      </c>
      <c r="M65" s="129" t="n">
        <f aca="false">IFERROR(IF(INDEX(spr_Name,(COLUMN()-COLUMN(util_Origin)-1))="","",INDEX(spr_Start,(COLUMN()-COLUMN(util_Origin)-1))),"")</f>
        <v>46398</v>
      </c>
      <c r="N65" s="129" t="n">
        <f aca="false">IFERROR(IF(INDEX(spr_Name,(COLUMN()-COLUMN(util_Origin)-1))="","",INDEX(spr_Start,(COLUMN()-COLUMN(util_Origin)-1))),"")</f>
        <v>46412</v>
      </c>
      <c r="O65" s="129" t="n">
        <f aca="false">IFERROR(IF(INDEX(spr_Name,(COLUMN()-COLUMN(util_Origin)-1))="","",INDEX(spr_Start,(COLUMN()-COLUMN(util_Origin)-1))),"")</f>
        <v>46426</v>
      </c>
      <c r="P65" s="129" t="str">
        <f aca="false">IFERROR(IF(INDEX(spr_Name,(COLUMN()-COLUMN(util_Origin)-1))="","",INDEX(spr_Start,(COLUMN()-COLUMN(util_Origin)-1))),"")</f>
        <v/>
      </c>
      <c r="Q65" s="129" t="str">
        <f aca="false">IFERROR(IF(INDEX(spr_Name,(COLUMN()-COLUMN(util_Origin)-1))="","",INDEX(spr_Start,(COLUMN()-COLUMN(util_Origin)-1))),"")</f>
        <v/>
      </c>
      <c r="R65" s="129" t="str">
        <f aca="false">IFERROR(IF(INDEX(spr_Name,(COLUMN()-COLUMN(util_Origin)-1))="","",INDEX(spr_Start,(COLUMN()-COLUMN(util_Origin)-1))),"")</f>
        <v/>
      </c>
      <c r="S65" s="129" t="str">
        <f aca="false">IFERROR(IF(INDEX(spr_Name,(COLUMN()-COLUMN(util_Origin)-1))="","",INDEX(spr_Start,(COLUMN()-COLUMN(util_Origin)-1))),"")</f>
        <v/>
      </c>
      <c r="T65" s="129" t="str">
        <f aca="false">IFERROR(IF(INDEX(spr_Name,(COLUMN()-COLUMN(util_Origin)-1))="","",INDEX(spr_Start,(COLUMN()-COLUMN(util_Origin)-1))),"")</f>
        <v/>
      </c>
      <c r="U65" s="129" t="str">
        <f aca="false">IFERROR(IF(INDEX(spr_Name,(COLUMN()-COLUMN(util_Origin)-1))="","",INDEX(spr_Start,(COLUMN()-COLUMN(util_Origin)-1))),"")</f>
        <v/>
      </c>
      <c r="V65" s="129" t="str">
        <f aca="false">IFERROR(IF(INDEX(spr_Name,(COLUMN()-COLUMN(util_Origin)-1))="","",INDEX(spr_Start,(COLUMN()-COLUMN(util_Origin)-1))),"")</f>
        <v/>
      </c>
      <c r="W65" s="129" t="str">
        <f aca="false">IFERROR(IF(INDEX(spr_Name,(COLUMN()-COLUMN(util_Origin)-1))="","",INDEX(spr_Start,(COLUMN()-COLUMN(util_Origin)-1))),"")</f>
        <v/>
      </c>
      <c r="X65" s="129" t="str">
        <f aca="false">IFERROR(IF(INDEX(spr_Name,(COLUMN()-COLUMN(util_Origin)-1))="","",INDEX(spr_Start,(COLUMN()-COLUMN(util_Origin)-1))),"")</f>
        <v/>
      </c>
      <c r="Y65" s="129" t="str">
        <f aca="false">IFERROR(IF(INDEX(spr_Name,(COLUMN()-COLUMN(util_Origin)-1))="","",INDEX(spr_Start,(COLUMN()-COLUMN(util_Origin)-1))),"")</f>
        <v/>
      </c>
      <c r="Z65" s="129" t="str">
        <f aca="false">IFERROR(IF(INDEX(spr_Name,(COLUMN()-COLUMN(util_Origin)-1))="","",INDEX(spr_Start,(COLUMN()-COLUMN(util_Origin)-1))),"")</f>
        <v/>
      </c>
      <c r="AA65" s="129" t="str">
        <f aca="false">IFERROR(IF(INDEX(spr_Name,(COLUMN()-COLUMN(util_Origin)-1))="","",INDEX(spr_Start,(COLUMN()-COLUMN(util_Origin)-1))),"")</f>
        <v/>
      </c>
      <c r="AB65" s="129" t="str">
        <f aca="false">IFERROR(IF(INDEX(spr_Name,(COLUMN()-COLUMN(util_Origin)-1))="","",INDEX(spr_Start,(COLUMN()-COLUMN(util_Origin)-1))),"")</f>
        <v/>
      </c>
      <c r="AC65" s="129" t="str">
        <f aca="false">IFERROR(IF(INDEX(spr_Name,(COLUMN()-COLUMN(util_Origin)-1))="","",INDEX(spr_Start,(COLUMN()-COLUMN(util_Origin)-1))),"")</f>
        <v/>
      </c>
    </row>
    <row r="66" customFormat="false" ht="15" hidden="false" customHeight="false" outlineLevel="0" collapsed="false">
      <c r="B66" s="31" t="str">
        <f aca="false">IFERROR(INDEX(res_Name,(ROW()-ROW(util_Origin)-1))&amp;"","")</f>
        <v>Priya Sharma</v>
      </c>
      <c r="C66" s="60" t="n">
        <f aca="false">IFERROR(IF(INDEX(res_Name,(ROW()-ROW(util_Origin)-1))="","",INDEX(res_MaxUnits,(ROW()-ROW(util_Origin)-1))),"")</f>
        <v>0.5</v>
      </c>
      <c r="D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E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v>
      </c>
      <c r="J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L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M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6"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7" customFormat="false" ht="15" hidden="false" customHeight="false" outlineLevel="0" collapsed="false">
      <c r="B67" s="31" t="str">
        <f aca="false">IFERROR(INDEX(res_Name,(ROW()-ROW(util_Origin)-1))&amp;"","")</f>
        <v>Morgan Patel</v>
      </c>
      <c r="C67" s="60" t="n">
        <f aca="false">IFERROR(IF(INDEX(res_Name,(ROW()-ROW(util_Origin)-1))="","",INDEX(res_MaxUnits,(ROW()-ROW(util_Origin)-1))),"")</f>
        <v>1</v>
      </c>
      <c r="D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0.555555555555556</v>
      </c>
      <c r="E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0.444444444444444</v>
      </c>
      <c r="F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K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0.125</v>
      </c>
      <c r="L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7"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8" customFormat="false" ht="15" hidden="false" customHeight="false" outlineLevel="0" collapsed="false">
      <c r="B68" s="31" t="str">
        <f aca="false">IFERROR(INDEX(res_Name,(ROW()-ROW(util_Origin)-1))&amp;"","")</f>
        <v>Alex Chen</v>
      </c>
      <c r="C68" s="60" t="n">
        <f aca="false">IFERROR(IF(INDEX(res_Name,(ROW()-ROW(util_Origin)-1))="","",INDEX(res_MaxUnits,(ROW()-ROW(util_Origin)-1))),"")</f>
        <v>0.5</v>
      </c>
      <c r="D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0.166666666666667</v>
      </c>
      <c r="E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0.833333333333333</v>
      </c>
      <c r="F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8"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9" customFormat="false" ht="15" hidden="false" customHeight="false" outlineLevel="0" collapsed="false">
      <c r="B69" s="31" t="str">
        <f aca="false">IFERROR(INDEX(res_Name,(ROW()-ROW(util_Origin)-1))&amp;"","")</f>
        <v>Casey Kim</v>
      </c>
      <c r="C69" s="60" t="n">
        <f aca="false">IFERROR(IF(INDEX(res_Name,(ROW()-ROW(util_Origin)-1))="","",INDEX(res_MaxUnits,(ROW()-ROW(util_Origin)-1))),"")</f>
        <v>1</v>
      </c>
      <c r="D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0.428571428571429</v>
      </c>
      <c r="F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0.171428571428571</v>
      </c>
      <c r="G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I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3</v>
      </c>
      <c r="J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9"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0" customFormat="false" ht="15" hidden="false" customHeight="false" outlineLevel="0" collapsed="false">
      <c r="B70" s="31" t="str">
        <f aca="false">IFERROR(INDEX(res_Name,(ROW()-ROW(util_Origin)-1))&amp;"","")</f>
        <v>Jordan Lee</v>
      </c>
      <c r="C70" s="60" t="n">
        <f aca="false">IFERROR(IF(INDEX(res_Name,(ROW()-ROW(util_Origin)-1))="","",INDEX(res_MaxUnits,(ROW()-ROW(util_Origin)-1))),"")</f>
        <v>1</v>
      </c>
      <c r="D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0.666666666666666</v>
      </c>
      <c r="G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0.925925925925926</v>
      </c>
      <c r="H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I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0.545454545454545</v>
      </c>
      <c r="L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M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0"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1" customFormat="false" ht="15" hidden="false" customHeight="false" outlineLevel="0" collapsed="false">
      <c r="B71" s="31" t="str">
        <f aca="false">IFERROR(INDEX(res_Name,(ROW()-ROW(util_Origin)-1))&amp;"","")</f>
        <v>Sam Rivera</v>
      </c>
      <c r="C71" s="60" t="n">
        <f aca="false">IFERROR(IF(INDEX(res_Name,(ROW()-ROW(util_Origin)-1))="","",INDEX(res_MaxUnits,(ROW()-ROW(util_Origin)-1))),"")</f>
        <v>1</v>
      </c>
      <c r="D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G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0.857142857142857</v>
      </c>
      <c r="H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0.360902255639098</v>
      </c>
      <c r="I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1"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2" customFormat="false" ht="15" hidden="false" customHeight="false" outlineLevel="0" collapsed="false">
      <c r="B72" s="31" t="str">
        <f aca="false">IFERROR(INDEX(res_Name,(ROW()-ROW(util_Origin)-1))&amp;"","")</f>
        <v>Taylor Morgan</v>
      </c>
      <c r="C72" s="60" t="n">
        <f aca="false">IFERROR(IF(INDEX(res_Name,(ROW()-ROW(util_Origin)-1))="","",INDEX(res_MaxUnits,(ROW()-ROW(util_Origin)-1))),"")</f>
        <v>1</v>
      </c>
      <c r="D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v>
      </c>
      <c r="I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v>
      </c>
      <c r="J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2" s="63"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3" customFormat="false" ht="15" hidden="false" customHeight="false" outlineLevel="0" collapsed="false">
      <c r="B73" s="31" t="str">
        <f aca="false">IFERROR(INDEX(res_Name,(ROW()-ROW(util_Origin)-1))&amp;"","")</f>
        <v/>
      </c>
      <c r="C73" s="60" t="str">
        <f aca="false">IFERROR(IF(INDEX(res_Name,(ROW()-ROW(util_Origin)-1))="","",INDEX(res_MaxUnits,(ROW()-ROW(util_Origin)-1))),"")</f>
        <v/>
      </c>
      <c r="D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4" customFormat="false" ht="15" hidden="false" customHeight="false" outlineLevel="0" collapsed="false">
      <c r="B74" s="31" t="str">
        <f aca="false">IFERROR(INDEX(res_Name,(ROW()-ROW(util_Origin)-1))&amp;"","")</f>
        <v/>
      </c>
      <c r="C74" s="60" t="str">
        <f aca="false">IFERROR(IF(INDEX(res_Name,(ROW()-ROW(util_Origin)-1))="","",INDEX(res_MaxUnits,(ROW()-ROW(util_Origin)-1))),"")</f>
        <v/>
      </c>
      <c r="D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5" customFormat="false" ht="15" hidden="false" customHeight="false" outlineLevel="0" collapsed="false">
      <c r="B75" s="31" t="str">
        <f aca="false">IFERROR(INDEX(res_Name,(ROW()-ROW(util_Origin)-1))&amp;"","")</f>
        <v/>
      </c>
      <c r="C75" s="60" t="str">
        <f aca="false">IFERROR(IF(INDEX(res_Name,(ROW()-ROW(util_Origin)-1))="","",INDEX(res_MaxUnits,(ROW()-ROW(util_Origin)-1))),"")</f>
        <v/>
      </c>
      <c r="D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6" customFormat="false" ht="15" hidden="false" customHeight="false" outlineLevel="0" collapsed="false">
      <c r="B76" s="31" t="str">
        <f aca="false">IFERROR(INDEX(res_Name,(ROW()-ROW(util_Origin)-1))&amp;"","")</f>
        <v/>
      </c>
      <c r="C76" s="60" t="str">
        <f aca="false">IFERROR(IF(INDEX(res_Name,(ROW()-ROW(util_Origin)-1))="","",INDEX(res_MaxUnits,(ROW()-ROW(util_Origin)-1))),"")</f>
        <v/>
      </c>
      <c r="D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7" customFormat="false" ht="15" hidden="false" customHeight="false" outlineLevel="0" collapsed="false">
      <c r="B77" s="31" t="str">
        <f aca="false">IFERROR(INDEX(res_Name,(ROW()-ROW(util_Origin)-1))&amp;"","")</f>
        <v/>
      </c>
      <c r="C77" s="60" t="str">
        <f aca="false">IFERROR(IF(INDEX(res_Name,(ROW()-ROW(util_Origin)-1))="","",INDEX(res_MaxUnits,(ROW()-ROW(util_Origin)-1))),"")</f>
        <v/>
      </c>
      <c r="D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8" customFormat="false" ht="15" hidden="false" customHeight="false" outlineLevel="0" collapsed="false">
      <c r="B78" s="31" t="str">
        <f aca="false">IFERROR(INDEX(res_Name,(ROW()-ROW(util_Origin)-1))&amp;"","")</f>
        <v/>
      </c>
      <c r="C78" s="60" t="str">
        <f aca="false">IFERROR(IF(INDEX(res_Name,(ROW()-ROW(util_Origin)-1))="","",INDEX(res_MaxUnits,(ROW()-ROW(util_Origin)-1))),"")</f>
        <v/>
      </c>
      <c r="D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9" customFormat="false" ht="15" hidden="false" customHeight="false" outlineLevel="0" collapsed="false">
      <c r="B79" s="31" t="str">
        <f aca="false">IFERROR(INDEX(res_Name,(ROW()-ROW(util_Origin)-1))&amp;"","")</f>
        <v/>
      </c>
      <c r="C79" s="60" t="str">
        <f aca="false">IFERROR(IF(INDEX(res_Name,(ROW()-ROW(util_Origin)-1))="","",INDEX(res_MaxUnits,(ROW()-ROW(util_Origin)-1))),"")</f>
        <v/>
      </c>
      <c r="D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0" customFormat="false" ht="15" hidden="false" customHeight="false" outlineLevel="0" collapsed="false">
      <c r="B80" s="31" t="str">
        <f aca="false">IFERROR(INDEX(res_Name,(ROW()-ROW(util_Origin)-1))&amp;"","")</f>
        <v/>
      </c>
      <c r="C80" s="60" t="str">
        <f aca="false">IFERROR(IF(INDEX(res_Name,(ROW()-ROW(util_Origin)-1))="","",INDEX(res_MaxUnits,(ROW()-ROW(util_Origin)-1))),"")</f>
        <v/>
      </c>
      <c r="D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1" customFormat="false" ht="15" hidden="false" customHeight="false" outlineLevel="0" collapsed="false">
      <c r="B81" s="31" t="str">
        <f aca="false">IFERROR(INDEX(res_Name,(ROW()-ROW(util_Origin)-1))&amp;"","")</f>
        <v/>
      </c>
      <c r="C81" s="60" t="str">
        <f aca="false">IFERROR(IF(INDEX(res_Name,(ROW()-ROW(util_Origin)-1))="","",INDEX(res_MaxUnits,(ROW()-ROW(util_Origin)-1))),"")</f>
        <v/>
      </c>
      <c r="D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1"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2" customFormat="false" ht="15" hidden="false" customHeight="false" outlineLevel="0" collapsed="false">
      <c r="B82" s="31" t="str">
        <f aca="false">IFERROR(INDEX(res_Name,(ROW()-ROW(util_Origin)-1))&amp;"","")</f>
        <v/>
      </c>
      <c r="C82" s="60" t="str">
        <f aca="false">IFERROR(IF(INDEX(res_Name,(ROW()-ROW(util_Origin)-1))="","",INDEX(res_MaxUnits,(ROW()-ROW(util_Origin)-1))),"")</f>
        <v/>
      </c>
      <c r="D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2"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3" customFormat="false" ht="15" hidden="false" customHeight="false" outlineLevel="0" collapsed="false">
      <c r="B83" s="31" t="str">
        <f aca="false">IFERROR(INDEX(res_Name,(ROW()-ROW(util_Origin)-1))&amp;"","")</f>
        <v/>
      </c>
      <c r="C83" s="60" t="str">
        <f aca="false">IFERROR(IF(INDEX(res_Name,(ROW()-ROW(util_Origin)-1))="","",INDEX(res_MaxUnits,(ROW()-ROW(util_Origin)-1))),"")</f>
        <v/>
      </c>
      <c r="D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3"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4" customFormat="false" ht="15" hidden="false" customHeight="false" outlineLevel="0" collapsed="false">
      <c r="B84" s="31" t="str">
        <f aca="false">IFERROR(INDEX(res_Name,(ROW()-ROW(util_Origin)-1))&amp;"","")</f>
        <v/>
      </c>
      <c r="C84" s="60" t="str">
        <f aca="false">IFERROR(IF(INDEX(res_Name,(ROW()-ROW(util_Origin)-1))="","",INDEX(res_MaxUnits,(ROW()-ROW(util_Origin)-1))),"")</f>
        <v/>
      </c>
      <c r="D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4"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5" customFormat="false" ht="15" hidden="false" customHeight="false" outlineLevel="0" collapsed="false">
      <c r="B85" s="31" t="str">
        <f aca="false">IFERROR(INDEX(res_Name,(ROW()-ROW(util_Origin)-1))&amp;"","")</f>
        <v/>
      </c>
      <c r="C85" s="60" t="str">
        <f aca="false">IFERROR(IF(INDEX(res_Name,(ROW()-ROW(util_Origin)-1))="","",INDEX(res_MaxUnits,(ROW()-ROW(util_Origin)-1))),"")</f>
        <v/>
      </c>
      <c r="D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5"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6" customFormat="false" ht="15" hidden="false" customHeight="false" outlineLevel="0" collapsed="false">
      <c r="B86" s="31" t="str">
        <f aca="false">IFERROR(INDEX(res_Name,(ROW()-ROW(util_Origin)-1))&amp;"","")</f>
        <v/>
      </c>
      <c r="C86" s="60" t="str">
        <f aca="false">IFERROR(IF(INDEX(res_Name,(ROW()-ROW(util_Origin)-1))="","",INDEX(res_MaxUnits,(ROW()-ROW(util_Origin)-1))),"")</f>
        <v/>
      </c>
      <c r="D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6"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7" customFormat="false" ht="15" hidden="false" customHeight="false" outlineLevel="0" collapsed="false">
      <c r="B87" s="31" t="str">
        <f aca="false">IFERROR(INDEX(res_Name,(ROW()-ROW(util_Origin)-1))&amp;"","")</f>
        <v/>
      </c>
      <c r="C87" s="60" t="str">
        <f aca="false">IFERROR(IF(INDEX(res_Name,(ROW()-ROW(util_Origin)-1))="","",INDEX(res_MaxUnits,(ROW()-ROW(util_Origin)-1))),"")</f>
        <v/>
      </c>
      <c r="D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7"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8" customFormat="false" ht="15" hidden="false" customHeight="false" outlineLevel="0" collapsed="false">
      <c r="B88" s="31" t="str">
        <f aca="false">IFERROR(INDEX(res_Name,(ROW()-ROW(util_Origin)-1))&amp;"","")</f>
        <v/>
      </c>
      <c r="C88" s="60" t="str">
        <f aca="false">IFERROR(IF(INDEX(res_Name,(ROW()-ROW(util_Origin)-1))="","",INDEX(res_MaxUnits,(ROW()-ROW(util_Origin)-1))),"")</f>
        <v/>
      </c>
      <c r="D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8"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9" customFormat="false" ht="15" hidden="false" customHeight="false" outlineLevel="0" collapsed="false">
      <c r="B89" s="31" t="str">
        <f aca="false">IFERROR(INDEX(res_Name,(ROW()-ROW(util_Origin)-1))&amp;"","")</f>
        <v/>
      </c>
      <c r="C89" s="60" t="str">
        <f aca="false">IFERROR(IF(INDEX(res_Name,(ROW()-ROW(util_Origin)-1))="","",INDEX(res_MaxUnits,(ROW()-ROW(util_Origin)-1))),"")</f>
        <v/>
      </c>
      <c r="D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9"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0" customFormat="false" ht="15" hidden="false" customHeight="false" outlineLevel="0" collapsed="false">
      <c r="B90" s="31" t="str">
        <f aca="false">IFERROR(INDEX(res_Name,(ROW()-ROW(util_Origin)-1))&amp;"","")</f>
        <v/>
      </c>
      <c r="C90" s="60" t="str">
        <f aca="false">IFERROR(IF(INDEX(res_Name,(ROW()-ROW(util_Origin)-1))="","",INDEX(res_MaxUnits,(ROW()-ROW(util_Origin)-1))),"")</f>
        <v/>
      </c>
      <c r="D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90" s="63"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4" customFormat="false" ht="15" hidden="true" customHeight="false" outlineLevel="0" collapsed="false">
      <c r="B94" s="67" t="s">
        <v>722</v>
      </c>
    </row>
    <row r="95" customFormat="false" ht="15" hidden="true" customHeight="false" outlineLevel="0" collapsed="false">
      <c r="C95" s="68" t="n">
        <f aca="false">IFERROR(IF(INDEX(res_Name,(ROW()-ROW(spr_LeaveOrigin)))="",0,IFERROR(MATCH(INDEX(res_Name,(ROW()-ROW(spr_LeaveOrigin))),LeaveTable[Resource],0),0)),0)</f>
        <v>0</v>
      </c>
      <c r="D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6" customFormat="false" ht="15" hidden="true" customHeight="false" outlineLevel="0" collapsed="false">
      <c r="C96" s="68" t="n">
        <f aca="false">IFERROR(IF(INDEX(res_Name,(ROW()-ROW(spr_LeaveOrigin)))="",0,IFERROR(MATCH(INDEX(res_Name,(ROW()-ROW(spr_LeaveOrigin))),LeaveTable[Resource],0),0)),0)</f>
        <v>4</v>
      </c>
      <c r="D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3</v>
      </c>
      <c r="M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7" customFormat="false" ht="15" hidden="true" customHeight="false" outlineLevel="0" collapsed="false">
      <c r="C97" s="68" t="n">
        <f aca="false">IFERROR(IF(INDEX(res_Name,(ROW()-ROW(spr_LeaveOrigin)))="",0,IFERROR(MATCH(INDEX(res_Name,(ROW()-ROW(spr_LeaveOrigin))),LeaveTable[Resource],0),0)),0)</f>
        <v>0</v>
      </c>
      <c r="D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8" customFormat="false" ht="15" hidden="true" customHeight="false" outlineLevel="0" collapsed="false">
      <c r="C98" s="68" t="n">
        <f aca="false">IFERROR(IF(INDEX(res_Name,(ROW()-ROW(spr_LeaveOrigin)))="",0,IFERROR(MATCH(INDEX(res_Name,(ROW()-ROW(spr_LeaveOrigin))),LeaveTable[Resource],0),0)),0)</f>
        <v>1</v>
      </c>
      <c r="D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9.5</v>
      </c>
      <c r="J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9" customFormat="false" ht="15" hidden="true" customHeight="false" outlineLevel="0" collapsed="false">
      <c r="C99" s="68" t="n">
        <f aca="false">IFERROR(IF(INDEX(res_Name,(ROW()-ROW(spr_LeaveOrigin)))="",0,IFERROR(MATCH(INDEX(res_Name,(ROW()-ROW(spr_LeaveOrigin))),LeaveTable[Resource],0),0)),0)</f>
        <v>2</v>
      </c>
      <c r="D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1</v>
      </c>
      <c r="H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2.5</v>
      </c>
      <c r="L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0" customFormat="false" ht="15" hidden="true" customHeight="false" outlineLevel="0" collapsed="false">
      <c r="C100" s="68" t="n">
        <f aca="false">IFERROR(IF(INDEX(res_Name,(ROW()-ROW(spr_LeaveOrigin)))="",0,IFERROR(MATCH(INDEX(res_Name,(ROW()-ROW(spr_LeaveOrigin))),LeaveTable[Resource],0),0)),0)</f>
        <v>3</v>
      </c>
      <c r="D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0.5</v>
      </c>
      <c r="I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1" customFormat="false" ht="15" hidden="true" customHeight="false" outlineLevel="0" collapsed="false">
      <c r="C101" s="68" t="n">
        <f aca="false">IFERROR(IF(INDEX(res_Name,(ROW()-ROW(spr_LeaveOrigin)))="",0,IFERROR(MATCH(INDEX(res_Name,(ROW()-ROW(spr_LeaveOrigin))),LeaveTable[Resource],0),0)),0)</f>
        <v>0</v>
      </c>
      <c r="D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2" customFormat="false" ht="15" hidden="true" customHeight="false" outlineLevel="0" collapsed="false">
      <c r="C102" s="68" t="n">
        <f aca="false">IFERROR(IF(INDEX(res_Name,(ROW()-ROW(spr_LeaveOrigin)))="",0,IFERROR(MATCH(INDEX(res_Name,(ROW()-ROW(spr_LeaveOrigin))),LeaveTable[Resource],0),0)),0)</f>
        <v>0</v>
      </c>
      <c r="D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3" customFormat="false" ht="15" hidden="true" customHeight="false" outlineLevel="0" collapsed="false">
      <c r="C103" s="68" t="n">
        <f aca="false">IFERROR(IF(INDEX(res_Name,(ROW()-ROW(spr_LeaveOrigin)))="",0,IFERROR(MATCH(INDEX(res_Name,(ROW()-ROW(spr_LeaveOrigin))),LeaveTable[Resource],0),0)),0)</f>
        <v>0</v>
      </c>
      <c r="D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4" customFormat="false" ht="15" hidden="true" customHeight="false" outlineLevel="0" collapsed="false">
      <c r="C104" s="68" t="n">
        <f aca="false">IFERROR(IF(INDEX(res_Name,(ROW()-ROW(spr_LeaveOrigin)))="",0,IFERROR(MATCH(INDEX(res_Name,(ROW()-ROW(spr_LeaveOrigin))),LeaveTable[Resource],0),0)),0)</f>
        <v>0</v>
      </c>
      <c r="D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5" customFormat="false" ht="15" hidden="true" customHeight="false" outlineLevel="0" collapsed="false">
      <c r="C105" s="68" t="n">
        <f aca="false">IFERROR(IF(INDEX(res_Name,(ROW()-ROW(spr_LeaveOrigin)))="",0,IFERROR(MATCH(INDEX(res_Name,(ROW()-ROW(spr_LeaveOrigin))),LeaveTable[Resource],0),0)),0)</f>
        <v>0</v>
      </c>
      <c r="D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6" customFormat="false" ht="15" hidden="true" customHeight="false" outlineLevel="0" collapsed="false">
      <c r="C106" s="68" t="n">
        <f aca="false">IFERROR(IF(INDEX(res_Name,(ROW()-ROW(spr_LeaveOrigin)))="",0,IFERROR(MATCH(INDEX(res_Name,(ROW()-ROW(spr_LeaveOrigin))),LeaveTable[Resource],0),0)),0)</f>
        <v>0</v>
      </c>
      <c r="D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7" customFormat="false" ht="15" hidden="true" customHeight="false" outlineLevel="0" collapsed="false">
      <c r="C107" s="68" t="n">
        <f aca="false">IFERROR(IF(INDEX(res_Name,(ROW()-ROW(spr_LeaveOrigin)))="",0,IFERROR(MATCH(INDEX(res_Name,(ROW()-ROW(spr_LeaveOrigin))),LeaveTable[Resource],0),0)),0)</f>
        <v>0</v>
      </c>
      <c r="D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8" customFormat="false" ht="15" hidden="true" customHeight="false" outlineLevel="0" collapsed="false">
      <c r="C108" s="68" t="n">
        <f aca="false">IFERROR(IF(INDEX(res_Name,(ROW()-ROW(spr_LeaveOrigin)))="",0,IFERROR(MATCH(INDEX(res_Name,(ROW()-ROW(spr_LeaveOrigin))),LeaveTable[Resource],0),0)),0)</f>
        <v>0</v>
      </c>
      <c r="D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9" customFormat="false" ht="15" hidden="true" customHeight="false" outlineLevel="0" collapsed="false">
      <c r="C109" s="68" t="n">
        <f aca="false">IFERROR(IF(INDEX(res_Name,(ROW()-ROW(spr_LeaveOrigin)))="",0,IFERROR(MATCH(INDEX(res_Name,(ROW()-ROW(spr_LeaveOrigin))),LeaveTable[Resource],0),0)),0)</f>
        <v>0</v>
      </c>
      <c r="D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0" customFormat="false" ht="15" hidden="true" customHeight="false" outlineLevel="0" collapsed="false">
      <c r="C110" s="68" t="n">
        <f aca="false">IFERROR(IF(INDEX(res_Name,(ROW()-ROW(spr_LeaveOrigin)))="",0,IFERROR(MATCH(INDEX(res_Name,(ROW()-ROW(spr_LeaveOrigin))),LeaveTable[Resource],0),0)),0)</f>
        <v>0</v>
      </c>
      <c r="D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0"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1" customFormat="false" ht="15" hidden="true" customHeight="false" outlineLevel="0" collapsed="false">
      <c r="C111" s="68" t="n">
        <f aca="false">IFERROR(IF(INDEX(res_Name,(ROW()-ROW(spr_LeaveOrigin)))="",0,IFERROR(MATCH(INDEX(res_Name,(ROW()-ROW(spr_LeaveOrigin))),LeaveTable[Resource],0),0)),0)</f>
        <v>0</v>
      </c>
      <c r="D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1"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2" customFormat="false" ht="15" hidden="true" customHeight="false" outlineLevel="0" collapsed="false">
      <c r="C112" s="68" t="n">
        <f aca="false">IFERROR(IF(INDEX(res_Name,(ROW()-ROW(spr_LeaveOrigin)))="",0,IFERROR(MATCH(INDEX(res_Name,(ROW()-ROW(spr_LeaveOrigin))),LeaveTable[Resource],0),0)),0)</f>
        <v>0</v>
      </c>
      <c r="D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2"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3" customFormat="false" ht="15" hidden="true" customHeight="false" outlineLevel="0" collapsed="false">
      <c r="C113" s="68" t="n">
        <f aca="false">IFERROR(IF(INDEX(res_Name,(ROW()-ROW(spr_LeaveOrigin)))="",0,IFERROR(MATCH(INDEX(res_Name,(ROW()-ROW(spr_LeaveOrigin))),LeaveTable[Resource],0),0)),0)</f>
        <v>0</v>
      </c>
      <c r="D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3"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4" customFormat="false" ht="15" hidden="true" customHeight="false" outlineLevel="0" collapsed="false">
      <c r="C114" s="68" t="n">
        <f aca="false">IFERROR(IF(INDEX(res_Name,(ROW()-ROW(spr_LeaveOrigin)))="",0,IFERROR(MATCH(INDEX(res_Name,(ROW()-ROW(spr_LeaveOrigin))),LeaveTable[Resource],0),0)),0)</f>
        <v>0</v>
      </c>
      <c r="D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4"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5" customFormat="false" ht="15" hidden="true" customHeight="false" outlineLevel="0" collapsed="false">
      <c r="C115" s="68" t="n">
        <f aca="false">IFERROR(IF(INDEX(res_Name,(ROW()-ROW(spr_LeaveOrigin)))="",0,IFERROR(MATCH(INDEX(res_Name,(ROW()-ROW(spr_LeaveOrigin))),LeaveTable[Resource],0),0)),0)</f>
        <v>0</v>
      </c>
      <c r="D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5"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6" customFormat="false" ht="15" hidden="true" customHeight="false" outlineLevel="0" collapsed="false">
      <c r="C116" s="68" t="n">
        <f aca="false">IFERROR(IF(INDEX(res_Name,(ROW()-ROW(spr_LeaveOrigin)))="",0,IFERROR(MATCH(INDEX(res_Name,(ROW()-ROW(spr_LeaveOrigin))),LeaveTable[Resource],0),0)),0)</f>
        <v>0</v>
      </c>
      <c r="D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6"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7" customFormat="false" ht="15" hidden="true" customHeight="false" outlineLevel="0" collapsed="false">
      <c r="C117" s="68" t="n">
        <f aca="false">IFERROR(IF(INDEX(res_Name,(ROW()-ROW(spr_LeaveOrigin)))="",0,IFERROR(MATCH(INDEX(res_Name,(ROW()-ROW(spr_LeaveOrigin))),LeaveTable[Resource],0),0)),0)</f>
        <v>0</v>
      </c>
      <c r="D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7"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8" customFormat="false" ht="15" hidden="true" customHeight="false" outlineLevel="0" collapsed="false">
      <c r="C118" s="68" t="n">
        <f aca="false">IFERROR(IF(INDEX(res_Name,(ROW()-ROW(spr_LeaveOrigin)))="",0,IFERROR(MATCH(INDEX(res_Name,(ROW()-ROW(spr_LeaveOrigin))),LeaveTable[Resource],0),0)),0)</f>
        <v>0</v>
      </c>
      <c r="D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8"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9" customFormat="false" ht="15" hidden="true" customHeight="false" outlineLevel="0" collapsed="false">
      <c r="C119" s="68" t="n">
        <f aca="false">IFERROR(IF(INDEX(res_Name,(ROW()-ROW(spr_LeaveOrigin)))="",0,IFERROR(MATCH(INDEX(res_Name,(ROW()-ROW(spr_LeaveOrigin))),LeaveTable[Resource],0),0)),0)</f>
        <v>0</v>
      </c>
      <c r="D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9" s="68"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sheetData>
  <conditionalFormatting sqref="A6:R31">
    <cfRule type="expression" priority="2" aboveAverage="0" equalAverage="0" bottom="0" percent="0" rank="0" text="" dxfId="54">
      <formula>$B6=""</formula>
    </cfRule>
    <cfRule type="expression" priority="3" aboveAverage="0" equalAverage="0" bottom="0" percent="0" rank="0" text="" dxfId="55">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AND(ISNUMBER(D66),D66&gt;1)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723</v>
      </c>
    </row>
    <row r="2" customFormat="false" ht="15" hidden="false" customHeight="false" outlineLevel="0" collapsed="false">
      <c r="A2" s="8" t="s">
        <v>724</v>
      </c>
    </row>
    <row r="4" customFormat="false" ht="15" hidden="false" customHeight="false" outlineLevel="0" collapsed="false">
      <c r="B4" s="27" t="s">
        <v>313</v>
      </c>
      <c r="C4" s="27" t="s">
        <v>725</v>
      </c>
    </row>
    <row r="5" customFormat="false" ht="15" hidden="false" customHeight="false" outlineLevel="0" collapsed="false">
      <c r="B5" s="77" t="n">
        <v>46380</v>
      </c>
      <c r="C5" s="30" t="s">
        <v>726</v>
      </c>
    </row>
    <row r="6" customFormat="false" ht="15" hidden="false" customHeight="false" outlineLevel="0" collapsed="false">
      <c r="B6" s="77" t="n">
        <v>46381</v>
      </c>
      <c r="C6" s="30" t="s">
        <v>727</v>
      </c>
    </row>
    <row r="7" customFormat="false" ht="15" hidden="false" customHeight="false" outlineLevel="0" collapsed="false">
      <c r="B7" s="77" t="n">
        <v>46387</v>
      </c>
      <c r="C7" s="30" t="s">
        <v>728</v>
      </c>
    </row>
    <row r="8" customFormat="false" ht="15" hidden="false" customHeight="false" outlineLevel="0" collapsed="false">
      <c r="B8" s="77" t="n">
        <v>46388</v>
      </c>
      <c r="C8" s="30" t="s">
        <v>729</v>
      </c>
    </row>
    <row r="9" customFormat="false" ht="15" hidden="false" customHeight="false" outlineLevel="0" collapsed="false">
      <c r="B9" s="77"/>
      <c r="C9" s="30"/>
    </row>
    <row r="10" customFormat="false" ht="15" hidden="false" customHeight="false" outlineLevel="0" collapsed="false">
      <c r="B10" s="77"/>
      <c r="C10" s="30"/>
    </row>
    <row r="11" customFormat="false" ht="15" hidden="false" customHeight="false" outlineLevel="0" collapsed="false">
      <c r="B11" s="77"/>
      <c r="C11" s="30"/>
    </row>
    <row r="12" customFormat="false" ht="15" hidden="false" customHeight="false" outlineLevel="0" collapsed="false">
      <c r="B12" s="77"/>
      <c r="C12" s="30"/>
    </row>
    <row r="13" customFormat="false" ht="15" hidden="false" customHeight="false" outlineLevel="0" collapsed="false">
      <c r="B13" s="77"/>
      <c r="C13" s="30"/>
    </row>
    <row r="14" customFormat="false" ht="15" hidden="false" customHeight="false" outlineLevel="0" collapsed="false">
      <c r="B14" s="77"/>
      <c r="C14" s="30"/>
    </row>
    <row r="15" customFormat="false" ht="15" hidden="false" customHeight="false" outlineLevel="0" collapsed="false">
      <c r="B15" s="77"/>
      <c r="C15" s="30"/>
    </row>
    <row r="16" customFormat="false" ht="15" hidden="false" customHeight="false" outlineLevel="0" collapsed="false">
      <c r="B16" s="77"/>
      <c r="C16" s="30"/>
    </row>
    <row r="17" customFormat="false" ht="15" hidden="false" customHeight="false" outlineLevel="0" collapsed="false">
      <c r="B17" s="77"/>
      <c r="C17" s="30"/>
    </row>
    <row r="18" customFormat="false" ht="15" hidden="false" customHeight="false" outlineLevel="0" collapsed="false">
      <c r="B18" s="77"/>
      <c r="C18" s="30"/>
    </row>
    <row r="19" customFormat="false" ht="15" hidden="false" customHeight="false" outlineLevel="0" collapsed="false">
      <c r="B19" s="77"/>
      <c r="C19" s="30"/>
    </row>
    <row r="20" customFormat="false" ht="15" hidden="false" customHeight="false" outlineLevel="0" collapsed="false">
      <c r="B20" s="77"/>
      <c r="C20" s="30"/>
    </row>
    <row r="21" customFormat="false" ht="15" hidden="false" customHeight="false" outlineLevel="0" collapsed="false">
      <c r="B21" s="77"/>
      <c r="C21" s="30"/>
    </row>
    <row r="22" customFormat="false" ht="15" hidden="false" customHeight="false" outlineLevel="0" collapsed="false">
      <c r="B22" s="77"/>
      <c r="C22" s="30"/>
    </row>
    <row r="23" customFormat="false" ht="15" hidden="false" customHeight="false" outlineLevel="0" collapsed="false">
      <c r="B23" s="77"/>
      <c r="C23" s="30"/>
    </row>
    <row r="24" customFormat="false" ht="15" hidden="false" customHeight="false" outlineLevel="0" collapsed="false">
      <c r="B24" s="77"/>
      <c r="C24" s="30"/>
    </row>
    <row r="25" customFormat="false" ht="15" hidden="false" customHeight="false" outlineLevel="0" collapsed="false">
      <c r="B25" s="77"/>
      <c r="C25" s="30"/>
    </row>
    <row r="26" customFormat="false" ht="15" hidden="false" customHeight="false" outlineLevel="0" collapsed="false">
      <c r="B26" s="77"/>
      <c r="C26" s="30"/>
    </row>
    <row r="27" customFormat="false" ht="15" hidden="false" customHeight="false" outlineLevel="0" collapsed="false">
      <c r="B27" s="77"/>
      <c r="C27" s="30"/>
    </row>
    <row r="28" customFormat="false" ht="15" hidden="false" customHeight="false" outlineLevel="0" collapsed="false">
      <c r="B28" s="77"/>
      <c r="C28" s="30"/>
    </row>
    <row r="29" customFormat="false" ht="15" hidden="false" customHeight="false" outlineLevel="0" collapsed="false">
      <c r="B29" s="77"/>
      <c r="C29" s="30"/>
    </row>
    <row r="30" customFormat="false" ht="15" hidden="false" customHeight="false" outlineLevel="0" collapsed="false">
      <c r="B30" s="77"/>
      <c r="C30" s="30"/>
    </row>
    <row r="31" customFormat="false" ht="15" hidden="false" customHeight="false" outlineLevel="0" collapsed="false">
      <c r="B31" s="77"/>
      <c r="C31" s="30"/>
    </row>
    <row r="32" customFormat="false" ht="15" hidden="false" customHeight="false" outlineLevel="0" collapsed="false">
      <c r="B32" s="77"/>
      <c r="C32" s="30"/>
    </row>
    <row r="33" customFormat="false" ht="15" hidden="false" customHeight="false" outlineLevel="0" collapsed="false">
      <c r="B33" s="77"/>
      <c r="C33" s="30"/>
    </row>
    <row r="34" customFormat="false" ht="15" hidden="false" customHeight="false" outlineLevel="0" collapsed="false">
      <c r="B34" s="77"/>
      <c r="C34" s="30"/>
    </row>
    <row r="35" customFormat="false" ht="15" hidden="false" customHeight="false" outlineLevel="0" collapsed="false">
      <c r="B35" s="77"/>
      <c r="C35" s="30"/>
    </row>
    <row r="36" customFormat="false" ht="15" hidden="false" customHeight="false" outlineLevel="0" collapsed="false">
      <c r="B36" s="77"/>
      <c r="C36" s="30"/>
    </row>
    <row r="37" customFormat="false" ht="15" hidden="false" customHeight="false" outlineLevel="0" collapsed="false">
      <c r="B37" s="77"/>
      <c r="C37" s="30"/>
    </row>
    <row r="38" customFormat="false" ht="15" hidden="false" customHeight="false" outlineLevel="0" collapsed="false">
      <c r="B38" s="77"/>
      <c r="C38" s="30"/>
    </row>
    <row r="39" customFormat="false" ht="15" hidden="false" customHeight="false" outlineLevel="0" collapsed="false">
      <c r="B39" s="77"/>
      <c r="C39" s="30"/>
    </row>
    <row r="40" customFormat="false" ht="15" hidden="false" customHeight="false" outlineLevel="0" collapsed="false">
      <c r="B40" s="77"/>
      <c r="C40" s="30"/>
    </row>
    <row r="41" customFormat="false" ht="15" hidden="false" customHeight="false" outlineLevel="0" collapsed="false">
      <c r="B41" s="77"/>
      <c r="C41" s="30"/>
    </row>
    <row r="42" customFormat="false" ht="15" hidden="false" customHeight="false" outlineLevel="0" collapsed="false">
      <c r="B42" s="77"/>
      <c r="C42" s="30"/>
    </row>
    <row r="43" customFormat="false" ht="15" hidden="false" customHeight="false" outlineLevel="0" collapsed="false">
      <c r="B43" s="77"/>
      <c r="C43" s="30"/>
    </row>
    <row r="44" customFormat="false" ht="15" hidden="false" customHeight="false" outlineLevel="0" collapsed="false">
      <c r="B44" s="77"/>
      <c r="C44" s="30"/>
    </row>
    <row r="45" customFormat="false" ht="15" hidden="false" customHeight="false" outlineLevel="0" collapsed="false">
      <c r="B45" s="77"/>
      <c r="C45" s="30"/>
    </row>
    <row r="46" customFormat="false" ht="15" hidden="false" customHeight="false" outlineLevel="0" collapsed="false">
      <c r="B46" s="77"/>
      <c r="C46" s="30"/>
    </row>
    <row r="47" customFormat="false" ht="15" hidden="false" customHeight="false" outlineLevel="0" collapsed="false">
      <c r="B47" s="77"/>
      <c r="C47" s="30"/>
    </row>
    <row r="48" customFormat="false" ht="15" hidden="false" customHeight="false" outlineLevel="0" collapsed="false">
      <c r="B48" s="77"/>
      <c r="C48" s="30"/>
    </row>
    <row r="49" customFormat="false" ht="15" hidden="false" customHeight="false" outlineLevel="0" collapsed="false">
      <c r="B49" s="77"/>
      <c r="C49" s="30"/>
    </row>
    <row r="50" customFormat="false" ht="15" hidden="false" customHeight="false" outlineLevel="0" collapsed="false">
      <c r="B50" s="77"/>
      <c r="C50" s="30"/>
    </row>
    <row r="51" customFormat="false" ht="15" hidden="false" customHeight="false" outlineLevel="0" collapsed="false">
      <c r="B51" s="77"/>
      <c r="C51" s="30"/>
    </row>
    <row r="52" customFormat="false" ht="15" hidden="false" customHeight="false" outlineLevel="0" collapsed="false">
      <c r="B52" s="77"/>
      <c r="C52" s="30"/>
    </row>
    <row r="53" customFormat="false" ht="15" hidden="false" customHeight="false" outlineLevel="0" collapsed="false">
      <c r="B53" s="77"/>
      <c r="C53" s="30"/>
    </row>
    <row r="54" customFormat="false" ht="15" hidden="false" customHeight="false" outlineLevel="0" collapsed="false">
      <c r="B54" s="77"/>
      <c r="C54" s="30"/>
    </row>
    <row r="55" customFormat="false" ht="15" hidden="false" customHeight="false" outlineLevel="0" collapsed="false">
      <c r="B55" s="77"/>
      <c r="C55" s="30"/>
    </row>
    <row r="56" customFormat="false" ht="15" hidden="false" customHeight="false" outlineLevel="0" collapsed="false">
      <c r="B56" s="77"/>
      <c r="C56" s="30"/>
    </row>
    <row r="57" customFormat="false" ht="15" hidden="false" customHeight="false" outlineLevel="0" collapsed="false">
      <c r="B57" s="77"/>
      <c r="C57" s="30"/>
    </row>
    <row r="58" customFormat="false" ht="15" hidden="false" customHeight="false" outlineLevel="0" collapsed="false">
      <c r="B58" s="77"/>
      <c r="C58" s="30"/>
    </row>
    <row r="59" customFormat="false" ht="15" hidden="false" customHeight="false" outlineLevel="0" collapsed="false">
      <c r="B59" s="77"/>
      <c r="C59" s="30"/>
    </row>
    <row r="60" customFormat="false" ht="15" hidden="false" customHeight="false" outlineLevel="0" collapsed="false">
      <c r="B60" s="77"/>
      <c r="C60" s="30"/>
    </row>
    <row r="61" customFormat="false" ht="15" hidden="false" customHeight="false" outlineLevel="0" collapsed="false">
      <c r="B61" s="77"/>
      <c r="C61" s="30"/>
    </row>
    <row r="62" customFormat="false" ht="15" hidden="false" customHeight="false" outlineLevel="0" collapsed="false">
      <c r="B62" s="77"/>
      <c r="C62" s="30"/>
    </row>
    <row r="63" customFormat="false" ht="15" hidden="false" customHeight="false" outlineLevel="0" collapsed="false">
      <c r="B63" s="77"/>
      <c r="C63" s="30"/>
    </row>
    <row r="64" customFormat="false" ht="15" hidden="false" customHeight="false" outlineLevel="0" collapsed="false">
      <c r="B64" s="77"/>
      <c r="C64" s="30"/>
    </row>
    <row r="65" customFormat="false" ht="15" hidden="false" customHeight="false" outlineLevel="0" collapsed="false">
      <c r="B65" s="77"/>
      <c r="C65" s="30"/>
    </row>
    <row r="66" customFormat="false" ht="15" hidden="false" customHeight="false" outlineLevel="0" collapsed="false">
      <c r="B66" s="77"/>
      <c r="C66" s="30"/>
    </row>
    <row r="67" customFormat="false" ht="15" hidden="false" customHeight="false" outlineLevel="0" collapsed="false">
      <c r="B67" s="77"/>
      <c r="C67" s="30"/>
    </row>
    <row r="68" customFormat="false" ht="15" hidden="false" customHeight="false" outlineLevel="0" collapsed="false">
      <c r="B68" s="77"/>
      <c r="C68" s="30"/>
    </row>
    <row r="69" customFormat="false" ht="15" hidden="false" customHeight="false" outlineLevel="0" collapsed="false">
      <c r="B69" s="77"/>
      <c r="C69" s="30"/>
    </row>
    <row r="70" customFormat="false" ht="15" hidden="false" customHeight="false" outlineLevel="0" collapsed="false">
      <c r="B70" s="77"/>
      <c r="C70" s="30"/>
    </row>
    <row r="71" customFormat="false" ht="15" hidden="false" customHeight="false" outlineLevel="0" collapsed="false">
      <c r="B71" s="77"/>
      <c r="C71" s="30"/>
    </row>
    <row r="72" customFormat="false" ht="15" hidden="false" customHeight="false" outlineLevel="0" collapsed="false">
      <c r="B72" s="77"/>
      <c r="C72" s="30"/>
    </row>
    <row r="73" customFormat="false" ht="15" hidden="false" customHeight="false" outlineLevel="0" collapsed="false">
      <c r="B73" s="77"/>
      <c r="C73" s="30"/>
    </row>
    <row r="74" customFormat="false" ht="15" hidden="false" customHeight="false" outlineLevel="0" collapsed="false">
      <c r="B74" s="77"/>
      <c r="C74" s="30"/>
    </row>
    <row r="75" customFormat="false" ht="15" hidden="false" customHeight="false" outlineLevel="0" collapsed="false">
      <c r="B75" s="77"/>
      <c r="C75" s="30"/>
    </row>
    <row r="76" customFormat="false" ht="15" hidden="false" customHeight="false" outlineLevel="0" collapsed="false">
      <c r="B76" s="77"/>
      <c r="C76" s="30"/>
    </row>
    <row r="77" customFormat="false" ht="15" hidden="false" customHeight="false" outlineLevel="0" collapsed="false">
      <c r="B77" s="77"/>
      <c r="C77" s="30"/>
    </row>
    <row r="78" customFormat="false" ht="15" hidden="false" customHeight="false" outlineLevel="0" collapsed="false">
      <c r="B78" s="77"/>
      <c r="C78" s="30"/>
    </row>
    <row r="79" customFormat="false" ht="15" hidden="false" customHeight="false" outlineLevel="0" collapsed="false">
      <c r="B79" s="77"/>
      <c r="C79" s="30"/>
    </row>
    <row r="80" customFormat="false" ht="15" hidden="false" customHeight="false" outlineLevel="0" collapsed="false">
      <c r="B80" s="77"/>
      <c r="C80" s="30"/>
    </row>
    <row r="81" customFormat="false" ht="15" hidden="false" customHeight="false" outlineLevel="0" collapsed="false">
      <c r="B81" s="77"/>
      <c r="C81" s="30"/>
    </row>
    <row r="82" customFormat="false" ht="15" hidden="false" customHeight="false" outlineLevel="0" collapsed="false">
      <c r="B82" s="77"/>
      <c r="C82" s="30"/>
    </row>
    <row r="83" customFormat="false" ht="15" hidden="false" customHeight="false" outlineLevel="0" collapsed="false">
      <c r="B83" s="77"/>
      <c r="C83" s="30"/>
    </row>
    <row r="84" customFormat="false" ht="15" hidden="false" customHeight="false" outlineLevel="0" collapsed="false">
      <c r="B84" s="77"/>
      <c r="C84" s="30"/>
    </row>
    <row r="85" customFormat="false" ht="15" hidden="false" customHeight="false" outlineLevel="0" collapsed="false">
      <c r="B85" s="77"/>
      <c r="C85" s="30"/>
    </row>
    <row r="86" customFormat="false" ht="15" hidden="false" customHeight="false" outlineLevel="0" collapsed="false">
      <c r="B86" s="77"/>
      <c r="C86" s="30"/>
    </row>
    <row r="87" customFormat="false" ht="15" hidden="false" customHeight="false" outlineLevel="0" collapsed="false">
      <c r="B87" s="77"/>
      <c r="C87" s="30"/>
    </row>
    <row r="88" customFormat="false" ht="15" hidden="false" customHeight="false" outlineLevel="0" collapsed="false">
      <c r="B88" s="77"/>
      <c r="C88" s="30"/>
    </row>
    <row r="89" customFormat="false" ht="15" hidden="false" customHeight="false" outlineLevel="0" collapsed="false">
      <c r="B89" s="77"/>
      <c r="C89" s="30"/>
    </row>
    <row r="90" customFormat="false" ht="15" hidden="false" customHeight="false" outlineLevel="0" collapsed="false">
      <c r="B90" s="77"/>
      <c r="C90" s="30"/>
    </row>
    <row r="91" customFormat="false" ht="15" hidden="false" customHeight="false" outlineLevel="0" collapsed="false">
      <c r="B91" s="77"/>
      <c r="C91" s="30"/>
    </row>
    <row r="92" customFormat="false" ht="15" hidden="false" customHeight="false" outlineLevel="0" collapsed="false">
      <c r="B92" s="77"/>
      <c r="C92" s="30"/>
    </row>
    <row r="93" customFormat="false" ht="15" hidden="false" customHeight="false" outlineLevel="0" collapsed="false">
      <c r="B93" s="77"/>
      <c r="C93" s="30"/>
    </row>
    <row r="94" customFormat="false" ht="15" hidden="false" customHeight="false" outlineLevel="0" collapsed="false">
      <c r="B94" s="77"/>
      <c r="C94" s="30"/>
    </row>
    <row r="95" customFormat="false" ht="15" hidden="false" customHeight="false" outlineLevel="0" collapsed="false">
      <c r="B95" s="77"/>
      <c r="C95" s="30"/>
    </row>
    <row r="96" customFormat="false" ht="15" hidden="false" customHeight="false" outlineLevel="0" collapsed="false">
      <c r="B96" s="77"/>
      <c r="C96" s="30"/>
    </row>
    <row r="97" customFormat="false" ht="15" hidden="false" customHeight="false" outlineLevel="0" collapsed="false">
      <c r="B97" s="77"/>
      <c r="C97" s="30"/>
    </row>
    <row r="98" customFormat="false" ht="15" hidden="false" customHeight="false" outlineLevel="0" collapsed="false">
      <c r="B98" s="77"/>
      <c r="C98" s="30"/>
    </row>
    <row r="99" customFormat="false" ht="15" hidden="false" customHeight="false" outlineLevel="0" collapsed="false">
      <c r="B99" s="77"/>
      <c r="C99" s="30"/>
    </row>
    <row r="100" customFormat="false" ht="15" hidden="false" customHeight="false" outlineLevel="0" collapsed="false">
      <c r="B100" s="77"/>
      <c r="C100" s="30"/>
    </row>
    <row r="101" customFormat="false" ht="15" hidden="false" customHeight="false" outlineLevel="0" collapsed="false">
      <c r="B101" s="77"/>
      <c r="C101" s="30"/>
    </row>
    <row r="102" customFormat="false" ht="15" hidden="false" customHeight="false" outlineLevel="0" collapsed="false">
      <c r="B102" s="77"/>
      <c r="C102" s="30"/>
    </row>
    <row r="103" customFormat="false" ht="15" hidden="false" customHeight="false" outlineLevel="0" collapsed="false">
      <c r="B103" s="77"/>
      <c r="C103" s="30"/>
    </row>
    <row r="104" customFormat="false" ht="15" hidden="false" customHeight="false" outlineLevel="0" collapsed="false">
      <c r="B104" s="77"/>
      <c r="C104" s="3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0"/>
    <col collapsed="false" customWidth="true" hidden="false" outlineLevel="0" max="38" min="3" style="0" width="11"/>
  </cols>
  <sheetData>
    <row r="1" customFormat="false" ht="19.7" hidden="false" customHeight="false" outlineLevel="0" collapsed="false">
      <c r="A1" s="26" t="s">
        <v>31</v>
      </c>
    </row>
    <row r="2" customFormat="false" ht="15" hidden="false" customHeight="false" outlineLevel="0" collapsed="false">
      <c r="A2" s="8" t="s">
        <v>730</v>
      </c>
    </row>
    <row r="4" customFormat="false" ht="15" hidden="false" customHeight="false" outlineLevel="0" collapsed="false">
      <c r="B4" s="27" t="s">
        <v>223</v>
      </c>
      <c r="C4" s="27" t="s">
        <v>731</v>
      </c>
      <c r="D4" s="27" t="s">
        <v>732</v>
      </c>
      <c r="E4" s="27" t="s">
        <v>733</v>
      </c>
      <c r="F4" s="27" t="s">
        <v>734</v>
      </c>
      <c r="G4" s="27" t="s">
        <v>735</v>
      </c>
      <c r="H4" s="27" t="s">
        <v>736</v>
      </c>
      <c r="I4" s="27" t="s">
        <v>737</v>
      </c>
      <c r="J4" s="27" t="s">
        <v>738</v>
      </c>
      <c r="K4" s="27" t="s">
        <v>739</v>
      </c>
      <c r="L4" s="27" t="s">
        <v>740</v>
      </c>
      <c r="M4" s="27" t="s">
        <v>741</v>
      </c>
      <c r="N4" s="27" t="s">
        <v>742</v>
      </c>
      <c r="O4" s="27" t="s">
        <v>743</v>
      </c>
      <c r="P4" s="27" t="s">
        <v>744</v>
      </c>
      <c r="Q4" s="27" t="s">
        <v>745</v>
      </c>
      <c r="R4" s="27" t="s">
        <v>746</v>
      </c>
      <c r="S4" s="27" t="s">
        <v>747</v>
      </c>
      <c r="T4" s="27" t="s">
        <v>748</v>
      </c>
      <c r="U4" s="27" t="s">
        <v>749</v>
      </c>
      <c r="V4" s="27" t="s">
        <v>750</v>
      </c>
      <c r="W4" s="27" t="s">
        <v>751</v>
      </c>
      <c r="X4" s="27" t="s">
        <v>752</v>
      </c>
      <c r="Y4" s="27" t="s">
        <v>753</v>
      </c>
      <c r="Z4" s="27" t="s">
        <v>754</v>
      </c>
      <c r="AA4" s="27" t="s">
        <v>755</v>
      </c>
      <c r="AB4" s="27" t="s">
        <v>756</v>
      </c>
      <c r="AC4" s="27" t="s">
        <v>757</v>
      </c>
      <c r="AD4" s="27" t="s">
        <v>758</v>
      </c>
      <c r="AE4" s="27" t="s">
        <v>759</v>
      </c>
      <c r="AF4" s="27" t="s">
        <v>760</v>
      </c>
      <c r="AG4" s="27" t="s">
        <v>761</v>
      </c>
      <c r="AH4" s="27" t="s">
        <v>762</v>
      </c>
      <c r="AI4" s="27" t="s">
        <v>763</v>
      </c>
      <c r="AJ4" s="27" t="s">
        <v>764</v>
      </c>
      <c r="AK4" s="27" t="s">
        <v>765</v>
      </c>
      <c r="AL4" s="27" t="s">
        <v>766</v>
      </c>
    </row>
    <row r="5" customFormat="false" ht="15" hidden="false" customHeight="false" outlineLevel="0" collapsed="false">
      <c r="B5" s="30" t="s">
        <v>291</v>
      </c>
      <c r="C5" s="30"/>
      <c r="D5" s="30"/>
      <c r="E5" s="30"/>
      <c r="F5" s="30"/>
      <c r="G5" s="30"/>
      <c r="H5" s="30"/>
      <c r="I5" s="30"/>
      <c r="J5" s="30"/>
      <c r="K5" s="30"/>
      <c r="L5" s="30"/>
      <c r="M5" s="30" t="s">
        <v>767</v>
      </c>
      <c r="N5" s="30"/>
      <c r="O5" s="30"/>
      <c r="P5" s="30"/>
      <c r="Q5" s="30"/>
      <c r="R5" s="30"/>
      <c r="S5" s="30"/>
      <c r="T5" s="30"/>
      <c r="U5" s="30"/>
      <c r="V5" s="30"/>
      <c r="W5" s="30"/>
      <c r="X5" s="30"/>
      <c r="Y5" s="30"/>
      <c r="Z5" s="30"/>
      <c r="AA5" s="30"/>
      <c r="AB5" s="30"/>
      <c r="AC5" s="30"/>
      <c r="AD5" s="30"/>
      <c r="AE5" s="30"/>
      <c r="AF5" s="30"/>
      <c r="AG5" s="30"/>
      <c r="AH5" s="30"/>
      <c r="AI5" s="30"/>
      <c r="AJ5" s="30"/>
      <c r="AK5" s="30"/>
      <c r="AL5" s="30"/>
    </row>
    <row r="6" customFormat="false" ht="15" hidden="false" customHeight="false" outlineLevel="0" collapsed="false">
      <c r="B6" s="30" t="s">
        <v>286</v>
      </c>
      <c r="C6" s="30"/>
      <c r="D6" s="30"/>
      <c r="E6" s="30"/>
      <c r="F6" s="30"/>
      <c r="G6" s="30"/>
      <c r="H6" s="30"/>
      <c r="I6" s="30"/>
      <c r="J6" s="30"/>
      <c r="K6" s="30"/>
      <c r="L6" s="30" t="s">
        <v>768</v>
      </c>
      <c r="M6" s="30"/>
      <c r="N6" s="30" t="s">
        <v>769</v>
      </c>
      <c r="O6" s="30"/>
      <c r="P6" s="30"/>
      <c r="Q6" s="30"/>
      <c r="R6" s="30"/>
      <c r="S6" s="30"/>
      <c r="T6" s="30"/>
      <c r="U6" s="30"/>
      <c r="V6" s="30"/>
      <c r="W6" s="30"/>
      <c r="X6" s="30"/>
      <c r="Y6" s="30"/>
      <c r="Z6" s="30"/>
      <c r="AA6" s="30"/>
      <c r="AB6" s="30"/>
      <c r="AC6" s="30"/>
      <c r="AD6" s="30"/>
      <c r="AE6" s="30"/>
      <c r="AF6" s="30"/>
      <c r="AG6" s="30"/>
      <c r="AH6" s="30"/>
      <c r="AI6" s="30"/>
      <c r="AJ6" s="30"/>
      <c r="AK6" s="30"/>
      <c r="AL6" s="30"/>
    </row>
    <row r="7" customFormat="false" ht="15" hidden="false" customHeight="false" outlineLevel="0" collapsed="false">
      <c r="B7" s="30" t="s">
        <v>620</v>
      </c>
      <c r="C7" s="30"/>
      <c r="D7" s="30"/>
      <c r="E7" s="30"/>
      <c r="F7" s="30"/>
      <c r="G7" s="30"/>
      <c r="H7" s="30"/>
      <c r="I7" s="30"/>
      <c r="J7" s="30"/>
      <c r="K7" s="30"/>
      <c r="L7" s="30"/>
      <c r="M7" s="30" t="s">
        <v>770</v>
      </c>
      <c r="N7" s="30"/>
      <c r="O7" s="30"/>
      <c r="P7" s="30"/>
      <c r="Q7" s="30"/>
      <c r="R7" s="30"/>
      <c r="S7" s="30"/>
      <c r="T7" s="30"/>
      <c r="U7" s="30"/>
      <c r="V7" s="30"/>
      <c r="W7" s="30"/>
      <c r="X7" s="30"/>
      <c r="Y7" s="30"/>
      <c r="Z7" s="30"/>
      <c r="AA7" s="30"/>
      <c r="AB7" s="30"/>
      <c r="AC7" s="30"/>
      <c r="AD7" s="30"/>
      <c r="AE7" s="30"/>
      <c r="AF7" s="30"/>
      <c r="AG7" s="30"/>
      <c r="AH7" s="30"/>
      <c r="AI7" s="30"/>
      <c r="AJ7" s="30"/>
      <c r="AK7" s="30"/>
      <c r="AL7" s="30"/>
    </row>
    <row r="8" customFormat="false" ht="15" hidden="false" customHeight="false" outlineLevel="0" collapsed="false">
      <c r="B8" s="30" t="s">
        <v>300</v>
      </c>
      <c r="C8" s="30"/>
      <c r="D8" s="30"/>
      <c r="E8" s="30"/>
      <c r="F8" s="30"/>
      <c r="G8" s="30"/>
      <c r="H8" s="30"/>
      <c r="I8" s="30"/>
      <c r="J8" s="30"/>
      <c r="K8" s="30"/>
      <c r="L8" s="30"/>
      <c r="M8" s="30"/>
      <c r="N8" s="30" t="s">
        <v>771</v>
      </c>
      <c r="O8" s="30"/>
      <c r="P8" s="30"/>
      <c r="Q8" s="30"/>
      <c r="R8" s="30"/>
      <c r="S8" s="30"/>
      <c r="T8" s="30"/>
      <c r="U8" s="30"/>
      <c r="V8" s="30"/>
      <c r="W8" s="30"/>
      <c r="X8" s="30"/>
      <c r="Y8" s="30"/>
      <c r="Z8" s="30"/>
      <c r="AA8" s="30"/>
      <c r="AB8" s="30"/>
      <c r="AC8" s="30"/>
      <c r="AD8" s="30"/>
      <c r="AE8" s="30"/>
      <c r="AF8" s="30"/>
      <c r="AG8" s="30"/>
      <c r="AH8" s="30"/>
      <c r="AI8" s="30"/>
      <c r="AJ8" s="30"/>
      <c r="AK8" s="30"/>
      <c r="AL8" s="30"/>
    </row>
    <row r="9" customFormat="false" ht="15" hidden="false" customHeight="false" outlineLevel="0" collapsed="false">
      <c r="B9" s="30"/>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row>
    <row r="10" customFormat="false" ht="15" hidden="false" customHeight="false" outlineLevel="0" collapsed="false">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row>
    <row r="11" customFormat="false" ht="15" hidden="false" customHeight="false" outlineLevel="0" collapsed="false">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row>
    <row r="12" customFormat="false" ht="15" hidden="false" customHeight="false" outlineLevel="0" collapsed="false">
      <c r="B12" s="30"/>
      <c r="C12" s="30"/>
      <c r="D12" s="30"/>
      <c r="E12" s="30"/>
      <c r="F12" s="30"/>
      <c r="G12" s="30"/>
      <c r="H12" s="30"/>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row>
    <row r="13" customFormat="false" ht="15" hidden="false" customHeight="false" outlineLevel="0" collapsed="false">
      <c r="B13" s="30"/>
      <c r="C13" s="30"/>
      <c r="D13" s="30"/>
      <c r="E13" s="30"/>
      <c r="F13" s="30"/>
      <c r="G13" s="30"/>
      <c r="H13" s="30"/>
      <c r="I13" s="30"/>
      <c r="J13" s="30"/>
      <c r="K13" s="30"/>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row>
    <row r="14" customFormat="false" ht="15" hidden="false" customHeight="false" outlineLevel="0" collapsed="false">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row>
    <row r="15" customFormat="false" ht="15" hidden="false" customHeight="false" outlineLevel="0" collapsed="false">
      <c r="B15" s="30"/>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row>
    <row r="16" customFormat="false" ht="15" hidden="false" customHeight="false" outlineLevel="0" collapsed="false">
      <c r="B16" s="30"/>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row>
    <row r="17" customFormat="false" ht="15" hidden="false" customHeight="false" outlineLevel="0" collapsed="false">
      <c r="B17" s="30"/>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row>
    <row r="18" customFormat="false" ht="15" hidden="false" customHeight="false" outlineLevel="0" collapsed="false">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row>
    <row r="19" customFormat="false" ht="15" hidden="false" customHeight="false" outlineLevel="0" collapsed="false">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row>
    <row r="20" customFormat="false" ht="15" hidden="false" customHeight="false" outlineLevel="0" collapsed="false">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row>
    <row r="21" customFormat="false" ht="15" hidden="false" customHeight="false" outlineLevel="0" collapsed="false">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row>
    <row r="22" customFormat="false" ht="15" hidden="false" customHeight="false" outlineLevel="0" collapsed="false">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row>
    <row r="23" customFormat="false" ht="15" hidden="false" customHeight="false" outlineLevel="0" collapsed="false">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row>
    <row r="24" customFormat="false" ht="15" hidden="false" customHeight="false" outlineLevel="0" collapsed="false">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row>
    <row r="25" customFormat="false" ht="15" hidden="false" customHeight="false" outlineLevel="0" collapsed="false">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row>
    <row r="26" customFormat="false" ht="15" hidden="false" customHeight="false" outlineLevel="0" collapsed="false">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row>
    <row r="27" customFormat="false" ht="15" hidden="false" customHeight="false" outlineLevel="0" collapsed="false">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row>
    <row r="28" customFormat="false" ht="15" hidden="false" customHeight="false" outlineLevel="0" collapsed="false">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row>
    <row r="29" customFormat="false" ht="15" hidden="false" customHeight="false" outlineLevel="0" collapsed="false">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row>
    <row r="30" customFormat="false" ht="15" hidden="false" customHeight="false" outlineLevel="0" collapsed="false">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false" outlineLevel="0" collapsed="false">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row>
    <row r="32" customFormat="false" ht="15" hidden="false" customHeight="false" outlineLevel="0" collapsed="false">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row>
    <row r="33" customFormat="false" ht="15" hidden="false" customHeight="false" outlineLevel="0" collapsed="false">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row>
    <row r="34" customFormat="false" ht="15" hidden="false" customHeight="false" outlineLevel="0" collapsed="false">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row>
    <row r="35" customFormat="false" ht="15" hidden="false" customHeight="false" outlineLevel="0" collapsed="false">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row>
    <row r="36" customFormat="false" ht="15" hidden="false" customHeight="false" outlineLevel="0" collapsed="false">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row>
    <row r="37" customFormat="false" ht="15" hidden="false" customHeight="false" outlineLevel="0" collapsed="false">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row>
    <row r="38" customFormat="false" ht="15" hidden="false" customHeight="false" outlineLevel="0" collapsed="false">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row>
    <row r="39" customFormat="false" ht="15" hidden="false" customHeight="false" outlineLevel="0" collapsed="false">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row>
    <row r="40" customFormat="false" ht="15" hidden="false" customHeight="false" outlineLevel="0" collapsed="false">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row>
    <row r="41" customFormat="false" ht="15" hidden="false" customHeight="false" outlineLevel="0" collapsed="false">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row>
    <row r="42" customFormat="false" ht="15" hidden="false" customHeight="false" outlineLevel="0" collapsed="false">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row>
    <row r="43" customFormat="false" ht="15" hidden="false" customHeight="false" outlineLevel="0" collapsed="false">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row>
    <row r="44" customFormat="false" ht="15" hidden="false" customHeight="false" outlineLevel="0" collapsed="false">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row>
    <row r="45" customFormat="false" ht="15" hidden="false" customHeight="false" outlineLevel="0" collapsed="false">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row>
    <row r="46" customFormat="false" ht="15" hidden="false" customHeight="false" outlineLevel="0" collapsed="false">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row>
    <row r="47" customFormat="false" ht="15" hidden="false" customHeight="false" outlineLevel="0" collapsed="false">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row>
    <row r="48" customFormat="false" ht="15" hidden="false" customHeight="false" outlineLevel="0" collapsed="false">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row>
    <row r="49" customFormat="false" ht="15" hidden="false" customHeight="false" outlineLevel="0" collapsed="false">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row>
    <row r="50" customFormat="false" ht="15" hidden="false" customHeight="false" outlineLevel="0" collapsed="false">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row>
    <row r="51" customFormat="false" ht="15" hidden="false" customHeight="false" outlineLevel="0" collapsed="false">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row>
    <row r="52" customFormat="false" ht="15" hidden="false" customHeight="false" outlineLevel="0" collapsed="false">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row>
    <row r="53" customFormat="false" ht="15" hidden="false" customHeight="false" outlineLevel="0" collapsed="false">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row>
    <row r="54" customFormat="false" ht="15" hidden="false" customHeight="false" outlineLevel="0" collapsed="false">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row>
  </sheetData>
  <dataValidations count="1">
    <dataValidation allowBlank="false" errorStyle="stop" operator="between" showDropDown="false" showErrorMessage="false" showInputMessage="false" sqref="B5:B5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Z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36"/>
    <col collapsed="false" customWidth="true" hidden="false" outlineLevel="0" max="4" min="4" style="0" width="8"/>
    <col collapsed="false" customWidth="true" hidden="false" outlineLevel="0" max="5" min="5" style="0" width="18"/>
    <col collapsed="false" customWidth="true" hidden="false" outlineLevel="0" max="6" min="6" style="0" width="9"/>
    <col collapsed="false" customWidth="true" hidden="false" outlineLevel="0" max="8" min="7" style="0" width="12"/>
    <col collapsed="false" customWidth="true" hidden="false" outlineLevel="0" max="10" min="9" style="0" width="14"/>
    <col collapsed="false" customWidth="true" hidden="false" outlineLevel="0" max="11" min="11" style="0" width="22"/>
    <col collapsed="false" customWidth="true" hidden="false" outlineLevel="0" max="12" min="12" style="0" width="9"/>
    <col collapsed="false" customWidth="true" hidden="false" outlineLevel="0" max="16" min="13" style="0" width="12"/>
    <col collapsed="false" customWidth="true" hidden="false" outlineLevel="0" max="18" min="17" style="0" width="9"/>
    <col collapsed="false" customWidth="true" hidden="false" outlineLevel="0" max="20" min="19" style="0" width="11"/>
    <col collapsed="false" customWidth="true" hidden="false" outlineLevel="0" max="21" min="21" style="0" width="22"/>
    <col collapsed="false" customWidth="true" hidden="false" outlineLevel="0" max="23" min="22" style="0" width="12"/>
    <col collapsed="false" customWidth="true" hidden="false" outlineLevel="0" max="24" min="24" style="0" width="10"/>
    <col collapsed="false" customWidth="true" hidden="false" outlineLevel="0" max="25" min="25" style="0" width="8"/>
    <col collapsed="false" customWidth="true" hidden="false" outlineLevel="0" max="26" min="26" style="0" width="40"/>
  </cols>
  <sheetData>
    <row r="1" customFormat="false" ht="46.25" hidden="false" customHeight="false" outlineLevel="0" collapsed="false">
      <c r="A1" s="9" t="s">
        <v>496</v>
      </c>
      <c r="B1" s="9" t="s">
        <v>772</v>
      </c>
      <c r="C1" s="9" t="s">
        <v>773</v>
      </c>
      <c r="D1" s="9" t="s">
        <v>774</v>
      </c>
      <c r="E1" s="9" t="s">
        <v>775</v>
      </c>
      <c r="F1" s="9" t="s">
        <v>226</v>
      </c>
      <c r="G1" s="9" t="s">
        <v>690</v>
      </c>
      <c r="H1" s="9" t="s">
        <v>776</v>
      </c>
      <c r="I1" s="9" t="s">
        <v>55</v>
      </c>
      <c r="J1" s="9" t="s">
        <v>777</v>
      </c>
      <c r="K1" s="9" t="s">
        <v>778</v>
      </c>
      <c r="L1" s="9" t="s">
        <v>514</v>
      </c>
      <c r="M1" s="9" t="s">
        <v>508</v>
      </c>
      <c r="N1" s="9" t="s">
        <v>509</v>
      </c>
      <c r="O1" s="9" t="s">
        <v>524</v>
      </c>
      <c r="P1" s="9" t="s">
        <v>525</v>
      </c>
      <c r="Q1" s="9" t="s">
        <v>526</v>
      </c>
      <c r="R1" s="9" t="s">
        <v>527</v>
      </c>
      <c r="S1" s="9" t="s">
        <v>528</v>
      </c>
      <c r="T1" s="9" t="s">
        <v>235</v>
      </c>
      <c r="U1" s="9" t="s">
        <v>779</v>
      </c>
      <c r="V1" s="9" t="s">
        <v>780</v>
      </c>
      <c r="W1" s="9" t="s">
        <v>221</v>
      </c>
      <c r="X1" s="9" t="s">
        <v>781</v>
      </c>
      <c r="Y1" s="9" t="s">
        <v>782</v>
      </c>
      <c r="Z1" s="9" t="s">
        <v>198</v>
      </c>
    </row>
    <row r="2" customFormat="false" ht="15" hidden="false" customHeight="false" outlineLevel="0" collapsed="false">
      <c r="A2" s="24" t="n">
        <f aca="false">IF(IFERROR(INDEX(tsk_Name,(ROW()-ROW(MSPTasks[[#Headers],[ID]])))="",TRUE()),"",INDEX(tsk_ID,(ROW()-ROW(MSPTasks[[#Headers],[ID]]))))</f>
        <v>1</v>
      </c>
      <c r="B2" s="24" t="n">
        <f aca="false">IF(IFERROR(INDEX(tsk_Name,(ROW()-ROW(MSPTasks[[#Headers],[ID]])))="",TRUE()),"",INDEX(tsk_UID,(ROW()-ROW(MSPTasks[[#Headers],[ID]]))))</f>
        <v>1</v>
      </c>
      <c r="C2" s="24" t="str">
        <f aca="false">IF(IFERROR(INDEX(tsk_Name,(ROW()-ROW(MSPTasks[[#Headers],[ID]])))="",TRUE()),"",INDEX(tsk_Name,(ROW()-ROW(MSPTasks[[#Headers],[ID]]))))</f>
        <v>Initiation</v>
      </c>
      <c r="D2" s="24" t="n">
        <f aca="false">IF(IFERROR(INDEX(tsk_Name,(ROW()-ROW(MSPTasks[[#Headers],[ID]])))="",TRUE()),"",INDEX(tsk_Level,(ROW()-ROW(MSPTasks[[#Headers],[ID]]))))</f>
        <v>1</v>
      </c>
      <c r="E2" s="24" t="str">
        <f aca="false">IF(IFERROR(INDEX(tsk_Name,(ROW()-ROW(MSPTasks[[#Headers],[ID]])))="",TRUE()),"",IF(INDEX(tsk_Mode,(ROW()-ROW(MSPTasks[[#Headers],[ID]])))="Manual","Manually Scheduled","Auto Scheduled"))</f>
        <v>Auto Scheduled</v>
      </c>
      <c r="F2" s="24" t="str">
        <f aca="false">IF(IFERROR(INDEX(tsk_Name,(ROW()-ROW(MSPTasks[[#Headers],[ID]])))="",TRUE()),"",IF(INDEX(tsk_IsSummary,(ROW()-ROW(MSPTasks[[#Headers],[ID]]))),"",N(INDEX(tsk_Duration,(ROW()-ROW(MSPTasks[[#Headers],[ID]]))))&amp;"d"))</f>
        <v/>
      </c>
      <c r="G2" s="130" t="n">
        <f aca="false">IF(IFERROR(INDEX(tsk_Name,(ROW()-ROW(MSPTasks[[#Headers],[ID]])))="",TRUE()),"",INDEX(tsk_FcStart,(ROW()-ROW(MSPTasks[[#Headers],[ID]]))))</f>
        <v>46272</v>
      </c>
      <c r="H2" s="130" t="n">
        <f aca="false">IF(IFERROR(INDEX(tsk_Name,(ROW()-ROW(MSPTasks[[#Headers],[ID]])))="",TRUE()),"",INDEX(tsk_FcFinish,(ROW()-ROW(MSPTasks[[#Headers],[ID]]))))</f>
        <v>46279</v>
      </c>
      <c r="I2" s="24" t="str">
        <f aca="false">IF(IFERROR(INDEX(tsk_Name,(ROW()-ROW(MSPTasks[[#Headers],[ID]])))="",TRUE()),"",IF(INDEX(tsk_IsSummary,(ROW()-ROW(MSPTasks[[#Headers],[ID]]))),"",INDEX(tsk_Predecessors,(ROW()-ROW(MSPTasks[[#Headers],[ID]])))))</f>
        <v/>
      </c>
      <c r="J2" s="24" t="str">
        <f aca="false">IF(IFERROR(INDEX(tsk_Name,(ROW()-ROW(MSPTasks[[#Headers],[ID]])))="",TRUE()),"",IF(INDEX(tsk_IsSummary,(ROW()-ROW(MSPTasks[[#Headers],[ID]]))),"",INDEX(tsk_UIDPredecessors,(ROW()-ROW(MSPTasks[[#Headers],[ID]])))))</f>
        <v/>
      </c>
      <c r="K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 s="24" t="str">
        <f aca="false">IF(IFERROR(INDEX(tsk_Name,(ROW()-ROW(MSPTasks[[#Headers],[ID]])))="",TRUE()),"",IF(INDEX(tsk_IsSummary,(ROW()-ROW(MSPTasks[[#Headers],[ID]]))),"",ROUND(INDEX(tsk_Progress,(ROW()-ROW(MSPTasks[[#Headers],[ID]])))*100,0)))</f>
        <v/>
      </c>
      <c r="M2" s="130" t="str">
        <f aca="false">IF(IFERROR(INDEX(tsk_Name,(ROW()-ROW(MSPTasks[[#Headers],[ID]])))="",TRUE()),"",IF(N(INDEX(tsk_ActStart,(ROW()-ROW(MSPTasks[[#Headers],[ID]]))))=0,"",INDEX(tsk_ActStart,(ROW()-ROW(MSPTasks[[#Headers],[ID]])))))</f>
        <v/>
      </c>
      <c r="N2" s="130" t="str">
        <f aca="false">IF(IFERROR(INDEX(tsk_Name,(ROW()-ROW(MSPTasks[[#Headers],[ID]])))="",TRUE()),"",IF(N(INDEX(tsk_ActFinish,(ROW()-ROW(MSPTasks[[#Headers],[ID]]))))=0,"",INDEX(tsk_ActFinish,(ROW()-ROW(MSPTasks[[#Headers],[ID]])))))</f>
        <v/>
      </c>
      <c r="O2" s="130" t="n">
        <f aca="false">IF(IFERROR(INDEX(tsk_Name,(ROW()-ROW(MSPTasks[[#Headers],[ID]])))="",TRUE()),"",INDEX(tsk_PlanStart,(ROW()-ROW(MSPTasks[[#Headers],[ID]]))))</f>
        <v>46272</v>
      </c>
      <c r="P2" s="130" t="n">
        <f aca="false">IF(IFERROR(INDEX(tsk_Name,(ROW()-ROW(MSPTasks[[#Headers],[ID]])))="",TRUE()),"",INDEX(tsk_PlanFinish,(ROW()-ROW(MSPTasks[[#Headers],[ID]]))))</f>
        <v>46276</v>
      </c>
      <c r="Q2" s="24" t="str">
        <f aca="false">IF(IFERROR(INDEX(tsk_Name,(ROW()-ROW(MSPTasks[[#Headers],[ID]])))="",TRUE()),"",IF(INDEX(tsk_BaseDuration,(ROW()-ROW(MSPTasks[[#Headers],[ID]])))="","",N(INDEX(tsk_BaseDuration,(ROW()-ROW(MSPTasks[[#Headers],[ID]]))))&amp;"d"))</f>
        <v/>
      </c>
      <c r="R2" s="24" t="str">
        <f aca="false">IF(IFERROR(INDEX(tsk_Name,(ROW()-ROW(MSPTasks[[#Headers],[ID]])))="",TRUE()),"",IF(INDEX(tsk_BaseWork,(ROW()-ROW(MSPTasks[[#Headers],[ID]])))="","",N(INDEX(tsk_BaseWork,(ROW()-ROW(MSPTasks[[#Headers],[ID]]))))&amp;"h"))</f>
        <v/>
      </c>
      <c r="S2" s="24" t="str">
        <f aca="false">IF(IFERROR(INDEX(tsk_Name,(ROW()-ROW(MSPTasks[[#Headers],[ID]])))="",TRUE()),"",IF(INDEX(tsk_BaseCost,(ROW()-ROW(MSPTasks[[#Headers],[ID]])))="","",N(INDEX(tsk_BaseCost,(ROW()-ROW(MSPTasks[[#Headers],[ID]]))))))</f>
        <v/>
      </c>
      <c r="T2" s="24" t="str">
        <f aca="false">IF(IFERROR(INDEX(tsk_Name,(ROW()-ROW(MSPTasks[[#Headers],[ID]])))="",TRUE()),"",IF(INDEX(tsk_IsSummary,(ROW()-ROW(MSPTasks[[#Headers],[ID]]))),"",IF(N(INDEX(tsk_ActCostInput,(ROW()-ROW(MSPTasks[[#Headers],[ID]]))))=0,"",INDEX(tsk_ActCostInput,(ROW()-ROW(MSPTasks[[#Headers],[ID]]))))))</f>
        <v/>
      </c>
      <c r="U2" s="24" t="str">
        <f aca="false">IF(IFERROR(INDEX(tsk_Name,(ROW()-ROW(MSPTasks[[#Headers],[ID]])))="",TRUE()),"",IF(INDEX(tsk_IsSummary,(ROW()-ROW(MSPTasks[[#Headers],[ID]]))),"",IF(AND(INDEX(tsk_Mode,(ROW()-ROW(MSPTasks[[#Headers],[ID]])))&lt;&gt;"Manual",N(INDEX(tsk_Constraint,(ROW()-ROW(MSPTasks[[#Headers],[ID]]))))&gt;0),"Start No Earlier Than","As Soon As Possible")))</f>
        <v/>
      </c>
      <c r="V2" s="130" t="str">
        <f aca="false">IF(IFERROR(INDEX(tsk_Name,(ROW()-ROW(MSPTasks[[#Headers],[ID]])))="",TRUE()),"",IF(OR(INDEX(tsk_IsSummary,(ROW()-ROW(MSPTasks[[#Headers],[ID]]))),INDEX(tsk_Mode,(ROW()-ROW(MSPTasks[[#Headers],[ID]])))="Manual"),"",IF(N(INDEX(tsk_Constraint,(ROW()-ROW(MSPTasks[[#Headers],[ID]]))))=0,"",INDEX(tsk_Constraint,(ROW()-ROW(MSPTasks[[#Headers],[ID]]))))))</f>
        <v/>
      </c>
      <c r="W2" s="130" t="str">
        <f aca="false">IF(IFERROR(INDEX(tsk_Name,(ROW()-ROW(MSPTasks[[#Headers],[ID]])))="",TRUE()),"",IF(N(INDEX(tsk_Deadline,(ROW()-ROW(MSPTasks[[#Headers],[ID]]))))=0,"",INDEX(tsk_Deadline,(ROW()-ROW(MSPTasks[[#Headers],[ID]])))))</f>
        <v/>
      </c>
      <c r="X2" s="24" t="str">
        <f aca="false">IF(IFERROR(INDEX(tsk_Name,(ROW()-ROW(MSPTasks[[#Headers],[ID]])))="",TRUE()),"",IF(INDEX(tsk_IsSummary,(ROW()-ROW(MSPTasks[[#Headers],[ID]]))),"",INDEX(tsk_Sprint,(ROW()-ROW(MSPTasks[[#Headers],[ID]])))&amp;""))</f>
        <v/>
      </c>
      <c r="Y2" s="24" t="str">
        <f aca="false">IF(IFERROR(INDEX(tsk_Name,(ROW()-ROW(MSPTasks[[#Headers],[ID]])))="",TRUE()),"",IF(INDEX(tsk_IsSummary,(ROW()-ROW(MSPTasks[[#Headers],[ID]]))),"",IF(N(INDEX(tsk_StoryPoints,(ROW()-ROW(MSPTasks[[#Headers],[ID]]))))=0,"",INDEX(tsk_StoryPoints,(ROW()-ROW(MSPTasks[[#Headers],[ID]]))))))</f>
        <v/>
      </c>
      <c r="Z2" s="24" t="str">
        <f aca="false">IF(IFERROR(INDEX(tsk_Name,(ROW()-ROW(MSPTasks[[#Headers],[ID]])))="",TRUE()),"",INDEX(tsk_Notes,(ROW()-ROW(MSPTasks[[#Headers],[ID]])))&amp;"")</f>
        <v>Phase 1 - summary rows roll up dates, work, cost and progress automatically.</v>
      </c>
    </row>
    <row r="3" customFormat="false" ht="15" hidden="false" customHeight="false" outlineLevel="0" collapsed="false">
      <c r="A3" s="24" t="n">
        <f aca="false">IF(IFERROR(INDEX(tsk_Name,(ROW()-ROW(MSPTasks[[#Headers],[ID]])))="",TRUE()),"",INDEX(tsk_ID,(ROW()-ROW(MSPTasks[[#Headers],[ID]]))))</f>
        <v>2</v>
      </c>
      <c r="B3" s="24" t="n">
        <f aca="false">IF(IFERROR(INDEX(tsk_Name,(ROW()-ROW(MSPTasks[[#Headers],[ID]])))="",TRUE()),"",INDEX(tsk_UID,(ROW()-ROW(MSPTasks[[#Headers],[ID]]))))</f>
        <v>2</v>
      </c>
      <c r="C3" s="24" t="str">
        <f aca="false">IF(IFERROR(INDEX(tsk_Name,(ROW()-ROW(MSPTasks[[#Headers],[ID]])))="",TRUE()),"",INDEX(tsk_Name,(ROW()-ROW(MSPTasks[[#Headers],[ID]]))))</f>
        <v>Project charter &amp; scope statement</v>
      </c>
      <c r="D3" s="24" t="n">
        <f aca="false">IF(IFERROR(INDEX(tsk_Name,(ROW()-ROW(MSPTasks[[#Headers],[ID]])))="",TRUE()),"",INDEX(tsk_Level,(ROW()-ROW(MSPTasks[[#Headers],[ID]]))))</f>
        <v>2</v>
      </c>
      <c r="E3" s="24" t="str">
        <f aca="false">IF(IFERROR(INDEX(tsk_Name,(ROW()-ROW(MSPTasks[[#Headers],[ID]])))="",TRUE()),"",IF(INDEX(tsk_Mode,(ROW()-ROW(MSPTasks[[#Headers],[ID]])))="Manual","Manually Scheduled","Auto Scheduled"))</f>
        <v>Auto Scheduled</v>
      </c>
      <c r="F3" s="24" t="str">
        <f aca="false">IF(IFERROR(INDEX(tsk_Name,(ROW()-ROW(MSPTasks[[#Headers],[ID]])))="",TRUE()),"",IF(INDEX(tsk_IsSummary,(ROW()-ROW(MSPTasks[[#Headers],[ID]]))),"",N(INDEX(tsk_Duration,(ROW()-ROW(MSPTasks[[#Headers],[ID]]))))&amp;"d"))</f>
        <v>3d</v>
      </c>
      <c r="G3" s="130" t="n">
        <f aca="false">IF(IFERROR(INDEX(tsk_Name,(ROW()-ROW(MSPTasks[[#Headers],[ID]])))="",TRUE()),"",INDEX(tsk_FcStart,(ROW()-ROW(MSPTasks[[#Headers],[ID]]))))</f>
        <v>46272</v>
      </c>
      <c r="H3" s="130" t="n">
        <f aca="false">IF(IFERROR(INDEX(tsk_Name,(ROW()-ROW(MSPTasks[[#Headers],[ID]])))="",TRUE()),"",INDEX(tsk_FcFinish,(ROW()-ROW(MSPTasks[[#Headers],[ID]]))))</f>
        <v>46275</v>
      </c>
      <c r="I3" s="24" t="str">
        <f aca="false">IF(IFERROR(INDEX(tsk_Name,(ROW()-ROW(MSPTasks[[#Headers],[ID]])))="",TRUE()),"",IF(INDEX(tsk_IsSummary,(ROW()-ROW(MSPTasks[[#Headers],[ID]]))),"",INDEX(tsk_Predecessors,(ROW()-ROW(MSPTasks[[#Headers],[ID]])))))</f>
        <v/>
      </c>
      <c r="J3" s="24" t="str">
        <f aca="false">IF(IFERROR(INDEX(tsk_Name,(ROW()-ROW(MSPTasks[[#Headers],[ID]])))="",TRUE()),"",IF(INDEX(tsk_IsSummary,(ROW()-ROW(MSPTasks[[#Headers],[ID]]))),"",INDEX(tsk_UIDPredecessors,(ROW()-ROW(MSPTasks[[#Headers],[ID]])))))</f>
        <v/>
      </c>
      <c r="K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3" s="24" t="n">
        <f aca="false">IF(IFERROR(INDEX(tsk_Name,(ROW()-ROW(MSPTasks[[#Headers],[ID]])))="",TRUE()),"",IF(INDEX(tsk_IsSummary,(ROW()-ROW(MSPTasks[[#Headers],[ID]]))),"",ROUND(INDEX(tsk_Progress,(ROW()-ROW(MSPTasks[[#Headers],[ID]])))*100,0)))</f>
        <v>100</v>
      </c>
      <c r="M3" s="130" t="n">
        <f aca="false">IF(IFERROR(INDEX(tsk_Name,(ROW()-ROW(MSPTasks[[#Headers],[ID]])))="",TRUE()),"",IF(N(INDEX(tsk_ActStart,(ROW()-ROW(MSPTasks[[#Headers],[ID]]))))=0,"",INDEX(tsk_ActStart,(ROW()-ROW(MSPTasks[[#Headers],[ID]])))))</f>
        <v>46272</v>
      </c>
      <c r="N3" s="130" t="n">
        <f aca="false">IF(IFERROR(INDEX(tsk_Name,(ROW()-ROW(MSPTasks[[#Headers],[ID]])))="",TRUE()),"",IF(N(INDEX(tsk_ActFinish,(ROW()-ROW(MSPTasks[[#Headers],[ID]]))))=0,"",INDEX(tsk_ActFinish,(ROW()-ROW(MSPTasks[[#Headers],[ID]])))))</f>
        <v>46275</v>
      </c>
      <c r="O3" s="130" t="n">
        <f aca="false">IF(IFERROR(INDEX(tsk_Name,(ROW()-ROW(MSPTasks[[#Headers],[ID]])))="",TRUE()),"",INDEX(tsk_PlanStart,(ROW()-ROW(MSPTasks[[#Headers],[ID]]))))</f>
        <v>46272</v>
      </c>
      <c r="P3" s="130" t="n">
        <f aca="false">IF(IFERROR(INDEX(tsk_Name,(ROW()-ROW(MSPTasks[[#Headers],[ID]])))="",TRUE()),"",INDEX(tsk_PlanFinish,(ROW()-ROW(MSPTasks[[#Headers],[ID]]))))</f>
        <v>46274</v>
      </c>
      <c r="Q3" s="24" t="str">
        <f aca="false">IF(IFERROR(INDEX(tsk_Name,(ROW()-ROW(MSPTasks[[#Headers],[ID]])))="",TRUE()),"",IF(INDEX(tsk_BaseDuration,(ROW()-ROW(MSPTasks[[#Headers],[ID]])))="","",N(INDEX(tsk_BaseDuration,(ROW()-ROW(MSPTasks[[#Headers],[ID]]))))&amp;"d"))</f>
        <v/>
      </c>
      <c r="R3" s="24" t="str">
        <f aca="false">IF(IFERROR(INDEX(tsk_Name,(ROW()-ROW(MSPTasks[[#Headers],[ID]])))="",TRUE()),"",IF(INDEX(tsk_BaseWork,(ROW()-ROW(MSPTasks[[#Headers],[ID]])))="","",N(INDEX(tsk_BaseWork,(ROW()-ROW(MSPTasks[[#Headers],[ID]]))))&amp;"h"))</f>
        <v/>
      </c>
      <c r="S3" s="24" t="str">
        <f aca="false">IF(IFERROR(INDEX(tsk_Name,(ROW()-ROW(MSPTasks[[#Headers],[ID]])))="",TRUE()),"",IF(INDEX(tsk_BaseCost,(ROW()-ROW(MSPTasks[[#Headers],[ID]])))="","",N(INDEX(tsk_BaseCost,(ROW()-ROW(MSPTasks[[#Headers],[ID]]))))))</f>
        <v/>
      </c>
      <c r="T3" s="99" t="n">
        <f aca="false">IF(IFERROR(INDEX(tsk_Name,(ROW()-ROW(MSPTasks[[#Headers],[ID]])))="",TRUE()),"",IF(INDEX(tsk_IsSummary,(ROW()-ROW(MSPTasks[[#Headers],[ID]]))),"",IF(N(INDEX(tsk_ActCostInput,(ROW()-ROW(MSPTasks[[#Headers],[ID]]))))=0,"",INDEX(tsk_ActCostInput,(ROW()-ROW(MSPTasks[[#Headers],[ID]]))))))</f>
        <v>3040</v>
      </c>
      <c r="U3" s="24" t="str">
        <f aca="false">IF(IFERROR(INDEX(tsk_Name,(ROW()-ROW(MSPTasks[[#Headers],[ID]])))="",TRUE()),"",IF(INDEX(tsk_IsSummary,(ROW()-ROW(MSPTasks[[#Headers],[ID]]))),"",IF(AND(INDEX(tsk_Mode,(ROW()-ROW(MSPTasks[[#Headers],[ID]])))&lt;&gt;"Manual",N(INDEX(tsk_Constraint,(ROW()-ROW(MSPTasks[[#Headers],[ID]]))))&gt;0),"Start No Earlier Than","As Soon As Possible")))</f>
        <v>As Soon As Possible</v>
      </c>
      <c r="V3" s="130" t="str">
        <f aca="false">IF(IFERROR(INDEX(tsk_Name,(ROW()-ROW(MSPTasks[[#Headers],[ID]])))="",TRUE()),"",IF(OR(INDEX(tsk_IsSummary,(ROW()-ROW(MSPTasks[[#Headers],[ID]]))),INDEX(tsk_Mode,(ROW()-ROW(MSPTasks[[#Headers],[ID]])))="Manual"),"",IF(N(INDEX(tsk_Constraint,(ROW()-ROW(MSPTasks[[#Headers],[ID]]))))=0,"",INDEX(tsk_Constraint,(ROW()-ROW(MSPTasks[[#Headers],[ID]]))))))</f>
        <v/>
      </c>
      <c r="W3" s="130" t="str">
        <f aca="false">IF(IFERROR(INDEX(tsk_Name,(ROW()-ROW(MSPTasks[[#Headers],[ID]])))="",TRUE()),"",IF(N(INDEX(tsk_Deadline,(ROW()-ROW(MSPTasks[[#Headers],[ID]]))))=0,"",INDEX(tsk_Deadline,(ROW()-ROW(MSPTasks[[#Headers],[ID]])))))</f>
        <v/>
      </c>
      <c r="X3" s="24" t="str">
        <f aca="false">IF(IFERROR(INDEX(tsk_Name,(ROW()-ROW(MSPTasks[[#Headers],[ID]])))="",TRUE()),"",IF(INDEX(tsk_IsSummary,(ROW()-ROW(MSPTasks[[#Headers],[ID]]))),"",INDEX(tsk_Sprint,(ROW()-ROW(MSPTasks[[#Headers],[ID]])))&amp;""))</f>
        <v>Sprint 1</v>
      </c>
      <c r="Y3" s="74" t="n">
        <f aca="false">IF(IFERROR(INDEX(tsk_Name,(ROW()-ROW(MSPTasks[[#Headers],[ID]])))="",TRUE()),"",IF(INDEX(tsk_IsSummary,(ROW()-ROW(MSPTasks[[#Headers],[ID]]))),"",IF(N(INDEX(tsk_StoryPoints,(ROW()-ROW(MSPTasks[[#Headers],[ID]]))))=0,"",INDEX(tsk_StoryPoints,(ROW()-ROW(MSPTasks[[#Headers],[ID]]))))))</f>
        <v>3</v>
      </c>
      <c r="Z3" s="24" t="str">
        <f aca="false">IF(IFERROR(INDEX(tsk_Name,(ROW()-ROW(MSPTasks[[#Headers],[ID]])))="",TRUE()),"",INDEX(tsk_Notes,(ROW()-ROW(MSPTasks[[#Headers],[ID]])))&amp;"")</f>
        <v>Took 1 extra day for sponsor sign-off.</v>
      </c>
    </row>
    <row r="4" customFormat="false" ht="15" hidden="false" customHeight="false" outlineLevel="0" collapsed="false">
      <c r="A4" s="24" t="n">
        <f aca="false">IF(IFERROR(INDEX(tsk_Name,(ROW()-ROW(MSPTasks[[#Headers],[ID]])))="",TRUE()),"",INDEX(tsk_ID,(ROW()-ROW(MSPTasks[[#Headers],[ID]]))))</f>
        <v>3</v>
      </c>
      <c r="B4" s="24" t="n">
        <f aca="false">IF(IFERROR(INDEX(tsk_Name,(ROW()-ROW(MSPTasks[[#Headers],[ID]])))="",TRUE()),"",INDEX(tsk_UID,(ROW()-ROW(MSPTasks[[#Headers],[ID]]))))</f>
        <v>3</v>
      </c>
      <c r="C4" s="24" t="str">
        <f aca="false">IF(IFERROR(INDEX(tsk_Name,(ROW()-ROW(MSPTasks[[#Headers],[ID]])))="",TRUE()),"",INDEX(tsk_Name,(ROW()-ROW(MSPTasks[[#Headers],[ID]]))))</f>
        <v>Stakeholder kickoff workshop</v>
      </c>
      <c r="D4" s="24" t="n">
        <f aca="false">IF(IFERROR(INDEX(tsk_Name,(ROW()-ROW(MSPTasks[[#Headers],[ID]])))="",TRUE()),"",INDEX(tsk_Level,(ROW()-ROW(MSPTasks[[#Headers],[ID]]))))</f>
        <v>2</v>
      </c>
      <c r="E4" s="24" t="str">
        <f aca="false">IF(IFERROR(INDEX(tsk_Name,(ROW()-ROW(MSPTasks[[#Headers],[ID]])))="",TRUE()),"",IF(INDEX(tsk_Mode,(ROW()-ROW(MSPTasks[[#Headers],[ID]])))="Manual","Manually Scheduled","Auto Scheduled"))</f>
        <v>Auto Scheduled</v>
      </c>
      <c r="F4" s="24" t="str">
        <f aca="false">IF(IFERROR(INDEX(tsk_Name,(ROW()-ROW(MSPTasks[[#Headers],[ID]])))="",TRUE()),"",IF(INDEX(tsk_IsSummary,(ROW()-ROW(MSPTasks[[#Headers],[ID]]))),"",N(INDEX(tsk_Duration,(ROW()-ROW(MSPTasks[[#Headers],[ID]]))))&amp;"d"))</f>
        <v>2d</v>
      </c>
      <c r="G4" s="130" t="n">
        <f aca="false">IF(IFERROR(INDEX(tsk_Name,(ROW()-ROW(MSPTasks[[#Headers],[ID]])))="",TRUE()),"",INDEX(tsk_FcStart,(ROW()-ROW(MSPTasks[[#Headers],[ID]]))))</f>
        <v>46276</v>
      </c>
      <c r="H4" s="130" t="n">
        <f aca="false">IF(IFERROR(INDEX(tsk_Name,(ROW()-ROW(MSPTasks[[#Headers],[ID]])))="",TRUE()),"",INDEX(tsk_FcFinish,(ROW()-ROW(MSPTasks[[#Headers],[ID]]))))</f>
        <v>46279</v>
      </c>
      <c r="I4" s="24" t="str">
        <f aca="false">IF(IFERROR(INDEX(tsk_Name,(ROW()-ROW(MSPTasks[[#Headers],[ID]])))="",TRUE()),"",IF(INDEX(tsk_IsSummary,(ROW()-ROW(MSPTasks[[#Headers],[ID]]))),"",INDEX(tsk_Predecessors,(ROW()-ROW(MSPTasks[[#Headers],[ID]])))))</f>
        <v>2</v>
      </c>
      <c r="J4" s="24" t="str">
        <f aca="false">IF(IFERROR(INDEX(tsk_Name,(ROW()-ROW(MSPTasks[[#Headers],[ID]])))="",TRUE()),"",IF(INDEX(tsk_IsSummary,(ROW()-ROW(MSPTasks[[#Headers],[ID]]))),"",INDEX(tsk_UIDPredecessors,(ROW()-ROW(MSPTasks[[#Headers],[ID]])))))</f>
        <v>2</v>
      </c>
      <c r="K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4" s="24" t="n">
        <f aca="false">IF(IFERROR(INDEX(tsk_Name,(ROW()-ROW(MSPTasks[[#Headers],[ID]])))="",TRUE()),"",IF(INDEX(tsk_IsSummary,(ROW()-ROW(MSPTasks[[#Headers],[ID]]))),"",ROUND(INDEX(tsk_Progress,(ROW()-ROW(MSPTasks[[#Headers],[ID]])))*100,0)))</f>
        <v>100</v>
      </c>
      <c r="M4" s="130" t="n">
        <f aca="false">IF(IFERROR(INDEX(tsk_Name,(ROW()-ROW(MSPTasks[[#Headers],[ID]])))="",TRUE()),"",IF(N(INDEX(tsk_ActStart,(ROW()-ROW(MSPTasks[[#Headers],[ID]]))))=0,"",INDEX(tsk_ActStart,(ROW()-ROW(MSPTasks[[#Headers],[ID]])))))</f>
        <v>46276</v>
      </c>
      <c r="N4" s="130" t="n">
        <f aca="false">IF(IFERROR(INDEX(tsk_Name,(ROW()-ROW(MSPTasks[[#Headers],[ID]])))="",TRUE()),"",IF(N(INDEX(tsk_ActFinish,(ROW()-ROW(MSPTasks[[#Headers],[ID]]))))=0,"",INDEX(tsk_ActFinish,(ROW()-ROW(MSPTasks[[#Headers],[ID]])))))</f>
        <v>46279</v>
      </c>
      <c r="O4" s="130" t="n">
        <f aca="false">IF(IFERROR(INDEX(tsk_Name,(ROW()-ROW(MSPTasks[[#Headers],[ID]])))="",TRUE()),"",INDEX(tsk_PlanStart,(ROW()-ROW(MSPTasks[[#Headers],[ID]]))))</f>
        <v>46275</v>
      </c>
      <c r="P4" s="130" t="n">
        <f aca="false">IF(IFERROR(INDEX(tsk_Name,(ROW()-ROW(MSPTasks[[#Headers],[ID]])))="",TRUE()),"",INDEX(tsk_PlanFinish,(ROW()-ROW(MSPTasks[[#Headers],[ID]]))))</f>
        <v>46276</v>
      </c>
      <c r="Q4" s="24" t="str">
        <f aca="false">IF(IFERROR(INDEX(tsk_Name,(ROW()-ROW(MSPTasks[[#Headers],[ID]])))="",TRUE()),"",IF(INDEX(tsk_BaseDuration,(ROW()-ROW(MSPTasks[[#Headers],[ID]])))="","",N(INDEX(tsk_BaseDuration,(ROW()-ROW(MSPTasks[[#Headers],[ID]]))))&amp;"d"))</f>
        <v/>
      </c>
      <c r="R4" s="24" t="str">
        <f aca="false">IF(IFERROR(INDEX(tsk_Name,(ROW()-ROW(MSPTasks[[#Headers],[ID]])))="",TRUE()),"",IF(INDEX(tsk_BaseWork,(ROW()-ROW(MSPTasks[[#Headers],[ID]])))="","",N(INDEX(tsk_BaseWork,(ROW()-ROW(MSPTasks[[#Headers],[ID]]))))&amp;"h"))</f>
        <v/>
      </c>
      <c r="S4" s="24" t="str">
        <f aca="false">IF(IFERROR(INDEX(tsk_Name,(ROW()-ROW(MSPTasks[[#Headers],[ID]])))="",TRUE()),"",IF(INDEX(tsk_BaseCost,(ROW()-ROW(MSPTasks[[#Headers],[ID]])))="","",N(INDEX(tsk_BaseCost,(ROW()-ROW(MSPTasks[[#Headers],[ID]]))))))</f>
        <v/>
      </c>
      <c r="T4" s="24" t="str">
        <f aca="false">IF(IFERROR(INDEX(tsk_Name,(ROW()-ROW(MSPTasks[[#Headers],[ID]])))="",TRUE()),"",IF(INDEX(tsk_IsSummary,(ROW()-ROW(MSPTasks[[#Headers],[ID]]))),"",IF(N(INDEX(tsk_ActCostInput,(ROW()-ROW(MSPTasks[[#Headers],[ID]]))))=0,"",INDEX(tsk_ActCostInput,(ROW()-ROW(MSPTasks[[#Headers],[ID]]))))))</f>
        <v/>
      </c>
      <c r="U4" s="24" t="str">
        <f aca="false">IF(IFERROR(INDEX(tsk_Name,(ROW()-ROW(MSPTasks[[#Headers],[ID]])))="",TRUE()),"",IF(INDEX(tsk_IsSummary,(ROW()-ROW(MSPTasks[[#Headers],[ID]]))),"",IF(AND(INDEX(tsk_Mode,(ROW()-ROW(MSPTasks[[#Headers],[ID]])))&lt;&gt;"Manual",N(INDEX(tsk_Constraint,(ROW()-ROW(MSPTasks[[#Headers],[ID]]))))&gt;0),"Start No Earlier Than","As Soon As Possible")))</f>
        <v>As Soon As Possible</v>
      </c>
      <c r="V4" s="130" t="str">
        <f aca="false">IF(IFERROR(INDEX(tsk_Name,(ROW()-ROW(MSPTasks[[#Headers],[ID]])))="",TRUE()),"",IF(OR(INDEX(tsk_IsSummary,(ROW()-ROW(MSPTasks[[#Headers],[ID]]))),INDEX(tsk_Mode,(ROW()-ROW(MSPTasks[[#Headers],[ID]])))="Manual"),"",IF(N(INDEX(tsk_Constraint,(ROW()-ROW(MSPTasks[[#Headers],[ID]]))))=0,"",INDEX(tsk_Constraint,(ROW()-ROW(MSPTasks[[#Headers],[ID]]))))))</f>
        <v/>
      </c>
      <c r="W4" s="130" t="str">
        <f aca="false">IF(IFERROR(INDEX(tsk_Name,(ROW()-ROW(MSPTasks[[#Headers],[ID]])))="",TRUE()),"",IF(N(INDEX(tsk_Deadline,(ROW()-ROW(MSPTasks[[#Headers],[ID]]))))=0,"",INDEX(tsk_Deadline,(ROW()-ROW(MSPTasks[[#Headers],[ID]])))))</f>
        <v/>
      </c>
      <c r="X4" s="24" t="str">
        <f aca="false">IF(IFERROR(INDEX(tsk_Name,(ROW()-ROW(MSPTasks[[#Headers],[ID]])))="",TRUE()),"",IF(INDEX(tsk_IsSummary,(ROW()-ROW(MSPTasks[[#Headers],[ID]]))),"",INDEX(tsk_Sprint,(ROW()-ROW(MSPTasks[[#Headers],[ID]])))&amp;""))</f>
        <v>Sprint 1</v>
      </c>
      <c r="Y4" s="74" t="n">
        <f aca="false">IF(IFERROR(INDEX(tsk_Name,(ROW()-ROW(MSPTasks[[#Headers],[ID]])))="",TRUE()),"",IF(INDEX(tsk_IsSummary,(ROW()-ROW(MSPTasks[[#Headers],[ID]]))),"",IF(N(INDEX(tsk_StoryPoints,(ROW()-ROW(MSPTasks[[#Headers],[ID]]))))=0,"",INDEX(tsk_StoryPoints,(ROW()-ROW(MSPTasks[[#Headers],[ID]]))))))</f>
        <v>2</v>
      </c>
      <c r="Z4" s="24" t="str">
        <f aca="false">IF(IFERROR(INDEX(tsk_Name,(ROW()-ROW(MSPTasks[[#Headers],[ID]])))="",TRUE()),"",INDEX(tsk_Notes,(ROW()-ROW(MSPTasks[[#Headers],[ID]])))&amp;"")</f>
        <v/>
      </c>
    </row>
    <row r="5" customFormat="false" ht="15" hidden="false" customHeight="false" outlineLevel="0" collapsed="false">
      <c r="A5" s="24" t="n">
        <f aca="false">IF(IFERROR(INDEX(tsk_Name,(ROW()-ROW(MSPTasks[[#Headers],[ID]])))="",TRUE()),"",INDEX(tsk_ID,(ROW()-ROW(MSPTasks[[#Headers],[ID]]))))</f>
        <v>4</v>
      </c>
      <c r="B5" s="24" t="n">
        <f aca="false">IF(IFERROR(INDEX(tsk_Name,(ROW()-ROW(MSPTasks[[#Headers],[ID]])))="",TRUE()),"",INDEX(tsk_UID,(ROW()-ROW(MSPTasks[[#Headers],[ID]]))))</f>
        <v>4</v>
      </c>
      <c r="C5" s="24" t="str">
        <f aca="false">IF(IFERROR(INDEX(tsk_Name,(ROW()-ROW(MSPTasks[[#Headers],[ID]])))="",TRUE()),"",INDEX(tsk_Name,(ROW()-ROW(MSPTasks[[#Headers],[ID]]))))</f>
        <v>Kickoff complete</v>
      </c>
      <c r="D5" s="24" t="n">
        <f aca="false">IF(IFERROR(INDEX(tsk_Name,(ROW()-ROW(MSPTasks[[#Headers],[ID]])))="",TRUE()),"",INDEX(tsk_Level,(ROW()-ROW(MSPTasks[[#Headers],[ID]]))))</f>
        <v>2</v>
      </c>
      <c r="E5" s="24" t="str">
        <f aca="false">IF(IFERROR(INDEX(tsk_Name,(ROW()-ROW(MSPTasks[[#Headers],[ID]])))="",TRUE()),"",IF(INDEX(tsk_Mode,(ROW()-ROW(MSPTasks[[#Headers],[ID]])))="Manual","Manually Scheduled","Auto Scheduled"))</f>
        <v>Auto Scheduled</v>
      </c>
      <c r="F5" s="24" t="str">
        <f aca="false">IF(IFERROR(INDEX(tsk_Name,(ROW()-ROW(MSPTasks[[#Headers],[ID]])))="",TRUE()),"",IF(INDEX(tsk_IsSummary,(ROW()-ROW(MSPTasks[[#Headers],[ID]]))),"",N(INDEX(tsk_Duration,(ROW()-ROW(MSPTasks[[#Headers],[ID]]))))&amp;"d"))</f>
        <v>0d</v>
      </c>
      <c r="G5" s="130" t="n">
        <f aca="false">IF(IFERROR(INDEX(tsk_Name,(ROW()-ROW(MSPTasks[[#Headers],[ID]])))="",TRUE()),"",INDEX(tsk_FcStart,(ROW()-ROW(MSPTasks[[#Headers],[ID]]))))</f>
        <v>46279</v>
      </c>
      <c r="H5" s="130" t="n">
        <f aca="false">IF(IFERROR(INDEX(tsk_Name,(ROW()-ROW(MSPTasks[[#Headers],[ID]])))="",TRUE()),"",INDEX(tsk_FcFinish,(ROW()-ROW(MSPTasks[[#Headers],[ID]]))))</f>
        <v>46279</v>
      </c>
      <c r="I5" s="24" t="str">
        <f aca="false">IF(IFERROR(INDEX(tsk_Name,(ROW()-ROW(MSPTasks[[#Headers],[ID]])))="",TRUE()),"",IF(INDEX(tsk_IsSummary,(ROW()-ROW(MSPTasks[[#Headers],[ID]]))),"",INDEX(tsk_Predecessors,(ROW()-ROW(MSPTasks[[#Headers],[ID]])))))</f>
        <v>3</v>
      </c>
      <c r="J5" s="24" t="str">
        <f aca="false">IF(IFERROR(INDEX(tsk_Name,(ROW()-ROW(MSPTasks[[#Headers],[ID]])))="",TRUE()),"",IF(INDEX(tsk_IsSummary,(ROW()-ROW(MSPTasks[[#Headers],[ID]]))),"",INDEX(tsk_UIDPredecessors,(ROW()-ROW(MSPTasks[[#Headers],[ID]])))))</f>
        <v>3</v>
      </c>
      <c r="K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 s="24" t="n">
        <f aca="false">IF(IFERROR(INDEX(tsk_Name,(ROW()-ROW(MSPTasks[[#Headers],[ID]])))="",TRUE()),"",IF(INDEX(tsk_IsSummary,(ROW()-ROW(MSPTasks[[#Headers],[ID]]))),"",ROUND(INDEX(tsk_Progress,(ROW()-ROW(MSPTasks[[#Headers],[ID]])))*100,0)))</f>
        <v>100</v>
      </c>
      <c r="M5" s="130" t="n">
        <f aca="false">IF(IFERROR(INDEX(tsk_Name,(ROW()-ROW(MSPTasks[[#Headers],[ID]])))="",TRUE()),"",IF(N(INDEX(tsk_ActStart,(ROW()-ROW(MSPTasks[[#Headers],[ID]]))))=0,"",INDEX(tsk_ActStart,(ROW()-ROW(MSPTasks[[#Headers],[ID]])))))</f>
        <v>46279</v>
      </c>
      <c r="N5" s="130" t="n">
        <f aca="false">IF(IFERROR(INDEX(tsk_Name,(ROW()-ROW(MSPTasks[[#Headers],[ID]])))="",TRUE()),"",IF(N(INDEX(tsk_ActFinish,(ROW()-ROW(MSPTasks[[#Headers],[ID]]))))=0,"",INDEX(tsk_ActFinish,(ROW()-ROW(MSPTasks[[#Headers],[ID]])))))</f>
        <v>46279</v>
      </c>
      <c r="O5" s="130" t="n">
        <f aca="false">IF(IFERROR(INDEX(tsk_Name,(ROW()-ROW(MSPTasks[[#Headers],[ID]])))="",TRUE()),"",INDEX(tsk_PlanStart,(ROW()-ROW(MSPTasks[[#Headers],[ID]]))))</f>
        <v>46276</v>
      </c>
      <c r="P5" s="130" t="n">
        <f aca="false">IF(IFERROR(INDEX(tsk_Name,(ROW()-ROW(MSPTasks[[#Headers],[ID]])))="",TRUE()),"",INDEX(tsk_PlanFinish,(ROW()-ROW(MSPTasks[[#Headers],[ID]]))))</f>
        <v>46276</v>
      </c>
      <c r="Q5" s="24" t="str">
        <f aca="false">IF(IFERROR(INDEX(tsk_Name,(ROW()-ROW(MSPTasks[[#Headers],[ID]])))="",TRUE()),"",IF(INDEX(tsk_BaseDuration,(ROW()-ROW(MSPTasks[[#Headers],[ID]])))="","",N(INDEX(tsk_BaseDuration,(ROW()-ROW(MSPTasks[[#Headers],[ID]]))))&amp;"d"))</f>
        <v/>
      </c>
      <c r="R5" s="24" t="str">
        <f aca="false">IF(IFERROR(INDEX(tsk_Name,(ROW()-ROW(MSPTasks[[#Headers],[ID]])))="",TRUE()),"",IF(INDEX(tsk_BaseWork,(ROW()-ROW(MSPTasks[[#Headers],[ID]])))="","",N(INDEX(tsk_BaseWork,(ROW()-ROW(MSPTasks[[#Headers],[ID]]))))&amp;"h"))</f>
        <v/>
      </c>
      <c r="S5" s="24" t="str">
        <f aca="false">IF(IFERROR(INDEX(tsk_Name,(ROW()-ROW(MSPTasks[[#Headers],[ID]])))="",TRUE()),"",IF(INDEX(tsk_BaseCost,(ROW()-ROW(MSPTasks[[#Headers],[ID]])))="","",N(INDEX(tsk_BaseCost,(ROW()-ROW(MSPTasks[[#Headers],[ID]]))))))</f>
        <v/>
      </c>
      <c r="T5" s="24" t="str">
        <f aca="false">IF(IFERROR(INDEX(tsk_Name,(ROW()-ROW(MSPTasks[[#Headers],[ID]])))="",TRUE()),"",IF(INDEX(tsk_IsSummary,(ROW()-ROW(MSPTasks[[#Headers],[ID]]))),"",IF(N(INDEX(tsk_ActCostInput,(ROW()-ROW(MSPTasks[[#Headers],[ID]]))))=0,"",INDEX(tsk_ActCostInput,(ROW()-ROW(MSPTasks[[#Headers],[ID]]))))))</f>
        <v/>
      </c>
      <c r="U5" s="24" t="str">
        <f aca="false">IF(IFERROR(INDEX(tsk_Name,(ROW()-ROW(MSPTasks[[#Headers],[ID]])))="",TRUE()),"",IF(INDEX(tsk_IsSummary,(ROW()-ROW(MSPTasks[[#Headers],[ID]]))),"",IF(AND(INDEX(tsk_Mode,(ROW()-ROW(MSPTasks[[#Headers],[ID]])))&lt;&gt;"Manual",N(INDEX(tsk_Constraint,(ROW()-ROW(MSPTasks[[#Headers],[ID]]))))&gt;0),"Start No Earlier Than","As Soon As Possible")))</f>
        <v>As Soon As Possible</v>
      </c>
      <c r="V5" s="130" t="str">
        <f aca="false">IF(IFERROR(INDEX(tsk_Name,(ROW()-ROW(MSPTasks[[#Headers],[ID]])))="",TRUE()),"",IF(OR(INDEX(tsk_IsSummary,(ROW()-ROW(MSPTasks[[#Headers],[ID]]))),INDEX(tsk_Mode,(ROW()-ROW(MSPTasks[[#Headers],[ID]])))="Manual"),"",IF(N(INDEX(tsk_Constraint,(ROW()-ROW(MSPTasks[[#Headers],[ID]]))))=0,"",INDEX(tsk_Constraint,(ROW()-ROW(MSPTasks[[#Headers],[ID]]))))))</f>
        <v/>
      </c>
      <c r="W5" s="130" t="str">
        <f aca="false">IF(IFERROR(INDEX(tsk_Name,(ROW()-ROW(MSPTasks[[#Headers],[ID]])))="",TRUE()),"",IF(N(INDEX(tsk_Deadline,(ROW()-ROW(MSPTasks[[#Headers],[ID]]))))=0,"",INDEX(tsk_Deadline,(ROW()-ROW(MSPTasks[[#Headers],[ID]])))))</f>
        <v/>
      </c>
      <c r="X5" s="24" t="str">
        <f aca="false">IF(IFERROR(INDEX(tsk_Name,(ROW()-ROW(MSPTasks[[#Headers],[ID]])))="",TRUE()),"",IF(INDEX(tsk_IsSummary,(ROW()-ROW(MSPTasks[[#Headers],[ID]]))),"",INDEX(tsk_Sprint,(ROW()-ROW(MSPTasks[[#Headers],[ID]])))&amp;""))</f>
        <v>Sprint 1</v>
      </c>
      <c r="Y5" s="24" t="str">
        <f aca="false">IF(IFERROR(INDEX(tsk_Name,(ROW()-ROW(MSPTasks[[#Headers],[ID]])))="",TRUE()),"",IF(INDEX(tsk_IsSummary,(ROW()-ROW(MSPTasks[[#Headers],[ID]]))),"",IF(N(INDEX(tsk_StoryPoints,(ROW()-ROW(MSPTasks[[#Headers],[ID]]))))=0,"",INDEX(tsk_StoryPoints,(ROW()-ROW(MSPTasks[[#Headers],[ID]]))))))</f>
        <v/>
      </c>
      <c r="Z5" s="24" t="str">
        <f aca="false">IF(IFERROR(INDEX(tsk_Name,(ROW()-ROW(MSPTasks[[#Headers],[ID]])))="",TRUE()),"",INDEX(tsk_Notes,(ROW()-ROW(MSPTasks[[#Headers],[ID]])))&amp;"")</f>
        <v>Milestone (Duration 0).</v>
      </c>
    </row>
    <row r="6" customFormat="false" ht="15" hidden="false" customHeight="false" outlineLevel="0" collapsed="false">
      <c r="A6" s="24" t="n">
        <f aca="false">IF(IFERROR(INDEX(tsk_Name,(ROW()-ROW(MSPTasks[[#Headers],[ID]])))="",TRUE()),"",INDEX(tsk_ID,(ROW()-ROW(MSPTasks[[#Headers],[ID]]))))</f>
        <v>5</v>
      </c>
      <c r="B6" s="24" t="n">
        <f aca="false">IF(IFERROR(INDEX(tsk_Name,(ROW()-ROW(MSPTasks[[#Headers],[ID]])))="",TRUE()),"",INDEX(tsk_UID,(ROW()-ROW(MSPTasks[[#Headers],[ID]]))))</f>
        <v>5</v>
      </c>
      <c r="C6" s="24" t="str">
        <f aca="false">IF(IFERROR(INDEX(tsk_Name,(ROW()-ROW(MSPTasks[[#Headers],[ID]])))="",TRUE()),"",INDEX(tsk_Name,(ROW()-ROW(MSPTasks[[#Headers],[ID]]))))</f>
        <v>Requirements &amp; Design</v>
      </c>
      <c r="D6" s="24" t="n">
        <f aca="false">IF(IFERROR(INDEX(tsk_Name,(ROW()-ROW(MSPTasks[[#Headers],[ID]])))="",TRUE()),"",INDEX(tsk_Level,(ROW()-ROW(MSPTasks[[#Headers],[ID]]))))</f>
        <v>1</v>
      </c>
      <c r="E6" s="24" t="str">
        <f aca="false">IF(IFERROR(INDEX(tsk_Name,(ROW()-ROW(MSPTasks[[#Headers],[ID]])))="",TRUE()),"",IF(INDEX(tsk_Mode,(ROW()-ROW(MSPTasks[[#Headers],[ID]])))="Manual","Manually Scheduled","Auto Scheduled"))</f>
        <v>Auto Scheduled</v>
      </c>
      <c r="F6" s="24" t="str">
        <f aca="false">IF(IFERROR(INDEX(tsk_Name,(ROW()-ROW(MSPTasks[[#Headers],[ID]])))="",TRUE()),"",IF(INDEX(tsk_IsSummary,(ROW()-ROW(MSPTasks[[#Headers],[ID]]))),"",N(INDEX(tsk_Duration,(ROW()-ROW(MSPTasks[[#Headers],[ID]]))))&amp;"d"))</f>
        <v/>
      </c>
      <c r="G6" s="130" t="n">
        <f aca="false">IF(IFERROR(INDEX(tsk_Name,(ROW()-ROW(MSPTasks[[#Headers],[ID]])))="",TRUE()),"",INDEX(tsk_FcStart,(ROW()-ROW(MSPTasks[[#Headers],[ID]]))))</f>
        <v>46280</v>
      </c>
      <c r="H6" s="130" t="n">
        <f aca="false">IF(IFERROR(INDEX(tsk_Name,(ROW()-ROW(MSPTasks[[#Headers],[ID]])))="",TRUE()),"",INDEX(tsk_FcFinish,(ROW()-ROW(MSPTasks[[#Headers],[ID]]))))</f>
        <v>46301</v>
      </c>
      <c r="I6" s="24" t="str">
        <f aca="false">IF(IFERROR(INDEX(tsk_Name,(ROW()-ROW(MSPTasks[[#Headers],[ID]])))="",TRUE()),"",IF(INDEX(tsk_IsSummary,(ROW()-ROW(MSPTasks[[#Headers],[ID]]))),"",INDEX(tsk_Predecessors,(ROW()-ROW(MSPTasks[[#Headers],[ID]])))))</f>
        <v/>
      </c>
      <c r="J6" s="24" t="str">
        <f aca="false">IF(IFERROR(INDEX(tsk_Name,(ROW()-ROW(MSPTasks[[#Headers],[ID]])))="",TRUE()),"",IF(INDEX(tsk_IsSummary,(ROW()-ROW(MSPTasks[[#Headers],[ID]]))),"",INDEX(tsk_UIDPredecessors,(ROW()-ROW(MSPTasks[[#Headers],[ID]])))))</f>
        <v/>
      </c>
      <c r="K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 s="24" t="str">
        <f aca="false">IF(IFERROR(INDEX(tsk_Name,(ROW()-ROW(MSPTasks[[#Headers],[ID]])))="",TRUE()),"",IF(INDEX(tsk_IsSummary,(ROW()-ROW(MSPTasks[[#Headers],[ID]]))),"",ROUND(INDEX(tsk_Progress,(ROW()-ROW(MSPTasks[[#Headers],[ID]])))*100,0)))</f>
        <v/>
      </c>
      <c r="M6" s="130" t="str">
        <f aca="false">IF(IFERROR(INDEX(tsk_Name,(ROW()-ROW(MSPTasks[[#Headers],[ID]])))="",TRUE()),"",IF(N(INDEX(tsk_ActStart,(ROW()-ROW(MSPTasks[[#Headers],[ID]]))))=0,"",INDEX(tsk_ActStart,(ROW()-ROW(MSPTasks[[#Headers],[ID]])))))</f>
        <v/>
      </c>
      <c r="N6" s="130" t="str">
        <f aca="false">IF(IFERROR(INDEX(tsk_Name,(ROW()-ROW(MSPTasks[[#Headers],[ID]])))="",TRUE()),"",IF(N(INDEX(tsk_ActFinish,(ROW()-ROW(MSPTasks[[#Headers],[ID]]))))=0,"",INDEX(tsk_ActFinish,(ROW()-ROW(MSPTasks[[#Headers],[ID]])))))</f>
        <v/>
      </c>
      <c r="O6" s="130" t="n">
        <f aca="false">IF(IFERROR(INDEX(tsk_Name,(ROW()-ROW(MSPTasks[[#Headers],[ID]])))="",TRUE()),"",INDEX(tsk_PlanStart,(ROW()-ROW(MSPTasks[[#Headers],[ID]]))))</f>
        <v>46279</v>
      </c>
      <c r="P6" s="130" t="n">
        <f aca="false">IF(IFERROR(INDEX(tsk_Name,(ROW()-ROW(MSPTasks[[#Headers],[ID]])))="",TRUE()),"",INDEX(tsk_PlanFinish,(ROW()-ROW(MSPTasks[[#Headers],[ID]]))))</f>
        <v>46296</v>
      </c>
      <c r="Q6" s="24" t="str">
        <f aca="false">IF(IFERROR(INDEX(tsk_Name,(ROW()-ROW(MSPTasks[[#Headers],[ID]])))="",TRUE()),"",IF(INDEX(tsk_BaseDuration,(ROW()-ROW(MSPTasks[[#Headers],[ID]])))="","",N(INDEX(tsk_BaseDuration,(ROW()-ROW(MSPTasks[[#Headers],[ID]]))))&amp;"d"))</f>
        <v/>
      </c>
      <c r="R6" s="24" t="str">
        <f aca="false">IF(IFERROR(INDEX(tsk_Name,(ROW()-ROW(MSPTasks[[#Headers],[ID]])))="",TRUE()),"",IF(INDEX(tsk_BaseWork,(ROW()-ROW(MSPTasks[[#Headers],[ID]])))="","",N(INDEX(tsk_BaseWork,(ROW()-ROW(MSPTasks[[#Headers],[ID]]))))&amp;"h"))</f>
        <v/>
      </c>
      <c r="S6" s="24" t="str">
        <f aca="false">IF(IFERROR(INDEX(tsk_Name,(ROW()-ROW(MSPTasks[[#Headers],[ID]])))="",TRUE()),"",IF(INDEX(tsk_BaseCost,(ROW()-ROW(MSPTasks[[#Headers],[ID]])))="","",N(INDEX(tsk_BaseCost,(ROW()-ROW(MSPTasks[[#Headers],[ID]]))))))</f>
        <v/>
      </c>
      <c r="T6" s="24" t="str">
        <f aca="false">IF(IFERROR(INDEX(tsk_Name,(ROW()-ROW(MSPTasks[[#Headers],[ID]])))="",TRUE()),"",IF(INDEX(tsk_IsSummary,(ROW()-ROW(MSPTasks[[#Headers],[ID]]))),"",IF(N(INDEX(tsk_ActCostInput,(ROW()-ROW(MSPTasks[[#Headers],[ID]]))))=0,"",INDEX(tsk_ActCostInput,(ROW()-ROW(MSPTasks[[#Headers],[ID]]))))))</f>
        <v/>
      </c>
      <c r="U6" s="24" t="str">
        <f aca="false">IF(IFERROR(INDEX(tsk_Name,(ROW()-ROW(MSPTasks[[#Headers],[ID]])))="",TRUE()),"",IF(INDEX(tsk_IsSummary,(ROW()-ROW(MSPTasks[[#Headers],[ID]]))),"",IF(AND(INDEX(tsk_Mode,(ROW()-ROW(MSPTasks[[#Headers],[ID]])))&lt;&gt;"Manual",N(INDEX(tsk_Constraint,(ROW()-ROW(MSPTasks[[#Headers],[ID]]))))&gt;0),"Start No Earlier Than","As Soon As Possible")))</f>
        <v/>
      </c>
      <c r="V6" s="130" t="str">
        <f aca="false">IF(IFERROR(INDEX(tsk_Name,(ROW()-ROW(MSPTasks[[#Headers],[ID]])))="",TRUE()),"",IF(OR(INDEX(tsk_IsSummary,(ROW()-ROW(MSPTasks[[#Headers],[ID]]))),INDEX(tsk_Mode,(ROW()-ROW(MSPTasks[[#Headers],[ID]])))="Manual"),"",IF(N(INDEX(tsk_Constraint,(ROW()-ROW(MSPTasks[[#Headers],[ID]]))))=0,"",INDEX(tsk_Constraint,(ROW()-ROW(MSPTasks[[#Headers],[ID]]))))))</f>
        <v/>
      </c>
      <c r="W6" s="130" t="str">
        <f aca="false">IF(IFERROR(INDEX(tsk_Name,(ROW()-ROW(MSPTasks[[#Headers],[ID]])))="",TRUE()),"",IF(N(INDEX(tsk_Deadline,(ROW()-ROW(MSPTasks[[#Headers],[ID]]))))=0,"",INDEX(tsk_Deadline,(ROW()-ROW(MSPTasks[[#Headers],[ID]])))))</f>
        <v/>
      </c>
      <c r="X6" s="24" t="str">
        <f aca="false">IF(IFERROR(INDEX(tsk_Name,(ROW()-ROW(MSPTasks[[#Headers],[ID]])))="",TRUE()),"",IF(INDEX(tsk_IsSummary,(ROW()-ROW(MSPTasks[[#Headers],[ID]]))),"",INDEX(tsk_Sprint,(ROW()-ROW(MSPTasks[[#Headers],[ID]])))&amp;""))</f>
        <v/>
      </c>
      <c r="Y6" s="24" t="str">
        <f aca="false">IF(IFERROR(INDEX(tsk_Name,(ROW()-ROW(MSPTasks[[#Headers],[ID]])))="",TRUE()),"",IF(INDEX(tsk_IsSummary,(ROW()-ROW(MSPTasks[[#Headers],[ID]]))),"",IF(N(INDEX(tsk_StoryPoints,(ROW()-ROW(MSPTasks[[#Headers],[ID]]))))=0,"",INDEX(tsk_StoryPoints,(ROW()-ROW(MSPTasks[[#Headers],[ID]]))))))</f>
        <v/>
      </c>
      <c r="Z6" s="24" t="str">
        <f aca="false">IF(IFERROR(INDEX(tsk_Name,(ROW()-ROW(MSPTasks[[#Headers],[ID]])))="",TRUE()),"",INDEX(tsk_Notes,(ROW()-ROW(MSPTasks[[#Headers],[ID]])))&amp;"")</f>
        <v/>
      </c>
    </row>
    <row r="7" customFormat="false" ht="15" hidden="false" customHeight="false" outlineLevel="0" collapsed="false">
      <c r="A7" s="24" t="n">
        <f aca="false">IF(IFERROR(INDEX(tsk_Name,(ROW()-ROW(MSPTasks[[#Headers],[ID]])))="",TRUE()),"",INDEX(tsk_ID,(ROW()-ROW(MSPTasks[[#Headers],[ID]]))))</f>
        <v>6</v>
      </c>
      <c r="B7" s="24" t="n">
        <f aca="false">IF(IFERROR(INDEX(tsk_Name,(ROW()-ROW(MSPTasks[[#Headers],[ID]])))="",TRUE()),"",INDEX(tsk_UID,(ROW()-ROW(MSPTasks[[#Headers],[ID]]))))</f>
        <v>6</v>
      </c>
      <c r="C7" s="24" t="str">
        <f aca="false">IF(IFERROR(INDEX(tsk_Name,(ROW()-ROW(MSPTasks[[#Headers],[ID]])))="",TRUE()),"",INDEX(tsk_Name,(ROW()-ROW(MSPTasks[[#Headers],[ID]]))))</f>
        <v>Requirements gathering</v>
      </c>
      <c r="D7" s="24" t="n">
        <f aca="false">IF(IFERROR(INDEX(tsk_Name,(ROW()-ROW(MSPTasks[[#Headers],[ID]])))="",TRUE()),"",INDEX(tsk_Level,(ROW()-ROW(MSPTasks[[#Headers],[ID]]))))</f>
        <v>2</v>
      </c>
      <c r="E7" s="24" t="str">
        <f aca="false">IF(IFERROR(INDEX(tsk_Name,(ROW()-ROW(MSPTasks[[#Headers],[ID]])))="",TRUE()),"",IF(INDEX(tsk_Mode,(ROW()-ROW(MSPTasks[[#Headers],[ID]])))="Manual","Manually Scheduled","Auto Scheduled"))</f>
        <v>Auto Scheduled</v>
      </c>
      <c r="F7" s="24" t="str">
        <f aca="false">IF(IFERROR(INDEX(tsk_Name,(ROW()-ROW(MSPTasks[[#Headers],[ID]])))="",TRUE()),"",IF(INDEX(tsk_IsSummary,(ROW()-ROW(MSPTasks[[#Headers],[ID]]))),"",N(INDEX(tsk_Duration,(ROW()-ROW(MSPTasks[[#Headers],[ID]]))))&amp;"d"))</f>
        <v>8d</v>
      </c>
      <c r="G7" s="130" t="n">
        <f aca="false">IF(IFERROR(INDEX(tsk_Name,(ROW()-ROW(MSPTasks[[#Headers],[ID]])))="",TRUE()),"",INDEX(tsk_FcStart,(ROW()-ROW(MSPTasks[[#Headers],[ID]]))))</f>
        <v>46280</v>
      </c>
      <c r="H7" s="130" t="n">
        <f aca="false">IF(IFERROR(INDEX(tsk_Name,(ROW()-ROW(MSPTasks[[#Headers],[ID]])))="",TRUE()),"",INDEX(tsk_FcFinish,(ROW()-ROW(MSPTasks[[#Headers],[ID]]))))</f>
        <v>46290</v>
      </c>
      <c r="I7" s="24" t="str">
        <f aca="false">IF(IFERROR(INDEX(tsk_Name,(ROW()-ROW(MSPTasks[[#Headers],[ID]])))="",TRUE()),"",IF(INDEX(tsk_IsSummary,(ROW()-ROW(MSPTasks[[#Headers],[ID]]))),"",INDEX(tsk_Predecessors,(ROW()-ROW(MSPTasks[[#Headers],[ID]])))))</f>
        <v>4</v>
      </c>
      <c r="J7" s="24" t="str">
        <f aca="false">IF(IFERROR(INDEX(tsk_Name,(ROW()-ROW(MSPTasks[[#Headers],[ID]])))="",TRUE()),"",IF(INDEX(tsk_IsSummary,(ROW()-ROW(MSPTasks[[#Headers],[ID]]))),"",INDEX(tsk_UIDPredecessors,(ROW()-ROW(MSPTasks[[#Headers],[ID]])))))</f>
        <v>4</v>
      </c>
      <c r="K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7" s="24" t="n">
        <f aca="false">IF(IFERROR(INDEX(tsk_Name,(ROW()-ROW(MSPTasks[[#Headers],[ID]])))="",TRUE()),"",IF(INDEX(tsk_IsSummary,(ROW()-ROW(MSPTasks[[#Headers],[ID]]))),"",ROUND(INDEX(tsk_Progress,(ROW()-ROW(MSPTasks[[#Headers],[ID]])))*100,0)))</f>
        <v>100</v>
      </c>
      <c r="M7" s="130" t="n">
        <f aca="false">IF(IFERROR(INDEX(tsk_Name,(ROW()-ROW(MSPTasks[[#Headers],[ID]])))="",TRUE()),"",IF(N(INDEX(tsk_ActStart,(ROW()-ROW(MSPTasks[[#Headers],[ID]]))))=0,"",INDEX(tsk_ActStart,(ROW()-ROW(MSPTasks[[#Headers],[ID]])))))</f>
        <v>46280</v>
      </c>
      <c r="N7" s="130" t="n">
        <f aca="false">IF(IFERROR(INDEX(tsk_Name,(ROW()-ROW(MSPTasks[[#Headers],[ID]])))="",TRUE()),"",IF(N(INDEX(tsk_ActFinish,(ROW()-ROW(MSPTasks[[#Headers],[ID]]))))=0,"",INDEX(tsk_ActFinish,(ROW()-ROW(MSPTasks[[#Headers],[ID]])))))</f>
        <v>46290</v>
      </c>
      <c r="O7" s="130" t="n">
        <f aca="false">IF(IFERROR(INDEX(tsk_Name,(ROW()-ROW(MSPTasks[[#Headers],[ID]])))="",TRUE()),"",INDEX(tsk_PlanStart,(ROW()-ROW(MSPTasks[[#Headers],[ID]]))))</f>
        <v>46279</v>
      </c>
      <c r="P7" s="130" t="n">
        <f aca="false">IF(IFERROR(INDEX(tsk_Name,(ROW()-ROW(MSPTasks[[#Headers],[ID]])))="",TRUE()),"",INDEX(tsk_PlanFinish,(ROW()-ROW(MSPTasks[[#Headers],[ID]]))))</f>
        <v>46288</v>
      </c>
      <c r="Q7" s="24" t="str">
        <f aca="false">IF(IFERROR(INDEX(tsk_Name,(ROW()-ROW(MSPTasks[[#Headers],[ID]])))="",TRUE()),"",IF(INDEX(tsk_BaseDuration,(ROW()-ROW(MSPTasks[[#Headers],[ID]])))="","",N(INDEX(tsk_BaseDuration,(ROW()-ROW(MSPTasks[[#Headers],[ID]]))))&amp;"d"))</f>
        <v/>
      </c>
      <c r="R7" s="24" t="str">
        <f aca="false">IF(IFERROR(INDEX(tsk_Name,(ROW()-ROW(MSPTasks[[#Headers],[ID]])))="",TRUE()),"",IF(INDEX(tsk_BaseWork,(ROW()-ROW(MSPTasks[[#Headers],[ID]])))="","",N(INDEX(tsk_BaseWork,(ROW()-ROW(MSPTasks[[#Headers],[ID]]))))&amp;"h"))</f>
        <v/>
      </c>
      <c r="S7" s="24" t="str">
        <f aca="false">IF(IFERROR(INDEX(tsk_Name,(ROW()-ROW(MSPTasks[[#Headers],[ID]])))="",TRUE()),"",IF(INDEX(tsk_BaseCost,(ROW()-ROW(MSPTasks[[#Headers],[ID]])))="","",N(INDEX(tsk_BaseCost,(ROW()-ROW(MSPTasks[[#Headers],[ID]]))))))</f>
        <v/>
      </c>
      <c r="T7" s="99" t="n">
        <f aca="false">IF(IFERROR(INDEX(tsk_Name,(ROW()-ROW(MSPTasks[[#Headers],[ID]])))="",TRUE()),"",IF(INDEX(tsk_IsSummary,(ROW()-ROW(MSPTasks[[#Headers],[ID]]))),"",IF(N(INDEX(tsk_ActCostInput,(ROW()-ROW(MSPTasks[[#Headers],[ID]]))))=0,"",INDEX(tsk_ActCostInput,(ROW()-ROW(MSPTasks[[#Headers],[ID]]))))))</f>
        <v>5040</v>
      </c>
      <c r="U7" s="24" t="str">
        <f aca="false">IF(IFERROR(INDEX(tsk_Name,(ROW()-ROW(MSPTasks[[#Headers],[ID]])))="",TRUE()),"",IF(INDEX(tsk_IsSummary,(ROW()-ROW(MSPTasks[[#Headers],[ID]]))),"",IF(AND(INDEX(tsk_Mode,(ROW()-ROW(MSPTasks[[#Headers],[ID]])))&lt;&gt;"Manual",N(INDEX(tsk_Constraint,(ROW()-ROW(MSPTasks[[#Headers],[ID]]))))&gt;0),"Start No Earlier Than","As Soon As Possible")))</f>
        <v>As Soon As Possible</v>
      </c>
      <c r="V7" s="130" t="str">
        <f aca="false">IF(IFERROR(INDEX(tsk_Name,(ROW()-ROW(MSPTasks[[#Headers],[ID]])))="",TRUE()),"",IF(OR(INDEX(tsk_IsSummary,(ROW()-ROW(MSPTasks[[#Headers],[ID]]))),INDEX(tsk_Mode,(ROW()-ROW(MSPTasks[[#Headers],[ID]])))="Manual"),"",IF(N(INDEX(tsk_Constraint,(ROW()-ROW(MSPTasks[[#Headers],[ID]]))))=0,"",INDEX(tsk_Constraint,(ROW()-ROW(MSPTasks[[#Headers],[ID]]))))))</f>
        <v/>
      </c>
      <c r="W7" s="130" t="str">
        <f aca="false">IF(IFERROR(INDEX(tsk_Name,(ROW()-ROW(MSPTasks[[#Headers],[ID]])))="",TRUE()),"",IF(N(INDEX(tsk_Deadline,(ROW()-ROW(MSPTasks[[#Headers],[ID]]))))=0,"",INDEX(tsk_Deadline,(ROW()-ROW(MSPTasks[[#Headers],[ID]])))))</f>
        <v/>
      </c>
      <c r="X7" s="24" t="str">
        <f aca="false">IF(IFERROR(INDEX(tsk_Name,(ROW()-ROW(MSPTasks[[#Headers],[ID]])))="",TRUE()),"",IF(INDEX(tsk_IsSummary,(ROW()-ROW(MSPTasks[[#Headers],[ID]]))),"",INDEX(tsk_Sprint,(ROW()-ROW(MSPTasks[[#Headers],[ID]])))&amp;""))</f>
        <v>Sprint 1</v>
      </c>
      <c r="Y7" s="74" t="n">
        <f aca="false">IF(IFERROR(INDEX(tsk_Name,(ROW()-ROW(MSPTasks[[#Headers],[ID]])))="",TRUE()),"",IF(INDEX(tsk_IsSummary,(ROW()-ROW(MSPTasks[[#Headers],[ID]]))),"",IF(N(INDEX(tsk_StoryPoints,(ROW()-ROW(MSPTasks[[#Headers],[ID]]))))=0,"",INDEX(tsk_StoryPoints,(ROW()-ROW(MSPTasks[[#Headers],[ID]]))))))</f>
        <v>8</v>
      </c>
      <c r="Z7" s="24" t="str">
        <f aca="false">IF(IFERROR(INDEX(tsk_Name,(ROW()-ROW(MSPTasks[[#Headers],[ID]])))="",TRUE()),"",INDEX(tsk_Notes,(ROW()-ROW(MSPTasks[[#Headers],[ID]])))&amp;"")</f>
        <v/>
      </c>
    </row>
    <row r="8" customFormat="false" ht="15" hidden="false" customHeight="false" outlineLevel="0" collapsed="false">
      <c r="A8" s="24" t="n">
        <f aca="false">IF(IFERROR(INDEX(tsk_Name,(ROW()-ROW(MSPTasks[[#Headers],[ID]])))="",TRUE()),"",INDEX(tsk_ID,(ROW()-ROW(MSPTasks[[#Headers],[ID]]))))</f>
        <v>7</v>
      </c>
      <c r="B8" s="24" t="n">
        <f aca="false">IF(IFERROR(INDEX(tsk_Name,(ROW()-ROW(MSPTasks[[#Headers],[ID]])))="",TRUE()),"",INDEX(tsk_UID,(ROW()-ROW(MSPTasks[[#Headers],[ID]]))))</f>
        <v>7</v>
      </c>
      <c r="C8" s="24" t="str">
        <f aca="false">IF(IFERROR(INDEX(tsk_Name,(ROW()-ROW(MSPTasks[[#Headers],[ID]])))="",TRUE()),"",INDEX(tsk_Name,(ROW()-ROW(MSPTasks[[#Headers],[ID]]))))</f>
        <v>Solution architecture</v>
      </c>
      <c r="D8" s="24" t="n">
        <f aca="false">IF(IFERROR(INDEX(tsk_Name,(ROW()-ROW(MSPTasks[[#Headers],[ID]])))="",TRUE()),"",INDEX(tsk_Level,(ROW()-ROW(MSPTasks[[#Headers],[ID]]))))</f>
        <v>2</v>
      </c>
      <c r="E8" s="24" t="str">
        <f aca="false">IF(IFERROR(INDEX(tsk_Name,(ROW()-ROW(MSPTasks[[#Headers],[ID]])))="",TRUE()),"",IF(INDEX(tsk_Mode,(ROW()-ROW(MSPTasks[[#Headers],[ID]])))="Manual","Manually Scheduled","Auto Scheduled"))</f>
        <v>Auto Scheduled</v>
      </c>
      <c r="F8" s="24" t="str">
        <f aca="false">IF(IFERROR(INDEX(tsk_Name,(ROW()-ROW(MSPTasks[[#Headers],[ID]])))="",TRUE()),"",IF(INDEX(tsk_IsSummary,(ROW()-ROW(MSPTasks[[#Headers],[ID]]))),"",N(INDEX(tsk_Duration,(ROW()-ROW(MSPTasks[[#Headers],[ID]]))))&amp;"d"))</f>
        <v>5d</v>
      </c>
      <c r="G8" s="130" t="n">
        <f aca="false">IF(IFERROR(INDEX(tsk_Name,(ROW()-ROW(MSPTasks[[#Headers],[ID]])))="",TRUE()),"",INDEX(tsk_FcStart,(ROW()-ROW(MSPTasks[[#Headers],[ID]]))))</f>
        <v>46283</v>
      </c>
      <c r="H8" s="130" t="n">
        <f aca="false">IF(IFERROR(INDEX(tsk_Name,(ROW()-ROW(MSPTasks[[#Headers],[ID]])))="",TRUE()),"",INDEX(tsk_FcFinish,(ROW()-ROW(MSPTasks[[#Headers],[ID]]))))</f>
        <v>46290</v>
      </c>
      <c r="I8" s="24" t="str">
        <f aca="false">IF(IFERROR(INDEX(tsk_Name,(ROW()-ROW(MSPTasks[[#Headers],[ID]])))="",TRUE()),"",IF(INDEX(tsk_IsSummary,(ROW()-ROW(MSPTasks[[#Headers],[ID]]))),"",INDEX(tsk_Predecessors,(ROW()-ROW(MSPTasks[[#Headers],[ID]])))))</f>
        <v>6SS+3d</v>
      </c>
      <c r="J8" s="24" t="str">
        <f aca="false">IF(IFERROR(INDEX(tsk_Name,(ROW()-ROW(MSPTasks[[#Headers],[ID]])))="",TRUE()),"",IF(INDEX(tsk_IsSummary,(ROW()-ROW(MSPTasks[[#Headers],[ID]]))),"",INDEX(tsk_UIDPredecessors,(ROW()-ROW(MSPTasks[[#Headers],[ID]])))))</f>
        <v>6SS+3d</v>
      </c>
      <c r="K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Alex Chen</v>
      </c>
      <c r="L8" s="24" t="n">
        <f aca="false">IF(IFERROR(INDEX(tsk_Name,(ROW()-ROW(MSPTasks[[#Headers],[ID]])))="",TRUE()),"",IF(INDEX(tsk_IsSummary,(ROW()-ROW(MSPTasks[[#Headers],[ID]]))),"",ROUND(INDEX(tsk_Progress,(ROW()-ROW(MSPTasks[[#Headers],[ID]])))*100,0)))</f>
        <v>100</v>
      </c>
      <c r="M8" s="130" t="n">
        <f aca="false">IF(IFERROR(INDEX(tsk_Name,(ROW()-ROW(MSPTasks[[#Headers],[ID]])))="",TRUE()),"",IF(N(INDEX(tsk_ActStart,(ROW()-ROW(MSPTasks[[#Headers],[ID]]))))=0,"",INDEX(tsk_ActStart,(ROW()-ROW(MSPTasks[[#Headers],[ID]])))))</f>
        <v>46283</v>
      </c>
      <c r="N8" s="130" t="n">
        <f aca="false">IF(IFERROR(INDEX(tsk_Name,(ROW()-ROW(MSPTasks[[#Headers],[ID]])))="",TRUE()),"",IF(N(INDEX(tsk_ActFinish,(ROW()-ROW(MSPTasks[[#Headers],[ID]]))))=0,"",INDEX(tsk_ActFinish,(ROW()-ROW(MSPTasks[[#Headers],[ID]])))))</f>
        <v>46290</v>
      </c>
      <c r="O8" s="130" t="n">
        <f aca="false">IF(IFERROR(INDEX(tsk_Name,(ROW()-ROW(MSPTasks[[#Headers],[ID]])))="",TRUE()),"",INDEX(tsk_PlanStart,(ROW()-ROW(MSPTasks[[#Headers],[ID]]))))</f>
        <v>46282</v>
      </c>
      <c r="P8" s="130" t="n">
        <f aca="false">IF(IFERROR(INDEX(tsk_Name,(ROW()-ROW(MSPTasks[[#Headers],[ID]])))="",TRUE()),"",INDEX(tsk_PlanFinish,(ROW()-ROW(MSPTasks[[#Headers],[ID]]))))</f>
        <v>46288</v>
      </c>
      <c r="Q8" s="24" t="str">
        <f aca="false">IF(IFERROR(INDEX(tsk_Name,(ROW()-ROW(MSPTasks[[#Headers],[ID]])))="",TRUE()),"",IF(INDEX(tsk_BaseDuration,(ROW()-ROW(MSPTasks[[#Headers],[ID]])))="","",N(INDEX(tsk_BaseDuration,(ROW()-ROW(MSPTasks[[#Headers],[ID]]))))&amp;"d"))</f>
        <v/>
      </c>
      <c r="R8" s="24" t="str">
        <f aca="false">IF(IFERROR(INDEX(tsk_Name,(ROW()-ROW(MSPTasks[[#Headers],[ID]])))="",TRUE()),"",IF(INDEX(tsk_BaseWork,(ROW()-ROW(MSPTasks[[#Headers],[ID]])))="","",N(INDEX(tsk_BaseWork,(ROW()-ROW(MSPTasks[[#Headers],[ID]]))))&amp;"h"))</f>
        <v/>
      </c>
      <c r="S8" s="24" t="str">
        <f aca="false">IF(IFERROR(INDEX(tsk_Name,(ROW()-ROW(MSPTasks[[#Headers],[ID]])))="",TRUE()),"",IF(INDEX(tsk_BaseCost,(ROW()-ROW(MSPTasks[[#Headers],[ID]])))="","",N(INDEX(tsk_BaseCost,(ROW()-ROW(MSPTasks[[#Headers],[ID]]))))))</f>
        <v/>
      </c>
      <c r="T8" s="24" t="str">
        <f aca="false">IF(IFERROR(INDEX(tsk_Name,(ROW()-ROW(MSPTasks[[#Headers],[ID]])))="",TRUE()),"",IF(INDEX(tsk_IsSummary,(ROW()-ROW(MSPTasks[[#Headers],[ID]]))),"",IF(N(INDEX(tsk_ActCostInput,(ROW()-ROW(MSPTasks[[#Headers],[ID]]))))=0,"",INDEX(tsk_ActCostInput,(ROW()-ROW(MSPTasks[[#Headers],[ID]]))))))</f>
        <v/>
      </c>
      <c r="U8" s="24" t="str">
        <f aca="false">IF(IFERROR(INDEX(tsk_Name,(ROW()-ROW(MSPTasks[[#Headers],[ID]])))="",TRUE()),"",IF(INDEX(tsk_IsSummary,(ROW()-ROW(MSPTasks[[#Headers],[ID]]))),"",IF(AND(INDEX(tsk_Mode,(ROW()-ROW(MSPTasks[[#Headers],[ID]])))&lt;&gt;"Manual",N(INDEX(tsk_Constraint,(ROW()-ROW(MSPTasks[[#Headers],[ID]]))))&gt;0),"Start No Earlier Than","As Soon As Possible")))</f>
        <v>As Soon As Possible</v>
      </c>
      <c r="V8" s="130" t="str">
        <f aca="false">IF(IFERROR(INDEX(tsk_Name,(ROW()-ROW(MSPTasks[[#Headers],[ID]])))="",TRUE()),"",IF(OR(INDEX(tsk_IsSummary,(ROW()-ROW(MSPTasks[[#Headers],[ID]]))),INDEX(tsk_Mode,(ROW()-ROW(MSPTasks[[#Headers],[ID]])))="Manual"),"",IF(N(INDEX(tsk_Constraint,(ROW()-ROW(MSPTasks[[#Headers],[ID]]))))=0,"",INDEX(tsk_Constraint,(ROW()-ROW(MSPTasks[[#Headers],[ID]]))))))</f>
        <v/>
      </c>
      <c r="W8" s="130" t="str">
        <f aca="false">IF(IFERROR(INDEX(tsk_Name,(ROW()-ROW(MSPTasks[[#Headers],[ID]])))="",TRUE()),"",IF(N(INDEX(tsk_Deadline,(ROW()-ROW(MSPTasks[[#Headers],[ID]]))))=0,"",INDEX(tsk_Deadline,(ROW()-ROW(MSPTasks[[#Headers],[ID]])))))</f>
        <v/>
      </c>
      <c r="X8" s="24" t="str">
        <f aca="false">IF(IFERROR(INDEX(tsk_Name,(ROW()-ROW(MSPTasks[[#Headers],[ID]])))="",TRUE()),"",IF(INDEX(tsk_IsSummary,(ROW()-ROW(MSPTasks[[#Headers],[ID]]))),"",INDEX(tsk_Sprint,(ROW()-ROW(MSPTasks[[#Headers],[ID]])))&amp;""))</f>
        <v>Sprint 1</v>
      </c>
      <c r="Y8" s="74" t="n">
        <f aca="false">IF(IFERROR(INDEX(tsk_Name,(ROW()-ROW(MSPTasks[[#Headers],[ID]])))="",TRUE()),"",IF(INDEX(tsk_IsSummary,(ROW()-ROW(MSPTasks[[#Headers],[ID]]))),"",IF(N(INDEX(tsk_StoryPoints,(ROW()-ROW(MSPTasks[[#Headers],[ID]]))))=0,"",INDEX(tsk_StoryPoints,(ROW()-ROW(MSPTasks[[#Headers],[ID]]))))))</f>
        <v>5</v>
      </c>
      <c r="Z8" s="24" t="str">
        <f aca="false">IF(IFERROR(INDEX(tsk_Name,(ROW()-ROW(MSPTasks[[#Headers],[ID]])))="",TRUE()),"",INDEX(tsk_Notes,(ROW()-ROW(MSPTasks[[#Headers],[ID]])))&amp;"")</f>
        <v>Start-to-Start + 3 day lag example.</v>
      </c>
    </row>
    <row r="9" customFormat="false" ht="15" hidden="false" customHeight="false" outlineLevel="0" collapsed="false">
      <c r="A9" s="24" t="n">
        <f aca="false">IF(IFERROR(INDEX(tsk_Name,(ROW()-ROW(MSPTasks[[#Headers],[ID]])))="",TRUE()),"",INDEX(tsk_ID,(ROW()-ROW(MSPTasks[[#Headers],[ID]]))))</f>
        <v>8</v>
      </c>
      <c r="B9" s="24" t="n">
        <f aca="false">IF(IFERROR(INDEX(tsk_Name,(ROW()-ROW(MSPTasks[[#Headers],[ID]])))="",TRUE()),"",INDEX(tsk_UID,(ROW()-ROW(MSPTasks[[#Headers],[ID]]))))</f>
        <v>8</v>
      </c>
      <c r="C9" s="24" t="str">
        <f aca="false">IF(IFERROR(INDEX(tsk_Name,(ROW()-ROW(MSPTasks[[#Headers],[ID]])))="",TRUE()),"",INDEX(tsk_Name,(ROW()-ROW(MSPTasks[[#Headers],[ID]]))))</f>
        <v>UX wireframes &amp; prototype</v>
      </c>
      <c r="D9" s="24" t="n">
        <f aca="false">IF(IFERROR(INDEX(tsk_Name,(ROW()-ROW(MSPTasks[[#Headers],[ID]])))="",TRUE()),"",INDEX(tsk_Level,(ROW()-ROW(MSPTasks[[#Headers],[ID]]))))</f>
        <v>2</v>
      </c>
      <c r="E9" s="24" t="str">
        <f aca="false">IF(IFERROR(INDEX(tsk_Name,(ROW()-ROW(MSPTasks[[#Headers],[ID]])))="",TRUE()),"",IF(INDEX(tsk_Mode,(ROW()-ROW(MSPTasks[[#Headers],[ID]])))="Manual","Manually Scheduled","Auto Scheduled"))</f>
        <v>Auto Scheduled</v>
      </c>
      <c r="F9" s="24" t="str">
        <f aca="false">IF(IFERROR(INDEX(tsk_Name,(ROW()-ROW(MSPTasks[[#Headers],[ID]])))="",TRUE()),"",IF(INDEX(tsk_IsSummary,(ROW()-ROW(MSPTasks[[#Headers],[ID]]))),"",N(INDEX(tsk_Duration,(ROW()-ROW(MSPTasks[[#Headers],[ID]]))))&amp;"d"))</f>
        <v>6d</v>
      </c>
      <c r="G9" s="130" t="n">
        <f aca="false">IF(IFERROR(INDEX(tsk_Name,(ROW()-ROW(MSPTasks[[#Headers],[ID]])))="",TRUE()),"",INDEX(tsk_FcStart,(ROW()-ROW(MSPTasks[[#Headers],[ID]]))))</f>
        <v>46293</v>
      </c>
      <c r="H9" s="130" t="n">
        <f aca="false">IF(IFERROR(INDEX(tsk_Name,(ROW()-ROW(MSPTasks[[#Headers],[ID]])))="",TRUE()),"",INDEX(tsk_FcFinish,(ROW()-ROW(MSPTasks[[#Headers],[ID]]))))</f>
        <v>46301</v>
      </c>
      <c r="I9" s="24" t="str">
        <f aca="false">IF(IFERROR(INDEX(tsk_Name,(ROW()-ROW(MSPTasks[[#Headers],[ID]])))="",TRUE()),"",IF(INDEX(tsk_IsSummary,(ROW()-ROW(MSPTasks[[#Headers],[ID]]))),"",INDEX(tsk_Predecessors,(ROW()-ROW(MSPTasks[[#Headers],[ID]])))))</f>
        <v>6</v>
      </c>
      <c r="J9" s="24" t="str">
        <f aca="false">IF(IFERROR(INDEX(tsk_Name,(ROW()-ROW(MSPTasks[[#Headers],[ID]])))="",TRUE()),"",IF(INDEX(tsk_IsSummary,(ROW()-ROW(MSPTasks[[#Headers],[ID]]))),"",INDEX(tsk_UIDPredecessors,(ROW()-ROW(MSPTasks[[#Headers],[ID]])))))</f>
        <v>6</v>
      </c>
      <c r="K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v>
      </c>
      <c r="L9" s="24" t="n">
        <f aca="false">IF(IFERROR(INDEX(tsk_Name,(ROW()-ROW(MSPTasks[[#Headers],[ID]])))="",TRUE()),"",IF(INDEX(tsk_IsSummary,(ROW()-ROW(MSPTasks[[#Headers],[ID]]))),"",ROUND(INDEX(tsk_Progress,(ROW()-ROW(MSPTasks[[#Headers],[ID]])))*100,0)))</f>
        <v>100</v>
      </c>
      <c r="M9" s="130" t="n">
        <f aca="false">IF(IFERROR(INDEX(tsk_Name,(ROW()-ROW(MSPTasks[[#Headers],[ID]])))="",TRUE()),"",IF(N(INDEX(tsk_ActStart,(ROW()-ROW(MSPTasks[[#Headers],[ID]]))))=0,"",INDEX(tsk_ActStart,(ROW()-ROW(MSPTasks[[#Headers],[ID]])))))</f>
        <v>46293</v>
      </c>
      <c r="N9" s="130" t="n">
        <f aca="false">IF(IFERROR(INDEX(tsk_Name,(ROW()-ROW(MSPTasks[[#Headers],[ID]])))="",TRUE()),"",IF(N(INDEX(tsk_ActFinish,(ROW()-ROW(MSPTasks[[#Headers],[ID]]))))=0,"",INDEX(tsk_ActFinish,(ROW()-ROW(MSPTasks[[#Headers],[ID]])))))</f>
        <v>46301</v>
      </c>
      <c r="O9" s="130" t="n">
        <f aca="false">IF(IFERROR(INDEX(tsk_Name,(ROW()-ROW(MSPTasks[[#Headers],[ID]])))="",TRUE()),"",INDEX(tsk_PlanStart,(ROW()-ROW(MSPTasks[[#Headers],[ID]]))))</f>
        <v>46289</v>
      </c>
      <c r="P9" s="130" t="n">
        <f aca="false">IF(IFERROR(INDEX(tsk_Name,(ROW()-ROW(MSPTasks[[#Headers],[ID]])))="",TRUE()),"",INDEX(tsk_PlanFinish,(ROW()-ROW(MSPTasks[[#Headers],[ID]]))))</f>
        <v>46296</v>
      </c>
      <c r="Q9" s="24" t="str">
        <f aca="false">IF(IFERROR(INDEX(tsk_Name,(ROW()-ROW(MSPTasks[[#Headers],[ID]])))="",TRUE()),"",IF(INDEX(tsk_BaseDuration,(ROW()-ROW(MSPTasks[[#Headers],[ID]])))="","",N(INDEX(tsk_BaseDuration,(ROW()-ROW(MSPTasks[[#Headers],[ID]]))))&amp;"d"))</f>
        <v/>
      </c>
      <c r="R9" s="24" t="str">
        <f aca="false">IF(IFERROR(INDEX(tsk_Name,(ROW()-ROW(MSPTasks[[#Headers],[ID]])))="",TRUE()),"",IF(INDEX(tsk_BaseWork,(ROW()-ROW(MSPTasks[[#Headers],[ID]])))="","",N(INDEX(tsk_BaseWork,(ROW()-ROW(MSPTasks[[#Headers],[ID]]))))&amp;"h"))</f>
        <v/>
      </c>
      <c r="S9" s="24" t="str">
        <f aca="false">IF(IFERROR(INDEX(tsk_Name,(ROW()-ROW(MSPTasks[[#Headers],[ID]])))="",TRUE()),"",IF(INDEX(tsk_BaseCost,(ROW()-ROW(MSPTasks[[#Headers],[ID]])))="","",N(INDEX(tsk_BaseCost,(ROW()-ROW(MSPTasks[[#Headers],[ID]]))))))</f>
        <v/>
      </c>
      <c r="T9" s="24" t="str">
        <f aca="false">IF(IFERROR(INDEX(tsk_Name,(ROW()-ROW(MSPTasks[[#Headers],[ID]])))="",TRUE()),"",IF(INDEX(tsk_IsSummary,(ROW()-ROW(MSPTasks[[#Headers],[ID]]))),"",IF(N(INDEX(tsk_ActCostInput,(ROW()-ROW(MSPTasks[[#Headers],[ID]]))))=0,"",INDEX(tsk_ActCostInput,(ROW()-ROW(MSPTasks[[#Headers],[ID]]))))))</f>
        <v/>
      </c>
      <c r="U9" s="24" t="str">
        <f aca="false">IF(IFERROR(INDEX(tsk_Name,(ROW()-ROW(MSPTasks[[#Headers],[ID]])))="",TRUE()),"",IF(INDEX(tsk_IsSummary,(ROW()-ROW(MSPTasks[[#Headers],[ID]]))),"",IF(AND(INDEX(tsk_Mode,(ROW()-ROW(MSPTasks[[#Headers],[ID]])))&lt;&gt;"Manual",N(INDEX(tsk_Constraint,(ROW()-ROW(MSPTasks[[#Headers],[ID]]))))&gt;0),"Start No Earlier Than","As Soon As Possible")))</f>
        <v>As Soon As Possible</v>
      </c>
      <c r="V9" s="130" t="str">
        <f aca="false">IF(IFERROR(INDEX(tsk_Name,(ROW()-ROW(MSPTasks[[#Headers],[ID]])))="",TRUE()),"",IF(OR(INDEX(tsk_IsSummary,(ROW()-ROW(MSPTasks[[#Headers],[ID]]))),INDEX(tsk_Mode,(ROW()-ROW(MSPTasks[[#Headers],[ID]])))="Manual"),"",IF(N(INDEX(tsk_Constraint,(ROW()-ROW(MSPTasks[[#Headers],[ID]]))))=0,"",INDEX(tsk_Constraint,(ROW()-ROW(MSPTasks[[#Headers],[ID]]))))))</f>
        <v/>
      </c>
      <c r="W9" s="130" t="str">
        <f aca="false">IF(IFERROR(INDEX(tsk_Name,(ROW()-ROW(MSPTasks[[#Headers],[ID]])))="",TRUE()),"",IF(N(INDEX(tsk_Deadline,(ROW()-ROW(MSPTasks[[#Headers],[ID]]))))=0,"",INDEX(tsk_Deadline,(ROW()-ROW(MSPTasks[[#Headers],[ID]])))))</f>
        <v/>
      </c>
      <c r="X9" s="24" t="str">
        <f aca="false">IF(IFERROR(INDEX(tsk_Name,(ROW()-ROW(MSPTasks[[#Headers],[ID]])))="",TRUE()),"",IF(INDEX(tsk_IsSummary,(ROW()-ROW(MSPTasks[[#Headers],[ID]]))),"",INDEX(tsk_Sprint,(ROW()-ROW(MSPTasks[[#Headers],[ID]])))&amp;""))</f>
        <v>Sprint 2</v>
      </c>
      <c r="Y9" s="74" t="n">
        <f aca="false">IF(IFERROR(INDEX(tsk_Name,(ROW()-ROW(MSPTasks[[#Headers],[ID]])))="",TRUE()),"",IF(INDEX(tsk_IsSummary,(ROW()-ROW(MSPTasks[[#Headers],[ID]]))),"",IF(N(INDEX(tsk_StoryPoints,(ROW()-ROW(MSPTasks[[#Headers],[ID]]))))=0,"",INDEX(tsk_StoryPoints,(ROW()-ROW(MSPTasks[[#Headers],[ID]]))))))</f>
        <v>5</v>
      </c>
      <c r="Z9" s="24" t="str">
        <f aca="false">IF(IFERROR(INDEX(tsk_Name,(ROW()-ROW(MSPTasks[[#Headers],[ID]])))="",TRUE()),"",INDEX(tsk_Notes,(ROW()-ROW(MSPTasks[[#Headers],[ID]])))&amp;"")</f>
        <v/>
      </c>
    </row>
    <row r="10" customFormat="false" ht="15" hidden="false" customHeight="false" outlineLevel="0" collapsed="false">
      <c r="A10" s="24" t="n">
        <f aca="false">IF(IFERROR(INDEX(tsk_Name,(ROW()-ROW(MSPTasks[[#Headers],[ID]])))="",TRUE()),"",INDEX(tsk_ID,(ROW()-ROW(MSPTasks[[#Headers],[ID]]))))</f>
        <v>9</v>
      </c>
      <c r="B10" s="24" t="n">
        <f aca="false">IF(IFERROR(INDEX(tsk_Name,(ROW()-ROW(MSPTasks[[#Headers],[ID]])))="",TRUE()),"",INDEX(tsk_UID,(ROW()-ROW(MSPTasks[[#Headers],[ID]]))))</f>
        <v>9</v>
      </c>
      <c r="C10" s="24" t="str">
        <f aca="false">IF(IFERROR(INDEX(tsk_Name,(ROW()-ROW(MSPTasks[[#Headers],[ID]])))="",TRUE()),"",INDEX(tsk_Name,(ROW()-ROW(MSPTasks[[#Headers],[ID]]))))</f>
        <v>Design sign-off</v>
      </c>
      <c r="D10" s="24" t="n">
        <f aca="false">IF(IFERROR(INDEX(tsk_Name,(ROW()-ROW(MSPTasks[[#Headers],[ID]])))="",TRUE()),"",INDEX(tsk_Level,(ROW()-ROW(MSPTasks[[#Headers],[ID]]))))</f>
        <v>2</v>
      </c>
      <c r="E10" s="24" t="str">
        <f aca="false">IF(IFERROR(INDEX(tsk_Name,(ROW()-ROW(MSPTasks[[#Headers],[ID]])))="",TRUE()),"",IF(INDEX(tsk_Mode,(ROW()-ROW(MSPTasks[[#Headers],[ID]])))="Manual","Manually Scheduled","Auto Scheduled"))</f>
        <v>Auto Scheduled</v>
      </c>
      <c r="F10" s="24" t="str">
        <f aca="false">IF(IFERROR(INDEX(tsk_Name,(ROW()-ROW(MSPTasks[[#Headers],[ID]])))="",TRUE()),"",IF(INDEX(tsk_IsSummary,(ROW()-ROW(MSPTasks[[#Headers],[ID]]))),"",N(INDEX(tsk_Duration,(ROW()-ROW(MSPTasks[[#Headers],[ID]]))))&amp;"d"))</f>
        <v>0d</v>
      </c>
      <c r="G10" s="130" t="n">
        <f aca="false">IF(IFERROR(INDEX(tsk_Name,(ROW()-ROW(MSPTasks[[#Headers],[ID]])))="",TRUE()),"",INDEX(tsk_FcStart,(ROW()-ROW(MSPTasks[[#Headers],[ID]]))))</f>
        <v>46301</v>
      </c>
      <c r="H10" s="130" t="n">
        <f aca="false">IF(IFERROR(INDEX(tsk_Name,(ROW()-ROW(MSPTasks[[#Headers],[ID]])))="",TRUE()),"",INDEX(tsk_FcFinish,(ROW()-ROW(MSPTasks[[#Headers],[ID]]))))</f>
        <v>46301</v>
      </c>
      <c r="I10" s="24" t="str">
        <f aca="false">IF(IFERROR(INDEX(tsk_Name,(ROW()-ROW(MSPTasks[[#Headers],[ID]])))="",TRUE()),"",IF(INDEX(tsk_IsSummary,(ROW()-ROW(MSPTasks[[#Headers],[ID]]))),"",INDEX(tsk_Predecessors,(ROW()-ROW(MSPTasks[[#Headers],[ID]])))))</f>
        <v>7,8</v>
      </c>
      <c r="J10" s="24" t="str">
        <f aca="false">IF(IFERROR(INDEX(tsk_Name,(ROW()-ROW(MSPTasks[[#Headers],[ID]])))="",TRUE()),"",IF(INDEX(tsk_IsSummary,(ROW()-ROW(MSPTasks[[#Headers],[ID]]))),"",INDEX(tsk_UIDPredecessors,(ROW()-ROW(MSPTasks[[#Headers],[ID]])))))</f>
        <v>7,8</v>
      </c>
      <c r="K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 s="24" t="n">
        <f aca="false">IF(IFERROR(INDEX(tsk_Name,(ROW()-ROW(MSPTasks[[#Headers],[ID]])))="",TRUE()),"",IF(INDEX(tsk_IsSummary,(ROW()-ROW(MSPTasks[[#Headers],[ID]]))),"",ROUND(INDEX(tsk_Progress,(ROW()-ROW(MSPTasks[[#Headers],[ID]])))*100,0)))</f>
        <v>100</v>
      </c>
      <c r="M10" s="130" t="n">
        <f aca="false">IF(IFERROR(INDEX(tsk_Name,(ROW()-ROW(MSPTasks[[#Headers],[ID]])))="",TRUE()),"",IF(N(INDEX(tsk_ActStart,(ROW()-ROW(MSPTasks[[#Headers],[ID]]))))=0,"",INDEX(tsk_ActStart,(ROW()-ROW(MSPTasks[[#Headers],[ID]])))))</f>
        <v>46301</v>
      </c>
      <c r="N10" s="130" t="n">
        <f aca="false">IF(IFERROR(INDEX(tsk_Name,(ROW()-ROW(MSPTasks[[#Headers],[ID]])))="",TRUE()),"",IF(N(INDEX(tsk_ActFinish,(ROW()-ROW(MSPTasks[[#Headers],[ID]]))))=0,"",INDEX(tsk_ActFinish,(ROW()-ROW(MSPTasks[[#Headers],[ID]])))))</f>
        <v>46301</v>
      </c>
      <c r="O10" s="130" t="n">
        <f aca="false">IF(IFERROR(INDEX(tsk_Name,(ROW()-ROW(MSPTasks[[#Headers],[ID]])))="",TRUE()),"",INDEX(tsk_PlanStart,(ROW()-ROW(MSPTasks[[#Headers],[ID]]))))</f>
        <v>46296</v>
      </c>
      <c r="P10" s="130" t="n">
        <f aca="false">IF(IFERROR(INDEX(tsk_Name,(ROW()-ROW(MSPTasks[[#Headers],[ID]])))="",TRUE()),"",INDEX(tsk_PlanFinish,(ROW()-ROW(MSPTasks[[#Headers],[ID]]))))</f>
        <v>46296</v>
      </c>
      <c r="Q10" s="24" t="str">
        <f aca="false">IF(IFERROR(INDEX(tsk_Name,(ROW()-ROW(MSPTasks[[#Headers],[ID]])))="",TRUE()),"",IF(INDEX(tsk_BaseDuration,(ROW()-ROW(MSPTasks[[#Headers],[ID]])))="","",N(INDEX(tsk_BaseDuration,(ROW()-ROW(MSPTasks[[#Headers],[ID]]))))&amp;"d"))</f>
        <v/>
      </c>
      <c r="R10" s="24" t="str">
        <f aca="false">IF(IFERROR(INDEX(tsk_Name,(ROW()-ROW(MSPTasks[[#Headers],[ID]])))="",TRUE()),"",IF(INDEX(tsk_BaseWork,(ROW()-ROW(MSPTasks[[#Headers],[ID]])))="","",N(INDEX(tsk_BaseWork,(ROW()-ROW(MSPTasks[[#Headers],[ID]]))))&amp;"h"))</f>
        <v/>
      </c>
      <c r="S10" s="24" t="str">
        <f aca="false">IF(IFERROR(INDEX(tsk_Name,(ROW()-ROW(MSPTasks[[#Headers],[ID]])))="",TRUE()),"",IF(INDEX(tsk_BaseCost,(ROW()-ROW(MSPTasks[[#Headers],[ID]])))="","",N(INDEX(tsk_BaseCost,(ROW()-ROW(MSPTasks[[#Headers],[ID]]))))))</f>
        <v/>
      </c>
      <c r="T10" s="24" t="str">
        <f aca="false">IF(IFERROR(INDEX(tsk_Name,(ROW()-ROW(MSPTasks[[#Headers],[ID]])))="",TRUE()),"",IF(INDEX(tsk_IsSummary,(ROW()-ROW(MSPTasks[[#Headers],[ID]]))),"",IF(N(INDEX(tsk_ActCostInput,(ROW()-ROW(MSPTasks[[#Headers],[ID]]))))=0,"",INDEX(tsk_ActCostInput,(ROW()-ROW(MSPTasks[[#Headers],[ID]]))))))</f>
        <v/>
      </c>
      <c r="U10"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0" s="130" t="str">
        <f aca="false">IF(IFERROR(INDEX(tsk_Name,(ROW()-ROW(MSPTasks[[#Headers],[ID]])))="",TRUE()),"",IF(OR(INDEX(tsk_IsSummary,(ROW()-ROW(MSPTasks[[#Headers],[ID]]))),INDEX(tsk_Mode,(ROW()-ROW(MSPTasks[[#Headers],[ID]])))="Manual"),"",IF(N(INDEX(tsk_Constraint,(ROW()-ROW(MSPTasks[[#Headers],[ID]]))))=0,"",INDEX(tsk_Constraint,(ROW()-ROW(MSPTasks[[#Headers],[ID]]))))))</f>
        <v/>
      </c>
      <c r="W10" s="130" t="str">
        <f aca="false">IF(IFERROR(INDEX(tsk_Name,(ROW()-ROW(MSPTasks[[#Headers],[ID]])))="",TRUE()),"",IF(N(INDEX(tsk_Deadline,(ROW()-ROW(MSPTasks[[#Headers],[ID]]))))=0,"",INDEX(tsk_Deadline,(ROW()-ROW(MSPTasks[[#Headers],[ID]])))))</f>
        <v/>
      </c>
      <c r="X10" s="24" t="str">
        <f aca="false">IF(IFERROR(INDEX(tsk_Name,(ROW()-ROW(MSPTasks[[#Headers],[ID]])))="",TRUE()),"",IF(INDEX(tsk_IsSummary,(ROW()-ROW(MSPTasks[[#Headers],[ID]]))),"",INDEX(tsk_Sprint,(ROW()-ROW(MSPTasks[[#Headers],[ID]])))&amp;""))</f>
        <v>Sprint 3</v>
      </c>
      <c r="Y10" s="24" t="str">
        <f aca="false">IF(IFERROR(INDEX(tsk_Name,(ROW()-ROW(MSPTasks[[#Headers],[ID]])))="",TRUE()),"",IF(INDEX(tsk_IsSummary,(ROW()-ROW(MSPTasks[[#Headers],[ID]]))),"",IF(N(INDEX(tsk_StoryPoints,(ROW()-ROW(MSPTasks[[#Headers],[ID]]))))=0,"",INDEX(tsk_StoryPoints,(ROW()-ROW(MSPTasks[[#Headers],[ID]]))))))</f>
        <v/>
      </c>
      <c r="Z10" s="24" t="str">
        <f aca="false">IF(IFERROR(INDEX(tsk_Name,(ROW()-ROW(MSPTasks[[#Headers],[ID]])))="",TRUE()),"",INDEX(tsk_Notes,(ROW()-ROW(MSPTasks[[#Headers],[ID]])))&amp;"")</f>
        <v>Two predecessors - waits for the later one.</v>
      </c>
    </row>
    <row r="11" customFormat="false" ht="15" hidden="false" customHeight="false" outlineLevel="0" collapsed="false">
      <c r="A11" s="24" t="n">
        <f aca="false">IF(IFERROR(INDEX(tsk_Name,(ROW()-ROW(MSPTasks[[#Headers],[ID]])))="",TRUE()),"",INDEX(tsk_ID,(ROW()-ROW(MSPTasks[[#Headers],[ID]]))))</f>
        <v>10</v>
      </c>
      <c r="B11" s="24" t="n">
        <f aca="false">IF(IFERROR(INDEX(tsk_Name,(ROW()-ROW(MSPTasks[[#Headers],[ID]])))="",TRUE()),"",INDEX(tsk_UID,(ROW()-ROW(MSPTasks[[#Headers],[ID]]))))</f>
        <v>10</v>
      </c>
      <c r="C11" s="24" t="str">
        <f aca="false">IF(IFERROR(INDEX(tsk_Name,(ROW()-ROW(MSPTasks[[#Headers],[ID]])))="",TRUE()),"",INDEX(tsk_Name,(ROW()-ROW(MSPTasks[[#Headers],[ID]]))))</f>
        <v>Build</v>
      </c>
      <c r="D11" s="24" t="n">
        <f aca="false">IF(IFERROR(INDEX(tsk_Name,(ROW()-ROW(MSPTasks[[#Headers],[ID]])))="",TRUE()),"",INDEX(tsk_Level,(ROW()-ROW(MSPTasks[[#Headers],[ID]]))))</f>
        <v>1</v>
      </c>
      <c r="E11" s="24" t="str">
        <f aca="false">IF(IFERROR(INDEX(tsk_Name,(ROW()-ROW(MSPTasks[[#Headers],[ID]])))="",TRUE()),"",IF(INDEX(tsk_Mode,(ROW()-ROW(MSPTasks[[#Headers],[ID]])))="Manual","Manually Scheduled","Auto Scheduled"))</f>
        <v>Auto Scheduled</v>
      </c>
      <c r="F11" s="24" t="str">
        <f aca="false">IF(IFERROR(INDEX(tsk_Name,(ROW()-ROW(MSPTasks[[#Headers],[ID]])))="",TRUE()),"",IF(INDEX(tsk_IsSummary,(ROW()-ROW(MSPTasks[[#Headers],[ID]]))),"",N(INDEX(tsk_Duration,(ROW()-ROW(MSPTasks[[#Headers],[ID]]))))&amp;"d"))</f>
        <v/>
      </c>
      <c r="G11" s="130" t="n">
        <f aca="false">IF(IFERROR(INDEX(tsk_Name,(ROW()-ROW(MSPTasks[[#Headers],[ID]])))="",TRUE()),"",INDEX(tsk_FcStart,(ROW()-ROW(MSPTasks[[#Headers],[ID]]))))</f>
        <v>46302</v>
      </c>
      <c r="H11" s="130" t="n">
        <f aca="false">IF(IFERROR(INDEX(tsk_Name,(ROW()-ROW(MSPTasks[[#Headers],[ID]])))="",TRUE()),"",INDEX(tsk_FcFinish,(ROW()-ROW(MSPTasks[[#Headers],[ID]]))))</f>
        <v>46335</v>
      </c>
      <c r="I11" s="24" t="str">
        <f aca="false">IF(IFERROR(INDEX(tsk_Name,(ROW()-ROW(MSPTasks[[#Headers],[ID]])))="",TRUE()),"",IF(INDEX(tsk_IsSummary,(ROW()-ROW(MSPTasks[[#Headers],[ID]]))),"",INDEX(tsk_Predecessors,(ROW()-ROW(MSPTasks[[#Headers],[ID]])))))</f>
        <v/>
      </c>
      <c r="J11" s="24" t="str">
        <f aca="false">IF(IFERROR(INDEX(tsk_Name,(ROW()-ROW(MSPTasks[[#Headers],[ID]])))="",TRUE()),"",IF(INDEX(tsk_IsSummary,(ROW()-ROW(MSPTasks[[#Headers],[ID]]))),"",INDEX(tsk_UIDPredecessors,(ROW()-ROW(MSPTasks[[#Headers],[ID]])))))</f>
        <v/>
      </c>
      <c r="K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 s="24" t="str">
        <f aca="false">IF(IFERROR(INDEX(tsk_Name,(ROW()-ROW(MSPTasks[[#Headers],[ID]])))="",TRUE()),"",IF(INDEX(tsk_IsSummary,(ROW()-ROW(MSPTasks[[#Headers],[ID]]))),"",ROUND(INDEX(tsk_Progress,(ROW()-ROW(MSPTasks[[#Headers],[ID]])))*100,0)))</f>
        <v/>
      </c>
      <c r="M11" s="130" t="str">
        <f aca="false">IF(IFERROR(INDEX(tsk_Name,(ROW()-ROW(MSPTasks[[#Headers],[ID]])))="",TRUE()),"",IF(N(INDEX(tsk_ActStart,(ROW()-ROW(MSPTasks[[#Headers],[ID]]))))=0,"",INDEX(tsk_ActStart,(ROW()-ROW(MSPTasks[[#Headers],[ID]])))))</f>
        <v/>
      </c>
      <c r="N11" s="130" t="str">
        <f aca="false">IF(IFERROR(INDEX(tsk_Name,(ROW()-ROW(MSPTasks[[#Headers],[ID]])))="",TRUE()),"",IF(N(INDEX(tsk_ActFinish,(ROW()-ROW(MSPTasks[[#Headers],[ID]]))))=0,"",INDEX(tsk_ActFinish,(ROW()-ROW(MSPTasks[[#Headers],[ID]])))))</f>
        <v/>
      </c>
      <c r="O11" s="130" t="n">
        <f aca="false">IF(IFERROR(INDEX(tsk_Name,(ROW()-ROW(MSPTasks[[#Headers],[ID]])))="",TRUE()),"",INDEX(tsk_PlanStart,(ROW()-ROW(MSPTasks[[#Headers],[ID]]))))</f>
        <v>46297</v>
      </c>
      <c r="P11" s="130" t="n">
        <f aca="false">IF(IFERROR(INDEX(tsk_Name,(ROW()-ROW(MSPTasks[[#Headers],[ID]])))="",TRUE()),"",INDEX(tsk_PlanFinish,(ROW()-ROW(MSPTasks[[#Headers],[ID]]))))</f>
        <v>46325</v>
      </c>
      <c r="Q11" s="24" t="str">
        <f aca="false">IF(IFERROR(INDEX(tsk_Name,(ROW()-ROW(MSPTasks[[#Headers],[ID]])))="",TRUE()),"",IF(INDEX(tsk_BaseDuration,(ROW()-ROW(MSPTasks[[#Headers],[ID]])))="","",N(INDEX(tsk_BaseDuration,(ROW()-ROW(MSPTasks[[#Headers],[ID]]))))&amp;"d"))</f>
        <v/>
      </c>
      <c r="R11" s="24" t="str">
        <f aca="false">IF(IFERROR(INDEX(tsk_Name,(ROW()-ROW(MSPTasks[[#Headers],[ID]])))="",TRUE()),"",IF(INDEX(tsk_BaseWork,(ROW()-ROW(MSPTasks[[#Headers],[ID]])))="","",N(INDEX(tsk_BaseWork,(ROW()-ROW(MSPTasks[[#Headers],[ID]]))))&amp;"h"))</f>
        <v/>
      </c>
      <c r="S11" s="24" t="str">
        <f aca="false">IF(IFERROR(INDEX(tsk_Name,(ROW()-ROW(MSPTasks[[#Headers],[ID]])))="",TRUE()),"",IF(INDEX(tsk_BaseCost,(ROW()-ROW(MSPTasks[[#Headers],[ID]])))="","",N(INDEX(tsk_BaseCost,(ROW()-ROW(MSPTasks[[#Headers],[ID]]))))))</f>
        <v/>
      </c>
      <c r="T11" s="24" t="str">
        <f aca="false">IF(IFERROR(INDEX(tsk_Name,(ROW()-ROW(MSPTasks[[#Headers],[ID]])))="",TRUE()),"",IF(INDEX(tsk_IsSummary,(ROW()-ROW(MSPTasks[[#Headers],[ID]]))),"",IF(N(INDEX(tsk_ActCostInput,(ROW()-ROW(MSPTasks[[#Headers],[ID]]))))=0,"",INDEX(tsk_ActCostInput,(ROW()-ROW(MSPTasks[[#Headers],[ID]]))))))</f>
        <v/>
      </c>
      <c r="U11" s="24" t="str">
        <f aca="false">IF(IFERROR(INDEX(tsk_Name,(ROW()-ROW(MSPTasks[[#Headers],[ID]])))="",TRUE()),"",IF(INDEX(tsk_IsSummary,(ROW()-ROW(MSPTasks[[#Headers],[ID]]))),"",IF(AND(INDEX(tsk_Mode,(ROW()-ROW(MSPTasks[[#Headers],[ID]])))&lt;&gt;"Manual",N(INDEX(tsk_Constraint,(ROW()-ROW(MSPTasks[[#Headers],[ID]]))))&gt;0),"Start No Earlier Than","As Soon As Possible")))</f>
        <v/>
      </c>
      <c r="V11" s="130" t="str">
        <f aca="false">IF(IFERROR(INDEX(tsk_Name,(ROW()-ROW(MSPTasks[[#Headers],[ID]])))="",TRUE()),"",IF(OR(INDEX(tsk_IsSummary,(ROW()-ROW(MSPTasks[[#Headers],[ID]]))),INDEX(tsk_Mode,(ROW()-ROW(MSPTasks[[#Headers],[ID]])))="Manual"),"",IF(N(INDEX(tsk_Constraint,(ROW()-ROW(MSPTasks[[#Headers],[ID]]))))=0,"",INDEX(tsk_Constraint,(ROW()-ROW(MSPTasks[[#Headers],[ID]]))))))</f>
        <v/>
      </c>
      <c r="W11" s="130" t="str">
        <f aca="false">IF(IFERROR(INDEX(tsk_Name,(ROW()-ROW(MSPTasks[[#Headers],[ID]])))="",TRUE()),"",IF(N(INDEX(tsk_Deadline,(ROW()-ROW(MSPTasks[[#Headers],[ID]]))))=0,"",INDEX(tsk_Deadline,(ROW()-ROW(MSPTasks[[#Headers],[ID]])))))</f>
        <v/>
      </c>
      <c r="X11" s="24" t="str">
        <f aca="false">IF(IFERROR(INDEX(tsk_Name,(ROW()-ROW(MSPTasks[[#Headers],[ID]])))="",TRUE()),"",IF(INDEX(tsk_IsSummary,(ROW()-ROW(MSPTasks[[#Headers],[ID]]))),"",INDEX(tsk_Sprint,(ROW()-ROW(MSPTasks[[#Headers],[ID]])))&amp;""))</f>
        <v/>
      </c>
      <c r="Y11" s="24" t="str">
        <f aca="false">IF(IFERROR(INDEX(tsk_Name,(ROW()-ROW(MSPTasks[[#Headers],[ID]])))="",TRUE()),"",IF(INDEX(tsk_IsSummary,(ROW()-ROW(MSPTasks[[#Headers],[ID]]))),"",IF(N(INDEX(tsk_StoryPoints,(ROW()-ROW(MSPTasks[[#Headers],[ID]]))))=0,"",INDEX(tsk_StoryPoints,(ROW()-ROW(MSPTasks[[#Headers],[ID]]))))))</f>
        <v/>
      </c>
      <c r="Z11" s="24" t="str">
        <f aca="false">IF(IFERROR(INDEX(tsk_Name,(ROW()-ROW(MSPTasks[[#Headers],[ID]])))="",TRUE()),"",INDEX(tsk_Notes,(ROW()-ROW(MSPTasks[[#Headers],[ID]])))&amp;"")</f>
        <v/>
      </c>
    </row>
    <row r="12" customFormat="false" ht="15" hidden="false" customHeight="false" outlineLevel="0" collapsed="false">
      <c r="A12" s="24" t="n">
        <f aca="false">IF(IFERROR(INDEX(tsk_Name,(ROW()-ROW(MSPTasks[[#Headers],[ID]])))="",TRUE()),"",INDEX(tsk_ID,(ROW()-ROW(MSPTasks[[#Headers],[ID]]))))</f>
        <v>11</v>
      </c>
      <c r="B12" s="24" t="n">
        <f aca="false">IF(IFERROR(INDEX(tsk_Name,(ROW()-ROW(MSPTasks[[#Headers],[ID]])))="",TRUE()),"",INDEX(tsk_UID,(ROW()-ROW(MSPTasks[[#Headers],[ID]]))))</f>
        <v>11</v>
      </c>
      <c r="C12" s="24" t="str">
        <f aca="false">IF(IFERROR(INDEX(tsk_Name,(ROW()-ROW(MSPTasks[[#Headers],[ID]])))="",TRUE()),"",INDEX(tsk_Name,(ROW()-ROW(MSPTasks[[#Headers],[ID]]))))</f>
        <v>Backend</v>
      </c>
      <c r="D12" s="24" t="n">
        <f aca="false">IF(IFERROR(INDEX(tsk_Name,(ROW()-ROW(MSPTasks[[#Headers],[ID]])))="",TRUE()),"",INDEX(tsk_Level,(ROW()-ROW(MSPTasks[[#Headers],[ID]]))))</f>
        <v>2</v>
      </c>
      <c r="E12" s="24" t="str">
        <f aca="false">IF(IFERROR(INDEX(tsk_Name,(ROW()-ROW(MSPTasks[[#Headers],[ID]])))="",TRUE()),"",IF(INDEX(tsk_Mode,(ROW()-ROW(MSPTasks[[#Headers],[ID]])))="Manual","Manually Scheduled","Auto Scheduled"))</f>
        <v>Auto Scheduled</v>
      </c>
      <c r="F12" s="24" t="str">
        <f aca="false">IF(IFERROR(INDEX(tsk_Name,(ROW()-ROW(MSPTasks[[#Headers],[ID]])))="",TRUE()),"",IF(INDEX(tsk_IsSummary,(ROW()-ROW(MSPTasks[[#Headers],[ID]]))),"",N(INDEX(tsk_Duration,(ROW()-ROW(MSPTasks[[#Headers],[ID]]))))&amp;"d"))</f>
        <v/>
      </c>
      <c r="G12" s="130" t="n">
        <f aca="false">IF(IFERROR(INDEX(tsk_Name,(ROW()-ROW(MSPTasks[[#Headers],[ID]])))="",TRUE()),"",INDEX(tsk_FcStart,(ROW()-ROW(MSPTasks[[#Headers],[ID]]))))</f>
        <v>46302</v>
      </c>
      <c r="H12" s="130" t="n">
        <f aca="false">IF(IFERROR(INDEX(tsk_Name,(ROW()-ROW(MSPTasks[[#Headers],[ID]])))="",TRUE()),"",INDEX(tsk_FcFinish,(ROW()-ROW(MSPTasks[[#Headers],[ID]]))))</f>
        <v>46335</v>
      </c>
      <c r="I12" s="24" t="str">
        <f aca="false">IF(IFERROR(INDEX(tsk_Name,(ROW()-ROW(MSPTasks[[#Headers],[ID]])))="",TRUE()),"",IF(INDEX(tsk_IsSummary,(ROW()-ROW(MSPTasks[[#Headers],[ID]]))),"",INDEX(tsk_Predecessors,(ROW()-ROW(MSPTasks[[#Headers],[ID]])))))</f>
        <v/>
      </c>
      <c r="J12" s="24" t="str">
        <f aca="false">IF(IFERROR(INDEX(tsk_Name,(ROW()-ROW(MSPTasks[[#Headers],[ID]])))="",TRUE()),"",IF(INDEX(tsk_IsSummary,(ROW()-ROW(MSPTasks[[#Headers],[ID]]))),"",INDEX(tsk_UIDPredecessors,(ROW()-ROW(MSPTasks[[#Headers],[ID]])))))</f>
        <v/>
      </c>
      <c r="K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 s="24" t="str">
        <f aca="false">IF(IFERROR(INDEX(tsk_Name,(ROW()-ROW(MSPTasks[[#Headers],[ID]])))="",TRUE()),"",IF(INDEX(tsk_IsSummary,(ROW()-ROW(MSPTasks[[#Headers],[ID]]))),"",ROUND(INDEX(tsk_Progress,(ROW()-ROW(MSPTasks[[#Headers],[ID]])))*100,0)))</f>
        <v/>
      </c>
      <c r="M12" s="130" t="str">
        <f aca="false">IF(IFERROR(INDEX(tsk_Name,(ROW()-ROW(MSPTasks[[#Headers],[ID]])))="",TRUE()),"",IF(N(INDEX(tsk_ActStart,(ROW()-ROW(MSPTasks[[#Headers],[ID]]))))=0,"",INDEX(tsk_ActStart,(ROW()-ROW(MSPTasks[[#Headers],[ID]])))))</f>
        <v/>
      </c>
      <c r="N12" s="130" t="str">
        <f aca="false">IF(IFERROR(INDEX(tsk_Name,(ROW()-ROW(MSPTasks[[#Headers],[ID]])))="",TRUE()),"",IF(N(INDEX(tsk_ActFinish,(ROW()-ROW(MSPTasks[[#Headers],[ID]]))))=0,"",INDEX(tsk_ActFinish,(ROW()-ROW(MSPTasks[[#Headers],[ID]])))))</f>
        <v/>
      </c>
      <c r="O12" s="130" t="n">
        <f aca="false">IF(IFERROR(INDEX(tsk_Name,(ROW()-ROW(MSPTasks[[#Headers],[ID]])))="",TRUE()),"",INDEX(tsk_PlanStart,(ROW()-ROW(MSPTasks[[#Headers],[ID]]))))</f>
        <v>46297</v>
      </c>
      <c r="P12" s="130" t="n">
        <f aca="false">IF(IFERROR(INDEX(tsk_Name,(ROW()-ROW(MSPTasks[[#Headers],[ID]])))="",TRUE()),"",INDEX(tsk_PlanFinish,(ROW()-ROW(MSPTasks[[#Headers],[ID]]))))</f>
        <v>46325</v>
      </c>
      <c r="Q12" s="24" t="str">
        <f aca="false">IF(IFERROR(INDEX(tsk_Name,(ROW()-ROW(MSPTasks[[#Headers],[ID]])))="",TRUE()),"",IF(INDEX(tsk_BaseDuration,(ROW()-ROW(MSPTasks[[#Headers],[ID]])))="","",N(INDEX(tsk_BaseDuration,(ROW()-ROW(MSPTasks[[#Headers],[ID]]))))&amp;"d"))</f>
        <v/>
      </c>
      <c r="R12" s="24" t="str">
        <f aca="false">IF(IFERROR(INDEX(tsk_Name,(ROW()-ROW(MSPTasks[[#Headers],[ID]])))="",TRUE()),"",IF(INDEX(tsk_BaseWork,(ROW()-ROW(MSPTasks[[#Headers],[ID]])))="","",N(INDEX(tsk_BaseWork,(ROW()-ROW(MSPTasks[[#Headers],[ID]]))))&amp;"h"))</f>
        <v/>
      </c>
      <c r="S12" s="24" t="str">
        <f aca="false">IF(IFERROR(INDEX(tsk_Name,(ROW()-ROW(MSPTasks[[#Headers],[ID]])))="",TRUE()),"",IF(INDEX(tsk_BaseCost,(ROW()-ROW(MSPTasks[[#Headers],[ID]])))="","",N(INDEX(tsk_BaseCost,(ROW()-ROW(MSPTasks[[#Headers],[ID]]))))))</f>
        <v/>
      </c>
      <c r="T12" s="24" t="str">
        <f aca="false">IF(IFERROR(INDEX(tsk_Name,(ROW()-ROW(MSPTasks[[#Headers],[ID]])))="",TRUE()),"",IF(INDEX(tsk_IsSummary,(ROW()-ROW(MSPTasks[[#Headers],[ID]]))),"",IF(N(INDEX(tsk_ActCostInput,(ROW()-ROW(MSPTasks[[#Headers],[ID]]))))=0,"",INDEX(tsk_ActCostInput,(ROW()-ROW(MSPTasks[[#Headers],[ID]]))))))</f>
        <v/>
      </c>
      <c r="U12" s="24" t="str">
        <f aca="false">IF(IFERROR(INDEX(tsk_Name,(ROW()-ROW(MSPTasks[[#Headers],[ID]])))="",TRUE()),"",IF(INDEX(tsk_IsSummary,(ROW()-ROW(MSPTasks[[#Headers],[ID]]))),"",IF(AND(INDEX(tsk_Mode,(ROW()-ROW(MSPTasks[[#Headers],[ID]])))&lt;&gt;"Manual",N(INDEX(tsk_Constraint,(ROW()-ROW(MSPTasks[[#Headers],[ID]]))))&gt;0),"Start No Earlier Than","As Soon As Possible")))</f>
        <v/>
      </c>
      <c r="V12" s="130" t="str">
        <f aca="false">IF(IFERROR(INDEX(tsk_Name,(ROW()-ROW(MSPTasks[[#Headers],[ID]])))="",TRUE()),"",IF(OR(INDEX(tsk_IsSummary,(ROW()-ROW(MSPTasks[[#Headers],[ID]]))),INDEX(tsk_Mode,(ROW()-ROW(MSPTasks[[#Headers],[ID]])))="Manual"),"",IF(N(INDEX(tsk_Constraint,(ROW()-ROW(MSPTasks[[#Headers],[ID]]))))=0,"",INDEX(tsk_Constraint,(ROW()-ROW(MSPTasks[[#Headers],[ID]]))))))</f>
        <v/>
      </c>
      <c r="W12" s="130" t="str">
        <f aca="false">IF(IFERROR(INDEX(tsk_Name,(ROW()-ROW(MSPTasks[[#Headers],[ID]])))="",TRUE()),"",IF(N(INDEX(tsk_Deadline,(ROW()-ROW(MSPTasks[[#Headers],[ID]]))))=0,"",INDEX(tsk_Deadline,(ROW()-ROW(MSPTasks[[#Headers],[ID]])))))</f>
        <v/>
      </c>
      <c r="X12" s="24" t="str">
        <f aca="false">IF(IFERROR(INDEX(tsk_Name,(ROW()-ROW(MSPTasks[[#Headers],[ID]])))="",TRUE()),"",IF(INDEX(tsk_IsSummary,(ROW()-ROW(MSPTasks[[#Headers],[ID]]))),"",INDEX(tsk_Sprint,(ROW()-ROW(MSPTasks[[#Headers],[ID]])))&amp;""))</f>
        <v/>
      </c>
      <c r="Y12" s="24" t="str">
        <f aca="false">IF(IFERROR(INDEX(tsk_Name,(ROW()-ROW(MSPTasks[[#Headers],[ID]])))="",TRUE()),"",IF(INDEX(tsk_IsSummary,(ROW()-ROW(MSPTasks[[#Headers],[ID]]))),"",IF(N(INDEX(tsk_StoryPoints,(ROW()-ROW(MSPTasks[[#Headers],[ID]]))))=0,"",INDEX(tsk_StoryPoints,(ROW()-ROW(MSPTasks[[#Headers],[ID]]))))))</f>
        <v/>
      </c>
      <c r="Z12" s="24" t="str">
        <f aca="false">IF(IFERROR(INDEX(tsk_Name,(ROW()-ROW(MSPTasks[[#Headers],[ID]])))="",TRUE()),"",INDEX(tsk_Notes,(ROW()-ROW(MSPTasks[[#Headers],[ID]])))&amp;"")</f>
        <v>Level-2 summary with sub-tasks.</v>
      </c>
    </row>
    <row r="13" customFormat="false" ht="15" hidden="false" customHeight="false" outlineLevel="0" collapsed="false">
      <c r="A13" s="24" t="n">
        <f aca="false">IF(IFERROR(INDEX(tsk_Name,(ROW()-ROW(MSPTasks[[#Headers],[ID]])))="",TRUE()),"",INDEX(tsk_ID,(ROW()-ROW(MSPTasks[[#Headers],[ID]]))))</f>
        <v>12</v>
      </c>
      <c r="B13" s="24" t="n">
        <f aca="false">IF(IFERROR(INDEX(tsk_Name,(ROW()-ROW(MSPTasks[[#Headers],[ID]])))="",TRUE()),"",INDEX(tsk_UID,(ROW()-ROW(MSPTasks[[#Headers],[ID]]))))</f>
        <v>12</v>
      </c>
      <c r="C13" s="24" t="str">
        <f aca="false">IF(IFERROR(INDEX(tsk_Name,(ROW()-ROW(MSPTasks[[#Headers],[ID]])))="",TRUE()),"",INDEX(tsk_Name,(ROW()-ROW(MSPTasks[[#Headers],[ID]]))))</f>
        <v>Data model &amp; database setup</v>
      </c>
      <c r="D13" s="24" t="n">
        <f aca="false">IF(IFERROR(INDEX(tsk_Name,(ROW()-ROW(MSPTasks[[#Headers],[ID]])))="",TRUE()),"",INDEX(tsk_Level,(ROW()-ROW(MSPTasks[[#Headers],[ID]]))))</f>
        <v>3</v>
      </c>
      <c r="E13" s="24" t="str">
        <f aca="false">IF(IFERROR(INDEX(tsk_Name,(ROW()-ROW(MSPTasks[[#Headers],[ID]])))="",TRUE()),"",IF(INDEX(tsk_Mode,(ROW()-ROW(MSPTasks[[#Headers],[ID]])))="Manual","Manually Scheduled","Auto Scheduled"))</f>
        <v>Auto Scheduled</v>
      </c>
      <c r="F13" s="24" t="str">
        <f aca="false">IF(IFERROR(INDEX(tsk_Name,(ROW()-ROW(MSPTasks[[#Headers],[ID]])))="",TRUE()),"",IF(INDEX(tsk_IsSummary,(ROW()-ROW(MSPTasks[[#Headers],[ID]]))),"",N(INDEX(tsk_Duration,(ROW()-ROW(MSPTasks[[#Headers],[ID]]))))&amp;"d"))</f>
        <v>5d</v>
      </c>
      <c r="G13" s="130" t="n">
        <f aca="false">IF(IFERROR(INDEX(tsk_Name,(ROW()-ROW(MSPTasks[[#Headers],[ID]])))="",TRUE()),"",INDEX(tsk_FcStart,(ROW()-ROW(MSPTasks[[#Headers],[ID]]))))</f>
        <v>46302</v>
      </c>
      <c r="H13" s="130" t="n">
        <f aca="false">IF(IFERROR(INDEX(tsk_Name,(ROW()-ROW(MSPTasks[[#Headers],[ID]])))="",TRUE()),"",INDEX(tsk_FcFinish,(ROW()-ROW(MSPTasks[[#Headers],[ID]]))))</f>
        <v>46309</v>
      </c>
      <c r="I13" s="24" t="str">
        <f aca="false">IF(IFERROR(INDEX(tsk_Name,(ROW()-ROW(MSPTasks[[#Headers],[ID]])))="",TRUE()),"",IF(INDEX(tsk_IsSummary,(ROW()-ROW(MSPTasks[[#Headers],[ID]]))),"",INDEX(tsk_Predecessors,(ROW()-ROW(MSPTasks[[#Headers],[ID]])))))</f>
        <v>9</v>
      </c>
      <c r="J13" s="24" t="str">
        <f aca="false">IF(IFERROR(INDEX(tsk_Name,(ROW()-ROW(MSPTasks[[#Headers],[ID]])))="",TRUE()),"",IF(INDEX(tsk_IsSummary,(ROW()-ROW(MSPTasks[[#Headers],[ID]]))),"",INDEX(tsk_UIDPredecessors,(ROW()-ROW(MSPTasks[[#Headers],[ID]])))))</f>
        <v>9</v>
      </c>
      <c r="K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3" s="24" t="n">
        <f aca="false">IF(IFERROR(INDEX(tsk_Name,(ROW()-ROW(MSPTasks[[#Headers],[ID]])))="",TRUE()),"",IF(INDEX(tsk_IsSummary,(ROW()-ROW(MSPTasks[[#Headers],[ID]]))),"",ROUND(INDEX(tsk_Progress,(ROW()-ROW(MSPTasks[[#Headers],[ID]])))*100,0)))</f>
        <v>100</v>
      </c>
      <c r="M13" s="130" t="n">
        <f aca="false">IF(IFERROR(INDEX(tsk_Name,(ROW()-ROW(MSPTasks[[#Headers],[ID]])))="",TRUE()),"",IF(N(INDEX(tsk_ActStart,(ROW()-ROW(MSPTasks[[#Headers],[ID]]))))=0,"",INDEX(tsk_ActStart,(ROW()-ROW(MSPTasks[[#Headers],[ID]])))))</f>
        <v>46302</v>
      </c>
      <c r="N13" s="130" t="n">
        <f aca="false">IF(IFERROR(INDEX(tsk_Name,(ROW()-ROW(MSPTasks[[#Headers],[ID]])))="",TRUE()),"",IF(N(INDEX(tsk_ActFinish,(ROW()-ROW(MSPTasks[[#Headers],[ID]]))))=0,"",INDEX(tsk_ActFinish,(ROW()-ROW(MSPTasks[[#Headers],[ID]])))))</f>
        <v>46309</v>
      </c>
      <c r="O13" s="130" t="n">
        <f aca="false">IF(IFERROR(INDEX(tsk_Name,(ROW()-ROW(MSPTasks[[#Headers],[ID]])))="",TRUE()),"",INDEX(tsk_PlanStart,(ROW()-ROW(MSPTasks[[#Headers],[ID]]))))</f>
        <v>46297</v>
      </c>
      <c r="P13" s="130" t="n">
        <f aca="false">IF(IFERROR(INDEX(tsk_Name,(ROW()-ROW(MSPTasks[[#Headers],[ID]])))="",TRUE()),"",INDEX(tsk_PlanFinish,(ROW()-ROW(MSPTasks[[#Headers],[ID]]))))</f>
        <v>46303</v>
      </c>
      <c r="Q13" s="24" t="str">
        <f aca="false">IF(IFERROR(INDEX(tsk_Name,(ROW()-ROW(MSPTasks[[#Headers],[ID]])))="",TRUE()),"",IF(INDEX(tsk_BaseDuration,(ROW()-ROW(MSPTasks[[#Headers],[ID]])))="","",N(INDEX(tsk_BaseDuration,(ROW()-ROW(MSPTasks[[#Headers],[ID]]))))&amp;"d"))</f>
        <v/>
      </c>
      <c r="R13" s="24" t="str">
        <f aca="false">IF(IFERROR(INDEX(tsk_Name,(ROW()-ROW(MSPTasks[[#Headers],[ID]])))="",TRUE()),"",IF(INDEX(tsk_BaseWork,(ROW()-ROW(MSPTasks[[#Headers],[ID]])))="","",N(INDEX(tsk_BaseWork,(ROW()-ROW(MSPTasks[[#Headers],[ID]]))))&amp;"h"))</f>
        <v/>
      </c>
      <c r="S13" s="24" t="str">
        <f aca="false">IF(IFERROR(INDEX(tsk_Name,(ROW()-ROW(MSPTasks[[#Headers],[ID]])))="",TRUE()),"",IF(INDEX(tsk_BaseCost,(ROW()-ROW(MSPTasks[[#Headers],[ID]])))="","",N(INDEX(tsk_BaseCost,(ROW()-ROW(MSPTasks[[#Headers],[ID]]))))))</f>
        <v/>
      </c>
      <c r="T13" s="24" t="str">
        <f aca="false">IF(IFERROR(INDEX(tsk_Name,(ROW()-ROW(MSPTasks[[#Headers],[ID]])))="",TRUE()),"",IF(INDEX(tsk_IsSummary,(ROW()-ROW(MSPTasks[[#Headers],[ID]]))),"",IF(N(INDEX(tsk_ActCostInput,(ROW()-ROW(MSPTasks[[#Headers],[ID]]))))=0,"",INDEX(tsk_ActCostInput,(ROW()-ROW(MSPTasks[[#Headers],[ID]]))))))</f>
        <v/>
      </c>
      <c r="U13"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3" s="130" t="str">
        <f aca="false">IF(IFERROR(INDEX(tsk_Name,(ROW()-ROW(MSPTasks[[#Headers],[ID]])))="",TRUE()),"",IF(OR(INDEX(tsk_IsSummary,(ROW()-ROW(MSPTasks[[#Headers],[ID]]))),INDEX(tsk_Mode,(ROW()-ROW(MSPTasks[[#Headers],[ID]])))="Manual"),"",IF(N(INDEX(tsk_Constraint,(ROW()-ROW(MSPTasks[[#Headers],[ID]]))))=0,"",INDEX(tsk_Constraint,(ROW()-ROW(MSPTasks[[#Headers],[ID]]))))))</f>
        <v/>
      </c>
      <c r="W13" s="130" t="str">
        <f aca="false">IF(IFERROR(INDEX(tsk_Name,(ROW()-ROW(MSPTasks[[#Headers],[ID]])))="",TRUE()),"",IF(N(INDEX(tsk_Deadline,(ROW()-ROW(MSPTasks[[#Headers],[ID]]))))=0,"",INDEX(tsk_Deadline,(ROW()-ROW(MSPTasks[[#Headers],[ID]])))))</f>
        <v/>
      </c>
      <c r="X13" s="24" t="str">
        <f aca="false">IF(IFERROR(INDEX(tsk_Name,(ROW()-ROW(MSPTasks[[#Headers],[ID]])))="",TRUE()),"",IF(INDEX(tsk_IsSummary,(ROW()-ROW(MSPTasks[[#Headers],[ID]]))),"",INDEX(tsk_Sprint,(ROW()-ROW(MSPTasks[[#Headers],[ID]])))&amp;""))</f>
        <v>Sprint 3</v>
      </c>
      <c r="Y13" s="74" t="n">
        <f aca="false">IF(IFERROR(INDEX(tsk_Name,(ROW()-ROW(MSPTasks[[#Headers],[ID]])))="",TRUE()),"",IF(INDEX(tsk_IsSummary,(ROW()-ROW(MSPTasks[[#Headers],[ID]]))),"",IF(N(INDEX(tsk_StoryPoints,(ROW()-ROW(MSPTasks[[#Headers],[ID]]))))=0,"",INDEX(tsk_StoryPoints,(ROW()-ROW(MSPTasks[[#Headers],[ID]]))))))</f>
        <v>5</v>
      </c>
      <c r="Z13" s="24" t="str">
        <f aca="false">IF(IFERROR(INDEX(tsk_Name,(ROW()-ROW(MSPTasks[[#Headers],[ID]])))="",TRUE()),"",INDEX(tsk_Notes,(ROW()-ROW(MSPTasks[[#Headers],[ID]])))&amp;"")</f>
        <v/>
      </c>
    </row>
    <row r="14" customFormat="false" ht="15" hidden="false" customHeight="false" outlineLevel="0" collapsed="false">
      <c r="A14" s="24" t="n">
        <f aca="false">IF(IFERROR(INDEX(tsk_Name,(ROW()-ROW(MSPTasks[[#Headers],[ID]])))="",TRUE()),"",INDEX(tsk_ID,(ROW()-ROW(MSPTasks[[#Headers],[ID]]))))</f>
        <v>13</v>
      </c>
      <c r="B14" s="24" t="n">
        <f aca="false">IF(IFERROR(INDEX(tsk_Name,(ROW()-ROW(MSPTasks[[#Headers],[ID]])))="",TRUE()),"",INDEX(tsk_UID,(ROW()-ROW(MSPTasks[[#Headers],[ID]]))))</f>
        <v>13</v>
      </c>
      <c r="C14" s="24" t="str">
        <f aca="false">IF(IFERROR(INDEX(tsk_Name,(ROW()-ROW(MSPTasks[[#Headers],[ID]])))="",TRUE()),"",INDEX(tsk_Name,(ROW()-ROW(MSPTasks[[#Headers],[ID]]))))</f>
        <v>Core API endpoints</v>
      </c>
      <c r="D14" s="24" t="n">
        <f aca="false">IF(IFERROR(INDEX(tsk_Name,(ROW()-ROW(MSPTasks[[#Headers],[ID]])))="",TRUE()),"",INDEX(tsk_Level,(ROW()-ROW(MSPTasks[[#Headers],[ID]]))))</f>
        <v>3</v>
      </c>
      <c r="E14" s="24" t="str">
        <f aca="false">IF(IFERROR(INDEX(tsk_Name,(ROW()-ROW(MSPTasks[[#Headers],[ID]])))="",TRUE()),"",IF(INDEX(tsk_Mode,(ROW()-ROW(MSPTasks[[#Headers],[ID]])))="Manual","Manually Scheduled","Auto Scheduled"))</f>
        <v>Auto Scheduled</v>
      </c>
      <c r="F14" s="24" t="str">
        <f aca="false">IF(IFERROR(INDEX(tsk_Name,(ROW()-ROW(MSPTasks[[#Headers],[ID]])))="",TRUE()),"",IF(INDEX(tsk_IsSummary,(ROW()-ROW(MSPTasks[[#Headers],[ID]]))),"",N(INDEX(tsk_Duration,(ROW()-ROW(MSPTasks[[#Headers],[ID]]))))&amp;"d"))</f>
        <v>10d</v>
      </c>
      <c r="G14" s="130" t="n">
        <f aca="false">IF(IFERROR(INDEX(tsk_Name,(ROW()-ROW(MSPTasks[[#Headers],[ID]])))="",TRUE()),"",INDEX(tsk_FcStart,(ROW()-ROW(MSPTasks[[#Headers],[ID]]))))</f>
        <v>46310</v>
      </c>
      <c r="H14" s="130" t="n">
        <f aca="false">IF(IFERROR(INDEX(tsk_Name,(ROW()-ROW(MSPTasks[[#Headers],[ID]])))="",TRUE()),"",INDEX(tsk_FcFinish,(ROW()-ROW(MSPTasks[[#Headers],[ID]]))))</f>
        <v>46325</v>
      </c>
      <c r="I14" s="24" t="str">
        <f aca="false">IF(IFERROR(INDEX(tsk_Name,(ROW()-ROW(MSPTasks[[#Headers],[ID]])))="",TRUE()),"",IF(INDEX(tsk_IsSummary,(ROW()-ROW(MSPTasks[[#Headers],[ID]]))),"",INDEX(tsk_Predecessors,(ROW()-ROW(MSPTasks[[#Headers],[ID]])))))</f>
        <v>12</v>
      </c>
      <c r="J14" s="24" t="str">
        <f aca="false">IF(IFERROR(INDEX(tsk_Name,(ROW()-ROW(MSPTasks[[#Headers],[ID]])))="",TRUE()),"",IF(INDEX(tsk_IsSummary,(ROW()-ROW(MSPTasks[[#Headers],[ID]]))),"",INDEX(tsk_UIDPredecessors,(ROW()-ROW(MSPTasks[[#Headers],[ID]])))))</f>
        <v>12</v>
      </c>
      <c r="K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4" s="24" t="n">
        <f aca="false">IF(IFERROR(INDEX(tsk_Name,(ROW()-ROW(MSPTasks[[#Headers],[ID]])))="",TRUE()),"",IF(INDEX(tsk_IsSummary,(ROW()-ROW(MSPTasks[[#Headers],[ID]]))),"",ROUND(INDEX(tsk_Progress,(ROW()-ROW(MSPTasks[[#Headers],[ID]])))*100,0)))</f>
        <v>50</v>
      </c>
      <c r="M14" s="130" t="n">
        <f aca="false">IF(IFERROR(INDEX(tsk_Name,(ROW()-ROW(MSPTasks[[#Headers],[ID]])))="",TRUE()),"",IF(N(INDEX(tsk_ActStart,(ROW()-ROW(MSPTasks[[#Headers],[ID]]))))=0,"",INDEX(tsk_ActStart,(ROW()-ROW(MSPTasks[[#Headers],[ID]])))))</f>
        <v>46310</v>
      </c>
      <c r="N14" s="130" t="str">
        <f aca="false">IF(IFERROR(INDEX(tsk_Name,(ROW()-ROW(MSPTasks[[#Headers],[ID]])))="",TRUE()),"",IF(N(INDEX(tsk_ActFinish,(ROW()-ROW(MSPTasks[[#Headers],[ID]]))))=0,"",INDEX(tsk_ActFinish,(ROW()-ROW(MSPTasks[[#Headers],[ID]])))))</f>
        <v/>
      </c>
      <c r="O14" s="130" t="n">
        <f aca="false">IF(IFERROR(INDEX(tsk_Name,(ROW()-ROW(MSPTasks[[#Headers],[ID]])))="",TRUE()),"",INDEX(tsk_PlanStart,(ROW()-ROW(MSPTasks[[#Headers],[ID]]))))</f>
        <v>46304</v>
      </c>
      <c r="P14" s="130" t="n">
        <f aca="false">IF(IFERROR(INDEX(tsk_Name,(ROW()-ROW(MSPTasks[[#Headers],[ID]])))="",TRUE()),"",INDEX(tsk_PlanFinish,(ROW()-ROW(MSPTasks[[#Headers],[ID]]))))</f>
        <v>46317</v>
      </c>
      <c r="Q14" s="24" t="str">
        <f aca="false">IF(IFERROR(INDEX(tsk_Name,(ROW()-ROW(MSPTasks[[#Headers],[ID]])))="",TRUE()),"",IF(INDEX(tsk_BaseDuration,(ROW()-ROW(MSPTasks[[#Headers],[ID]])))="","",N(INDEX(tsk_BaseDuration,(ROW()-ROW(MSPTasks[[#Headers],[ID]]))))&amp;"d"))</f>
        <v/>
      </c>
      <c r="R14" s="24" t="str">
        <f aca="false">IF(IFERROR(INDEX(tsk_Name,(ROW()-ROW(MSPTasks[[#Headers],[ID]])))="",TRUE()),"",IF(INDEX(tsk_BaseWork,(ROW()-ROW(MSPTasks[[#Headers],[ID]])))="","",N(INDEX(tsk_BaseWork,(ROW()-ROW(MSPTasks[[#Headers],[ID]]))))&amp;"h"))</f>
        <v/>
      </c>
      <c r="S14" s="24" t="str">
        <f aca="false">IF(IFERROR(INDEX(tsk_Name,(ROW()-ROW(MSPTasks[[#Headers],[ID]])))="",TRUE()),"",IF(INDEX(tsk_BaseCost,(ROW()-ROW(MSPTasks[[#Headers],[ID]])))="","",N(INDEX(tsk_BaseCost,(ROW()-ROW(MSPTasks[[#Headers],[ID]]))))))</f>
        <v/>
      </c>
      <c r="T14" s="99" t="n">
        <f aca="false">IF(IFERROR(INDEX(tsk_Name,(ROW()-ROW(MSPTasks[[#Headers],[ID]])))="",TRUE()),"",IF(INDEX(tsk_IsSummary,(ROW()-ROW(MSPTasks[[#Headers],[ID]]))),"",IF(N(INDEX(tsk_ActCostInput,(ROW()-ROW(MSPTasks[[#Headers],[ID]]))))=0,"",INDEX(tsk_ActCostInput,(ROW()-ROW(MSPTasks[[#Headers],[ID]]))))))</f>
        <v>4080</v>
      </c>
      <c r="U14"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4" s="130" t="str">
        <f aca="false">IF(IFERROR(INDEX(tsk_Name,(ROW()-ROW(MSPTasks[[#Headers],[ID]])))="",TRUE()),"",IF(OR(INDEX(tsk_IsSummary,(ROW()-ROW(MSPTasks[[#Headers],[ID]]))),INDEX(tsk_Mode,(ROW()-ROW(MSPTasks[[#Headers],[ID]])))="Manual"),"",IF(N(INDEX(tsk_Constraint,(ROW()-ROW(MSPTasks[[#Headers],[ID]]))))=0,"",INDEX(tsk_Constraint,(ROW()-ROW(MSPTasks[[#Headers],[ID]]))))))</f>
        <v/>
      </c>
      <c r="W14" s="130" t="str">
        <f aca="false">IF(IFERROR(INDEX(tsk_Name,(ROW()-ROW(MSPTasks[[#Headers],[ID]])))="",TRUE()),"",IF(N(INDEX(tsk_Deadline,(ROW()-ROW(MSPTasks[[#Headers],[ID]]))))=0,"",INDEX(tsk_Deadline,(ROW()-ROW(MSPTasks[[#Headers],[ID]])))))</f>
        <v/>
      </c>
      <c r="X14" s="24" t="str">
        <f aca="false">IF(IFERROR(INDEX(tsk_Name,(ROW()-ROW(MSPTasks[[#Headers],[ID]])))="",TRUE()),"",IF(INDEX(tsk_IsSummary,(ROW()-ROW(MSPTasks[[#Headers],[ID]]))),"",INDEX(tsk_Sprint,(ROW()-ROW(MSPTasks[[#Headers],[ID]])))&amp;""))</f>
        <v>Sprint 3</v>
      </c>
      <c r="Y14" s="74" t="n">
        <f aca="false">IF(IFERROR(INDEX(tsk_Name,(ROW()-ROW(MSPTasks[[#Headers],[ID]])))="",TRUE()),"",IF(INDEX(tsk_IsSummary,(ROW()-ROW(MSPTasks[[#Headers],[ID]]))),"",IF(N(INDEX(tsk_StoryPoints,(ROW()-ROW(MSPTasks[[#Headers],[ID]]))))=0,"",INDEX(tsk_StoryPoints,(ROW()-ROW(MSPTasks[[#Headers],[ID]]))))))</f>
        <v>8</v>
      </c>
      <c r="Z14" s="24" t="str">
        <f aca="false">IF(IFERROR(INDEX(tsk_Name,(ROW()-ROW(MSPTasks[[#Headers],[ID]])))="",TRUE()),"",INDEX(tsk_Notes,(ROW()-ROW(MSPTasks[[#Headers],[ID]])))&amp;"")</f>
        <v>In progress - enter % Complete; forecast finish adjusts.</v>
      </c>
    </row>
    <row r="15" customFormat="false" ht="15" hidden="false" customHeight="false" outlineLevel="0" collapsed="false">
      <c r="A15" s="24" t="n">
        <f aca="false">IF(IFERROR(INDEX(tsk_Name,(ROW()-ROW(MSPTasks[[#Headers],[ID]])))="",TRUE()),"",INDEX(tsk_ID,(ROW()-ROW(MSPTasks[[#Headers],[ID]]))))</f>
        <v>14</v>
      </c>
      <c r="B15" s="24" t="n">
        <f aca="false">IF(IFERROR(INDEX(tsk_Name,(ROW()-ROW(MSPTasks[[#Headers],[ID]])))="",TRUE()),"",INDEX(tsk_UID,(ROW()-ROW(MSPTasks[[#Headers],[ID]]))))</f>
        <v>14</v>
      </c>
      <c r="C15" s="24" t="str">
        <f aca="false">IF(IFERROR(INDEX(tsk_Name,(ROW()-ROW(MSPTasks[[#Headers],[ID]])))="",TRUE()),"",INDEX(tsk_Name,(ROW()-ROW(MSPTasks[[#Headers],[ID]]))))</f>
        <v>Payment gateway integration</v>
      </c>
      <c r="D15" s="24" t="n">
        <f aca="false">IF(IFERROR(INDEX(tsk_Name,(ROW()-ROW(MSPTasks[[#Headers],[ID]])))="",TRUE()),"",INDEX(tsk_Level,(ROW()-ROW(MSPTasks[[#Headers],[ID]]))))</f>
        <v>3</v>
      </c>
      <c r="E15" s="24" t="str">
        <f aca="false">IF(IFERROR(INDEX(tsk_Name,(ROW()-ROW(MSPTasks[[#Headers],[ID]])))="",TRUE()),"",IF(INDEX(tsk_Mode,(ROW()-ROW(MSPTasks[[#Headers],[ID]])))="Manual","Manually Scheduled","Auto Scheduled"))</f>
        <v>Auto Scheduled</v>
      </c>
      <c r="F15" s="24" t="str">
        <f aca="false">IF(IFERROR(INDEX(tsk_Name,(ROW()-ROW(MSPTasks[[#Headers],[ID]])))="",TRUE()),"",IF(INDEX(tsk_IsSummary,(ROW()-ROW(MSPTasks[[#Headers],[ID]]))),"",N(INDEX(tsk_Duration,(ROW()-ROW(MSPTasks[[#Headers],[ID]]))))&amp;"d"))</f>
        <v>6d</v>
      </c>
      <c r="G15" s="130" t="n">
        <f aca="false">IF(IFERROR(INDEX(tsk_Name,(ROW()-ROW(MSPTasks[[#Headers],[ID]])))="",TRUE()),"",INDEX(tsk_FcStart,(ROW()-ROW(MSPTasks[[#Headers],[ID]]))))</f>
        <v>46328</v>
      </c>
      <c r="H15" s="130" t="n">
        <f aca="false">IF(IFERROR(INDEX(tsk_Name,(ROW()-ROW(MSPTasks[[#Headers],[ID]])))="",TRUE()),"",INDEX(tsk_FcFinish,(ROW()-ROW(MSPTasks[[#Headers],[ID]]))))</f>
        <v>46335</v>
      </c>
      <c r="I15" s="24" t="str">
        <f aca="false">IF(IFERROR(INDEX(tsk_Name,(ROW()-ROW(MSPTasks[[#Headers],[ID]])))="",TRUE()),"",IF(INDEX(tsk_IsSummary,(ROW()-ROW(MSPTasks[[#Headers],[ID]]))),"",INDEX(tsk_Predecessors,(ROW()-ROW(MSPTasks[[#Headers],[ID]])))))</f>
        <v>13</v>
      </c>
      <c r="J15" s="24" t="str">
        <f aca="false">IF(IFERROR(INDEX(tsk_Name,(ROW()-ROW(MSPTasks[[#Headers],[ID]])))="",TRUE()),"",IF(INDEX(tsk_IsSummary,(ROW()-ROW(MSPTasks[[#Headers],[ID]]))),"",INDEX(tsk_UIDPredecessors,(ROW()-ROW(MSPTasks[[#Headers],[ID]])))))</f>
        <v>13</v>
      </c>
      <c r="K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v>
      </c>
      <c r="L15" s="24" t="n">
        <f aca="false">IF(IFERROR(INDEX(tsk_Name,(ROW()-ROW(MSPTasks[[#Headers],[ID]])))="",TRUE()),"",IF(INDEX(tsk_IsSummary,(ROW()-ROW(MSPTasks[[#Headers],[ID]]))),"",ROUND(INDEX(tsk_Progress,(ROW()-ROW(MSPTasks[[#Headers],[ID]])))*100,0)))</f>
        <v>0</v>
      </c>
      <c r="M15" s="130" t="str">
        <f aca="false">IF(IFERROR(INDEX(tsk_Name,(ROW()-ROW(MSPTasks[[#Headers],[ID]])))="",TRUE()),"",IF(N(INDEX(tsk_ActStart,(ROW()-ROW(MSPTasks[[#Headers],[ID]]))))=0,"",INDEX(tsk_ActStart,(ROW()-ROW(MSPTasks[[#Headers],[ID]])))))</f>
        <v/>
      </c>
      <c r="N15" s="130" t="str">
        <f aca="false">IF(IFERROR(INDEX(tsk_Name,(ROW()-ROW(MSPTasks[[#Headers],[ID]])))="",TRUE()),"",IF(N(INDEX(tsk_ActFinish,(ROW()-ROW(MSPTasks[[#Headers],[ID]]))))=0,"",INDEX(tsk_ActFinish,(ROW()-ROW(MSPTasks[[#Headers],[ID]])))))</f>
        <v/>
      </c>
      <c r="O15" s="130" t="n">
        <f aca="false">IF(IFERROR(INDEX(tsk_Name,(ROW()-ROW(MSPTasks[[#Headers],[ID]])))="",TRUE()),"",INDEX(tsk_PlanStart,(ROW()-ROW(MSPTasks[[#Headers],[ID]]))))</f>
        <v>46318</v>
      </c>
      <c r="P15" s="130" t="n">
        <f aca="false">IF(IFERROR(INDEX(tsk_Name,(ROW()-ROW(MSPTasks[[#Headers],[ID]])))="",TRUE()),"",INDEX(tsk_PlanFinish,(ROW()-ROW(MSPTasks[[#Headers],[ID]]))))</f>
        <v>46325</v>
      </c>
      <c r="Q15" s="24" t="str">
        <f aca="false">IF(IFERROR(INDEX(tsk_Name,(ROW()-ROW(MSPTasks[[#Headers],[ID]])))="",TRUE()),"",IF(INDEX(tsk_BaseDuration,(ROW()-ROW(MSPTasks[[#Headers],[ID]])))="","",N(INDEX(tsk_BaseDuration,(ROW()-ROW(MSPTasks[[#Headers],[ID]]))))&amp;"d"))</f>
        <v/>
      </c>
      <c r="R15" s="24" t="str">
        <f aca="false">IF(IFERROR(INDEX(tsk_Name,(ROW()-ROW(MSPTasks[[#Headers],[ID]])))="",TRUE()),"",IF(INDEX(tsk_BaseWork,(ROW()-ROW(MSPTasks[[#Headers],[ID]])))="","",N(INDEX(tsk_BaseWork,(ROW()-ROW(MSPTasks[[#Headers],[ID]]))))&amp;"h"))</f>
        <v/>
      </c>
      <c r="S15" s="24" t="str">
        <f aca="false">IF(IFERROR(INDEX(tsk_Name,(ROW()-ROW(MSPTasks[[#Headers],[ID]])))="",TRUE()),"",IF(INDEX(tsk_BaseCost,(ROW()-ROW(MSPTasks[[#Headers],[ID]])))="","",N(INDEX(tsk_BaseCost,(ROW()-ROW(MSPTasks[[#Headers],[ID]]))))))</f>
        <v/>
      </c>
      <c r="T15" s="24" t="str">
        <f aca="false">IF(IFERROR(INDEX(tsk_Name,(ROW()-ROW(MSPTasks[[#Headers],[ID]])))="",TRUE()),"",IF(INDEX(tsk_IsSummary,(ROW()-ROW(MSPTasks[[#Headers],[ID]]))),"",IF(N(INDEX(tsk_ActCostInput,(ROW()-ROW(MSPTasks[[#Headers],[ID]]))))=0,"",INDEX(tsk_ActCostInput,(ROW()-ROW(MSPTasks[[#Headers],[ID]]))))))</f>
        <v/>
      </c>
      <c r="U15"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5" s="130" t="str">
        <f aca="false">IF(IFERROR(INDEX(tsk_Name,(ROW()-ROW(MSPTasks[[#Headers],[ID]])))="",TRUE()),"",IF(OR(INDEX(tsk_IsSummary,(ROW()-ROW(MSPTasks[[#Headers],[ID]]))),INDEX(tsk_Mode,(ROW()-ROW(MSPTasks[[#Headers],[ID]])))="Manual"),"",IF(N(INDEX(tsk_Constraint,(ROW()-ROW(MSPTasks[[#Headers],[ID]]))))=0,"",INDEX(tsk_Constraint,(ROW()-ROW(MSPTasks[[#Headers],[ID]]))))))</f>
        <v/>
      </c>
      <c r="W15" s="130" t="str">
        <f aca="false">IF(IFERROR(INDEX(tsk_Name,(ROW()-ROW(MSPTasks[[#Headers],[ID]])))="",TRUE()),"",IF(N(INDEX(tsk_Deadline,(ROW()-ROW(MSPTasks[[#Headers],[ID]]))))=0,"",INDEX(tsk_Deadline,(ROW()-ROW(MSPTasks[[#Headers],[ID]])))))</f>
        <v/>
      </c>
      <c r="X15" s="24" t="str">
        <f aca="false">IF(IFERROR(INDEX(tsk_Name,(ROW()-ROW(MSPTasks[[#Headers],[ID]])))="",TRUE()),"",IF(INDEX(tsk_IsSummary,(ROW()-ROW(MSPTasks[[#Headers],[ID]]))),"",INDEX(tsk_Sprint,(ROW()-ROW(MSPTasks[[#Headers],[ID]])))&amp;""))</f>
        <v>Sprint 5</v>
      </c>
      <c r="Y15" s="74" t="n">
        <f aca="false">IF(IFERROR(INDEX(tsk_Name,(ROW()-ROW(MSPTasks[[#Headers],[ID]])))="",TRUE()),"",IF(INDEX(tsk_IsSummary,(ROW()-ROW(MSPTasks[[#Headers],[ID]]))),"",IF(N(INDEX(tsk_StoryPoints,(ROW()-ROW(MSPTasks[[#Headers],[ID]]))))=0,"",INDEX(tsk_StoryPoints,(ROW()-ROW(MSPTasks[[#Headers],[ID]]))))))</f>
        <v>5</v>
      </c>
      <c r="Z15" s="24" t="str">
        <f aca="false">IF(IFERROR(INDEX(tsk_Name,(ROW()-ROW(MSPTasks[[#Headers],[ID]])))="",TRUE()),"",INDEX(tsk_Notes,(ROW()-ROW(MSPTasks[[#Headers],[ID]])))&amp;"")</f>
        <v/>
      </c>
    </row>
    <row r="16" customFormat="false" ht="15" hidden="false" customHeight="false" outlineLevel="0" collapsed="false">
      <c r="A16" s="24" t="n">
        <f aca="false">IF(IFERROR(INDEX(tsk_Name,(ROW()-ROW(MSPTasks[[#Headers],[ID]])))="",TRUE()),"",INDEX(tsk_ID,(ROW()-ROW(MSPTasks[[#Headers],[ID]]))))</f>
        <v>15</v>
      </c>
      <c r="B16" s="24" t="n">
        <f aca="false">IF(IFERROR(INDEX(tsk_Name,(ROW()-ROW(MSPTasks[[#Headers],[ID]])))="",TRUE()),"",INDEX(tsk_UID,(ROW()-ROW(MSPTasks[[#Headers],[ID]]))))</f>
        <v>15</v>
      </c>
      <c r="C16" s="24" t="str">
        <f aca="false">IF(IFERROR(INDEX(tsk_Name,(ROW()-ROW(MSPTasks[[#Headers],[ID]])))="",TRUE()),"",INDEX(tsk_Name,(ROW()-ROW(MSPTasks[[#Headers],[ID]]))))</f>
        <v>Frontend</v>
      </c>
      <c r="D16" s="24" t="n">
        <f aca="false">IF(IFERROR(INDEX(tsk_Name,(ROW()-ROW(MSPTasks[[#Headers],[ID]])))="",TRUE()),"",INDEX(tsk_Level,(ROW()-ROW(MSPTasks[[#Headers],[ID]]))))</f>
        <v>2</v>
      </c>
      <c r="E16" s="24" t="str">
        <f aca="false">IF(IFERROR(INDEX(tsk_Name,(ROW()-ROW(MSPTasks[[#Headers],[ID]])))="",TRUE()),"",IF(INDEX(tsk_Mode,(ROW()-ROW(MSPTasks[[#Headers],[ID]])))="Manual","Manually Scheduled","Auto Scheduled"))</f>
        <v>Auto Scheduled</v>
      </c>
      <c r="F16" s="24" t="str">
        <f aca="false">IF(IFERROR(INDEX(tsk_Name,(ROW()-ROW(MSPTasks[[#Headers],[ID]])))="",TRUE()),"",IF(INDEX(tsk_IsSummary,(ROW()-ROW(MSPTasks[[#Headers],[ID]]))),"",N(INDEX(tsk_Duration,(ROW()-ROW(MSPTasks[[#Headers],[ID]]))))&amp;"d"))</f>
        <v/>
      </c>
      <c r="G16" s="130" t="n">
        <f aca="false">IF(IFERROR(INDEX(tsk_Name,(ROW()-ROW(MSPTasks[[#Headers],[ID]])))="",TRUE()),"",INDEX(tsk_FcStart,(ROW()-ROW(MSPTasks[[#Headers],[ID]]))))</f>
        <v>46302</v>
      </c>
      <c r="H16" s="130" t="n">
        <f aca="false">IF(IFERROR(INDEX(tsk_Name,(ROW()-ROW(MSPTasks[[#Headers],[ID]])))="",TRUE()),"",INDEX(tsk_FcFinish,(ROW()-ROW(MSPTasks[[#Headers],[ID]]))))</f>
        <v>46332</v>
      </c>
      <c r="I16" s="24" t="str">
        <f aca="false">IF(IFERROR(INDEX(tsk_Name,(ROW()-ROW(MSPTasks[[#Headers],[ID]])))="",TRUE()),"",IF(INDEX(tsk_IsSummary,(ROW()-ROW(MSPTasks[[#Headers],[ID]]))),"",INDEX(tsk_Predecessors,(ROW()-ROW(MSPTasks[[#Headers],[ID]])))))</f>
        <v/>
      </c>
      <c r="J16" s="24" t="str">
        <f aca="false">IF(IFERROR(INDEX(tsk_Name,(ROW()-ROW(MSPTasks[[#Headers],[ID]])))="",TRUE()),"",IF(INDEX(tsk_IsSummary,(ROW()-ROW(MSPTasks[[#Headers],[ID]]))),"",INDEX(tsk_UIDPredecessors,(ROW()-ROW(MSPTasks[[#Headers],[ID]])))))</f>
        <v/>
      </c>
      <c r="K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 s="24" t="str">
        <f aca="false">IF(IFERROR(INDEX(tsk_Name,(ROW()-ROW(MSPTasks[[#Headers],[ID]])))="",TRUE()),"",IF(INDEX(tsk_IsSummary,(ROW()-ROW(MSPTasks[[#Headers],[ID]]))),"",ROUND(INDEX(tsk_Progress,(ROW()-ROW(MSPTasks[[#Headers],[ID]])))*100,0)))</f>
        <v/>
      </c>
      <c r="M16" s="130" t="str">
        <f aca="false">IF(IFERROR(INDEX(tsk_Name,(ROW()-ROW(MSPTasks[[#Headers],[ID]])))="",TRUE()),"",IF(N(INDEX(tsk_ActStart,(ROW()-ROW(MSPTasks[[#Headers],[ID]]))))=0,"",INDEX(tsk_ActStart,(ROW()-ROW(MSPTasks[[#Headers],[ID]])))))</f>
        <v/>
      </c>
      <c r="N16" s="130" t="str">
        <f aca="false">IF(IFERROR(INDEX(tsk_Name,(ROW()-ROW(MSPTasks[[#Headers],[ID]])))="",TRUE()),"",IF(N(INDEX(tsk_ActFinish,(ROW()-ROW(MSPTasks[[#Headers],[ID]]))))=0,"",INDEX(tsk_ActFinish,(ROW()-ROW(MSPTasks[[#Headers],[ID]])))))</f>
        <v/>
      </c>
      <c r="O16" s="130" t="n">
        <f aca="false">IF(IFERROR(INDEX(tsk_Name,(ROW()-ROW(MSPTasks[[#Headers],[ID]])))="",TRUE()),"",INDEX(tsk_PlanStart,(ROW()-ROW(MSPTasks[[#Headers],[ID]]))))</f>
        <v>46297</v>
      </c>
      <c r="P16" s="130" t="n">
        <f aca="false">IF(IFERROR(INDEX(tsk_Name,(ROW()-ROW(MSPTasks[[#Headers],[ID]])))="",TRUE()),"",INDEX(tsk_PlanFinish,(ROW()-ROW(MSPTasks[[#Headers],[ID]]))))</f>
        <v>46324</v>
      </c>
      <c r="Q16" s="24" t="str">
        <f aca="false">IF(IFERROR(INDEX(tsk_Name,(ROW()-ROW(MSPTasks[[#Headers],[ID]])))="",TRUE()),"",IF(INDEX(tsk_BaseDuration,(ROW()-ROW(MSPTasks[[#Headers],[ID]])))="","",N(INDEX(tsk_BaseDuration,(ROW()-ROW(MSPTasks[[#Headers],[ID]]))))&amp;"d"))</f>
        <v/>
      </c>
      <c r="R16" s="24" t="str">
        <f aca="false">IF(IFERROR(INDEX(tsk_Name,(ROW()-ROW(MSPTasks[[#Headers],[ID]])))="",TRUE()),"",IF(INDEX(tsk_BaseWork,(ROW()-ROW(MSPTasks[[#Headers],[ID]])))="","",N(INDEX(tsk_BaseWork,(ROW()-ROW(MSPTasks[[#Headers],[ID]]))))&amp;"h"))</f>
        <v/>
      </c>
      <c r="S16" s="24" t="str">
        <f aca="false">IF(IFERROR(INDEX(tsk_Name,(ROW()-ROW(MSPTasks[[#Headers],[ID]])))="",TRUE()),"",IF(INDEX(tsk_BaseCost,(ROW()-ROW(MSPTasks[[#Headers],[ID]])))="","",N(INDEX(tsk_BaseCost,(ROW()-ROW(MSPTasks[[#Headers],[ID]]))))))</f>
        <v/>
      </c>
      <c r="T16" s="24" t="str">
        <f aca="false">IF(IFERROR(INDEX(tsk_Name,(ROW()-ROW(MSPTasks[[#Headers],[ID]])))="",TRUE()),"",IF(INDEX(tsk_IsSummary,(ROW()-ROW(MSPTasks[[#Headers],[ID]]))),"",IF(N(INDEX(tsk_ActCostInput,(ROW()-ROW(MSPTasks[[#Headers],[ID]]))))=0,"",INDEX(tsk_ActCostInput,(ROW()-ROW(MSPTasks[[#Headers],[ID]]))))))</f>
        <v/>
      </c>
      <c r="U16" s="24" t="str">
        <f aca="false">IF(IFERROR(INDEX(tsk_Name,(ROW()-ROW(MSPTasks[[#Headers],[ID]])))="",TRUE()),"",IF(INDEX(tsk_IsSummary,(ROW()-ROW(MSPTasks[[#Headers],[ID]]))),"",IF(AND(INDEX(tsk_Mode,(ROW()-ROW(MSPTasks[[#Headers],[ID]])))&lt;&gt;"Manual",N(INDEX(tsk_Constraint,(ROW()-ROW(MSPTasks[[#Headers],[ID]]))))&gt;0),"Start No Earlier Than","As Soon As Possible")))</f>
        <v/>
      </c>
      <c r="V16" s="130" t="str">
        <f aca="false">IF(IFERROR(INDEX(tsk_Name,(ROW()-ROW(MSPTasks[[#Headers],[ID]])))="",TRUE()),"",IF(OR(INDEX(tsk_IsSummary,(ROW()-ROW(MSPTasks[[#Headers],[ID]]))),INDEX(tsk_Mode,(ROW()-ROW(MSPTasks[[#Headers],[ID]])))="Manual"),"",IF(N(INDEX(tsk_Constraint,(ROW()-ROW(MSPTasks[[#Headers],[ID]]))))=0,"",INDEX(tsk_Constraint,(ROW()-ROW(MSPTasks[[#Headers],[ID]]))))))</f>
        <v/>
      </c>
      <c r="W16" s="130" t="str">
        <f aca="false">IF(IFERROR(INDEX(tsk_Name,(ROW()-ROW(MSPTasks[[#Headers],[ID]])))="",TRUE()),"",IF(N(INDEX(tsk_Deadline,(ROW()-ROW(MSPTasks[[#Headers],[ID]]))))=0,"",INDEX(tsk_Deadline,(ROW()-ROW(MSPTasks[[#Headers],[ID]])))))</f>
        <v/>
      </c>
      <c r="X16" s="24" t="str">
        <f aca="false">IF(IFERROR(INDEX(tsk_Name,(ROW()-ROW(MSPTasks[[#Headers],[ID]])))="",TRUE()),"",IF(INDEX(tsk_IsSummary,(ROW()-ROW(MSPTasks[[#Headers],[ID]]))),"",INDEX(tsk_Sprint,(ROW()-ROW(MSPTasks[[#Headers],[ID]])))&amp;""))</f>
        <v/>
      </c>
      <c r="Y16" s="24" t="str">
        <f aca="false">IF(IFERROR(INDEX(tsk_Name,(ROW()-ROW(MSPTasks[[#Headers],[ID]])))="",TRUE()),"",IF(INDEX(tsk_IsSummary,(ROW()-ROW(MSPTasks[[#Headers],[ID]]))),"",IF(N(INDEX(tsk_StoryPoints,(ROW()-ROW(MSPTasks[[#Headers],[ID]]))))=0,"",INDEX(tsk_StoryPoints,(ROW()-ROW(MSPTasks[[#Headers],[ID]]))))))</f>
        <v/>
      </c>
      <c r="Z16" s="24" t="str">
        <f aca="false">IF(IFERROR(INDEX(tsk_Name,(ROW()-ROW(MSPTasks[[#Headers],[ID]])))="",TRUE()),"",INDEX(tsk_Notes,(ROW()-ROW(MSPTasks[[#Headers],[ID]])))&amp;"")</f>
        <v/>
      </c>
    </row>
    <row r="17" customFormat="false" ht="15" hidden="false" customHeight="false" outlineLevel="0" collapsed="false">
      <c r="A17" s="24" t="n">
        <f aca="false">IF(IFERROR(INDEX(tsk_Name,(ROW()-ROW(MSPTasks[[#Headers],[ID]])))="",TRUE()),"",INDEX(tsk_ID,(ROW()-ROW(MSPTasks[[#Headers],[ID]]))))</f>
        <v>16</v>
      </c>
      <c r="B17" s="24" t="n">
        <f aca="false">IF(IFERROR(INDEX(tsk_Name,(ROW()-ROW(MSPTasks[[#Headers],[ID]])))="",TRUE()),"",INDEX(tsk_UID,(ROW()-ROW(MSPTasks[[#Headers],[ID]]))))</f>
        <v>16</v>
      </c>
      <c r="C17" s="24" t="str">
        <f aca="false">IF(IFERROR(INDEX(tsk_Name,(ROW()-ROW(MSPTasks[[#Headers],[ID]])))="",TRUE()),"",INDEX(tsk_Name,(ROW()-ROW(MSPTasks[[#Headers],[ID]]))))</f>
        <v>UI component library</v>
      </c>
      <c r="D17" s="24" t="n">
        <f aca="false">IF(IFERROR(INDEX(tsk_Name,(ROW()-ROW(MSPTasks[[#Headers],[ID]])))="",TRUE()),"",INDEX(tsk_Level,(ROW()-ROW(MSPTasks[[#Headers],[ID]]))))</f>
        <v>3</v>
      </c>
      <c r="E17" s="24" t="str">
        <f aca="false">IF(IFERROR(INDEX(tsk_Name,(ROW()-ROW(MSPTasks[[#Headers],[ID]])))="",TRUE()),"",IF(INDEX(tsk_Mode,(ROW()-ROW(MSPTasks[[#Headers],[ID]])))="Manual","Manually Scheduled","Auto Scheduled"))</f>
        <v>Auto Scheduled</v>
      </c>
      <c r="F17" s="24" t="str">
        <f aca="false">IF(IFERROR(INDEX(tsk_Name,(ROW()-ROW(MSPTasks[[#Headers],[ID]])))="",TRUE()),"",IF(INDEX(tsk_IsSummary,(ROW()-ROW(MSPTasks[[#Headers],[ID]]))),"",N(INDEX(tsk_Duration,(ROW()-ROW(MSPTasks[[#Headers],[ID]]))))&amp;"d"))</f>
        <v>6d</v>
      </c>
      <c r="G17" s="130" t="n">
        <f aca="false">IF(IFERROR(INDEX(tsk_Name,(ROW()-ROW(MSPTasks[[#Headers],[ID]])))="",TRUE()),"",INDEX(tsk_FcStart,(ROW()-ROW(MSPTasks[[#Headers],[ID]]))))</f>
        <v>46302</v>
      </c>
      <c r="H17" s="130" t="n">
        <f aca="false">IF(IFERROR(INDEX(tsk_Name,(ROW()-ROW(MSPTasks[[#Headers],[ID]])))="",TRUE()),"",INDEX(tsk_FcFinish,(ROW()-ROW(MSPTasks[[#Headers],[ID]]))))</f>
        <v>46311</v>
      </c>
      <c r="I17" s="24" t="str">
        <f aca="false">IF(IFERROR(INDEX(tsk_Name,(ROW()-ROW(MSPTasks[[#Headers],[ID]])))="",TRUE()),"",IF(INDEX(tsk_IsSummary,(ROW()-ROW(MSPTasks[[#Headers],[ID]]))),"",INDEX(tsk_Predecessors,(ROW()-ROW(MSPTasks[[#Headers],[ID]])))))</f>
        <v>9</v>
      </c>
      <c r="J17" s="24" t="str">
        <f aca="false">IF(IFERROR(INDEX(tsk_Name,(ROW()-ROW(MSPTasks[[#Headers],[ID]])))="",TRUE()),"",IF(INDEX(tsk_IsSummary,(ROW()-ROW(MSPTasks[[#Headers],[ID]]))),"",INDEX(tsk_UIDPredecessors,(ROW()-ROW(MSPTasks[[#Headers],[ID]])))))</f>
        <v>9</v>
      </c>
      <c r="K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Sam Rivera</v>
      </c>
      <c r="L17" s="24" t="n">
        <f aca="false">IF(IFERROR(INDEX(tsk_Name,(ROW()-ROW(MSPTasks[[#Headers],[ID]])))="",TRUE()),"",IF(INDEX(tsk_IsSummary,(ROW()-ROW(MSPTasks[[#Headers],[ID]]))),"",ROUND(INDEX(tsk_Progress,(ROW()-ROW(MSPTasks[[#Headers],[ID]])))*100,0)))</f>
        <v>100</v>
      </c>
      <c r="M17" s="130" t="n">
        <f aca="false">IF(IFERROR(INDEX(tsk_Name,(ROW()-ROW(MSPTasks[[#Headers],[ID]])))="",TRUE()),"",IF(N(INDEX(tsk_ActStart,(ROW()-ROW(MSPTasks[[#Headers],[ID]]))))=0,"",INDEX(tsk_ActStart,(ROW()-ROW(MSPTasks[[#Headers],[ID]])))))</f>
        <v>46302</v>
      </c>
      <c r="N17" s="130" t="n">
        <f aca="false">IF(IFERROR(INDEX(tsk_Name,(ROW()-ROW(MSPTasks[[#Headers],[ID]])))="",TRUE()),"",IF(N(INDEX(tsk_ActFinish,(ROW()-ROW(MSPTasks[[#Headers],[ID]]))))=0,"",INDEX(tsk_ActFinish,(ROW()-ROW(MSPTasks[[#Headers],[ID]])))))</f>
        <v>46311</v>
      </c>
      <c r="O17" s="130" t="n">
        <f aca="false">IF(IFERROR(INDEX(tsk_Name,(ROW()-ROW(MSPTasks[[#Headers],[ID]])))="",TRUE()),"",INDEX(tsk_PlanStart,(ROW()-ROW(MSPTasks[[#Headers],[ID]]))))</f>
        <v>46297</v>
      </c>
      <c r="P17" s="130" t="n">
        <f aca="false">IF(IFERROR(INDEX(tsk_Name,(ROW()-ROW(MSPTasks[[#Headers],[ID]])))="",TRUE()),"",INDEX(tsk_PlanFinish,(ROW()-ROW(MSPTasks[[#Headers],[ID]]))))</f>
        <v>46304</v>
      </c>
      <c r="Q17" s="24" t="str">
        <f aca="false">IF(IFERROR(INDEX(tsk_Name,(ROW()-ROW(MSPTasks[[#Headers],[ID]])))="",TRUE()),"",IF(INDEX(tsk_BaseDuration,(ROW()-ROW(MSPTasks[[#Headers],[ID]])))="","",N(INDEX(tsk_BaseDuration,(ROW()-ROW(MSPTasks[[#Headers],[ID]]))))&amp;"d"))</f>
        <v/>
      </c>
      <c r="R17" s="24" t="str">
        <f aca="false">IF(IFERROR(INDEX(tsk_Name,(ROW()-ROW(MSPTasks[[#Headers],[ID]])))="",TRUE()),"",IF(INDEX(tsk_BaseWork,(ROW()-ROW(MSPTasks[[#Headers],[ID]])))="","",N(INDEX(tsk_BaseWork,(ROW()-ROW(MSPTasks[[#Headers],[ID]]))))&amp;"h"))</f>
        <v/>
      </c>
      <c r="S17" s="24" t="str">
        <f aca="false">IF(IFERROR(INDEX(tsk_Name,(ROW()-ROW(MSPTasks[[#Headers],[ID]])))="",TRUE()),"",IF(INDEX(tsk_BaseCost,(ROW()-ROW(MSPTasks[[#Headers],[ID]])))="","",N(INDEX(tsk_BaseCost,(ROW()-ROW(MSPTasks[[#Headers],[ID]]))))))</f>
        <v/>
      </c>
      <c r="T17" s="24" t="str">
        <f aca="false">IF(IFERROR(INDEX(tsk_Name,(ROW()-ROW(MSPTasks[[#Headers],[ID]])))="",TRUE()),"",IF(INDEX(tsk_IsSummary,(ROW()-ROW(MSPTasks[[#Headers],[ID]]))),"",IF(N(INDEX(tsk_ActCostInput,(ROW()-ROW(MSPTasks[[#Headers],[ID]]))))=0,"",INDEX(tsk_ActCostInput,(ROW()-ROW(MSPTasks[[#Headers],[ID]]))))))</f>
        <v/>
      </c>
      <c r="U17"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7" s="130" t="str">
        <f aca="false">IF(IFERROR(INDEX(tsk_Name,(ROW()-ROW(MSPTasks[[#Headers],[ID]])))="",TRUE()),"",IF(OR(INDEX(tsk_IsSummary,(ROW()-ROW(MSPTasks[[#Headers],[ID]]))),INDEX(tsk_Mode,(ROW()-ROW(MSPTasks[[#Headers],[ID]])))="Manual"),"",IF(N(INDEX(tsk_Constraint,(ROW()-ROW(MSPTasks[[#Headers],[ID]]))))=0,"",INDEX(tsk_Constraint,(ROW()-ROW(MSPTasks[[#Headers],[ID]]))))))</f>
        <v/>
      </c>
      <c r="W17" s="130" t="str">
        <f aca="false">IF(IFERROR(INDEX(tsk_Name,(ROW()-ROW(MSPTasks[[#Headers],[ID]])))="",TRUE()),"",IF(N(INDEX(tsk_Deadline,(ROW()-ROW(MSPTasks[[#Headers],[ID]]))))=0,"",INDEX(tsk_Deadline,(ROW()-ROW(MSPTasks[[#Headers],[ID]])))))</f>
        <v/>
      </c>
      <c r="X17" s="24" t="str">
        <f aca="false">IF(IFERROR(INDEX(tsk_Name,(ROW()-ROW(MSPTasks[[#Headers],[ID]])))="",TRUE()),"",IF(INDEX(tsk_IsSummary,(ROW()-ROW(MSPTasks[[#Headers],[ID]]))),"",INDEX(tsk_Sprint,(ROW()-ROW(MSPTasks[[#Headers],[ID]])))&amp;""))</f>
        <v>Sprint 3</v>
      </c>
      <c r="Y17" s="74" t="n">
        <f aca="false">IF(IFERROR(INDEX(tsk_Name,(ROW()-ROW(MSPTasks[[#Headers],[ID]])))="",TRUE()),"",IF(INDEX(tsk_IsSummary,(ROW()-ROW(MSPTasks[[#Headers],[ID]]))),"",IF(N(INDEX(tsk_StoryPoints,(ROW()-ROW(MSPTasks[[#Headers],[ID]]))))=0,"",INDEX(tsk_StoryPoints,(ROW()-ROW(MSPTasks[[#Headers],[ID]]))))))</f>
        <v>5</v>
      </c>
      <c r="Z17" s="24" t="str">
        <f aca="false">IF(IFERROR(INDEX(tsk_Name,(ROW()-ROW(MSPTasks[[#Headers],[ID]])))="",TRUE()),"",INDEX(tsk_Notes,(ROW()-ROW(MSPTasks[[#Headers],[ID]])))&amp;"")</f>
        <v/>
      </c>
    </row>
    <row r="18" customFormat="false" ht="15" hidden="false" customHeight="false" outlineLevel="0" collapsed="false">
      <c r="A18" s="24" t="n">
        <f aca="false">IF(IFERROR(INDEX(tsk_Name,(ROW()-ROW(MSPTasks[[#Headers],[ID]])))="",TRUE()),"",INDEX(tsk_ID,(ROW()-ROW(MSPTasks[[#Headers],[ID]]))))</f>
        <v>17</v>
      </c>
      <c r="B18" s="24" t="n">
        <f aca="false">IF(IFERROR(INDEX(tsk_Name,(ROW()-ROW(MSPTasks[[#Headers],[ID]])))="",TRUE()),"",INDEX(tsk_UID,(ROW()-ROW(MSPTasks[[#Headers],[ID]]))))</f>
        <v>17</v>
      </c>
      <c r="C18" s="24" t="str">
        <f aca="false">IF(IFERROR(INDEX(tsk_Name,(ROW()-ROW(MSPTasks[[#Headers],[ID]])))="",TRUE()),"",INDEX(tsk_Name,(ROW()-ROW(MSPTasks[[#Headers],[ID]]))))</f>
        <v>Feature screens</v>
      </c>
      <c r="D18" s="24" t="n">
        <f aca="false">IF(IFERROR(INDEX(tsk_Name,(ROW()-ROW(MSPTasks[[#Headers],[ID]])))="",TRUE()),"",INDEX(tsk_Level,(ROW()-ROW(MSPTasks[[#Headers],[ID]]))))</f>
        <v>3</v>
      </c>
      <c r="E18" s="24" t="str">
        <f aca="false">IF(IFERROR(INDEX(tsk_Name,(ROW()-ROW(MSPTasks[[#Headers],[ID]])))="",TRUE()),"",IF(INDEX(tsk_Mode,(ROW()-ROW(MSPTasks[[#Headers],[ID]])))="Manual","Manually Scheduled","Auto Scheduled"))</f>
        <v>Auto Scheduled</v>
      </c>
      <c r="F18" s="24" t="str">
        <f aca="false">IF(IFERROR(INDEX(tsk_Name,(ROW()-ROW(MSPTasks[[#Headers],[ID]])))="",TRUE()),"",IF(INDEX(tsk_IsSummary,(ROW()-ROW(MSPTasks[[#Headers],[ID]]))),"",N(INDEX(tsk_Duration,(ROW()-ROW(MSPTasks[[#Headers],[ID]]))))&amp;"d"))</f>
        <v>12d</v>
      </c>
      <c r="G18" s="130" t="n">
        <f aca="false">IF(IFERROR(INDEX(tsk_Name,(ROW()-ROW(MSPTasks[[#Headers],[ID]])))="",TRUE()),"",INDEX(tsk_FcStart,(ROW()-ROW(MSPTasks[[#Headers],[ID]]))))</f>
        <v>46314</v>
      </c>
      <c r="H18" s="130" t="n">
        <f aca="false">IF(IFERROR(INDEX(tsk_Name,(ROW()-ROW(MSPTasks[[#Headers],[ID]])))="",TRUE()),"",INDEX(tsk_FcFinish,(ROW()-ROW(MSPTasks[[#Headers],[ID]]))))</f>
        <v>46331</v>
      </c>
      <c r="I18" s="24" t="str">
        <f aca="false">IF(IFERROR(INDEX(tsk_Name,(ROW()-ROW(MSPTasks[[#Headers],[ID]])))="",TRUE()),"",IF(INDEX(tsk_IsSummary,(ROW()-ROW(MSPTasks[[#Headers],[ID]]))),"",INDEX(tsk_Predecessors,(ROW()-ROW(MSPTasks[[#Headers],[ID]])))))</f>
        <v>16,13SS+2d</v>
      </c>
      <c r="J18" s="24" t="str">
        <f aca="false">IF(IFERROR(INDEX(tsk_Name,(ROW()-ROW(MSPTasks[[#Headers],[ID]])))="",TRUE()),"",IF(INDEX(tsk_IsSummary,(ROW()-ROW(MSPTasks[[#Headers],[ID]]))),"",INDEX(tsk_UIDPredecessors,(ROW()-ROW(MSPTasks[[#Headers],[ID]])))))</f>
        <v>16,13SS+2d</v>
      </c>
      <c r="K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Sam Rivera</v>
      </c>
      <c r="L18" s="24" t="n">
        <f aca="false">IF(IFERROR(INDEX(tsk_Name,(ROW()-ROW(MSPTasks[[#Headers],[ID]])))="",TRUE()),"",IF(INDEX(tsk_IsSummary,(ROW()-ROW(MSPTasks[[#Headers],[ID]]))),"",ROUND(INDEX(tsk_Progress,(ROW()-ROW(MSPTasks[[#Headers],[ID]])))*100,0)))</f>
        <v>25</v>
      </c>
      <c r="M18" s="130" t="n">
        <f aca="false">IF(IFERROR(INDEX(tsk_Name,(ROW()-ROW(MSPTasks[[#Headers],[ID]])))="",TRUE()),"",IF(N(INDEX(tsk_ActStart,(ROW()-ROW(MSPTasks[[#Headers],[ID]]))))=0,"",INDEX(tsk_ActStart,(ROW()-ROW(MSPTasks[[#Headers],[ID]])))))</f>
        <v>46314</v>
      </c>
      <c r="N18" s="130" t="str">
        <f aca="false">IF(IFERROR(INDEX(tsk_Name,(ROW()-ROW(MSPTasks[[#Headers],[ID]])))="",TRUE()),"",IF(N(INDEX(tsk_ActFinish,(ROW()-ROW(MSPTasks[[#Headers],[ID]]))))=0,"",INDEX(tsk_ActFinish,(ROW()-ROW(MSPTasks[[#Headers],[ID]])))))</f>
        <v/>
      </c>
      <c r="O18" s="130" t="n">
        <f aca="false">IF(IFERROR(INDEX(tsk_Name,(ROW()-ROW(MSPTasks[[#Headers],[ID]])))="",TRUE()),"",INDEX(tsk_PlanStart,(ROW()-ROW(MSPTasks[[#Headers],[ID]]))))</f>
        <v>46308</v>
      </c>
      <c r="P18" s="130" t="n">
        <f aca="false">IF(IFERROR(INDEX(tsk_Name,(ROW()-ROW(MSPTasks[[#Headers],[ID]])))="",TRUE()),"",INDEX(tsk_PlanFinish,(ROW()-ROW(MSPTasks[[#Headers],[ID]]))))</f>
        <v>46323</v>
      </c>
      <c r="Q18" s="24" t="str">
        <f aca="false">IF(IFERROR(INDEX(tsk_Name,(ROW()-ROW(MSPTasks[[#Headers],[ID]])))="",TRUE()),"",IF(INDEX(tsk_BaseDuration,(ROW()-ROW(MSPTasks[[#Headers],[ID]])))="","",N(INDEX(tsk_BaseDuration,(ROW()-ROW(MSPTasks[[#Headers],[ID]]))))&amp;"d"))</f>
        <v/>
      </c>
      <c r="R18" s="24" t="str">
        <f aca="false">IF(IFERROR(INDEX(tsk_Name,(ROW()-ROW(MSPTasks[[#Headers],[ID]])))="",TRUE()),"",IF(INDEX(tsk_BaseWork,(ROW()-ROW(MSPTasks[[#Headers],[ID]])))="","",N(INDEX(tsk_BaseWork,(ROW()-ROW(MSPTasks[[#Headers],[ID]]))))&amp;"h"))</f>
        <v/>
      </c>
      <c r="S18" s="24" t="str">
        <f aca="false">IF(IFERROR(INDEX(tsk_Name,(ROW()-ROW(MSPTasks[[#Headers],[ID]])))="",TRUE()),"",IF(INDEX(tsk_BaseCost,(ROW()-ROW(MSPTasks[[#Headers],[ID]])))="","",N(INDEX(tsk_BaseCost,(ROW()-ROW(MSPTasks[[#Headers],[ID]]))))))</f>
        <v/>
      </c>
      <c r="T18" s="24" t="str">
        <f aca="false">IF(IFERROR(INDEX(tsk_Name,(ROW()-ROW(MSPTasks[[#Headers],[ID]])))="",TRUE()),"",IF(INDEX(tsk_IsSummary,(ROW()-ROW(MSPTasks[[#Headers],[ID]]))),"",IF(N(INDEX(tsk_ActCostInput,(ROW()-ROW(MSPTasks[[#Headers],[ID]]))))=0,"",INDEX(tsk_ActCostInput,(ROW()-ROW(MSPTasks[[#Headers],[ID]]))))))</f>
        <v/>
      </c>
      <c r="U18"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8" s="130" t="str">
        <f aca="false">IF(IFERROR(INDEX(tsk_Name,(ROW()-ROW(MSPTasks[[#Headers],[ID]])))="",TRUE()),"",IF(OR(INDEX(tsk_IsSummary,(ROW()-ROW(MSPTasks[[#Headers],[ID]]))),INDEX(tsk_Mode,(ROW()-ROW(MSPTasks[[#Headers],[ID]])))="Manual"),"",IF(N(INDEX(tsk_Constraint,(ROW()-ROW(MSPTasks[[#Headers],[ID]]))))=0,"",INDEX(tsk_Constraint,(ROW()-ROW(MSPTasks[[#Headers],[ID]]))))))</f>
        <v/>
      </c>
      <c r="W18" s="130" t="str">
        <f aca="false">IF(IFERROR(INDEX(tsk_Name,(ROW()-ROW(MSPTasks[[#Headers],[ID]])))="",TRUE()),"",IF(N(INDEX(tsk_Deadline,(ROW()-ROW(MSPTasks[[#Headers],[ID]]))))=0,"",INDEX(tsk_Deadline,(ROW()-ROW(MSPTasks[[#Headers],[ID]])))))</f>
        <v/>
      </c>
      <c r="X18" s="24" t="str">
        <f aca="false">IF(IFERROR(INDEX(tsk_Name,(ROW()-ROW(MSPTasks[[#Headers],[ID]])))="",TRUE()),"",IF(INDEX(tsk_IsSummary,(ROW()-ROW(MSPTasks[[#Headers],[ID]]))),"",INDEX(tsk_Sprint,(ROW()-ROW(MSPTasks[[#Headers],[ID]])))&amp;""))</f>
        <v>Sprint 4</v>
      </c>
      <c r="Y18" s="74" t="n">
        <f aca="false">IF(IFERROR(INDEX(tsk_Name,(ROW()-ROW(MSPTasks[[#Headers],[ID]])))="",TRUE()),"",IF(INDEX(tsk_IsSummary,(ROW()-ROW(MSPTasks[[#Headers],[ID]]))),"",IF(N(INDEX(tsk_StoryPoints,(ROW()-ROW(MSPTasks[[#Headers],[ID]]))))=0,"",INDEX(tsk_StoryPoints,(ROW()-ROW(MSPTasks[[#Headers],[ID]]))))))</f>
        <v>8</v>
      </c>
      <c r="Z18" s="24" t="str">
        <f aca="false">IF(IFERROR(INDEX(tsk_Name,(ROW()-ROW(MSPTasks[[#Headers],[ID]])))="",TRUE()),"",INDEX(tsk_Notes,(ROW()-ROW(MSPTasks[[#Headers],[ID]])))&amp;"")</f>
        <v/>
      </c>
    </row>
    <row r="19" customFormat="false" ht="15" hidden="false" customHeight="false" outlineLevel="0" collapsed="false">
      <c r="A19" s="24" t="n">
        <f aca="false">IF(IFERROR(INDEX(tsk_Name,(ROW()-ROW(MSPTasks[[#Headers],[ID]])))="",TRUE()),"",INDEX(tsk_ID,(ROW()-ROW(MSPTasks[[#Headers],[ID]]))))</f>
        <v>18</v>
      </c>
      <c r="B19" s="24" t="n">
        <f aca="false">IF(IFERROR(INDEX(tsk_Name,(ROW()-ROW(MSPTasks[[#Headers],[ID]])))="",TRUE()),"",INDEX(tsk_UID,(ROW()-ROW(MSPTasks[[#Headers],[ID]]))))</f>
        <v>18</v>
      </c>
      <c r="C19" s="24" t="str">
        <f aca="false">IF(IFERROR(INDEX(tsk_Name,(ROW()-ROW(MSPTasks[[#Headers],[ID]])))="",TRUE()),"",INDEX(tsk_Name,(ROW()-ROW(MSPTasks[[#Headers],[ID]]))))</f>
        <v>Accessibility review</v>
      </c>
      <c r="D19" s="24" t="n">
        <f aca="false">IF(IFERROR(INDEX(tsk_Name,(ROW()-ROW(MSPTasks[[#Headers],[ID]])))="",TRUE()),"",INDEX(tsk_Level,(ROW()-ROW(MSPTasks[[#Headers],[ID]]))))</f>
        <v>3</v>
      </c>
      <c r="E19" s="24" t="str">
        <f aca="false">IF(IFERROR(INDEX(tsk_Name,(ROW()-ROW(MSPTasks[[#Headers],[ID]])))="",TRUE()),"",IF(INDEX(tsk_Mode,(ROW()-ROW(MSPTasks[[#Headers],[ID]])))="Manual","Manually Scheduled","Auto Scheduled"))</f>
        <v>Auto Scheduled</v>
      </c>
      <c r="F19" s="24" t="str">
        <f aca="false">IF(IFERROR(INDEX(tsk_Name,(ROW()-ROW(MSPTasks[[#Headers],[ID]])))="",TRUE()),"",IF(INDEX(tsk_IsSummary,(ROW()-ROW(MSPTasks[[#Headers],[ID]]))),"",N(INDEX(tsk_Duration,(ROW()-ROW(MSPTasks[[#Headers],[ID]]))))&amp;"d"))</f>
        <v>3d</v>
      </c>
      <c r="G19" s="130" t="n">
        <f aca="false">IF(IFERROR(INDEX(tsk_Name,(ROW()-ROW(MSPTasks[[#Headers],[ID]])))="",TRUE()),"",INDEX(tsk_FcStart,(ROW()-ROW(MSPTasks[[#Headers],[ID]]))))</f>
        <v>46330</v>
      </c>
      <c r="H19" s="130" t="n">
        <f aca="false">IF(IFERROR(INDEX(tsk_Name,(ROW()-ROW(MSPTasks[[#Headers],[ID]])))="",TRUE()),"",INDEX(tsk_FcFinish,(ROW()-ROW(MSPTasks[[#Headers],[ID]]))))</f>
        <v>46332</v>
      </c>
      <c r="I19" s="24" t="str">
        <f aca="false">IF(IFERROR(INDEX(tsk_Name,(ROW()-ROW(MSPTasks[[#Headers],[ID]])))="",TRUE()),"",IF(INDEX(tsk_IsSummary,(ROW()-ROW(MSPTasks[[#Headers],[ID]]))),"",INDEX(tsk_Predecessors,(ROW()-ROW(MSPTasks[[#Headers],[ID]])))))</f>
        <v>17FF+1d</v>
      </c>
      <c r="J19" s="24" t="str">
        <f aca="false">IF(IFERROR(INDEX(tsk_Name,(ROW()-ROW(MSPTasks[[#Headers],[ID]])))="",TRUE()),"",IF(INDEX(tsk_IsSummary,(ROW()-ROW(MSPTasks[[#Headers],[ID]]))),"",INDEX(tsk_UIDPredecessors,(ROW()-ROW(MSPTasks[[#Headers],[ID]])))))</f>
        <v>17FF+1d</v>
      </c>
      <c r="K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Kim[50%]</v>
      </c>
      <c r="L19" s="24" t="n">
        <f aca="false">IF(IFERROR(INDEX(tsk_Name,(ROW()-ROW(MSPTasks[[#Headers],[ID]])))="",TRUE()),"",IF(INDEX(tsk_IsSummary,(ROW()-ROW(MSPTasks[[#Headers],[ID]]))),"",ROUND(INDEX(tsk_Progress,(ROW()-ROW(MSPTasks[[#Headers],[ID]])))*100,0)))</f>
        <v>0</v>
      </c>
      <c r="M19" s="130" t="str">
        <f aca="false">IF(IFERROR(INDEX(tsk_Name,(ROW()-ROW(MSPTasks[[#Headers],[ID]])))="",TRUE()),"",IF(N(INDEX(tsk_ActStart,(ROW()-ROW(MSPTasks[[#Headers],[ID]]))))=0,"",INDEX(tsk_ActStart,(ROW()-ROW(MSPTasks[[#Headers],[ID]])))))</f>
        <v/>
      </c>
      <c r="N19" s="130" t="str">
        <f aca="false">IF(IFERROR(INDEX(tsk_Name,(ROW()-ROW(MSPTasks[[#Headers],[ID]])))="",TRUE()),"",IF(N(INDEX(tsk_ActFinish,(ROW()-ROW(MSPTasks[[#Headers],[ID]]))))=0,"",INDEX(tsk_ActFinish,(ROW()-ROW(MSPTasks[[#Headers],[ID]])))))</f>
        <v/>
      </c>
      <c r="O19" s="130" t="n">
        <f aca="false">IF(IFERROR(INDEX(tsk_Name,(ROW()-ROW(MSPTasks[[#Headers],[ID]])))="",TRUE()),"",INDEX(tsk_PlanStart,(ROW()-ROW(MSPTasks[[#Headers],[ID]]))))</f>
        <v>46322</v>
      </c>
      <c r="P19" s="130" t="n">
        <f aca="false">IF(IFERROR(INDEX(tsk_Name,(ROW()-ROW(MSPTasks[[#Headers],[ID]])))="",TRUE()),"",INDEX(tsk_PlanFinish,(ROW()-ROW(MSPTasks[[#Headers],[ID]]))))</f>
        <v>46324</v>
      </c>
      <c r="Q19" s="24" t="str">
        <f aca="false">IF(IFERROR(INDEX(tsk_Name,(ROW()-ROW(MSPTasks[[#Headers],[ID]])))="",TRUE()),"",IF(INDEX(tsk_BaseDuration,(ROW()-ROW(MSPTasks[[#Headers],[ID]])))="","",N(INDEX(tsk_BaseDuration,(ROW()-ROW(MSPTasks[[#Headers],[ID]]))))&amp;"d"))</f>
        <v/>
      </c>
      <c r="R19" s="24" t="str">
        <f aca="false">IF(IFERROR(INDEX(tsk_Name,(ROW()-ROW(MSPTasks[[#Headers],[ID]])))="",TRUE()),"",IF(INDEX(tsk_BaseWork,(ROW()-ROW(MSPTasks[[#Headers],[ID]])))="","",N(INDEX(tsk_BaseWork,(ROW()-ROW(MSPTasks[[#Headers],[ID]]))))&amp;"h"))</f>
        <v/>
      </c>
      <c r="S19" s="24" t="str">
        <f aca="false">IF(IFERROR(INDEX(tsk_Name,(ROW()-ROW(MSPTasks[[#Headers],[ID]])))="",TRUE()),"",IF(INDEX(tsk_BaseCost,(ROW()-ROW(MSPTasks[[#Headers],[ID]])))="","",N(INDEX(tsk_BaseCost,(ROW()-ROW(MSPTasks[[#Headers],[ID]]))))))</f>
        <v/>
      </c>
      <c r="T19" s="24" t="str">
        <f aca="false">IF(IFERROR(INDEX(tsk_Name,(ROW()-ROW(MSPTasks[[#Headers],[ID]])))="",TRUE()),"",IF(INDEX(tsk_IsSummary,(ROW()-ROW(MSPTasks[[#Headers],[ID]]))),"",IF(N(INDEX(tsk_ActCostInput,(ROW()-ROW(MSPTasks[[#Headers],[ID]]))))=0,"",INDEX(tsk_ActCostInput,(ROW()-ROW(MSPTasks[[#Headers],[ID]]))))))</f>
        <v/>
      </c>
      <c r="U19" s="24" t="str">
        <f aca="false">IF(IFERROR(INDEX(tsk_Name,(ROW()-ROW(MSPTasks[[#Headers],[ID]])))="",TRUE()),"",IF(INDEX(tsk_IsSummary,(ROW()-ROW(MSPTasks[[#Headers],[ID]]))),"",IF(AND(INDEX(tsk_Mode,(ROW()-ROW(MSPTasks[[#Headers],[ID]])))&lt;&gt;"Manual",N(INDEX(tsk_Constraint,(ROW()-ROW(MSPTasks[[#Headers],[ID]]))))&gt;0),"Start No Earlier Than","As Soon As Possible")))</f>
        <v>As Soon As Possible</v>
      </c>
      <c r="V19" s="130" t="str">
        <f aca="false">IF(IFERROR(INDEX(tsk_Name,(ROW()-ROW(MSPTasks[[#Headers],[ID]])))="",TRUE()),"",IF(OR(INDEX(tsk_IsSummary,(ROW()-ROW(MSPTasks[[#Headers],[ID]]))),INDEX(tsk_Mode,(ROW()-ROW(MSPTasks[[#Headers],[ID]])))="Manual"),"",IF(N(INDEX(tsk_Constraint,(ROW()-ROW(MSPTasks[[#Headers],[ID]]))))=0,"",INDEX(tsk_Constraint,(ROW()-ROW(MSPTasks[[#Headers],[ID]]))))))</f>
        <v/>
      </c>
      <c r="W19" s="130" t="str">
        <f aca="false">IF(IFERROR(INDEX(tsk_Name,(ROW()-ROW(MSPTasks[[#Headers],[ID]])))="",TRUE()),"",IF(N(INDEX(tsk_Deadline,(ROW()-ROW(MSPTasks[[#Headers],[ID]]))))=0,"",INDEX(tsk_Deadline,(ROW()-ROW(MSPTasks[[#Headers],[ID]])))))</f>
        <v/>
      </c>
      <c r="X19" s="24" t="str">
        <f aca="false">IF(IFERROR(INDEX(tsk_Name,(ROW()-ROW(MSPTasks[[#Headers],[ID]])))="",TRUE()),"",IF(INDEX(tsk_IsSummary,(ROW()-ROW(MSPTasks[[#Headers],[ID]]))),"",INDEX(tsk_Sprint,(ROW()-ROW(MSPTasks[[#Headers],[ID]])))&amp;""))</f>
        <v>Sprint 5</v>
      </c>
      <c r="Y19" s="74" t="n">
        <f aca="false">IF(IFERROR(INDEX(tsk_Name,(ROW()-ROW(MSPTasks[[#Headers],[ID]])))="",TRUE()),"",IF(INDEX(tsk_IsSummary,(ROW()-ROW(MSPTasks[[#Headers],[ID]]))),"",IF(N(INDEX(tsk_StoryPoints,(ROW()-ROW(MSPTasks[[#Headers],[ID]]))))=0,"",INDEX(tsk_StoryPoints,(ROW()-ROW(MSPTasks[[#Headers],[ID]]))))))</f>
        <v>3</v>
      </c>
      <c r="Z19" s="24" t="str">
        <f aca="false">IF(IFERROR(INDEX(tsk_Name,(ROW()-ROW(MSPTasks[[#Headers],[ID]])))="",TRUE()),"",INDEX(tsk_Notes,(ROW()-ROW(MSPTasks[[#Headers],[ID]])))&amp;"")</f>
        <v>Finish-to-Finish + 1 day; 50% units.</v>
      </c>
    </row>
    <row r="20" customFormat="false" ht="15" hidden="false" customHeight="false" outlineLevel="0" collapsed="false">
      <c r="A20" s="24" t="n">
        <f aca="false">IF(IFERROR(INDEX(tsk_Name,(ROW()-ROW(MSPTasks[[#Headers],[ID]])))="",TRUE()),"",INDEX(tsk_ID,(ROW()-ROW(MSPTasks[[#Headers],[ID]]))))</f>
        <v>19</v>
      </c>
      <c r="B20" s="24" t="n">
        <f aca="false">IF(IFERROR(INDEX(tsk_Name,(ROW()-ROW(MSPTasks[[#Headers],[ID]])))="",TRUE()),"",INDEX(tsk_UID,(ROW()-ROW(MSPTasks[[#Headers],[ID]]))))</f>
        <v>19</v>
      </c>
      <c r="C20" s="24" t="str">
        <f aca="false">IF(IFERROR(INDEX(tsk_Name,(ROW()-ROW(MSPTasks[[#Headers],[ID]])))="",TRUE()),"",INDEX(tsk_Name,(ROW()-ROW(MSPTasks[[#Headers],[ID]]))))</f>
        <v>Build complete</v>
      </c>
      <c r="D20" s="24" t="n">
        <f aca="false">IF(IFERROR(INDEX(tsk_Name,(ROW()-ROW(MSPTasks[[#Headers],[ID]])))="",TRUE()),"",INDEX(tsk_Level,(ROW()-ROW(MSPTasks[[#Headers],[ID]]))))</f>
        <v>2</v>
      </c>
      <c r="E20" s="24" t="str">
        <f aca="false">IF(IFERROR(INDEX(tsk_Name,(ROW()-ROW(MSPTasks[[#Headers],[ID]])))="",TRUE()),"",IF(INDEX(tsk_Mode,(ROW()-ROW(MSPTasks[[#Headers],[ID]])))="Manual","Manually Scheduled","Auto Scheduled"))</f>
        <v>Auto Scheduled</v>
      </c>
      <c r="F20" s="24" t="str">
        <f aca="false">IF(IFERROR(INDEX(tsk_Name,(ROW()-ROW(MSPTasks[[#Headers],[ID]])))="",TRUE()),"",IF(INDEX(tsk_IsSummary,(ROW()-ROW(MSPTasks[[#Headers],[ID]]))),"",N(INDEX(tsk_Duration,(ROW()-ROW(MSPTasks[[#Headers],[ID]]))))&amp;"d"))</f>
        <v>0d</v>
      </c>
      <c r="G20" s="130" t="n">
        <f aca="false">IF(IFERROR(INDEX(tsk_Name,(ROW()-ROW(MSPTasks[[#Headers],[ID]])))="",TRUE()),"",INDEX(tsk_FcStart,(ROW()-ROW(MSPTasks[[#Headers],[ID]]))))</f>
        <v>46335</v>
      </c>
      <c r="H20" s="130" t="n">
        <f aca="false">IF(IFERROR(INDEX(tsk_Name,(ROW()-ROW(MSPTasks[[#Headers],[ID]])))="",TRUE()),"",INDEX(tsk_FcFinish,(ROW()-ROW(MSPTasks[[#Headers],[ID]]))))</f>
        <v>46335</v>
      </c>
      <c r="I20" s="24" t="str">
        <f aca="false">IF(IFERROR(INDEX(tsk_Name,(ROW()-ROW(MSPTasks[[#Headers],[ID]])))="",TRUE()),"",IF(INDEX(tsk_IsSummary,(ROW()-ROW(MSPTasks[[#Headers],[ID]]))),"",INDEX(tsk_Predecessors,(ROW()-ROW(MSPTasks[[#Headers],[ID]])))))</f>
        <v>14,18</v>
      </c>
      <c r="J20" s="24" t="str">
        <f aca="false">IF(IFERROR(INDEX(tsk_Name,(ROW()-ROW(MSPTasks[[#Headers],[ID]])))="",TRUE()),"",IF(INDEX(tsk_IsSummary,(ROW()-ROW(MSPTasks[[#Headers],[ID]]))),"",INDEX(tsk_UIDPredecessors,(ROW()-ROW(MSPTasks[[#Headers],[ID]])))))</f>
        <v>14,18</v>
      </c>
      <c r="K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 s="24" t="n">
        <f aca="false">IF(IFERROR(INDEX(tsk_Name,(ROW()-ROW(MSPTasks[[#Headers],[ID]])))="",TRUE()),"",IF(INDEX(tsk_IsSummary,(ROW()-ROW(MSPTasks[[#Headers],[ID]]))),"",ROUND(INDEX(tsk_Progress,(ROW()-ROW(MSPTasks[[#Headers],[ID]])))*100,0)))</f>
        <v>0</v>
      </c>
      <c r="M20" s="130" t="str">
        <f aca="false">IF(IFERROR(INDEX(tsk_Name,(ROW()-ROW(MSPTasks[[#Headers],[ID]])))="",TRUE()),"",IF(N(INDEX(tsk_ActStart,(ROW()-ROW(MSPTasks[[#Headers],[ID]]))))=0,"",INDEX(tsk_ActStart,(ROW()-ROW(MSPTasks[[#Headers],[ID]])))))</f>
        <v/>
      </c>
      <c r="N20" s="130" t="str">
        <f aca="false">IF(IFERROR(INDEX(tsk_Name,(ROW()-ROW(MSPTasks[[#Headers],[ID]])))="",TRUE()),"",IF(N(INDEX(tsk_ActFinish,(ROW()-ROW(MSPTasks[[#Headers],[ID]]))))=0,"",INDEX(tsk_ActFinish,(ROW()-ROW(MSPTasks[[#Headers],[ID]])))))</f>
        <v/>
      </c>
      <c r="O20" s="130" t="n">
        <f aca="false">IF(IFERROR(INDEX(tsk_Name,(ROW()-ROW(MSPTasks[[#Headers],[ID]])))="",TRUE()),"",INDEX(tsk_PlanStart,(ROW()-ROW(MSPTasks[[#Headers],[ID]]))))</f>
        <v>46325</v>
      </c>
      <c r="P20" s="130" t="n">
        <f aca="false">IF(IFERROR(INDEX(tsk_Name,(ROW()-ROW(MSPTasks[[#Headers],[ID]])))="",TRUE()),"",INDEX(tsk_PlanFinish,(ROW()-ROW(MSPTasks[[#Headers],[ID]]))))</f>
        <v>46325</v>
      </c>
      <c r="Q20" s="24" t="str">
        <f aca="false">IF(IFERROR(INDEX(tsk_Name,(ROW()-ROW(MSPTasks[[#Headers],[ID]])))="",TRUE()),"",IF(INDEX(tsk_BaseDuration,(ROW()-ROW(MSPTasks[[#Headers],[ID]])))="","",N(INDEX(tsk_BaseDuration,(ROW()-ROW(MSPTasks[[#Headers],[ID]]))))&amp;"d"))</f>
        <v/>
      </c>
      <c r="R20" s="24" t="str">
        <f aca="false">IF(IFERROR(INDEX(tsk_Name,(ROW()-ROW(MSPTasks[[#Headers],[ID]])))="",TRUE()),"",IF(INDEX(tsk_BaseWork,(ROW()-ROW(MSPTasks[[#Headers],[ID]])))="","",N(INDEX(tsk_BaseWork,(ROW()-ROW(MSPTasks[[#Headers],[ID]]))))&amp;"h"))</f>
        <v/>
      </c>
      <c r="S20" s="24" t="str">
        <f aca="false">IF(IFERROR(INDEX(tsk_Name,(ROW()-ROW(MSPTasks[[#Headers],[ID]])))="",TRUE()),"",IF(INDEX(tsk_BaseCost,(ROW()-ROW(MSPTasks[[#Headers],[ID]])))="","",N(INDEX(tsk_BaseCost,(ROW()-ROW(MSPTasks[[#Headers],[ID]]))))))</f>
        <v/>
      </c>
      <c r="T20" s="24" t="str">
        <f aca="false">IF(IFERROR(INDEX(tsk_Name,(ROW()-ROW(MSPTasks[[#Headers],[ID]])))="",TRUE()),"",IF(INDEX(tsk_IsSummary,(ROW()-ROW(MSPTasks[[#Headers],[ID]]))),"",IF(N(INDEX(tsk_ActCostInput,(ROW()-ROW(MSPTasks[[#Headers],[ID]]))))=0,"",INDEX(tsk_ActCostInput,(ROW()-ROW(MSPTasks[[#Headers],[ID]]))))))</f>
        <v/>
      </c>
      <c r="U20"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0" s="130" t="str">
        <f aca="false">IF(IFERROR(INDEX(tsk_Name,(ROW()-ROW(MSPTasks[[#Headers],[ID]])))="",TRUE()),"",IF(OR(INDEX(tsk_IsSummary,(ROW()-ROW(MSPTasks[[#Headers],[ID]]))),INDEX(tsk_Mode,(ROW()-ROW(MSPTasks[[#Headers],[ID]])))="Manual"),"",IF(N(INDEX(tsk_Constraint,(ROW()-ROW(MSPTasks[[#Headers],[ID]]))))=0,"",INDEX(tsk_Constraint,(ROW()-ROW(MSPTasks[[#Headers],[ID]]))))))</f>
        <v/>
      </c>
      <c r="W20" s="130" t="n">
        <f aca="false">IF(IFERROR(INDEX(tsk_Name,(ROW()-ROW(MSPTasks[[#Headers],[ID]])))="",TRUE()),"",IF(N(INDEX(tsk_Deadline,(ROW()-ROW(MSPTasks[[#Headers],[ID]]))))=0,"",INDEX(tsk_Deadline,(ROW()-ROW(MSPTasks[[#Headers],[ID]])))))</f>
        <v>46332</v>
      </c>
      <c r="X20" s="24" t="str">
        <f aca="false">IF(IFERROR(INDEX(tsk_Name,(ROW()-ROW(MSPTasks[[#Headers],[ID]])))="",TRUE()),"",IF(INDEX(tsk_IsSummary,(ROW()-ROW(MSPTasks[[#Headers],[ID]]))),"",INDEX(tsk_Sprint,(ROW()-ROW(MSPTasks[[#Headers],[ID]])))&amp;""))</f>
        <v>Sprint 5</v>
      </c>
      <c r="Y20" s="24" t="str">
        <f aca="false">IF(IFERROR(INDEX(tsk_Name,(ROW()-ROW(MSPTasks[[#Headers],[ID]])))="",TRUE()),"",IF(INDEX(tsk_IsSummary,(ROW()-ROW(MSPTasks[[#Headers],[ID]]))),"",IF(N(INDEX(tsk_StoryPoints,(ROW()-ROW(MSPTasks[[#Headers],[ID]]))))=0,"",INDEX(tsk_StoryPoints,(ROW()-ROW(MSPTasks[[#Headers],[ID]]))))))</f>
        <v/>
      </c>
      <c r="Z20" s="24" t="str">
        <f aca="false">IF(IFERROR(INDEX(tsk_Name,(ROW()-ROW(MSPTasks[[#Headers],[ID]])))="",TRUE()),"",INDEX(tsk_Notes,(ROW()-ROW(MSPTasks[[#Headers],[ID]])))&amp;"")</f>
        <v>Milestone with a deadline of 06-Nov (see Deadline Check).</v>
      </c>
    </row>
    <row r="21" customFormat="false" ht="15" hidden="false" customHeight="false" outlineLevel="0" collapsed="false">
      <c r="A21" s="24" t="n">
        <f aca="false">IF(IFERROR(INDEX(tsk_Name,(ROW()-ROW(MSPTasks[[#Headers],[ID]])))="",TRUE()),"",INDEX(tsk_ID,(ROW()-ROW(MSPTasks[[#Headers],[ID]]))))</f>
        <v>20</v>
      </c>
      <c r="B21" s="24" t="n">
        <f aca="false">IF(IFERROR(INDEX(tsk_Name,(ROW()-ROW(MSPTasks[[#Headers],[ID]])))="",TRUE()),"",INDEX(tsk_UID,(ROW()-ROW(MSPTasks[[#Headers],[ID]]))))</f>
        <v>20</v>
      </c>
      <c r="C21" s="24" t="str">
        <f aca="false">IF(IFERROR(INDEX(tsk_Name,(ROW()-ROW(MSPTasks[[#Headers],[ID]])))="",TRUE()),"",INDEX(tsk_Name,(ROW()-ROW(MSPTasks[[#Headers],[ID]]))))</f>
        <v>Test &amp; Release</v>
      </c>
      <c r="D21" s="24" t="n">
        <f aca="false">IF(IFERROR(INDEX(tsk_Name,(ROW()-ROW(MSPTasks[[#Headers],[ID]])))="",TRUE()),"",INDEX(tsk_Level,(ROW()-ROW(MSPTasks[[#Headers],[ID]]))))</f>
        <v>1</v>
      </c>
      <c r="E21" s="24" t="str">
        <f aca="false">IF(IFERROR(INDEX(tsk_Name,(ROW()-ROW(MSPTasks[[#Headers],[ID]])))="",TRUE()),"",IF(INDEX(tsk_Mode,(ROW()-ROW(MSPTasks[[#Headers],[ID]])))="Manual","Manually Scheduled","Auto Scheduled"))</f>
        <v>Auto Scheduled</v>
      </c>
      <c r="F21" s="24" t="str">
        <f aca="false">IF(IFERROR(INDEX(tsk_Name,(ROW()-ROW(MSPTasks[[#Headers],[ID]])))="",TRUE()),"",IF(INDEX(tsk_IsSummary,(ROW()-ROW(MSPTasks[[#Headers],[ID]]))),"",N(INDEX(tsk_Duration,(ROW()-ROW(MSPTasks[[#Headers],[ID]]))))&amp;"d"))</f>
        <v/>
      </c>
      <c r="G21" s="130" t="n">
        <f aca="false">IF(IFERROR(INDEX(tsk_Name,(ROW()-ROW(MSPTasks[[#Headers],[ID]])))="",TRUE()),"",INDEX(tsk_FcStart,(ROW()-ROW(MSPTasks[[#Headers],[ID]]))))</f>
        <v>46336</v>
      </c>
      <c r="H21" s="130" t="n">
        <f aca="false">IF(IFERROR(INDEX(tsk_Name,(ROW()-ROW(MSPTasks[[#Headers],[ID]])))="",TRUE()),"",INDEX(tsk_FcFinish,(ROW()-ROW(MSPTasks[[#Headers],[ID]]))))</f>
        <v>46391</v>
      </c>
      <c r="I21" s="24" t="str">
        <f aca="false">IF(IFERROR(INDEX(tsk_Name,(ROW()-ROW(MSPTasks[[#Headers],[ID]])))="",TRUE()),"",IF(INDEX(tsk_IsSummary,(ROW()-ROW(MSPTasks[[#Headers],[ID]]))),"",INDEX(tsk_Predecessors,(ROW()-ROW(MSPTasks[[#Headers],[ID]])))))</f>
        <v/>
      </c>
      <c r="J21" s="24" t="str">
        <f aca="false">IF(IFERROR(INDEX(tsk_Name,(ROW()-ROW(MSPTasks[[#Headers],[ID]])))="",TRUE()),"",IF(INDEX(tsk_IsSummary,(ROW()-ROW(MSPTasks[[#Headers],[ID]]))),"",INDEX(tsk_UIDPredecessors,(ROW()-ROW(MSPTasks[[#Headers],[ID]])))))</f>
        <v/>
      </c>
      <c r="K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1" s="24" t="str">
        <f aca="false">IF(IFERROR(INDEX(tsk_Name,(ROW()-ROW(MSPTasks[[#Headers],[ID]])))="",TRUE()),"",IF(INDEX(tsk_IsSummary,(ROW()-ROW(MSPTasks[[#Headers],[ID]]))),"",ROUND(INDEX(tsk_Progress,(ROW()-ROW(MSPTasks[[#Headers],[ID]])))*100,0)))</f>
        <v/>
      </c>
      <c r="M21" s="130" t="str">
        <f aca="false">IF(IFERROR(INDEX(tsk_Name,(ROW()-ROW(MSPTasks[[#Headers],[ID]])))="",TRUE()),"",IF(N(INDEX(tsk_ActStart,(ROW()-ROW(MSPTasks[[#Headers],[ID]]))))=0,"",INDEX(tsk_ActStart,(ROW()-ROW(MSPTasks[[#Headers],[ID]])))))</f>
        <v/>
      </c>
      <c r="N21" s="130" t="str">
        <f aca="false">IF(IFERROR(INDEX(tsk_Name,(ROW()-ROW(MSPTasks[[#Headers],[ID]])))="",TRUE()),"",IF(N(INDEX(tsk_ActFinish,(ROW()-ROW(MSPTasks[[#Headers],[ID]]))))=0,"",INDEX(tsk_ActFinish,(ROW()-ROW(MSPTasks[[#Headers],[ID]])))))</f>
        <v/>
      </c>
      <c r="O21" s="130" t="n">
        <f aca="false">IF(IFERROR(INDEX(tsk_Name,(ROW()-ROW(MSPTasks[[#Headers],[ID]])))="",TRUE()),"",INDEX(tsk_PlanStart,(ROW()-ROW(MSPTasks[[#Headers],[ID]]))))</f>
        <v>46328</v>
      </c>
      <c r="P21" s="130" t="n">
        <f aca="false">IF(IFERROR(INDEX(tsk_Name,(ROW()-ROW(MSPTasks[[#Headers],[ID]])))="",TRUE()),"",INDEX(tsk_PlanFinish,(ROW()-ROW(MSPTasks[[#Headers],[ID]]))))</f>
        <v>46391</v>
      </c>
      <c r="Q21" s="24" t="str">
        <f aca="false">IF(IFERROR(INDEX(tsk_Name,(ROW()-ROW(MSPTasks[[#Headers],[ID]])))="",TRUE()),"",IF(INDEX(tsk_BaseDuration,(ROW()-ROW(MSPTasks[[#Headers],[ID]])))="","",N(INDEX(tsk_BaseDuration,(ROW()-ROW(MSPTasks[[#Headers],[ID]]))))&amp;"d"))</f>
        <v/>
      </c>
      <c r="R21" s="24" t="str">
        <f aca="false">IF(IFERROR(INDEX(tsk_Name,(ROW()-ROW(MSPTasks[[#Headers],[ID]])))="",TRUE()),"",IF(INDEX(tsk_BaseWork,(ROW()-ROW(MSPTasks[[#Headers],[ID]])))="","",N(INDEX(tsk_BaseWork,(ROW()-ROW(MSPTasks[[#Headers],[ID]]))))&amp;"h"))</f>
        <v/>
      </c>
      <c r="S21" s="24" t="str">
        <f aca="false">IF(IFERROR(INDEX(tsk_Name,(ROW()-ROW(MSPTasks[[#Headers],[ID]])))="",TRUE()),"",IF(INDEX(tsk_BaseCost,(ROW()-ROW(MSPTasks[[#Headers],[ID]])))="","",N(INDEX(tsk_BaseCost,(ROW()-ROW(MSPTasks[[#Headers],[ID]]))))))</f>
        <v/>
      </c>
      <c r="T21" s="24" t="str">
        <f aca="false">IF(IFERROR(INDEX(tsk_Name,(ROW()-ROW(MSPTasks[[#Headers],[ID]])))="",TRUE()),"",IF(INDEX(tsk_IsSummary,(ROW()-ROW(MSPTasks[[#Headers],[ID]]))),"",IF(N(INDEX(tsk_ActCostInput,(ROW()-ROW(MSPTasks[[#Headers],[ID]]))))=0,"",INDEX(tsk_ActCostInput,(ROW()-ROW(MSPTasks[[#Headers],[ID]]))))))</f>
        <v/>
      </c>
      <c r="U21" s="24" t="str">
        <f aca="false">IF(IFERROR(INDEX(tsk_Name,(ROW()-ROW(MSPTasks[[#Headers],[ID]])))="",TRUE()),"",IF(INDEX(tsk_IsSummary,(ROW()-ROW(MSPTasks[[#Headers],[ID]]))),"",IF(AND(INDEX(tsk_Mode,(ROW()-ROW(MSPTasks[[#Headers],[ID]])))&lt;&gt;"Manual",N(INDEX(tsk_Constraint,(ROW()-ROW(MSPTasks[[#Headers],[ID]]))))&gt;0),"Start No Earlier Than","As Soon As Possible")))</f>
        <v/>
      </c>
      <c r="V21" s="130" t="str">
        <f aca="false">IF(IFERROR(INDEX(tsk_Name,(ROW()-ROW(MSPTasks[[#Headers],[ID]])))="",TRUE()),"",IF(OR(INDEX(tsk_IsSummary,(ROW()-ROW(MSPTasks[[#Headers],[ID]]))),INDEX(tsk_Mode,(ROW()-ROW(MSPTasks[[#Headers],[ID]])))="Manual"),"",IF(N(INDEX(tsk_Constraint,(ROW()-ROW(MSPTasks[[#Headers],[ID]]))))=0,"",INDEX(tsk_Constraint,(ROW()-ROW(MSPTasks[[#Headers],[ID]]))))))</f>
        <v/>
      </c>
      <c r="W21" s="130" t="str">
        <f aca="false">IF(IFERROR(INDEX(tsk_Name,(ROW()-ROW(MSPTasks[[#Headers],[ID]])))="",TRUE()),"",IF(N(INDEX(tsk_Deadline,(ROW()-ROW(MSPTasks[[#Headers],[ID]]))))=0,"",INDEX(tsk_Deadline,(ROW()-ROW(MSPTasks[[#Headers],[ID]])))))</f>
        <v/>
      </c>
      <c r="X21" s="24" t="str">
        <f aca="false">IF(IFERROR(INDEX(tsk_Name,(ROW()-ROW(MSPTasks[[#Headers],[ID]])))="",TRUE()),"",IF(INDEX(tsk_IsSummary,(ROW()-ROW(MSPTasks[[#Headers],[ID]]))),"",INDEX(tsk_Sprint,(ROW()-ROW(MSPTasks[[#Headers],[ID]])))&amp;""))</f>
        <v/>
      </c>
      <c r="Y21" s="24" t="str">
        <f aca="false">IF(IFERROR(INDEX(tsk_Name,(ROW()-ROW(MSPTasks[[#Headers],[ID]])))="",TRUE()),"",IF(INDEX(tsk_IsSummary,(ROW()-ROW(MSPTasks[[#Headers],[ID]]))),"",IF(N(INDEX(tsk_StoryPoints,(ROW()-ROW(MSPTasks[[#Headers],[ID]]))))=0,"",INDEX(tsk_StoryPoints,(ROW()-ROW(MSPTasks[[#Headers],[ID]]))))))</f>
        <v/>
      </c>
      <c r="Z21" s="24" t="str">
        <f aca="false">IF(IFERROR(INDEX(tsk_Name,(ROW()-ROW(MSPTasks[[#Headers],[ID]])))="",TRUE()),"",INDEX(tsk_Notes,(ROW()-ROW(MSPTasks[[#Headers],[ID]])))&amp;"")</f>
        <v/>
      </c>
    </row>
    <row r="22" customFormat="false" ht="15" hidden="false" customHeight="false" outlineLevel="0" collapsed="false">
      <c r="A22" s="24" t="n">
        <f aca="false">IF(IFERROR(INDEX(tsk_Name,(ROW()-ROW(MSPTasks[[#Headers],[ID]])))="",TRUE()),"",INDEX(tsk_ID,(ROW()-ROW(MSPTasks[[#Headers],[ID]]))))</f>
        <v>21</v>
      </c>
      <c r="B22" s="24" t="n">
        <f aca="false">IF(IFERROR(INDEX(tsk_Name,(ROW()-ROW(MSPTasks[[#Headers],[ID]])))="",TRUE()),"",INDEX(tsk_UID,(ROW()-ROW(MSPTasks[[#Headers],[ID]]))))</f>
        <v>21</v>
      </c>
      <c r="C22" s="24" t="str">
        <f aca="false">IF(IFERROR(INDEX(tsk_Name,(ROW()-ROW(MSPTasks[[#Headers],[ID]])))="",TRUE()),"",INDEX(tsk_Name,(ROW()-ROW(MSPTasks[[#Headers],[ID]]))))</f>
        <v>System integration testing</v>
      </c>
      <c r="D22" s="24" t="n">
        <f aca="false">IF(IFERROR(INDEX(tsk_Name,(ROW()-ROW(MSPTasks[[#Headers],[ID]])))="",TRUE()),"",INDEX(tsk_Level,(ROW()-ROW(MSPTasks[[#Headers],[ID]]))))</f>
        <v>2</v>
      </c>
      <c r="E22" s="24" t="str">
        <f aca="false">IF(IFERROR(INDEX(tsk_Name,(ROW()-ROW(MSPTasks[[#Headers],[ID]])))="",TRUE()),"",IF(INDEX(tsk_Mode,(ROW()-ROW(MSPTasks[[#Headers],[ID]])))="Manual","Manually Scheduled","Auto Scheduled"))</f>
        <v>Auto Scheduled</v>
      </c>
      <c r="F22" s="24" t="str">
        <f aca="false">IF(IFERROR(INDEX(tsk_Name,(ROW()-ROW(MSPTasks[[#Headers],[ID]])))="",TRUE()),"",IF(INDEX(tsk_IsSummary,(ROW()-ROW(MSPTasks[[#Headers],[ID]]))),"",N(INDEX(tsk_Duration,(ROW()-ROW(MSPTasks[[#Headers],[ID]]))))&amp;"d"))</f>
        <v>8d</v>
      </c>
      <c r="G22" s="130" t="n">
        <f aca="false">IF(IFERROR(INDEX(tsk_Name,(ROW()-ROW(MSPTasks[[#Headers],[ID]])))="",TRUE()),"",INDEX(tsk_FcStart,(ROW()-ROW(MSPTasks[[#Headers],[ID]]))))</f>
        <v>46336</v>
      </c>
      <c r="H22" s="130" t="n">
        <f aca="false">IF(IFERROR(INDEX(tsk_Name,(ROW()-ROW(MSPTasks[[#Headers],[ID]])))="",TRUE()),"",INDEX(tsk_FcFinish,(ROW()-ROW(MSPTasks[[#Headers],[ID]]))))</f>
        <v>46345</v>
      </c>
      <c r="I22" s="24" t="str">
        <f aca="false">IF(IFERROR(INDEX(tsk_Name,(ROW()-ROW(MSPTasks[[#Headers],[ID]])))="",TRUE()),"",IF(INDEX(tsk_IsSummary,(ROW()-ROW(MSPTasks[[#Headers],[ID]]))),"",INDEX(tsk_Predecessors,(ROW()-ROW(MSPTasks[[#Headers],[ID]])))))</f>
        <v>19</v>
      </c>
      <c r="J22" s="24" t="str">
        <f aca="false">IF(IFERROR(INDEX(tsk_Name,(ROW()-ROW(MSPTasks[[#Headers],[ID]])))="",TRUE()),"",IF(INDEX(tsk_IsSummary,(ROW()-ROW(MSPTasks[[#Headers],[ID]]))),"",INDEX(tsk_UIDPredecessors,(ROW()-ROW(MSPTasks[[#Headers],[ID]])))))</f>
        <v>19</v>
      </c>
      <c r="K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Taylor Morgan</v>
      </c>
      <c r="L22" s="24" t="n">
        <f aca="false">IF(IFERROR(INDEX(tsk_Name,(ROW()-ROW(MSPTasks[[#Headers],[ID]])))="",TRUE()),"",IF(INDEX(tsk_IsSummary,(ROW()-ROW(MSPTasks[[#Headers],[ID]]))),"",ROUND(INDEX(tsk_Progress,(ROW()-ROW(MSPTasks[[#Headers],[ID]])))*100,0)))</f>
        <v>0</v>
      </c>
      <c r="M22" s="130" t="str">
        <f aca="false">IF(IFERROR(INDEX(tsk_Name,(ROW()-ROW(MSPTasks[[#Headers],[ID]])))="",TRUE()),"",IF(N(INDEX(tsk_ActStart,(ROW()-ROW(MSPTasks[[#Headers],[ID]]))))=0,"",INDEX(tsk_ActStart,(ROW()-ROW(MSPTasks[[#Headers],[ID]])))))</f>
        <v/>
      </c>
      <c r="N22" s="130" t="str">
        <f aca="false">IF(IFERROR(INDEX(tsk_Name,(ROW()-ROW(MSPTasks[[#Headers],[ID]])))="",TRUE()),"",IF(N(INDEX(tsk_ActFinish,(ROW()-ROW(MSPTasks[[#Headers],[ID]]))))=0,"",INDEX(tsk_ActFinish,(ROW()-ROW(MSPTasks[[#Headers],[ID]])))))</f>
        <v/>
      </c>
      <c r="O22" s="130" t="n">
        <f aca="false">IF(IFERROR(INDEX(tsk_Name,(ROW()-ROW(MSPTasks[[#Headers],[ID]])))="",TRUE()),"",INDEX(tsk_PlanStart,(ROW()-ROW(MSPTasks[[#Headers],[ID]]))))</f>
        <v>46328</v>
      </c>
      <c r="P22" s="130" t="n">
        <f aca="false">IF(IFERROR(INDEX(tsk_Name,(ROW()-ROW(MSPTasks[[#Headers],[ID]])))="",TRUE()),"",INDEX(tsk_PlanFinish,(ROW()-ROW(MSPTasks[[#Headers],[ID]]))))</f>
        <v>46337</v>
      </c>
      <c r="Q22" s="24" t="str">
        <f aca="false">IF(IFERROR(INDEX(tsk_Name,(ROW()-ROW(MSPTasks[[#Headers],[ID]])))="",TRUE()),"",IF(INDEX(tsk_BaseDuration,(ROW()-ROW(MSPTasks[[#Headers],[ID]])))="","",N(INDEX(tsk_BaseDuration,(ROW()-ROW(MSPTasks[[#Headers],[ID]]))))&amp;"d"))</f>
        <v/>
      </c>
      <c r="R22" s="24" t="str">
        <f aca="false">IF(IFERROR(INDEX(tsk_Name,(ROW()-ROW(MSPTasks[[#Headers],[ID]])))="",TRUE()),"",IF(INDEX(tsk_BaseWork,(ROW()-ROW(MSPTasks[[#Headers],[ID]])))="","",N(INDEX(tsk_BaseWork,(ROW()-ROW(MSPTasks[[#Headers],[ID]]))))&amp;"h"))</f>
        <v/>
      </c>
      <c r="S22" s="24" t="str">
        <f aca="false">IF(IFERROR(INDEX(tsk_Name,(ROW()-ROW(MSPTasks[[#Headers],[ID]])))="",TRUE()),"",IF(INDEX(tsk_BaseCost,(ROW()-ROW(MSPTasks[[#Headers],[ID]])))="","",N(INDEX(tsk_BaseCost,(ROW()-ROW(MSPTasks[[#Headers],[ID]]))))))</f>
        <v/>
      </c>
      <c r="T22" s="24" t="str">
        <f aca="false">IF(IFERROR(INDEX(tsk_Name,(ROW()-ROW(MSPTasks[[#Headers],[ID]])))="",TRUE()),"",IF(INDEX(tsk_IsSummary,(ROW()-ROW(MSPTasks[[#Headers],[ID]]))),"",IF(N(INDEX(tsk_ActCostInput,(ROW()-ROW(MSPTasks[[#Headers],[ID]]))))=0,"",INDEX(tsk_ActCostInput,(ROW()-ROW(MSPTasks[[#Headers],[ID]]))))))</f>
        <v/>
      </c>
      <c r="U22"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2" s="130" t="str">
        <f aca="false">IF(IFERROR(INDEX(tsk_Name,(ROW()-ROW(MSPTasks[[#Headers],[ID]])))="",TRUE()),"",IF(OR(INDEX(tsk_IsSummary,(ROW()-ROW(MSPTasks[[#Headers],[ID]]))),INDEX(tsk_Mode,(ROW()-ROW(MSPTasks[[#Headers],[ID]])))="Manual"),"",IF(N(INDEX(tsk_Constraint,(ROW()-ROW(MSPTasks[[#Headers],[ID]]))))=0,"",INDEX(tsk_Constraint,(ROW()-ROW(MSPTasks[[#Headers],[ID]]))))))</f>
        <v/>
      </c>
      <c r="W22" s="130" t="str">
        <f aca="false">IF(IFERROR(INDEX(tsk_Name,(ROW()-ROW(MSPTasks[[#Headers],[ID]])))="",TRUE()),"",IF(N(INDEX(tsk_Deadline,(ROW()-ROW(MSPTasks[[#Headers],[ID]]))))=0,"",INDEX(tsk_Deadline,(ROW()-ROW(MSPTasks[[#Headers],[ID]])))))</f>
        <v/>
      </c>
      <c r="X22" s="24" t="str">
        <f aca="false">IF(IFERROR(INDEX(tsk_Name,(ROW()-ROW(MSPTasks[[#Headers],[ID]])))="",TRUE()),"",IF(INDEX(tsk_IsSummary,(ROW()-ROW(MSPTasks[[#Headers],[ID]]))),"",INDEX(tsk_Sprint,(ROW()-ROW(MSPTasks[[#Headers],[ID]])))&amp;""))</f>
        <v>Sprint 5</v>
      </c>
      <c r="Y22" s="74" t="n">
        <f aca="false">IF(IFERROR(INDEX(tsk_Name,(ROW()-ROW(MSPTasks[[#Headers],[ID]])))="",TRUE()),"",IF(INDEX(tsk_IsSummary,(ROW()-ROW(MSPTasks[[#Headers],[ID]]))),"",IF(N(INDEX(tsk_StoryPoints,(ROW()-ROW(MSPTasks[[#Headers],[ID]]))))=0,"",INDEX(tsk_StoryPoints,(ROW()-ROW(MSPTasks[[#Headers],[ID]]))))))</f>
        <v>8</v>
      </c>
      <c r="Z22" s="24" t="str">
        <f aca="false">IF(IFERROR(INDEX(tsk_Name,(ROW()-ROW(MSPTasks[[#Headers],[ID]])))="",TRUE()),"",INDEX(tsk_Notes,(ROW()-ROW(MSPTasks[[#Headers],[ID]])))&amp;"")</f>
        <v/>
      </c>
    </row>
    <row r="23" customFormat="false" ht="15" hidden="false" customHeight="false" outlineLevel="0" collapsed="false">
      <c r="A23" s="24" t="n">
        <f aca="false">IF(IFERROR(INDEX(tsk_Name,(ROW()-ROW(MSPTasks[[#Headers],[ID]])))="",TRUE()),"",INDEX(tsk_ID,(ROW()-ROW(MSPTasks[[#Headers],[ID]]))))</f>
        <v>22</v>
      </c>
      <c r="B23" s="24" t="n">
        <f aca="false">IF(IFERROR(INDEX(tsk_Name,(ROW()-ROW(MSPTasks[[#Headers],[ID]])))="",TRUE()),"",INDEX(tsk_UID,(ROW()-ROW(MSPTasks[[#Headers],[ID]]))))</f>
        <v>22</v>
      </c>
      <c r="C23" s="24" t="str">
        <f aca="false">IF(IFERROR(INDEX(tsk_Name,(ROW()-ROW(MSPTasks[[#Headers],[ID]])))="",TRUE()),"",INDEX(tsk_Name,(ROW()-ROW(MSPTasks[[#Headers],[ID]]))))</f>
        <v>User acceptance testing</v>
      </c>
      <c r="D23" s="24" t="n">
        <f aca="false">IF(IFERROR(INDEX(tsk_Name,(ROW()-ROW(MSPTasks[[#Headers],[ID]])))="",TRUE()),"",INDEX(tsk_Level,(ROW()-ROW(MSPTasks[[#Headers],[ID]]))))</f>
        <v>2</v>
      </c>
      <c r="E23" s="24" t="str">
        <f aca="false">IF(IFERROR(INDEX(tsk_Name,(ROW()-ROW(MSPTasks[[#Headers],[ID]])))="",TRUE()),"",IF(INDEX(tsk_Mode,(ROW()-ROW(MSPTasks[[#Headers],[ID]])))="Manual","Manually Scheduled","Auto Scheduled"))</f>
        <v>Auto Scheduled</v>
      </c>
      <c r="F23" s="24" t="str">
        <f aca="false">IF(IFERROR(INDEX(tsk_Name,(ROW()-ROW(MSPTasks[[#Headers],[ID]])))="",TRUE()),"",IF(INDEX(tsk_IsSummary,(ROW()-ROW(MSPTasks[[#Headers],[ID]]))),"",N(INDEX(tsk_Duration,(ROW()-ROW(MSPTasks[[#Headers],[ID]]))))&amp;"d"))</f>
        <v>6d</v>
      </c>
      <c r="G23" s="130" t="n">
        <f aca="false">IF(IFERROR(INDEX(tsk_Name,(ROW()-ROW(MSPTasks[[#Headers],[ID]])))="",TRUE()),"",INDEX(tsk_FcStart,(ROW()-ROW(MSPTasks[[#Headers],[ID]]))))</f>
        <v>46363</v>
      </c>
      <c r="H23" s="130" t="n">
        <f aca="false">IF(IFERROR(INDEX(tsk_Name,(ROW()-ROW(MSPTasks[[#Headers],[ID]])))="",TRUE()),"",INDEX(tsk_FcFinish,(ROW()-ROW(MSPTasks[[#Headers],[ID]]))))</f>
        <v>46370</v>
      </c>
      <c r="I23" s="24" t="str">
        <f aca="false">IF(IFERROR(INDEX(tsk_Name,(ROW()-ROW(MSPTasks[[#Headers],[ID]])))="",TRUE()),"",IF(INDEX(tsk_IsSummary,(ROW()-ROW(MSPTasks[[#Headers],[ID]]))),"",INDEX(tsk_Predecessors,(ROW()-ROW(MSPTasks[[#Headers],[ID]])))))</f>
        <v>21</v>
      </c>
      <c r="J23" s="24" t="str">
        <f aca="false">IF(IFERROR(INDEX(tsk_Name,(ROW()-ROW(MSPTasks[[#Headers],[ID]])))="",TRUE()),"",IF(INDEX(tsk_IsSummary,(ROW()-ROW(MSPTasks[[#Headers],[ID]]))),"",INDEX(tsk_UIDPredecessors,(ROW()-ROW(MSPTasks[[#Headers],[ID]])))))</f>
        <v>21</v>
      </c>
      <c r="K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Morgan Patel</v>
      </c>
      <c r="L23" s="24" t="n">
        <f aca="false">IF(IFERROR(INDEX(tsk_Name,(ROW()-ROW(MSPTasks[[#Headers],[ID]])))="",TRUE()),"",IF(INDEX(tsk_IsSummary,(ROW()-ROW(MSPTasks[[#Headers],[ID]]))),"",ROUND(INDEX(tsk_Progress,(ROW()-ROW(MSPTasks[[#Headers],[ID]])))*100,0)))</f>
        <v>0</v>
      </c>
      <c r="M23" s="130" t="str">
        <f aca="false">IF(IFERROR(INDEX(tsk_Name,(ROW()-ROW(MSPTasks[[#Headers],[ID]])))="",TRUE()),"",IF(N(INDEX(tsk_ActStart,(ROW()-ROW(MSPTasks[[#Headers],[ID]]))))=0,"",INDEX(tsk_ActStart,(ROW()-ROW(MSPTasks[[#Headers],[ID]])))))</f>
        <v/>
      </c>
      <c r="N23" s="130" t="str">
        <f aca="false">IF(IFERROR(INDEX(tsk_Name,(ROW()-ROW(MSPTasks[[#Headers],[ID]])))="",TRUE()),"",IF(N(INDEX(tsk_ActFinish,(ROW()-ROW(MSPTasks[[#Headers],[ID]]))))=0,"",INDEX(tsk_ActFinish,(ROW()-ROW(MSPTasks[[#Headers],[ID]])))))</f>
        <v/>
      </c>
      <c r="O23" s="130" t="n">
        <f aca="false">IF(IFERROR(INDEX(tsk_Name,(ROW()-ROW(MSPTasks[[#Headers],[ID]])))="",TRUE()),"",INDEX(tsk_PlanStart,(ROW()-ROW(MSPTasks[[#Headers],[ID]]))))</f>
        <v>46363</v>
      </c>
      <c r="P23" s="130" t="n">
        <f aca="false">IF(IFERROR(INDEX(tsk_Name,(ROW()-ROW(MSPTasks[[#Headers],[ID]])))="",TRUE()),"",INDEX(tsk_PlanFinish,(ROW()-ROW(MSPTasks[[#Headers],[ID]]))))</f>
        <v>46370</v>
      </c>
      <c r="Q23" s="24" t="str">
        <f aca="false">IF(IFERROR(INDEX(tsk_Name,(ROW()-ROW(MSPTasks[[#Headers],[ID]])))="",TRUE()),"",IF(INDEX(tsk_BaseDuration,(ROW()-ROW(MSPTasks[[#Headers],[ID]])))="","",N(INDEX(tsk_BaseDuration,(ROW()-ROW(MSPTasks[[#Headers],[ID]]))))&amp;"d"))</f>
        <v/>
      </c>
      <c r="R23" s="24" t="str">
        <f aca="false">IF(IFERROR(INDEX(tsk_Name,(ROW()-ROW(MSPTasks[[#Headers],[ID]])))="",TRUE()),"",IF(INDEX(tsk_BaseWork,(ROW()-ROW(MSPTasks[[#Headers],[ID]])))="","",N(INDEX(tsk_BaseWork,(ROW()-ROW(MSPTasks[[#Headers],[ID]]))))&amp;"h"))</f>
        <v/>
      </c>
      <c r="S23" s="24" t="str">
        <f aca="false">IF(IFERROR(INDEX(tsk_Name,(ROW()-ROW(MSPTasks[[#Headers],[ID]])))="",TRUE()),"",IF(INDEX(tsk_BaseCost,(ROW()-ROW(MSPTasks[[#Headers],[ID]])))="","",N(INDEX(tsk_BaseCost,(ROW()-ROW(MSPTasks[[#Headers],[ID]]))))))</f>
        <v/>
      </c>
      <c r="T23" s="24" t="str">
        <f aca="false">IF(IFERROR(INDEX(tsk_Name,(ROW()-ROW(MSPTasks[[#Headers],[ID]])))="",TRUE()),"",IF(INDEX(tsk_IsSummary,(ROW()-ROW(MSPTasks[[#Headers],[ID]]))),"",IF(N(INDEX(tsk_ActCostInput,(ROW()-ROW(MSPTasks[[#Headers],[ID]]))))=0,"",INDEX(tsk_ActCostInput,(ROW()-ROW(MSPTasks[[#Headers],[ID]]))))))</f>
        <v/>
      </c>
      <c r="U23" s="24" t="str">
        <f aca="false">IF(IFERROR(INDEX(tsk_Name,(ROW()-ROW(MSPTasks[[#Headers],[ID]])))="",TRUE()),"",IF(INDEX(tsk_IsSummary,(ROW()-ROW(MSPTasks[[#Headers],[ID]]))),"",IF(AND(INDEX(tsk_Mode,(ROW()-ROW(MSPTasks[[#Headers],[ID]])))&lt;&gt;"Manual",N(INDEX(tsk_Constraint,(ROW()-ROW(MSPTasks[[#Headers],[ID]]))))&gt;0),"Start No Earlier Than","As Soon As Possible")))</f>
        <v>Start No Earlier Than</v>
      </c>
      <c r="V23" s="130" t="n">
        <f aca="false">IF(IFERROR(INDEX(tsk_Name,(ROW()-ROW(MSPTasks[[#Headers],[ID]])))="",TRUE()),"",IF(OR(INDEX(tsk_IsSummary,(ROW()-ROW(MSPTasks[[#Headers],[ID]]))),INDEX(tsk_Mode,(ROW()-ROW(MSPTasks[[#Headers],[ID]])))="Manual"),"",IF(N(INDEX(tsk_Constraint,(ROW()-ROW(MSPTasks[[#Headers],[ID]]))))=0,"",INDEX(tsk_Constraint,(ROW()-ROW(MSPTasks[[#Headers],[ID]]))))))</f>
        <v>46363</v>
      </c>
      <c r="W23" s="130" t="str">
        <f aca="false">IF(IFERROR(INDEX(tsk_Name,(ROW()-ROW(MSPTasks[[#Headers],[ID]])))="",TRUE()),"",IF(N(INDEX(tsk_Deadline,(ROW()-ROW(MSPTasks[[#Headers],[ID]]))))=0,"",INDEX(tsk_Deadline,(ROW()-ROW(MSPTasks[[#Headers],[ID]])))))</f>
        <v/>
      </c>
      <c r="X23" s="24" t="str">
        <f aca="false">IF(IFERROR(INDEX(tsk_Name,(ROW()-ROW(MSPTasks[[#Headers],[ID]])))="",TRUE()),"",IF(INDEX(tsk_IsSummary,(ROW()-ROW(MSPTasks[[#Headers],[ID]]))),"",INDEX(tsk_Sprint,(ROW()-ROW(MSPTasks[[#Headers],[ID]])))&amp;""))</f>
        <v>Sprint 7</v>
      </c>
      <c r="Y23" s="74" t="n">
        <f aca="false">IF(IFERROR(INDEX(tsk_Name,(ROW()-ROW(MSPTasks[[#Headers],[ID]])))="",TRUE()),"",IF(INDEX(tsk_IsSummary,(ROW()-ROW(MSPTasks[[#Headers],[ID]]))),"",IF(N(INDEX(tsk_StoryPoints,(ROW()-ROW(MSPTasks[[#Headers],[ID]]))))=0,"",INDEX(tsk_StoryPoints,(ROW()-ROW(MSPTasks[[#Headers],[ID]]))))))</f>
        <v>5</v>
      </c>
      <c r="Z23" s="24" t="str">
        <f aca="false">IF(IFERROR(INDEX(tsk_Name,(ROW()-ROW(MSPTasks[[#Headers],[ID]])))="",TRUE()),"",INDEX(tsk_Notes,(ROW()-ROW(MSPTasks[[#Headers],[ID]])))&amp;"")</f>
        <v>Start No Earlier Than 07-Dec (client availability).</v>
      </c>
    </row>
    <row r="24" customFormat="false" ht="15" hidden="false" customHeight="false" outlineLevel="0" collapsed="false">
      <c r="A24" s="24" t="n">
        <f aca="false">IF(IFERROR(INDEX(tsk_Name,(ROW()-ROW(MSPTasks[[#Headers],[ID]])))="",TRUE()),"",INDEX(tsk_ID,(ROW()-ROW(MSPTasks[[#Headers],[ID]]))))</f>
        <v>23</v>
      </c>
      <c r="B24" s="24" t="n">
        <f aca="false">IF(IFERROR(INDEX(tsk_Name,(ROW()-ROW(MSPTasks[[#Headers],[ID]])))="",TRUE()),"",INDEX(tsk_UID,(ROW()-ROW(MSPTasks[[#Headers],[ID]]))))</f>
        <v>23</v>
      </c>
      <c r="C24" s="24" t="str">
        <f aca="false">IF(IFERROR(INDEX(tsk_Name,(ROW()-ROW(MSPTasks[[#Headers],[ID]])))="",TRUE()),"",INDEX(tsk_Name,(ROW()-ROW(MSPTasks[[#Headers],[ID]]))))</f>
        <v>Training &amp; user guides</v>
      </c>
      <c r="D24" s="24" t="n">
        <f aca="false">IF(IFERROR(INDEX(tsk_Name,(ROW()-ROW(MSPTasks[[#Headers],[ID]])))="",TRUE()),"",INDEX(tsk_Level,(ROW()-ROW(MSPTasks[[#Headers],[ID]]))))</f>
        <v>2</v>
      </c>
      <c r="E24" s="24" t="str">
        <f aca="false">IF(IFERROR(INDEX(tsk_Name,(ROW()-ROW(MSPTasks[[#Headers],[ID]])))="",TRUE()),"",IF(INDEX(tsk_Mode,(ROW()-ROW(MSPTasks[[#Headers],[ID]])))="Manual","Manually Scheduled","Auto Scheduled"))</f>
        <v>Auto Scheduled</v>
      </c>
      <c r="F24" s="24" t="str">
        <f aca="false">IF(IFERROR(INDEX(tsk_Name,(ROW()-ROW(MSPTasks[[#Headers],[ID]])))="",TRUE()),"",IF(INDEX(tsk_IsSummary,(ROW()-ROW(MSPTasks[[#Headers],[ID]]))),"",N(INDEX(tsk_Duration,(ROW()-ROW(MSPTasks[[#Headers],[ID]]))))&amp;"d"))</f>
        <v>5d</v>
      </c>
      <c r="G24" s="130" t="n">
        <f aca="false">IF(IFERROR(INDEX(tsk_Name,(ROW()-ROW(MSPTasks[[#Headers],[ID]])))="",TRUE()),"",INDEX(tsk_FcStart,(ROW()-ROW(MSPTasks[[#Headers],[ID]]))))</f>
        <v>46338</v>
      </c>
      <c r="H24" s="130" t="n">
        <f aca="false">IF(IFERROR(INDEX(tsk_Name,(ROW()-ROW(MSPTasks[[#Headers],[ID]])))="",TRUE()),"",INDEX(tsk_FcFinish,(ROW()-ROW(MSPTasks[[#Headers],[ID]]))))</f>
        <v>46344</v>
      </c>
      <c r="I24" s="24" t="str">
        <f aca="false">IF(IFERROR(INDEX(tsk_Name,(ROW()-ROW(MSPTasks[[#Headers],[ID]])))="",TRUE()),"",IF(INDEX(tsk_IsSummary,(ROW()-ROW(MSPTasks[[#Headers],[ID]]))),"",INDEX(tsk_Predecessors,(ROW()-ROW(MSPTasks[[#Headers],[ID]])))))</f>
        <v>21SS+2d</v>
      </c>
      <c r="J24" s="24" t="str">
        <f aca="false">IF(IFERROR(INDEX(tsk_Name,(ROW()-ROW(MSPTasks[[#Headers],[ID]])))="",TRUE()),"",IF(INDEX(tsk_IsSummary,(ROW()-ROW(MSPTasks[[#Headers],[ID]]))),"",INDEX(tsk_UIDPredecessors,(ROW()-ROW(MSPTasks[[#Headers],[ID]])))))</f>
        <v>21SS+2d</v>
      </c>
      <c r="K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Casey Kim[50%]</v>
      </c>
      <c r="L24" s="24" t="n">
        <f aca="false">IF(IFERROR(INDEX(tsk_Name,(ROW()-ROW(MSPTasks[[#Headers],[ID]])))="",TRUE()),"",IF(INDEX(tsk_IsSummary,(ROW()-ROW(MSPTasks[[#Headers],[ID]]))),"",ROUND(INDEX(tsk_Progress,(ROW()-ROW(MSPTasks[[#Headers],[ID]])))*100,0)))</f>
        <v>0</v>
      </c>
      <c r="M24" s="130" t="str">
        <f aca="false">IF(IFERROR(INDEX(tsk_Name,(ROW()-ROW(MSPTasks[[#Headers],[ID]])))="",TRUE()),"",IF(N(INDEX(tsk_ActStart,(ROW()-ROW(MSPTasks[[#Headers],[ID]]))))=0,"",INDEX(tsk_ActStart,(ROW()-ROW(MSPTasks[[#Headers],[ID]])))))</f>
        <v/>
      </c>
      <c r="N24" s="130" t="str">
        <f aca="false">IF(IFERROR(INDEX(tsk_Name,(ROW()-ROW(MSPTasks[[#Headers],[ID]])))="",TRUE()),"",IF(N(INDEX(tsk_ActFinish,(ROW()-ROW(MSPTasks[[#Headers],[ID]]))))=0,"",INDEX(tsk_ActFinish,(ROW()-ROW(MSPTasks[[#Headers],[ID]])))))</f>
        <v/>
      </c>
      <c r="O24" s="130" t="n">
        <f aca="false">IF(IFERROR(INDEX(tsk_Name,(ROW()-ROW(MSPTasks[[#Headers],[ID]])))="",TRUE()),"",INDEX(tsk_PlanStart,(ROW()-ROW(MSPTasks[[#Headers],[ID]]))))</f>
        <v>46330</v>
      </c>
      <c r="P24" s="130" t="n">
        <f aca="false">IF(IFERROR(INDEX(tsk_Name,(ROW()-ROW(MSPTasks[[#Headers],[ID]])))="",TRUE()),"",INDEX(tsk_PlanFinish,(ROW()-ROW(MSPTasks[[#Headers],[ID]]))))</f>
        <v>46336</v>
      </c>
      <c r="Q24" s="24" t="str">
        <f aca="false">IF(IFERROR(INDEX(tsk_Name,(ROW()-ROW(MSPTasks[[#Headers],[ID]])))="",TRUE()),"",IF(INDEX(tsk_BaseDuration,(ROW()-ROW(MSPTasks[[#Headers],[ID]])))="","",N(INDEX(tsk_BaseDuration,(ROW()-ROW(MSPTasks[[#Headers],[ID]]))))&amp;"d"))</f>
        <v/>
      </c>
      <c r="R24" s="24" t="str">
        <f aca="false">IF(IFERROR(INDEX(tsk_Name,(ROW()-ROW(MSPTasks[[#Headers],[ID]])))="",TRUE()),"",IF(INDEX(tsk_BaseWork,(ROW()-ROW(MSPTasks[[#Headers],[ID]])))="","",N(INDEX(tsk_BaseWork,(ROW()-ROW(MSPTasks[[#Headers],[ID]]))))&amp;"h"))</f>
        <v/>
      </c>
      <c r="S24" s="24" t="str">
        <f aca="false">IF(IFERROR(INDEX(tsk_Name,(ROW()-ROW(MSPTasks[[#Headers],[ID]])))="",TRUE()),"",IF(INDEX(tsk_BaseCost,(ROW()-ROW(MSPTasks[[#Headers],[ID]])))="","",N(INDEX(tsk_BaseCost,(ROW()-ROW(MSPTasks[[#Headers],[ID]]))))))</f>
        <v/>
      </c>
      <c r="T24" s="24" t="str">
        <f aca="false">IF(IFERROR(INDEX(tsk_Name,(ROW()-ROW(MSPTasks[[#Headers],[ID]])))="",TRUE()),"",IF(INDEX(tsk_IsSummary,(ROW()-ROW(MSPTasks[[#Headers],[ID]]))),"",IF(N(INDEX(tsk_ActCostInput,(ROW()-ROW(MSPTasks[[#Headers],[ID]]))))=0,"",INDEX(tsk_ActCostInput,(ROW()-ROW(MSPTasks[[#Headers],[ID]]))))))</f>
        <v/>
      </c>
      <c r="U24"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4" s="130" t="str">
        <f aca="false">IF(IFERROR(INDEX(tsk_Name,(ROW()-ROW(MSPTasks[[#Headers],[ID]])))="",TRUE()),"",IF(OR(INDEX(tsk_IsSummary,(ROW()-ROW(MSPTasks[[#Headers],[ID]]))),INDEX(tsk_Mode,(ROW()-ROW(MSPTasks[[#Headers],[ID]])))="Manual"),"",IF(N(INDEX(tsk_Constraint,(ROW()-ROW(MSPTasks[[#Headers],[ID]]))))=0,"",INDEX(tsk_Constraint,(ROW()-ROW(MSPTasks[[#Headers],[ID]]))))))</f>
        <v/>
      </c>
      <c r="W24" s="130" t="str">
        <f aca="false">IF(IFERROR(INDEX(tsk_Name,(ROW()-ROW(MSPTasks[[#Headers],[ID]])))="",TRUE()),"",IF(N(INDEX(tsk_Deadline,(ROW()-ROW(MSPTasks[[#Headers],[ID]]))))=0,"",INDEX(tsk_Deadline,(ROW()-ROW(MSPTasks[[#Headers],[ID]])))))</f>
        <v/>
      </c>
      <c r="X24" s="24" t="str">
        <f aca="false">IF(IFERROR(INDEX(tsk_Name,(ROW()-ROW(MSPTasks[[#Headers],[ID]])))="",TRUE()),"",IF(INDEX(tsk_IsSummary,(ROW()-ROW(MSPTasks[[#Headers],[ID]]))),"",INDEX(tsk_Sprint,(ROW()-ROW(MSPTasks[[#Headers],[ID]])))&amp;""))</f>
        <v>Sprint 5</v>
      </c>
      <c r="Y24" s="74" t="n">
        <f aca="false">IF(IFERROR(INDEX(tsk_Name,(ROW()-ROW(MSPTasks[[#Headers],[ID]])))="",TRUE()),"",IF(INDEX(tsk_IsSummary,(ROW()-ROW(MSPTasks[[#Headers],[ID]]))),"",IF(N(INDEX(tsk_StoryPoints,(ROW()-ROW(MSPTasks[[#Headers],[ID]]))))=0,"",INDEX(tsk_StoryPoints,(ROW()-ROW(MSPTasks[[#Headers],[ID]]))))))</f>
        <v>3</v>
      </c>
      <c r="Z24" s="24" t="str">
        <f aca="false">IF(IFERROR(INDEX(tsk_Name,(ROW()-ROW(MSPTasks[[#Headers],[ID]])))="",TRUE()),"",INDEX(tsk_Notes,(ROW()-ROW(MSPTasks[[#Headers],[ID]])))&amp;"")</f>
        <v/>
      </c>
    </row>
    <row r="25" customFormat="false" ht="15" hidden="false" customHeight="false" outlineLevel="0" collapsed="false">
      <c r="A25" s="24" t="n">
        <f aca="false">IF(IFERROR(INDEX(tsk_Name,(ROW()-ROW(MSPTasks[[#Headers],[ID]])))="",TRUE()),"",INDEX(tsk_ID,(ROW()-ROW(MSPTasks[[#Headers],[ID]]))))</f>
        <v>24</v>
      </c>
      <c r="B25" s="24" t="n">
        <f aca="false">IF(IFERROR(INDEX(tsk_Name,(ROW()-ROW(MSPTasks[[#Headers],[ID]])))="",TRUE()),"",INDEX(tsk_UID,(ROW()-ROW(MSPTasks[[#Headers],[ID]]))))</f>
        <v>24</v>
      </c>
      <c r="C25" s="24" t="str">
        <f aca="false">IF(IFERROR(INDEX(tsk_Name,(ROW()-ROW(MSPTasks[[#Headers],[ID]])))="",TRUE()),"",INDEX(tsk_Name,(ROW()-ROW(MSPTasks[[#Headers],[ID]]))))</f>
        <v>Go-live readiness review</v>
      </c>
      <c r="D25" s="24" t="n">
        <f aca="false">IF(IFERROR(INDEX(tsk_Name,(ROW()-ROW(MSPTasks[[#Headers],[ID]])))="",TRUE()),"",INDEX(tsk_Level,(ROW()-ROW(MSPTasks[[#Headers],[ID]]))))</f>
        <v>2</v>
      </c>
      <c r="E25" s="24" t="str">
        <f aca="false">IF(IFERROR(INDEX(tsk_Name,(ROW()-ROW(MSPTasks[[#Headers],[ID]])))="",TRUE()),"",IF(INDEX(tsk_Mode,(ROW()-ROW(MSPTasks[[#Headers],[ID]])))="Manual","Manually Scheduled","Auto Scheduled"))</f>
        <v>Auto Scheduled</v>
      </c>
      <c r="F25" s="24" t="str">
        <f aca="false">IF(IFERROR(INDEX(tsk_Name,(ROW()-ROW(MSPTasks[[#Headers],[ID]])))="",TRUE()),"",IF(INDEX(tsk_IsSummary,(ROW()-ROW(MSPTasks[[#Headers],[ID]]))),"",N(INDEX(tsk_Duration,(ROW()-ROW(MSPTasks[[#Headers],[ID]]))))&amp;"d"))</f>
        <v>1d</v>
      </c>
      <c r="G25" s="130" t="n">
        <f aca="false">IF(IFERROR(INDEX(tsk_Name,(ROW()-ROW(MSPTasks[[#Headers],[ID]])))="",TRUE()),"",INDEX(tsk_FcStart,(ROW()-ROW(MSPTasks[[#Headers],[ID]]))))</f>
        <v>46371</v>
      </c>
      <c r="H25" s="130" t="n">
        <f aca="false">IF(IFERROR(INDEX(tsk_Name,(ROW()-ROW(MSPTasks[[#Headers],[ID]])))="",TRUE()),"",INDEX(tsk_FcFinish,(ROW()-ROW(MSPTasks[[#Headers],[ID]]))))</f>
        <v>46371</v>
      </c>
      <c r="I25" s="24" t="str">
        <f aca="false">IF(IFERROR(INDEX(tsk_Name,(ROW()-ROW(MSPTasks[[#Headers],[ID]])))="",TRUE()),"",IF(INDEX(tsk_IsSummary,(ROW()-ROW(MSPTasks[[#Headers],[ID]]))),"",INDEX(tsk_Predecessors,(ROW()-ROW(MSPTasks[[#Headers],[ID]])))))</f>
        <v>22,23</v>
      </c>
      <c r="J25" s="24" t="str">
        <f aca="false">IF(IFERROR(INDEX(tsk_Name,(ROW()-ROW(MSPTasks[[#Headers],[ID]])))="",TRUE()),"",IF(INDEX(tsk_IsSummary,(ROW()-ROW(MSPTasks[[#Headers],[ID]]))),"",INDEX(tsk_UIDPredecessors,(ROW()-ROW(MSPTasks[[#Headers],[ID]])))))</f>
        <v>22,23</v>
      </c>
      <c r="K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25" s="24" t="n">
        <f aca="false">IF(IFERROR(INDEX(tsk_Name,(ROW()-ROW(MSPTasks[[#Headers],[ID]])))="",TRUE()),"",IF(INDEX(tsk_IsSummary,(ROW()-ROW(MSPTasks[[#Headers],[ID]]))),"",ROUND(INDEX(tsk_Progress,(ROW()-ROW(MSPTasks[[#Headers],[ID]])))*100,0)))</f>
        <v>0</v>
      </c>
      <c r="M25" s="130" t="str">
        <f aca="false">IF(IFERROR(INDEX(tsk_Name,(ROW()-ROW(MSPTasks[[#Headers],[ID]])))="",TRUE()),"",IF(N(INDEX(tsk_ActStart,(ROW()-ROW(MSPTasks[[#Headers],[ID]]))))=0,"",INDEX(tsk_ActStart,(ROW()-ROW(MSPTasks[[#Headers],[ID]])))))</f>
        <v/>
      </c>
      <c r="N25" s="130" t="str">
        <f aca="false">IF(IFERROR(INDEX(tsk_Name,(ROW()-ROW(MSPTasks[[#Headers],[ID]])))="",TRUE()),"",IF(N(INDEX(tsk_ActFinish,(ROW()-ROW(MSPTasks[[#Headers],[ID]]))))=0,"",INDEX(tsk_ActFinish,(ROW()-ROW(MSPTasks[[#Headers],[ID]])))))</f>
        <v/>
      </c>
      <c r="O25" s="130" t="n">
        <f aca="false">IF(IFERROR(INDEX(tsk_Name,(ROW()-ROW(MSPTasks[[#Headers],[ID]])))="",TRUE()),"",INDEX(tsk_PlanStart,(ROW()-ROW(MSPTasks[[#Headers],[ID]]))))</f>
        <v>46371</v>
      </c>
      <c r="P25" s="130" t="n">
        <f aca="false">IF(IFERROR(INDEX(tsk_Name,(ROW()-ROW(MSPTasks[[#Headers],[ID]])))="",TRUE()),"",INDEX(tsk_PlanFinish,(ROW()-ROW(MSPTasks[[#Headers],[ID]]))))</f>
        <v>46371</v>
      </c>
      <c r="Q25" s="24" t="str">
        <f aca="false">IF(IFERROR(INDEX(tsk_Name,(ROW()-ROW(MSPTasks[[#Headers],[ID]])))="",TRUE()),"",IF(INDEX(tsk_BaseDuration,(ROW()-ROW(MSPTasks[[#Headers],[ID]])))="","",N(INDEX(tsk_BaseDuration,(ROW()-ROW(MSPTasks[[#Headers],[ID]]))))&amp;"d"))</f>
        <v/>
      </c>
      <c r="R25" s="24" t="str">
        <f aca="false">IF(IFERROR(INDEX(tsk_Name,(ROW()-ROW(MSPTasks[[#Headers],[ID]])))="",TRUE()),"",IF(INDEX(tsk_BaseWork,(ROW()-ROW(MSPTasks[[#Headers],[ID]])))="","",N(INDEX(tsk_BaseWork,(ROW()-ROW(MSPTasks[[#Headers],[ID]]))))&amp;"h"))</f>
        <v/>
      </c>
      <c r="S25" s="24" t="str">
        <f aca="false">IF(IFERROR(INDEX(tsk_Name,(ROW()-ROW(MSPTasks[[#Headers],[ID]])))="",TRUE()),"",IF(INDEX(tsk_BaseCost,(ROW()-ROW(MSPTasks[[#Headers],[ID]])))="","",N(INDEX(tsk_BaseCost,(ROW()-ROW(MSPTasks[[#Headers],[ID]]))))))</f>
        <v/>
      </c>
      <c r="T25" s="24" t="str">
        <f aca="false">IF(IFERROR(INDEX(tsk_Name,(ROW()-ROW(MSPTasks[[#Headers],[ID]])))="",TRUE()),"",IF(INDEX(tsk_IsSummary,(ROW()-ROW(MSPTasks[[#Headers],[ID]]))),"",IF(N(INDEX(tsk_ActCostInput,(ROW()-ROW(MSPTasks[[#Headers],[ID]]))))=0,"",INDEX(tsk_ActCostInput,(ROW()-ROW(MSPTasks[[#Headers],[ID]]))))))</f>
        <v/>
      </c>
      <c r="U25"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5" s="130" t="str">
        <f aca="false">IF(IFERROR(INDEX(tsk_Name,(ROW()-ROW(MSPTasks[[#Headers],[ID]])))="",TRUE()),"",IF(OR(INDEX(tsk_IsSummary,(ROW()-ROW(MSPTasks[[#Headers],[ID]]))),INDEX(tsk_Mode,(ROW()-ROW(MSPTasks[[#Headers],[ID]])))="Manual"),"",IF(N(INDEX(tsk_Constraint,(ROW()-ROW(MSPTasks[[#Headers],[ID]]))))=0,"",INDEX(tsk_Constraint,(ROW()-ROW(MSPTasks[[#Headers],[ID]]))))))</f>
        <v/>
      </c>
      <c r="W25" s="130" t="str">
        <f aca="false">IF(IFERROR(INDEX(tsk_Name,(ROW()-ROW(MSPTasks[[#Headers],[ID]])))="",TRUE()),"",IF(N(INDEX(tsk_Deadline,(ROW()-ROW(MSPTasks[[#Headers],[ID]]))))=0,"",INDEX(tsk_Deadline,(ROW()-ROW(MSPTasks[[#Headers],[ID]])))))</f>
        <v/>
      </c>
      <c r="X25" s="24" t="str">
        <f aca="false">IF(IFERROR(INDEX(tsk_Name,(ROW()-ROW(MSPTasks[[#Headers],[ID]])))="",TRUE()),"",IF(INDEX(tsk_IsSummary,(ROW()-ROW(MSPTasks[[#Headers],[ID]]))),"",INDEX(tsk_Sprint,(ROW()-ROW(MSPTasks[[#Headers],[ID]])))&amp;""))</f>
        <v>Sprint 8</v>
      </c>
      <c r="Y25" s="74" t="n">
        <f aca="false">IF(IFERROR(INDEX(tsk_Name,(ROW()-ROW(MSPTasks[[#Headers],[ID]])))="",TRUE()),"",IF(INDEX(tsk_IsSummary,(ROW()-ROW(MSPTasks[[#Headers],[ID]]))),"",IF(N(INDEX(tsk_StoryPoints,(ROW()-ROW(MSPTasks[[#Headers],[ID]]))))=0,"",INDEX(tsk_StoryPoints,(ROW()-ROW(MSPTasks[[#Headers],[ID]]))))))</f>
        <v>1</v>
      </c>
      <c r="Z25" s="24" t="str">
        <f aca="false">IF(IFERROR(INDEX(tsk_Name,(ROW()-ROW(MSPTasks[[#Headers],[ID]])))="",TRUE()),"",INDEX(tsk_Notes,(ROW()-ROW(MSPTasks[[#Headers],[ID]])))&amp;"")</f>
        <v/>
      </c>
    </row>
    <row r="26" customFormat="false" ht="15" hidden="false" customHeight="false" outlineLevel="0" collapsed="false">
      <c r="A26" s="24" t="n">
        <f aca="false">IF(IFERROR(INDEX(tsk_Name,(ROW()-ROW(MSPTasks[[#Headers],[ID]])))="",TRUE()),"",INDEX(tsk_ID,(ROW()-ROW(MSPTasks[[#Headers],[ID]]))))</f>
        <v>25</v>
      </c>
      <c r="B26" s="24" t="n">
        <f aca="false">IF(IFERROR(INDEX(tsk_Name,(ROW()-ROW(MSPTasks[[#Headers],[ID]])))="",TRUE()),"",INDEX(tsk_UID,(ROW()-ROW(MSPTasks[[#Headers],[ID]]))))</f>
        <v>25</v>
      </c>
      <c r="C26" s="24" t="str">
        <f aca="false">IF(IFERROR(INDEX(tsk_Name,(ROW()-ROW(MSPTasks[[#Headers],[ID]])))="",TRUE()),"",INDEX(tsk_Name,(ROW()-ROW(MSPTasks[[#Headers],[ID]]))))</f>
        <v>Go-live</v>
      </c>
      <c r="D26" s="24" t="n">
        <f aca="false">IF(IFERROR(INDEX(tsk_Name,(ROW()-ROW(MSPTasks[[#Headers],[ID]])))="",TRUE()),"",INDEX(tsk_Level,(ROW()-ROW(MSPTasks[[#Headers],[ID]]))))</f>
        <v>2</v>
      </c>
      <c r="E26" s="24" t="str">
        <f aca="false">IF(IFERROR(INDEX(tsk_Name,(ROW()-ROW(MSPTasks[[#Headers],[ID]])))="",TRUE()),"",IF(INDEX(tsk_Mode,(ROW()-ROW(MSPTasks[[#Headers],[ID]])))="Manual","Manually Scheduled","Auto Scheduled"))</f>
        <v>Auto Scheduled</v>
      </c>
      <c r="F26" s="24" t="str">
        <f aca="false">IF(IFERROR(INDEX(tsk_Name,(ROW()-ROW(MSPTasks[[#Headers],[ID]])))="",TRUE()),"",IF(INDEX(tsk_IsSummary,(ROW()-ROW(MSPTasks[[#Headers],[ID]]))),"",N(INDEX(tsk_Duration,(ROW()-ROW(MSPTasks[[#Headers],[ID]]))))&amp;"d"))</f>
        <v>0d</v>
      </c>
      <c r="G26" s="130" t="n">
        <f aca="false">IF(IFERROR(INDEX(tsk_Name,(ROW()-ROW(MSPTasks[[#Headers],[ID]])))="",TRUE()),"",INDEX(tsk_FcStart,(ROW()-ROW(MSPTasks[[#Headers],[ID]]))))</f>
        <v>46371</v>
      </c>
      <c r="H26" s="130" t="n">
        <f aca="false">IF(IFERROR(INDEX(tsk_Name,(ROW()-ROW(MSPTasks[[#Headers],[ID]])))="",TRUE()),"",INDEX(tsk_FcFinish,(ROW()-ROW(MSPTasks[[#Headers],[ID]]))))</f>
        <v>46371</v>
      </c>
      <c r="I26" s="24" t="str">
        <f aca="false">IF(IFERROR(INDEX(tsk_Name,(ROW()-ROW(MSPTasks[[#Headers],[ID]])))="",TRUE()),"",IF(INDEX(tsk_IsSummary,(ROW()-ROW(MSPTasks[[#Headers],[ID]]))),"",INDEX(tsk_Predecessors,(ROW()-ROW(MSPTasks[[#Headers],[ID]])))))</f>
        <v>24</v>
      </c>
      <c r="J26" s="24" t="str">
        <f aca="false">IF(IFERROR(INDEX(tsk_Name,(ROW()-ROW(MSPTasks[[#Headers],[ID]])))="",TRUE()),"",IF(INDEX(tsk_IsSummary,(ROW()-ROW(MSPTasks[[#Headers],[ID]]))),"",INDEX(tsk_UIDPredecessors,(ROW()-ROW(MSPTasks[[#Headers],[ID]])))))</f>
        <v>24</v>
      </c>
      <c r="K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6" s="24" t="n">
        <f aca="false">IF(IFERROR(INDEX(tsk_Name,(ROW()-ROW(MSPTasks[[#Headers],[ID]])))="",TRUE()),"",IF(INDEX(tsk_IsSummary,(ROW()-ROW(MSPTasks[[#Headers],[ID]]))),"",ROUND(INDEX(tsk_Progress,(ROW()-ROW(MSPTasks[[#Headers],[ID]])))*100,0)))</f>
        <v>0</v>
      </c>
      <c r="M26" s="130" t="str">
        <f aca="false">IF(IFERROR(INDEX(tsk_Name,(ROW()-ROW(MSPTasks[[#Headers],[ID]])))="",TRUE()),"",IF(N(INDEX(tsk_ActStart,(ROW()-ROW(MSPTasks[[#Headers],[ID]]))))=0,"",INDEX(tsk_ActStart,(ROW()-ROW(MSPTasks[[#Headers],[ID]])))))</f>
        <v/>
      </c>
      <c r="N26" s="130" t="str">
        <f aca="false">IF(IFERROR(INDEX(tsk_Name,(ROW()-ROW(MSPTasks[[#Headers],[ID]])))="",TRUE()),"",IF(N(INDEX(tsk_ActFinish,(ROW()-ROW(MSPTasks[[#Headers],[ID]]))))=0,"",INDEX(tsk_ActFinish,(ROW()-ROW(MSPTasks[[#Headers],[ID]])))))</f>
        <v/>
      </c>
      <c r="O26" s="130" t="n">
        <f aca="false">IF(IFERROR(INDEX(tsk_Name,(ROW()-ROW(MSPTasks[[#Headers],[ID]])))="",TRUE()),"",INDEX(tsk_PlanStart,(ROW()-ROW(MSPTasks[[#Headers],[ID]]))))</f>
        <v>46371</v>
      </c>
      <c r="P26" s="130" t="n">
        <f aca="false">IF(IFERROR(INDEX(tsk_Name,(ROW()-ROW(MSPTasks[[#Headers],[ID]])))="",TRUE()),"",INDEX(tsk_PlanFinish,(ROW()-ROW(MSPTasks[[#Headers],[ID]]))))</f>
        <v>46371</v>
      </c>
      <c r="Q26" s="24" t="str">
        <f aca="false">IF(IFERROR(INDEX(tsk_Name,(ROW()-ROW(MSPTasks[[#Headers],[ID]])))="",TRUE()),"",IF(INDEX(tsk_BaseDuration,(ROW()-ROW(MSPTasks[[#Headers],[ID]])))="","",N(INDEX(tsk_BaseDuration,(ROW()-ROW(MSPTasks[[#Headers],[ID]]))))&amp;"d"))</f>
        <v/>
      </c>
      <c r="R26" s="24" t="str">
        <f aca="false">IF(IFERROR(INDEX(tsk_Name,(ROW()-ROW(MSPTasks[[#Headers],[ID]])))="",TRUE()),"",IF(INDEX(tsk_BaseWork,(ROW()-ROW(MSPTasks[[#Headers],[ID]])))="","",N(INDEX(tsk_BaseWork,(ROW()-ROW(MSPTasks[[#Headers],[ID]]))))&amp;"h"))</f>
        <v/>
      </c>
      <c r="S26" s="24" t="str">
        <f aca="false">IF(IFERROR(INDEX(tsk_Name,(ROW()-ROW(MSPTasks[[#Headers],[ID]])))="",TRUE()),"",IF(INDEX(tsk_BaseCost,(ROW()-ROW(MSPTasks[[#Headers],[ID]])))="","",N(INDEX(tsk_BaseCost,(ROW()-ROW(MSPTasks[[#Headers],[ID]]))))))</f>
        <v/>
      </c>
      <c r="T26" s="24" t="str">
        <f aca="false">IF(IFERROR(INDEX(tsk_Name,(ROW()-ROW(MSPTasks[[#Headers],[ID]])))="",TRUE()),"",IF(INDEX(tsk_IsSummary,(ROW()-ROW(MSPTasks[[#Headers],[ID]]))),"",IF(N(INDEX(tsk_ActCostInput,(ROW()-ROW(MSPTasks[[#Headers],[ID]]))))=0,"",INDEX(tsk_ActCostInput,(ROW()-ROW(MSPTasks[[#Headers],[ID]]))))))</f>
        <v/>
      </c>
      <c r="U26"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6" s="130" t="str">
        <f aca="false">IF(IFERROR(INDEX(tsk_Name,(ROW()-ROW(MSPTasks[[#Headers],[ID]])))="",TRUE()),"",IF(OR(INDEX(tsk_IsSummary,(ROW()-ROW(MSPTasks[[#Headers],[ID]]))),INDEX(tsk_Mode,(ROW()-ROW(MSPTasks[[#Headers],[ID]])))="Manual"),"",IF(N(INDEX(tsk_Constraint,(ROW()-ROW(MSPTasks[[#Headers],[ID]]))))=0,"",INDEX(tsk_Constraint,(ROW()-ROW(MSPTasks[[#Headers],[ID]]))))))</f>
        <v/>
      </c>
      <c r="W26" s="130" t="n">
        <f aca="false">IF(IFERROR(INDEX(tsk_Name,(ROW()-ROW(MSPTasks[[#Headers],[ID]])))="",TRUE()),"",IF(N(INDEX(tsk_Deadline,(ROW()-ROW(MSPTasks[[#Headers],[ID]]))))=0,"",INDEX(tsk_Deadline,(ROW()-ROW(MSPTasks[[#Headers],[ID]])))))</f>
        <v>46374</v>
      </c>
      <c r="X26" s="24" t="str">
        <f aca="false">IF(IFERROR(INDEX(tsk_Name,(ROW()-ROW(MSPTasks[[#Headers],[ID]])))="",TRUE()),"",IF(INDEX(tsk_IsSummary,(ROW()-ROW(MSPTasks[[#Headers],[ID]]))),"",INDEX(tsk_Sprint,(ROW()-ROW(MSPTasks[[#Headers],[ID]])))&amp;""))</f>
        <v>Sprint 8</v>
      </c>
      <c r="Y26" s="24" t="str">
        <f aca="false">IF(IFERROR(INDEX(tsk_Name,(ROW()-ROW(MSPTasks[[#Headers],[ID]])))="",TRUE()),"",IF(INDEX(tsk_IsSummary,(ROW()-ROW(MSPTasks[[#Headers],[ID]]))),"",IF(N(INDEX(tsk_StoryPoints,(ROW()-ROW(MSPTasks[[#Headers],[ID]]))))=0,"",INDEX(tsk_StoryPoints,(ROW()-ROW(MSPTasks[[#Headers],[ID]]))))))</f>
        <v/>
      </c>
      <c r="Z26" s="24" t="str">
        <f aca="false">IF(IFERROR(INDEX(tsk_Name,(ROW()-ROW(MSPTasks[[#Headers],[ID]])))="",TRUE()),"",INDEX(tsk_Notes,(ROW()-ROW(MSPTasks[[#Headers],[ID]])))&amp;"")</f>
        <v>Milestone with a deadline of 18-Dec.</v>
      </c>
    </row>
    <row r="27" customFormat="false" ht="15" hidden="false" customHeight="false" outlineLevel="0" collapsed="false">
      <c r="A27" s="24" t="n">
        <f aca="false">IF(IFERROR(INDEX(tsk_Name,(ROW()-ROW(MSPTasks[[#Headers],[ID]])))="",TRUE()),"",INDEX(tsk_ID,(ROW()-ROW(MSPTasks[[#Headers],[ID]]))))</f>
        <v>26</v>
      </c>
      <c r="B27" s="24" t="n">
        <f aca="false">IF(IFERROR(INDEX(tsk_Name,(ROW()-ROW(MSPTasks[[#Headers],[ID]])))="",TRUE()),"",INDEX(tsk_UID,(ROW()-ROW(MSPTasks[[#Headers],[ID]]))))</f>
        <v>26</v>
      </c>
      <c r="C27" s="24" t="str">
        <f aca="false">IF(IFERROR(INDEX(tsk_Name,(ROW()-ROW(MSPTasks[[#Headers],[ID]])))="",TRUE()),"",INDEX(tsk_Name,(ROW()-ROW(MSPTasks[[#Headers],[ID]]))))</f>
        <v>Hypercare support</v>
      </c>
      <c r="D27" s="24" t="n">
        <f aca="false">IF(IFERROR(INDEX(tsk_Name,(ROW()-ROW(MSPTasks[[#Headers],[ID]])))="",TRUE()),"",INDEX(tsk_Level,(ROW()-ROW(MSPTasks[[#Headers],[ID]]))))</f>
        <v>2</v>
      </c>
      <c r="E27" s="24" t="str">
        <f aca="false">IF(IFERROR(INDEX(tsk_Name,(ROW()-ROW(MSPTasks[[#Headers],[ID]])))="",TRUE()),"",IF(INDEX(tsk_Mode,(ROW()-ROW(MSPTasks[[#Headers],[ID]])))="Manual","Manually Scheduled","Auto Scheduled"))</f>
        <v>Auto Scheduled</v>
      </c>
      <c r="F27" s="24" t="str">
        <f aca="false">IF(IFERROR(INDEX(tsk_Name,(ROW()-ROW(MSPTasks[[#Headers],[ID]])))="",TRUE()),"",IF(INDEX(tsk_IsSummary,(ROW()-ROW(MSPTasks[[#Headers],[ID]]))),"",N(INDEX(tsk_Duration,(ROW()-ROW(MSPTasks[[#Headers],[ID]]))))&amp;"d"))</f>
        <v>10d</v>
      </c>
      <c r="G27" s="130" t="n">
        <f aca="false">IF(IFERROR(INDEX(tsk_Name,(ROW()-ROW(MSPTasks[[#Headers],[ID]])))="",TRUE()),"",INDEX(tsk_FcStart,(ROW()-ROW(MSPTasks[[#Headers],[ID]]))))</f>
        <v>46372</v>
      </c>
      <c r="H27" s="130" t="n">
        <f aca="false">IF(IFERROR(INDEX(tsk_Name,(ROW()-ROW(MSPTasks[[#Headers],[ID]])))="",TRUE()),"",INDEX(tsk_FcFinish,(ROW()-ROW(MSPTasks[[#Headers],[ID]]))))</f>
        <v>46391</v>
      </c>
      <c r="I27" s="24" t="str">
        <f aca="false">IF(IFERROR(INDEX(tsk_Name,(ROW()-ROW(MSPTasks[[#Headers],[ID]])))="",TRUE()),"",IF(INDEX(tsk_IsSummary,(ROW()-ROW(MSPTasks[[#Headers],[ID]]))),"",INDEX(tsk_Predecessors,(ROW()-ROW(MSPTasks[[#Headers],[ID]])))))</f>
        <v>25</v>
      </c>
      <c r="J27" s="24" t="str">
        <f aca="false">IF(IFERROR(INDEX(tsk_Name,(ROW()-ROW(MSPTasks[[#Headers],[ID]])))="",TRUE()),"",IF(INDEX(tsk_IsSummary,(ROW()-ROW(MSPTasks[[#Headers],[ID]]))),"",INDEX(tsk_UIDPredecessors,(ROW()-ROW(MSPTasks[[#Headers],[ID]])))))</f>
        <v>25</v>
      </c>
      <c r="K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Jordan Lee[50%]</v>
      </c>
      <c r="L27" s="24" t="n">
        <f aca="false">IF(IFERROR(INDEX(tsk_Name,(ROW()-ROW(MSPTasks[[#Headers],[ID]])))="",TRUE()),"",IF(INDEX(tsk_IsSummary,(ROW()-ROW(MSPTasks[[#Headers],[ID]]))),"",ROUND(INDEX(tsk_Progress,(ROW()-ROW(MSPTasks[[#Headers],[ID]])))*100,0)))</f>
        <v>0</v>
      </c>
      <c r="M27" s="130" t="str">
        <f aca="false">IF(IFERROR(INDEX(tsk_Name,(ROW()-ROW(MSPTasks[[#Headers],[ID]])))="",TRUE()),"",IF(N(INDEX(tsk_ActStart,(ROW()-ROW(MSPTasks[[#Headers],[ID]]))))=0,"",INDEX(tsk_ActStart,(ROW()-ROW(MSPTasks[[#Headers],[ID]])))))</f>
        <v/>
      </c>
      <c r="N27" s="130" t="str">
        <f aca="false">IF(IFERROR(INDEX(tsk_Name,(ROW()-ROW(MSPTasks[[#Headers],[ID]])))="",TRUE()),"",IF(N(INDEX(tsk_ActFinish,(ROW()-ROW(MSPTasks[[#Headers],[ID]]))))=0,"",INDEX(tsk_ActFinish,(ROW()-ROW(MSPTasks[[#Headers],[ID]])))))</f>
        <v/>
      </c>
      <c r="O27" s="130" t="n">
        <f aca="false">IF(IFERROR(INDEX(tsk_Name,(ROW()-ROW(MSPTasks[[#Headers],[ID]])))="",TRUE()),"",INDEX(tsk_PlanStart,(ROW()-ROW(MSPTasks[[#Headers],[ID]]))))</f>
        <v>46372</v>
      </c>
      <c r="P27" s="130" t="n">
        <f aca="false">IF(IFERROR(INDEX(tsk_Name,(ROW()-ROW(MSPTasks[[#Headers],[ID]])))="",TRUE()),"",INDEX(tsk_PlanFinish,(ROW()-ROW(MSPTasks[[#Headers],[ID]]))))</f>
        <v>46391</v>
      </c>
      <c r="Q27" s="24" t="str">
        <f aca="false">IF(IFERROR(INDEX(tsk_Name,(ROW()-ROW(MSPTasks[[#Headers],[ID]])))="",TRUE()),"",IF(INDEX(tsk_BaseDuration,(ROW()-ROW(MSPTasks[[#Headers],[ID]])))="","",N(INDEX(tsk_BaseDuration,(ROW()-ROW(MSPTasks[[#Headers],[ID]]))))&amp;"d"))</f>
        <v/>
      </c>
      <c r="R27" s="24" t="str">
        <f aca="false">IF(IFERROR(INDEX(tsk_Name,(ROW()-ROW(MSPTasks[[#Headers],[ID]])))="",TRUE()),"",IF(INDEX(tsk_BaseWork,(ROW()-ROW(MSPTasks[[#Headers],[ID]])))="","",N(INDEX(tsk_BaseWork,(ROW()-ROW(MSPTasks[[#Headers],[ID]]))))&amp;"h"))</f>
        <v/>
      </c>
      <c r="S27" s="24" t="str">
        <f aca="false">IF(IFERROR(INDEX(tsk_Name,(ROW()-ROW(MSPTasks[[#Headers],[ID]])))="",TRUE()),"",IF(INDEX(tsk_BaseCost,(ROW()-ROW(MSPTasks[[#Headers],[ID]])))="","",N(INDEX(tsk_BaseCost,(ROW()-ROW(MSPTasks[[#Headers],[ID]]))))))</f>
        <v/>
      </c>
      <c r="T27" s="24" t="str">
        <f aca="false">IF(IFERROR(INDEX(tsk_Name,(ROW()-ROW(MSPTasks[[#Headers],[ID]])))="",TRUE()),"",IF(INDEX(tsk_IsSummary,(ROW()-ROW(MSPTasks[[#Headers],[ID]]))),"",IF(N(INDEX(tsk_ActCostInput,(ROW()-ROW(MSPTasks[[#Headers],[ID]]))))=0,"",INDEX(tsk_ActCostInput,(ROW()-ROW(MSPTasks[[#Headers],[ID]]))))))</f>
        <v/>
      </c>
      <c r="U27"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7" s="130" t="str">
        <f aca="false">IF(IFERROR(INDEX(tsk_Name,(ROW()-ROW(MSPTasks[[#Headers],[ID]])))="",TRUE()),"",IF(OR(INDEX(tsk_IsSummary,(ROW()-ROW(MSPTasks[[#Headers],[ID]]))),INDEX(tsk_Mode,(ROW()-ROW(MSPTasks[[#Headers],[ID]])))="Manual"),"",IF(N(INDEX(tsk_Constraint,(ROW()-ROW(MSPTasks[[#Headers],[ID]]))))=0,"",INDEX(tsk_Constraint,(ROW()-ROW(MSPTasks[[#Headers],[ID]]))))))</f>
        <v/>
      </c>
      <c r="W27" s="130" t="str">
        <f aca="false">IF(IFERROR(INDEX(tsk_Name,(ROW()-ROW(MSPTasks[[#Headers],[ID]])))="",TRUE()),"",IF(N(INDEX(tsk_Deadline,(ROW()-ROW(MSPTasks[[#Headers],[ID]]))))=0,"",INDEX(tsk_Deadline,(ROW()-ROW(MSPTasks[[#Headers],[ID]])))))</f>
        <v/>
      </c>
      <c r="X27" s="24" t="str">
        <f aca="false">IF(IFERROR(INDEX(tsk_Name,(ROW()-ROW(MSPTasks[[#Headers],[ID]])))="",TRUE()),"",IF(INDEX(tsk_IsSummary,(ROW()-ROW(MSPTasks[[#Headers],[ID]]))),"",INDEX(tsk_Sprint,(ROW()-ROW(MSPTasks[[#Headers],[ID]])))&amp;""))</f>
        <v>Sprint 8</v>
      </c>
      <c r="Y27" s="74" t="n">
        <f aca="false">IF(IFERROR(INDEX(tsk_Name,(ROW()-ROW(MSPTasks[[#Headers],[ID]])))="",TRUE()),"",IF(INDEX(tsk_IsSummary,(ROW()-ROW(MSPTasks[[#Headers],[ID]]))),"",IF(N(INDEX(tsk_StoryPoints,(ROW()-ROW(MSPTasks[[#Headers],[ID]]))))=0,"",INDEX(tsk_StoryPoints,(ROW()-ROW(MSPTasks[[#Headers],[ID]]))))))</f>
        <v>5</v>
      </c>
      <c r="Z27" s="24" t="str">
        <f aca="false">IF(IFERROR(INDEX(tsk_Name,(ROW()-ROW(MSPTasks[[#Headers],[ID]])))="",TRUE()),"",INDEX(tsk_Notes,(ROW()-ROW(MSPTasks[[#Headers],[ID]])))&amp;"")</f>
        <v/>
      </c>
    </row>
    <row r="28" customFormat="false" ht="15" hidden="false" customHeight="false" outlineLevel="0" collapsed="false">
      <c r="A28" s="24" t="n">
        <f aca="false">IF(IFERROR(INDEX(tsk_Name,(ROW()-ROW(MSPTasks[[#Headers],[ID]])))="",TRUE()),"",INDEX(tsk_ID,(ROW()-ROW(MSPTasks[[#Headers],[ID]]))))</f>
        <v>27</v>
      </c>
      <c r="B28" s="24" t="n">
        <f aca="false">IF(IFERROR(INDEX(tsk_Name,(ROW()-ROW(MSPTasks[[#Headers],[ID]])))="",TRUE()),"",INDEX(tsk_UID,(ROW()-ROW(MSPTasks[[#Headers],[ID]]))))</f>
        <v>27</v>
      </c>
      <c r="C28" s="24" t="str">
        <f aca="false">IF(IFERROR(INDEX(tsk_Name,(ROW()-ROW(MSPTasks[[#Headers],[ID]])))="",TRUE()),"",INDEX(tsk_Name,(ROW()-ROW(MSPTasks[[#Headers],[ID]]))))</f>
        <v>Project Close</v>
      </c>
      <c r="D28" s="24" t="n">
        <f aca="false">IF(IFERROR(INDEX(tsk_Name,(ROW()-ROW(MSPTasks[[#Headers],[ID]])))="",TRUE()),"",INDEX(tsk_Level,(ROW()-ROW(MSPTasks[[#Headers],[ID]]))))</f>
        <v>1</v>
      </c>
      <c r="E28" s="24" t="str">
        <f aca="false">IF(IFERROR(INDEX(tsk_Name,(ROW()-ROW(MSPTasks[[#Headers],[ID]])))="",TRUE()),"",IF(INDEX(tsk_Mode,(ROW()-ROW(MSPTasks[[#Headers],[ID]])))="Manual","Manually Scheduled","Auto Scheduled"))</f>
        <v>Auto Scheduled</v>
      </c>
      <c r="F28" s="24" t="str">
        <f aca="false">IF(IFERROR(INDEX(tsk_Name,(ROW()-ROW(MSPTasks[[#Headers],[ID]])))="",TRUE()),"",IF(INDEX(tsk_IsSummary,(ROW()-ROW(MSPTasks[[#Headers],[ID]]))),"",N(INDEX(tsk_Duration,(ROW()-ROW(MSPTasks[[#Headers],[ID]]))))&amp;"d"))</f>
        <v/>
      </c>
      <c r="G28" s="130" t="n">
        <f aca="false">IF(IFERROR(INDEX(tsk_Name,(ROW()-ROW(MSPTasks[[#Headers],[ID]])))="",TRUE()),"",INDEX(tsk_FcStart,(ROW()-ROW(MSPTasks[[#Headers],[ID]]))))</f>
        <v>46342</v>
      </c>
      <c r="H28" s="130" t="n">
        <f aca="false">IF(IFERROR(INDEX(tsk_Name,(ROW()-ROW(MSPTasks[[#Headers],[ID]])))="",TRUE()),"",INDEX(tsk_FcFinish,(ROW()-ROW(MSPTasks[[#Headers],[ID]]))))</f>
        <v>46393</v>
      </c>
      <c r="I28" s="24" t="str">
        <f aca="false">IF(IFERROR(INDEX(tsk_Name,(ROW()-ROW(MSPTasks[[#Headers],[ID]])))="",TRUE()),"",IF(INDEX(tsk_IsSummary,(ROW()-ROW(MSPTasks[[#Headers],[ID]]))),"",INDEX(tsk_Predecessors,(ROW()-ROW(MSPTasks[[#Headers],[ID]])))))</f>
        <v/>
      </c>
      <c r="J28" s="24" t="str">
        <f aca="false">IF(IFERROR(INDEX(tsk_Name,(ROW()-ROW(MSPTasks[[#Headers],[ID]])))="",TRUE()),"",IF(INDEX(tsk_IsSummary,(ROW()-ROW(MSPTasks[[#Headers],[ID]]))),"",INDEX(tsk_UIDPredecessors,(ROW()-ROW(MSPTasks[[#Headers],[ID]])))))</f>
        <v/>
      </c>
      <c r="K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8" s="24" t="str">
        <f aca="false">IF(IFERROR(INDEX(tsk_Name,(ROW()-ROW(MSPTasks[[#Headers],[ID]])))="",TRUE()),"",IF(INDEX(tsk_IsSummary,(ROW()-ROW(MSPTasks[[#Headers],[ID]]))),"",ROUND(INDEX(tsk_Progress,(ROW()-ROW(MSPTasks[[#Headers],[ID]])))*100,0)))</f>
        <v/>
      </c>
      <c r="M28" s="130" t="str">
        <f aca="false">IF(IFERROR(INDEX(tsk_Name,(ROW()-ROW(MSPTasks[[#Headers],[ID]])))="",TRUE()),"",IF(N(INDEX(tsk_ActStart,(ROW()-ROW(MSPTasks[[#Headers],[ID]]))))=0,"",INDEX(tsk_ActStart,(ROW()-ROW(MSPTasks[[#Headers],[ID]])))))</f>
        <v/>
      </c>
      <c r="N28" s="130" t="str">
        <f aca="false">IF(IFERROR(INDEX(tsk_Name,(ROW()-ROW(MSPTasks[[#Headers],[ID]])))="",TRUE()),"",IF(N(INDEX(tsk_ActFinish,(ROW()-ROW(MSPTasks[[#Headers],[ID]]))))=0,"",INDEX(tsk_ActFinish,(ROW()-ROW(MSPTasks[[#Headers],[ID]])))))</f>
        <v/>
      </c>
      <c r="O28" s="130" t="n">
        <f aca="false">IF(IFERROR(INDEX(tsk_Name,(ROW()-ROW(MSPTasks[[#Headers],[ID]])))="",TRUE()),"",INDEX(tsk_PlanStart,(ROW()-ROW(MSPTasks[[#Headers],[ID]]))))</f>
        <v>46342</v>
      </c>
      <c r="P28" s="130" t="n">
        <f aca="false">IF(IFERROR(INDEX(tsk_Name,(ROW()-ROW(MSPTasks[[#Headers],[ID]])))="",TRUE()),"",INDEX(tsk_PlanFinish,(ROW()-ROW(MSPTasks[[#Headers],[ID]]))))</f>
        <v>46393</v>
      </c>
      <c r="Q28" s="24" t="str">
        <f aca="false">IF(IFERROR(INDEX(tsk_Name,(ROW()-ROW(MSPTasks[[#Headers],[ID]])))="",TRUE()),"",IF(INDEX(tsk_BaseDuration,(ROW()-ROW(MSPTasks[[#Headers],[ID]])))="","",N(INDEX(tsk_BaseDuration,(ROW()-ROW(MSPTasks[[#Headers],[ID]]))))&amp;"d"))</f>
        <v/>
      </c>
      <c r="R28" s="24" t="str">
        <f aca="false">IF(IFERROR(INDEX(tsk_Name,(ROW()-ROW(MSPTasks[[#Headers],[ID]])))="",TRUE()),"",IF(INDEX(tsk_BaseWork,(ROW()-ROW(MSPTasks[[#Headers],[ID]])))="","",N(INDEX(tsk_BaseWork,(ROW()-ROW(MSPTasks[[#Headers],[ID]]))))&amp;"h"))</f>
        <v/>
      </c>
      <c r="S28" s="24" t="str">
        <f aca="false">IF(IFERROR(INDEX(tsk_Name,(ROW()-ROW(MSPTasks[[#Headers],[ID]])))="",TRUE()),"",IF(INDEX(tsk_BaseCost,(ROW()-ROW(MSPTasks[[#Headers],[ID]])))="","",N(INDEX(tsk_BaseCost,(ROW()-ROW(MSPTasks[[#Headers],[ID]]))))))</f>
        <v/>
      </c>
      <c r="T28" s="24" t="str">
        <f aca="false">IF(IFERROR(INDEX(tsk_Name,(ROW()-ROW(MSPTasks[[#Headers],[ID]])))="",TRUE()),"",IF(INDEX(tsk_IsSummary,(ROW()-ROW(MSPTasks[[#Headers],[ID]]))),"",IF(N(INDEX(tsk_ActCostInput,(ROW()-ROW(MSPTasks[[#Headers],[ID]]))))=0,"",INDEX(tsk_ActCostInput,(ROW()-ROW(MSPTasks[[#Headers],[ID]]))))))</f>
        <v/>
      </c>
      <c r="U28" s="24" t="str">
        <f aca="false">IF(IFERROR(INDEX(tsk_Name,(ROW()-ROW(MSPTasks[[#Headers],[ID]])))="",TRUE()),"",IF(INDEX(tsk_IsSummary,(ROW()-ROW(MSPTasks[[#Headers],[ID]]))),"",IF(AND(INDEX(tsk_Mode,(ROW()-ROW(MSPTasks[[#Headers],[ID]])))&lt;&gt;"Manual",N(INDEX(tsk_Constraint,(ROW()-ROW(MSPTasks[[#Headers],[ID]]))))&gt;0),"Start No Earlier Than","As Soon As Possible")))</f>
        <v/>
      </c>
      <c r="V28" s="130" t="str">
        <f aca="false">IF(IFERROR(INDEX(tsk_Name,(ROW()-ROW(MSPTasks[[#Headers],[ID]])))="",TRUE()),"",IF(OR(INDEX(tsk_IsSummary,(ROW()-ROW(MSPTasks[[#Headers],[ID]]))),INDEX(tsk_Mode,(ROW()-ROW(MSPTasks[[#Headers],[ID]])))="Manual"),"",IF(N(INDEX(tsk_Constraint,(ROW()-ROW(MSPTasks[[#Headers],[ID]]))))=0,"",INDEX(tsk_Constraint,(ROW()-ROW(MSPTasks[[#Headers],[ID]]))))))</f>
        <v/>
      </c>
      <c r="W28" s="130" t="str">
        <f aca="false">IF(IFERROR(INDEX(tsk_Name,(ROW()-ROW(MSPTasks[[#Headers],[ID]])))="",TRUE()),"",IF(N(INDEX(tsk_Deadline,(ROW()-ROW(MSPTasks[[#Headers],[ID]]))))=0,"",INDEX(tsk_Deadline,(ROW()-ROW(MSPTasks[[#Headers],[ID]])))))</f>
        <v/>
      </c>
      <c r="X28" s="24" t="str">
        <f aca="false">IF(IFERROR(INDEX(tsk_Name,(ROW()-ROW(MSPTasks[[#Headers],[ID]])))="",TRUE()),"",IF(INDEX(tsk_IsSummary,(ROW()-ROW(MSPTasks[[#Headers],[ID]]))),"",INDEX(tsk_Sprint,(ROW()-ROW(MSPTasks[[#Headers],[ID]])))&amp;""))</f>
        <v/>
      </c>
      <c r="Y28" s="24" t="str">
        <f aca="false">IF(IFERROR(INDEX(tsk_Name,(ROW()-ROW(MSPTasks[[#Headers],[ID]])))="",TRUE()),"",IF(INDEX(tsk_IsSummary,(ROW()-ROW(MSPTasks[[#Headers],[ID]]))),"",IF(N(INDEX(tsk_StoryPoints,(ROW()-ROW(MSPTasks[[#Headers],[ID]]))))=0,"",INDEX(tsk_StoryPoints,(ROW()-ROW(MSPTasks[[#Headers],[ID]]))))))</f>
        <v/>
      </c>
      <c r="Z28" s="24" t="str">
        <f aca="false">IF(IFERROR(INDEX(tsk_Name,(ROW()-ROW(MSPTasks[[#Headers],[ID]])))="",TRUE()),"",INDEX(tsk_Notes,(ROW()-ROW(MSPTasks[[#Headers],[ID]])))&amp;"")</f>
        <v/>
      </c>
    </row>
    <row r="29" customFormat="false" ht="15" hidden="false" customHeight="false" outlineLevel="0" collapsed="false">
      <c r="A29" s="24" t="n">
        <f aca="false">IF(IFERROR(INDEX(tsk_Name,(ROW()-ROW(MSPTasks[[#Headers],[ID]])))="",TRUE()),"",INDEX(tsk_ID,(ROW()-ROW(MSPTasks[[#Headers],[ID]]))))</f>
        <v>28</v>
      </c>
      <c r="B29" s="24" t="n">
        <f aca="false">IF(IFERROR(INDEX(tsk_Name,(ROW()-ROW(MSPTasks[[#Headers],[ID]])))="",TRUE()),"",INDEX(tsk_UID,(ROW()-ROW(MSPTasks[[#Headers],[ID]]))))</f>
        <v>28</v>
      </c>
      <c r="C29" s="24" t="str">
        <f aca="false">IF(IFERROR(INDEX(tsk_Name,(ROW()-ROW(MSPTasks[[#Headers],[ID]])))="",TRUE()),"",INDEX(tsk_Name,(ROW()-ROW(MSPTasks[[#Headers],[ID]]))))</f>
        <v>Steering committee update</v>
      </c>
      <c r="D29" s="24" t="n">
        <f aca="false">IF(IFERROR(INDEX(tsk_Name,(ROW()-ROW(MSPTasks[[#Headers],[ID]])))="",TRUE()),"",INDEX(tsk_Level,(ROW()-ROW(MSPTasks[[#Headers],[ID]]))))</f>
        <v>2</v>
      </c>
      <c r="E29" s="24" t="str">
        <f aca="false">IF(IFERROR(INDEX(tsk_Name,(ROW()-ROW(MSPTasks[[#Headers],[ID]])))="",TRUE()),"",IF(INDEX(tsk_Mode,(ROW()-ROW(MSPTasks[[#Headers],[ID]])))="Manual","Manually Scheduled","Auto Scheduled"))</f>
        <v>Manually Scheduled</v>
      </c>
      <c r="F29" s="24" t="str">
        <f aca="false">IF(IFERROR(INDEX(tsk_Name,(ROW()-ROW(MSPTasks[[#Headers],[ID]])))="",TRUE()),"",IF(INDEX(tsk_IsSummary,(ROW()-ROW(MSPTasks[[#Headers],[ID]]))),"",N(INDEX(tsk_Duration,(ROW()-ROW(MSPTasks[[#Headers],[ID]]))))&amp;"d"))</f>
        <v>1d</v>
      </c>
      <c r="G29" s="130" t="n">
        <f aca="false">IF(IFERROR(INDEX(tsk_Name,(ROW()-ROW(MSPTasks[[#Headers],[ID]])))="",TRUE()),"",INDEX(tsk_FcStart,(ROW()-ROW(MSPTasks[[#Headers],[ID]]))))</f>
        <v>46342</v>
      </c>
      <c r="H29" s="130" t="n">
        <f aca="false">IF(IFERROR(INDEX(tsk_Name,(ROW()-ROW(MSPTasks[[#Headers],[ID]])))="",TRUE()),"",INDEX(tsk_FcFinish,(ROW()-ROW(MSPTasks[[#Headers],[ID]]))))</f>
        <v>46342</v>
      </c>
      <c r="I29" s="24" t="str">
        <f aca="false">IF(IFERROR(INDEX(tsk_Name,(ROW()-ROW(MSPTasks[[#Headers],[ID]])))="",TRUE()),"",IF(INDEX(tsk_IsSummary,(ROW()-ROW(MSPTasks[[#Headers],[ID]]))),"",INDEX(tsk_Predecessors,(ROW()-ROW(MSPTasks[[#Headers],[ID]])))))</f>
        <v/>
      </c>
      <c r="J29" s="24" t="str">
        <f aca="false">IF(IFERROR(INDEX(tsk_Name,(ROW()-ROW(MSPTasks[[#Headers],[ID]])))="",TRUE()),"",IF(INDEX(tsk_IsSummary,(ROW()-ROW(MSPTasks[[#Headers],[ID]]))),"",INDEX(tsk_UIDPredecessors,(ROW()-ROW(MSPTasks[[#Headers],[ID]])))))</f>
        <v/>
      </c>
      <c r="K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29" s="24" t="n">
        <f aca="false">IF(IFERROR(INDEX(tsk_Name,(ROW()-ROW(MSPTasks[[#Headers],[ID]])))="",TRUE()),"",IF(INDEX(tsk_IsSummary,(ROW()-ROW(MSPTasks[[#Headers],[ID]]))),"",ROUND(INDEX(tsk_Progress,(ROW()-ROW(MSPTasks[[#Headers],[ID]])))*100,0)))</f>
        <v>0</v>
      </c>
      <c r="M29" s="130" t="str">
        <f aca="false">IF(IFERROR(INDEX(tsk_Name,(ROW()-ROW(MSPTasks[[#Headers],[ID]])))="",TRUE()),"",IF(N(INDEX(tsk_ActStart,(ROW()-ROW(MSPTasks[[#Headers],[ID]]))))=0,"",INDEX(tsk_ActStart,(ROW()-ROW(MSPTasks[[#Headers],[ID]])))))</f>
        <v/>
      </c>
      <c r="N29" s="130" t="str">
        <f aca="false">IF(IFERROR(INDEX(tsk_Name,(ROW()-ROW(MSPTasks[[#Headers],[ID]])))="",TRUE()),"",IF(N(INDEX(tsk_ActFinish,(ROW()-ROW(MSPTasks[[#Headers],[ID]]))))=0,"",INDEX(tsk_ActFinish,(ROW()-ROW(MSPTasks[[#Headers],[ID]])))))</f>
        <v/>
      </c>
      <c r="O29" s="130" t="n">
        <f aca="false">IF(IFERROR(INDEX(tsk_Name,(ROW()-ROW(MSPTasks[[#Headers],[ID]])))="",TRUE()),"",INDEX(tsk_PlanStart,(ROW()-ROW(MSPTasks[[#Headers],[ID]]))))</f>
        <v>46342</v>
      </c>
      <c r="P29" s="130" t="n">
        <f aca="false">IF(IFERROR(INDEX(tsk_Name,(ROW()-ROW(MSPTasks[[#Headers],[ID]])))="",TRUE()),"",INDEX(tsk_PlanFinish,(ROW()-ROW(MSPTasks[[#Headers],[ID]]))))</f>
        <v>46342</v>
      </c>
      <c r="Q29" s="24" t="str">
        <f aca="false">IF(IFERROR(INDEX(tsk_Name,(ROW()-ROW(MSPTasks[[#Headers],[ID]])))="",TRUE()),"",IF(INDEX(tsk_BaseDuration,(ROW()-ROW(MSPTasks[[#Headers],[ID]])))="","",N(INDEX(tsk_BaseDuration,(ROW()-ROW(MSPTasks[[#Headers],[ID]]))))&amp;"d"))</f>
        <v/>
      </c>
      <c r="R29" s="24" t="str">
        <f aca="false">IF(IFERROR(INDEX(tsk_Name,(ROW()-ROW(MSPTasks[[#Headers],[ID]])))="",TRUE()),"",IF(INDEX(tsk_BaseWork,(ROW()-ROW(MSPTasks[[#Headers],[ID]])))="","",N(INDEX(tsk_BaseWork,(ROW()-ROW(MSPTasks[[#Headers],[ID]]))))&amp;"h"))</f>
        <v/>
      </c>
      <c r="S29" s="24" t="str">
        <f aca="false">IF(IFERROR(INDEX(tsk_Name,(ROW()-ROW(MSPTasks[[#Headers],[ID]])))="",TRUE()),"",IF(INDEX(tsk_BaseCost,(ROW()-ROW(MSPTasks[[#Headers],[ID]])))="","",N(INDEX(tsk_BaseCost,(ROW()-ROW(MSPTasks[[#Headers],[ID]]))))))</f>
        <v/>
      </c>
      <c r="T29" s="24" t="str">
        <f aca="false">IF(IFERROR(INDEX(tsk_Name,(ROW()-ROW(MSPTasks[[#Headers],[ID]])))="",TRUE()),"",IF(INDEX(tsk_IsSummary,(ROW()-ROW(MSPTasks[[#Headers],[ID]]))),"",IF(N(INDEX(tsk_ActCostInput,(ROW()-ROW(MSPTasks[[#Headers],[ID]]))))=0,"",INDEX(tsk_ActCostInput,(ROW()-ROW(MSPTasks[[#Headers],[ID]]))))))</f>
        <v/>
      </c>
      <c r="U29" s="24" t="str">
        <f aca="false">IF(IFERROR(INDEX(tsk_Name,(ROW()-ROW(MSPTasks[[#Headers],[ID]])))="",TRUE()),"",IF(INDEX(tsk_IsSummary,(ROW()-ROW(MSPTasks[[#Headers],[ID]]))),"",IF(AND(INDEX(tsk_Mode,(ROW()-ROW(MSPTasks[[#Headers],[ID]])))&lt;&gt;"Manual",N(INDEX(tsk_Constraint,(ROW()-ROW(MSPTasks[[#Headers],[ID]]))))&gt;0),"Start No Earlier Than","As Soon As Possible")))</f>
        <v>As Soon As Possible</v>
      </c>
      <c r="V29" s="130" t="str">
        <f aca="false">IF(IFERROR(INDEX(tsk_Name,(ROW()-ROW(MSPTasks[[#Headers],[ID]])))="",TRUE()),"",IF(OR(INDEX(tsk_IsSummary,(ROW()-ROW(MSPTasks[[#Headers],[ID]]))),INDEX(tsk_Mode,(ROW()-ROW(MSPTasks[[#Headers],[ID]])))="Manual"),"",IF(N(INDEX(tsk_Constraint,(ROW()-ROW(MSPTasks[[#Headers],[ID]]))))=0,"",INDEX(tsk_Constraint,(ROW()-ROW(MSPTasks[[#Headers],[ID]]))))))</f>
        <v/>
      </c>
      <c r="W29" s="130" t="str">
        <f aca="false">IF(IFERROR(INDEX(tsk_Name,(ROW()-ROW(MSPTasks[[#Headers],[ID]])))="",TRUE()),"",IF(N(INDEX(tsk_Deadline,(ROW()-ROW(MSPTasks[[#Headers],[ID]]))))=0,"",INDEX(tsk_Deadline,(ROW()-ROW(MSPTasks[[#Headers],[ID]])))))</f>
        <v/>
      </c>
      <c r="X29" s="24" t="str">
        <f aca="false">IF(IFERROR(INDEX(tsk_Name,(ROW()-ROW(MSPTasks[[#Headers],[ID]])))="",TRUE()),"",IF(INDEX(tsk_IsSummary,(ROW()-ROW(MSPTasks[[#Headers],[ID]]))),"",INDEX(tsk_Sprint,(ROW()-ROW(MSPTasks[[#Headers],[ID]])))&amp;""))</f>
        <v>Sprint 6</v>
      </c>
      <c r="Y29" s="74" t="n">
        <f aca="false">IF(IFERROR(INDEX(tsk_Name,(ROW()-ROW(MSPTasks[[#Headers],[ID]])))="",TRUE()),"",IF(INDEX(tsk_IsSummary,(ROW()-ROW(MSPTasks[[#Headers],[ID]]))),"",IF(N(INDEX(tsk_StoryPoints,(ROW()-ROW(MSPTasks[[#Headers],[ID]]))))=0,"",INDEX(tsk_StoryPoints,(ROW()-ROW(MSPTasks[[#Headers],[ID]]))))))</f>
        <v>1</v>
      </c>
      <c r="Z29" s="24" t="str">
        <f aca="false">IF(IFERROR(INDEX(tsk_Name,(ROW()-ROW(MSPTasks[[#Headers],[ID]])))="",TRUE()),"",INDEX(tsk_Notes,(ROW()-ROW(MSPTasks[[#Headers],[ID]])))&amp;"")</f>
        <v>Manual mode example: fixed on the date in the Start No Earlier Than column.</v>
      </c>
    </row>
    <row r="30" customFormat="false" ht="15" hidden="false" customHeight="false" outlineLevel="0" collapsed="false">
      <c r="A30" s="24" t="n">
        <f aca="false">IF(IFERROR(INDEX(tsk_Name,(ROW()-ROW(MSPTasks[[#Headers],[ID]])))="",TRUE()),"",INDEX(tsk_ID,(ROW()-ROW(MSPTasks[[#Headers],[ID]]))))</f>
        <v>29</v>
      </c>
      <c r="B30" s="24" t="n">
        <f aca="false">IF(IFERROR(INDEX(tsk_Name,(ROW()-ROW(MSPTasks[[#Headers],[ID]])))="",TRUE()),"",INDEX(tsk_UID,(ROW()-ROW(MSPTasks[[#Headers],[ID]]))))</f>
        <v>29</v>
      </c>
      <c r="C30" s="24" t="str">
        <f aca="false">IF(IFERROR(INDEX(tsk_Name,(ROW()-ROW(MSPTasks[[#Headers],[ID]])))="",TRUE()),"",INDEX(tsk_Name,(ROW()-ROW(MSPTasks[[#Headers],[ID]]))))</f>
        <v>Lessons learned</v>
      </c>
      <c r="D30" s="24" t="n">
        <f aca="false">IF(IFERROR(INDEX(tsk_Name,(ROW()-ROW(MSPTasks[[#Headers],[ID]])))="",TRUE()),"",INDEX(tsk_Level,(ROW()-ROW(MSPTasks[[#Headers],[ID]]))))</f>
        <v>2</v>
      </c>
      <c r="E30" s="24" t="str">
        <f aca="false">IF(IFERROR(INDEX(tsk_Name,(ROW()-ROW(MSPTasks[[#Headers],[ID]])))="",TRUE()),"",IF(INDEX(tsk_Mode,(ROW()-ROW(MSPTasks[[#Headers],[ID]])))="Manual","Manually Scheduled","Auto Scheduled"))</f>
        <v>Auto Scheduled</v>
      </c>
      <c r="F30" s="24" t="str">
        <f aca="false">IF(IFERROR(INDEX(tsk_Name,(ROW()-ROW(MSPTasks[[#Headers],[ID]])))="",TRUE()),"",IF(INDEX(tsk_IsSummary,(ROW()-ROW(MSPTasks[[#Headers],[ID]]))),"",N(INDEX(tsk_Duration,(ROW()-ROW(MSPTasks[[#Headers],[ID]]))))&amp;"d"))</f>
        <v>2d</v>
      </c>
      <c r="G30" s="130" t="n">
        <f aca="false">IF(IFERROR(INDEX(tsk_Name,(ROW()-ROW(MSPTasks[[#Headers],[ID]])))="",TRUE()),"",INDEX(tsk_FcStart,(ROW()-ROW(MSPTasks[[#Headers],[ID]]))))</f>
        <v>46392</v>
      </c>
      <c r="H30" s="130" t="n">
        <f aca="false">IF(IFERROR(INDEX(tsk_Name,(ROW()-ROW(MSPTasks[[#Headers],[ID]])))="",TRUE()),"",INDEX(tsk_FcFinish,(ROW()-ROW(MSPTasks[[#Headers],[ID]]))))</f>
        <v>46393</v>
      </c>
      <c r="I30" s="24" t="str">
        <f aca="false">IF(IFERROR(INDEX(tsk_Name,(ROW()-ROW(MSPTasks[[#Headers],[ID]])))="",TRUE()),"",IF(INDEX(tsk_IsSummary,(ROW()-ROW(MSPTasks[[#Headers],[ID]]))),"",INDEX(tsk_Predecessors,(ROW()-ROW(MSPTasks[[#Headers],[ID]])))))</f>
        <v>26</v>
      </c>
      <c r="J30" s="24" t="str">
        <f aca="false">IF(IFERROR(INDEX(tsk_Name,(ROW()-ROW(MSPTasks[[#Headers],[ID]])))="",TRUE()),"",IF(INDEX(tsk_IsSummary,(ROW()-ROW(MSPTasks[[#Headers],[ID]]))),"",INDEX(tsk_UIDPredecessors,(ROW()-ROW(MSPTasks[[#Headers],[ID]])))))</f>
        <v>26</v>
      </c>
      <c r="K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Priya Sharma</v>
      </c>
      <c r="L30" s="24" t="n">
        <f aca="false">IF(IFERROR(INDEX(tsk_Name,(ROW()-ROW(MSPTasks[[#Headers],[ID]])))="",TRUE()),"",IF(INDEX(tsk_IsSummary,(ROW()-ROW(MSPTasks[[#Headers],[ID]]))),"",ROUND(INDEX(tsk_Progress,(ROW()-ROW(MSPTasks[[#Headers],[ID]])))*100,0)))</f>
        <v>0</v>
      </c>
      <c r="M30" s="130" t="str">
        <f aca="false">IF(IFERROR(INDEX(tsk_Name,(ROW()-ROW(MSPTasks[[#Headers],[ID]])))="",TRUE()),"",IF(N(INDEX(tsk_ActStart,(ROW()-ROW(MSPTasks[[#Headers],[ID]]))))=0,"",INDEX(tsk_ActStart,(ROW()-ROW(MSPTasks[[#Headers],[ID]])))))</f>
        <v/>
      </c>
      <c r="N30" s="130" t="str">
        <f aca="false">IF(IFERROR(INDEX(tsk_Name,(ROW()-ROW(MSPTasks[[#Headers],[ID]])))="",TRUE()),"",IF(N(INDEX(tsk_ActFinish,(ROW()-ROW(MSPTasks[[#Headers],[ID]]))))=0,"",INDEX(tsk_ActFinish,(ROW()-ROW(MSPTasks[[#Headers],[ID]])))))</f>
        <v/>
      </c>
      <c r="O30" s="130" t="n">
        <f aca="false">IF(IFERROR(INDEX(tsk_Name,(ROW()-ROW(MSPTasks[[#Headers],[ID]])))="",TRUE()),"",INDEX(tsk_PlanStart,(ROW()-ROW(MSPTasks[[#Headers],[ID]]))))</f>
        <v>46392</v>
      </c>
      <c r="P30" s="130" t="n">
        <f aca="false">IF(IFERROR(INDEX(tsk_Name,(ROW()-ROW(MSPTasks[[#Headers],[ID]])))="",TRUE()),"",INDEX(tsk_PlanFinish,(ROW()-ROW(MSPTasks[[#Headers],[ID]]))))</f>
        <v>46393</v>
      </c>
      <c r="Q30" s="24" t="str">
        <f aca="false">IF(IFERROR(INDEX(tsk_Name,(ROW()-ROW(MSPTasks[[#Headers],[ID]])))="",TRUE()),"",IF(INDEX(tsk_BaseDuration,(ROW()-ROW(MSPTasks[[#Headers],[ID]])))="","",N(INDEX(tsk_BaseDuration,(ROW()-ROW(MSPTasks[[#Headers],[ID]]))))&amp;"d"))</f>
        <v/>
      </c>
      <c r="R30" s="24" t="str">
        <f aca="false">IF(IFERROR(INDEX(tsk_Name,(ROW()-ROW(MSPTasks[[#Headers],[ID]])))="",TRUE()),"",IF(INDEX(tsk_BaseWork,(ROW()-ROW(MSPTasks[[#Headers],[ID]])))="","",N(INDEX(tsk_BaseWork,(ROW()-ROW(MSPTasks[[#Headers],[ID]]))))&amp;"h"))</f>
        <v/>
      </c>
      <c r="S30" s="24" t="str">
        <f aca="false">IF(IFERROR(INDEX(tsk_Name,(ROW()-ROW(MSPTasks[[#Headers],[ID]])))="",TRUE()),"",IF(INDEX(tsk_BaseCost,(ROW()-ROW(MSPTasks[[#Headers],[ID]])))="","",N(INDEX(tsk_BaseCost,(ROW()-ROW(MSPTasks[[#Headers],[ID]]))))))</f>
        <v/>
      </c>
      <c r="T30" s="24" t="str">
        <f aca="false">IF(IFERROR(INDEX(tsk_Name,(ROW()-ROW(MSPTasks[[#Headers],[ID]])))="",TRUE()),"",IF(INDEX(tsk_IsSummary,(ROW()-ROW(MSPTasks[[#Headers],[ID]]))),"",IF(N(INDEX(tsk_ActCostInput,(ROW()-ROW(MSPTasks[[#Headers],[ID]]))))=0,"",INDEX(tsk_ActCostInput,(ROW()-ROW(MSPTasks[[#Headers],[ID]]))))))</f>
        <v/>
      </c>
      <c r="U30" s="24" t="str">
        <f aca="false">IF(IFERROR(INDEX(tsk_Name,(ROW()-ROW(MSPTasks[[#Headers],[ID]])))="",TRUE()),"",IF(INDEX(tsk_IsSummary,(ROW()-ROW(MSPTasks[[#Headers],[ID]]))),"",IF(AND(INDEX(tsk_Mode,(ROW()-ROW(MSPTasks[[#Headers],[ID]])))&lt;&gt;"Manual",N(INDEX(tsk_Constraint,(ROW()-ROW(MSPTasks[[#Headers],[ID]]))))&gt;0),"Start No Earlier Than","As Soon As Possible")))</f>
        <v>As Soon As Possible</v>
      </c>
      <c r="V30" s="130" t="str">
        <f aca="false">IF(IFERROR(INDEX(tsk_Name,(ROW()-ROW(MSPTasks[[#Headers],[ID]])))="",TRUE()),"",IF(OR(INDEX(tsk_IsSummary,(ROW()-ROW(MSPTasks[[#Headers],[ID]]))),INDEX(tsk_Mode,(ROW()-ROW(MSPTasks[[#Headers],[ID]])))="Manual"),"",IF(N(INDEX(tsk_Constraint,(ROW()-ROW(MSPTasks[[#Headers],[ID]]))))=0,"",INDEX(tsk_Constraint,(ROW()-ROW(MSPTasks[[#Headers],[ID]]))))))</f>
        <v/>
      </c>
      <c r="W30" s="130" t="str">
        <f aca="false">IF(IFERROR(INDEX(tsk_Name,(ROW()-ROW(MSPTasks[[#Headers],[ID]])))="",TRUE()),"",IF(N(INDEX(tsk_Deadline,(ROW()-ROW(MSPTasks[[#Headers],[ID]]))))=0,"",INDEX(tsk_Deadline,(ROW()-ROW(MSPTasks[[#Headers],[ID]])))))</f>
        <v/>
      </c>
      <c r="X30" s="24" t="str">
        <f aca="false">IF(IFERROR(INDEX(tsk_Name,(ROW()-ROW(MSPTasks[[#Headers],[ID]])))="",TRUE()),"",IF(INDEX(tsk_IsSummary,(ROW()-ROW(MSPTasks[[#Headers],[ID]]))),"",INDEX(tsk_Sprint,(ROW()-ROW(MSPTasks[[#Headers],[ID]])))&amp;""))</f>
        <v>Sprint 9</v>
      </c>
      <c r="Y30" s="74" t="n">
        <f aca="false">IF(IFERROR(INDEX(tsk_Name,(ROW()-ROW(MSPTasks[[#Headers],[ID]])))="",TRUE()),"",IF(INDEX(tsk_IsSummary,(ROW()-ROW(MSPTasks[[#Headers],[ID]]))),"",IF(N(INDEX(tsk_StoryPoints,(ROW()-ROW(MSPTasks[[#Headers],[ID]]))))=0,"",INDEX(tsk_StoryPoints,(ROW()-ROW(MSPTasks[[#Headers],[ID]]))))))</f>
        <v>2</v>
      </c>
      <c r="Z30" s="24" t="str">
        <f aca="false">IF(IFERROR(INDEX(tsk_Name,(ROW()-ROW(MSPTasks[[#Headers],[ID]])))="",TRUE()),"",INDEX(tsk_Notes,(ROW()-ROW(MSPTasks[[#Headers],[ID]])))&amp;"")</f>
        <v/>
      </c>
    </row>
    <row r="31" customFormat="false" ht="15" hidden="false" customHeight="false" outlineLevel="0" collapsed="false">
      <c r="A31" s="24" t="n">
        <f aca="false">IF(IFERROR(INDEX(tsk_Name,(ROW()-ROW(MSPTasks[[#Headers],[ID]])))="",TRUE()),"",INDEX(tsk_ID,(ROW()-ROW(MSPTasks[[#Headers],[ID]]))))</f>
        <v>30</v>
      </c>
      <c r="B31" s="24" t="n">
        <f aca="false">IF(IFERROR(INDEX(tsk_Name,(ROW()-ROW(MSPTasks[[#Headers],[ID]])))="",TRUE()),"",INDEX(tsk_UID,(ROW()-ROW(MSPTasks[[#Headers],[ID]]))))</f>
        <v>30</v>
      </c>
      <c r="C31" s="24" t="str">
        <f aca="false">IF(IFERROR(INDEX(tsk_Name,(ROW()-ROW(MSPTasks[[#Headers],[ID]])))="",TRUE()),"",INDEX(tsk_Name,(ROW()-ROW(MSPTasks[[#Headers],[ID]]))))</f>
        <v>Project closed</v>
      </c>
      <c r="D31" s="24" t="n">
        <f aca="false">IF(IFERROR(INDEX(tsk_Name,(ROW()-ROW(MSPTasks[[#Headers],[ID]])))="",TRUE()),"",INDEX(tsk_Level,(ROW()-ROW(MSPTasks[[#Headers],[ID]]))))</f>
        <v>2</v>
      </c>
      <c r="E31" s="24" t="str">
        <f aca="false">IF(IFERROR(INDEX(tsk_Name,(ROW()-ROW(MSPTasks[[#Headers],[ID]])))="",TRUE()),"",IF(INDEX(tsk_Mode,(ROW()-ROW(MSPTasks[[#Headers],[ID]])))="Manual","Manually Scheduled","Auto Scheduled"))</f>
        <v>Auto Scheduled</v>
      </c>
      <c r="F31" s="24" t="str">
        <f aca="false">IF(IFERROR(INDEX(tsk_Name,(ROW()-ROW(MSPTasks[[#Headers],[ID]])))="",TRUE()),"",IF(INDEX(tsk_IsSummary,(ROW()-ROW(MSPTasks[[#Headers],[ID]]))),"",N(INDEX(tsk_Duration,(ROW()-ROW(MSPTasks[[#Headers],[ID]]))))&amp;"d"))</f>
        <v>0d</v>
      </c>
      <c r="G31" s="130" t="n">
        <f aca="false">IF(IFERROR(INDEX(tsk_Name,(ROW()-ROW(MSPTasks[[#Headers],[ID]])))="",TRUE()),"",INDEX(tsk_FcStart,(ROW()-ROW(MSPTasks[[#Headers],[ID]]))))</f>
        <v>46393</v>
      </c>
      <c r="H31" s="130" t="n">
        <f aca="false">IF(IFERROR(INDEX(tsk_Name,(ROW()-ROW(MSPTasks[[#Headers],[ID]])))="",TRUE()),"",INDEX(tsk_FcFinish,(ROW()-ROW(MSPTasks[[#Headers],[ID]]))))</f>
        <v>46393</v>
      </c>
      <c r="I31" s="24" t="str">
        <f aca="false">IF(IFERROR(INDEX(tsk_Name,(ROW()-ROW(MSPTasks[[#Headers],[ID]])))="",TRUE()),"",IF(INDEX(tsk_IsSummary,(ROW()-ROW(MSPTasks[[#Headers],[ID]]))),"",INDEX(tsk_Predecessors,(ROW()-ROW(MSPTasks[[#Headers],[ID]])))))</f>
        <v>29</v>
      </c>
      <c r="J31" s="24" t="str">
        <f aca="false">IF(IFERROR(INDEX(tsk_Name,(ROW()-ROW(MSPTasks[[#Headers],[ID]])))="",TRUE()),"",IF(INDEX(tsk_IsSummary,(ROW()-ROW(MSPTasks[[#Headers],[ID]]))),"",INDEX(tsk_UIDPredecessors,(ROW()-ROW(MSPTasks[[#Headers],[ID]])))))</f>
        <v>29</v>
      </c>
      <c r="K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1" s="24" t="n">
        <f aca="false">IF(IFERROR(INDEX(tsk_Name,(ROW()-ROW(MSPTasks[[#Headers],[ID]])))="",TRUE()),"",IF(INDEX(tsk_IsSummary,(ROW()-ROW(MSPTasks[[#Headers],[ID]]))),"",ROUND(INDEX(tsk_Progress,(ROW()-ROW(MSPTasks[[#Headers],[ID]])))*100,0)))</f>
        <v>0</v>
      </c>
      <c r="M31" s="130" t="str">
        <f aca="false">IF(IFERROR(INDEX(tsk_Name,(ROW()-ROW(MSPTasks[[#Headers],[ID]])))="",TRUE()),"",IF(N(INDEX(tsk_ActStart,(ROW()-ROW(MSPTasks[[#Headers],[ID]]))))=0,"",INDEX(tsk_ActStart,(ROW()-ROW(MSPTasks[[#Headers],[ID]])))))</f>
        <v/>
      </c>
      <c r="N31" s="130" t="str">
        <f aca="false">IF(IFERROR(INDEX(tsk_Name,(ROW()-ROW(MSPTasks[[#Headers],[ID]])))="",TRUE()),"",IF(N(INDEX(tsk_ActFinish,(ROW()-ROW(MSPTasks[[#Headers],[ID]]))))=0,"",INDEX(tsk_ActFinish,(ROW()-ROW(MSPTasks[[#Headers],[ID]])))))</f>
        <v/>
      </c>
      <c r="O31" s="130" t="n">
        <f aca="false">IF(IFERROR(INDEX(tsk_Name,(ROW()-ROW(MSPTasks[[#Headers],[ID]])))="",TRUE()),"",INDEX(tsk_PlanStart,(ROW()-ROW(MSPTasks[[#Headers],[ID]]))))</f>
        <v>46393</v>
      </c>
      <c r="P31" s="130" t="n">
        <f aca="false">IF(IFERROR(INDEX(tsk_Name,(ROW()-ROW(MSPTasks[[#Headers],[ID]])))="",TRUE()),"",INDEX(tsk_PlanFinish,(ROW()-ROW(MSPTasks[[#Headers],[ID]]))))</f>
        <v>46393</v>
      </c>
      <c r="Q31" s="24" t="str">
        <f aca="false">IF(IFERROR(INDEX(tsk_Name,(ROW()-ROW(MSPTasks[[#Headers],[ID]])))="",TRUE()),"",IF(INDEX(tsk_BaseDuration,(ROW()-ROW(MSPTasks[[#Headers],[ID]])))="","",N(INDEX(tsk_BaseDuration,(ROW()-ROW(MSPTasks[[#Headers],[ID]]))))&amp;"d"))</f>
        <v/>
      </c>
      <c r="R31" s="24" t="str">
        <f aca="false">IF(IFERROR(INDEX(tsk_Name,(ROW()-ROW(MSPTasks[[#Headers],[ID]])))="",TRUE()),"",IF(INDEX(tsk_BaseWork,(ROW()-ROW(MSPTasks[[#Headers],[ID]])))="","",N(INDEX(tsk_BaseWork,(ROW()-ROW(MSPTasks[[#Headers],[ID]]))))&amp;"h"))</f>
        <v/>
      </c>
      <c r="S31" s="24" t="str">
        <f aca="false">IF(IFERROR(INDEX(tsk_Name,(ROW()-ROW(MSPTasks[[#Headers],[ID]])))="",TRUE()),"",IF(INDEX(tsk_BaseCost,(ROW()-ROW(MSPTasks[[#Headers],[ID]])))="","",N(INDEX(tsk_BaseCost,(ROW()-ROW(MSPTasks[[#Headers],[ID]]))))))</f>
        <v/>
      </c>
      <c r="T31" s="24" t="str">
        <f aca="false">IF(IFERROR(INDEX(tsk_Name,(ROW()-ROW(MSPTasks[[#Headers],[ID]])))="",TRUE()),"",IF(INDEX(tsk_IsSummary,(ROW()-ROW(MSPTasks[[#Headers],[ID]]))),"",IF(N(INDEX(tsk_ActCostInput,(ROW()-ROW(MSPTasks[[#Headers],[ID]]))))=0,"",INDEX(tsk_ActCostInput,(ROW()-ROW(MSPTasks[[#Headers],[ID]]))))))</f>
        <v/>
      </c>
      <c r="U31" s="24" t="str">
        <f aca="false">IF(IFERROR(INDEX(tsk_Name,(ROW()-ROW(MSPTasks[[#Headers],[ID]])))="",TRUE()),"",IF(INDEX(tsk_IsSummary,(ROW()-ROW(MSPTasks[[#Headers],[ID]]))),"",IF(AND(INDEX(tsk_Mode,(ROW()-ROW(MSPTasks[[#Headers],[ID]])))&lt;&gt;"Manual",N(INDEX(tsk_Constraint,(ROW()-ROW(MSPTasks[[#Headers],[ID]]))))&gt;0),"Start No Earlier Than","As Soon As Possible")))</f>
        <v>As Soon As Possible</v>
      </c>
      <c r="V31" s="130" t="str">
        <f aca="false">IF(IFERROR(INDEX(tsk_Name,(ROW()-ROW(MSPTasks[[#Headers],[ID]])))="",TRUE()),"",IF(OR(INDEX(tsk_IsSummary,(ROW()-ROW(MSPTasks[[#Headers],[ID]]))),INDEX(tsk_Mode,(ROW()-ROW(MSPTasks[[#Headers],[ID]])))="Manual"),"",IF(N(INDEX(tsk_Constraint,(ROW()-ROW(MSPTasks[[#Headers],[ID]]))))=0,"",INDEX(tsk_Constraint,(ROW()-ROW(MSPTasks[[#Headers],[ID]]))))))</f>
        <v/>
      </c>
      <c r="W31" s="130" t="str">
        <f aca="false">IF(IFERROR(INDEX(tsk_Name,(ROW()-ROW(MSPTasks[[#Headers],[ID]])))="",TRUE()),"",IF(N(INDEX(tsk_Deadline,(ROW()-ROW(MSPTasks[[#Headers],[ID]]))))=0,"",INDEX(tsk_Deadline,(ROW()-ROW(MSPTasks[[#Headers],[ID]])))))</f>
        <v/>
      </c>
      <c r="X31" s="24" t="str">
        <f aca="false">IF(IFERROR(INDEX(tsk_Name,(ROW()-ROW(MSPTasks[[#Headers],[ID]])))="",TRUE()),"",IF(INDEX(tsk_IsSummary,(ROW()-ROW(MSPTasks[[#Headers],[ID]]))),"",INDEX(tsk_Sprint,(ROW()-ROW(MSPTasks[[#Headers],[ID]])))&amp;""))</f>
        <v>Sprint 9</v>
      </c>
      <c r="Y31" s="24" t="str">
        <f aca="false">IF(IFERROR(INDEX(tsk_Name,(ROW()-ROW(MSPTasks[[#Headers],[ID]])))="",TRUE()),"",IF(INDEX(tsk_IsSummary,(ROW()-ROW(MSPTasks[[#Headers],[ID]]))),"",IF(N(INDEX(tsk_StoryPoints,(ROW()-ROW(MSPTasks[[#Headers],[ID]]))))=0,"",INDEX(tsk_StoryPoints,(ROW()-ROW(MSPTasks[[#Headers],[ID]]))))))</f>
        <v/>
      </c>
      <c r="Z31" s="24" t="str">
        <f aca="false">IF(IFERROR(INDEX(tsk_Name,(ROW()-ROW(MSPTasks[[#Headers],[ID]])))="",TRUE()),"",INDEX(tsk_Notes,(ROW()-ROW(MSPTasks[[#Headers],[ID]])))&amp;"")</f>
        <v>Milestone</v>
      </c>
    </row>
    <row r="32" customFormat="false" ht="15" hidden="false" customHeight="false" outlineLevel="0" collapsed="false">
      <c r="A32" s="24" t="str">
        <f aca="false">IF(IFERROR(INDEX(tsk_Name,(ROW()-ROW(MSPTasks[[#Headers],[ID]])))="",TRUE()),"",INDEX(tsk_ID,(ROW()-ROW(MSPTasks[[#Headers],[ID]]))))</f>
        <v/>
      </c>
      <c r="B32" s="24" t="str">
        <f aca="false">IF(IFERROR(INDEX(tsk_Name,(ROW()-ROW(MSPTasks[[#Headers],[ID]])))="",TRUE()),"",INDEX(tsk_UID,(ROW()-ROW(MSPTasks[[#Headers],[ID]]))))</f>
        <v/>
      </c>
      <c r="C32" s="24" t="str">
        <f aca="false">IF(IFERROR(INDEX(tsk_Name,(ROW()-ROW(MSPTasks[[#Headers],[ID]])))="",TRUE()),"",INDEX(tsk_Name,(ROW()-ROW(MSPTasks[[#Headers],[ID]]))))</f>
        <v/>
      </c>
      <c r="D32" s="24" t="str">
        <f aca="false">IF(IFERROR(INDEX(tsk_Name,(ROW()-ROW(MSPTasks[[#Headers],[ID]])))="",TRUE()),"",INDEX(tsk_Level,(ROW()-ROW(MSPTasks[[#Headers],[ID]]))))</f>
        <v/>
      </c>
      <c r="E32" s="24" t="str">
        <f aca="false">IF(IFERROR(INDEX(tsk_Name,(ROW()-ROW(MSPTasks[[#Headers],[ID]])))="",TRUE()),"",IF(INDEX(tsk_Mode,(ROW()-ROW(MSPTasks[[#Headers],[ID]])))="Manual","Manually Scheduled","Auto Scheduled"))</f>
        <v/>
      </c>
      <c r="F32" s="24" t="str">
        <f aca="false">IF(IFERROR(INDEX(tsk_Name,(ROW()-ROW(MSPTasks[[#Headers],[ID]])))="",TRUE()),"",IF(INDEX(tsk_IsSummary,(ROW()-ROW(MSPTasks[[#Headers],[ID]]))),"",N(INDEX(tsk_Duration,(ROW()-ROW(MSPTasks[[#Headers],[ID]]))))&amp;"d"))</f>
        <v/>
      </c>
      <c r="G32" s="130" t="str">
        <f aca="false">IF(IFERROR(INDEX(tsk_Name,(ROW()-ROW(MSPTasks[[#Headers],[ID]])))="",TRUE()),"",INDEX(tsk_FcStart,(ROW()-ROW(MSPTasks[[#Headers],[ID]]))))</f>
        <v/>
      </c>
      <c r="H32" s="130" t="str">
        <f aca="false">IF(IFERROR(INDEX(tsk_Name,(ROW()-ROW(MSPTasks[[#Headers],[ID]])))="",TRUE()),"",INDEX(tsk_FcFinish,(ROW()-ROW(MSPTasks[[#Headers],[ID]]))))</f>
        <v/>
      </c>
      <c r="I32" s="24" t="str">
        <f aca="false">IF(IFERROR(INDEX(tsk_Name,(ROW()-ROW(MSPTasks[[#Headers],[ID]])))="",TRUE()),"",IF(INDEX(tsk_IsSummary,(ROW()-ROW(MSPTasks[[#Headers],[ID]]))),"",INDEX(tsk_Predecessors,(ROW()-ROW(MSPTasks[[#Headers],[ID]])))))</f>
        <v/>
      </c>
      <c r="J32" s="24" t="str">
        <f aca="false">IF(IFERROR(INDEX(tsk_Name,(ROW()-ROW(MSPTasks[[#Headers],[ID]])))="",TRUE()),"",IF(INDEX(tsk_IsSummary,(ROW()-ROW(MSPTasks[[#Headers],[ID]]))),"",INDEX(tsk_UIDPredecessors,(ROW()-ROW(MSPTasks[[#Headers],[ID]])))))</f>
        <v/>
      </c>
      <c r="K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2" s="24" t="str">
        <f aca="false">IF(IFERROR(INDEX(tsk_Name,(ROW()-ROW(MSPTasks[[#Headers],[ID]])))="",TRUE()),"",IF(INDEX(tsk_IsSummary,(ROW()-ROW(MSPTasks[[#Headers],[ID]]))),"",ROUND(INDEX(tsk_Progress,(ROW()-ROW(MSPTasks[[#Headers],[ID]])))*100,0)))</f>
        <v/>
      </c>
      <c r="M32" s="130" t="str">
        <f aca="false">IF(IFERROR(INDEX(tsk_Name,(ROW()-ROW(MSPTasks[[#Headers],[ID]])))="",TRUE()),"",IF(N(INDEX(tsk_ActStart,(ROW()-ROW(MSPTasks[[#Headers],[ID]]))))=0,"",INDEX(tsk_ActStart,(ROW()-ROW(MSPTasks[[#Headers],[ID]])))))</f>
        <v/>
      </c>
      <c r="N32" s="130" t="str">
        <f aca="false">IF(IFERROR(INDEX(tsk_Name,(ROW()-ROW(MSPTasks[[#Headers],[ID]])))="",TRUE()),"",IF(N(INDEX(tsk_ActFinish,(ROW()-ROW(MSPTasks[[#Headers],[ID]]))))=0,"",INDEX(tsk_ActFinish,(ROW()-ROW(MSPTasks[[#Headers],[ID]])))))</f>
        <v/>
      </c>
      <c r="O32" s="130" t="str">
        <f aca="false">IF(IFERROR(INDEX(tsk_Name,(ROW()-ROW(MSPTasks[[#Headers],[ID]])))="",TRUE()),"",INDEX(tsk_PlanStart,(ROW()-ROW(MSPTasks[[#Headers],[ID]]))))</f>
        <v/>
      </c>
      <c r="P32" s="130" t="str">
        <f aca="false">IF(IFERROR(INDEX(tsk_Name,(ROW()-ROW(MSPTasks[[#Headers],[ID]])))="",TRUE()),"",INDEX(tsk_PlanFinish,(ROW()-ROW(MSPTasks[[#Headers],[ID]]))))</f>
        <v/>
      </c>
      <c r="Q32" s="24" t="str">
        <f aca="false">IF(IFERROR(INDEX(tsk_Name,(ROW()-ROW(MSPTasks[[#Headers],[ID]])))="",TRUE()),"",IF(INDEX(tsk_BaseDuration,(ROW()-ROW(MSPTasks[[#Headers],[ID]])))="","",N(INDEX(tsk_BaseDuration,(ROW()-ROW(MSPTasks[[#Headers],[ID]]))))&amp;"d"))</f>
        <v/>
      </c>
      <c r="R32" s="24" t="str">
        <f aca="false">IF(IFERROR(INDEX(tsk_Name,(ROW()-ROW(MSPTasks[[#Headers],[ID]])))="",TRUE()),"",IF(INDEX(tsk_BaseWork,(ROW()-ROW(MSPTasks[[#Headers],[ID]])))="","",N(INDEX(tsk_BaseWork,(ROW()-ROW(MSPTasks[[#Headers],[ID]]))))&amp;"h"))</f>
        <v/>
      </c>
      <c r="S32" s="24" t="str">
        <f aca="false">IF(IFERROR(INDEX(tsk_Name,(ROW()-ROW(MSPTasks[[#Headers],[ID]])))="",TRUE()),"",IF(INDEX(tsk_BaseCost,(ROW()-ROW(MSPTasks[[#Headers],[ID]])))="","",N(INDEX(tsk_BaseCost,(ROW()-ROW(MSPTasks[[#Headers],[ID]]))))))</f>
        <v/>
      </c>
      <c r="T32" s="24" t="str">
        <f aca="false">IF(IFERROR(INDEX(tsk_Name,(ROW()-ROW(MSPTasks[[#Headers],[ID]])))="",TRUE()),"",IF(INDEX(tsk_IsSummary,(ROW()-ROW(MSPTasks[[#Headers],[ID]]))),"",IF(N(INDEX(tsk_ActCostInput,(ROW()-ROW(MSPTasks[[#Headers],[ID]]))))=0,"",INDEX(tsk_ActCostInput,(ROW()-ROW(MSPTasks[[#Headers],[ID]]))))))</f>
        <v/>
      </c>
      <c r="U32" s="24" t="str">
        <f aca="false">IF(IFERROR(INDEX(tsk_Name,(ROW()-ROW(MSPTasks[[#Headers],[ID]])))="",TRUE()),"",IF(INDEX(tsk_IsSummary,(ROW()-ROW(MSPTasks[[#Headers],[ID]]))),"",IF(AND(INDEX(tsk_Mode,(ROW()-ROW(MSPTasks[[#Headers],[ID]])))&lt;&gt;"Manual",N(INDEX(tsk_Constraint,(ROW()-ROW(MSPTasks[[#Headers],[ID]]))))&gt;0),"Start No Earlier Than","As Soon As Possible")))</f>
        <v/>
      </c>
      <c r="V32" s="130" t="str">
        <f aca="false">IF(IFERROR(INDEX(tsk_Name,(ROW()-ROW(MSPTasks[[#Headers],[ID]])))="",TRUE()),"",IF(OR(INDEX(tsk_IsSummary,(ROW()-ROW(MSPTasks[[#Headers],[ID]]))),INDEX(tsk_Mode,(ROW()-ROW(MSPTasks[[#Headers],[ID]])))="Manual"),"",IF(N(INDEX(tsk_Constraint,(ROW()-ROW(MSPTasks[[#Headers],[ID]]))))=0,"",INDEX(tsk_Constraint,(ROW()-ROW(MSPTasks[[#Headers],[ID]]))))))</f>
        <v/>
      </c>
      <c r="W32" s="130" t="str">
        <f aca="false">IF(IFERROR(INDEX(tsk_Name,(ROW()-ROW(MSPTasks[[#Headers],[ID]])))="",TRUE()),"",IF(N(INDEX(tsk_Deadline,(ROW()-ROW(MSPTasks[[#Headers],[ID]]))))=0,"",INDEX(tsk_Deadline,(ROW()-ROW(MSPTasks[[#Headers],[ID]])))))</f>
        <v/>
      </c>
      <c r="X32" s="24" t="str">
        <f aca="false">IF(IFERROR(INDEX(tsk_Name,(ROW()-ROW(MSPTasks[[#Headers],[ID]])))="",TRUE()),"",IF(INDEX(tsk_IsSummary,(ROW()-ROW(MSPTasks[[#Headers],[ID]]))),"",INDEX(tsk_Sprint,(ROW()-ROW(MSPTasks[[#Headers],[ID]])))&amp;""))</f>
        <v/>
      </c>
      <c r="Y32" s="24" t="str">
        <f aca="false">IF(IFERROR(INDEX(tsk_Name,(ROW()-ROW(MSPTasks[[#Headers],[ID]])))="",TRUE()),"",IF(INDEX(tsk_IsSummary,(ROW()-ROW(MSPTasks[[#Headers],[ID]]))),"",IF(N(INDEX(tsk_StoryPoints,(ROW()-ROW(MSPTasks[[#Headers],[ID]]))))=0,"",INDEX(tsk_StoryPoints,(ROW()-ROW(MSPTasks[[#Headers],[ID]]))))))</f>
        <v/>
      </c>
      <c r="Z32" s="24" t="str">
        <f aca="false">IF(IFERROR(INDEX(tsk_Name,(ROW()-ROW(MSPTasks[[#Headers],[ID]])))="",TRUE()),"",INDEX(tsk_Notes,(ROW()-ROW(MSPTasks[[#Headers],[ID]])))&amp;"")</f>
        <v/>
      </c>
    </row>
    <row r="33" customFormat="false" ht="15" hidden="false" customHeight="false" outlineLevel="0" collapsed="false">
      <c r="A33" s="24" t="str">
        <f aca="false">IF(IFERROR(INDEX(tsk_Name,(ROW()-ROW(MSPTasks[[#Headers],[ID]])))="",TRUE()),"",INDEX(tsk_ID,(ROW()-ROW(MSPTasks[[#Headers],[ID]]))))</f>
        <v/>
      </c>
      <c r="B33" s="24" t="str">
        <f aca="false">IF(IFERROR(INDEX(tsk_Name,(ROW()-ROW(MSPTasks[[#Headers],[ID]])))="",TRUE()),"",INDEX(tsk_UID,(ROW()-ROW(MSPTasks[[#Headers],[ID]]))))</f>
        <v/>
      </c>
      <c r="C33" s="24" t="str">
        <f aca="false">IF(IFERROR(INDEX(tsk_Name,(ROW()-ROW(MSPTasks[[#Headers],[ID]])))="",TRUE()),"",INDEX(tsk_Name,(ROW()-ROW(MSPTasks[[#Headers],[ID]]))))</f>
        <v/>
      </c>
      <c r="D33" s="24" t="str">
        <f aca="false">IF(IFERROR(INDEX(tsk_Name,(ROW()-ROW(MSPTasks[[#Headers],[ID]])))="",TRUE()),"",INDEX(tsk_Level,(ROW()-ROW(MSPTasks[[#Headers],[ID]]))))</f>
        <v/>
      </c>
      <c r="E33" s="24" t="str">
        <f aca="false">IF(IFERROR(INDEX(tsk_Name,(ROW()-ROW(MSPTasks[[#Headers],[ID]])))="",TRUE()),"",IF(INDEX(tsk_Mode,(ROW()-ROW(MSPTasks[[#Headers],[ID]])))="Manual","Manually Scheduled","Auto Scheduled"))</f>
        <v/>
      </c>
      <c r="F33" s="24" t="str">
        <f aca="false">IF(IFERROR(INDEX(tsk_Name,(ROW()-ROW(MSPTasks[[#Headers],[ID]])))="",TRUE()),"",IF(INDEX(tsk_IsSummary,(ROW()-ROW(MSPTasks[[#Headers],[ID]]))),"",N(INDEX(tsk_Duration,(ROW()-ROW(MSPTasks[[#Headers],[ID]]))))&amp;"d"))</f>
        <v/>
      </c>
      <c r="G33" s="130" t="str">
        <f aca="false">IF(IFERROR(INDEX(tsk_Name,(ROW()-ROW(MSPTasks[[#Headers],[ID]])))="",TRUE()),"",INDEX(tsk_FcStart,(ROW()-ROW(MSPTasks[[#Headers],[ID]]))))</f>
        <v/>
      </c>
      <c r="H33" s="130" t="str">
        <f aca="false">IF(IFERROR(INDEX(tsk_Name,(ROW()-ROW(MSPTasks[[#Headers],[ID]])))="",TRUE()),"",INDEX(tsk_FcFinish,(ROW()-ROW(MSPTasks[[#Headers],[ID]]))))</f>
        <v/>
      </c>
      <c r="I33" s="24" t="str">
        <f aca="false">IF(IFERROR(INDEX(tsk_Name,(ROW()-ROW(MSPTasks[[#Headers],[ID]])))="",TRUE()),"",IF(INDEX(tsk_IsSummary,(ROW()-ROW(MSPTasks[[#Headers],[ID]]))),"",INDEX(tsk_Predecessors,(ROW()-ROW(MSPTasks[[#Headers],[ID]])))))</f>
        <v/>
      </c>
      <c r="J33" s="24" t="str">
        <f aca="false">IF(IFERROR(INDEX(tsk_Name,(ROW()-ROW(MSPTasks[[#Headers],[ID]])))="",TRUE()),"",IF(INDEX(tsk_IsSummary,(ROW()-ROW(MSPTasks[[#Headers],[ID]]))),"",INDEX(tsk_UIDPredecessors,(ROW()-ROW(MSPTasks[[#Headers],[ID]])))))</f>
        <v/>
      </c>
      <c r="K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3" s="24" t="str">
        <f aca="false">IF(IFERROR(INDEX(tsk_Name,(ROW()-ROW(MSPTasks[[#Headers],[ID]])))="",TRUE()),"",IF(INDEX(tsk_IsSummary,(ROW()-ROW(MSPTasks[[#Headers],[ID]]))),"",ROUND(INDEX(tsk_Progress,(ROW()-ROW(MSPTasks[[#Headers],[ID]])))*100,0)))</f>
        <v/>
      </c>
      <c r="M33" s="130" t="str">
        <f aca="false">IF(IFERROR(INDEX(tsk_Name,(ROW()-ROW(MSPTasks[[#Headers],[ID]])))="",TRUE()),"",IF(N(INDEX(tsk_ActStart,(ROW()-ROW(MSPTasks[[#Headers],[ID]]))))=0,"",INDEX(tsk_ActStart,(ROW()-ROW(MSPTasks[[#Headers],[ID]])))))</f>
        <v/>
      </c>
      <c r="N33" s="130" t="str">
        <f aca="false">IF(IFERROR(INDEX(tsk_Name,(ROW()-ROW(MSPTasks[[#Headers],[ID]])))="",TRUE()),"",IF(N(INDEX(tsk_ActFinish,(ROW()-ROW(MSPTasks[[#Headers],[ID]]))))=0,"",INDEX(tsk_ActFinish,(ROW()-ROW(MSPTasks[[#Headers],[ID]])))))</f>
        <v/>
      </c>
      <c r="O33" s="130" t="str">
        <f aca="false">IF(IFERROR(INDEX(tsk_Name,(ROW()-ROW(MSPTasks[[#Headers],[ID]])))="",TRUE()),"",INDEX(tsk_PlanStart,(ROW()-ROW(MSPTasks[[#Headers],[ID]]))))</f>
        <v/>
      </c>
      <c r="P33" s="130" t="str">
        <f aca="false">IF(IFERROR(INDEX(tsk_Name,(ROW()-ROW(MSPTasks[[#Headers],[ID]])))="",TRUE()),"",INDEX(tsk_PlanFinish,(ROW()-ROW(MSPTasks[[#Headers],[ID]]))))</f>
        <v/>
      </c>
      <c r="Q33" s="24" t="str">
        <f aca="false">IF(IFERROR(INDEX(tsk_Name,(ROW()-ROW(MSPTasks[[#Headers],[ID]])))="",TRUE()),"",IF(INDEX(tsk_BaseDuration,(ROW()-ROW(MSPTasks[[#Headers],[ID]])))="","",N(INDEX(tsk_BaseDuration,(ROW()-ROW(MSPTasks[[#Headers],[ID]]))))&amp;"d"))</f>
        <v/>
      </c>
      <c r="R33" s="24" t="str">
        <f aca="false">IF(IFERROR(INDEX(tsk_Name,(ROW()-ROW(MSPTasks[[#Headers],[ID]])))="",TRUE()),"",IF(INDEX(tsk_BaseWork,(ROW()-ROW(MSPTasks[[#Headers],[ID]])))="","",N(INDEX(tsk_BaseWork,(ROW()-ROW(MSPTasks[[#Headers],[ID]]))))&amp;"h"))</f>
        <v/>
      </c>
      <c r="S33" s="24" t="str">
        <f aca="false">IF(IFERROR(INDEX(tsk_Name,(ROW()-ROW(MSPTasks[[#Headers],[ID]])))="",TRUE()),"",IF(INDEX(tsk_BaseCost,(ROW()-ROW(MSPTasks[[#Headers],[ID]])))="","",N(INDEX(tsk_BaseCost,(ROW()-ROW(MSPTasks[[#Headers],[ID]]))))))</f>
        <v/>
      </c>
      <c r="T33" s="24" t="str">
        <f aca="false">IF(IFERROR(INDEX(tsk_Name,(ROW()-ROW(MSPTasks[[#Headers],[ID]])))="",TRUE()),"",IF(INDEX(tsk_IsSummary,(ROW()-ROW(MSPTasks[[#Headers],[ID]]))),"",IF(N(INDEX(tsk_ActCostInput,(ROW()-ROW(MSPTasks[[#Headers],[ID]]))))=0,"",INDEX(tsk_ActCostInput,(ROW()-ROW(MSPTasks[[#Headers],[ID]]))))))</f>
        <v/>
      </c>
      <c r="U33" s="24" t="str">
        <f aca="false">IF(IFERROR(INDEX(tsk_Name,(ROW()-ROW(MSPTasks[[#Headers],[ID]])))="",TRUE()),"",IF(INDEX(tsk_IsSummary,(ROW()-ROW(MSPTasks[[#Headers],[ID]]))),"",IF(AND(INDEX(tsk_Mode,(ROW()-ROW(MSPTasks[[#Headers],[ID]])))&lt;&gt;"Manual",N(INDEX(tsk_Constraint,(ROW()-ROW(MSPTasks[[#Headers],[ID]]))))&gt;0),"Start No Earlier Than","As Soon As Possible")))</f>
        <v/>
      </c>
      <c r="V33" s="130" t="str">
        <f aca="false">IF(IFERROR(INDEX(tsk_Name,(ROW()-ROW(MSPTasks[[#Headers],[ID]])))="",TRUE()),"",IF(OR(INDEX(tsk_IsSummary,(ROW()-ROW(MSPTasks[[#Headers],[ID]]))),INDEX(tsk_Mode,(ROW()-ROW(MSPTasks[[#Headers],[ID]])))="Manual"),"",IF(N(INDEX(tsk_Constraint,(ROW()-ROW(MSPTasks[[#Headers],[ID]]))))=0,"",INDEX(tsk_Constraint,(ROW()-ROW(MSPTasks[[#Headers],[ID]]))))))</f>
        <v/>
      </c>
      <c r="W33" s="130" t="str">
        <f aca="false">IF(IFERROR(INDEX(tsk_Name,(ROW()-ROW(MSPTasks[[#Headers],[ID]])))="",TRUE()),"",IF(N(INDEX(tsk_Deadline,(ROW()-ROW(MSPTasks[[#Headers],[ID]]))))=0,"",INDEX(tsk_Deadline,(ROW()-ROW(MSPTasks[[#Headers],[ID]])))))</f>
        <v/>
      </c>
      <c r="X33" s="24" t="str">
        <f aca="false">IF(IFERROR(INDEX(tsk_Name,(ROW()-ROW(MSPTasks[[#Headers],[ID]])))="",TRUE()),"",IF(INDEX(tsk_IsSummary,(ROW()-ROW(MSPTasks[[#Headers],[ID]]))),"",INDEX(tsk_Sprint,(ROW()-ROW(MSPTasks[[#Headers],[ID]])))&amp;""))</f>
        <v/>
      </c>
      <c r="Y33" s="24" t="str">
        <f aca="false">IF(IFERROR(INDEX(tsk_Name,(ROW()-ROW(MSPTasks[[#Headers],[ID]])))="",TRUE()),"",IF(INDEX(tsk_IsSummary,(ROW()-ROW(MSPTasks[[#Headers],[ID]]))),"",IF(N(INDEX(tsk_StoryPoints,(ROW()-ROW(MSPTasks[[#Headers],[ID]]))))=0,"",INDEX(tsk_StoryPoints,(ROW()-ROW(MSPTasks[[#Headers],[ID]]))))))</f>
        <v/>
      </c>
      <c r="Z33" s="24" t="str">
        <f aca="false">IF(IFERROR(INDEX(tsk_Name,(ROW()-ROW(MSPTasks[[#Headers],[ID]])))="",TRUE()),"",INDEX(tsk_Notes,(ROW()-ROW(MSPTasks[[#Headers],[ID]])))&amp;"")</f>
        <v/>
      </c>
    </row>
    <row r="34" customFormat="false" ht="15" hidden="false" customHeight="false" outlineLevel="0" collapsed="false">
      <c r="A34" s="24" t="str">
        <f aca="false">IF(IFERROR(INDEX(tsk_Name,(ROW()-ROW(MSPTasks[[#Headers],[ID]])))="",TRUE()),"",INDEX(tsk_ID,(ROW()-ROW(MSPTasks[[#Headers],[ID]]))))</f>
        <v/>
      </c>
      <c r="B34" s="24" t="str">
        <f aca="false">IF(IFERROR(INDEX(tsk_Name,(ROW()-ROW(MSPTasks[[#Headers],[ID]])))="",TRUE()),"",INDEX(tsk_UID,(ROW()-ROW(MSPTasks[[#Headers],[ID]]))))</f>
        <v/>
      </c>
      <c r="C34" s="24" t="str">
        <f aca="false">IF(IFERROR(INDEX(tsk_Name,(ROW()-ROW(MSPTasks[[#Headers],[ID]])))="",TRUE()),"",INDEX(tsk_Name,(ROW()-ROW(MSPTasks[[#Headers],[ID]]))))</f>
        <v/>
      </c>
      <c r="D34" s="24" t="str">
        <f aca="false">IF(IFERROR(INDEX(tsk_Name,(ROW()-ROW(MSPTasks[[#Headers],[ID]])))="",TRUE()),"",INDEX(tsk_Level,(ROW()-ROW(MSPTasks[[#Headers],[ID]]))))</f>
        <v/>
      </c>
      <c r="E34" s="24" t="str">
        <f aca="false">IF(IFERROR(INDEX(tsk_Name,(ROW()-ROW(MSPTasks[[#Headers],[ID]])))="",TRUE()),"",IF(INDEX(tsk_Mode,(ROW()-ROW(MSPTasks[[#Headers],[ID]])))="Manual","Manually Scheduled","Auto Scheduled"))</f>
        <v/>
      </c>
      <c r="F34" s="24" t="str">
        <f aca="false">IF(IFERROR(INDEX(tsk_Name,(ROW()-ROW(MSPTasks[[#Headers],[ID]])))="",TRUE()),"",IF(INDEX(tsk_IsSummary,(ROW()-ROW(MSPTasks[[#Headers],[ID]]))),"",N(INDEX(tsk_Duration,(ROW()-ROW(MSPTasks[[#Headers],[ID]]))))&amp;"d"))</f>
        <v/>
      </c>
      <c r="G34" s="130" t="str">
        <f aca="false">IF(IFERROR(INDEX(tsk_Name,(ROW()-ROW(MSPTasks[[#Headers],[ID]])))="",TRUE()),"",INDEX(tsk_FcStart,(ROW()-ROW(MSPTasks[[#Headers],[ID]]))))</f>
        <v/>
      </c>
      <c r="H34" s="130" t="str">
        <f aca="false">IF(IFERROR(INDEX(tsk_Name,(ROW()-ROW(MSPTasks[[#Headers],[ID]])))="",TRUE()),"",INDEX(tsk_FcFinish,(ROW()-ROW(MSPTasks[[#Headers],[ID]]))))</f>
        <v/>
      </c>
      <c r="I34" s="24" t="str">
        <f aca="false">IF(IFERROR(INDEX(tsk_Name,(ROW()-ROW(MSPTasks[[#Headers],[ID]])))="",TRUE()),"",IF(INDEX(tsk_IsSummary,(ROW()-ROW(MSPTasks[[#Headers],[ID]]))),"",INDEX(tsk_Predecessors,(ROW()-ROW(MSPTasks[[#Headers],[ID]])))))</f>
        <v/>
      </c>
      <c r="J34" s="24" t="str">
        <f aca="false">IF(IFERROR(INDEX(tsk_Name,(ROW()-ROW(MSPTasks[[#Headers],[ID]])))="",TRUE()),"",IF(INDEX(tsk_IsSummary,(ROW()-ROW(MSPTasks[[#Headers],[ID]]))),"",INDEX(tsk_UIDPredecessors,(ROW()-ROW(MSPTasks[[#Headers],[ID]])))))</f>
        <v/>
      </c>
      <c r="K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4" s="24" t="str">
        <f aca="false">IF(IFERROR(INDEX(tsk_Name,(ROW()-ROW(MSPTasks[[#Headers],[ID]])))="",TRUE()),"",IF(INDEX(tsk_IsSummary,(ROW()-ROW(MSPTasks[[#Headers],[ID]]))),"",ROUND(INDEX(tsk_Progress,(ROW()-ROW(MSPTasks[[#Headers],[ID]])))*100,0)))</f>
        <v/>
      </c>
      <c r="M34" s="130" t="str">
        <f aca="false">IF(IFERROR(INDEX(tsk_Name,(ROW()-ROW(MSPTasks[[#Headers],[ID]])))="",TRUE()),"",IF(N(INDEX(tsk_ActStart,(ROW()-ROW(MSPTasks[[#Headers],[ID]]))))=0,"",INDEX(tsk_ActStart,(ROW()-ROW(MSPTasks[[#Headers],[ID]])))))</f>
        <v/>
      </c>
      <c r="N34" s="130" t="str">
        <f aca="false">IF(IFERROR(INDEX(tsk_Name,(ROW()-ROW(MSPTasks[[#Headers],[ID]])))="",TRUE()),"",IF(N(INDEX(tsk_ActFinish,(ROW()-ROW(MSPTasks[[#Headers],[ID]]))))=0,"",INDEX(tsk_ActFinish,(ROW()-ROW(MSPTasks[[#Headers],[ID]])))))</f>
        <v/>
      </c>
      <c r="O34" s="130" t="str">
        <f aca="false">IF(IFERROR(INDEX(tsk_Name,(ROW()-ROW(MSPTasks[[#Headers],[ID]])))="",TRUE()),"",INDEX(tsk_PlanStart,(ROW()-ROW(MSPTasks[[#Headers],[ID]]))))</f>
        <v/>
      </c>
      <c r="P34" s="130" t="str">
        <f aca="false">IF(IFERROR(INDEX(tsk_Name,(ROW()-ROW(MSPTasks[[#Headers],[ID]])))="",TRUE()),"",INDEX(tsk_PlanFinish,(ROW()-ROW(MSPTasks[[#Headers],[ID]]))))</f>
        <v/>
      </c>
      <c r="Q34" s="24" t="str">
        <f aca="false">IF(IFERROR(INDEX(tsk_Name,(ROW()-ROW(MSPTasks[[#Headers],[ID]])))="",TRUE()),"",IF(INDEX(tsk_BaseDuration,(ROW()-ROW(MSPTasks[[#Headers],[ID]])))="","",N(INDEX(tsk_BaseDuration,(ROW()-ROW(MSPTasks[[#Headers],[ID]]))))&amp;"d"))</f>
        <v/>
      </c>
      <c r="R34" s="24" t="str">
        <f aca="false">IF(IFERROR(INDEX(tsk_Name,(ROW()-ROW(MSPTasks[[#Headers],[ID]])))="",TRUE()),"",IF(INDEX(tsk_BaseWork,(ROW()-ROW(MSPTasks[[#Headers],[ID]])))="","",N(INDEX(tsk_BaseWork,(ROW()-ROW(MSPTasks[[#Headers],[ID]]))))&amp;"h"))</f>
        <v/>
      </c>
      <c r="S34" s="24" t="str">
        <f aca="false">IF(IFERROR(INDEX(tsk_Name,(ROW()-ROW(MSPTasks[[#Headers],[ID]])))="",TRUE()),"",IF(INDEX(tsk_BaseCost,(ROW()-ROW(MSPTasks[[#Headers],[ID]])))="","",N(INDEX(tsk_BaseCost,(ROW()-ROW(MSPTasks[[#Headers],[ID]]))))))</f>
        <v/>
      </c>
      <c r="T34" s="24" t="str">
        <f aca="false">IF(IFERROR(INDEX(tsk_Name,(ROW()-ROW(MSPTasks[[#Headers],[ID]])))="",TRUE()),"",IF(INDEX(tsk_IsSummary,(ROW()-ROW(MSPTasks[[#Headers],[ID]]))),"",IF(N(INDEX(tsk_ActCostInput,(ROW()-ROW(MSPTasks[[#Headers],[ID]]))))=0,"",INDEX(tsk_ActCostInput,(ROW()-ROW(MSPTasks[[#Headers],[ID]]))))))</f>
        <v/>
      </c>
      <c r="U34" s="24" t="str">
        <f aca="false">IF(IFERROR(INDEX(tsk_Name,(ROW()-ROW(MSPTasks[[#Headers],[ID]])))="",TRUE()),"",IF(INDEX(tsk_IsSummary,(ROW()-ROW(MSPTasks[[#Headers],[ID]]))),"",IF(AND(INDEX(tsk_Mode,(ROW()-ROW(MSPTasks[[#Headers],[ID]])))&lt;&gt;"Manual",N(INDEX(tsk_Constraint,(ROW()-ROW(MSPTasks[[#Headers],[ID]]))))&gt;0),"Start No Earlier Than","As Soon As Possible")))</f>
        <v/>
      </c>
      <c r="V34" s="130" t="str">
        <f aca="false">IF(IFERROR(INDEX(tsk_Name,(ROW()-ROW(MSPTasks[[#Headers],[ID]])))="",TRUE()),"",IF(OR(INDEX(tsk_IsSummary,(ROW()-ROW(MSPTasks[[#Headers],[ID]]))),INDEX(tsk_Mode,(ROW()-ROW(MSPTasks[[#Headers],[ID]])))="Manual"),"",IF(N(INDEX(tsk_Constraint,(ROW()-ROW(MSPTasks[[#Headers],[ID]]))))=0,"",INDEX(tsk_Constraint,(ROW()-ROW(MSPTasks[[#Headers],[ID]]))))))</f>
        <v/>
      </c>
      <c r="W34" s="130" t="str">
        <f aca="false">IF(IFERROR(INDEX(tsk_Name,(ROW()-ROW(MSPTasks[[#Headers],[ID]])))="",TRUE()),"",IF(N(INDEX(tsk_Deadline,(ROW()-ROW(MSPTasks[[#Headers],[ID]]))))=0,"",INDEX(tsk_Deadline,(ROW()-ROW(MSPTasks[[#Headers],[ID]])))))</f>
        <v/>
      </c>
      <c r="X34" s="24" t="str">
        <f aca="false">IF(IFERROR(INDEX(tsk_Name,(ROW()-ROW(MSPTasks[[#Headers],[ID]])))="",TRUE()),"",IF(INDEX(tsk_IsSummary,(ROW()-ROW(MSPTasks[[#Headers],[ID]]))),"",INDEX(tsk_Sprint,(ROW()-ROW(MSPTasks[[#Headers],[ID]])))&amp;""))</f>
        <v/>
      </c>
      <c r="Y34" s="24" t="str">
        <f aca="false">IF(IFERROR(INDEX(tsk_Name,(ROW()-ROW(MSPTasks[[#Headers],[ID]])))="",TRUE()),"",IF(INDEX(tsk_IsSummary,(ROW()-ROW(MSPTasks[[#Headers],[ID]]))),"",IF(N(INDEX(tsk_StoryPoints,(ROW()-ROW(MSPTasks[[#Headers],[ID]]))))=0,"",INDEX(tsk_StoryPoints,(ROW()-ROW(MSPTasks[[#Headers],[ID]]))))))</f>
        <v/>
      </c>
      <c r="Z34" s="24" t="str">
        <f aca="false">IF(IFERROR(INDEX(tsk_Name,(ROW()-ROW(MSPTasks[[#Headers],[ID]])))="",TRUE()),"",INDEX(tsk_Notes,(ROW()-ROW(MSPTasks[[#Headers],[ID]])))&amp;"")</f>
        <v/>
      </c>
    </row>
    <row r="35" customFormat="false" ht="15" hidden="false" customHeight="false" outlineLevel="0" collapsed="false">
      <c r="A35" s="24" t="str">
        <f aca="false">IF(IFERROR(INDEX(tsk_Name,(ROW()-ROW(MSPTasks[[#Headers],[ID]])))="",TRUE()),"",INDEX(tsk_ID,(ROW()-ROW(MSPTasks[[#Headers],[ID]]))))</f>
        <v/>
      </c>
      <c r="B35" s="24" t="str">
        <f aca="false">IF(IFERROR(INDEX(tsk_Name,(ROW()-ROW(MSPTasks[[#Headers],[ID]])))="",TRUE()),"",INDEX(tsk_UID,(ROW()-ROW(MSPTasks[[#Headers],[ID]]))))</f>
        <v/>
      </c>
      <c r="C35" s="24" t="str">
        <f aca="false">IF(IFERROR(INDEX(tsk_Name,(ROW()-ROW(MSPTasks[[#Headers],[ID]])))="",TRUE()),"",INDEX(tsk_Name,(ROW()-ROW(MSPTasks[[#Headers],[ID]]))))</f>
        <v/>
      </c>
      <c r="D35" s="24" t="str">
        <f aca="false">IF(IFERROR(INDEX(tsk_Name,(ROW()-ROW(MSPTasks[[#Headers],[ID]])))="",TRUE()),"",INDEX(tsk_Level,(ROW()-ROW(MSPTasks[[#Headers],[ID]]))))</f>
        <v/>
      </c>
      <c r="E35" s="24" t="str">
        <f aca="false">IF(IFERROR(INDEX(tsk_Name,(ROW()-ROW(MSPTasks[[#Headers],[ID]])))="",TRUE()),"",IF(INDEX(tsk_Mode,(ROW()-ROW(MSPTasks[[#Headers],[ID]])))="Manual","Manually Scheduled","Auto Scheduled"))</f>
        <v/>
      </c>
      <c r="F35" s="24" t="str">
        <f aca="false">IF(IFERROR(INDEX(tsk_Name,(ROW()-ROW(MSPTasks[[#Headers],[ID]])))="",TRUE()),"",IF(INDEX(tsk_IsSummary,(ROW()-ROW(MSPTasks[[#Headers],[ID]]))),"",N(INDEX(tsk_Duration,(ROW()-ROW(MSPTasks[[#Headers],[ID]]))))&amp;"d"))</f>
        <v/>
      </c>
      <c r="G35" s="130" t="str">
        <f aca="false">IF(IFERROR(INDEX(tsk_Name,(ROW()-ROW(MSPTasks[[#Headers],[ID]])))="",TRUE()),"",INDEX(tsk_FcStart,(ROW()-ROW(MSPTasks[[#Headers],[ID]]))))</f>
        <v/>
      </c>
      <c r="H35" s="130" t="str">
        <f aca="false">IF(IFERROR(INDEX(tsk_Name,(ROW()-ROW(MSPTasks[[#Headers],[ID]])))="",TRUE()),"",INDEX(tsk_FcFinish,(ROW()-ROW(MSPTasks[[#Headers],[ID]]))))</f>
        <v/>
      </c>
      <c r="I35" s="24" t="str">
        <f aca="false">IF(IFERROR(INDEX(tsk_Name,(ROW()-ROW(MSPTasks[[#Headers],[ID]])))="",TRUE()),"",IF(INDEX(tsk_IsSummary,(ROW()-ROW(MSPTasks[[#Headers],[ID]]))),"",INDEX(tsk_Predecessors,(ROW()-ROW(MSPTasks[[#Headers],[ID]])))))</f>
        <v/>
      </c>
      <c r="J35" s="24" t="str">
        <f aca="false">IF(IFERROR(INDEX(tsk_Name,(ROW()-ROW(MSPTasks[[#Headers],[ID]])))="",TRUE()),"",IF(INDEX(tsk_IsSummary,(ROW()-ROW(MSPTasks[[#Headers],[ID]]))),"",INDEX(tsk_UIDPredecessors,(ROW()-ROW(MSPTasks[[#Headers],[ID]])))))</f>
        <v/>
      </c>
      <c r="K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5" s="24" t="str">
        <f aca="false">IF(IFERROR(INDEX(tsk_Name,(ROW()-ROW(MSPTasks[[#Headers],[ID]])))="",TRUE()),"",IF(INDEX(tsk_IsSummary,(ROW()-ROW(MSPTasks[[#Headers],[ID]]))),"",ROUND(INDEX(tsk_Progress,(ROW()-ROW(MSPTasks[[#Headers],[ID]])))*100,0)))</f>
        <v/>
      </c>
      <c r="M35" s="130" t="str">
        <f aca="false">IF(IFERROR(INDEX(tsk_Name,(ROW()-ROW(MSPTasks[[#Headers],[ID]])))="",TRUE()),"",IF(N(INDEX(tsk_ActStart,(ROW()-ROW(MSPTasks[[#Headers],[ID]]))))=0,"",INDEX(tsk_ActStart,(ROW()-ROW(MSPTasks[[#Headers],[ID]])))))</f>
        <v/>
      </c>
      <c r="N35" s="130" t="str">
        <f aca="false">IF(IFERROR(INDEX(tsk_Name,(ROW()-ROW(MSPTasks[[#Headers],[ID]])))="",TRUE()),"",IF(N(INDEX(tsk_ActFinish,(ROW()-ROW(MSPTasks[[#Headers],[ID]]))))=0,"",INDEX(tsk_ActFinish,(ROW()-ROW(MSPTasks[[#Headers],[ID]])))))</f>
        <v/>
      </c>
      <c r="O35" s="130" t="str">
        <f aca="false">IF(IFERROR(INDEX(tsk_Name,(ROW()-ROW(MSPTasks[[#Headers],[ID]])))="",TRUE()),"",INDEX(tsk_PlanStart,(ROW()-ROW(MSPTasks[[#Headers],[ID]]))))</f>
        <v/>
      </c>
      <c r="P35" s="130" t="str">
        <f aca="false">IF(IFERROR(INDEX(tsk_Name,(ROW()-ROW(MSPTasks[[#Headers],[ID]])))="",TRUE()),"",INDEX(tsk_PlanFinish,(ROW()-ROW(MSPTasks[[#Headers],[ID]]))))</f>
        <v/>
      </c>
      <c r="Q35" s="24" t="str">
        <f aca="false">IF(IFERROR(INDEX(tsk_Name,(ROW()-ROW(MSPTasks[[#Headers],[ID]])))="",TRUE()),"",IF(INDEX(tsk_BaseDuration,(ROW()-ROW(MSPTasks[[#Headers],[ID]])))="","",N(INDEX(tsk_BaseDuration,(ROW()-ROW(MSPTasks[[#Headers],[ID]]))))&amp;"d"))</f>
        <v/>
      </c>
      <c r="R35" s="24" t="str">
        <f aca="false">IF(IFERROR(INDEX(tsk_Name,(ROW()-ROW(MSPTasks[[#Headers],[ID]])))="",TRUE()),"",IF(INDEX(tsk_BaseWork,(ROW()-ROW(MSPTasks[[#Headers],[ID]])))="","",N(INDEX(tsk_BaseWork,(ROW()-ROW(MSPTasks[[#Headers],[ID]]))))&amp;"h"))</f>
        <v/>
      </c>
      <c r="S35" s="24" t="str">
        <f aca="false">IF(IFERROR(INDEX(tsk_Name,(ROW()-ROW(MSPTasks[[#Headers],[ID]])))="",TRUE()),"",IF(INDEX(tsk_BaseCost,(ROW()-ROW(MSPTasks[[#Headers],[ID]])))="","",N(INDEX(tsk_BaseCost,(ROW()-ROW(MSPTasks[[#Headers],[ID]]))))))</f>
        <v/>
      </c>
      <c r="T35" s="24" t="str">
        <f aca="false">IF(IFERROR(INDEX(tsk_Name,(ROW()-ROW(MSPTasks[[#Headers],[ID]])))="",TRUE()),"",IF(INDEX(tsk_IsSummary,(ROW()-ROW(MSPTasks[[#Headers],[ID]]))),"",IF(N(INDEX(tsk_ActCostInput,(ROW()-ROW(MSPTasks[[#Headers],[ID]]))))=0,"",INDEX(tsk_ActCostInput,(ROW()-ROW(MSPTasks[[#Headers],[ID]]))))))</f>
        <v/>
      </c>
      <c r="U35" s="24" t="str">
        <f aca="false">IF(IFERROR(INDEX(tsk_Name,(ROW()-ROW(MSPTasks[[#Headers],[ID]])))="",TRUE()),"",IF(INDEX(tsk_IsSummary,(ROW()-ROW(MSPTasks[[#Headers],[ID]]))),"",IF(AND(INDEX(tsk_Mode,(ROW()-ROW(MSPTasks[[#Headers],[ID]])))&lt;&gt;"Manual",N(INDEX(tsk_Constraint,(ROW()-ROW(MSPTasks[[#Headers],[ID]]))))&gt;0),"Start No Earlier Than","As Soon As Possible")))</f>
        <v/>
      </c>
      <c r="V35" s="130" t="str">
        <f aca="false">IF(IFERROR(INDEX(tsk_Name,(ROW()-ROW(MSPTasks[[#Headers],[ID]])))="",TRUE()),"",IF(OR(INDEX(tsk_IsSummary,(ROW()-ROW(MSPTasks[[#Headers],[ID]]))),INDEX(tsk_Mode,(ROW()-ROW(MSPTasks[[#Headers],[ID]])))="Manual"),"",IF(N(INDEX(tsk_Constraint,(ROW()-ROW(MSPTasks[[#Headers],[ID]]))))=0,"",INDEX(tsk_Constraint,(ROW()-ROW(MSPTasks[[#Headers],[ID]]))))))</f>
        <v/>
      </c>
      <c r="W35" s="130" t="str">
        <f aca="false">IF(IFERROR(INDEX(tsk_Name,(ROW()-ROW(MSPTasks[[#Headers],[ID]])))="",TRUE()),"",IF(N(INDEX(tsk_Deadline,(ROW()-ROW(MSPTasks[[#Headers],[ID]]))))=0,"",INDEX(tsk_Deadline,(ROW()-ROW(MSPTasks[[#Headers],[ID]])))))</f>
        <v/>
      </c>
      <c r="X35" s="24" t="str">
        <f aca="false">IF(IFERROR(INDEX(tsk_Name,(ROW()-ROW(MSPTasks[[#Headers],[ID]])))="",TRUE()),"",IF(INDEX(tsk_IsSummary,(ROW()-ROW(MSPTasks[[#Headers],[ID]]))),"",INDEX(tsk_Sprint,(ROW()-ROW(MSPTasks[[#Headers],[ID]])))&amp;""))</f>
        <v/>
      </c>
      <c r="Y35" s="24" t="str">
        <f aca="false">IF(IFERROR(INDEX(tsk_Name,(ROW()-ROW(MSPTasks[[#Headers],[ID]])))="",TRUE()),"",IF(INDEX(tsk_IsSummary,(ROW()-ROW(MSPTasks[[#Headers],[ID]]))),"",IF(N(INDEX(tsk_StoryPoints,(ROW()-ROW(MSPTasks[[#Headers],[ID]]))))=0,"",INDEX(tsk_StoryPoints,(ROW()-ROW(MSPTasks[[#Headers],[ID]]))))))</f>
        <v/>
      </c>
      <c r="Z35" s="24" t="str">
        <f aca="false">IF(IFERROR(INDEX(tsk_Name,(ROW()-ROW(MSPTasks[[#Headers],[ID]])))="",TRUE()),"",INDEX(tsk_Notes,(ROW()-ROW(MSPTasks[[#Headers],[ID]])))&amp;"")</f>
        <v/>
      </c>
    </row>
    <row r="36" customFormat="false" ht="15" hidden="false" customHeight="false" outlineLevel="0" collapsed="false">
      <c r="A36" s="24" t="str">
        <f aca="false">IF(IFERROR(INDEX(tsk_Name,(ROW()-ROW(MSPTasks[[#Headers],[ID]])))="",TRUE()),"",INDEX(tsk_ID,(ROW()-ROW(MSPTasks[[#Headers],[ID]]))))</f>
        <v/>
      </c>
      <c r="B36" s="24" t="str">
        <f aca="false">IF(IFERROR(INDEX(tsk_Name,(ROW()-ROW(MSPTasks[[#Headers],[ID]])))="",TRUE()),"",INDEX(tsk_UID,(ROW()-ROW(MSPTasks[[#Headers],[ID]]))))</f>
        <v/>
      </c>
      <c r="C36" s="24" t="str">
        <f aca="false">IF(IFERROR(INDEX(tsk_Name,(ROW()-ROW(MSPTasks[[#Headers],[ID]])))="",TRUE()),"",INDEX(tsk_Name,(ROW()-ROW(MSPTasks[[#Headers],[ID]]))))</f>
        <v/>
      </c>
      <c r="D36" s="24" t="str">
        <f aca="false">IF(IFERROR(INDEX(tsk_Name,(ROW()-ROW(MSPTasks[[#Headers],[ID]])))="",TRUE()),"",INDEX(tsk_Level,(ROW()-ROW(MSPTasks[[#Headers],[ID]]))))</f>
        <v/>
      </c>
      <c r="E36" s="24" t="str">
        <f aca="false">IF(IFERROR(INDEX(tsk_Name,(ROW()-ROW(MSPTasks[[#Headers],[ID]])))="",TRUE()),"",IF(INDEX(tsk_Mode,(ROW()-ROW(MSPTasks[[#Headers],[ID]])))="Manual","Manually Scheduled","Auto Scheduled"))</f>
        <v/>
      </c>
      <c r="F36" s="24" t="str">
        <f aca="false">IF(IFERROR(INDEX(tsk_Name,(ROW()-ROW(MSPTasks[[#Headers],[ID]])))="",TRUE()),"",IF(INDEX(tsk_IsSummary,(ROW()-ROW(MSPTasks[[#Headers],[ID]]))),"",N(INDEX(tsk_Duration,(ROW()-ROW(MSPTasks[[#Headers],[ID]]))))&amp;"d"))</f>
        <v/>
      </c>
      <c r="G36" s="130" t="str">
        <f aca="false">IF(IFERROR(INDEX(tsk_Name,(ROW()-ROW(MSPTasks[[#Headers],[ID]])))="",TRUE()),"",INDEX(tsk_FcStart,(ROW()-ROW(MSPTasks[[#Headers],[ID]]))))</f>
        <v/>
      </c>
      <c r="H36" s="130" t="str">
        <f aca="false">IF(IFERROR(INDEX(tsk_Name,(ROW()-ROW(MSPTasks[[#Headers],[ID]])))="",TRUE()),"",INDEX(tsk_FcFinish,(ROW()-ROW(MSPTasks[[#Headers],[ID]]))))</f>
        <v/>
      </c>
      <c r="I36" s="24" t="str">
        <f aca="false">IF(IFERROR(INDEX(tsk_Name,(ROW()-ROW(MSPTasks[[#Headers],[ID]])))="",TRUE()),"",IF(INDEX(tsk_IsSummary,(ROW()-ROW(MSPTasks[[#Headers],[ID]]))),"",INDEX(tsk_Predecessors,(ROW()-ROW(MSPTasks[[#Headers],[ID]])))))</f>
        <v/>
      </c>
      <c r="J36" s="24" t="str">
        <f aca="false">IF(IFERROR(INDEX(tsk_Name,(ROW()-ROW(MSPTasks[[#Headers],[ID]])))="",TRUE()),"",IF(INDEX(tsk_IsSummary,(ROW()-ROW(MSPTasks[[#Headers],[ID]]))),"",INDEX(tsk_UIDPredecessors,(ROW()-ROW(MSPTasks[[#Headers],[ID]])))))</f>
        <v/>
      </c>
      <c r="K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6" s="24" t="str">
        <f aca="false">IF(IFERROR(INDEX(tsk_Name,(ROW()-ROW(MSPTasks[[#Headers],[ID]])))="",TRUE()),"",IF(INDEX(tsk_IsSummary,(ROW()-ROW(MSPTasks[[#Headers],[ID]]))),"",ROUND(INDEX(tsk_Progress,(ROW()-ROW(MSPTasks[[#Headers],[ID]])))*100,0)))</f>
        <v/>
      </c>
      <c r="M36" s="130" t="str">
        <f aca="false">IF(IFERROR(INDEX(tsk_Name,(ROW()-ROW(MSPTasks[[#Headers],[ID]])))="",TRUE()),"",IF(N(INDEX(tsk_ActStart,(ROW()-ROW(MSPTasks[[#Headers],[ID]]))))=0,"",INDEX(tsk_ActStart,(ROW()-ROW(MSPTasks[[#Headers],[ID]])))))</f>
        <v/>
      </c>
      <c r="N36" s="130" t="str">
        <f aca="false">IF(IFERROR(INDEX(tsk_Name,(ROW()-ROW(MSPTasks[[#Headers],[ID]])))="",TRUE()),"",IF(N(INDEX(tsk_ActFinish,(ROW()-ROW(MSPTasks[[#Headers],[ID]]))))=0,"",INDEX(tsk_ActFinish,(ROW()-ROW(MSPTasks[[#Headers],[ID]])))))</f>
        <v/>
      </c>
      <c r="O36" s="130" t="str">
        <f aca="false">IF(IFERROR(INDEX(tsk_Name,(ROW()-ROW(MSPTasks[[#Headers],[ID]])))="",TRUE()),"",INDEX(tsk_PlanStart,(ROW()-ROW(MSPTasks[[#Headers],[ID]]))))</f>
        <v/>
      </c>
      <c r="P36" s="130" t="str">
        <f aca="false">IF(IFERROR(INDEX(tsk_Name,(ROW()-ROW(MSPTasks[[#Headers],[ID]])))="",TRUE()),"",INDEX(tsk_PlanFinish,(ROW()-ROW(MSPTasks[[#Headers],[ID]]))))</f>
        <v/>
      </c>
      <c r="Q36" s="24" t="str">
        <f aca="false">IF(IFERROR(INDEX(tsk_Name,(ROW()-ROW(MSPTasks[[#Headers],[ID]])))="",TRUE()),"",IF(INDEX(tsk_BaseDuration,(ROW()-ROW(MSPTasks[[#Headers],[ID]])))="","",N(INDEX(tsk_BaseDuration,(ROW()-ROW(MSPTasks[[#Headers],[ID]]))))&amp;"d"))</f>
        <v/>
      </c>
      <c r="R36" s="24" t="str">
        <f aca="false">IF(IFERROR(INDEX(tsk_Name,(ROW()-ROW(MSPTasks[[#Headers],[ID]])))="",TRUE()),"",IF(INDEX(tsk_BaseWork,(ROW()-ROW(MSPTasks[[#Headers],[ID]])))="","",N(INDEX(tsk_BaseWork,(ROW()-ROW(MSPTasks[[#Headers],[ID]]))))&amp;"h"))</f>
        <v/>
      </c>
      <c r="S36" s="24" t="str">
        <f aca="false">IF(IFERROR(INDEX(tsk_Name,(ROW()-ROW(MSPTasks[[#Headers],[ID]])))="",TRUE()),"",IF(INDEX(tsk_BaseCost,(ROW()-ROW(MSPTasks[[#Headers],[ID]])))="","",N(INDEX(tsk_BaseCost,(ROW()-ROW(MSPTasks[[#Headers],[ID]]))))))</f>
        <v/>
      </c>
      <c r="T36" s="24" t="str">
        <f aca="false">IF(IFERROR(INDEX(tsk_Name,(ROW()-ROW(MSPTasks[[#Headers],[ID]])))="",TRUE()),"",IF(INDEX(tsk_IsSummary,(ROW()-ROW(MSPTasks[[#Headers],[ID]]))),"",IF(N(INDEX(tsk_ActCostInput,(ROW()-ROW(MSPTasks[[#Headers],[ID]]))))=0,"",INDEX(tsk_ActCostInput,(ROW()-ROW(MSPTasks[[#Headers],[ID]]))))))</f>
        <v/>
      </c>
      <c r="U36" s="24" t="str">
        <f aca="false">IF(IFERROR(INDEX(tsk_Name,(ROW()-ROW(MSPTasks[[#Headers],[ID]])))="",TRUE()),"",IF(INDEX(tsk_IsSummary,(ROW()-ROW(MSPTasks[[#Headers],[ID]]))),"",IF(AND(INDEX(tsk_Mode,(ROW()-ROW(MSPTasks[[#Headers],[ID]])))&lt;&gt;"Manual",N(INDEX(tsk_Constraint,(ROW()-ROW(MSPTasks[[#Headers],[ID]]))))&gt;0),"Start No Earlier Than","As Soon As Possible")))</f>
        <v/>
      </c>
      <c r="V36" s="130" t="str">
        <f aca="false">IF(IFERROR(INDEX(tsk_Name,(ROW()-ROW(MSPTasks[[#Headers],[ID]])))="",TRUE()),"",IF(OR(INDEX(tsk_IsSummary,(ROW()-ROW(MSPTasks[[#Headers],[ID]]))),INDEX(tsk_Mode,(ROW()-ROW(MSPTasks[[#Headers],[ID]])))="Manual"),"",IF(N(INDEX(tsk_Constraint,(ROW()-ROW(MSPTasks[[#Headers],[ID]]))))=0,"",INDEX(tsk_Constraint,(ROW()-ROW(MSPTasks[[#Headers],[ID]]))))))</f>
        <v/>
      </c>
      <c r="W36" s="130" t="str">
        <f aca="false">IF(IFERROR(INDEX(tsk_Name,(ROW()-ROW(MSPTasks[[#Headers],[ID]])))="",TRUE()),"",IF(N(INDEX(tsk_Deadline,(ROW()-ROW(MSPTasks[[#Headers],[ID]]))))=0,"",INDEX(tsk_Deadline,(ROW()-ROW(MSPTasks[[#Headers],[ID]])))))</f>
        <v/>
      </c>
      <c r="X36" s="24" t="str">
        <f aca="false">IF(IFERROR(INDEX(tsk_Name,(ROW()-ROW(MSPTasks[[#Headers],[ID]])))="",TRUE()),"",IF(INDEX(tsk_IsSummary,(ROW()-ROW(MSPTasks[[#Headers],[ID]]))),"",INDEX(tsk_Sprint,(ROW()-ROW(MSPTasks[[#Headers],[ID]])))&amp;""))</f>
        <v/>
      </c>
      <c r="Y36" s="24" t="str">
        <f aca="false">IF(IFERROR(INDEX(tsk_Name,(ROW()-ROW(MSPTasks[[#Headers],[ID]])))="",TRUE()),"",IF(INDEX(tsk_IsSummary,(ROW()-ROW(MSPTasks[[#Headers],[ID]]))),"",IF(N(INDEX(tsk_StoryPoints,(ROW()-ROW(MSPTasks[[#Headers],[ID]]))))=0,"",INDEX(tsk_StoryPoints,(ROW()-ROW(MSPTasks[[#Headers],[ID]]))))))</f>
        <v/>
      </c>
      <c r="Z36" s="24" t="str">
        <f aca="false">IF(IFERROR(INDEX(tsk_Name,(ROW()-ROW(MSPTasks[[#Headers],[ID]])))="",TRUE()),"",INDEX(tsk_Notes,(ROW()-ROW(MSPTasks[[#Headers],[ID]])))&amp;"")</f>
        <v/>
      </c>
    </row>
    <row r="37" customFormat="false" ht="15" hidden="false" customHeight="false" outlineLevel="0" collapsed="false">
      <c r="A37" s="24" t="str">
        <f aca="false">IF(IFERROR(INDEX(tsk_Name,(ROW()-ROW(MSPTasks[[#Headers],[ID]])))="",TRUE()),"",INDEX(tsk_ID,(ROW()-ROW(MSPTasks[[#Headers],[ID]]))))</f>
        <v/>
      </c>
      <c r="B37" s="24" t="str">
        <f aca="false">IF(IFERROR(INDEX(tsk_Name,(ROW()-ROW(MSPTasks[[#Headers],[ID]])))="",TRUE()),"",INDEX(tsk_UID,(ROW()-ROW(MSPTasks[[#Headers],[ID]]))))</f>
        <v/>
      </c>
      <c r="C37" s="24" t="str">
        <f aca="false">IF(IFERROR(INDEX(tsk_Name,(ROW()-ROW(MSPTasks[[#Headers],[ID]])))="",TRUE()),"",INDEX(tsk_Name,(ROW()-ROW(MSPTasks[[#Headers],[ID]]))))</f>
        <v/>
      </c>
      <c r="D37" s="24" t="str">
        <f aca="false">IF(IFERROR(INDEX(tsk_Name,(ROW()-ROW(MSPTasks[[#Headers],[ID]])))="",TRUE()),"",INDEX(tsk_Level,(ROW()-ROW(MSPTasks[[#Headers],[ID]]))))</f>
        <v/>
      </c>
      <c r="E37" s="24" t="str">
        <f aca="false">IF(IFERROR(INDEX(tsk_Name,(ROW()-ROW(MSPTasks[[#Headers],[ID]])))="",TRUE()),"",IF(INDEX(tsk_Mode,(ROW()-ROW(MSPTasks[[#Headers],[ID]])))="Manual","Manually Scheduled","Auto Scheduled"))</f>
        <v/>
      </c>
      <c r="F37" s="24" t="str">
        <f aca="false">IF(IFERROR(INDEX(tsk_Name,(ROW()-ROW(MSPTasks[[#Headers],[ID]])))="",TRUE()),"",IF(INDEX(tsk_IsSummary,(ROW()-ROW(MSPTasks[[#Headers],[ID]]))),"",N(INDEX(tsk_Duration,(ROW()-ROW(MSPTasks[[#Headers],[ID]]))))&amp;"d"))</f>
        <v/>
      </c>
      <c r="G37" s="130" t="str">
        <f aca="false">IF(IFERROR(INDEX(tsk_Name,(ROW()-ROW(MSPTasks[[#Headers],[ID]])))="",TRUE()),"",INDEX(tsk_FcStart,(ROW()-ROW(MSPTasks[[#Headers],[ID]]))))</f>
        <v/>
      </c>
      <c r="H37" s="130" t="str">
        <f aca="false">IF(IFERROR(INDEX(tsk_Name,(ROW()-ROW(MSPTasks[[#Headers],[ID]])))="",TRUE()),"",INDEX(tsk_FcFinish,(ROW()-ROW(MSPTasks[[#Headers],[ID]]))))</f>
        <v/>
      </c>
      <c r="I37" s="24" t="str">
        <f aca="false">IF(IFERROR(INDEX(tsk_Name,(ROW()-ROW(MSPTasks[[#Headers],[ID]])))="",TRUE()),"",IF(INDEX(tsk_IsSummary,(ROW()-ROW(MSPTasks[[#Headers],[ID]]))),"",INDEX(tsk_Predecessors,(ROW()-ROW(MSPTasks[[#Headers],[ID]])))))</f>
        <v/>
      </c>
      <c r="J37" s="24" t="str">
        <f aca="false">IF(IFERROR(INDEX(tsk_Name,(ROW()-ROW(MSPTasks[[#Headers],[ID]])))="",TRUE()),"",IF(INDEX(tsk_IsSummary,(ROW()-ROW(MSPTasks[[#Headers],[ID]]))),"",INDEX(tsk_UIDPredecessors,(ROW()-ROW(MSPTasks[[#Headers],[ID]])))))</f>
        <v/>
      </c>
      <c r="K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7" s="24" t="str">
        <f aca="false">IF(IFERROR(INDEX(tsk_Name,(ROW()-ROW(MSPTasks[[#Headers],[ID]])))="",TRUE()),"",IF(INDEX(tsk_IsSummary,(ROW()-ROW(MSPTasks[[#Headers],[ID]]))),"",ROUND(INDEX(tsk_Progress,(ROW()-ROW(MSPTasks[[#Headers],[ID]])))*100,0)))</f>
        <v/>
      </c>
      <c r="M37" s="130" t="str">
        <f aca="false">IF(IFERROR(INDEX(tsk_Name,(ROW()-ROW(MSPTasks[[#Headers],[ID]])))="",TRUE()),"",IF(N(INDEX(tsk_ActStart,(ROW()-ROW(MSPTasks[[#Headers],[ID]]))))=0,"",INDEX(tsk_ActStart,(ROW()-ROW(MSPTasks[[#Headers],[ID]])))))</f>
        <v/>
      </c>
      <c r="N37" s="130" t="str">
        <f aca="false">IF(IFERROR(INDEX(tsk_Name,(ROW()-ROW(MSPTasks[[#Headers],[ID]])))="",TRUE()),"",IF(N(INDEX(tsk_ActFinish,(ROW()-ROW(MSPTasks[[#Headers],[ID]]))))=0,"",INDEX(tsk_ActFinish,(ROW()-ROW(MSPTasks[[#Headers],[ID]])))))</f>
        <v/>
      </c>
      <c r="O37" s="130" t="str">
        <f aca="false">IF(IFERROR(INDEX(tsk_Name,(ROW()-ROW(MSPTasks[[#Headers],[ID]])))="",TRUE()),"",INDEX(tsk_PlanStart,(ROW()-ROW(MSPTasks[[#Headers],[ID]]))))</f>
        <v/>
      </c>
      <c r="P37" s="130" t="str">
        <f aca="false">IF(IFERROR(INDEX(tsk_Name,(ROW()-ROW(MSPTasks[[#Headers],[ID]])))="",TRUE()),"",INDEX(tsk_PlanFinish,(ROW()-ROW(MSPTasks[[#Headers],[ID]]))))</f>
        <v/>
      </c>
      <c r="Q37" s="24" t="str">
        <f aca="false">IF(IFERROR(INDEX(tsk_Name,(ROW()-ROW(MSPTasks[[#Headers],[ID]])))="",TRUE()),"",IF(INDEX(tsk_BaseDuration,(ROW()-ROW(MSPTasks[[#Headers],[ID]])))="","",N(INDEX(tsk_BaseDuration,(ROW()-ROW(MSPTasks[[#Headers],[ID]]))))&amp;"d"))</f>
        <v/>
      </c>
      <c r="R37" s="24" t="str">
        <f aca="false">IF(IFERROR(INDEX(tsk_Name,(ROW()-ROW(MSPTasks[[#Headers],[ID]])))="",TRUE()),"",IF(INDEX(tsk_BaseWork,(ROW()-ROW(MSPTasks[[#Headers],[ID]])))="","",N(INDEX(tsk_BaseWork,(ROW()-ROW(MSPTasks[[#Headers],[ID]]))))&amp;"h"))</f>
        <v/>
      </c>
      <c r="S37" s="24" t="str">
        <f aca="false">IF(IFERROR(INDEX(tsk_Name,(ROW()-ROW(MSPTasks[[#Headers],[ID]])))="",TRUE()),"",IF(INDEX(tsk_BaseCost,(ROW()-ROW(MSPTasks[[#Headers],[ID]])))="","",N(INDEX(tsk_BaseCost,(ROW()-ROW(MSPTasks[[#Headers],[ID]]))))))</f>
        <v/>
      </c>
      <c r="T37" s="24" t="str">
        <f aca="false">IF(IFERROR(INDEX(tsk_Name,(ROW()-ROW(MSPTasks[[#Headers],[ID]])))="",TRUE()),"",IF(INDEX(tsk_IsSummary,(ROW()-ROW(MSPTasks[[#Headers],[ID]]))),"",IF(N(INDEX(tsk_ActCostInput,(ROW()-ROW(MSPTasks[[#Headers],[ID]]))))=0,"",INDEX(tsk_ActCostInput,(ROW()-ROW(MSPTasks[[#Headers],[ID]]))))))</f>
        <v/>
      </c>
      <c r="U37" s="24" t="str">
        <f aca="false">IF(IFERROR(INDEX(tsk_Name,(ROW()-ROW(MSPTasks[[#Headers],[ID]])))="",TRUE()),"",IF(INDEX(tsk_IsSummary,(ROW()-ROW(MSPTasks[[#Headers],[ID]]))),"",IF(AND(INDEX(tsk_Mode,(ROW()-ROW(MSPTasks[[#Headers],[ID]])))&lt;&gt;"Manual",N(INDEX(tsk_Constraint,(ROW()-ROW(MSPTasks[[#Headers],[ID]]))))&gt;0),"Start No Earlier Than","As Soon As Possible")))</f>
        <v/>
      </c>
      <c r="V37" s="130" t="str">
        <f aca="false">IF(IFERROR(INDEX(tsk_Name,(ROW()-ROW(MSPTasks[[#Headers],[ID]])))="",TRUE()),"",IF(OR(INDEX(tsk_IsSummary,(ROW()-ROW(MSPTasks[[#Headers],[ID]]))),INDEX(tsk_Mode,(ROW()-ROW(MSPTasks[[#Headers],[ID]])))="Manual"),"",IF(N(INDEX(tsk_Constraint,(ROW()-ROW(MSPTasks[[#Headers],[ID]]))))=0,"",INDEX(tsk_Constraint,(ROW()-ROW(MSPTasks[[#Headers],[ID]]))))))</f>
        <v/>
      </c>
      <c r="W37" s="130" t="str">
        <f aca="false">IF(IFERROR(INDEX(tsk_Name,(ROW()-ROW(MSPTasks[[#Headers],[ID]])))="",TRUE()),"",IF(N(INDEX(tsk_Deadline,(ROW()-ROW(MSPTasks[[#Headers],[ID]]))))=0,"",INDEX(tsk_Deadline,(ROW()-ROW(MSPTasks[[#Headers],[ID]])))))</f>
        <v/>
      </c>
      <c r="X37" s="24" t="str">
        <f aca="false">IF(IFERROR(INDEX(tsk_Name,(ROW()-ROW(MSPTasks[[#Headers],[ID]])))="",TRUE()),"",IF(INDEX(tsk_IsSummary,(ROW()-ROW(MSPTasks[[#Headers],[ID]]))),"",INDEX(tsk_Sprint,(ROW()-ROW(MSPTasks[[#Headers],[ID]])))&amp;""))</f>
        <v/>
      </c>
      <c r="Y37" s="24" t="str">
        <f aca="false">IF(IFERROR(INDEX(tsk_Name,(ROW()-ROW(MSPTasks[[#Headers],[ID]])))="",TRUE()),"",IF(INDEX(tsk_IsSummary,(ROW()-ROW(MSPTasks[[#Headers],[ID]]))),"",IF(N(INDEX(tsk_StoryPoints,(ROW()-ROW(MSPTasks[[#Headers],[ID]]))))=0,"",INDEX(tsk_StoryPoints,(ROW()-ROW(MSPTasks[[#Headers],[ID]]))))))</f>
        <v/>
      </c>
      <c r="Z37" s="24" t="str">
        <f aca="false">IF(IFERROR(INDEX(tsk_Name,(ROW()-ROW(MSPTasks[[#Headers],[ID]])))="",TRUE()),"",INDEX(tsk_Notes,(ROW()-ROW(MSPTasks[[#Headers],[ID]])))&amp;"")</f>
        <v/>
      </c>
    </row>
    <row r="38" customFormat="false" ht="15" hidden="false" customHeight="false" outlineLevel="0" collapsed="false">
      <c r="A38" s="24" t="str">
        <f aca="false">IF(IFERROR(INDEX(tsk_Name,(ROW()-ROW(MSPTasks[[#Headers],[ID]])))="",TRUE()),"",INDEX(tsk_ID,(ROW()-ROW(MSPTasks[[#Headers],[ID]]))))</f>
        <v/>
      </c>
      <c r="B38" s="24" t="str">
        <f aca="false">IF(IFERROR(INDEX(tsk_Name,(ROW()-ROW(MSPTasks[[#Headers],[ID]])))="",TRUE()),"",INDEX(tsk_UID,(ROW()-ROW(MSPTasks[[#Headers],[ID]]))))</f>
        <v/>
      </c>
      <c r="C38" s="24" t="str">
        <f aca="false">IF(IFERROR(INDEX(tsk_Name,(ROW()-ROW(MSPTasks[[#Headers],[ID]])))="",TRUE()),"",INDEX(tsk_Name,(ROW()-ROW(MSPTasks[[#Headers],[ID]]))))</f>
        <v/>
      </c>
      <c r="D38" s="24" t="str">
        <f aca="false">IF(IFERROR(INDEX(tsk_Name,(ROW()-ROW(MSPTasks[[#Headers],[ID]])))="",TRUE()),"",INDEX(tsk_Level,(ROW()-ROW(MSPTasks[[#Headers],[ID]]))))</f>
        <v/>
      </c>
      <c r="E38" s="24" t="str">
        <f aca="false">IF(IFERROR(INDEX(tsk_Name,(ROW()-ROW(MSPTasks[[#Headers],[ID]])))="",TRUE()),"",IF(INDEX(tsk_Mode,(ROW()-ROW(MSPTasks[[#Headers],[ID]])))="Manual","Manually Scheduled","Auto Scheduled"))</f>
        <v/>
      </c>
      <c r="F38" s="24" t="str">
        <f aca="false">IF(IFERROR(INDEX(tsk_Name,(ROW()-ROW(MSPTasks[[#Headers],[ID]])))="",TRUE()),"",IF(INDEX(tsk_IsSummary,(ROW()-ROW(MSPTasks[[#Headers],[ID]]))),"",N(INDEX(tsk_Duration,(ROW()-ROW(MSPTasks[[#Headers],[ID]]))))&amp;"d"))</f>
        <v/>
      </c>
      <c r="G38" s="130" t="str">
        <f aca="false">IF(IFERROR(INDEX(tsk_Name,(ROW()-ROW(MSPTasks[[#Headers],[ID]])))="",TRUE()),"",INDEX(tsk_FcStart,(ROW()-ROW(MSPTasks[[#Headers],[ID]]))))</f>
        <v/>
      </c>
      <c r="H38" s="130" t="str">
        <f aca="false">IF(IFERROR(INDEX(tsk_Name,(ROW()-ROW(MSPTasks[[#Headers],[ID]])))="",TRUE()),"",INDEX(tsk_FcFinish,(ROW()-ROW(MSPTasks[[#Headers],[ID]]))))</f>
        <v/>
      </c>
      <c r="I38" s="24" t="str">
        <f aca="false">IF(IFERROR(INDEX(tsk_Name,(ROW()-ROW(MSPTasks[[#Headers],[ID]])))="",TRUE()),"",IF(INDEX(tsk_IsSummary,(ROW()-ROW(MSPTasks[[#Headers],[ID]]))),"",INDEX(tsk_Predecessors,(ROW()-ROW(MSPTasks[[#Headers],[ID]])))))</f>
        <v/>
      </c>
      <c r="J38" s="24" t="str">
        <f aca="false">IF(IFERROR(INDEX(tsk_Name,(ROW()-ROW(MSPTasks[[#Headers],[ID]])))="",TRUE()),"",IF(INDEX(tsk_IsSummary,(ROW()-ROW(MSPTasks[[#Headers],[ID]]))),"",INDEX(tsk_UIDPredecessors,(ROW()-ROW(MSPTasks[[#Headers],[ID]])))))</f>
        <v/>
      </c>
      <c r="K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8" s="24" t="str">
        <f aca="false">IF(IFERROR(INDEX(tsk_Name,(ROW()-ROW(MSPTasks[[#Headers],[ID]])))="",TRUE()),"",IF(INDEX(tsk_IsSummary,(ROW()-ROW(MSPTasks[[#Headers],[ID]]))),"",ROUND(INDEX(tsk_Progress,(ROW()-ROW(MSPTasks[[#Headers],[ID]])))*100,0)))</f>
        <v/>
      </c>
      <c r="M38" s="130" t="str">
        <f aca="false">IF(IFERROR(INDEX(tsk_Name,(ROW()-ROW(MSPTasks[[#Headers],[ID]])))="",TRUE()),"",IF(N(INDEX(tsk_ActStart,(ROW()-ROW(MSPTasks[[#Headers],[ID]]))))=0,"",INDEX(tsk_ActStart,(ROW()-ROW(MSPTasks[[#Headers],[ID]])))))</f>
        <v/>
      </c>
      <c r="N38" s="130" t="str">
        <f aca="false">IF(IFERROR(INDEX(tsk_Name,(ROW()-ROW(MSPTasks[[#Headers],[ID]])))="",TRUE()),"",IF(N(INDEX(tsk_ActFinish,(ROW()-ROW(MSPTasks[[#Headers],[ID]]))))=0,"",INDEX(tsk_ActFinish,(ROW()-ROW(MSPTasks[[#Headers],[ID]])))))</f>
        <v/>
      </c>
      <c r="O38" s="130" t="str">
        <f aca="false">IF(IFERROR(INDEX(tsk_Name,(ROW()-ROW(MSPTasks[[#Headers],[ID]])))="",TRUE()),"",INDEX(tsk_PlanStart,(ROW()-ROW(MSPTasks[[#Headers],[ID]]))))</f>
        <v/>
      </c>
      <c r="P38" s="130" t="str">
        <f aca="false">IF(IFERROR(INDEX(tsk_Name,(ROW()-ROW(MSPTasks[[#Headers],[ID]])))="",TRUE()),"",INDEX(tsk_PlanFinish,(ROW()-ROW(MSPTasks[[#Headers],[ID]]))))</f>
        <v/>
      </c>
      <c r="Q38" s="24" t="str">
        <f aca="false">IF(IFERROR(INDEX(tsk_Name,(ROW()-ROW(MSPTasks[[#Headers],[ID]])))="",TRUE()),"",IF(INDEX(tsk_BaseDuration,(ROW()-ROW(MSPTasks[[#Headers],[ID]])))="","",N(INDEX(tsk_BaseDuration,(ROW()-ROW(MSPTasks[[#Headers],[ID]]))))&amp;"d"))</f>
        <v/>
      </c>
      <c r="R38" s="24" t="str">
        <f aca="false">IF(IFERROR(INDEX(tsk_Name,(ROW()-ROW(MSPTasks[[#Headers],[ID]])))="",TRUE()),"",IF(INDEX(tsk_BaseWork,(ROW()-ROW(MSPTasks[[#Headers],[ID]])))="","",N(INDEX(tsk_BaseWork,(ROW()-ROW(MSPTasks[[#Headers],[ID]]))))&amp;"h"))</f>
        <v/>
      </c>
      <c r="S38" s="24" t="str">
        <f aca="false">IF(IFERROR(INDEX(tsk_Name,(ROW()-ROW(MSPTasks[[#Headers],[ID]])))="",TRUE()),"",IF(INDEX(tsk_BaseCost,(ROW()-ROW(MSPTasks[[#Headers],[ID]])))="","",N(INDEX(tsk_BaseCost,(ROW()-ROW(MSPTasks[[#Headers],[ID]]))))))</f>
        <v/>
      </c>
      <c r="T38" s="24" t="str">
        <f aca="false">IF(IFERROR(INDEX(tsk_Name,(ROW()-ROW(MSPTasks[[#Headers],[ID]])))="",TRUE()),"",IF(INDEX(tsk_IsSummary,(ROW()-ROW(MSPTasks[[#Headers],[ID]]))),"",IF(N(INDEX(tsk_ActCostInput,(ROW()-ROW(MSPTasks[[#Headers],[ID]]))))=0,"",INDEX(tsk_ActCostInput,(ROW()-ROW(MSPTasks[[#Headers],[ID]]))))))</f>
        <v/>
      </c>
      <c r="U38" s="24" t="str">
        <f aca="false">IF(IFERROR(INDEX(tsk_Name,(ROW()-ROW(MSPTasks[[#Headers],[ID]])))="",TRUE()),"",IF(INDEX(tsk_IsSummary,(ROW()-ROW(MSPTasks[[#Headers],[ID]]))),"",IF(AND(INDEX(tsk_Mode,(ROW()-ROW(MSPTasks[[#Headers],[ID]])))&lt;&gt;"Manual",N(INDEX(tsk_Constraint,(ROW()-ROW(MSPTasks[[#Headers],[ID]]))))&gt;0),"Start No Earlier Than","As Soon As Possible")))</f>
        <v/>
      </c>
      <c r="V38" s="130" t="str">
        <f aca="false">IF(IFERROR(INDEX(tsk_Name,(ROW()-ROW(MSPTasks[[#Headers],[ID]])))="",TRUE()),"",IF(OR(INDEX(tsk_IsSummary,(ROW()-ROW(MSPTasks[[#Headers],[ID]]))),INDEX(tsk_Mode,(ROW()-ROW(MSPTasks[[#Headers],[ID]])))="Manual"),"",IF(N(INDEX(tsk_Constraint,(ROW()-ROW(MSPTasks[[#Headers],[ID]]))))=0,"",INDEX(tsk_Constraint,(ROW()-ROW(MSPTasks[[#Headers],[ID]]))))))</f>
        <v/>
      </c>
      <c r="W38" s="130" t="str">
        <f aca="false">IF(IFERROR(INDEX(tsk_Name,(ROW()-ROW(MSPTasks[[#Headers],[ID]])))="",TRUE()),"",IF(N(INDEX(tsk_Deadline,(ROW()-ROW(MSPTasks[[#Headers],[ID]]))))=0,"",INDEX(tsk_Deadline,(ROW()-ROW(MSPTasks[[#Headers],[ID]])))))</f>
        <v/>
      </c>
      <c r="X38" s="24" t="str">
        <f aca="false">IF(IFERROR(INDEX(tsk_Name,(ROW()-ROW(MSPTasks[[#Headers],[ID]])))="",TRUE()),"",IF(INDEX(tsk_IsSummary,(ROW()-ROW(MSPTasks[[#Headers],[ID]]))),"",INDEX(tsk_Sprint,(ROW()-ROW(MSPTasks[[#Headers],[ID]])))&amp;""))</f>
        <v/>
      </c>
      <c r="Y38" s="24" t="str">
        <f aca="false">IF(IFERROR(INDEX(tsk_Name,(ROW()-ROW(MSPTasks[[#Headers],[ID]])))="",TRUE()),"",IF(INDEX(tsk_IsSummary,(ROW()-ROW(MSPTasks[[#Headers],[ID]]))),"",IF(N(INDEX(tsk_StoryPoints,(ROW()-ROW(MSPTasks[[#Headers],[ID]]))))=0,"",INDEX(tsk_StoryPoints,(ROW()-ROW(MSPTasks[[#Headers],[ID]]))))))</f>
        <v/>
      </c>
      <c r="Z38" s="24" t="str">
        <f aca="false">IF(IFERROR(INDEX(tsk_Name,(ROW()-ROW(MSPTasks[[#Headers],[ID]])))="",TRUE()),"",INDEX(tsk_Notes,(ROW()-ROW(MSPTasks[[#Headers],[ID]])))&amp;"")</f>
        <v/>
      </c>
    </row>
    <row r="39" customFormat="false" ht="15" hidden="false" customHeight="false" outlineLevel="0" collapsed="false">
      <c r="A39" s="24" t="str">
        <f aca="false">IF(IFERROR(INDEX(tsk_Name,(ROW()-ROW(MSPTasks[[#Headers],[ID]])))="",TRUE()),"",INDEX(tsk_ID,(ROW()-ROW(MSPTasks[[#Headers],[ID]]))))</f>
        <v/>
      </c>
      <c r="B39" s="24" t="str">
        <f aca="false">IF(IFERROR(INDEX(tsk_Name,(ROW()-ROW(MSPTasks[[#Headers],[ID]])))="",TRUE()),"",INDEX(tsk_UID,(ROW()-ROW(MSPTasks[[#Headers],[ID]]))))</f>
        <v/>
      </c>
      <c r="C39" s="24" t="str">
        <f aca="false">IF(IFERROR(INDEX(tsk_Name,(ROW()-ROW(MSPTasks[[#Headers],[ID]])))="",TRUE()),"",INDEX(tsk_Name,(ROW()-ROW(MSPTasks[[#Headers],[ID]]))))</f>
        <v/>
      </c>
      <c r="D39" s="24" t="str">
        <f aca="false">IF(IFERROR(INDEX(tsk_Name,(ROW()-ROW(MSPTasks[[#Headers],[ID]])))="",TRUE()),"",INDEX(tsk_Level,(ROW()-ROW(MSPTasks[[#Headers],[ID]]))))</f>
        <v/>
      </c>
      <c r="E39" s="24" t="str">
        <f aca="false">IF(IFERROR(INDEX(tsk_Name,(ROW()-ROW(MSPTasks[[#Headers],[ID]])))="",TRUE()),"",IF(INDEX(tsk_Mode,(ROW()-ROW(MSPTasks[[#Headers],[ID]])))="Manual","Manually Scheduled","Auto Scheduled"))</f>
        <v/>
      </c>
      <c r="F39" s="24" t="str">
        <f aca="false">IF(IFERROR(INDEX(tsk_Name,(ROW()-ROW(MSPTasks[[#Headers],[ID]])))="",TRUE()),"",IF(INDEX(tsk_IsSummary,(ROW()-ROW(MSPTasks[[#Headers],[ID]]))),"",N(INDEX(tsk_Duration,(ROW()-ROW(MSPTasks[[#Headers],[ID]]))))&amp;"d"))</f>
        <v/>
      </c>
      <c r="G39" s="130" t="str">
        <f aca="false">IF(IFERROR(INDEX(tsk_Name,(ROW()-ROW(MSPTasks[[#Headers],[ID]])))="",TRUE()),"",INDEX(tsk_FcStart,(ROW()-ROW(MSPTasks[[#Headers],[ID]]))))</f>
        <v/>
      </c>
      <c r="H39" s="130" t="str">
        <f aca="false">IF(IFERROR(INDEX(tsk_Name,(ROW()-ROW(MSPTasks[[#Headers],[ID]])))="",TRUE()),"",INDEX(tsk_FcFinish,(ROW()-ROW(MSPTasks[[#Headers],[ID]]))))</f>
        <v/>
      </c>
      <c r="I39" s="24" t="str">
        <f aca="false">IF(IFERROR(INDEX(tsk_Name,(ROW()-ROW(MSPTasks[[#Headers],[ID]])))="",TRUE()),"",IF(INDEX(tsk_IsSummary,(ROW()-ROW(MSPTasks[[#Headers],[ID]]))),"",INDEX(tsk_Predecessors,(ROW()-ROW(MSPTasks[[#Headers],[ID]])))))</f>
        <v/>
      </c>
      <c r="J39" s="24" t="str">
        <f aca="false">IF(IFERROR(INDEX(tsk_Name,(ROW()-ROW(MSPTasks[[#Headers],[ID]])))="",TRUE()),"",IF(INDEX(tsk_IsSummary,(ROW()-ROW(MSPTasks[[#Headers],[ID]]))),"",INDEX(tsk_UIDPredecessors,(ROW()-ROW(MSPTasks[[#Headers],[ID]])))))</f>
        <v/>
      </c>
      <c r="K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9" s="24" t="str">
        <f aca="false">IF(IFERROR(INDEX(tsk_Name,(ROW()-ROW(MSPTasks[[#Headers],[ID]])))="",TRUE()),"",IF(INDEX(tsk_IsSummary,(ROW()-ROW(MSPTasks[[#Headers],[ID]]))),"",ROUND(INDEX(tsk_Progress,(ROW()-ROW(MSPTasks[[#Headers],[ID]])))*100,0)))</f>
        <v/>
      </c>
      <c r="M39" s="130" t="str">
        <f aca="false">IF(IFERROR(INDEX(tsk_Name,(ROW()-ROW(MSPTasks[[#Headers],[ID]])))="",TRUE()),"",IF(N(INDEX(tsk_ActStart,(ROW()-ROW(MSPTasks[[#Headers],[ID]]))))=0,"",INDEX(tsk_ActStart,(ROW()-ROW(MSPTasks[[#Headers],[ID]])))))</f>
        <v/>
      </c>
      <c r="N39" s="130" t="str">
        <f aca="false">IF(IFERROR(INDEX(tsk_Name,(ROW()-ROW(MSPTasks[[#Headers],[ID]])))="",TRUE()),"",IF(N(INDEX(tsk_ActFinish,(ROW()-ROW(MSPTasks[[#Headers],[ID]]))))=0,"",INDEX(tsk_ActFinish,(ROW()-ROW(MSPTasks[[#Headers],[ID]])))))</f>
        <v/>
      </c>
      <c r="O39" s="130" t="str">
        <f aca="false">IF(IFERROR(INDEX(tsk_Name,(ROW()-ROW(MSPTasks[[#Headers],[ID]])))="",TRUE()),"",INDEX(tsk_PlanStart,(ROW()-ROW(MSPTasks[[#Headers],[ID]]))))</f>
        <v/>
      </c>
      <c r="P39" s="130" t="str">
        <f aca="false">IF(IFERROR(INDEX(tsk_Name,(ROW()-ROW(MSPTasks[[#Headers],[ID]])))="",TRUE()),"",INDEX(tsk_PlanFinish,(ROW()-ROW(MSPTasks[[#Headers],[ID]]))))</f>
        <v/>
      </c>
      <c r="Q39" s="24" t="str">
        <f aca="false">IF(IFERROR(INDEX(tsk_Name,(ROW()-ROW(MSPTasks[[#Headers],[ID]])))="",TRUE()),"",IF(INDEX(tsk_BaseDuration,(ROW()-ROW(MSPTasks[[#Headers],[ID]])))="","",N(INDEX(tsk_BaseDuration,(ROW()-ROW(MSPTasks[[#Headers],[ID]]))))&amp;"d"))</f>
        <v/>
      </c>
      <c r="R39" s="24" t="str">
        <f aca="false">IF(IFERROR(INDEX(tsk_Name,(ROW()-ROW(MSPTasks[[#Headers],[ID]])))="",TRUE()),"",IF(INDEX(tsk_BaseWork,(ROW()-ROW(MSPTasks[[#Headers],[ID]])))="","",N(INDEX(tsk_BaseWork,(ROW()-ROW(MSPTasks[[#Headers],[ID]]))))&amp;"h"))</f>
        <v/>
      </c>
      <c r="S39" s="24" t="str">
        <f aca="false">IF(IFERROR(INDEX(tsk_Name,(ROW()-ROW(MSPTasks[[#Headers],[ID]])))="",TRUE()),"",IF(INDEX(tsk_BaseCost,(ROW()-ROW(MSPTasks[[#Headers],[ID]])))="","",N(INDEX(tsk_BaseCost,(ROW()-ROW(MSPTasks[[#Headers],[ID]]))))))</f>
        <v/>
      </c>
      <c r="T39" s="24" t="str">
        <f aca="false">IF(IFERROR(INDEX(tsk_Name,(ROW()-ROW(MSPTasks[[#Headers],[ID]])))="",TRUE()),"",IF(INDEX(tsk_IsSummary,(ROW()-ROW(MSPTasks[[#Headers],[ID]]))),"",IF(N(INDEX(tsk_ActCostInput,(ROW()-ROW(MSPTasks[[#Headers],[ID]]))))=0,"",INDEX(tsk_ActCostInput,(ROW()-ROW(MSPTasks[[#Headers],[ID]]))))))</f>
        <v/>
      </c>
      <c r="U39" s="24" t="str">
        <f aca="false">IF(IFERROR(INDEX(tsk_Name,(ROW()-ROW(MSPTasks[[#Headers],[ID]])))="",TRUE()),"",IF(INDEX(tsk_IsSummary,(ROW()-ROW(MSPTasks[[#Headers],[ID]]))),"",IF(AND(INDEX(tsk_Mode,(ROW()-ROW(MSPTasks[[#Headers],[ID]])))&lt;&gt;"Manual",N(INDEX(tsk_Constraint,(ROW()-ROW(MSPTasks[[#Headers],[ID]]))))&gt;0),"Start No Earlier Than","As Soon As Possible")))</f>
        <v/>
      </c>
      <c r="V39" s="130" t="str">
        <f aca="false">IF(IFERROR(INDEX(tsk_Name,(ROW()-ROW(MSPTasks[[#Headers],[ID]])))="",TRUE()),"",IF(OR(INDEX(tsk_IsSummary,(ROW()-ROW(MSPTasks[[#Headers],[ID]]))),INDEX(tsk_Mode,(ROW()-ROW(MSPTasks[[#Headers],[ID]])))="Manual"),"",IF(N(INDEX(tsk_Constraint,(ROW()-ROW(MSPTasks[[#Headers],[ID]]))))=0,"",INDEX(tsk_Constraint,(ROW()-ROW(MSPTasks[[#Headers],[ID]]))))))</f>
        <v/>
      </c>
      <c r="W39" s="130" t="str">
        <f aca="false">IF(IFERROR(INDEX(tsk_Name,(ROW()-ROW(MSPTasks[[#Headers],[ID]])))="",TRUE()),"",IF(N(INDEX(tsk_Deadline,(ROW()-ROW(MSPTasks[[#Headers],[ID]]))))=0,"",INDEX(tsk_Deadline,(ROW()-ROW(MSPTasks[[#Headers],[ID]])))))</f>
        <v/>
      </c>
      <c r="X39" s="24" t="str">
        <f aca="false">IF(IFERROR(INDEX(tsk_Name,(ROW()-ROW(MSPTasks[[#Headers],[ID]])))="",TRUE()),"",IF(INDEX(tsk_IsSummary,(ROW()-ROW(MSPTasks[[#Headers],[ID]]))),"",INDEX(tsk_Sprint,(ROW()-ROW(MSPTasks[[#Headers],[ID]])))&amp;""))</f>
        <v/>
      </c>
      <c r="Y39" s="24" t="str">
        <f aca="false">IF(IFERROR(INDEX(tsk_Name,(ROW()-ROW(MSPTasks[[#Headers],[ID]])))="",TRUE()),"",IF(INDEX(tsk_IsSummary,(ROW()-ROW(MSPTasks[[#Headers],[ID]]))),"",IF(N(INDEX(tsk_StoryPoints,(ROW()-ROW(MSPTasks[[#Headers],[ID]]))))=0,"",INDEX(tsk_StoryPoints,(ROW()-ROW(MSPTasks[[#Headers],[ID]]))))))</f>
        <v/>
      </c>
      <c r="Z39" s="24" t="str">
        <f aca="false">IF(IFERROR(INDEX(tsk_Name,(ROW()-ROW(MSPTasks[[#Headers],[ID]])))="",TRUE()),"",INDEX(tsk_Notes,(ROW()-ROW(MSPTasks[[#Headers],[ID]])))&amp;"")</f>
        <v/>
      </c>
    </row>
    <row r="40" customFormat="false" ht="15" hidden="false" customHeight="false" outlineLevel="0" collapsed="false">
      <c r="A40" s="24" t="str">
        <f aca="false">IF(IFERROR(INDEX(tsk_Name,(ROW()-ROW(MSPTasks[[#Headers],[ID]])))="",TRUE()),"",INDEX(tsk_ID,(ROW()-ROW(MSPTasks[[#Headers],[ID]]))))</f>
        <v/>
      </c>
      <c r="B40" s="24" t="str">
        <f aca="false">IF(IFERROR(INDEX(tsk_Name,(ROW()-ROW(MSPTasks[[#Headers],[ID]])))="",TRUE()),"",INDEX(tsk_UID,(ROW()-ROW(MSPTasks[[#Headers],[ID]]))))</f>
        <v/>
      </c>
      <c r="C40" s="24" t="str">
        <f aca="false">IF(IFERROR(INDEX(tsk_Name,(ROW()-ROW(MSPTasks[[#Headers],[ID]])))="",TRUE()),"",INDEX(tsk_Name,(ROW()-ROW(MSPTasks[[#Headers],[ID]]))))</f>
        <v/>
      </c>
      <c r="D40" s="24" t="str">
        <f aca="false">IF(IFERROR(INDEX(tsk_Name,(ROW()-ROW(MSPTasks[[#Headers],[ID]])))="",TRUE()),"",INDEX(tsk_Level,(ROW()-ROW(MSPTasks[[#Headers],[ID]]))))</f>
        <v/>
      </c>
      <c r="E40" s="24" t="str">
        <f aca="false">IF(IFERROR(INDEX(tsk_Name,(ROW()-ROW(MSPTasks[[#Headers],[ID]])))="",TRUE()),"",IF(INDEX(tsk_Mode,(ROW()-ROW(MSPTasks[[#Headers],[ID]])))="Manual","Manually Scheduled","Auto Scheduled"))</f>
        <v/>
      </c>
      <c r="F40" s="24" t="str">
        <f aca="false">IF(IFERROR(INDEX(tsk_Name,(ROW()-ROW(MSPTasks[[#Headers],[ID]])))="",TRUE()),"",IF(INDEX(tsk_IsSummary,(ROW()-ROW(MSPTasks[[#Headers],[ID]]))),"",N(INDEX(tsk_Duration,(ROW()-ROW(MSPTasks[[#Headers],[ID]]))))&amp;"d"))</f>
        <v/>
      </c>
      <c r="G40" s="130" t="str">
        <f aca="false">IF(IFERROR(INDEX(tsk_Name,(ROW()-ROW(MSPTasks[[#Headers],[ID]])))="",TRUE()),"",INDEX(tsk_FcStart,(ROW()-ROW(MSPTasks[[#Headers],[ID]]))))</f>
        <v/>
      </c>
      <c r="H40" s="130" t="str">
        <f aca="false">IF(IFERROR(INDEX(tsk_Name,(ROW()-ROW(MSPTasks[[#Headers],[ID]])))="",TRUE()),"",INDEX(tsk_FcFinish,(ROW()-ROW(MSPTasks[[#Headers],[ID]]))))</f>
        <v/>
      </c>
      <c r="I40" s="24" t="str">
        <f aca="false">IF(IFERROR(INDEX(tsk_Name,(ROW()-ROW(MSPTasks[[#Headers],[ID]])))="",TRUE()),"",IF(INDEX(tsk_IsSummary,(ROW()-ROW(MSPTasks[[#Headers],[ID]]))),"",INDEX(tsk_Predecessors,(ROW()-ROW(MSPTasks[[#Headers],[ID]])))))</f>
        <v/>
      </c>
      <c r="J40" s="24" t="str">
        <f aca="false">IF(IFERROR(INDEX(tsk_Name,(ROW()-ROW(MSPTasks[[#Headers],[ID]])))="",TRUE()),"",IF(INDEX(tsk_IsSummary,(ROW()-ROW(MSPTasks[[#Headers],[ID]]))),"",INDEX(tsk_UIDPredecessors,(ROW()-ROW(MSPTasks[[#Headers],[ID]])))))</f>
        <v/>
      </c>
      <c r="K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0" s="24" t="str">
        <f aca="false">IF(IFERROR(INDEX(tsk_Name,(ROW()-ROW(MSPTasks[[#Headers],[ID]])))="",TRUE()),"",IF(INDEX(tsk_IsSummary,(ROW()-ROW(MSPTasks[[#Headers],[ID]]))),"",ROUND(INDEX(tsk_Progress,(ROW()-ROW(MSPTasks[[#Headers],[ID]])))*100,0)))</f>
        <v/>
      </c>
      <c r="M40" s="130" t="str">
        <f aca="false">IF(IFERROR(INDEX(tsk_Name,(ROW()-ROW(MSPTasks[[#Headers],[ID]])))="",TRUE()),"",IF(N(INDEX(tsk_ActStart,(ROW()-ROW(MSPTasks[[#Headers],[ID]]))))=0,"",INDEX(tsk_ActStart,(ROW()-ROW(MSPTasks[[#Headers],[ID]])))))</f>
        <v/>
      </c>
      <c r="N40" s="130" t="str">
        <f aca="false">IF(IFERROR(INDEX(tsk_Name,(ROW()-ROW(MSPTasks[[#Headers],[ID]])))="",TRUE()),"",IF(N(INDEX(tsk_ActFinish,(ROW()-ROW(MSPTasks[[#Headers],[ID]]))))=0,"",INDEX(tsk_ActFinish,(ROW()-ROW(MSPTasks[[#Headers],[ID]])))))</f>
        <v/>
      </c>
      <c r="O40" s="130" t="str">
        <f aca="false">IF(IFERROR(INDEX(tsk_Name,(ROW()-ROW(MSPTasks[[#Headers],[ID]])))="",TRUE()),"",INDEX(tsk_PlanStart,(ROW()-ROW(MSPTasks[[#Headers],[ID]]))))</f>
        <v/>
      </c>
      <c r="P40" s="130" t="str">
        <f aca="false">IF(IFERROR(INDEX(tsk_Name,(ROW()-ROW(MSPTasks[[#Headers],[ID]])))="",TRUE()),"",INDEX(tsk_PlanFinish,(ROW()-ROW(MSPTasks[[#Headers],[ID]]))))</f>
        <v/>
      </c>
      <c r="Q40" s="24" t="str">
        <f aca="false">IF(IFERROR(INDEX(tsk_Name,(ROW()-ROW(MSPTasks[[#Headers],[ID]])))="",TRUE()),"",IF(INDEX(tsk_BaseDuration,(ROW()-ROW(MSPTasks[[#Headers],[ID]])))="","",N(INDEX(tsk_BaseDuration,(ROW()-ROW(MSPTasks[[#Headers],[ID]]))))&amp;"d"))</f>
        <v/>
      </c>
      <c r="R40" s="24" t="str">
        <f aca="false">IF(IFERROR(INDEX(tsk_Name,(ROW()-ROW(MSPTasks[[#Headers],[ID]])))="",TRUE()),"",IF(INDEX(tsk_BaseWork,(ROW()-ROW(MSPTasks[[#Headers],[ID]])))="","",N(INDEX(tsk_BaseWork,(ROW()-ROW(MSPTasks[[#Headers],[ID]]))))&amp;"h"))</f>
        <v/>
      </c>
      <c r="S40" s="24" t="str">
        <f aca="false">IF(IFERROR(INDEX(tsk_Name,(ROW()-ROW(MSPTasks[[#Headers],[ID]])))="",TRUE()),"",IF(INDEX(tsk_BaseCost,(ROW()-ROW(MSPTasks[[#Headers],[ID]])))="","",N(INDEX(tsk_BaseCost,(ROW()-ROW(MSPTasks[[#Headers],[ID]]))))))</f>
        <v/>
      </c>
      <c r="T40" s="24" t="str">
        <f aca="false">IF(IFERROR(INDEX(tsk_Name,(ROW()-ROW(MSPTasks[[#Headers],[ID]])))="",TRUE()),"",IF(INDEX(tsk_IsSummary,(ROW()-ROW(MSPTasks[[#Headers],[ID]]))),"",IF(N(INDEX(tsk_ActCostInput,(ROW()-ROW(MSPTasks[[#Headers],[ID]]))))=0,"",INDEX(tsk_ActCostInput,(ROW()-ROW(MSPTasks[[#Headers],[ID]]))))))</f>
        <v/>
      </c>
      <c r="U40" s="24" t="str">
        <f aca="false">IF(IFERROR(INDEX(tsk_Name,(ROW()-ROW(MSPTasks[[#Headers],[ID]])))="",TRUE()),"",IF(INDEX(tsk_IsSummary,(ROW()-ROW(MSPTasks[[#Headers],[ID]]))),"",IF(AND(INDEX(tsk_Mode,(ROW()-ROW(MSPTasks[[#Headers],[ID]])))&lt;&gt;"Manual",N(INDEX(tsk_Constraint,(ROW()-ROW(MSPTasks[[#Headers],[ID]]))))&gt;0),"Start No Earlier Than","As Soon As Possible")))</f>
        <v/>
      </c>
      <c r="V40" s="130" t="str">
        <f aca="false">IF(IFERROR(INDEX(tsk_Name,(ROW()-ROW(MSPTasks[[#Headers],[ID]])))="",TRUE()),"",IF(OR(INDEX(tsk_IsSummary,(ROW()-ROW(MSPTasks[[#Headers],[ID]]))),INDEX(tsk_Mode,(ROW()-ROW(MSPTasks[[#Headers],[ID]])))="Manual"),"",IF(N(INDEX(tsk_Constraint,(ROW()-ROW(MSPTasks[[#Headers],[ID]]))))=0,"",INDEX(tsk_Constraint,(ROW()-ROW(MSPTasks[[#Headers],[ID]]))))))</f>
        <v/>
      </c>
      <c r="W40" s="130" t="str">
        <f aca="false">IF(IFERROR(INDEX(tsk_Name,(ROW()-ROW(MSPTasks[[#Headers],[ID]])))="",TRUE()),"",IF(N(INDEX(tsk_Deadline,(ROW()-ROW(MSPTasks[[#Headers],[ID]]))))=0,"",INDEX(tsk_Deadline,(ROW()-ROW(MSPTasks[[#Headers],[ID]])))))</f>
        <v/>
      </c>
      <c r="X40" s="24" t="str">
        <f aca="false">IF(IFERROR(INDEX(tsk_Name,(ROW()-ROW(MSPTasks[[#Headers],[ID]])))="",TRUE()),"",IF(INDEX(tsk_IsSummary,(ROW()-ROW(MSPTasks[[#Headers],[ID]]))),"",INDEX(tsk_Sprint,(ROW()-ROW(MSPTasks[[#Headers],[ID]])))&amp;""))</f>
        <v/>
      </c>
      <c r="Y40" s="24" t="str">
        <f aca="false">IF(IFERROR(INDEX(tsk_Name,(ROW()-ROW(MSPTasks[[#Headers],[ID]])))="",TRUE()),"",IF(INDEX(tsk_IsSummary,(ROW()-ROW(MSPTasks[[#Headers],[ID]]))),"",IF(N(INDEX(tsk_StoryPoints,(ROW()-ROW(MSPTasks[[#Headers],[ID]]))))=0,"",INDEX(tsk_StoryPoints,(ROW()-ROW(MSPTasks[[#Headers],[ID]]))))))</f>
        <v/>
      </c>
      <c r="Z40" s="24" t="str">
        <f aca="false">IF(IFERROR(INDEX(tsk_Name,(ROW()-ROW(MSPTasks[[#Headers],[ID]])))="",TRUE()),"",INDEX(tsk_Notes,(ROW()-ROW(MSPTasks[[#Headers],[ID]])))&amp;"")</f>
        <v/>
      </c>
    </row>
    <row r="41" customFormat="false" ht="15" hidden="false" customHeight="false" outlineLevel="0" collapsed="false">
      <c r="A41" s="24" t="str">
        <f aca="false">IF(IFERROR(INDEX(tsk_Name,(ROW()-ROW(MSPTasks[[#Headers],[ID]])))="",TRUE()),"",INDEX(tsk_ID,(ROW()-ROW(MSPTasks[[#Headers],[ID]]))))</f>
        <v/>
      </c>
      <c r="B41" s="24" t="str">
        <f aca="false">IF(IFERROR(INDEX(tsk_Name,(ROW()-ROW(MSPTasks[[#Headers],[ID]])))="",TRUE()),"",INDEX(tsk_UID,(ROW()-ROW(MSPTasks[[#Headers],[ID]]))))</f>
        <v/>
      </c>
      <c r="C41" s="24" t="str">
        <f aca="false">IF(IFERROR(INDEX(tsk_Name,(ROW()-ROW(MSPTasks[[#Headers],[ID]])))="",TRUE()),"",INDEX(tsk_Name,(ROW()-ROW(MSPTasks[[#Headers],[ID]]))))</f>
        <v/>
      </c>
      <c r="D41" s="24" t="str">
        <f aca="false">IF(IFERROR(INDEX(tsk_Name,(ROW()-ROW(MSPTasks[[#Headers],[ID]])))="",TRUE()),"",INDEX(tsk_Level,(ROW()-ROW(MSPTasks[[#Headers],[ID]]))))</f>
        <v/>
      </c>
      <c r="E41" s="24" t="str">
        <f aca="false">IF(IFERROR(INDEX(tsk_Name,(ROW()-ROW(MSPTasks[[#Headers],[ID]])))="",TRUE()),"",IF(INDEX(tsk_Mode,(ROW()-ROW(MSPTasks[[#Headers],[ID]])))="Manual","Manually Scheduled","Auto Scheduled"))</f>
        <v/>
      </c>
      <c r="F41" s="24" t="str">
        <f aca="false">IF(IFERROR(INDEX(tsk_Name,(ROW()-ROW(MSPTasks[[#Headers],[ID]])))="",TRUE()),"",IF(INDEX(tsk_IsSummary,(ROW()-ROW(MSPTasks[[#Headers],[ID]]))),"",N(INDEX(tsk_Duration,(ROW()-ROW(MSPTasks[[#Headers],[ID]]))))&amp;"d"))</f>
        <v/>
      </c>
      <c r="G41" s="130" t="str">
        <f aca="false">IF(IFERROR(INDEX(tsk_Name,(ROW()-ROW(MSPTasks[[#Headers],[ID]])))="",TRUE()),"",INDEX(tsk_FcStart,(ROW()-ROW(MSPTasks[[#Headers],[ID]]))))</f>
        <v/>
      </c>
      <c r="H41" s="130" t="str">
        <f aca="false">IF(IFERROR(INDEX(tsk_Name,(ROW()-ROW(MSPTasks[[#Headers],[ID]])))="",TRUE()),"",INDEX(tsk_FcFinish,(ROW()-ROW(MSPTasks[[#Headers],[ID]]))))</f>
        <v/>
      </c>
      <c r="I41" s="24" t="str">
        <f aca="false">IF(IFERROR(INDEX(tsk_Name,(ROW()-ROW(MSPTasks[[#Headers],[ID]])))="",TRUE()),"",IF(INDEX(tsk_IsSummary,(ROW()-ROW(MSPTasks[[#Headers],[ID]]))),"",INDEX(tsk_Predecessors,(ROW()-ROW(MSPTasks[[#Headers],[ID]])))))</f>
        <v/>
      </c>
      <c r="J41" s="24" t="str">
        <f aca="false">IF(IFERROR(INDEX(tsk_Name,(ROW()-ROW(MSPTasks[[#Headers],[ID]])))="",TRUE()),"",IF(INDEX(tsk_IsSummary,(ROW()-ROW(MSPTasks[[#Headers],[ID]]))),"",INDEX(tsk_UIDPredecessors,(ROW()-ROW(MSPTasks[[#Headers],[ID]])))))</f>
        <v/>
      </c>
      <c r="K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1" s="24" t="str">
        <f aca="false">IF(IFERROR(INDEX(tsk_Name,(ROW()-ROW(MSPTasks[[#Headers],[ID]])))="",TRUE()),"",IF(INDEX(tsk_IsSummary,(ROW()-ROW(MSPTasks[[#Headers],[ID]]))),"",ROUND(INDEX(tsk_Progress,(ROW()-ROW(MSPTasks[[#Headers],[ID]])))*100,0)))</f>
        <v/>
      </c>
      <c r="M41" s="130" t="str">
        <f aca="false">IF(IFERROR(INDEX(tsk_Name,(ROW()-ROW(MSPTasks[[#Headers],[ID]])))="",TRUE()),"",IF(N(INDEX(tsk_ActStart,(ROW()-ROW(MSPTasks[[#Headers],[ID]]))))=0,"",INDEX(tsk_ActStart,(ROW()-ROW(MSPTasks[[#Headers],[ID]])))))</f>
        <v/>
      </c>
      <c r="N41" s="130" t="str">
        <f aca="false">IF(IFERROR(INDEX(tsk_Name,(ROW()-ROW(MSPTasks[[#Headers],[ID]])))="",TRUE()),"",IF(N(INDEX(tsk_ActFinish,(ROW()-ROW(MSPTasks[[#Headers],[ID]]))))=0,"",INDEX(tsk_ActFinish,(ROW()-ROW(MSPTasks[[#Headers],[ID]])))))</f>
        <v/>
      </c>
      <c r="O41" s="130" t="str">
        <f aca="false">IF(IFERROR(INDEX(tsk_Name,(ROW()-ROW(MSPTasks[[#Headers],[ID]])))="",TRUE()),"",INDEX(tsk_PlanStart,(ROW()-ROW(MSPTasks[[#Headers],[ID]]))))</f>
        <v/>
      </c>
      <c r="P41" s="130" t="str">
        <f aca="false">IF(IFERROR(INDEX(tsk_Name,(ROW()-ROW(MSPTasks[[#Headers],[ID]])))="",TRUE()),"",INDEX(tsk_PlanFinish,(ROW()-ROW(MSPTasks[[#Headers],[ID]]))))</f>
        <v/>
      </c>
      <c r="Q41" s="24" t="str">
        <f aca="false">IF(IFERROR(INDEX(tsk_Name,(ROW()-ROW(MSPTasks[[#Headers],[ID]])))="",TRUE()),"",IF(INDEX(tsk_BaseDuration,(ROW()-ROW(MSPTasks[[#Headers],[ID]])))="","",N(INDEX(tsk_BaseDuration,(ROW()-ROW(MSPTasks[[#Headers],[ID]]))))&amp;"d"))</f>
        <v/>
      </c>
      <c r="R41" s="24" t="str">
        <f aca="false">IF(IFERROR(INDEX(tsk_Name,(ROW()-ROW(MSPTasks[[#Headers],[ID]])))="",TRUE()),"",IF(INDEX(tsk_BaseWork,(ROW()-ROW(MSPTasks[[#Headers],[ID]])))="","",N(INDEX(tsk_BaseWork,(ROW()-ROW(MSPTasks[[#Headers],[ID]]))))&amp;"h"))</f>
        <v/>
      </c>
      <c r="S41" s="24" t="str">
        <f aca="false">IF(IFERROR(INDEX(tsk_Name,(ROW()-ROW(MSPTasks[[#Headers],[ID]])))="",TRUE()),"",IF(INDEX(tsk_BaseCost,(ROW()-ROW(MSPTasks[[#Headers],[ID]])))="","",N(INDEX(tsk_BaseCost,(ROW()-ROW(MSPTasks[[#Headers],[ID]]))))))</f>
        <v/>
      </c>
      <c r="T41" s="24" t="str">
        <f aca="false">IF(IFERROR(INDEX(tsk_Name,(ROW()-ROW(MSPTasks[[#Headers],[ID]])))="",TRUE()),"",IF(INDEX(tsk_IsSummary,(ROW()-ROW(MSPTasks[[#Headers],[ID]]))),"",IF(N(INDEX(tsk_ActCostInput,(ROW()-ROW(MSPTasks[[#Headers],[ID]]))))=0,"",INDEX(tsk_ActCostInput,(ROW()-ROW(MSPTasks[[#Headers],[ID]]))))))</f>
        <v/>
      </c>
      <c r="U41" s="24" t="str">
        <f aca="false">IF(IFERROR(INDEX(tsk_Name,(ROW()-ROW(MSPTasks[[#Headers],[ID]])))="",TRUE()),"",IF(INDEX(tsk_IsSummary,(ROW()-ROW(MSPTasks[[#Headers],[ID]]))),"",IF(AND(INDEX(tsk_Mode,(ROW()-ROW(MSPTasks[[#Headers],[ID]])))&lt;&gt;"Manual",N(INDEX(tsk_Constraint,(ROW()-ROW(MSPTasks[[#Headers],[ID]]))))&gt;0),"Start No Earlier Than","As Soon As Possible")))</f>
        <v/>
      </c>
      <c r="V41" s="130" t="str">
        <f aca="false">IF(IFERROR(INDEX(tsk_Name,(ROW()-ROW(MSPTasks[[#Headers],[ID]])))="",TRUE()),"",IF(OR(INDEX(tsk_IsSummary,(ROW()-ROW(MSPTasks[[#Headers],[ID]]))),INDEX(tsk_Mode,(ROW()-ROW(MSPTasks[[#Headers],[ID]])))="Manual"),"",IF(N(INDEX(tsk_Constraint,(ROW()-ROW(MSPTasks[[#Headers],[ID]]))))=0,"",INDEX(tsk_Constraint,(ROW()-ROW(MSPTasks[[#Headers],[ID]]))))))</f>
        <v/>
      </c>
      <c r="W41" s="130" t="str">
        <f aca="false">IF(IFERROR(INDEX(tsk_Name,(ROW()-ROW(MSPTasks[[#Headers],[ID]])))="",TRUE()),"",IF(N(INDEX(tsk_Deadline,(ROW()-ROW(MSPTasks[[#Headers],[ID]]))))=0,"",INDEX(tsk_Deadline,(ROW()-ROW(MSPTasks[[#Headers],[ID]])))))</f>
        <v/>
      </c>
      <c r="X41" s="24" t="str">
        <f aca="false">IF(IFERROR(INDEX(tsk_Name,(ROW()-ROW(MSPTasks[[#Headers],[ID]])))="",TRUE()),"",IF(INDEX(tsk_IsSummary,(ROW()-ROW(MSPTasks[[#Headers],[ID]]))),"",INDEX(tsk_Sprint,(ROW()-ROW(MSPTasks[[#Headers],[ID]])))&amp;""))</f>
        <v/>
      </c>
      <c r="Y41" s="24" t="str">
        <f aca="false">IF(IFERROR(INDEX(tsk_Name,(ROW()-ROW(MSPTasks[[#Headers],[ID]])))="",TRUE()),"",IF(INDEX(tsk_IsSummary,(ROW()-ROW(MSPTasks[[#Headers],[ID]]))),"",IF(N(INDEX(tsk_StoryPoints,(ROW()-ROW(MSPTasks[[#Headers],[ID]]))))=0,"",INDEX(tsk_StoryPoints,(ROW()-ROW(MSPTasks[[#Headers],[ID]]))))))</f>
        <v/>
      </c>
      <c r="Z41" s="24" t="str">
        <f aca="false">IF(IFERROR(INDEX(tsk_Name,(ROW()-ROW(MSPTasks[[#Headers],[ID]])))="",TRUE()),"",INDEX(tsk_Notes,(ROW()-ROW(MSPTasks[[#Headers],[ID]])))&amp;"")</f>
        <v/>
      </c>
    </row>
    <row r="42" customFormat="false" ht="15" hidden="false" customHeight="false" outlineLevel="0" collapsed="false">
      <c r="A42" s="24" t="str">
        <f aca="false">IF(IFERROR(INDEX(tsk_Name,(ROW()-ROW(MSPTasks[[#Headers],[ID]])))="",TRUE()),"",INDEX(tsk_ID,(ROW()-ROW(MSPTasks[[#Headers],[ID]]))))</f>
        <v/>
      </c>
      <c r="B42" s="24" t="str">
        <f aca="false">IF(IFERROR(INDEX(tsk_Name,(ROW()-ROW(MSPTasks[[#Headers],[ID]])))="",TRUE()),"",INDEX(tsk_UID,(ROW()-ROW(MSPTasks[[#Headers],[ID]]))))</f>
        <v/>
      </c>
      <c r="C42" s="24" t="str">
        <f aca="false">IF(IFERROR(INDEX(tsk_Name,(ROW()-ROW(MSPTasks[[#Headers],[ID]])))="",TRUE()),"",INDEX(tsk_Name,(ROW()-ROW(MSPTasks[[#Headers],[ID]]))))</f>
        <v/>
      </c>
      <c r="D42" s="24" t="str">
        <f aca="false">IF(IFERROR(INDEX(tsk_Name,(ROW()-ROW(MSPTasks[[#Headers],[ID]])))="",TRUE()),"",INDEX(tsk_Level,(ROW()-ROW(MSPTasks[[#Headers],[ID]]))))</f>
        <v/>
      </c>
      <c r="E42" s="24" t="str">
        <f aca="false">IF(IFERROR(INDEX(tsk_Name,(ROW()-ROW(MSPTasks[[#Headers],[ID]])))="",TRUE()),"",IF(INDEX(tsk_Mode,(ROW()-ROW(MSPTasks[[#Headers],[ID]])))="Manual","Manually Scheduled","Auto Scheduled"))</f>
        <v/>
      </c>
      <c r="F42" s="24" t="str">
        <f aca="false">IF(IFERROR(INDEX(tsk_Name,(ROW()-ROW(MSPTasks[[#Headers],[ID]])))="",TRUE()),"",IF(INDEX(tsk_IsSummary,(ROW()-ROW(MSPTasks[[#Headers],[ID]]))),"",N(INDEX(tsk_Duration,(ROW()-ROW(MSPTasks[[#Headers],[ID]]))))&amp;"d"))</f>
        <v/>
      </c>
      <c r="G42" s="130" t="str">
        <f aca="false">IF(IFERROR(INDEX(tsk_Name,(ROW()-ROW(MSPTasks[[#Headers],[ID]])))="",TRUE()),"",INDEX(tsk_FcStart,(ROW()-ROW(MSPTasks[[#Headers],[ID]]))))</f>
        <v/>
      </c>
      <c r="H42" s="130" t="str">
        <f aca="false">IF(IFERROR(INDEX(tsk_Name,(ROW()-ROW(MSPTasks[[#Headers],[ID]])))="",TRUE()),"",INDEX(tsk_FcFinish,(ROW()-ROW(MSPTasks[[#Headers],[ID]]))))</f>
        <v/>
      </c>
      <c r="I42" s="24" t="str">
        <f aca="false">IF(IFERROR(INDEX(tsk_Name,(ROW()-ROW(MSPTasks[[#Headers],[ID]])))="",TRUE()),"",IF(INDEX(tsk_IsSummary,(ROW()-ROW(MSPTasks[[#Headers],[ID]]))),"",INDEX(tsk_Predecessors,(ROW()-ROW(MSPTasks[[#Headers],[ID]])))))</f>
        <v/>
      </c>
      <c r="J42" s="24" t="str">
        <f aca="false">IF(IFERROR(INDEX(tsk_Name,(ROW()-ROW(MSPTasks[[#Headers],[ID]])))="",TRUE()),"",IF(INDEX(tsk_IsSummary,(ROW()-ROW(MSPTasks[[#Headers],[ID]]))),"",INDEX(tsk_UIDPredecessors,(ROW()-ROW(MSPTasks[[#Headers],[ID]])))))</f>
        <v/>
      </c>
      <c r="K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2" s="24" t="str">
        <f aca="false">IF(IFERROR(INDEX(tsk_Name,(ROW()-ROW(MSPTasks[[#Headers],[ID]])))="",TRUE()),"",IF(INDEX(tsk_IsSummary,(ROW()-ROW(MSPTasks[[#Headers],[ID]]))),"",ROUND(INDEX(tsk_Progress,(ROW()-ROW(MSPTasks[[#Headers],[ID]])))*100,0)))</f>
        <v/>
      </c>
      <c r="M42" s="130" t="str">
        <f aca="false">IF(IFERROR(INDEX(tsk_Name,(ROW()-ROW(MSPTasks[[#Headers],[ID]])))="",TRUE()),"",IF(N(INDEX(tsk_ActStart,(ROW()-ROW(MSPTasks[[#Headers],[ID]]))))=0,"",INDEX(tsk_ActStart,(ROW()-ROW(MSPTasks[[#Headers],[ID]])))))</f>
        <v/>
      </c>
      <c r="N42" s="130" t="str">
        <f aca="false">IF(IFERROR(INDEX(tsk_Name,(ROW()-ROW(MSPTasks[[#Headers],[ID]])))="",TRUE()),"",IF(N(INDEX(tsk_ActFinish,(ROW()-ROW(MSPTasks[[#Headers],[ID]]))))=0,"",INDEX(tsk_ActFinish,(ROW()-ROW(MSPTasks[[#Headers],[ID]])))))</f>
        <v/>
      </c>
      <c r="O42" s="130" t="str">
        <f aca="false">IF(IFERROR(INDEX(tsk_Name,(ROW()-ROW(MSPTasks[[#Headers],[ID]])))="",TRUE()),"",INDEX(tsk_PlanStart,(ROW()-ROW(MSPTasks[[#Headers],[ID]]))))</f>
        <v/>
      </c>
      <c r="P42" s="130" t="str">
        <f aca="false">IF(IFERROR(INDEX(tsk_Name,(ROW()-ROW(MSPTasks[[#Headers],[ID]])))="",TRUE()),"",INDEX(tsk_PlanFinish,(ROW()-ROW(MSPTasks[[#Headers],[ID]]))))</f>
        <v/>
      </c>
      <c r="Q42" s="24" t="str">
        <f aca="false">IF(IFERROR(INDEX(tsk_Name,(ROW()-ROW(MSPTasks[[#Headers],[ID]])))="",TRUE()),"",IF(INDEX(tsk_BaseDuration,(ROW()-ROW(MSPTasks[[#Headers],[ID]])))="","",N(INDEX(tsk_BaseDuration,(ROW()-ROW(MSPTasks[[#Headers],[ID]]))))&amp;"d"))</f>
        <v/>
      </c>
      <c r="R42" s="24" t="str">
        <f aca="false">IF(IFERROR(INDEX(tsk_Name,(ROW()-ROW(MSPTasks[[#Headers],[ID]])))="",TRUE()),"",IF(INDEX(tsk_BaseWork,(ROW()-ROW(MSPTasks[[#Headers],[ID]])))="","",N(INDEX(tsk_BaseWork,(ROW()-ROW(MSPTasks[[#Headers],[ID]]))))&amp;"h"))</f>
        <v/>
      </c>
      <c r="S42" s="24" t="str">
        <f aca="false">IF(IFERROR(INDEX(tsk_Name,(ROW()-ROW(MSPTasks[[#Headers],[ID]])))="",TRUE()),"",IF(INDEX(tsk_BaseCost,(ROW()-ROW(MSPTasks[[#Headers],[ID]])))="","",N(INDEX(tsk_BaseCost,(ROW()-ROW(MSPTasks[[#Headers],[ID]]))))))</f>
        <v/>
      </c>
      <c r="T42" s="24" t="str">
        <f aca="false">IF(IFERROR(INDEX(tsk_Name,(ROW()-ROW(MSPTasks[[#Headers],[ID]])))="",TRUE()),"",IF(INDEX(tsk_IsSummary,(ROW()-ROW(MSPTasks[[#Headers],[ID]]))),"",IF(N(INDEX(tsk_ActCostInput,(ROW()-ROW(MSPTasks[[#Headers],[ID]]))))=0,"",INDEX(tsk_ActCostInput,(ROW()-ROW(MSPTasks[[#Headers],[ID]]))))))</f>
        <v/>
      </c>
      <c r="U42" s="24" t="str">
        <f aca="false">IF(IFERROR(INDEX(tsk_Name,(ROW()-ROW(MSPTasks[[#Headers],[ID]])))="",TRUE()),"",IF(INDEX(tsk_IsSummary,(ROW()-ROW(MSPTasks[[#Headers],[ID]]))),"",IF(AND(INDEX(tsk_Mode,(ROW()-ROW(MSPTasks[[#Headers],[ID]])))&lt;&gt;"Manual",N(INDEX(tsk_Constraint,(ROW()-ROW(MSPTasks[[#Headers],[ID]]))))&gt;0),"Start No Earlier Than","As Soon As Possible")))</f>
        <v/>
      </c>
      <c r="V42" s="130" t="str">
        <f aca="false">IF(IFERROR(INDEX(tsk_Name,(ROW()-ROW(MSPTasks[[#Headers],[ID]])))="",TRUE()),"",IF(OR(INDEX(tsk_IsSummary,(ROW()-ROW(MSPTasks[[#Headers],[ID]]))),INDEX(tsk_Mode,(ROW()-ROW(MSPTasks[[#Headers],[ID]])))="Manual"),"",IF(N(INDEX(tsk_Constraint,(ROW()-ROW(MSPTasks[[#Headers],[ID]]))))=0,"",INDEX(tsk_Constraint,(ROW()-ROW(MSPTasks[[#Headers],[ID]]))))))</f>
        <v/>
      </c>
      <c r="W42" s="130" t="str">
        <f aca="false">IF(IFERROR(INDEX(tsk_Name,(ROW()-ROW(MSPTasks[[#Headers],[ID]])))="",TRUE()),"",IF(N(INDEX(tsk_Deadline,(ROW()-ROW(MSPTasks[[#Headers],[ID]]))))=0,"",INDEX(tsk_Deadline,(ROW()-ROW(MSPTasks[[#Headers],[ID]])))))</f>
        <v/>
      </c>
      <c r="X42" s="24" t="str">
        <f aca="false">IF(IFERROR(INDEX(tsk_Name,(ROW()-ROW(MSPTasks[[#Headers],[ID]])))="",TRUE()),"",IF(INDEX(tsk_IsSummary,(ROW()-ROW(MSPTasks[[#Headers],[ID]]))),"",INDEX(tsk_Sprint,(ROW()-ROW(MSPTasks[[#Headers],[ID]])))&amp;""))</f>
        <v/>
      </c>
      <c r="Y42" s="24" t="str">
        <f aca="false">IF(IFERROR(INDEX(tsk_Name,(ROW()-ROW(MSPTasks[[#Headers],[ID]])))="",TRUE()),"",IF(INDEX(tsk_IsSummary,(ROW()-ROW(MSPTasks[[#Headers],[ID]]))),"",IF(N(INDEX(tsk_StoryPoints,(ROW()-ROW(MSPTasks[[#Headers],[ID]]))))=0,"",INDEX(tsk_StoryPoints,(ROW()-ROW(MSPTasks[[#Headers],[ID]]))))))</f>
        <v/>
      </c>
      <c r="Z42" s="24" t="str">
        <f aca="false">IF(IFERROR(INDEX(tsk_Name,(ROW()-ROW(MSPTasks[[#Headers],[ID]])))="",TRUE()),"",INDEX(tsk_Notes,(ROW()-ROW(MSPTasks[[#Headers],[ID]])))&amp;"")</f>
        <v/>
      </c>
    </row>
    <row r="43" customFormat="false" ht="15" hidden="false" customHeight="false" outlineLevel="0" collapsed="false">
      <c r="A43" s="24" t="str">
        <f aca="false">IF(IFERROR(INDEX(tsk_Name,(ROW()-ROW(MSPTasks[[#Headers],[ID]])))="",TRUE()),"",INDEX(tsk_ID,(ROW()-ROW(MSPTasks[[#Headers],[ID]]))))</f>
        <v/>
      </c>
      <c r="B43" s="24" t="str">
        <f aca="false">IF(IFERROR(INDEX(tsk_Name,(ROW()-ROW(MSPTasks[[#Headers],[ID]])))="",TRUE()),"",INDEX(tsk_UID,(ROW()-ROW(MSPTasks[[#Headers],[ID]]))))</f>
        <v/>
      </c>
      <c r="C43" s="24" t="str">
        <f aca="false">IF(IFERROR(INDEX(tsk_Name,(ROW()-ROW(MSPTasks[[#Headers],[ID]])))="",TRUE()),"",INDEX(tsk_Name,(ROW()-ROW(MSPTasks[[#Headers],[ID]]))))</f>
        <v/>
      </c>
      <c r="D43" s="24" t="str">
        <f aca="false">IF(IFERROR(INDEX(tsk_Name,(ROW()-ROW(MSPTasks[[#Headers],[ID]])))="",TRUE()),"",INDEX(tsk_Level,(ROW()-ROW(MSPTasks[[#Headers],[ID]]))))</f>
        <v/>
      </c>
      <c r="E43" s="24" t="str">
        <f aca="false">IF(IFERROR(INDEX(tsk_Name,(ROW()-ROW(MSPTasks[[#Headers],[ID]])))="",TRUE()),"",IF(INDEX(tsk_Mode,(ROW()-ROW(MSPTasks[[#Headers],[ID]])))="Manual","Manually Scheduled","Auto Scheduled"))</f>
        <v/>
      </c>
      <c r="F43" s="24" t="str">
        <f aca="false">IF(IFERROR(INDEX(tsk_Name,(ROW()-ROW(MSPTasks[[#Headers],[ID]])))="",TRUE()),"",IF(INDEX(tsk_IsSummary,(ROW()-ROW(MSPTasks[[#Headers],[ID]]))),"",N(INDEX(tsk_Duration,(ROW()-ROW(MSPTasks[[#Headers],[ID]]))))&amp;"d"))</f>
        <v/>
      </c>
      <c r="G43" s="130" t="str">
        <f aca="false">IF(IFERROR(INDEX(tsk_Name,(ROW()-ROW(MSPTasks[[#Headers],[ID]])))="",TRUE()),"",INDEX(tsk_FcStart,(ROW()-ROW(MSPTasks[[#Headers],[ID]]))))</f>
        <v/>
      </c>
      <c r="H43" s="130" t="str">
        <f aca="false">IF(IFERROR(INDEX(tsk_Name,(ROW()-ROW(MSPTasks[[#Headers],[ID]])))="",TRUE()),"",INDEX(tsk_FcFinish,(ROW()-ROW(MSPTasks[[#Headers],[ID]]))))</f>
        <v/>
      </c>
      <c r="I43" s="24" t="str">
        <f aca="false">IF(IFERROR(INDEX(tsk_Name,(ROW()-ROW(MSPTasks[[#Headers],[ID]])))="",TRUE()),"",IF(INDEX(tsk_IsSummary,(ROW()-ROW(MSPTasks[[#Headers],[ID]]))),"",INDEX(tsk_Predecessors,(ROW()-ROW(MSPTasks[[#Headers],[ID]])))))</f>
        <v/>
      </c>
      <c r="J43" s="24" t="str">
        <f aca="false">IF(IFERROR(INDEX(tsk_Name,(ROW()-ROW(MSPTasks[[#Headers],[ID]])))="",TRUE()),"",IF(INDEX(tsk_IsSummary,(ROW()-ROW(MSPTasks[[#Headers],[ID]]))),"",INDEX(tsk_UIDPredecessors,(ROW()-ROW(MSPTasks[[#Headers],[ID]])))))</f>
        <v/>
      </c>
      <c r="K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3" s="24" t="str">
        <f aca="false">IF(IFERROR(INDEX(tsk_Name,(ROW()-ROW(MSPTasks[[#Headers],[ID]])))="",TRUE()),"",IF(INDEX(tsk_IsSummary,(ROW()-ROW(MSPTasks[[#Headers],[ID]]))),"",ROUND(INDEX(tsk_Progress,(ROW()-ROW(MSPTasks[[#Headers],[ID]])))*100,0)))</f>
        <v/>
      </c>
      <c r="M43" s="130" t="str">
        <f aca="false">IF(IFERROR(INDEX(tsk_Name,(ROW()-ROW(MSPTasks[[#Headers],[ID]])))="",TRUE()),"",IF(N(INDEX(tsk_ActStart,(ROW()-ROW(MSPTasks[[#Headers],[ID]]))))=0,"",INDEX(tsk_ActStart,(ROW()-ROW(MSPTasks[[#Headers],[ID]])))))</f>
        <v/>
      </c>
      <c r="N43" s="130" t="str">
        <f aca="false">IF(IFERROR(INDEX(tsk_Name,(ROW()-ROW(MSPTasks[[#Headers],[ID]])))="",TRUE()),"",IF(N(INDEX(tsk_ActFinish,(ROW()-ROW(MSPTasks[[#Headers],[ID]]))))=0,"",INDEX(tsk_ActFinish,(ROW()-ROW(MSPTasks[[#Headers],[ID]])))))</f>
        <v/>
      </c>
      <c r="O43" s="130" t="str">
        <f aca="false">IF(IFERROR(INDEX(tsk_Name,(ROW()-ROW(MSPTasks[[#Headers],[ID]])))="",TRUE()),"",INDEX(tsk_PlanStart,(ROW()-ROW(MSPTasks[[#Headers],[ID]]))))</f>
        <v/>
      </c>
      <c r="P43" s="130" t="str">
        <f aca="false">IF(IFERROR(INDEX(tsk_Name,(ROW()-ROW(MSPTasks[[#Headers],[ID]])))="",TRUE()),"",INDEX(tsk_PlanFinish,(ROW()-ROW(MSPTasks[[#Headers],[ID]]))))</f>
        <v/>
      </c>
      <c r="Q43" s="24" t="str">
        <f aca="false">IF(IFERROR(INDEX(tsk_Name,(ROW()-ROW(MSPTasks[[#Headers],[ID]])))="",TRUE()),"",IF(INDEX(tsk_BaseDuration,(ROW()-ROW(MSPTasks[[#Headers],[ID]])))="","",N(INDEX(tsk_BaseDuration,(ROW()-ROW(MSPTasks[[#Headers],[ID]]))))&amp;"d"))</f>
        <v/>
      </c>
      <c r="R43" s="24" t="str">
        <f aca="false">IF(IFERROR(INDEX(tsk_Name,(ROW()-ROW(MSPTasks[[#Headers],[ID]])))="",TRUE()),"",IF(INDEX(tsk_BaseWork,(ROW()-ROW(MSPTasks[[#Headers],[ID]])))="","",N(INDEX(tsk_BaseWork,(ROW()-ROW(MSPTasks[[#Headers],[ID]]))))&amp;"h"))</f>
        <v/>
      </c>
      <c r="S43" s="24" t="str">
        <f aca="false">IF(IFERROR(INDEX(tsk_Name,(ROW()-ROW(MSPTasks[[#Headers],[ID]])))="",TRUE()),"",IF(INDEX(tsk_BaseCost,(ROW()-ROW(MSPTasks[[#Headers],[ID]])))="","",N(INDEX(tsk_BaseCost,(ROW()-ROW(MSPTasks[[#Headers],[ID]]))))))</f>
        <v/>
      </c>
      <c r="T43" s="24" t="str">
        <f aca="false">IF(IFERROR(INDEX(tsk_Name,(ROW()-ROW(MSPTasks[[#Headers],[ID]])))="",TRUE()),"",IF(INDEX(tsk_IsSummary,(ROW()-ROW(MSPTasks[[#Headers],[ID]]))),"",IF(N(INDEX(tsk_ActCostInput,(ROW()-ROW(MSPTasks[[#Headers],[ID]]))))=0,"",INDEX(tsk_ActCostInput,(ROW()-ROW(MSPTasks[[#Headers],[ID]]))))))</f>
        <v/>
      </c>
      <c r="U43" s="24" t="str">
        <f aca="false">IF(IFERROR(INDEX(tsk_Name,(ROW()-ROW(MSPTasks[[#Headers],[ID]])))="",TRUE()),"",IF(INDEX(tsk_IsSummary,(ROW()-ROW(MSPTasks[[#Headers],[ID]]))),"",IF(AND(INDEX(tsk_Mode,(ROW()-ROW(MSPTasks[[#Headers],[ID]])))&lt;&gt;"Manual",N(INDEX(tsk_Constraint,(ROW()-ROW(MSPTasks[[#Headers],[ID]]))))&gt;0),"Start No Earlier Than","As Soon As Possible")))</f>
        <v/>
      </c>
      <c r="V43" s="130" t="str">
        <f aca="false">IF(IFERROR(INDEX(tsk_Name,(ROW()-ROW(MSPTasks[[#Headers],[ID]])))="",TRUE()),"",IF(OR(INDEX(tsk_IsSummary,(ROW()-ROW(MSPTasks[[#Headers],[ID]]))),INDEX(tsk_Mode,(ROW()-ROW(MSPTasks[[#Headers],[ID]])))="Manual"),"",IF(N(INDEX(tsk_Constraint,(ROW()-ROW(MSPTasks[[#Headers],[ID]]))))=0,"",INDEX(tsk_Constraint,(ROW()-ROW(MSPTasks[[#Headers],[ID]]))))))</f>
        <v/>
      </c>
      <c r="W43" s="130" t="str">
        <f aca="false">IF(IFERROR(INDEX(tsk_Name,(ROW()-ROW(MSPTasks[[#Headers],[ID]])))="",TRUE()),"",IF(N(INDEX(tsk_Deadline,(ROW()-ROW(MSPTasks[[#Headers],[ID]]))))=0,"",INDEX(tsk_Deadline,(ROW()-ROW(MSPTasks[[#Headers],[ID]])))))</f>
        <v/>
      </c>
      <c r="X43" s="24" t="str">
        <f aca="false">IF(IFERROR(INDEX(tsk_Name,(ROW()-ROW(MSPTasks[[#Headers],[ID]])))="",TRUE()),"",IF(INDEX(tsk_IsSummary,(ROW()-ROW(MSPTasks[[#Headers],[ID]]))),"",INDEX(tsk_Sprint,(ROW()-ROW(MSPTasks[[#Headers],[ID]])))&amp;""))</f>
        <v/>
      </c>
      <c r="Y43" s="24" t="str">
        <f aca="false">IF(IFERROR(INDEX(tsk_Name,(ROW()-ROW(MSPTasks[[#Headers],[ID]])))="",TRUE()),"",IF(INDEX(tsk_IsSummary,(ROW()-ROW(MSPTasks[[#Headers],[ID]]))),"",IF(N(INDEX(tsk_StoryPoints,(ROW()-ROW(MSPTasks[[#Headers],[ID]]))))=0,"",INDEX(tsk_StoryPoints,(ROW()-ROW(MSPTasks[[#Headers],[ID]]))))))</f>
        <v/>
      </c>
      <c r="Z43" s="24" t="str">
        <f aca="false">IF(IFERROR(INDEX(tsk_Name,(ROW()-ROW(MSPTasks[[#Headers],[ID]])))="",TRUE()),"",INDEX(tsk_Notes,(ROW()-ROW(MSPTasks[[#Headers],[ID]])))&amp;"")</f>
        <v/>
      </c>
    </row>
    <row r="44" customFormat="false" ht="15" hidden="false" customHeight="false" outlineLevel="0" collapsed="false">
      <c r="A44" s="24" t="str">
        <f aca="false">IF(IFERROR(INDEX(tsk_Name,(ROW()-ROW(MSPTasks[[#Headers],[ID]])))="",TRUE()),"",INDEX(tsk_ID,(ROW()-ROW(MSPTasks[[#Headers],[ID]]))))</f>
        <v/>
      </c>
      <c r="B44" s="24" t="str">
        <f aca="false">IF(IFERROR(INDEX(tsk_Name,(ROW()-ROW(MSPTasks[[#Headers],[ID]])))="",TRUE()),"",INDEX(tsk_UID,(ROW()-ROW(MSPTasks[[#Headers],[ID]]))))</f>
        <v/>
      </c>
      <c r="C44" s="24" t="str">
        <f aca="false">IF(IFERROR(INDEX(tsk_Name,(ROW()-ROW(MSPTasks[[#Headers],[ID]])))="",TRUE()),"",INDEX(tsk_Name,(ROW()-ROW(MSPTasks[[#Headers],[ID]]))))</f>
        <v/>
      </c>
      <c r="D44" s="24" t="str">
        <f aca="false">IF(IFERROR(INDEX(tsk_Name,(ROW()-ROW(MSPTasks[[#Headers],[ID]])))="",TRUE()),"",INDEX(tsk_Level,(ROW()-ROW(MSPTasks[[#Headers],[ID]]))))</f>
        <v/>
      </c>
      <c r="E44" s="24" t="str">
        <f aca="false">IF(IFERROR(INDEX(tsk_Name,(ROW()-ROW(MSPTasks[[#Headers],[ID]])))="",TRUE()),"",IF(INDEX(tsk_Mode,(ROW()-ROW(MSPTasks[[#Headers],[ID]])))="Manual","Manually Scheduled","Auto Scheduled"))</f>
        <v/>
      </c>
      <c r="F44" s="24" t="str">
        <f aca="false">IF(IFERROR(INDEX(tsk_Name,(ROW()-ROW(MSPTasks[[#Headers],[ID]])))="",TRUE()),"",IF(INDEX(tsk_IsSummary,(ROW()-ROW(MSPTasks[[#Headers],[ID]]))),"",N(INDEX(tsk_Duration,(ROW()-ROW(MSPTasks[[#Headers],[ID]]))))&amp;"d"))</f>
        <v/>
      </c>
      <c r="G44" s="130" t="str">
        <f aca="false">IF(IFERROR(INDEX(tsk_Name,(ROW()-ROW(MSPTasks[[#Headers],[ID]])))="",TRUE()),"",INDEX(tsk_FcStart,(ROW()-ROW(MSPTasks[[#Headers],[ID]]))))</f>
        <v/>
      </c>
      <c r="H44" s="130" t="str">
        <f aca="false">IF(IFERROR(INDEX(tsk_Name,(ROW()-ROW(MSPTasks[[#Headers],[ID]])))="",TRUE()),"",INDEX(tsk_FcFinish,(ROW()-ROW(MSPTasks[[#Headers],[ID]]))))</f>
        <v/>
      </c>
      <c r="I44" s="24" t="str">
        <f aca="false">IF(IFERROR(INDEX(tsk_Name,(ROW()-ROW(MSPTasks[[#Headers],[ID]])))="",TRUE()),"",IF(INDEX(tsk_IsSummary,(ROW()-ROW(MSPTasks[[#Headers],[ID]]))),"",INDEX(tsk_Predecessors,(ROW()-ROW(MSPTasks[[#Headers],[ID]])))))</f>
        <v/>
      </c>
      <c r="J44" s="24" t="str">
        <f aca="false">IF(IFERROR(INDEX(tsk_Name,(ROW()-ROW(MSPTasks[[#Headers],[ID]])))="",TRUE()),"",IF(INDEX(tsk_IsSummary,(ROW()-ROW(MSPTasks[[#Headers],[ID]]))),"",INDEX(tsk_UIDPredecessors,(ROW()-ROW(MSPTasks[[#Headers],[ID]])))))</f>
        <v/>
      </c>
      <c r="K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4" s="24" t="str">
        <f aca="false">IF(IFERROR(INDEX(tsk_Name,(ROW()-ROW(MSPTasks[[#Headers],[ID]])))="",TRUE()),"",IF(INDEX(tsk_IsSummary,(ROW()-ROW(MSPTasks[[#Headers],[ID]]))),"",ROUND(INDEX(tsk_Progress,(ROW()-ROW(MSPTasks[[#Headers],[ID]])))*100,0)))</f>
        <v/>
      </c>
      <c r="M44" s="130" t="str">
        <f aca="false">IF(IFERROR(INDEX(tsk_Name,(ROW()-ROW(MSPTasks[[#Headers],[ID]])))="",TRUE()),"",IF(N(INDEX(tsk_ActStart,(ROW()-ROW(MSPTasks[[#Headers],[ID]]))))=0,"",INDEX(tsk_ActStart,(ROW()-ROW(MSPTasks[[#Headers],[ID]])))))</f>
        <v/>
      </c>
      <c r="N44" s="130" t="str">
        <f aca="false">IF(IFERROR(INDEX(tsk_Name,(ROW()-ROW(MSPTasks[[#Headers],[ID]])))="",TRUE()),"",IF(N(INDEX(tsk_ActFinish,(ROW()-ROW(MSPTasks[[#Headers],[ID]]))))=0,"",INDEX(tsk_ActFinish,(ROW()-ROW(MSPTasks[[#Headers],[ID]])))))</f>
        <v/>
      </c>
      <c r="O44" s="130" t="str">
        <f aca="false">IF(IFERROR(INDEX(tsk_Name,(ROW()-ROW(MSPTasks[[#Headers],[ID]])))="",TRUE()),"",INDEX(tsk_PlanStart,(ROW()-ROW(MSPTasks[[#Headers],[ID]]))))</f>
        <v/>
      </c>
      <c r="P44" s="130" t="str">
        <f aca="false">IF(IFERROR(INDEX(tsk_Name,(ROW()-ROW(MSPTasks[[#Headers],[ID]])))="",TRUE()),"",INDEX(tsk_PlanFinish,(ROW()-ROW(MSPTasks[[#Headers],[ID]]))))</f>
        <v/>
      </c>
      <c r="Q44" s="24" t="str">
        <f aca="false">IF(IFERROR(INDEX(tsk_Name,(ROW()-ROW(MSPTasks[[#Headers],[ID]])))="",TRUE()),"",IF(INDEX(tsk_BaseDuration,(ROW()-ROW(MSPTasks[[#Headers],[ID]])))="","",N(INDEX(tsk_BaseDuration,(ROW()-ROW(MSPTasks[[#Headers],[ID]]))))&amp;"d"))</f>
        <v/>
      </c>
      <c r="R44" s="24" t="str">
        <f aca="false">IF(IFERROR(INDEX(tsk_Name,(ROW()-ROW(MSPTasks[[#Headers],[ID]])))="",TRUE()),"",IF(INDEX(tsk_BaseWork,(ROW()-ROW(MSPTasks[[#Headers],[ID]])))="","",N(INDEX(tsk_BaseWork,(ROW()-ROW(MSPTasks[[#Headers],[ID]]))))&amp;"h"))</f>
        <v/>
      </c>
      <c r="S44" s="24" t="str">
        <f aca="false">IF(IFERROR(INDEX(tsk_Name,(ROW()-ROW(MSPTasks[[#Headers],[ID]])))="",TRUE()),"",IF(INDEX(tsk_BaseCost,(ROW()-ROW(MSPTasks[[#Headers],[ID]])))="","",N(INDEX(tsk_BaseCost,(ROW()-ROW(MSPTasks[[#Headers],[ID]]))))))</f>
        <v/>
      </c>
      <c r="T44" s="24" t="str">
        <f aca="false">IF(IFERROR(INDEX(tsk_Name,(ROW()-ROW(MSPTasks[[#Headers],[ID]])))="",TRUE()),"",IF(INDEX(tsk_IsSummary,(ROW()-ROW(MSPTasks[[#Headers],[ID]]))),"",IF(N(INDEX(tsk_ActCostInput,(ROW()-ROW(MSPTasks[[#Headers],[ID]]))))=0,"",INDEX(tsk_ActCostInput,(ROW()-ROW(MSPTasks[[#Headers],[ID]]))))))</f>
        <v/>
      </c>
      <c r="U44" s="24" t="str">
        <f aca="false">IF(IFERROR(INDEX(tsk_Name,(ROW()-ROW(MSPTasks[[#Headers],[ID]])))="",TRUE()),"",IF(INDEX(tsk_IsSummary,(ROW()-ROW(MSPTasks[[#Headers],[ID]]))),"",IF(AND(INDEX(tsk_Mode,(ROW()-ROW(MSPTasks[[#Headers],[ID]])))&lt;&gt;"Manual",N(INDEX(tsk_Constraint,(ROW()-ROW(MSPTasks[[#Headers],[ID]]))))&gt;0),"Start No Earlier Than","As Soon As Possible")))</f>
        <v/>
      </c>
      <c r="V44" s="130" t="str">
        <f aca="false">IF(IFERROR(INDEX(tsk_Name,(ROW()-ROW(MSPTasks[[#Headers],[ID]])))="",TRUE()),"",IF(OR(INDEX(tsk_IsSummary,(ROW()-ROW(MSPTasks[[#Headers],[ID]]))),INDEX(tsk_Mode,(ROW()-ROW(MSPTasks[[#Headers],[ID]])))="Manual"),"",IF(N(INDEX(tsk_Constraint,(ROW()-ROW(MSPTasks[[#Headers],[ID]]))))=0,"",INDEX(tsk_Constraint,(ROW()-ROW(MSPTasks[[#Headers],[ID]]))))))</f>
        <v/>
      </c>
      <c r="W44" s="130" t="str">
        <f aca="false">IF(IFERROR(INDEX(tsk_Name,(ROW()-ROW(MSPTasks[[#Headers],[ID]])))="",TRUE()),"",IF(N(INDEX(tsk_Deadline,(ROW()-ROW(MSPTasks[[#Headers],[ID]]))))=0,"",INDEX(tsk_Deadline,(ROW()-ROW(MSPTasks[[#Headers],[ID]])))))</f>
        <v/>
      </c>
      <c r="X44" s="24" t="str">
        <f aca="false">IF(IFERROR(INDEX(tsk_Name,(ROW()-ROW(MSPTasks[[#Headers],[ID]])))="",TRUE()),"",IF(INDEX(tsk_IsSummary,(ROW()-ROW(MSPTasks[[#Headers],[ID]]))),"",INDEX(tsk_Sprint,(ROW()-ROW(MSPTasks[[#Headers],[ID]])))&amp;""))</f>
        <v/>
      </c>
      <c r="Y44" s="24" t="str">
        <f aca="false">IF(IFERROR(INDEX(tsk_Name,(ROW()-ROW(MSPTasks[[#Headers],[ID]])))="",TRUE()),"",IF(INDEX(tsk_IsSummary,(ROW()-ROW(MSPTasks[[#Headers],[ID]]))),"",IF(N(INDEX(tsk_StoryPoints,(ROW()-ROW(MSPTasks[[#Headers],[ID]]))))=0,"",INDEX(tsk_StoryPoints,(ROW()-ROW(MSPTasks[[#Headers],[ID]]))))))</f>
        <v/>
      </c>
      <c r="Z44" s="24" t="str">
        <f aca="false">IF(IFERROR(INDEX(tsk_Name,(ROW()-ROW(MSPTasks[[#Headers],[ID]])))="",TRUE()),"",INDEX(tsk_Notes,(ROW()-ROW(MSPTasks[[#Headers],[ID]])))&amp;"")</f>
        <v/>
      </c>
    </row>
    <row r="45" customFormat="false" ht="15" hidden="false" customHeight="false" outlineLevel="0" collapsed="false">
      <c r="A45" s="24" t="str">
        <f aca="false">IF(IFERROR(INDEX(tsk_Name,(ROW()-ROW(MSPTasks[[#Headers],[ID]])))="",TRUE()),"",INDEX(tsk_ID,(ROW()-ROW(MSPTasks[[#Headers],[ID]]))))</f>
        <v/>
      </c>
      <c r="B45" s="24" t="str">
        <f aca="false">IF(IFERROR(INDEX(tsk_Name,(ROW()-ROW(MSPTasks[[#Headers],[ID]])))="",TRUE()),"",INDEX(tsk_UID,(ROW()-ROW(MSPTasks[[#Headers],[ID]]))))</f>
        <v/>
      </c>
      <c r="C45" s="24" t="str">
        <f aca="false">IF(IFERROR(INDEX(tsk_Name,(ROW()-ROW(MSPTasks[[#Headers],[ID]])))="",TRUE()),"",INDEX(tsk_Name,(ROW()-ROW(MSPTasks[[#Headers],[ID]]))))</f>
        <v/>
      </c>
      <c r="D45" s="24" t="str">
        <f aca="false">IF(IFERROR(INDEX(tsk_Name,(ROW()-ROW(MSPTasks[[#Headers],[ID]])))="",TRUE()),"",INDEX(tsk_Level,(ROW()-ROW(MSPTasks[[#Headers],[ID]]))))</f>
        <v/>
      </c>
      <c r="E45" s="24" t="str">
        <f aca="false">IF(IFERROR(INDEX(tsk_Name,(ROW()-ROW(MSPTasks[[#Headers],[ID]])))="",TRUE()),"",IF(INDEX(tsk_Mode,(ROW()-ROW(MSPTasks[[#Headers],[ID]])))="Manual","Manually Scheduled","Auto Scheduled"))</f>
        <v/>
      </c>
      <c r="F45" s="24" t="str">
        <f aca="false">IF(IFERROR(INDEX(tsk_Name,(ROW()-ROW(MSPTasks[[#Headers],[ID]])))="",TRUE()),"",IF(INDEX(tsk_IsSummary,(ROW()-ROW(MSPTasks[[#Headers],[ID]]))),"",N(INDEX(tsk_Duration,(ROW()-ROW(MSPTasks[[#Headers],[ID]]))))&amp;"d"))</f>
        <v/>
      </c>
      <c r="G45" s="130" t="str">
        <f aca="false">IF(IFERROR(INDEX(tsk_Name,(ROW()-ROW(MSPTasks[[#Headers],[ID]])))="",TRUE()),"",INDEX(tsk_FcStart,(ROW()-ROW(MSPTasks[[#Headers],[ID]]))))</f>
        <v/>
      </c>
      <c r="H45" s="130" t="str">
        <f aca="false">IF(IFERROR(INDEX(tsk_Name,(ROW()-ROW(MSPTasks[[#Headers],[ID]])))="",TRUE()),"",INDEX(tsk_FcFinish,(ROW()-ROW(MSPTasks[[#Headers],[ID]]))))</f>
        <v/>
      </c>
      <c r="I45" s="24" t="str">
        <f aca="false">IF(IFERROR(INDEX(tsk_Name,(ROW()-ROW(MSPTasks[[#Headers],[ID]])))="",TRUE()),"",IF(INDEX(tsk_IsSummary,(ROW()-ROW(MSPTasks[[#Headers],[ID]]))),"",INDEX(tsk_Predecessors,(ROW()-ROW(MSPTasks[[#Headers],[ID]])))))</f>
        <v/>
      </c>
      <c r="J45" s="24" t="str">
        <f aca="false">IF(IFERROR(INDEX(tsk_Name,(ROW()-ROW(MSPTasks[[#Headers],[ID]])))="",TRUE()),"",IF(INDEX(tsk_IsSummary,(ROW()-ROW(MSPTasks[[#Headers],[ID]]))),"",INDEX(tsk_UIDPredecessors,(ROW()-ROW(MSPTasks[[#Headers],[ID]])))))</f>
        <v/>
      </c>
      <c r="K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5" s="24" t="str">
        <f aca="false">IF(IFERROR(INDEX(tsk_Name,(ROW()-ROW(MSPTasks[[#Headers],[ID]])))="",TRUE()),"",IF(INDEX(tsk_IsSummary,(ROW()-ROW(MSPTasks[[#Headers],[ID]]))),"",ROUND(INDEX(tsk_Progress,(ROW()-ROW(MSPTasks[[#Headers],[ID]])))*100,0)))</f>
        <v/>
      </c>
      <c r="M45" s="130" t="str">
        <f aca="false">IF(IFERROR(INDEX(tsk_Name,(ROW()-ROW(MSPTasks[[#Headers],[ID]])))="",TRUE()),"",IF(N(INDEX(tsk_ActStart,(ROW()-ROW(MSPTasks[[#Headers],[ID]]))))=0,"",INDEX(tsk_ActStart,(ROW()-ROW(MSPTasks[[#Headers],[ID]])))))</f>
        <v/>
      </c>
      <c r="N45" s="130" t="str">
        <f aca="false">IF(IFERROR(INDEX(tsk_Name,(ROW()-ROW(MSPTasks[[#Headers],[ID]])))="",TRUE()),"",IF(N(INDEX(tsk_ActFinish,(ROW()-ROW(MSPTasks[[#Headers],[ID]]))))=0,"",INDEX(tsk_ActFinish,(ROW()-ROW(MSPTasks[[#Headers],[ID]])))))</f>
        <v/>
      </c>
      <c r="O45" s="130" t="str">
        <f aca="false">IF(IFERROR(INDEX(tsk_Name,(ROW()-ROW(MSPTasks[[#Headers],[ID]])))="",TRUE()),"",INDEX(tsk_PlanStart,(ROW()-ROW(MSPTasks[[#Headers],[ID]]))))</f>
        <v/>
      </c>
      <c r="P45" s="130" t="str">
        <f aca="false">IF(IFERROR(INDEX(tsk_Name,(ROW()-ROW(MSPTasks[[#Headers],[ID]])))="",TRUE()),"",INDEX(tsk_PlanFinish,(ROW()-ROW(MSPTasks[[#Headers],[ID]]))))</f>
        <v/>
      </c>
      <c r="Q45" s="24" t="str">
        <f aca="false">IF(IFERROR(INDEX(tsk_Name,(ROW()-ROW(MSPTasks[[#Headers],[ID]])))="",TRUE()),"",IF(INDEX(tsk_BaseDuration,(ROW()-ROW(MSPTasks[[#Headers],[ID]])))="","",N(INDEX(tsk_BaseDuration,(ROW()-ROW(MSPTasks[[#Headers],[ID]]))))&amp;"d"))</f>
        <v/>
      </c>
      <c r="R45" s="24" t="str">
        <f aca="false">IF(IFERROR(INDEX(tsk_Name,(ROW()-ROW(MSPTasks[[#Headers],[ID]])))="",TRUE()),"",IF(INDEX(tsk_BaseWork,(ROW()-ROW(MSPTasks[[#Headers],[ID]])))="","",N(INDEX(tsk_BaseWork,(ROW()-ROW(MSPTasks[[#Headers],[ID]]))))&amp;"h"))</f>
        <v/>
      </c>
      <c r="S45" s="24" t="str">
        <f aca="false">IF(IFERROR(INDEX(tsk_Name,(ROW()-ROW(MSPTasks[[#Headers],[ID]])))="",TRUE()),"",IF(INDEX(tsk_BaseCost,(ROW()-ROW(MSPTasks[[#Headers],[ID]])))="","",N(INDEX(tsk_BaseCost,(ROW()-ROW(MSPTasks[[#Headers],[ID]]))))))</f>
        <v/>
      </c>
      <c r="T45" s="24" t="str">
        <f aca="false">IF(IFERROR(INDEX(tsk_Name,(ROW()-ROW(MSPTasks[[#Headers],[ID]])))="",TRUE()),"",IF(INDEX(tsk_IsSummary,(ROW()-ROW(MSPTasks[[#Headers],[ID]]))),"",IF(N(INDEX(tsk_ActCostInput,(ROW()-ROW(MSPTasks[[#Headers],[ID]]))))=0,"",INDEX(tsk_ActCostInput,(ROW()-ROW(MSPTasks[[#Headers],[ID]]))))))</f>
        <v/>
      </c>
      <c r="U45" s="24" t="str">
        <f aca="false">IF(IFERROR(INDEX(tsk_Name,(ROW()-ROW(MSPTasks[[#Headers],[ID]])))="",TRUE()),"",IF(INDEX(tsk_IsSummary,(ROW()-ROW(MSPTasks[[#Headers],[ID]]))),"",IF(AND(INDEX(tsk_Mode,(ROW()-ROW(MSPTasks[[#Headers],[ID]])))&lt;&gt;"Manual",N(INDEX(tsk_Constraint,(ROW()-ROW(MSPTasks[[#Headers],[ID]]))))&gt;0),"Start No Earlier Than","As Soon As Possible")))</f>
        <v/>
      </c>
      <c r="V45" s="130" t="str">
        <f aca="false">IF(IFERROR(INDEX(tsk_Name,(ROW()-ROW(MSPTasks[[#Headers],[ID]])))="",TRUE()),"",IF(OR(INDEX(tsk_IsSummary,(ROW()-ROW(MSPTasks[[#Headers],[ID]]))),INDEX(tsk_Mode,(ROW()-ROW(MSPTasks[[#Headers],[ID]])))="Manual"),"",IF(N(INDEX(tsk_Constraint,(ROW()-ROW(MSPTasks[[#Headers],[ID]]))))=0,"",INDEX(tsk_Constraint,(ROW()-ROW(MSPTasks[[#Headers],[ID]]))))))</f>
        <v/>
      </c>
      <c r="W45" s="130" t="str">
        <f aca="false">IF(IFERROR(INDEX(tsk_Name,(ROW()-ROW(MSPTasks[[#Headers],[ID]])))="",TRUE()),"",IF(N(INDEX(tsk_Deadline,(ROW()-ROW(MSPTasks[[#Headers],[ID]]))))=0,"",INDEX(tsk_Deadline,(ROW()-ROW(MSPTasks[[#Headers],[ID]])))))</f>
        <v/>
      </c>
      <c r="X45" s="24" t="str">
        <f aca="false">IF(IFERROR(INDEX(tsk_Name,(ROW()-ROW(MSPTasks[[#Headers],[ID]])))="",TRUE()),"",IF(INDEX(tsk_IsSummary,(ROW()-ROW(MSPTasks[[#Headers],[ID]]))),"",INDEX(tsk_Sprint,(ROW()-ROW(MSPTasks[[#Headers],[ID]])))&amp;""))</f>
        <v/>
      </c>
      <c r="Y45" s="24" t="str">
        <f aca="false">IF(IFERROR(INDEX(tsk_Name,(ROW()-ROW(MSPTasks[[#Headers],[ID]])))="",TRUE()),"",IF(INDEX(tsk_IsSummary,(ROW()-ROW(MSPTasks[[#Headers],[ID]]))),"",IF(N(INDEX(tsk_StoryPoints,(ROW()-ROW(MSPTasks[[#Headers],[ID]]))))=0,"",INDEX(tsk_StoryPoints,(ROW()-ROW(MSPTasks[[#Headers],[ID]]))))))</f>
        <v/>
      </c>
      <c r="Z45" s="24" t="str">
        <f aca="false">IF(IFERROR(INDEX(tsk_Name,(ROW()-ROW(MSPTasks[[#Headers],[ID]])))="",TRUE()),"",INDEX(tsk_Notes,(ROW()-ROW(MSPTasks[[#Headers],[ID]])))&amp;"")</f>
        <v/>
      </c>
    </row>
    <row r="46" customFormat="false" ht="15" hidden="false" customHeight="false" outlineLevel="0" collapsed="false">
      <c r="A46" s="24" t="str">
        <f aca="false">IF(IFERROR(INDEX(tsk_Name,(ROW()-ROW(MSPTasks[[#Headers],[ID]])))="",TRUE()),"",INDEX(tsk_ID,(ROW()-ROW(MSPTasks[[#Headers],[ID]]))))</f>
        <v/>
      </c>
      <c r="B46" s="24" t="str">
        <f aca="false">IF(IFERROR(INDEX(tsk_Name,(ROW()-ROW(MSPTasks[[#Headers],[ID]])))="",TRUE()),"",INDEX(tsk_UID,(ROW()-ROW(MSPTasks[[#Headers],[ID]]))))</f>
        <v/>
      </c>
      <c r="C46" s="24" t="str">
        <f aca="false">IF(IFERROR(INDEX(tsk_Name,(ROW()-ROW(MSPTasks[[#Headers],[ID]])))="",TRUE()),"",INDEX(tsk_Name,(ROW()-ROW(MSPTasks[[#Headers],[ID]]))))</f>
        <v/>
      </c>
      <c r="D46" s="24" t="str">
        <f aca="false">IF(IFERROR(INDEX(tsk_Name,(ROW()-ROW(MSPTasks[[#Headers],[ID]])))="",TRUE()),"",INDEX(tsk_Level,(ROW()-ROW(MSPTasks[[#Headers],[ID]]))))</f>
        <v/>
      </c>
      <c r="E46" s="24" t="str">
        <f aca="false">IF(IFERROR(INDEX(tsk_Name,(ROW()-ROW(MSPTasks[[#Headers],[ID]])))="",TRUE()),"",IF(INDEX(tsk_Mode,(ROW()-ROW(MSPTasks[[#Headers],[ID]])))="Manual","Manually Scheduled","Auto Scheduled"))</f>
        <v/>
      </c>
      <c r="F46" s="24" t="str">
        <f aca="false">IF(IFERROR(INDEX(tsk_Name,(ROW()-ROW(MSPTasks[[#Headers],[ID]])))="",TRUE()),"",IF(INDEX(tsk_IsSummary,(ROW()-ROW(MSPTasks[[#Headers],[ID]]))),"",N(INDEX(tsk_Duration,(ROW()-ROW(MSPTasks[[#Headers],[ID]]))))&amp;"d"))</f>
        <v/>
      </c>
      <c r="G46" s="130" t="str">
        <f aca="false">IF(IFERROR(INDEX(tsk_Name,(ROW()-ROW(MSPTasks[[#Headers],[ID]])))="",TRUE()),"",INDEX(tsk_FcStart,(ROW()-ROW(MSPTasks[[#Headers],[ID]]))))</f>
        <v/>
      </c>
      <c r="H46" s="130" t="str">
        <f aca="false">IF(IFERROR(INDEX(tsk_Name,(ROW()-ROW(MSPTasks[[#Headers],[ID]])))="",TRUE()),"",INDEX(tsk_FcFinish,(ROW()-ROW(MSPTasks[[#Headers],[ID]]))))</f>
        <v/>
      </c>
      <c r="I46" s="24" t="str">
        <f aca="false">IF(IFERROR(INDEX(tsk_Name,(ROW()-ROW(MSPTasks[[#Headers],[ID]])))="",TRUE()),"",IF(INDEX(tsk_IsSummary,(ROW()-ROW(MSPTasks[[#Headers],[ID]]))),"",INDEX(tsk_Predecessors,(ROW()-ROW(MSPTasks[[#Headers],[ID]])))))</f>
        <v/>
      </c>
      <c r="J46" s="24" t="str">
        <f aca="false">IF(IFERROR(INDEX(tsk_Name,(ROW()-ROW(MSPTasks[[#Headers],[ID]])))="",TRUE()),"",IF(INDEX(tsk_IsSummary,(ROW()-ROW(MSPTasks[[#Headers],[ID]]))),"",INDEX(tsk_UIDPredecessors,(ROW()-ROW(MSPTasks[[#Headers],[ID]])))))</f>
        <v/>
      </c>
      <c r="K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6" s="24" t="str">
        <f aca="false">IF(IFERROR(INDEX(tsk_Name,(ROW()-ROW(MSPTasks[[#Headers],[ID]])))="",TRUE()),"",IF(INDEX(tsk_IsSummary,(ROW()-ROW(MSPTasks[[#Headers],[ID]]))),"",ROUND(INDEX(tsk_Progress,(ROW()-ROW(MSPTasks[[#Headers],[ID]])))*100,0)))</f>
        <v/>
      </c>
      <c r="M46" s="130" t="str">
        <f aca="false">IF(IFERROR(INDEX(tsk_Name,(ROW()-ROW(MSPTasks[[#Headers],[ID]])))="",TRUE()),"",IF(N(INDEX(tsk_ActStart,(ROW()-ROW(MSPTasks[[#Headers],[ID]]))))=0,"",INDEX(tsk_ActStart,(ROW()-ROW(MSPTasks[[#Headers],[ID]])))))</f>
        <v/>
      </c>
      <c r="N46" s="130" t="str">
        <f aca="false">IF(IFERROR(INDEX(tsk_Name,(ROW()-ROW(MSPTasks[[#Headers],[ID]])))="",TRUE()),"",IF(N(INDEX(tsk_ActFinish,(ROW()-ROW(MSPTasks[[#Headers],[ID]]))))=0,"",INDEX(tsk_ActFinish,(ROW()-ROW(MSPTasks[[#Headers],[ID]])))))</f>
        <v/>
      </c>
      <c r="O46" s="130" t="str">
        <f aca="false">IF(IFERROR(INDEX(tsk_Name,(ROW()-ROW(MSPTasks[[#Headers],[ID]])))="",TRUE()),"",INDEX(tsk_PlanStart,(ROW()-ROW(MSPTasks[[#Headers],[ID]]))))</f>
        <v/>
      </c>
      <c r="P46" s="130" t="str">
        <f aca="false">IF(IFERROR(INDEX(tsk_Name,(ROW()-ROW(MSPTasks[[#Headers],[ID]])))="",TRUE()),"",INDEX(tsk_PlanFinish,(ROW()-ROW(MSPTasks[[#Headers],[ID]]))))</f>
        <v/>
      </c>
      <c r="Q46" s="24" t="str">
        <f aca="false">IF(IFERROR(INDEX(tsk_Name,(ROW()-ROW(MSPTasks[[#Headers],[ID]])))="",TRUE()),"",IF(INDEX(tsk_BaseDuration,(ROW()-ROW(MSPTasks[[#Headers],[ID]])))="","",N(INDEX(tsk_BaseDuration,(ROW()-ROW(MSPTasks[[#Headers],[ID]]))))&amp;"d"))</f>
        <v/>
      </c>
      <c r="R46" s="24" t="str">
        <f aca="false">IF(IFERROR(INDEX(tsk_Name,(ROW()-ROW(MSPTasks[[#Headers],[ID]])))="",TRUE()),"",IF(INDEX(tsk_BaseWork,(ROW()-ROW(MSPTasks[[#Headers],[ID]])))="","",N(INDEX(tsk_BaseWork,(ROW()-ROW(MSPTasks[[#Headers],[ID]]))))&amp;"h"))</f>
        <v/>
      </c>
      <c r="S46" s="24" t="str">
        <f aca="false">IF(IFERROR(INDEX(tsk_Name,(ROW()-ROW(MSPTasks[[#Headers],[ID]])))="",TRUE()),"",IF(INDEX(tsk_BaseCost,(ROW()-ROW(MSPTasks[[#Headers],[ID]])))="","",N(INDEX(tsk_BaseCost,(ROW()-ROW(MSPTasks[[#Headers],[ID]]))))))</f>
        <v/>
      </c>
      <c r="T46" s="24" t="str">
        <f aca="false">IF(IFERROR(INDEX(tsk_Name,(ROW()-ROW(MSPTasks[[#Headers],[ID]])))="",TRUE()),"",IF(INDEX(tsk_IsSummary,(ROW()-ROW(MSPTasks[[#Headers],[ID]]))),"",IF(N(INDEX(tsk_ActCostInput,(ROW()-ROW(MSPTasks[[#Headers],[ID]]))))=0,"",INDEX(tsk_ActCostInput,(ROW()-ROW(MSPTasks[[#Headers],[ID]]))))))</f>
        <v/>
      </c>
      <c r="U46" s="24" t="str">
        <f aca="false">IF(IFERROR(INDEX(tsk_Name,(ROW()-ROW(MSPTasks[[#Headers],[ID]])))="",TRUE()),"",IF(INDEX(tsk_IsSummary,(ROW()-ROW(MSPTasks[[#Headers],[ID]]))),"",IF(AND(INDEX(tsk_Mode,(ROW()-ROW(MSPTasks[[#Headers],[ID]])))&lt;&gt;"Manual",N(INDEX(tsk_Constraint,(ROW()-ROW(MSPTasks[[#Headers],[ID]]))))&gt;0),"Start No Earlier Than","As Soon As Possible")))</f>
        <v/>
      </c>
      <c r="V46" s="130" t="str">
        <f aca="false">IF(IFERROR(INDEX(tsk_Name,(ROW()-ROW(MSPTasks[[#Headers],[ID]])))="",TRUE()),"",IF(OR(INDEX(tsk_IsSummary,(ROW()-ROW(MSPTasks[[#Headers],[ID]]))),INDEX(tsk_Mode,(ROW()-ROW(MSPTasks[[#Headers],[ID]])))="Manual"),"",IF(N(INDEX(tsk_Constraint,(ROW()-ROW(MSPTasks[[#Headers],[ID]]))))=0,"",INDEX(tsk_Constraint,(ROW()-ROW(MSPTasks[[#Headers],[ID]]))))))</f>
        <v/>
      </c>
      <c r="W46" s="130" t="str">
        <f aca="false">IF(IFERROR(INDEX(tsk_Name,(ROW()-ROW(MSPTasks[[#Headers],[ID]])))="",TRUE()),"",IF(N(INDEX(tsk_Deadline,(ROW()-ROW(MSPTasks[[#Headers],[ID]]))))=0,"",INDEX(tsk_Deadline,(ROW()-ROW(MSPTasks[[#Headers],[ID]])))))</f>
        <v/>
      </c>
      <c r="X46" s="24" t="str">
        <f aca="false">IF(IFERROR(INDEX(tsk_Name,(ROW()-ROW(MSPTasks[[#Headers],[ID]])))="",TRUE()),"",IF(INDEX(tsk_IsSummary,(ROW()-ROW(MSPTasks[[#Headers],[ID]]))),"",INDEX(tsk_Sprint,(ROW()-ROW(MSPTasks[[#Headers],[ID]])))&amp;""))</f>
        <v/>
      </c>
      <c r="Y46" s="24" t="str">
        <f aca="false">IF(IFERROR(INDEX(tsk_Name,(ROW()-ROW(MSPTasks[[#Headers],[ID]])))="",TRUE()),"",IF(INDEX(tsk_IsSummary,(ROW()-ROW(MSPTasks[[#Headers],[ID]]))),"",IF(N(INDEX(tsk_StoryPoints,(ROW()-ROW(MSPTasks[[#Headers],[ID]]))))=0,"",INDEX(tsk_StoryPoints,(ROW()-ROW(MSPTasks[[#Headers],[ID]]))))))</f>
        <v/>
      </c>
      <c r="Z46" s="24" t="str">
        <f aca="false">IF(IFERROR(INDEX(tsk_Name,(ROW()-ROW(MSPTasks[[#Headers],[ID]])))="",TRUE()),"",INDEX(tsk_Notes,(ROW()-ROW(MSPTasks[[#Headers],[ID]])))&amp;"")</f>
        <v/>
      </c>
    </row>
    <row r="47" customFormat="false" ht="15" hidden="false" customHeight="false" outlineLevel="0" collapsed="false">
      <c r="A47" s="24" t="str">
        <f aca="false">IF(IFERROR(INDEX(tsk_Name,(ROW()-ROW(MSPTasks[[#Headers],[ID]])))="",TRUE()),"",INDEX(tsk_ID,(ROW()-ROW(MSPTasks[[#Headers],[ID]]))))</f>
        <v/>
      </c>
      <c r="B47" s="24" t="str">
        <f aca="false">IF(IFERROR(INDEX(tsk_Name,(ROW()-ROW(MSPTasks[[#Headers],[ID]])))="",TRUE()),"",INDEX(tsk_UID,(ROW()-ROW(MSPTasks[[#Headers],[ID]]))))</f>
        <v/>
      </c>
      <c r="C47" s="24" t="str">
        <f aca="false">IF(IFERROR(INDEX(tsk_Name,(ROW()-ROW(MSPTasks[[#Headers],[ID]])))="",TRUE()),"",INDEX(tsk_Name,(ROW()-ROW(MSPTasks[[#Headers],[ID]]))))</f>
        <v/>
      </c>
      <c r="D47" s="24" t="str">
        <f aca="false">IF(IFERROR(INDEX(tsk_Name,(ROW()-ROW(MSPTasks[[#Headers],[ID]])))="",TRUE()),"",INDEX(tsk_Level,(ROW()-ROW(MSPTasks[[#Headers],[ID]]))))</f>
        <v/>
      </c>
      <c r="E47" s="24" t="str">
        <f aca="false">IF(IFERROR(INDEX(tsk_Name,(ROW()-ROW(MSPTasks[[#Headers],[ID]])))="",TRUE()),"",IF(INDEX(tsk_Mode,(ROW()-ROW(MSPTasks[[#Headers],[ID]])))="Manual","Manually Scheduled","Auto Scheduled"))</f>
        <v/>
      </c>
      <c r="F47" s="24" t="str">
        <f aca="false">IF(IFERROR(INDEX(tsk_Name,(ROW()-ROW(MSPTasks[[#Headers],[ID]])))="",TRUE()),"",IF(INDEX(tsk_IsSummary,(ROW()-ROW(MSPTasks[[#Headers],[ID]]))),"",N(INDEX(tsk_Duration,(ROW()-ROW(MSPTasks[[#Headers],[ID]]))))&amp;"d"))</f>
        <v/>
      </c>
      <c r="G47" s="130" t="str">
        <f aca="false">IF(IFERROR(INDEX(tsk_Name,(ROW()-ROW(MSPTasks[[#Headers],[ID]])))="",TRUE()),"",INDEX(tsk_FcStart,(ROW()-ROW(MSPTasks[[#Headers],[ID]]))))</f>
        <v/>
      </c>
      <c r="H47" s="130" t="str">
        <f aca="false">IF(IFERROR(INDEX(tsk_Name,(ROW()-ROW(MSPTasks[[#Headers],[ID]])))="",TRUE()),"",INDEX(tsk_FcFinish,(ROW()-ROW(MSPTasks[[#Headers],[ID]]))))</f>
        <v/>
      </c>
      <c r="I47" s="24" t="str">
        <f aca="false">IF(IFERROR(INDEX(tsk_Name,(ROW()-ROW(MSPTasks[[#Headers],[ID]])))="",TRUE()),"",IF(INDEX(tsk_IsSummary,(ROW()-ROW(MSPTasks[[#Headers],[ID]]))),"",INDEX(tsk_Predecessors,(ROW()-ROW(MSPTasks[[#Headers],[ID]])))))</f>
        <v/>
      </c>
      <c r="J47" s="24" t="str">
        <f aca="false">IF(IFERROR(INDEX(tsk_Name,(ROW()-ROW(MSPTasks[[#Headers],[ID]])))="",TRUE()),"",IF(INDEX(tsk_IsSummary,(ROW()-ROW(MSPTasks[[#Headers],[ID]]))),"",INDEX(tsk_UIDPredecessors,(ROW()-ROW(MSPTasks[[#Headers],[ID]])))))</f>
        <v/>
      </c>
      <c r="K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7" s="24" t="str">
        <f aca="false">IF(IFERROR(INDEX(tsk_Name,(ROW()-ROW(MSPTasks[[#Headers],[ID]])))="",TRUE()),"",IF(INDEX(tsk_IsSummary,(ROW()-ROW(MSPTasks[[#Headers],[ID]]))),"",ROUND(INDEX(tsk_Progress,(ROW()-ROW(MSPTasks[[#Headers],[ID]])))*100,0)))</f>
        <v/>
      </c>
      <c r="M47" s="130" t="str">
        <f aca="false">IF(IFERROR(INDEX(tsk_Name,(ROW()-ROW(MSPTasks[[#Headers],[ID]])))="",TRUE()),"",IF(N(INDEX(tsk_ActStart,(ROW()-ROW(MSPTasks[[#Headers],[ID]]))))=0,"",INDEX(tsk_ActStart,(ROW()-ROW(MSPTasks[[#Headers],[ID]])))))</f>
        <v/>
      </c>
      <c r="N47" s="130" t="str">
        <f aca="false">IF(IFERROR(INDEX(tsk_Name,(ROW()-ROW(MSPTasks[[#Headers],[ID]])))="",TRUE()),"",IF(N(INDEX(tsk_ActFinish,(ROW()-ROW(MSPTasks[[#Headers],[ID]]))))=0,"",INDEX(tsk_ActFinish,(ROW()-ROW(MSPTasks[[#Headers],[ID]])))))</f>
        <v/>
      </c>
      <c r="O47" s="130" t="str">
        <f aca="false">IF(IFERROR(INDEX(tsk_Name,(ROW()-ROW(MSPTasks[[#Headers],[ID]])))="",TRUE()),"",INDEX(tsk_PlanStart,(ROW()-ROW(MSPTasks[[#Headers],[ID]]))))</f>
        <v/>
      </c>
      <c r="P47" s="130" t="str">
        <f aca="false">IF(IFERROR(INDEX(tsk_Name,(ROW()-ROW(MSPTasks[[#Headers],[ID]])))="",TRUE()),"",INDEX(tsk_PlanFinish,(ROW()-ROW(MSPTasks[[#Headers],[ID]]))))</f>
        <v/>
      </c>
      <c r="Q47" s="24" t="str">
        <f aca="false">IF(IFERROR(INDEX(tsk_Name,(ROW()-ROW(MSPTasks[[#Headers],[ID]])))="",TRUE()),"",IF(INDEX(tsk_BaseDuration,(ROW()-ROW(MSPTasks[[#Headers],[ID]])))="","",N(INDEX(tsk_BaseDuration,(ROW()-ROW(MSPTasks[[#Headers],[ID]]))))&amp;"d"))</f>
        <v/>
      </c>
      <c r="R47" s="24" t="str">
        <f aca="false">IF(IFERROR(INDEX(tsk_Name,(ROW()-ROW(MSPTasks[[#Headers],[ID]])))="",TRUE()),"",IF(INDEX(tsk_BaseWork,(ROW()-ROW(MSPTasks[[#Headers],[ID]])))="","",N(INDEX(tsk_BaseWork,(ROW()-ROW(MSPTasks[[#Headers],[ID]]))))&amp;"h"))</f>
        <v/>
      </c>
      <c r="S47" s="24" t="str">
        <f aca="false">IF(IFERROR(INDEX(tsk_Name,(ROW()-ROW(MSPTasks[[#Headers],[ID]])))="",TRUE()),"",IF(INDEX(tsk_BaseCost,(ROW()-ROW(MSPTasks[[#Headers],[ID]])))="","",N(INDEX(tsk_BaseCost,(ROW()-ROW(MSPTasks[[#Headers],[ID]]))))))</f>
        <v/>
      </c>
      <c r="T47" s="24" t="str">
        <f aca="false">IF(IFERROR(INDEX(tsk_Name,(ROW()-ROW(MSPTasks[[#Headers],[ID]])))="",TRUE()),"",IF(INDEX(tsk_IsSummary,(ROW()-ROW(MSPTasks[[#Headers],[ID]]))),"",IF(N(INDEX(tsk_ActCostInput,(ROW()-ROW(MSPTasks[[#Headers],[ID]]))))=0,"",INDEX(tsk_ActCostInput,(ROW()-ROW(MSPTasks[[#Headers],[ID]]))))))</f>
        <v/>
      </c>
      <c r="U47" s="24" t="str">
        <f aca="false">IF(IFERROR(INDEX(tsk_Name,(ROW()-ROW(MSPTasks[[#Headers],[ID]])))="",TRUE()),"",IF(INDEX(tsk_IsSummary,(ROW()-ROW(MSPTasks[[#Headers],[ID]]))),"",IF(AND(INDEX(tsk_Mode,(ROW()-ROW(MSPTasks[[#Headers],[ID]])))&lt;&gt;"Manual",N(INDEX(tsk_Constraint,(ROW()-ROW(MSPTasks[[#Headers],[ID]]))))&gt;0),"Start No Earlier Than","As Soon As Possible")))</f>
        <v/>
      </c>
      <c r="V47" s="130" t="str">
        <f aca="false">IF(IFERROR(INDEX(tsk_Name,(ROW()-ROW(MSPTasks[[#Headers],[ID]])))="",TRUE()),"",IF(OR(INDEX(tsk_IsSummary,(ROW()-ROW(MSPTasks[[#Headers],[ID]]))),INDEX(tsk_Mode,(ROW()-ROW(MSPTasks[[#Headers],[ID]])))="Manual"),"",IF(N(INDEX(tsk_Constraint,(ROW()-ROW(MSPTasks[[#Headers],[ID]]))))=0,"",INDEX(tsk_Constraint,(ROW()-ROW(MSPTasks[[#Headers],[ID]]))))))</f>
        <v/>
      </c>
      <c r="W47" s="130" t="str">
        <f aca="false">IF(IFERROR(INDEX(tsk_Name,(ROW()-ROW(MSPTasks[[#Headers],[ID]])))="",TRUE()),"",IF(N(INDEX(tsk_Deadline,(ROW()-ROW(MSPTasks[[#Headers],[ID]]))))=0,"",INDEX(tsk_Deadline,(ROW()-ROW(MSPTasks[[#Headers],[ID]])))))</f>
        <v/>
      </c>
      <c r="X47" s="24" t="str">
        <f aca="false">IF(IFERROR(INDEX(tsk_Name,(ROW()-ROW(MSPTasks[[#Headers],[ID]])))="",TRUE()),"",IF(INDEX(tsk_IsSummary,(ROW()-ROW(MSPTasks[[#Headers],[ID]]))),"",INDEX(tsk_Sprint,(ROW()-ROW(MSPTasks[[#Headers],[ID]])))&amp;""))</f>
        <v/>
      </c>
      <c r="Y47" s="24" t="str">
        <f aca="false">IF(IFERROR(INDEX(tsk_Name,(ROW()-ROW(MSPTasks[[#Headers],[ID]])))="",TRUE()),"",IF(INDEX(tsk_IsSummary,(ROW()-ROW(MSPTasks[[#Headers],[ID]]))),"",IF(N(INDEX(tsk_StoryPoints,(ROW()-ROW(MSPTasks[[#Headers],[ID]]))))=0,"",INDEX(tsk_StoryPoints,(ROW()-ROW(MSPTasks[[#Headers],[ID]]))))))</f>
        <v/>
      </c>
      <c r="Z47" s="24" t="str">
        <f aca="false">IF(IFERROR(INDEX(tsk_Name,(ROW()-ROW(MSPTasks[[#Headers],[ID]])))="",TRUE()),"",INDEX(tsk_Notes,(ROW()-ROW(MSPTasks[[#Headers],[ID]])))&amp;"")</f>
        <v/>
      </c>
    </row>
    <row r="48" customFormat="false" ht="15" hidden="false" customHeight="false" outlineLevel="0" collapsed="false">
      <c r="A48" s="24" t="str">
        <f aca="false">IF(IFERROR(INDEX(tsk_Name,(ROW()-ROW(MSPTasks[[#Headers],[ID]])))="",TRUE()),"",INDEX(tsk_ID,(ROW()-ROW(MSPTasks[[#Headers],[ID]]))))</f>
        <v/>
      </c>
      <c r="B48" s="24" t="str">
        <f aca="false">IF(IFERROR(INDEX(tsk_Name,(ROW()-ROW(MSPTasks[[#Headers],[ID]])))="",TRUE()),"",INDEX(tsk_UID,(ROW()-ROW(MSPTasks[[#Headers],[ID]]))))</f>
        <v/>
      </c>
      <c r="C48" s="24" t="str">
        <f aca="false">IF(IFERROR(INDEX(tsk_Name,(ROW()-ROW(MSPTasks[[#Headers],[ID]])))="",TRUE()),"",INDEX(tsk_Name,(ROW()-ROW(MSPTasks[[#Headers],[ID]]))))</f>
        <v/>
      </c>
      <c r="D48" s="24" t="str">
        <f aca="false">IF(IFERROR(INDEX(tsk_Name,(ROW()-ROW(MSPTasks[[#Headers],[ID]])))="",TRUE()),"",INDEX(tsk_Level,(ROW()-ROW(MSPTasks[[#Headers],[ID]]))))</f>
        <v/>
      </c>
      <c r="E48" s="24" t="str">
        <f aca="false">IF(IFERROR(INDEX(tsk_Name,(ROW()-ROW(MSPTasks[[#Headers],[ID]])))="",TRUE()),"",IF(INDEX(tsk_Mode,(ROW()-ROW(MSPTasks[[#Headers],[ID]])))="Manual","Manually Scheduled","Auto Scheduled"))</f>
        <v/>
      </c>
      <c r="F48" s="24" t="str">
        <f aca="false">IF(IFERROR(INDEX(tsk_Name,(ROW()-ROW(MSPTasks[[#Headers],[ID]])))="",TRUE()),"",IF(INDEX(tsk_IsSummary,(ROW()-ROW(MSPTasks[[#Headers],[ID]]))),"",N(INDEX(tsk_Duration,(ROW()-ROW(MSPTasks[[#Headers],[ID]]))))&amp;"d"))</f>
        <v/>
      </c>
      <c r="G48" s="130" t="str">
        <f aca="false">IF(IFERROR(INDEX(tsk_Name,(ROW()-ROW(MSPTasks[[#Headers],[ID]])))="",TRUE()),"",INDEX(tsk_FcStart,(ROW()-ROW(MSPTasks[[#Headers],[ID]]))))</f>
        <v/>
      </c>
      <c r="H48" s="130" t="str">
        <f aca="false">IF(IFERROR(INDEX(tsk_Name,(ROW()-ROW(MSPTasks[[#Headers],[ID]])))="",TRUE()),"",INDEX(tsk_FcFinish,(ROW()-ROW(MSPTasks[[#Headers],[ID]]))))</f>
        <v/>
      </c>
      <c r="I48" s="24" t="str">
        <f aca="false">IF(IFERROR(INDEX(tsk_Name,(ROW()-ROW(MSPTasks[[#Headers],[ID]])))="",TRUE()),"",IF(INDEX(tsk_IsSummary,(ROW()-ROW(MSPTasks[[#Headers],[ID]]))),"",INDEX(tsk_Predecessors,(ROW()-ROW(MSPTasks[[#Headers],[ID]])))))</f>
        <v/>
      </c>
      <c r="J48" s="24" t="str">
        <f aca="false">IF(IFERROR(INDEX(tsk_Name,(ROW()-ROW(MSPTasks[[#Headers],[ID]])))="",TRUE()),"",IF(INDEX(tsk_IsSummary,(ROW()-ROW(MSPTasks[[#Headers],[ID]]))),"",INDEX(tsk_UIDPredecessors,(ROW()-ROW(MSPTasks[[#Headers],[ID]])))))</f>
        <v/>
      </c>
      <c r="K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8" s="24" t="str">
        <f aca="false">IF(IFERROR(INDEX(tsk_Name,(ROW()-ROW(MSPTasks[[#Headers],[ID]])))="",TRUE()),"",IF(INDEX(tsk_IsSummary,(ROW()-ROW(MSPTasks[[#Headers],[ID]]))),"",ROUND(INDEX(tsk_Progress,(ROW()-ROW(MSPTasks[[#Headers],[ID]])))*100,0)))</f>
        <v/>
      </c>
      <c r="M48" s="130" t="str">
        <f aca="false">IF(IFERROR(INDEX(tsk_Name,(ROW()-ROW(MSPTasks[[#Headers],[ID]])))="",TRUE()),"",IF(N(INDEX(tsk_ActStart,(ROW()-ROW(MSPTasks[[#Headers],[ID]]))))=0,"",INDEX(tsk_ActStart,(ROW()-ROW(MSPTasks[[#Headers],[ID]])))))</f>
        <v/>
      </c>
      <c r="N48" s="130" t="str">
        <f aca="false">IF(IFERROR(INDEX(tsk_Name,(ROW()-ROW(MSPTasks[[#Headers],[ID]])))="",TRUE()),"",IF(N(INDEX(tsk_ActFinish,(ROW()-ROW(MSPTasks[[#Headers],[ID]]))))=0,"",INDEX(tsk_ActFinish,(ROW()-ROW(MSPTasks[[#Headers],[ID]])))))</f>
        <v/>
      </c>
      <c r="O48" s="130" t="str">
        <f aca="false">IF(IFERROR(INDEX(tsk_Name,(ROW()-ROW(MSPTasks[[#Headers],[ID]])))="",TRUE()),"",INDEX(tsk_PlanStart,(ROW()-ROW(MSPTasks[[#Headers],[ID]]))))</f>
        <v/>
      </c>
      <c r="P48" s="130" t="str">
        <f aca="false">IF(IFERROR(INDEX(tsk_Name,(ROW()-ROW(MSPTasks[[#Headers],[ID]])))="",TRUE()),"",INDEX(tsk_PlanFinish,(ROW()-ROW(MSPTasks[[#Headers],[ID]]))))</f>
        <v/>
      </c>
      <c r="Q48" s="24" t="str">
        <f aca="false">IF(IFERROR(INDEX(tsk_Name,(ROW()-ROW(MSPTasks[[#Headers],[ID]])))="",TRUE()),"",IF(INDEX(tsk_BaseDuration,(ROW()-ROW(MSPTasks[[#Headers],[ID]])))="","",N(INDEX(tsk_BaseDuration,(ROW()-ROW(MSPTasks[[#Headers],[ID]]))))&amp;"d"))</f>
        <v/>
      </c>
      <c r="R48" s="24" t="str">
        <f aca="false">IF(IFERROR(INDEX(tsk_Name,(ROW()-ROW(MSPTasks[[#Headers],[ID]])))="",TRUE()),"",IF(INDEX(tsk_BaseWork,(ROW()-ROW(MSPTasks[[#Headers],[ID]])))="","",N(INDEX(tsk_BaseWork,(ROW()-ROW(MSPTasks[[#Headers],[ID]]))))&amp;"h"))</f>
        <v/>
      </c>
      <c r="S48" s="24" t="str">
        <f aca="false">IF(IFERROR(INDEX(tsk_Name,(ROW()-ROW(MSPTasks[[#Headers],[ID]])))="",TRUE()),"",IF(INDEX(tsk_BaseCost,(ROW()-ROW(MSPTasks[[#Headers],[ID]])))="","",N(INDEX(tsk_BaseCost,(ROW()-ROW(MSPTasks[[#Headers],[ID]]))))))</f>
        <v/>
      </c>
      <c r="T48" s="24" t="str">
        <f aca="false">IF(IFERROR(INDEX(tsk_Name,(ROW()-ROW(MSPTasks[[#Headers],[ID]])))="",TRUE()),"",IF(INDEX(tsk_IsSummary,(ROW()-ROW(MSPTasks[[#Headers],[ID]]))),"",IF(N(INDEX(tsk_ActCostInput,(ROW()-ROW(MSPTasks[[#Headers],[ID]]))))=0,"",INDEX(tsk_ActCostInput,(ROW()-ROW(MSPTasks[[#Headers],[ID]]))))))</f>
        <v/>
      </c>
      <c r="U48" s="24" t="str">
        <f aca="false">IF(IFERROR(INDEX(tsk_Name,(ROW()-ROW(MSPTasks[[#Headers],[ID]])))="",TRUE()),"",IF(INDEX(tsk_IsSummary,(ROW()-ROW(MSPTasks[[#Headers],[ID]]))),"",IF(AND(INDEX(tsk_Mode,(ROW()-ROW(MSPTasks[[#Headers],[ID]])))&lt;&gt;"Manual",N(INDEX(tsk_Constraint,(ROW()-ROW(MSPTasks[[#Headers],[ID]]))))&gt;0),"Start No Earlier Than","As Soon As Possible")))</f>
        <v/>
      </c>
      <c r="V48" s="130" t="str">
        <f aca="false">IF(IFERROR(INDEX(tsk_Name,(ROW()-ROW(MSPTasks[[#Headers],[ID]])))="",TRUE()),"",IF(OR(INDEX(tsk_IsSummary,(ROW()-ROW(MSPTasks[[#Headers],[ID]]))),INDEX(tsk_Mode,(ROW()-ROW(MSPTasks[[#Headers],[ID]])))="Manual"),"",IF(N(INDEX(tsk_Constraint,(ROW()-ROW(MSPTasks[[#Headers],[ID]]))))=0,"",INDEX(tsk_Constraint,(ROW()-ROW(MSPTasks[[#Headers],[ID]]))))))</f>
        <v/>
      </c>
      <c r="W48" s="130" t="str">
        <f aca="false">IF(IFERROR(INDEX(tsk_Name,(ROW()-ROW(MSPTasks[[#Headers],[ID]])))="",TRUE()),"",IF(N(INDEX(tsk_Deadline,(ROW()-ROW(MSPTasks[[#Headers],[ID]]))))=0,"",INDEX(tsk_Deadline,(ROW()-ROW(MSPTasks[[#Headers],[ID]])))))</f>
        <v/>
      </c>
      <c r="X48" s="24" t="str">
        <f aca="false">IF(IFERROR(INDEX(tsk_Name,(ROW()-ROW(MSPTasks[[#Headers],[ID]])))="",TRUE()),"",IF(INDEX(tsk_IsSummary,(ROW()-ROW(MSPTasks[[#Headers],[ID]]))),"",INDEX(tsk_Sprint,(ROW()-ROW(MSPTasks[[#Headers],[ID]])))&amp;""))</f>
        <v/>
      </c>
      <c r="Y48" s="24" t="str">
        <f aca="false">IF(IFERROR(INDEX(tsk_Name,(ROW()-ROW(MSPTasks[[#Headers],[ID]])))="",TRUE()),"",IF(INDEX(tsk_IsSummary,(ROW()-ROW(MSPTasks[[#Headers],[ID]]))),"",IF(N(INDEX(tsk_StoryPoints,(ROW()-ROW(MSPTasks[[#Headers],[ID]]))))=0,"",INDEX(tsk_StoryPoints,(ROW()-ROW(MSPTasks[[#Headers],[ID]]))))))</f>
        <v/>
      </c>
      <c r="Z48" s="24" t="str">
        <f aca="false">IF(IFERROR(INDEX(tsk_Name,(ROW()-ROW(MSPTasks[[#Headers],[ID]])))="",TRUE()),"",INDEX(tsk_Notes,(ROW()-ROW(MSPTasks[[#Headers],[ID]])))&amp;"")</f>
        <v/>
      </c>
    </row>
    <row r="49" customFormat="false" ht="15" hidden="false" customHeight="false" outlineLevel="0" collapsed="false">
      <c r="A49" s="24" t="str">
        <f aca="false">IF(IFERROR(INDEX(tsk_Name,(ROW()-ROW(MSPTasks[[#Headers],[ID]])))="",TRUE()),"",INDEX(tsk_ID,(ROW()-ROW(MSPTasks[[#Headers],[ID]]))))</f>
        <v/>
      </c>
      <c r="B49" s="24" t="str">
        <f aca="false">IF(IFERROR(INDEX(tsk_Name,(ROW()-ROW(MSPTasks[[#Headers],[ID]])))="",TRUE()),"",INDEX(tsk_UID,(ROW()-ROW(MSPTasks[[#Headers],[ID]]))))</f>
        <v/>
      </c>
      <c r="C49" s="24" t="str">
        <f aca="false">IF(IFERROR(INDEX(tsk_Name,(ROW()-ROW(MSPTasks[[#Headers],[ID]])))="",TRUE()),"",INDEX(tsk_Name,(ROW()-ROW(MSPTasks[[#Headers],[ID]]))))</f>
        <v/>
      </c>
      <c r="D49" s="24" t="str">
        <f aca="false">IF(IFERROR(INDEX(tsk_Name,(ROW()-ROW(MSPTasks[[#Headers],[ID]])))="",TRUE()),"",INDEX(tsk_Level,(ROW()-ROW(MSPTasks[[#Headers],[ID]]))))</f>
        <v/>
      </c>
      <c r="E49" s="24" t="str">
        <f aca="false">IF(IFERROR(INDEX(tsk_Name,(ROW()-ROW(MSPTasks[[#Headers],[ID]])))="",TRUE()),"",IF(INDEX(tsk_Mode,(ROW()-ROW(MSPTasks[[#Headers],[ID]])))="Manual","Manually Scheduled","Auto Scheduled"))</f>
        <v/>
      </c>
      <c r="F49" s="24" t="str">
        <f aca="false">IF(IFERROR(INDEX(tsk_Name,(ROW()-ROW(MSPTasks[[#Headers],[ID]])))="",TRUE()),"",IF(INDEX(tsk_IsSummary,(ROW()-ROW(MSPTasks[[#Headers],[ID]]))),"",N(INDEX(tsk_Duration,(ROW()-ROW(MSPTasks[[#Headers],[ID]]))))&amp;"d"))</f>
        <v/>
      </c>
      <c r="G49" s="130" t="str">
        <f aca="false">IF(IFERROR(INDEX(tsk_Name,(ROW()-ROW(MSPTasks[[#Headers],[ID]])))="",TRUE()),"",INDEX(tsk_FcStart,(ROW()-ROW(MSPTasks[[#Headers],[ID]]))))</f>
        <v/>
      </c>
      <c r="H49" s="130" t="str">
        <f aca="false">IF(IFERROR(INDEX(tsk_Name,(ROW()-ROW(MSPTasks[[#Headers],[ID]])))="",TRUE()),"",INDEX(tsk_FcFinish,(ROW()-ROW(MSPTasks[[#Headers],[ID]]))))</f>
        <v/>
      </c>
      <c r="I49" s="24" t="str">
        <f aca="false">IF(IFERROR(INDEX(tsk_Name,(ROW()-ROW(MSPTasks[[#Headers],[ID]])))="",TRUE()),"",IF(INDEX(tsk_IsSummary,(ROW()-ROW(MSPTasks[[#Headers],[ID]]))),"",INDEX(tsk_Predecessors,(ROW()-ROW(MSPTasks[[#Headers],[ID]])))))</f>
        <v/>
      </c>
      <c r="J49" s="24" t="str">
        <f aca="false">IF(IFERROR(INDEX(tsk_Name,(ROW()-ROW(MSPTasks[[#Headers],[ID]])))="",TRUE()),"",IF(INDEX(tsk_IsSummary,(ROW()-ROW(MSPTasks[[#Headers],[ID]]))),"",INDEX(tsk_UIDPredecessors,(ROW()-ROW(MSPTasks[[#Headers],[ID]])))))</f>
        <v/>
      </c>
      <c r="K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9" s="24" t="str">
        <f aca="false">IF(IFERROR(INDEX(tsk_Name,(ROW()-ROW(MSPTasks[[#Headers],[ID]])))="",TRUE()),"",IF(INDEX(tsk_IsSummary,(ROW()-ROW(MSPTasks[[#Headers],[ID]]))),"",ROUND(INDEX(tsk_Progress,(ROW()-ROW(MSPTasks[[#Headers],[ID]])))*100,0)))</f>
        <v/>
      </c>
      <c r="M49" s="130" t="str">
        <f aca="false">IF(IFERROR(INDEX(tsk_Name,(ROW()-ROW(MSPTasks[[#Headers],[ID]])))="",TRUE()),"",IF(N(INDEX(tsk_ActStart,(ROW()-ROW(MSPTasks[[#Headers],[ID]]))))=0,"",INDEX(tsk_ActStart,(ROW()-ROW(MSPTasks[[#Headers],[ID]])))))</f>
        <v/>
      </c>
      <c r="N49" s="130" t="str">
        <f aca="false">IF(IFERROR(INDEX(tsk_Name,(ROW()-ROW(MSPTasks[[#Headers],[ID]])))="",TRUE()),"",IF(N(INDEX(tsk_ActFinish,(ROW()-ROW(MSPTasks[[#Headers],[ID]]))))=0,"",INDEX(tsk_ActFinish,(ROW()-ROW(MSPTasks[[#Headers],[ID]])))))</f>
        <v/>
      </c>
      <c r="O49" s="130" t="str">
        <f aca="false">IF(IFERROR(INDEX(tsk_Name,(ROW()-ROW(MSPTasks[[#Headers],[ID]])))="",TRUE()),"",INDEX(tsk_PlanStart,(ROW()-ROW(MSPTasks[[#Headers],[ID]]))))</f>
        <v/>
      </c>
      <c r="P49" s="130" t="str">
        <f aca="false">IF(IFERROR(INDEX(tsk_Name,(ROW()-ROW(MSPTasks[[#Headers],[ID]])))="",TRUE()),"",INDEX(tsk_PlanFinish,(ROW()-ROW(MSPTasks[[#Headers],[ID]]))))</f>
        <v/>
      </c>
      <c r="Q49" s="24" t="str">
        <f aca="false">IF(IFERROR(INDEX(tsk_Name,(ROW()-ROW(MSPTasks[[#Headers],[ID]])))="",TRUE()),"",IF(INDEX(tsk_BaseDuration,(ROW()-ROW(MSPTasks[[#Headers],[ID]])))="","",N(INDEX(tsk_BaseDuration,(ROW()-ROW(MSPTasks[[#Headers],[ID]]))))&amp;"d"))</f>
        <v/>
      </c>
      <c r="R49" s="24" t="str">
        <f aca="false">IF(IFERROR(INDEX(tsk_Name,(ROW()-ROW(MSPTasks[[#Headers],[ID]])))="",TRUE()),"",IF(INDEX(tsk_BaseWork,(ROW()-ROW(MSPTasks[[#Headers],[ID]])))="","",N(INDEX(tsk_BaseWork,(ROW()-ROW(MSPTasks[[#Headers],[ID]]))))&amp;"h"))</f>
        <v/>
      </c>
      <c r="S49" s="24" t="str">
        <f aca="false">IF(IFERROR(INDEX(tsk_Name,(ROW()-ROW(MSPTasks[[#Headers],[ID]])))="",TRUE()),"",IF(INDEX(tsk_BaseCost,(ROW()-ROW(MSPTasks[[#Headers],[ID]])))="","",N(INDEX(tsk_BaseCost,(ROW()-ROW(MSPTasks[[#Headers],[ID]]))))))</f>
        <v/>
      </c>
      <c r="T49" s="24" t="str">
        <f aca="false">IF(IFERROR(INDEX(tsk_Name,(ROW()-ROW(MSPTasks[[#Headers],[ID]])))="",TRUE()),"",IF(INDEX(tsk_IsSummary,(ROW()-ROW(MSPTasks[[#Headers],[ID]]))),"",IF(N(INDEX(tsk_ActCostInput,(ROW()-ROW(MSPTasks[[#Headers],[ID]]))))=0,"",INDEX(tsk_ActCostInput,(ROW()-ROW(MSPTasks[[#Headers],[ID]]))))))</f>
        <v/>
      </c>
      <c r="U49" s="24" t="str">
        <f aca="false">IF(IFERROR(INDEX(tsk_Name,(ROW()-ROW(MSPTasks[[#Headers],[ID]])))="",TRUE()),"",IF(INDEX(tsk_IsSummary,(ROW()-ROW(MSPTasks[[#Headers],[ID]]))),"",IF(AND(INDEX(tsk_Mode,(ROW()-ROW(MSPTasks[[#Headers],[ID]])))&lt;&gt;"Manual",N(INDEX(tsk_Constraint,(ROW()-ROW(MSPTasks[[#Headers],[ID]]))))&gt;0),"Start No Earlier Than","As Soon As Possible")))</f>
        <v/>
      </c>
      <c r="V49" s="130" t="str">
        <f aca="false">IF(IFERROR(INDEX(tsk_Name,(ROW()-ROW(MSPTasks[[#Headers],[ID]])))="",TRUE()),"",IF(OR(INDEX(tsk_IsSummary,(ROW()-ROW(MSPTasks[[#Headers],[ID]]))),INDEX(tsk_Mode,(ROW()-ROW(MSPTasks[[#Headers],[ID]])))="Manual"),"",IF(N(INDEX(tsk_Constraint,(ROW()-ROW(MSPTasks[[#Headers],[ID]]))))=0,"",INDEX(tsk_Constraint,(ROW()-ROW(MSPTasks[[#Headers],[ID]]))))))</f>
        <v/>
      </c>
      <c r="W49" s="130" t="str">
        <f aca="false">IF(IFERROR(INDEX(tsk_Name,(ROW()-ROW(MSPTasks[[#Headers],[ID]])))="",TRUE()),"",IF(N(INDEX(tsk_Deadline,(ROW()-ROW(MSPTasks[[#Headers],[ID]]))))=0,"",INDEX(tsk_Deadline,(ROW()-ROW(MSPTasks[[#Headers],[ID]])))))</f>
        <v/>
      </c>
      <c r="X49" s="24" t="str">
        <f aca="false">IF(IFERROR(INDEX(tsk_Name,(ROW()-ROW(MSPTasks[[#Headers],[ID]])))="",TRUE()),"",IF(INDEX(tsk_IsSummary,(ROW()-ROW(MSPTasks[[#Headers],[ID]]))),"",INDEX(tsk_Sprint,(ROW()-ROW(MSPTasks[[#Headers],[ID]])))&amp;""))</f>
        <v/>
      </c>
      <c r="Y49" s="24" t="str">
        <f aca="false">IF(IFERROR(INDEX(tsk_Name,(ROW()-ROW(MSPTasks[[#Headers],[ID]])))="",TRUE()),"",IF(INDEX(tsk_IsSummary,(ROW()-ROW(MSPTasks[[#Headers],[ID]]))),"",IF(N(INDEX(tsk_StoryPoints,(ROW()-ROW(MSPTasks[[#Headers],[ID]]))))=0,"",INDEX(tsk_StoryPoints,(ROW()-ROW(MSPTasks[[#Headers],[ID]]))))))</f>
        <v/>
      </c>
      <c r="Z49" s="24" t="str">
        <f aca="false">IF(IFERROR(INDEX(tsk_Name,(ROW()-ROW(MSPTasks[[#Headers],[ID]])))="",TRUE()),"",INDEX(tsk_Notes,(ROW()-ROW(MSPTasks[[#Headers],[ID]])))&amp;"")</f>
        <v/>
      </c>
    </row>
    <row r="50" customFormat="false" ht="15" hidden="false" customHeight="false" outlineLevel="0" collapsed="false">
      <c r="A50" s="24" t="str">
        <f aca="false">IF(IFERROR(INDEX(tsk_Name,(ROW()-ROW(MSPTasks[[#Headers],[ID]])))="",TRUE()),"",INDEX(tsk_ID,(ROW()-ROW(MSPTasks[[#Headers],[ID]]))))</f>
        <v/>
      </c>
      <c r="B50" s="24" t="str">
        <f aca="false">IF(IFERROR(INDEX(tsk_Name,(ROW()-ROW(MSPTasks[[#Headers],[ID]])))="",TRUE()),"",INDEX(tsk_UID,(ROW()-ROW(MSPTasks[[#Headers],[ID]]))))</f>
        <v/>
      </c>
      <c r="C50" s="24" t="str">
        <f aca="false">IF(IFERROR(INDEX(tsk_Name,(ROW()-ROW(MSPTasks[[#Headers],[ID]])))="",TRUE()),"",INDEX(tsk_Name,(ROW()-ROW(MSPTasks[[#Headers],[ID]]))))</f>
        <v/>
      </c>
      <c r="D50" s="24" t="str">
        <f aca="false">IF(IFERROR(INDEX(tsk_Name,(ROW()-ROW(MSPTasks[[#Headers],[ID]])))="",TRUE()),"",INDEX(tsk_Level,(ROW()-ROW(MSPTasks[[#Headers],[ID]]))))</f>
        <v/>
      </c>
      <c r="E50" s="24" t="str">
        <f aca="false">IF(IFERROR(INDEX(tsk_Name,(ROW()-ROW(MSPTasks[[#Headers],[ID]])))="",TRUE()),"",IF(INDEX(tsk_Mode,(ROW()-ROW(MSPTasks[[#Headers],[ID]])))="Manual","Manually Scheduled","Auto Scheduled"))</f>
        <v/>
      </c>
      <c r="F50" s="24" t="str">
        <f aca="false">IF(IFERROR(INDEX(tsk_Name,(ROW()-ROW(MSPTasks[[#Headers],[ID]])))="",TRUE()),"",IF(INDEX(tsk_IsSummary,(ROW()-ROW(MSPTasks[[#Headers],[ID]]))),"",N(INDEX(tsk_Duration,(ROW()-ROW(MSPTasks[[#Headers],[ID]]))))&amp;"d"))</f>
        <v/>
      </c>
      <c r="G50" s="130" t="str">
        <f aca="false">IF(IFERROR(INDEX(tsk_Name,(ROW()-ROW(MSPTasks[[#Headers],[ID]])))="",TRUE()),"",INDEX(tsk_FcStart,(ROW()-ROW(MSPTasks[[#Headers],[ID]]))))</f>
        <v/>
      </c>
      <c r="H50" s="130" t="str">
        <f aca="false">IF(IFERROR(INDEX(tsk_Name,(ROW()-ROW(MSPTasks[[#Headers],[ID]])))="",TRUE()),"",INDEX(tsk_FcFinish,(ROW()-ROW(MSPTasks[[#Headers],[ID]]))))</f>
        <v/>
      </c>
      <c r="I50" s="24" t="str">
        <f aca="false">IF(IFERROR(INDEX(tsk_Name,(ROW()-ROW(MSPTasks[[#Headers],[ID]])))="",TRUE()),"",IF(INDEX(tsk_IsSummary,(ROW()-ROW(MSPTasks[[#Headers],[ID]]))),"",INDEX(tsk_Predecessors,(ROW()-ROW(MSPTasks[[#Headers],[ID]])))))</f>
        <v/>
      </c>
      <c r="J50" s="24" t="str">
        <f aca="false">IF(IFERROR(INDEX(tsk_Name,(ROW()-ROW(MSPTasks[[#Headers],[ID]])))="",TRUE()),"",IF(INDEX(tsk_IsSummary,(ROW()-ROW(MSPTasks[[#Headers],[ID]]))),"",INDEX(tsk_UIDPredecessors,(ROW()-ROW(MSPTasks[[#Headers],[ID]])))))</f>
        <v/>
      </c>
      <c r="K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0" s="24" t="str">
        <f aca="false">IF(IFERROR(INDEX(tsk_Name,(ROW()-ROW(MSPTasks[[#Headers],[ID]])))="",TRUE()),"",IF(INDEX(tsk_IsSummary,(ROW()-ROW(MSPTasks[[#Headers],[ID]]))),"",ROUND(INDEX(tsk_Progress,(ROW()-ROW(MSPTasks[[#Headers],[ID]])))*100,0)))</f>
        <v/>
      </c>
      <c r="M50" s="130" t="str">
        <f aca="false">IF(IFERROR(INDEX(tsk_Name,(ROW()-ROW(MSPTasks[[#Headers],[ID]])))="",TRUE()),"",IF(N(INDEX(tsk_ActStart,(ROW()-ROW(MSPTasks[[#Headers],[ID]]))))=0,"",INDEX(tsk_ActStart,(ROW()-ROW(MSPTasks[[#Headers],[ID]])))))</f>
        <v/>
      </c>
      <c r="N50" s="130" t="str">
        <f aca="false">IF(IFERROR(INDEX(tsk_Name,(ROW()-ROW(MSPTasks[[#Headers],[ID]])))="",TRUE()),"",IF(N(INDEX(tsk_ActFinish,(ROW()-ROW(MSPTasks[[#Headers],[ID]]))))=0,"",INDEX(tsk_ActFinish,(ROW()-ROW(MSPTasks[[#Headers],[ID]])))))</f>
        <v/>
      </c>
      <c r="O50" s="130" t="str">
        <f aca="false">IF(IFERROR(INDEX(tsk_Name,(ROW()-ROW(MSPTasks[[#Headers],[ID]])))="",TRUE()),"",INDEX(tsk_PlanStart,(ROW()-ROW(MSPTasks[[#Headers],[ID]]))))</f>
        <v/>
      </c>
      <c r="P50" s="130" t="str">
        <f aca="false">IF(IFERROR(INDEX(tsk_Name,(ROW()-ROW(MSPTasks[[#Headers],[ID]])))="",TRUE()),"",INDEX(tsk_PlanFinish,(ROW()-ROW(MSPTasks[[#Headers],[ID]]))))</f>
        <v/>
      </c>
      <c r="Q50" s="24" t="str">
        <f aca="false">IF(IFERROR(INDEX(tsk_Name,(ROW()-ROW(MSPTasks[[#Headers],[ID]])))="",TRUE()),"",IF(INDEX(tsk_BaseDuration,(ROW()-ROW(MSPTasks[[#Headers],[ID]])))="","",N(INDEX(tsk_BaseDuration,(ROW()-ROW(MSPTasks[[#Headers],[ID]]))))&amp;"d"))</f>
        <v/>
      </c>
      <c r="R50" s="24" t="str">
        <f aca="false">IF(IFERROR(INDEX(tsk_Name,(ROW()-ROW(MSPTasks[[#Headers],[ID]])))="",TRUE()),"",IF(INDEX(tsk_BaseWork,(ROW()-ROW(MSPTasks[[#Headers],[ID]])))="","",N(INDEX(tsk_BaseWork,(ROW()-ROW(MSPTasks[[#Headers],[ID]]))))&amp;"h"))</f>
        <v/>
      </c>
      <c r="S50" s="24" t="str">
        <f aca="false">IF(IFERROR(INDEX(tsk_Name,(ROW()-ROW(MSPTasks[[#Headers],[ID]])))="",TRUE()),"",IF(INDEX(tsk_BaseCost,(ROW()-ROW(MSPTasks[[#Headers],[ID]])))="","",N(INDEX(tsk_BaseCost,(ROW()-ROW(MSPTasks[[#Headers],[ID]]))))))</f>
        <v/>
      </c>
      <c r="T50" s="24" t="str">
        <f aca="false">IF(IFERROR(INDEX(tsk_Name,(ROW()-ROW(MSPTasks[[#Headers],[ID]])))="",TRUE()),"",IF(INDEX(tsk_IsSummary,(ROW()-ROW(MSPTasks[[#Headers],[ID]]))),"",IF(N(INDEX(tsk_ActCostInput,(ROW()-ROW(MSPTasks[[#Headers],[ID]]))))=0,"",INDEX(tsk_ActCostInput,(ROW()-ROW(MSPTasks[[#Headers],[ID]]))))))</f>
        <v/>
      </c>
      <c r="U50" s="24" t="str">
        <f aca="false">IF(IFERROR(INDEX(tsk_Name,(ROW()-ROW(MSPTasks[[#Headers],[ID]])))="",TRUE()),"",IF(INDEX(tsk_IsSummary,(ROW()-ROW(MSPTasks[[#Headers],[ID]]))),"",IF(AND(INDEX(tsk_Mode,(ROW()-ROW(MSPTasks[[#Headers],[ID]])))&lt;&gt;"Manual",N(INDEX(tsk_Constraint,(ROW()-ROW(MSPTasks[[#Headers],[ID]]))))&gt;0),"Start No Earlier Than","As Soon As Possible")))</f>
        <v/>
      </c>
      <c r="V50" s="130" t="str">
        <f aca="false">IF(IFERROR(INDEX(tsk_Name,(ROW()-ROW(MSPTasks[[#Headers],[ID]])))="",TRUE()),"",IF(OR(INDEX(tsk_IsSummary,(ROW()-ROW(MSPTasks[[#Headers],[ID]]))),INDEX(tsk_Mode,(ROW()-ROW(MSPTasks[[#Headers],[ID]])))="Manual"),"",IF(N(INDEX(tsk_Constraint,(ROW()-ROW(MSPTasks[[#Headers],[ID]]))))=0,"",INDEX(tsk_Constraint,(ROW()-ROW(MSPTasks[[#Headers],[ID]]))))))</f>
        <v/>
      </c>
      <c r="W50" s="130" t="str">
        <f aca="false">IF(IFERROR(INDEX(tsk_Name,(ROW()-ROW(MSPTasks[[#Headers],[ID]])))="",TRUE()),"",IF(N(INDEX(tsk_Deadline,(ROW()-ROW(MSPTasks[[#Headers],[ID]]))))=0,"",INDEX(tsk_Deadline,(ROW()-ROW(MSPTasks[[#Headers],[ID]])))))</f>
        <v/>
      </c>
      <c r="X50" s="24" t="str">
        <f aca="false">IF(IFERROR(INDEX(tsk_Name,(ROW()-ROW(MSPTasks[[#Headers],[ID]])))="",TRUE()),"",IF(INDEX(tsk_IsSummary,(ROW()-ROW(MSPTasks[[#Headers],[ID]]))),"",INDEX(tsk_Sprint,(ROW()-ROW(MSPTasks[[#Headers],[ID]])))&amp;""))</f>
        <v/>
      </c>
      <c r="Y50" s="24" t="str">
        <f aca="false">IF(IFERROR(INDEX(tsk_Name,(ROW()-ROW(MSPTasks[[#Headers],[ID]])))="",TRUE()),"",IF(INDEX(tsk_IsSummary,(ROW()-ROW(MSPTasks[[#Headers],[ID]]))),"",IF(N(INDEX(tsk_StoryPoints,(ROW()-ROW(MSPTasks[[#Headers],[ID]]))))=0,"",INDEX(tsk_StoryPoints,(ROW()-ROW(MSPTasks[[#Headers],[ID]]))))))</f>
        <v/>
      </c>
      <c r="Z50" s="24" t="str">
        <f aca="false">IF(IFERROR(INDEX(tsk_Name,(ROW()-ROW(MSPTasks[[#Headers],[ID]])))="",TRUE()),"",INDEX(tsk_Notes,(ROW()-ROW(MSPTasks[[#Headers],[ID]])))&amp;"")</f>
        <v/>
      </c>
    </row>
    <row r="51" customFormat="false" ht="15" hidden="false" customHeight="false" outlineLevel="0" collapsed="false">
      <c r="A51" s="24" t="str">
        <f aca="false">IF(IFERROR(INDEX(tsk_Name,(ROW()-ROW(MSPTasks[[#Headers],[ID]])))="",TRUE()),"",INDEX(tsk_ID,(ROW()-ROW(MSPTasks[[#Headers],[ID]]))))</f>
        <v/>
      </c>
      <c r="B51" s="24" t="str">
        <f aca="false">IF(IFERROR(INDEX(tsk_Name,(ROW()-ROW(MSPTasks[[#Headers],[ID]])))="",TRUE()),"",INDEX(tsk_UID,(ROW()-ROW(MSPTasks[[#Headers],[ID]]))))</f>
        <v/>
      </c>
      <c r="C51" s="24" t="str">
        <f aca="false">IF(IFERROR(INDEX(tsk_Name,(ROW()-ROW(MSPTasks[[#Headers],[ID]])))="",TRUE()),"",INDEX(tsk_Name,(ROW()-ROW(MSPTasks[[#Headers],[ID]]))))</f>
        <v/>
      </c>
      <c r="D51" s="24" t="str">
        <f aca="false">IF(IFERROR(INDEX(tsk_Name,(ROW()-ROW(MSPTasks[[#Headers],[ID]])))="",TRUE()),"",INDEX(tsk_Level,(ROW()-ROW(MSPTasks[[#Headers],[ID]]))))</f>
        <v/>
      </c>
      <c r="E51" s="24" t="str">
        <f aca="false">IF(IFERROR(INDEX(tsk_Name,(ROW()-ROW(MSPTasks[[#Headers],[ID]])))="",TRUE()),"",IF(INDEX(tsk_Mode,(ROW()-ROW(MSPTasks[[#Headers],[ID]])))="Manual","Manually Scheduled","Auto Scheduled"))</f>
        <v/>
      </c>
      <c r="F51" s="24" t="str">
        <f aca="false">IF(IFERROR(INDEX(tsk_Name,(ROW()-ROW(MSPTasks[[#Headers],[ID]])))="",TRUE()),"",IF(INDEX(tsk_IsSummary,(ROW()-ROW(MSPTasks[[#Headers],[ID]]))),"",N(INDEX(tsk_Duration,(ROW()-ROW(MSPTasks[[#Headers],[ID]]))))&amp;"d"))</f>
        <v/>
      </c>
      <c r="G51" s="130" t="str">
        <f aca="false">IF(IFERROR(INDEX(tsk_Name,(ROW()-ROW(MSPTasks[[#Headers],[ID]])))="",TRUE()),"",INDEX(tsk_FcStart,(ROW()-ROW(MSPTasks[[#Headers],[ID]]))))</f>
        <v/>
      </c>
      <c r="H51" s="130" t="str">
        <f aca="false">IF(IFERROR(INDEX(tsk_Name,(ROW()-ROW(MSPTasks[[#Headers],[ID]])))="",TRUE()),"",INDEX(tsk_FcFinish,(ROW()-ROW(MSPTasks[[#Headers],[ID]]))))</f>
        <v/>
      </c>
      <c r="I51" s="24" t="str">
        <f aca="false">IF(IFERROR(INDEX(tsk_Name,(ROW()-ROW(MSPTasks[[#Headers],[ID]])))="",TRUE()),"",IF(INDEX(tsk_IsSummary,(ROW()-ROW(MSPTasks[[#Headers],[ID]]))),"",INDEX(tsk_Predecessors,(ROW()-ROW(MSPTasks[[#Headers],[ID]])))))</f>
        <v/>
      </c>
      <c r="J51" s="24" t="str">
        <f aca="false">IF(IFERROR(INDEX(tsk_Name,(ROW()-ROW(MSPTasks[[#Headers],[ID]])))="",TRUE()),"",IF(INDEX(tsk_IsSummary,(ROW()-ROW(MSPTasks[[#Headers],[ID]]))),"",INDEX(tsk_UIDPredecessors,(ROW()-ROW(MSPTasks[[#Headers],[ID]])))))</f>
        <v/>
      </c>
      <c r="K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1" s="24" t="str">
        <f aca="false">IF(IFERROR(INDEX(tsk_Name,(ROW()-ROW(MSPTasks[[#Headers],[ID]])))="",TRUE()),"",IF(INDEX(tsk_IsSummary,(ROW()-ROW(MSPTasks[[#Headers],[ID]]))),"",ROUND(INDEX(tsk_Progress,(ROW()-ROW(MSPTasks[[#Headers],[ID]])))*100,0)))</f>
        <v/>
      </c>
      <c r="M51" s="130" t="str">
        <f aca="false">IF(IFERROR(INDEX(tsk_Name,(ROW()-ROW(MSPTasks[[#Headers],[ID]])))="",TRUE()),"",IF(N(INDEX(tsk_ActStart,(ROW()-ROW(MSPTasks[[#Headers],[ID]]))))=0,"",INDEX(tsk_ActStart,(ROW()-ROW(MSPTasks[[#Headers],[ID]])))))</f>
        <v/>
      </c>
      <c r="N51" s="130" t="str">
        <f aca="false">IF(IFERROR(INDEX(tsk_Name,(ROW()-ROW(MSPTasks[[#Headers],[ID]])))="",TRUE()),"",IF(N(INDEX(tsk_ActFinish,(ROW()-ROW(MSPTasks[[#Headers],[ID]]))))=0,"",INDEX(tsk_ActFinish,(ROW()-ROW(MSPTasks[[#Headers],[ID]])))))</f>
        <v/>
      </c>
      <c r="O51" s="130" t="str">
        <f aca="false">IF(IFERROR(INDEX(tsk_Name,(ROW()-ROW(MSPTasks[[#Headers],[ID]])))="",TRUE()),"",INDEX(tsk_PlanStart,(ROW()-ROW(MSPTasks[[#Headers],[ID]]))))</f>
        <v/>
      </c>
      <c r="P51" s="130" t="str">
        <f aca="false">IF(IFERROR(INDEX(tsk_Name,(ROW()-ROW(MSPTasks[[#Headers],[ID]])))="",TRUE()),"",INDEX(tsk_PlanFinish,(ROW()-ROW(MSPTasks[[#Headers],[ID]]))))</f>
        <v/>
      </c>
      <c r="Q51" s="24" t="str">
        <f aca="false">IF(IFERROR(INDEX(tsk_Name,(ROW()-ROW(MSPTasks[[#Headers],[ID]])))="",TRUE()),"",IF(INDEX(tsk_BaseDuration,(ROW()-ROW(MSPTasks[[#Headers],[ID]])))="","",N(INDEX(tsk_BaseDuration,(ROW()-ROW(MSPTasks[[#Headers],[ID]]))))&amp;"d"))</f>
        <v/>
      </c>
      <c r="R51" s="24" t="str">
        <f aca="false">IF(IFERROR(INDEX(tsk_Name,(ROW()-ROW(MSPTasks[[#Headers],[ID]])))="",TRUE()),"",IF(INDEX(tsk_BaseWork,(ROW()-ROW(MSPTasks[[#Headers],[ID]])))="","",N(INDEX(tsk_BaseWork,(ROW()-ROW(MSPTasks[[#Headers],[ID]]))))&amp;"h"))</f>
        <v/>
      </c>
      <c r="S51" s="24" t="str">
        <f aca="false">IF(IFERROR(INDEX(tsk_Name,(ROW()-ROW(MSPTasks[[#Headers],[ID]])))="",TRUE()),"",IF(INDEX(tsk_BaseCost,(ROW()-ROW(MSPTasks[[#Headers],[ID]])))="","",N(INDEX(tsk_BaseCost,(ROW()-ROW(MSPTasks[[#Headers],[ID]]))))))</f>
        <v/>
      </c>
      <c r="T51" s="24" t="str">
        <f aca="false">IF(IFERROR(INDEX(tsk_Name,(ROW()-ROW(MSPTasks[[#Headers],[ID]])))="",TRUE()),"",IF(INDEX(tsk_IsSummary,(ROW()-ROW(MSPTasks[[#Headers],[ID]]))),"",IF(N(INDEX(tsk_ActCostInput,(ROW()-ROW(MSPTasks[[#Headers],[ID]]))))=0,"",INDEX(tsk_ActCostInput,(ROW()-ROW(MSPTasks[[#Headers],[ID]]))))))</f>
        <v/>
      </c>
      <c r="U51" s="24" t="str">
        <f aca="false">IF(IFERROR(INDEX(tsk_Name,(ROW()-ROW(MSPTasks[[#Headers],[ID]])))="",TRUE()),"",IF(INDEX(tsk_IsSummary,(ROW()-ROW(MSPTasks[[#Headers],[ID]]))),"",IF(AND(INDEX(tsk_Mode,(ROW()-ROW(MSPTasks[[#Headers],[ID]])))&lt;&gt;"Manual",N(INDEX(tsk_Constraint,(ROW()-ROW(MSPTasks[[#Headers],[ID]]))))&gt;0),"Start No Earlier Than","As Soon As Possible")))</f>
        <v/>
      </c>
      <c r="V51" s="130" t="str">
        <f aca="false">IF(IFERROR(INDEX(tsk_Name,(ROW()-ROW(MSPTasks[[#Headers],[ID]])))="",TRUE()),"",IF(OR(INDEX(tsk_IsSummary,(ROW()-ROW(MSPTasks[[#Headers],[ID]]))),INDEX(tsk_Mode,(ROW()-ROW(MSPTasks[[#Headers],[ID]])))="Manual"),"",IF(N(INDEX(tsk_Constraint,(ROW()-ROW(MSPTasks[[#Headers],[ID]]))))=0,"",INDEX(tsk_Constraint,(ROW()-ROW(MSPTasks[[#Headers],[ID]]))))))</f>
        <v/>
      </c>
      <c r="W51" s="130" t="str">
        <f aca="false">IF(IFERROR(INDEX(tsk_Name,(ROW()-ROW(MSPTasks[[#Headers],[ID]])))="",TRUE()),"",IF(N(INDEX(tsk_Deadline,(ROW()-ROW(MSPTasks[[#Headers],[ID]]))))=0,"",INDEX(tsk_Deadline,(ROW()-ROW(MSPTasks[[#Headers],[ID]])))))</f>
        <v/>
      </c>
      <c r="X51" s="24" t="str">
        <f aca="false">IF(IFERROR(INDEX(tsk_Name,(ROW()-ROW(MSPTasks[[#Headers],[ID]])))="",TRUE()),"",IF(INDEX(tsk_IsSummary,(ROW()-ROW(MSPTasks[[#Headers],[ID]]))),"",INDEX(tsk_Sprint,(ROW()-ROW(MSPTasks[[#Headers],[ID]])))&amp;""))</f>
        <v/>
      </c>
      <c r="Y51" s="24" t="str">
        <f aca="false">IF(IFERROR(INDEX(tsk_Name,(ROW()-ROW(MSPTasks[[#Headers],[ID]])))="",TRUE()),"",IF(INDEX(tsk_IsSummary,(ROW()-ROW(MSPTasks[[#Headers],[ID]]))),"",IF(N(INDEX(tsk_StoryPoints,(ROW()-ROW(MSPTasks[[#Headers],[ID]]))))=0,"",INDEX(tsk_StoryPoints,(ROW()-ROW(MSPTasks[[#Headers],[ID]]))))))</f>
        <v/>
      </c>
      <c r="Z51" s="24" t="str">
        <f aca="false">IF(IFERROR(INDEX(tsk_Name,(ROW()-ROW(MSPTasks[[#Headers],[ID]])))="",TRUE()),"",INDEX(tsk_Notes,(ROW()-ROW(MSPTasks[[#Headers],[ID]])))&amp;"")</f>
        <v/>
      </c>
    </row>
    <row r="52" customFormat="false" ht="15" hidden="false" customHeight="false" outlineLevel="0" collapsed="false">
      <c r="A52" s="24" t="str">
        <f aca="false">IF(IFERROR(INDEX(tsk_Name,(ROW()-ROW(MSPTasks[[#Headers],[ID]])))="",TRUE()),"",INDEX(tsk_ID,(ROW()-ROW(MSPTasks[[#Headers],[ID]]))))</f>
        <v/>
      </c>
      <c r="B52" s="24" t="str">
        <f aca="false">IF(IFERROR(INDEX(tsk_Name,(ROW()-ROW(MSPTasks[[#Headers],[ID]])))="",TRUE()),"",INDEX(tsk_UID,(ROW()-ROW(MSPTasks[[#Headers],[ID]]))))</f>
        <v/>
      </c>
      <c r="C52" s="24" t="str">
        <f aca="false">IF(IFERROR(INDEX(tsk_Name,(ROW()-ROW(MSPTasks[[#Headers],[ID]])))="",TRUE()),"",INDEX(tsk_Name,(ROW()-ROW(MSPTasks[[#Headers],[ID]]))))</f>
        <v/>
      </c>
      <c r="D52" s="24" t="str">
        <f aca="false">IF(IFERROR(INDEX(tsk_Name,(ROW()-ROW(MSPTasks[[#Headers],[ID]])))="",TRUE()),"",INDEX(tsk_Level,(ROW()-ROW(MSPTasks[[#Headers],[ID]]))))</f>
        <v/>
      </c>
      <c r="E52" s="24" t="str">
        <f aca="false">IF(IFERROR(INDEX(tsk_Name,(ROW()-ROW(MSPTasks[[#Headers],[ID]])))="",TRUE()),"",IF(INDEX(tsk_Mode,(ROW()-ROW(MSPTasks[[#Headers],[ID]])))="Manual","Manually Scheduled","Auto Scheduled"))</f>
        <v/>
      </c>
      <c r="F52" s="24" t="str">
        <f aca="false">IF(IFERROR(INDEX(tsk_Name,(ROW()-ROW(MSPTasks[[#Headers],[ID]])))="",TRUE()),"",IF(INDEX(tsk_IsSummary,(ROW()-ROW(MSPTasks[[#Headers],[ID]]))),"",N(INDEX(tsk_Duration,(ROW()-ROW(MSPTasks[[#Headers],[ID]]))))&amp;"d"))</f>
        <v/>
      </c>
      <c r="G52" s="130" t="str">
        <f aca="false">IF(IFERROR(INDEX(tsk_Name,(ROW()-ROW(MSPTasks[[#Headers],[ID]])))="",TRUE()),"",INDEX(tsk_FcStart,(ROW()-ROW(MSPTasks[[#Headers],[ID]]))))</f>
        <v/>
      </c>
      <c r="H52" s="130" t="str">
        <f aca="false">IF(IFERROR(INDEX(tsk_Name,(ROW()-ROW(MSPTasks[[#Headers],[ID]])))="",TRUE()),"",INDEX(tsk_FcFinish,(ROW()-ROW(MSPTasks[[#Headers],[ID]]))))</f>
        <v/>
      </c>
      <c r="I52" s="24" t="str">
        <f aca="false">IF(IFERROR(INDEX(tsk_Name,(ROW()-ROW(MSPTasks[[#Headers],[ID]])))="",TRUE()),"",IF(INDEX(tsk_IsSummary,(ROW()-ROW(MSPTasks[[#Headers],[ID]]))),"",INDEX(tsk_Predecessors,(ROW()-ROW(MSPTasks[[#Headers],[ID]])))))</f>
        <v/>
      </c>
      <c r="J52" s="24" t="str">
        <f aca="false">IF(IFERROR(INDEX(tsk_Name,(ROW()-ROW(MSPTasks[[#Headers],[ID]])))="",TRUE()),"",IF(INDEX(tsk_IsSummary,(ROW()-ROW(MSPTasks[[#Headers],[ID]]))),"",INDEX(tsk_UIDPredecessors,(ROW()-ROW(MSPTasks[[#Headers],[ID]])))))</f>
        <v/>
      </c>
      <c r="K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2" s="24" t="str">
        <f aca="false">IF(IFERROR(INDEX(tsk_Name,(ROW()-ROW(MSPTasks[[#Headers],[ID]])))="",TRUE()),"",IF(INDEX(tsk_IsSummary,(ROW()-ROW(MSPTasks[[#Headers],[ID]]))),"",ROUND(INDEX(tsk_Progress,(ROW()-ROW(MSPTasks[[#Headers],[ID]])))*100,0)))</f>
        <v/>
      </c>
      <c r="M52" s="130" t="str">
        <f aca="false">IF(IFERROR(INDEX(tsk_Name,(ROW()-ROW(MSPTasks[[#Headers],[ID]])))="",TRUE()),"",IF(N(INDEX(tsk_ActStart,(ROW()-ROW(MSPTasks[[#Headers],[ID]]))))=0,"",INDEX(tsk_ActStart,(ROW()-ROW(MSPTasks[[#Headers],[ID]])))))</f>
        <v/>
      </c>
      <c r="N52" s="130" t="str">
        <f aca="false">IF(IFERROR(INDEX(tsk_Name,(ROW()-ROW(MSPTasks[[#Headers],[ID]])))="",TRUE()),"",IF(N(INDEX(tsk_ActFinish,(ROW()-ROW(MSPTasks[[#Headers],[ID]]))))=0,"",INDEX(tsk_ActFinish,(ROW()-ROW(MSPTasks[[#Headers],[ID]])))))</f>
        <v/>
      </c>
      <c r="O52" s="130" t="str">
        <f aca="false">IF(IFERROR(INDEX(tsk_Name,(ROW()-ROW(MSPTasks[[#Headers],[ID]])))="",TRUE()),"",INDEX(tsk_PlanStart,(ROW()-ROW(MSPTasks[[#Headers],[ID]]))))</f>
        <v/>
      </c>
      <c r="P52" s="130" t="str">
        <f aca="false">IF(IFERROR(INDEX(tsk_Name,(ROW()-ROW(MSPTasks[[#Headers],[ID]])))="",TRUE()),"",INDEX(tsk_PlanFinish,(ROW()-ROW(MSPTasks[[#Headers],[ID]]))))</f>
        <v/>
      </c>
      <c r="Q52" s="24" t="str">
        <f aca="false">IF(IFERROR(INDEX(tsk_Name,(ROW()-ROW(MSPTasks[[#Headers],[ID]])))="",TRUE()),"",IF(INDEX(tsk_BaseDuration,(ROW()-ROW(MSPTasks[[#Headers],[ID]])))="","",N(INDEX(tsk_BaseDuration,(ROW()-ROW(MSPTasks[[#Headers],[ID]]))))&amp;"d"))</f>
        <v/>
      </c>
      <c r="R52" s="24" t="str">
        <f aca="false">IF(IFERROR(INDEX(tsk_Name,(ROW()-ROW(MSPTasks[[#Headers],[ID]])))="",TRUE()),"",IF(INDEX(tsk_BaseWork,(ROW()-ROW(MSPTasks[[#Headers],[ID]])))="","",N(INDEX(tsk_BaseWork,(ROW()-ROW(MSPTasks[[#Headers],[ID]]))))&amp;"h"))</f>
        <v/>
      </c>
      <c r="S52" s="24" t="str">
        <f aca="false">IF(IFERROR(INDEX(tsk_Name,(ROW()-ROW(MSPTasks[[#Headers],[ID]])))="",TRUE()),"",IF(INDEX(tsk_BaseCost,(ROW()-ROW(MSPTasks[[#Headers],[ID]])))="","",N(INDEX(tsk_BaseCost,(ROW()-ROW(MSPTasks[[#Headers],[ID]]))))))</f>
        <v/>
      </c>
      <c r="T52" s="24" t="str">
        <f aca="false">IF(IFERROR(INDEX(tsk_Name,(ROW()-ROW(MSPTasks[[#Headers],[ID]])))="",TRUE()),"",IF(INDEX(tsk_IsSummary,(ROW()-ROW(MSPTasks[[#Headers],[ID]]))),"",IF(N(INDEX(tsk_ActCostInput,(ROW()-ROW(MSPTasks[[#Headers],[ID]]))))=0,"",INDEX(tsk_ActCostInput,(ROW()-ROW(MSPTasks[[#Headers],[ID]]))))))</f>
        <v/>
      </c>
      <c r="U52" s="24" t="str">
        <f aca="false">IF(IFERROR(INDEX(tsk_Name,(ROW()-ROW(MSPTasks[[#Headers],[ID]])))="",TRUE()),"",IF(INDEX(tsk_IsSummary,(ROW()-ROW(MSPTasks[[#Headers],[ID]]))),"",IF(AND(INDEX(tsk_Mode,(ROW()-ROW(MSPTasks[[#Headers],[ID]])))&lt;&gt;"Manual",N(INDEX(tsk_Constraint,(ROW()-ROW(MSPTasks[[#Headers],[ID]]))))&gt;0),"Start No Earlier Than","As Soon As Possible")))</f>
        <v/>
      </c>
      <c r="V52" s="130" t="str">
        <f aca="false">IF(IFERROR(INDEX(tsk_Name,(ROW()-ROW(MSPTasks[[#Headers],[ID]])))="",TRUE()),"",IF(OR(INDEX(tsk_IsSummary,(ROW()-ROW(MSPTasks[[#Headers],[ID]]))),INDEX(tsk_Mode,(ROW()-ROW(MSPTasks[[#Headers],[ID]])))="Manual"),"",IF(N(INDEX(tsk_Constraint,(ROW()-ROW(MSPTasks[[#Headers],[ID]]))))=0,"",INDEX(tsk_Constraint,(ROW()-ROW(MSPTasks[[#Headers],[ID]]))))))</f>
        <v/>
      </c>
      <c r="W52" s="130" t="str">
        <f aca="false">IF(IFERROR(INDEX(tsk_Name,(ROW()-ROW(MSPTasks[[#Headers],[ID]])))="",TRUE()),"",IF(N(INDEX(tsk_Deadline,(ROW()-ROW(MSPTasks[[#Headers],[ID]]))))=0,"",INDEX(tsk_Deadline,(ROW()-ROW(MSPTasks[[#Headers],[ID]])))))</f>
        <v/>
      </c>
      <c r="X52" s="24" t="str">
        <f aca="false">IF(IFERROR(INDEX(tsk_Name,(ROW()-ROW(MSPTasks[[#Headers],[ID]])))="",TRUE()),"",IF(INDEX(tsk_IsSummary,(ROW()-ROW(MSPTasks[[#Headers],[ID]]))),"",INDEX(tsk_Sprint,(ROW()-ROW(MSPTasks[[#Headers],[ID]])))&amp;""))</f>
        <v/>
      </c>
      <c r="Y52" s="24" t="str">
        <f aca="false">IF(IFERROR(INDEX(tsk_Name,(ROW()-ROW(MSPTasks[[#Headers],[ID]])))="",TRUE()),"",IF(INDEX(tsk_IsSummary,(ROW()-ROW(MSPTasks[[#Headers],[ID]]))),"",IF(N(INDEX(tsk_StoryPoints,(ROW()-ROW(MSPTasks[[#Headers],[ID]]))))=0,"",INDEX(tsk_StoryPoints,(ROW()-ROW(MSPTasks[[#Headers],[ID]]))))))</f>
        <v/>
      </c>
      <c r="Z52" s="24" t="str">
        <f aca="false">IF(IFERROR(INDEX(tsk_Name,(ROW()-ROW(MSPTasks[[#Headers],[ID]])))="",TRUE()),"",INDEX(tsk_Notes,(ROW()-ROW(MSPTasks[[#Headers],[ID]])))&amp;"")</f>
        <v/>
      </c>
    </row>
    <row r="53" customFormat="false" ht="15" hidden="false" customHeight="false" outlineLevel="0" collapsed="false">
      <c r="A53" s="24" t="str">
        <f aca="false">IF(IFERROR(INDEX(tsk_Name,(ROW()-ROW(MSPTasks[[#Headers],[ID]])))="",TRUE()),"",INDEX(tsk_ID,(ROW()-ROW(MSPTasks[[#Headers],[ID]]))))</f>
        <v/>
      </c>
      <c r="B53" s="24" t="str">
        <f aca="false">IF(IFERROR(INDEX(tsk_Name,(ROW()-ROW(MSPTasks[[#Headers],[ID]])))="",TRUE()),"",INDEX(tsk_UID,(ROW()-ROW(MSPTasks[[#Headers],[ID]]))))</f>
        <v/>
      </c>
      <c r="C53" s="24" t="str">
        <f aca="false">IF(IFERROR(INDEX(tsk_Name,(ROW()-ROW(MSPTasks[[#Headers],[ID]])))="",TRUE()),"",INDEX(tsk_Name,(ROW()-ROW(MSPTasks[[#Headers],[ID]]))))</f>
        <v/>
      </c>
      <c r="D53" s="24" t="str">
        <f aca="false">IF(IFERROR(INDEX(tsk_Name,(ROW()-ROW(MSPTasks[[#Headers],[ID]])))="",TRUE()),"",INDEX(tsk_Level,(ROW()-ROW(MSPTasks[[#Headers],[ID]]))))</f>
        <v/>
      </c>
      <c r="E53" s="24" t="str">
        <f aca="false">IF(IFERROR(INDEX(tsk_Name,(ROW()-ROW(MSPTasks[[#Headers],[ID]])))="",TRUE()),"",IF(INDEX(tsk_Mode,(ROW()-ROW(MSPTasks[[#Headers],[ID]])))="Manual","Manually Scheduled","Auto Scheduled"))</f>
        <v/>
      </c>
      <c r="F53" s="24" t="str">
        <f aca="false">IF(IFERROR(INDEX(tsk_Name,(ROW()-ROW(MSPTasks[[#Headers],[ID]])))="",TRUE()),"",IF(INDEX(tsk_IsSummary,(ROW()-ROW(MSPTasks[[#Headers],[ID]]))),"",N(INDEX(tsk_Duration,(ROW()-ROW(MSPTasks[[#Headers],[ID]]))))&amp;"d"))</f>
        <v/>
      </c>
      <c r="G53" s="130" t="str">
        <f aca="false">IF(IFERROR(INDEX(tsk_Name,(ROW()-ROW(MSPTasks[[#Headers],[ID]])))="",TRUE()),"",INDEX(tsk_FcStart,(ROW()-ROW(MSPTasks[[#Headers],[ID]]))))</f>
        <v/>
      </c>
      <c r="H53" s="130" t="str">
        <f aca="false">IF(IFERROR(INDEX(tsk_Name,(ROW()-ROW(MSPTasks[[#Headers],[ID]])))="",TRUE()),"",INDEX(tsk_FcFinish,(ROW()-ROW(MSPTasks[[#Headers],[ID]]))))</f>
        <v/>
      </c>
      <c r="I53" s="24" t="str">
        <f aca="false">IF(IFERROR(INDEX(tsk_Name,(ROW()-ROW(MSPTasks[[#Headers],[ID]])))="",TRUE()),"",IF(INDEX(tsk_IsSummary,(ROW()-ROW(MSPTasks[[#Headers],[ID]]))),"",INDEX(tsk_Predecessors,(ROW()-ROW(MSPTasks[[#Headers],[ID]])))))</f>
        <v/>
      </c>
      <c r="J53" s="24" t="str">
        <f aca="false">IF(IFERROR(INDEX(tsk_Name,(ROW()-ROW(MSPTasks[[#Headers],[ID]])))="",TRUE()),"",IF(INDEX(tsk_IsSummary,(ROW()-ROW(MSPTasks[[#Headers],[ID]]))),"",INDEX(tsk_UIDPredecessors,(ROW()-ROW(MSPTasks[[#Headers],[ID]])))))</f>
        <v/>
      </c>
      <c r="K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3" s="24" t="str">
        <f aca="false">IF(IFERROR(INDEX(tsk_Name,(ROW()-ROW(MSPTasks[[#Headers],[ID]])))="",TRUE()),"",IF(INDEX(tsk_IsSummary,(ROW()-ROW(MSPTasks[[#Headers],[ID]]))),"",ROUND(INDEX(tsk_Progress,(ROW()-ROW(MSPTasks[[#Headers],[ID]])))*100,0)))</f>
        <v/>
      </c>
      <c r="M53" s="130" t="str">
        <f aca="false">IF(IFERROR(INDEX(tsk_Name,(ROW()-ROW(MSPTasks[[#Headers],[ID]])))="",TRUE()),"",IF(N(INDEX(tsk_ActStart,(ROW()-ROW(MSPTasks[[#Headers],[ID]]))))=0,"",INDEX(tsk_ActStart,(ROW()-ROW(MSPTasks[[#Headers],[ID]])))))</f>
        <v/>
      </c>
      <c r="N53" s="130" t="str">
        <f aca="false">IF(IFERROR(INDEX(tsk_Name,(ROW()-ROW(MSPTasks[[#Headers],[ID]])))="",TRUE()),"",IF(N(INDEX(tsk_ActFinish,(ROW()-ROW(MSPTasks[[#Headers],[ID]]))))=0,"",INDEX(tsk_ActFinish,(ROW()-ROW(MSPTasks[[#Headers],[ID]])))))</f>
        <v/>
      </c>
      <c r="O53" s="130" t="str">
        <f aca="false">IF(IFERROR(INDEX(tsk_Name,(ROW()-ROW(MSPTasks[[#Headers],[ID]])))="",TRUE()),"",INDEX(tsk_PlanStart,(ROW()-ROW(MSPTasks[[#Headers],[ID]]))))</f>
        <v/>
      </c>
      <c r="P53" s="130" t="str">
        <f aca="false">IF(IFERROR(INDEX(tsk_Name,(ROW()-ROW(MSPTasks[[#Headers],[ID]])))="",TRUE()),"",INDEX(tsk_PlanFinish,(ROW()-ROW(MSPTasks[[#Headers],[ID]]))))</f>
        <v/>
      </c>
      <c r="Q53" s="24" t="str">
        <f aca="false">IF(IFERROR(INDEX(tsk_Name,(ROW()-ROW(MSPTasks[[#Headers],[ID]])))="",TRUE()),"",IF(INDEX(tsk_BaseDuration,(ROW()-ROW(MSPTasks[[#Headers],[ID]])))="","",N(INDEX(tsk_BaseDuration,(ROW()-ROW(MSPTasks[[#Headers],[ID]]))))&amp;"d"))</f>
        <v/>
      </c>
      <c r="R53" s="24" t="str">
        <f aca="false">IF(IFERROR(INDEX(tsk_Name,(ROW()-ROW(MSPTasks[[#Headers],[ID]])))="",TRUE()),"",IF(INDEX(tsk_BaseWork,(ROW()-ROW(MSPTasks[[#Headers],[ID]])))="","",N(INDEX(tsk_BaseWork,(ROW()-ROW(MSPTasks[[#Headers],[ID]]))))&amp;"h"))</f>
        <v/>
      </c>
      <c r="S53" s="24" t="str">
        <f aca="false">IF(IFERROR(INDEX(tsk_Name,(ROW()-ROW(MSPTasks[[#Headers],[ID]])))="",TRUE()),"",IF(INDEX(tsk_BaseCost,(ROW()-ROW(MSPTasks[[#Headers],[ID]])))="","",N(INDEX(tsk_BaseCost,(ROW()-ROW(MSPTasks[[#Headers],[ID]]))))))</f>
        <v/>
      </c>
      <c r="T53" s="24" t="str">
        <f aca="false">IF(IFERROR(INDEX(tsk_Name,(ROW()-ROW(MSPTasks[[#Headers],[ID]])))="",TRUE()),"",IF(INDEX(tsk_IsSummary,(ROW()-ROW(MSPTasks[[#Headers],[ID]]))),"",IF(N(INDEX(tsk_ActCostInput,(ROW()-ROW(MSPTasks[[#Headers],[ID]]))))=0,"",INDEX(tsk_ActCostInput,(ROW()-ROW(MSPTasks[[#Headers],[ID]]))))))</f>
        <v/>
      </c>
      <c r="U53" s="24" t="str">
        <f aca="false">IF(IFERROR(INDEX(tsk_Name,(ROW()-ROW(MSPTasks[[#Headers],[ID]])))="",TRUE()),"",IF(INDEX(tsk_IsSummary,(ROW()-ROW(MSPTasks[[#Headers],[ID]]))),"",IF(AND(INDEX(tsk_Mode,(ROW()-ROW(MSPTasks[[#Headers],[ID]])))&lt;&gt;"Manual",N(INDEX(tsk_Constraint,(ROW()-ROW(MSPTasks[[#Headers],[ID]]))))&gt;0),"Start No Earlier Than","As Soon As Possible")))</f>
        <v/>
      </c>
      <c r="V53" s="130" t="str">
        <f aca="false">IF(IFERROR(INDEX(tsk_Name,(ROW()-ROW(MSPTasks[[#Headers],[ID]])))="",TRUE()),"",IF(OR(INDEX(tsk_IsSummary,(ROW()-ROW(MSPTasks[[#Headers],[ID]]))),INDEX(tsk_Mode,(ROW()-ROW(MSPTasks[[#Headers],[ID]])))="Manual"),"",IF(N(INDEX(tsk_Constraint,(ROW()-ROW(MSPTasks[[#Headers],[ID]]))))=0,"",INDEX(tsk_Constraint,(ROW()-ROW(MSPTasks[[#Headers],[ID]]))))))</f>
        <v/>
      </c>
      <c r="W53" s="130" t="str">
        <f aca="false">IF(IFERROR(INDEX(tsk_Name,(ROW()-ROW(MSPTasks[[#Headers],[ID]])))="",TRUE()),"",IF(N(INDEX(tsk_Deadline,(ROW()-ROW(MSPTasks[[#Headers],[ID]]))))=0,"",INDEX(tsk_Deadline,(ROW()-ROW(MSPTasks[[#Headers],[ID]])))))</f>
        <v/>
      </c>
      <c r="X53" s="24" t="str">
        <f aca="false">IF(IFERROR(INDEX(tsk_Name,(ROW()-ROW(MSPTasks[[#Headers],[ID]])))="",TRUE()),"",IF(INDEX(tsk_IsSummary,(ROW()-ROW(MSPTasks[[#Headers],[ID]]))),"",INDEX(tsk_Sprint,(ROW()-ROW(MSPTasks[[#Headers],[ID]])))&amp;""))</f>
        <v/>
      </c>
      <c r="Y53" s="24" t="str">
        <f aca="false">IF(IFERROR(INDEX(tsk_Name,(ROW()-ROW(MSPTasks[[#Headers],[ID]])))="",TRUE()),"",IF(INDEX(tsk_IsSummary,(ROW()-ROW(MSPTasks[[#Headers],[ID]]))),"",IF(N(INDEX(tsk_StoryPoints,(ROW()-ROW(MSPTasks[[#Headers],[ID]]))))=0,"",INDEX(tsk_StoryPoints,(ROW()-ROW(MSPTasks[[#Headers],[ID]]))))))</f>
        <v/>
      </c>
      <c r="Z53" s="24" t="str">
        <f aca="false">IF(IFERROR(INDEX(tsk_Name,(ROW()-ROW(MSPTasks[[#Headers],[ID]])))="",TRUE()),"",INDEX(tsk_Notes,(ROW()-ROW(MSPTasks[[#Headers],[ID]])))&amp;"")</f>
        <v/>
      </c>
    </row>
    <row r="54" customFormat="false" ht="15" hidden="false" customHeight="false" outlineLevel="0" collapsed="false">
      <c r="A54" s="24" t="str">
        <f aca="false">IF(IFERROR(INDEX(tsk_Name,(ROW()-ROW(MSPTasks[[#Headers],[ID]])))="",TRUE()),"",INDEX(tsk_ID,(ROW()-ROW(MSPTasks[[#Headers],[ID]]))))</f>
        <v/>
      </c>
      <c r="B54" s="24" t="str">
        <f aca="false">IF(IFERROR(INDEX(tsk_Name,(ROW()-ROW(MSPTasks[[#Headers],[ID]])))="",TRUE()),"",INDEX(tsk_UID,(ROW()-ROW(MSPTasks[[#Headers],[ID]]))))</f>
        <v/>
      </c>
      <c r="C54" s="24" t="str">
        <f aca="false">IF(IFERROR(INDEX(tsk_Name,(ROW()-ROW(MSPTasks[[#Headers],[ID]])))="",TRUE()),"",INDEX(tsk_Name,(ROW()-ROW(MSPTasks[[#Headers],[ID]]))))</f>
        <v/>
      </c>
      <c r="D54" s="24" t="str">
        <f aca="false">IF(IFERROR(INDEX(tsk_Name,(ROW()-ROW(MSPTasks[[#Headers],[ID]])))="",TRUE()),"",INDEX(tsk_Level,(ROW()-ROW(MSPTasks[[#Headers],[ID]]))))</f>
        <v/>
      </c>
      <c r="E54" s="24" t="str">
        <f aca="false">IF(IFERROR(INDEX(tsk_Name,(ROW()-ROW(MSPTasks[[#Headers],[ID]])))="",TRUE()),"",IF(INDEX(tsk_Mode,(ROW()-ROW(MSPTasks[[#Headers],[ID]])))="Manual","Manually Scheduled","Auto Scheduled"))</f>
        <v/>
      </c>
      <c r="F54" s="24" t="str">
        <f aca="false">IF(IFERROR(INDEX(tsk_Name,(ROW()-ROW(MSPTasks[[#Headers],[ID]])))="",TRUE()),"",IF(INDEX(tsk_IsSummary,(ROW()-ROW(MSPTasks[[#Headers],[ID]]))),"",N(INDEX(tsk_Duration,(ROW()-ROW(MSPTasks[[#Headers],[ID]]))))&amp;"d"))</f>
        <v/>
      </c>
      <c r="G54" s="130" t="str">
        <f aca="false">IF(IFERROR(INDEX(tsk_Name,(ROW()-ROW(MSPTasks[[#Headers],[ID]])))="",TRUE()),"",INDEX(tsk_FcStart,(ROW()-ROW(MSPTasks[[#Headers],[ID]]))))</f>
        <v/>
      </c>
      <c r="H54" s="130" t="str">
        <f aca="false">IF(IFERROR(INDEX(tsk_Name,(ROW()-ROW(MSPTasks[[#Headers],[ID]])))="",TRUE()),"",INDEX(tsk_FcFinish,(ROW()-ROW(MSPTasks[[#Headers],[ID]]))))</f>
        <v/>
      </c>
      <c r="I54" s="24" t="str">
        <f aca="false">IF(IFERROR(INDEX(tsk_Name,(ROW()-ROW(MSPTasks[[#Headers],[ID]])))="",TRUE()),"",IF(INDEX(tsk_IsSummary,(ROW()-ROW(MSPTasks[[#Headers],[ID]]))),"",INDEX(tsk_Predecessors,(ROW()-ROW(MSPTasks[[#Headers],[ID]])))))</f>
        <v/>
      </c>
      <c r="J54" s="24" t="str">
        <f aca="false">IF(IFERROR(INDEX(tsk_Name,(ROW()-ROW(MSPTasks[[#Headers],[ID]])))="",TRUE()),"",IF(INDEX(tsk_IsSummary,(ROW()-ROW(MSPTasks[[#Headers],[ID]]))),"",INDEX(tsk_UIDPredecessors,(ROW()-ROW(MSPTasks[[#Headers],[ID]])))))</f>
        <v/>
      </c>
      <c r="K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4" s="24" t="str">
        <f aca="false">IF(IFERROR(INDEX(tsk_Name,(ROW()-ROW(MSPTasks[[#Headers],[ID]])))="",TRUE()),"",IF(INDEX(tsk_IsSummary,(ROW()-ROW(MSPTasks[[#Headers],[ID]]))),"",ROUND(INDEX(tsk_Progress,(ROW()-ROW(MSPTasks[[#Headers],[ID]])))*100,0)))</f>
        <v/>
      </c>
      <c r="M54" s="130" t="str">
        <f aca="false">IF(IFERROR(INDEX(tsk_Name,(ROW()-ROW(MSPTasks[[#Headers],[ID]])))="",TRUE()),"",IF(N(INDEX(tsk_ActStart,(ROW()-ROW(MSPTasks[[#Headers],[ID]]))))=0,"",INDEX(tsk_ActStart,(ROW()-ROW(MSPTasks[[#Headers],[ID]])))))</f>
        <v/>
      </c>
      <c r="N54" s="130" t="str">
        <f aca="false">IF(IFERROR(INDEX(tsk_Name,(ROW()-ROW(MSPTasks[[#Headers],[ID]])))="",TRUE()),"",IF(N(INDEX(tsk_ActFinish,(ROW()-ROW(MSPTasks[[#Headers],[ID]]))))=0,"",INDEX(tsk_ActFinish,(ROW()-ROW(MSPTasks[[#Headers],[ID]])))))</f>
        <v/>
      </c>
      <c r="O54" s="130" t="str">
        <f aca="false">IF(IFERROR(INDEX(tsk_Name,(ROW()-ROW(MSPTasks[[#Headers],[ID]])))="",TRUE()),"",INDEX(tsk_PlanStart,(ROW()-ROW(MSPTasks[[#Headers],[ID]]))))</f>
        <v/>
      </c>
      <c r="P54" s="130" t="str">
        <f aca="false">IF(IFERROR(INDEX(tsk_Name,(ROW()-ROW(MSPTasks[[#Headers],[ID]])))="",TRUE()),"",INDEX(tsk_PlanFinish,(ROW()-ROW(MSPTasks[[#Headers],[ID]]))))</f>
        <v/>
      </c>
      <c r="Q54" s="24" t="str">
        <f aca="false">IF(IFERROR(INDEX(tsk_Name,(ROW()-ROW(MSPTasks[[#Headers],[ID]])))="",TRUE()),"",IF(INDEX(tsk_BaseDuration,(ROW()-ROW(MSPTasks[[#Headers],[ID]])))="","",N(INDEX(tsk_BaseDuration,(ROW()-ROW(MSPTasks[[#Headers],[ID]]))))&amp;"d"))</f>
        <v/>
      </c>
      <c r="R54" s="24" t="str">
        <f aca="false">IF(IFERROR(INDEX(tsk_Name,(ROW()-ROW(MSPTasks[[#Headers],[ID]])))="",TRUE()),"",IF(INDEX(tsk_BaseWork,(ROW()-ROW(MSPTasks[[#Headers],[ID]])))="","",N(INDEX(tsk_BaseWork,(ROW()-ROW(MSPTasks[[#Headers],[ID]]))))&amp;"h"))</f>
        <v/>
      </c>
      <c r="S54" s="24" t="str">
        <f aca="false">IF(IFERROR(INDEX(tsk_Name,(ROW()-ROW(MSPTasks[[#Headers],[ID]])))="",TRUE()),"",IF(INDEX(tsk_BaseCost,(ROW()-ROW(MSPTasks[[#Headers],[ID]])))="","",N(INDEX(tsk_BaseCost,(ROW()-ROW(MSPTasks[[#Headers],[ID]]))))))</f>
        <v/>
      </c>
      <c r="T54" s="24" t="str">
        <f aca="false">IF(IFERROR(INDEX(tsk_Name,(ROW()-ROW(MSPTasks[[#Headers],[ID]])))="",TRUE()),"",IF(INDEX(tsk_IsSummary,(ROW()-ROW(MSPTasks[[#Headers],[ID]]))),"",IF(N(INDEX(tsk_ActCostInput,(ROW()-ROW(MSPTasks[[#Headers],[ID]]))))=0,"",INDEX(tsk_ActCostInput,(ROW()-ROW(MSPTasks[[#Headers],[ID]]))))))</f>
        <v/>
      </c>
      <c r="U54" s="24" t="str">
        <f aca="false">IF(IFERROR(INDEX(tsk_Name,(ROW()-ROW(MSPTasks[[#Headers],[ID]])))="",TRUE()),"",IF(INDEX(tsk_IsSummary,(ROW()-ROW(MSPTasks[[#Headers],[ID]]))),"",IF(AND(INDEX(tsk_Mode,(ROW()-ROW(MSPTasks[[#Headers],[ID]])))&lt;&gt;"Manual",N(INDEX(tsk_Constraint,(ROW()-ROW(MSPTasks[[#Headers],[ID]]))))&gt;0),"Start No Earlier Than","As Soon As Possible")))</f>
        <v/>
      </c>
      <c r="V54" s="130" t="str">
        <f aca="false">IF(IFERROR(INDEX(tsk_Name,(ROW()-ROW(MSPTasks[[#Headers],[ID]])))="",TRUE()),"",IF(OR(INDEX(tsk_IsSummary,(ROW()-ROW(MSPTasks[[#Headers],[ID]]))),INDEX(tsk_Mode,(ROW()-ROW(MSPTasks[[#Headers],[ID]])))="Manual"),"",IF(N(INDEX(tsk_Constraint,(ROW()-ROW(MSPTasks[[#Headers],[ID]]))))=0,"",INDEX(tsk_Constraint,(ROW()-ROW(MSPTasks[[#Headers],[ID]]))))))</f>
        <v/>
      </c>
      <c r="W54" s="130" t="str">
        <f aca="false">IF(IFERROR(INDEX(tsk_Name,(ROW()-ROW(MSPTasks[[#Headers],[ID]])))="",TRUE()),"",IF(N(INDEX(tsk_Deadline,(ROW()-ROW(MSPTasks[[#Headers],[ID]]))))=0,"",INDEX(tsk_Deadline,(ROW()-ROW(MSPTasks[[#Headers],[ID]])))))</f>
        <v/>
      </c>
      <c r="X54" s="24" t="str">
        <f aca="false">IF(IFERROR(INDEX(tsk_Name,(ROW()-ROW(MSPTasks[[#Headers],[ID]])))="",TRUE()),"",IF(INDEX(tsk_IsSummary,(ROW()-ROW(MSPTasks[[#Headers],[ID]]))),"",INDEX(tsk_Sprint,(ROW()-ROW(MSPTasks[[#Headers],[ID]])))&amp;""))</f>
        <v/>
      </c>
      <c r="Y54" s="24" t="str">
        <f aca="false">IF(IFERROR(INDEX(tsk_Name,(ROW()-ROW(MSPTasks[[#Headers],[ID]])))="",TRUE()),"",IF(INDEX(tsk_IsSummary,(ROW()-ROW(MSPTasks[[#Headers],[ID]]))),"",IF(N(INDEX(tsk_StoryPoints,(ROW()-ROW(MSPTasks[[#Headers],[ID]]))))=0,"",INDEX(tsk_StoryPoints,(ROW()-ROW(MSPTasks[[#Headers],[ID]]))))))</f>
        <v/>
      </c>
      <c r="Z54" s="24" t="str">
        <f aca="false">IF(IFERROR(INDEX(tsk_Name,(ROW()-ROW(MSPTasks[[#Headers],[ID]])))="",TRUE()),"",INDEX(tsk_Notes,(ROW()-ROW(MSPTasks[[#Headers],[ID]])))&amp;"")</f>
        <v/>
      </c>
    </row>
    <row r="55" customFormat="false" ht="15" hidden="false" customHeight="false" outlineLevel="0" collapsed="false">
      <c r="A55" s="24" t="str">
        <f aca="false">IF(IFERROR(INDEX(tsk_Name,(ROW()-ROW(MSPTasks[[#Headers],[ID]])))="",TRUE()),"",INDEX(tsk_ID,(ROW()-ROW(MSPTasks[[#Headers],[ID]]))))</f>
        <v/>
      </c>
      <c r="B55" s="24" t="str">
        <f aca="false">IF(IFERROR(INDEX(tsk_Name,(ROW()-ROW(MSPTasks[[#Headers],[ID]])))="",TRUE()),"",INDEX(tsk_UID,(ROW()-ROW(MSPTasks[[#Headers],[ID]]))))</f>
        <v/>
      </c>
      <c r="C55" s="24" t="str">
        <f aca="false">IF(IFERROR(INDEX(tsk_Name,(ROW()-ROW(MSPTasks[[#Headers],[ID]])))="",TRUE()),"",INDEX(tsk_Name,(ROW()-ROW(MSPTasks[[#Headers],[ID]]))))</f>
        <v/>
      </c>
      <c r="D55" s="24" t="str">
        <f aca="false">IF(IFERROR(INDEX(tsk_Name,(ROW()-ROW(MSPTasks[[#Headers],[ID]])))="",TRUE()),"",INDEX(tsk_Level,(ROW()-ROW(MSPTasks[[#Headers],[ID]]))))</f>
        <v/>
      </c>
      <c r="E55" s="24" t="str">
        <f aca="false">IF(IFERROR(INDEX(tsk_Name,(ROW()-ROW(MSPTasks[[#Headers],[ID]])))="",TRUE()),"",IF(INDEX(tsk_Mode,(ROW()-ROW(MSPTasks[[#Headers],[ID]])))="Manual","Manually Scheduled","Auto Scheduled"))</f>
        <v/>
      </c>
      <c r="F55" s="24" t="str">
        <f aca="false">IF(IFERROR(INDEX(tsk_Name,(ROW()-ROW(MSPTasks[[#Headers],[ID]])))="",TRUE()),"",IF(INDEX(tsk_IsSummary,(ROW()-ROW(MSPTasks[[#Headers],[ID]]))),"",N(INDEX(tsk_Duration,(ROW()-ROW(MSPTasks[[#Headers],[ID]]))))&amp;"d"))</f>
        <v/>
      </c>
      <c r="G55" s="130" t="str">
        <f aca="false">IF(IFERROR(INDEX(tsk_Name,(ROW()-ROW(MSPTasks[[#Headers],[ID]])))="",TRUE()),"",INDEX(tsk_FcStart,(ROW()-ROW(MSPTasks[[#Headers],[ID]]))))</f>
        <v/>
      </c>
      <c r="H55" s="130" t="str">
        <f aca="false">IF(IFERROR(INDEX(tsk_Name,(ROW()-ROW(MSPTasks[[#Headers],[ID]])))="",TRUE()),"",INDEX(tsk_FcFinish,(ROW()-ROW(MSPTasks[[#Headers],[ID]]))))</f>
        <v/>
      </c>
      <c r="I55" s="24" t="str">
        <f aca="false">IF(IFERROR(INDEX(tsk_Name,(ROW()-ROW(MSPTasks[[#Headers],[ID]])))="",TRUE()),"",IF(INDEX(tsk_IsSummary,(ROW()-ROW(MSPTasks[[#Headers],[ID]]))),"",INDEX(tsk_Predecessors,(ROW()-ROW(MSPTasks[[#Headers],[ID]])))))</f>
        <v/>
      </c>
      <c r="J55" s="24" t="str">
        <f aca="false">IF(IFERROR(INDEX(tsk_Name,(ROW()-ROW(MSPTasks[[#Headers],[ID]])))="",TRUE()),"",IF(INDEX(tsk_IsSummary,(ROW()-ROW(MSPTasks[[#Headers],[ID]]))),"",INDEX(tsk_UIDPredecessors,(ROW()-ROW(MSPTasks[[#Headers],[ID]])))))</f>
        <v/>
      </c>
      <c r="K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5" s="24" t="str">
        <f aca="false">IF(IFERROR(INDEX(tsk_Name,(ROW()-ROW(MSPTasks[[#Headers],[ID]])))="",TRUE()),"",IF(INDEX(tsk_IsSummary,(ROW()-ROW(MSPTasks[[#Headers],[ID]]))),"",ROUND(INDEX(tsk_Progress,(ROW()-ROW(MSPTasks[[#Headers],[ID]])))*100,0)))</f>
        <v/>
      </c>
      <c r="M55" s="130" t="str">
        <f aca="false">IF(IFERROR(INDEX(tsk_Name,(ROW()-ROW(MSPTasks[[#Headers],[ID]])))="",TRUE()),"",IF(N(INDEX(tsk_ActStart,(ROW()-ROW(MSPTasks[[#Headers],[ID]]))))=0,"",INDEX(tsk_ActStart,(ROW()-ROW(MSPTasks[[#Headers],[ID]])))))</f>
        <v/>
      </c>
      <c r="N55" s="130" t="str">
        <f aca="false">IF(IFERROR(INDEX(tsk_Name,(ROW()-ROW(MSPTasks[[#Headers],[ID]])))="",TRUE()),"",IF(N(INDEX(tsk_ActFinish,(ROW()-ROW(MSPTasks[[#Headers],[ID]]))))=0,"",INDEX(tsk_ActFinish,(ROW()-ROW(MSPTasks[[#Headers],[ID]])))))</f>
        <v/>
      </c>
      <c r="O55" s="130" t="str">
        <f aca="false">IF(IFERROR(INDEX(tsk_Name,(ROW()-ROW(MSPTasks[[#Headers],[ID]])))="",TRUE()),"",INDEX(tsk_PlanStart,(ROW()-ROW(MSPTasks[[#Headers],[ID]]))))</f>
        <v/>
      </c>
      <c r="P55" s="130" t="str">
        <f aca="false">IF(IFERROR(INDEX(tsk_Name,(ROW()-ROW(MSPTasks[[#Headers],[ID]])))="",TRUE()),"",INDEX(tsk_PlanFinish,(ROW()-ROW(MSPTasks[[#Headers],[ID]]))))</f>
        <v/>
      </c>
      <c r="Q55" s="24" t="str">
        <f aca="false">IF(IFERROR(INDEX(tsk_Name,(ROW()-ROW(MSPTasks[[#Headers],[ID]])))="",TRUE()),"",IF(INDEX(tsk_BaseDuration,(ROW()-ROW(MSPTasks[[#Headers],[ID]])))="","",N(INDEX(tsk_BaseDuration,(ROW()-ROW(MSPTasks[[#Headers],[ID]]))))&amp;"d"))</f>
        <v/>
      </c>
      <c r="R55" s="24" t="str">
        <f aca="false">IF(IFERROR(INDEX(tsk_Name,(ROW()-ROW(MSPTasks[[#Headers],[ID]])))="",TRUE()),"",IF(INDEX(tsk_BaseWork,(ROW()-ROW(MSPTasks[[#Headers],[ID]])))="","",N(INDEX(tsk_BaseWork,(ROW()-ROW(MSPTasks[[#Headers],[ID]]))))&amp;"h"))</f>
        <v/>
      </c>
      <c r="S55" s="24" t="str">
        <f aca="false">IF(IFERROR(INDEX(tsk_Name,(ROW()-ROW(MSPTasks[[#Headers],[ID]])))="",TRUE()),"",IF(INDEX(tsk_BaseCost,(ROW()-ROW(MSPTasks[[#Headers],[ID]])))="","",N(INDEX(tsk_BaseCost,(ROW()-ROW(MSPTasks[[#Headers],[ID]]))))))</f>
        <v/>
      </c>
      <c r="T55" s="24" t="str">
        <f aca="false">IF(IFERROR(INDEX(tsk_Name,(ROW()-ROW(MSPTasks[[#Headers],[ID]])))="",TRUE()),"",IF(INDEX(tsk_IsSummary,(ROW()-ROW(MSPTasks[[#Headers],[ID]]))),"",IF(N(INDEX(tsk_ActCostInput,(ROW()-ROW(MSPTasks[[#Headers],[ID]]))))=0,"",INDEX(tsk_ActCostInput,(ROW()-ROW(MSPTasks[[#Headers],[ID]]))))))</f>
        <v/>
      </c>
      <c r="U55" s="24" t="str">
        <f aca="false">IF(IFERROR(INDEX(tsk_Name,(ROW()-ROW(MSPTasks[[#Headers],[ID]])))="",TRUE()),"",IF(INDEX(tsk_IsSummary,(ROW()-ROW(MSPTasks[[#Headers],[ID]]))),"",IF(AND(INDEX(tsk_Mode,(ROW()-ROW(MSPTasks[[#Headers],[ID]])))&lt;&gt;"Manual",N(INDEX(tsk_Constraint,(ROW()-ROW(MSPTasks[[#Headers],[ID]]))))&gt;0),"Start No Earlier Than","As Soon As Possible")))</f>
        <v/>
      </c>
      <c r="V55" s="130" t="str">
        <f aca="false">IF(IFERROR(INDEX(tsk_Name,(ROW()-ROW(MSPTasks[[#Headers],[ID]])))="",TRUE()),"",IF(OR(INDEX(tsk_IsSummary,(ROW()-ROW(MSPTasks[[#Headers],[ID]]))),INDEX(tsk_Mode,(ROW()-ROW(MSPTasks[[#Headers],[ID]])))="Manual"),"",IF(N(INDEX(tsk_Constraint,(ROW()-ROW(MSPTasks[[#Headers],[ID]]))))=0,"",INDEX(tsk_Constraint,(ROW()-ROW(MSPTasks[[#Headers],[ID]]))))))</f>
        <v/>
      </c>
      <c r="W55" s="130" t="str">
        <f aca="false">IF(IFERROR(INDEX(tsk_Name,(ROW()-ROW(MSPTasks[[#Headers],[ID]])))="",TRUE()),"",IF(N(INDEX(tsk_Deadline,(ROW()-ROW(MSPTasks[[#Headers],[ID]]))))=0,"",INDEX(tsk_Deadline,(ROW()-ROW(MSPTasks[[#Headers],[ID]])))))</f>
        <v/>
      </c>
      <c r="X55" s="24" t="str">
        <f aca="false">IF(IFERROR(INDEX(tsk_Name,(ROW()-ROW(MSPTasks[[#Headers],[ID]])))="",TRUE()),"",IF(INDEX(tsk_IsSummary,(ROW()-ROW(MSPTasks[[#Headers],[ID]]))),"",INDEX(tsk_Sprint,(ROW()-ROW(MSPTasks[[#Headers],[ID]])))&amp;""))</f>
        <v/>
      </c>
      <c r="Y55" s="24" t="str">
        <f aca="false">IF(IFERROR(INDEX(tsk_Name,(ROW()-ROW(MSPTasks[[#Headers],[ID]])))="",TRUE()),"",IF(INDEX(tsk_IsSummary,(ROW()-ROW(MSPTasks[[#Headers],[ID]]))),"",IF(N(INDEX(tsk_StoryPoints,(ROW()-ROW(MSPTasks[[#Headers],[ID]]))))=0,"",INDEX(tsk_StoryPoints,(ROW()-ROW(MSPTasks[[#Headers],[ID]]))))))</f>
        <v/>
      </c>
      <c r="Z55" s="24" t="str">
        <f aca="false">IF(IFERROR(INDEX(tsk_Name,(ROW()-ROW(MSPTasks[[#Headers],[ID]])))="",TRUE()),"",INDEX(tsk_Notes,(ROW()-ROW(MSPTasks[[#Headers],[ID]])))&amp;"")</f>
        <v/>
      </c>
    </row>
    <row r="56" customFormat="false" ht="15" hidden="false" customHeight="false" outlineLevel="0" collapsed="false">
      <c r="A56" s="24" t="str">
        <f aca="false">IF(IFERROR(INDEX(tsk_Name,(ROW()-ROW(MSPTasks[[#Headers],[ID]])))="",TRUE()),"",INDEX(tsk_ID,(ROW()-ROW(MSPTasks[[#Headers],[ID]]))))</f>
        <v/>
      </c>
      <c r="B56" s="24" t="str">
        <f aca="false">IF(IFERROR(INDEX(tsk_Name,(ROW()-ROW(MSPTasks[[#Headers],[ID]])))="",TRUE()),"",INDEX(tsk_UID,(ROW()-ROW(MSPTasks[[#Headers],[ID]]))))</f>
        <v/>
      </c>
      <c r="C56" s="24" t="str">
        <f aca="false">IF(IFERROR(INDEX(tsk_Name,(ROW()-ROW(MSPTasks[[#Headers],[ID]])))="",TRUE()),"",INDEX(tsk_Name,(ROW()-ROW(MSPTasks[[#Headers],[ID]]))))</f>
        <v/>
      </c>
      <c r="D56" s="24" t="str">
        <f aca="false">IF(IFERROR(INDEX(tsk_Name,(ROW()-ROW(MSPTasks[[#Headers],[ID]])))="",TRUE()),"",INDEX(tsk_Level,(ROW()-ROW(MSPTasks[[#Headers],[ID]]))))</f>
        <v/>
      </c>
      <c r="E56" s="24" t="str">
        <f aca="false">IF(IFERROR(INDEX(tsk_Name,(ROW()-ROW(MSPTasks[[#Headers],[ID]])))="",TRUE()),"",IF(INDEX(tsk_Mode,(ROW()-ROW(MSPTasks[[#Headers],[ID]])))="Manual","Manually Scheduled","Auto Scheduled"))</f>
        <v/>
      </c>
      <c r="F56" s="24" t="str">
        <f aca="false">IF(IFERROR(INDEX(tsk_Name,(ROW()-ROW(MSPTasks[[#Headers],[ID]])))="",TRUE()),"",IF(INDEX(tsk_IsSummary,(ROW()-ROW(MSPTasks[[#Headers],[ID]]))),"",N(INDEX(tsk_Duration,(ROW()-ROW(MSPTasks[[#Headers],[ID]]))))&amp;"d"))</f>
        <v/>
      </c>
      <c r="G56" s="130" t="str">
        <f aca="false">IF(IFERROR(INDEX(tsk_Name,(ROW()-ROW(MSPTasks[[#Headers],[ID]])))="",TRUE()),"",INDEX(tsk_FcStart,(ROW()-ROW(MSPTasks[[#Headers],[ID]]))))</f>
        <v/>
      </c>
      <c r="H56" s="130" t="str">
        <f aca="false">IF(IFERROR(INDEX(tsk_Name,(ROW()-ROW(MSPTasks[[#Headers],[ID]])))="",TRUE()),"",INDEX(tsk_FcFinish,(ROW()-ROW(MSPTasks[[#Headers],[ID]]))))</f>
        <v/>
      </c>
      <c r="I56" s="24" t="str">
        <f aca="false">IF(IFERROR(INDEX(tsk_Name,(ROW()-ROW(MSPTasks[[#Headers],[ID]])))="",TRUE()),"",IF(INDEX(tsk_IsSummary,(ROW()-ROW(MSPTasks[[#Headers],[ID]]))),"",INDEX(tsk_Predecessors,(ROW()-ROW(MSPTasks[[#Headers],[ID]])))))</f>
        <v/>
      </c>
      <c r="J56" s="24" t="str">
        <f aca="false">IF(IFERROR(INDEX(tsk_Name,(ROW()-ROW(MSPTasks[[#Headers],[ID]])))="",TRUE()),"",IF(INDEX(tsk_IsSummary,(ROW()-ROW(MSPTasks[[#Headers],[ID]]))),"",INDEX(tsk_UIDPredecessors,(ROW()-ROW(MSPTasks[[#Headers],[ID]])))))</f>
        <v/>
      </c>
      <c r="K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6" s="24" t="str">
        <f aca="false">IF(IFERROR(INDEX(tsk_Name,(ROW()-ROW(MSPTasks[[#Headers],[ID]])))="",TRUE()),"",IF(INDEX(tsk_IsSummary,(ROW()-ROW(MSPTasks[[#Headers],[ID]]))),"",ROUND(INDEX(tsk_Progress,(ROW()-ROW(MSPTasks[[#Headers],[ID]])))*100,0)))</f>
        <v/>
      </c>
      <c r="M56" s="130" t="str">
        <f aca="false">IF(IFERROR(INDEX(tsk_Name,(ROW()-ROW(MSPTasks[[#Headers],[ID]])))="",TRUE()),"",IF(N(INDEX(tsk_ActStart,(ROW()-ROW(MSPTasks[[#Headers],[ID]]))))=0,"",INDEX(tsk_ActStart,(ROW()-ROW(MSPTasks[[#Headers],[ID]])))))</f>
        <v/>
      </c>
      <c r="N56" s="130" t="str">
        <f aca="false">IF(IFERROR(INDEX(tsk_Name,(ROW()-ROW(MSPTasks[[#Headers],[ID]])))="",TRUE()),"",IF(N(INDEX(tsk_ActFinish,(ROW()-ROW(MSPTasks[[#Headers],[ID]]))))=0,"",INDEX(tsk_ActFinish,(ROW()-ROW(MSPTasks[[#Headers],[ID]])))))</f>
        <v/>
      </c>
      <c r="O56" s="130" t="str">
        <f aca="false">IF(IFERROR(INDEX(tsk_Name,(ROW()-ROW(MSPTasks[[#Headers],[ID]])))="",TRUE()),"",INDEX(tsk_PlanStart,(ROW()-ROW(MSPTasks[[#Headers],[ID]]))))</f>
        <v/>
      </c>
      <c r="P56" s="130" t="str">
        <f aca="false">IF(IFERROR(INDEX(tsk_Name,(ROW()-ROW(MSPTasks[[#Headers],[ID]])))="",TRUE()),"",INDEX(tsk_PlanFinish,(ROW()-ROW(MSPTasks[[#Headers],[ID]]))))</f>
        <v/>
      </c>
      <c r="Q56" s="24" t="str">
        <f aca="false">IF(IFERROR(INDEX(tsk_Name,(ROW()-ROW(MSPTasks[[#Headers],[ID]])))="",TRUE()),"",IF(INDEX(tsk_BaseDuration,(ROW()-ROW(MSPTasks[[#Headers],[ID]])))="","",N(INDEX(tsk_BaseDuration,(ROW()-ROW(MSPTasks[[#Headers],[ID]]))))&amp;"d"))</f>
        <v/>
      </c>
      <c r="R56" s="24" t="str">
        <f aca="false">IF(IFERROR(INDEX(tsk_Name,(ROW()-ROW(MSPTasks[[#Headers],[ID]])))="",TRUE()),"",IF(INDEX(tsk_BaseWork,(ROW()-ROW(MSPTasks[[#Headers],[ID]])))="","",N(INDEX(tsk_BaseWork,(ROW()-ROW(MSPTasks[[#Headers],[ID]]))))&amp;"h"))</f>
        <v/>
      </c>
      <c r="S56" s="24" t="str">
        <f aca="false">IF(IFERROR(INDEX(tsk_Name,(ROW()-ROW(MSPTasks[[#Headers],[ID]])))="",TRUE()),"",IF(INDEX(tsk_BaseCost,(ROW()-ROW(MSPTasks[[#Headers],[ID]])))="","",N(INDEX(tsk_BaseCost,(ROW()-ROW(MSPTasks[[#Headers],[ID]]))))))</f>
        <v/>
      </c>
      <c r="T56" s="24" t="str">
        <f aca="false">IF(IFERROR(INDEX(tsk_Name,(ROW()-ROW(MSPTasks[[#Headers],[ID]])))="",TRUE()),"",IF(INDEX(tsk_IsSummary,(ROW()-ROW(MSPTasks[[#Headers],[ID]]))),"",IF(N(INDEX(tsk_ActCostInput,(ROW()-ROW(MSPTasks[[#Headers],[ID]]))))=0,"",INDEX(tsk_ActCostInput,(ROW()-ROW(MSPTasks[[#Headers],[ID]]))))))</f>
        <v/>
      </c>
      <c r="U56" s="24" t="str">
        <f aca="false">IF(IFERROR(INDEX(tsk_Name,(ROW()-ROW(MSPTasks[[#Headers],[ID]])))="",TRUE()),"",IF(INDEX(tsk_IsSummary,(ROW()-ROW(MSPTasks[[#Headers],[ID]]))),"",IF(AND(INDEX(tsk_Mode,(ROW()-ROW(MSPTasks[[#Headers],[ID]])))&lt;&gt;"Manual",N(INDEX(tsk_Constraint,(ROW()-ROW(MSPTasks[[#Headers],[ID]]))))&gt;0),"Start No Earlier Than","As Soon As Possible")))</f>
        <v/>
      </c>
      <c r="V56" s="130" t="str">
        <f aca="false">IF(IFERROR(INDEX(tsk_Name,(ROW()-ROW(MSPTasks[[#Headers],[ID]])))="",TRUE()),"",IF(OR(INDEX(tsk_IsSummary,(ROW()-ROW(MSPTasks[[#Headers],[ID]]))),INDEX(tsk_Mode,(ROW()-ROW(MSPTasks[[#Headers],[ID]])))="Manual"),"",IF(N(INDEX(tsk_Constraint,(ROW()-ROW(MSPTasks[[#Headers],[ID]]))))=0,"",INDEX(tsk_Constraint,(ROW()-ROW(MSPTasks[[#Headers],[ID]]))))))</f>
        <v/>
      </c>
      <c r="W56" s="130" t="str">
        <f aca="false">IF(IFERROR(INDEX(tsk_Name,(ROW()-ROW(MSPTasks[[#Headers],[ID]])))="",TRUE()),"",IF(N(INDEX(tsk_Deadline,(ROW()-ROW(MSPTasks[[#Headers],[ID]]))))=0,"",INDEX(tsk_Deadline,(ROW()-ROW(MSPTasks[[#Headers],[ID]])))))</f>
        <v/>
      </c>
      <c r="X56" s="24" t="str">
        <f aca="false">IF(IFERROR(INDEX(tsk_Name,(ROW()-ROW(MSPTasks[[#Headers],[ID]])))="",TRUE()),"",IF(INDEX(tsk_IsSummary,(ROW()-ROW(MSPTasks[[#Headers],[ID]]))),"",INDEX(tsk_Sprint,(ROW()-ROW(MSPTasks[[#Headers],[ID]])))&amp;""))</f>
        <v/>
      </c>
      <c r="Y56" s="24" t="str">
        <f aca="false">IF(IFERROR(INDEX(tsk_Name,(ROW()-ROW(MSPTasks[[#Headers],[ID]])))="",TRUE()),"",IF(INDEX(tsk_IsSummary,(ROW()-ROW(MSPTasks[[#Headers],[ID]]))),"",IF(N(INDEX(tsk_StoryPoints,(ROW()-ROW(MSPTasks[[#Headers],[ID]]))))=0,"",INDEX(tsk_StoryPoints,(ROW()-ROW(MSPTasks[[#Headers],[ID]]))))))</f>
        <v/>
      </c>
      <c r="Z56" s="24" t="str">
        <f aca="false">IF(IFERROR(INDEX(tsk_Name,(ROW()-ROW(MSPTasks[[#Headers],[ID]])))="",TRUE()),"",INDEX(tsk_Notes,(ROW()-ROW(MSPTasks[[#Headers],[ID]])))&amp;"")</f>
        <v/>
      </c>
    </row>
    <row r="57" customFormat="false" ht="15" hidden="false" customHeight="false" outlineLevel="0" collapsed="false">
      <c r="A57" s="24" t="str">
        <f aca="false">IF(IFERROR(INDEX(tsk_Name,(ROW()-ROW(MSPTasks[[#Headers],[ID]])))="",TRUE()),"",INDEX(tsk_ID,(ROW()-ROW(MSPTasks[[#Headers],[ID]]))))</f>
        <v/>
      </c>
      <c r="B57" s="24" t="str">
        <f aca="false">IF(IFERROR(INDEX(tsk_Name,(ROW()-ROW(MSPTasks[[#Headers],[ID]])))="",TRUE()),"",INDEX(tsk_UID,(ROW()-ROW(MSPTasks[[#Headers],[ID]]))))</f>
        <v/>
      </c>
      <c r="C57" s="24" t="str">
        <f aca="false">IF(IFERROR(INDEX(tsk_Name,(ROW()-ROW(MSPTasks[[#Headers],[ID]])))="",TRUE()),"",INDEX(tsk_Name,(ROW()-ROW(MSPTasks[[#Headers],[ID]]))))</f>
        <v/>
      </c>
      <c r="D57" s="24" t="str">
        <f aca="false">IF(IFERROR(INDEX(tsk_Name,(ROW()-ROW(MSPTasks[[#Headers],[ID]])))="",TRUE()),"",INDEX(tsk_Level,(ROW()-ROW(MSPTasks[[#Headers],[ID]]))))</f>
        <v/>
      </c>
      <c r="E57" s="24" t="str">
        <f aca="false">IF(IFERROR(INDEX(tsk_Name,(ROW()-ROW(MSPTasks[[#Headers],[ID]])))="",TRUE()),"",IF(INDEX(tsk_Mode,(ROW()-ROW(MSPTasks[[#Headers],[ID]])))="Manual","Manually Scheduled","Auto Scheduled"))</f>
        <v/>
      </c>
      <c r="F57" s="24" t="str">
        <f aca="false">IF(IFERROR(INDEX(tsk_Name,(ROW()-ROW(MSPTasks[[#Headers],[ID]])))="",TRUE()),"",IF(INDEX(tsk_IsSummary,(ROW()-ROW(MSPTasks[[#Headers],[ID]]))),"",N(INDEX(tsk_Duration,(ROW()-ROW(MSPTasks[[#Headers],[ID]]))))&amp;"d"))</f>
        <v/>
      </c>
      <c r="G57" s="130" t="str">
        <f aca="false">IF(IFERROR(INDEX(tsk_Name,(ROW()-ROW(MSPTasks[[#Headers],[ID]])))="",TRUE()),"",INDEX(tsk_FcStart,(ROW()-ROW(MSPTasks[[#Headers],[ID]]))))</f>
        <v/>
      </c>
      <c r="H57" s="130" t="str">
        <f aca="false">IF(IFERROR(INDEX(tsk_Name,(ROW()-ROW(MSPTasks[[#Headers],[ID]])))="",TRUE()),"",INDEX(tsk_FcFinish,(ROW()-ROW(MSPTasks[[#Headers],[ID]]))))</f>
        <v/>
      </c>
      <c r="I57" s="24" t="str">
        <f aca="false">IF(IFERROR(INDEX(tsk_Name,(ROW()-ROW(MSPTasks[[#Headers],[ID]])))="",TRUE()),"",IF(INDEX(tsk_IsSummary,(ROW()-ROW(MSPTasks[[#Headers],[ID]]))),"",INDEX(tsk_Predecessors,(ROW()-ROW(MSPTasks[[#Headers],[ID]])))))</f>
        <v/>
      </c>
      <c r="J57" s="24" t="str">
        <f aca="false">IF(IFERROR(INDEX(tsk_Name,(ROW()-ROW(MSPTasks[[#Headers],[ID]])))="",TRUE()),"",IF(INDEX(tsk_IsSummary,(ROW()-ROW(MSPTasks[[#Headers],[ID]]))),"",INDEX(tsk_UIDPredecessors,(ROW()-ROW(MSPTasks[[#Headers],[ID]])))))</f>
        <v/>
      </c>
      <c r="K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7" s="24" t="str">
        <f aca="false">IF(IFERROR(INDEX(tsk_Name,(ROW()-ROW(MSPTasks[[#Headers],[ID]])))="",TRUE()),"",IF(INDEX(tsk_IsSummary,(ROW()-ROW(MSPTasks[[#Headers],[ID]]))),"",ROUND(INDEX(tsk_Progress,(ROW()-ROW(MSPTasks[[#Headers],[ID]])))*100,0)))</f>
        <v/>
      </c>
      <c r="M57" s="130" t="str">
        <f aca="false">IF(IFERROR(INDEX(tsk_Name,(ROW()-ROW(MSPTasks[[#Headers],[ID]])))="",TRUE()),"",IF(N(INDEX(tsk_ActStart,(ROW()-ROW(MSPTasks[[#Headers],[ID]]))))=0,"",INDEX(tsk_ActStart,(ROW()-ROW(MSPTasks[[#Headers],[ID]])))))</f>
        <v/>
      </c>
      <c r="N57" s="130" t="str">
        <f aca="false">IF(IFERROR(INDEX(tsk_Name,(ROW()-ROW(MSPTasks[[#Headers],[ID]])))="",TRUE()),"",IF(N(INDEX(tsk_ActFinish,(ROW()-ROW(MSPTasks[[#Headers],[ID]]))))=0,"",INDEX(tsk_ActFinish,(ROW()-ROW(MSPTasks[[#Headers],[ID]])))))</f>
        <v/>
      </c>
      <c r="O57" s="130" t="str">
        <f aca="false">IF(IFERROR(INDEX(tsk_Name,(ROW()-ROW(MSPTasks[[#Headers],[ID]])))="",TRUE()),"",INDEX(tsk_PlanStart,(ROW()-ROW(MSPTasks[[#Headers],[ID]]))))</f>
        <v/>
      </c>
      <c r="P57" s="130" t="str">
        <f aca="false">IF(IFERROR(INDEX(tsk_Name,(ROW()-ROW(MSPTasks[[#Headers],[ID]])))="",TRUE()),"",INDEX(tsk_PlanFinish,(ROW()-ROW(MSPTasks[[#Headers],[ID]]))))</f>
        <v/>
      </c>
      <c r="Q57" s="24" t="str">
        <f aca="false">IF(IFERROR(INDEX(tsk_Name,(ROW()-ROW(MSPTasks[[#Headers],[ID]])))="",TRUE()),"",IF(INDEX(tsk_BaseDuration,(ROW()-ROW(MSPTasks[[#Headers],[ID]])))="","",N(INDEX(tsk_BaseDuration,(ROW()-ROW(MSPTasks[[#Headers],[ID]]))))&amp;"d"))</f>
        <v/>
      </c>
      <c r="R57" s="24" t="str">
        <f aca="false">IF(IFERROR(INDEX(tsk_Name,(ROW()-ROW(MSPTasks[[#Headers],[ID]])))="",TRUE()),"",IF(INDEX(tsk_BaseWork,(ROW()-ROW(MSPTasks[[#Headers],[ID]])))="","",N(INDEX(tsk_BaseWork,(ROW()-ROW(MSPTasks[[#Headers],[ID]]))))&amp;"h"))</f>
        <v/>
      </c>
      <c r="S57" s="24" t="str">
        <f aca="false">IF(IFERROR(INDEX(tsk_Name,(ROW()-ROW(MSPTasks[[#Headers],[ID]])))="",TRUE()),"",IF(INDEX(tsk_BaseCost,(ROW()-ROW(MSPTasks[[#Headers],[ID]])))="","",N(INDEX(tsk_BaseCost,(ROW()-ROW(MSPTasks[[#Headers],[ID]]))))))</f>
        <v/>
      </c>
      <c r="T57" s="24" t="str">
        <f aca="false">IF(IFERROR(INDEX(tsk_Name,(ROW()-ROW(MSPTasks[[#Headers],[ID]])))="",TRUE()),"",IF(INDEX(tsk_IsSummary,(ROW()-ROW(MSPTasks[[#Headers],[ID]]))),"",IF(N(INDEX(tsk_ActCostInput,(ROW()-ROW(MSPTasks[[#Headers],[ID]]))))=0,"",INDEX(tsk_ActCostInput,(ROW()-ROW(MSPTasks[[#Headers],[ID]]))))))</f>
        <v/>
      </c>
      <c r="U57" s="24" t="str">
        <f aca="false">IF(IFERROR(INDEX(tsk_Name,(ROW()-ROW(MSPTasks[[#Headers],[ID]])))="",TRUE()),"",IF(INDEX(tsk_IsSummary,(ROW()-ROW(MSPTasks[[#Headers],[ID]]))),"",IF(AND(INDEX(tsk_Mode,(ROW()-ROW(MSPTasks[[#Headers],[ID]])))&lt;&gt;"Manual",N(INDEX(tsk_Constraint,(ROW()-ROW(MSPTasks[[#Headers],[ID]]))))&gt;0),"Start No Earlier Than","As Soon As Possible")))</f>
        <v/>
      </c>
      <c r="V57" s="130" t="str">
        <f aca="false">IF(IFERROR(INDEX(tsk_Name,(ROW()-ROW(MSPTasks[[#Headers],[ID]])))="",TRUE()),"",IF(OR(INDEX(tsk_IsSummary,(ROW()-ROW(MSPTasks[[#Headers],[ID]]))),INDEX(tsk_Mode,(ROW()-ROW(MSPTasks[[#Headers],[ID]])))="Manual"),"",IF(N(INDEX(tsk_Constraint,(ROW()-ROW(MSPTasks[[#Headers],[ID]]))))=0,"",INDEX(tsk_Constraint,(ROW()-ROW(MSPTasks[[#Headers],[ID]]))))))</f>
        <v/>
      </c>
      <c r="W57" s="130" t="str">
        <f aca="false">IF(IFERROR(INDEX(tsk_Name,(ROW()-ROW(MSPTasks[[#Headers],[ID]])))="",TRUE()),"",IF(N(INDEX(tsk_Deadline,(ROW()-ROW(MSPTasks[[#Headers],[ID]]))))=0,"",INDEX(tsk_Deadline,(ROW()-ROW(MSPTasks[[#Headers],[ID]])))))</f>
        <v/>
      </c>
      <c r="X57" s="24" t="str">
        <f aca="false">IF(IFERROR(INDEX(tsk_Name,(ROW()-ROW(MSPTasks[[#Headers],[ID]])))="",TRUE()),"",IF(INDEX(tsk_IsSummary,(ROW()-ROW(MSPTasks[[#Headers],[ID]]))),"",INDEX(tsk_Sprint,(ROW()-ROW(MSPTasks[[#Headers],[ID]])))&amp;""))</f>
        <v/>
      </c>
      <c r="Y57" s="24" t="str">
        <f aca="false">IF(IFERROR(INDEX(tsk_Name,(ROW()-ROW(MSPTasks[[#Headers],[ID]])))="",TRUE()),"",IF(INDEX(tsk_IsSummary,(ROW()-ROW(MSPTasks[[#Headers],[ID]]))),"",IF(N(INDEX(tsk_StoryPoints,(ROW()-ROW(MSPTasks[[#Headers],[ID]]))))=0,"",INDEX(tsk_StoryPoints,(ROW()-ROW(MSPTasks[[#Headers],[ID]]))))))</f>
        <v/>
      </c>
      <c r="Z57" s="24" t="str">
        <f aca="false">IF(IFERROR(INDEX(tsk_Name,(ROW()-ROW(MSPTasks[[#Headers],[ID]])))="",TRUE()),"",INDEX(tsk_Notes,(ROW()-ROW(MSPTasks[[#Headers],[ID]])))&amp;"")</f>
        <v/>
      </c>
    </row>
    <row r="58" customFormat="false" ht="15" hidden="false" customHeight="false" outlineLevel="0" collapsed="false">
      <c r="A58" s="24" t="str">
        <f aca="false">IF(IFERROR(INDEX(tsk_Name,(ROW()-ROW(MSPTasks[[#Headers],[ID]])))="",TRUE()),"",INDEX(tsk_ID,(ROW()-ROW(MSPTasks[[#Headers],[ID]]))))</f>
        <v/>
      </c>
      <c r="B58" s="24" t="str">
        <f aca="false">IF(IFERROR(INDEX(tsk_Name,(ROW()-ROW(MSPTasks[[#Headers],[ID]])))="",TRUE()),"",INDEX(tsk_UID,(ROW()-ROW(MSPTasks[[#Headers],[ID]]))))</f>
        <v/>
      </c>
      <c r="C58" s="24" t="str">
        <f aca="false">IF(IFERROR(INDEX(tsk_Name,(ROW()-ROW(MSPTasks[[#Headers],[ID]])))="",TRUE()),"",INDEX(tsk_Name,(ROW()-ROW(MSPTasks[[#Headers],[ID]]))))</f>
        <v/>
      </c>
      <c r="D58" s="24" t="str">
        <f aca="false">IF(IFERROR(INDEX(tsk_Name,(ROW()-ROW(MSPTasks[[#Headers],[ID]])))="",TRUE()),"",INDEX(tsk_Level,(ROW()-ROW(MSPTasks[[#Headers],[ID]]))))</f>
        <v/>
      </c>
      <c r="E58" s="24" t="str">
        <f aca="false">IF(IFERROR(INDEX(tsk_Name,(ROW()-ROW(MSPTasks[[#Headers],[ID]])))="",TRUE()),"",IF(INDEX(tsk_Mode,(ROW()-ROW(MSPTasks[[#Headers],[ID]])))="Manual","Manually Scheduled","Auto Scheduled"))</f>
        <v/>
      </c>
      <c r="F58" s="24" t="str">
        <f aca="false">IF(IFERROR(INDEX(tsk_Name,(ROW()-ROW(MSPTasks[[#Headers],[ID]])))="",TRUE()),"",IF(INDEX(tsk_IsSummary,(ROW()-ROW(MSPTasks[[#Headers],[ID]]))),"",N(INDEX(tsk_Duration,(ROW()-ROW(MSPTasks[[#Headers],[ID]]))))&amp;"d"))</f>
        <v/>
      </c>
      <c r="G58" s="130" t="str">
        <f aca="false">IF(IFERROR(INDEX(tsk_Name,(ROW()-ROW(MSPTasks[[#Headers],[ID]])))="",TRUE()),"",INDEX(tsk_FcStart,(ROW()-ROW(MSPTasks[[#Headers],[ID]]))))</f>
        <v/>
      </c>
      <c r="H58" s="130" t="str">
        <f aca="false">IF(IFERROR(INDEX(tsk_Name,(ROW()-ROW(MSPTasks[[#Headers],[ID]])))="",TRUE()),"",INDEX(tsk_FcFinish,(ROW()-ROW(MSPTasks[[#Headers],[ID]]))))</f>
        <v/>
      </c>
      <c r="I58" s="24" t="str">
        <f aca="false">IF(IFERROR(INDEX(tsk_Name,(ROW()-ROW(MSPTasks[[#Headers],[ID]])))="",TRUE()),"",IF(INDEX(tsk_IsSummary,(ROW()-ROW(MSPTasks[[#Headers],[ID]]))),"",INDEX(tsk_Predecessors,(ROW()-ROW(MSPTasks[[#Headers],[ID]])))))</f>
        <v/>
      </c>
      <c r="J58" s="24" t="str">
        <f aca="false">IF(IFERROR(INDEX(tsk_Name,(ROW()-ROW(MSPTasks[[#Headers],[ID]])))="",TRUE()),"",IF(INDEX(tsk_IsSummary,(ROW()-ROW(MSPTasks[[#Headers],[ID]]))),"",INDEX(tsk_UIDPredecessors,(ROW()-ROW(MSPTasks[[#Headers],[ID]])))))</f>
        <v/>
      </c>
      <c r="K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8" s="24" t="str">
        <f aca="false">IF(IFERROR(INDEX(tsk_Name,(ROW()-ROW(MSPTasks[[#Headers],[ID]])))="",TRUE()),"",IF(INDEX(tsk_IsSummary,(ROW()-ROW(MSPTasks[[#Headers],[ID]]))),"",ROUND(INDEX(tsk_Progress,(ROW()-ROW(MSPTasks[[#Headers],[ID]])))*100,0)))</f>
        <v/>
      </c>
      <c r="M58" s="130" t="str">
        <f aca="false">IF(IFERROR(INDEX(tsk_Name,(ROW()-ROW(MSPTasks[[#Headers],[ID]])))="",TRUE()),"",IF(N(INDEX(tsk_ActStart,(ROW()-ROW(MSPTasks[[#Headers],[ID]]))))=0,"",INDEX(tsk_ActStart,(ROW()-ROW(MSPTasks[[#Headers],[ID]])))))</f>
        <v/>
      </c>
      <c r="N58" s="130" t="str">
        <f aca="false">IF(IFERROR(INDEX(tsk_Name,(ROW()-ROW(MSPTasks[[#Headers],[ID]])))="",TRUE()),"",IF(N(INDEX(tsk_ActFinish,(ROW()-ROW(MSPTasks[[#Headers],[ID]]))))=0,"",INDEX(tsk_ActFinish,(ROW()-ROW(MSPTasks[[#Headers],[ID]])))))</f>
        <v/>
      </c>
      <c r="O58" s="130" t="str">
        <f aca="false">IF(IFERROR(INDEX(tsk_Name,(ROW()-ROW(MSPTasks[[#Headers],[ID]])))="",TRUE()),"",INDEX(tsk_PlanStart,(ROW()-ROW(MSPTasks[[#Headers],[ID]]))))</f>
        <v/>
      </c>
      <c r="P58" s="130" t="str">
        <f aca="false">IF(IFERROR(INDEX(tsk_Name,(ROW()-ROW(MSPTasks[[#Headers],[ID]])))="",TRUE()),"",INDEX(tsk_PlanFinish,(ROW()-ROW(MSPTasks[[#Headers],[ID]]))))</f>
        <v/>
      </c>
      <c r="Q58" s="24" t="str">
        <f aca="false">IF(IFERROR(INDEX(tsk_Name,(ROW()-ROW(MSPTasks[[#Headers],[ID]])))="",TRUE()),"",IF(INDEX(tsk_BaseDuration,(ROW()-ROW(MSPTasks[[#Headers],[ID]])))="","",N(INDEX(tsk_BaseDuration,(ROW()-ROW(MSPTasks[[#Headers],[ID]]))))&amp;"d"))</f>
        <v/>
      </c>
      <c r="R58" s="24" t="str">
        <f aca="false">IF(IFERROR(INDEX(tsk_Name,(ROW()-ROW(MSPTasks[[#Headers],[ID]])))="",TRUE()),"",IF(INDEX(tsk_BaseWork,(ROW()-ROW(MSPTasks[[#Headers],[ID]])))="","",N(INDEX(tsk_BaseWork,(ROW()-ROW(MSPTasks[[#Headers],[ID]]))))&amp;"h"))</f>
        <v/>
      </c>
      <c r="S58" s="24" t="str">
        <f aca="false">IF(IFERROR(INDEX(tsk_Name,(ROW()-ROW(MSPTasks[[#Headers],[ID]])))="",TRUE()),"",IF(INDEX(tsk_BaseCost,(ROW()-ROW(MSPTasks[[#Headers],[ID]])))="","",N(INDEX(tsk_BaseCost,(ROW()-ROW(MSPTasks[[#Headers],[ID]]))))))</f>
        <v/>
      </c>
      <c r="T58" s="24" t="str">
        <f aca="false">IF(IFERROR(INDEX(tsk_Name,(ROW()-ROW(MSPTasks[[#Headers],[ID]])))="",TRUE()),"",IF(INDEX(tsk_IsSummary,(ROW()-ROW(MSPTasks[[#Headers],[ID]]))),"",IF(N(INDEX(tsk_ActCostInput,(ROW()-ROW(MSPTasks[[#Headers],[ID]]))))=0,"",INDEX(tsk_ActCostInput,(ROW()-ROW(MSPTasks[[#Headers],[ID]]))))))</f>
        <v/>
      </c>
      <c r="U58" s="24" t="str">
        <f aca="false">IF(IFERROR(INDEX(tsk_Name,(ROW()-ROW(MSPTasks[[#Headers],[ID]])))="",TRUE()),"",IF(INDEX(tsk_IsSummary,(ROW()-ROW(MSPTasks[[#Headers],[ID]]))),"",IF(AND(INDEX(tsk_Mode,(ROW()-ROW(MSPTasks[[#Headers],[ID]])))&lt;&gt;"Manual",N(INDEX(tsk_Constraint,(ROW()-ROW(MSPTasks[[#Headers],[ID]]))))&gt;0),"Start No Earlier Than","As Soon As Possible")))</f>
        <v/>
      </c>
      <c r="V58" s="130" t="str">
        <f aca="false">IF(IFERROR(INDEX(tsk_Name,(ROW()-ROW(MSPTasks[[#Headers],[ID]])))="",TRUE()),"",IF(OR(INDEX(tsk_IsSummary,(ROW()-ROW(MSPTasks[[#Headers],[ID]]))),INDEX(tsk_Mode,(ROW()-ROW(MSPTasks[[#Headers],[ID]])))="Manual"),"",IF(N(INDEX(tsk_Constraint,(ROW()-ROW(MSPTasks[[#Headers],[ID]]))))=0,"",INDEX(tsk_Constraint,(ROW()-ROW(MSPTasks[[#Headers],[ID]]))))))</f>
        <v/>
      </c>
      <c r="W58" s="130" t="str">
        <f aca="false">IF(IFERROR(INDEX(tsk_Name,(ROW()-ROW(MSPTasks[[#Headers],[ID]])))="",TRUE()),"",IF(N(INDEX(tsk_Deadline,(ROW()-ROW(MSPTasks[[#Headers],[ID]]))))=0,"",INDEX(tsk_Deadline,(ROW()-ROW(MSPTasks[[#Headers],[ID]])))))</f>
        <v/>
      </c>
      <c r="X58" s="24" t="str">
        <f aca="false">IF(IFERROR(INDEX(tsk_Name,(ROW()-ROW(MSPTasks[[#Headers],[ID]])))="",TRUE()),"",IF(INDEX(tsk_IsSummary,(ROW()-ROW(MSPTasks[[#Headers],[ID]]))),"",INDEX(tsk_Sprint,(ROW()-ROW(MSPTasks[[#Headers],[ID]])))&amp;""))</f>
        <v/>
      </c>
      <c r="Y58" s="24" t="str">
        <f aca="false">IF(IFERROR(INDEX(tsk_Name,(ROW()-ROW(MSPTasks[[#Headers],[ID]])))="",TRUE()),"",IF(INDEX(tsk_IsSummary,(ROW()-ROW(MSPTasks[[#Headers],[ID]]))),"",IF(N(INDEX(tsk_StoryPoints,(ROW()-ROW(MSPTasks[[#Headers],[ID]]))))=0,"",INDEX(tsk_StoryPoints,(ROW()-ROW(MSPTasks[[#Headers],[ID]]))))))</f>
        <v/>
      </c>
      <c r="Z58" s="24" t="str">
        <f aca="false">IF(IFERROR(INDEX(tsk_Name,(ROW()-ROW(MSPTasks[[#Headers],[ID]])))="",TRUE()),"",INDEX(tsk_Notes,(ROW()-ROW(MSPTasks[[#Headers],[ID]])))&amp;"")</f>
        <v/>
      </c>
    </row>
    <row r="59" customFormat="false" ht="15" hidden="false" customHeight="false" outlineLevel="0" collapsed="false">
      <c r="A59" s="24" t="str">
        <f aca="false">IF(IFERROR(INDEX(tsk_Name,(ROW()-ROW(MSPTasks[[#Headers],[ID]])))="",TRUE()),"",INDEX(tsk_ID,(ROW()-ROW(MSPTasks[[#Headers],[ID]]))))</f>
        <v/>
      </c>
      <c r="B59" s="24" t="str">
        <f aca="false">IF(IFERROR(INDEX(tsk_Name,(ROW()-ROW(MSPTasks[[#Headers],[ID]])))="",TRUE()),"",INDEX(tsk_UID,(ROW()-ROW(MSPTasks[[#Headers],[ID]]))))</f>
        <v/>
      </c>
      <c r="C59" s="24" t="str">
        <f aca="false">IF(IFERROR(INDEX(tsk_Name,(ROW()-ROW(MSPTasks[[#Headers],[ID]])))="",TRUE()),"",INDEX(tsk_Name,(ROW()-ROW(MSPTasks[[#Headers],[ID]]))))</f>
        <v/>
      </c>
      <c r="D59" s="24" t="str">
        <f aca="false">IF(IFERROR(INDEX(tsk_Name,(ROW()-ROW(MSPTasks[[#Headers],[ID]])))="",TRUE()),"",INDEX(tsk_Level,(ROW()-ROW(MSPTasks[[#Headers],[ID]]))))</f>
        <v/>
      </c>
      <c r="E59" s="24" t="str">
        <f aca="false">IF(IFERROR(INDEX(tsk_Name,(ROW()-ROW(MSPTasks[[#Headers],[ID]])))="",TRUE()),"",IF(INDEX(tsk_Mode,(ROW()-ROW(MSPTasks[[#Headers],[ID]])))="Manual","Manually Scheduled","Auto Scheduled"))</f>
        <v/>
      </c>
      <c r="F59" s="24" t="str">
        <f aca="false">IF(IFERROR(INDEX(tsk_Name,(ROW()-ROW(MSPTasks[[#Headers],[ID]])))="",TRUE()),"",IF(INDEX(tsk_IsSummary,(ROW()-ROW(MSPTasks[[#Headers],[ID]]))),"",N(INDEX(tsk_Duration,(ROW()-ROW(MSPTasks[[#Headers],[ID]]))))&amp;"d"))</f>
        <v/>
      </c>
      <c r="G59" s="130" t="str">
        <f aca="false">IF(IFERROR(INDEX(tsk_Name,(ROW()-ROW(MSPTasks[[#Headers],[ID]])))="",TRUE()),"",INDEX(tsk_FcStart,(ROW()-ROW(MSPTasks[[#Headers],[ID]]))))</f>
        <v/>
      </c>
      <c r="H59" s="130" t="str">
        <f aca="false">IF(IFERROR(INDEX(tsk_Name,(ROW()-ROW(MSPTasks[[#Headers],[ID]])))="",TRUE()),"",INDEX(tsk_FcFinish,(ROW()-ROW(MSPTasks[[#Headers],[ID]]))))</f>
        <v/>
      </c>
      <c r="I59" s="24" t="str">
        <f aca="false">IF(IFERROR(INDEX(tsk_Name,(ROW()-ROW(MSPTasks[[#Headers],[ID]])))="",TRUE()),"",IF(INDEX(tsk_IsSummary,(ROW()-ROW(MSPTasks[[#Headers],[ID]]))),"",INDEX(tsk_Predecessors,(ROW()-ROW(MSPTasks[[#Headers],[ID]])))))</f>
        <v/>
      </c>
      <c r="J59" s="24" t="str">
        <f aca="false">IF(IFERROR(INDEX(tsk_Name,(ROW()-ROW(MSPTasks[[#Headers],[ID]])))="",TRUE()),"",IF(INDEX(tsk_IsSummary,(ROW()-ROW(MSPTasks[[#Headers],[ID]]))),"",INDEX(tsk_UIDPredecessors,(ROW()-ROW(MSPTasks[[#Headers],[ID]])))))</f>
        <v/>
      </c>
      <c r="K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9" s="24" t="str">
        <f aca="false">IF(IFERROR(INDEX(tsk_Name,(ROW()-ROW(MSPTasks[[#Headers],[ID]])))="",TRUE()),"",IF(INDEX(tsk_IsSummary,(ROW()-ROW(MSPTasks[[#Headers],[ID]]))),"",ROUND(INDEX(tsk_Progress,(ROW()-ROW(MSPTasks[[#Headers],[ID]])))*100,0)))</f>
        <v/>
      </c>
      <c r="M59" s="130" t="str">
        <f aca="false">IF(IFERROR(INDEX(tsk_Name,(ROW()-ROW(MSPTasks[[#Headers],[ID]])))="",TRUE()),"",IF(N(INDEX(tsk_ActStart,(ROW()-ROW(MSPTasks[[#Headers],[ID]]))))=0,"",INDEX(tsk_ActStart,(ROW()-ROW(MSPTasks[[#Headers],[ID]])))))</f>
        <v/>
      </c>
      <c r="N59" s="130" t="str">
        <f aca="false">IF(IFERROR(INDEX(tsk_Name,(ROW()-ROW(MSPTasks[[#Headers],[ID]])))="",TRUE()),"",IF(N(INDEX(tsk_ActFinish,(ROW()-ROW(MSPTasks[[#Headers],[ID]]))))=0,"",INDEX(tsk_ActFinish,(ROW()-ROW(MSPTasks[[#Headers],[ID]])))))</f>
        <v/>
      </c>
      <c r="O59" s="130" t="str">
        <f aca="false">IF(IFERROR(INDEX(tsk_Name,(ROW()-ROW(MSPTasks[[#Headers],[ID]])))="",TRUE()),"",INDEX(tsk_PlanStart,(ROW()-ROW(MSPTasks[[#Headers],[ID]]))))</f>
        <v/>
      </c>
      <c r="P59" s="130" t="str">
        <f aca="false">IF(IFERROR(INDEX(tsk_Name,(ROW()-ROW(MSPTasks[[#Headers],[ID]])))="",TRUE()),"",INDEX(tsk_PlanFinish,(ROW()-ROW(MSPTasks[[#Headers],[ID]]))))</f>
        <v/>
      </c>
      <c r="Q59" s="24" t="str">
        <f aca="false">IF(IFERROR(INDEX(tsk_Name,(ROW()-ROW(MSPTasks[[#Headers],[ID]])))="",TRUE()),"",IF(INDEX(tsk_BaseDuration,(ROW()-ROW(MSPTasks[[#Headers],[ID]])))="","",N(INDEX(tsk_BaseDuration,(ROW()-ROW(MSPTasks[[#Headers],[ID]]))))&amp;"d"))</f>
        <v/>
      </c>
      <c r="R59" s="24" t="str">
        <f aca="false">IF(IFERROR(INDEX(tsk_Name,(ROW()-ROW(MSPTasks[[#Headers],[ID]])))="",TRUE()),"",IF(INDEX(tsk_BaseWork,(ROW()-ROW(MSPTasks[[#Headers],[ID]])))="","",N(INDEX(tsk_BaseWork,(ROW()-ROW(MSPTasks[[#Headers],[ID]]))))&amp;"h"))</f>
        <v/>
      </c>
      <c r="S59" s="24" t="str">
        <f aca="false">IF(IFERROR(INDEX(tsk_Name,(ROW()-ROW(MSPTasks[[#Headers],[ID]])))="",TRUE()),"",IF(INDEX(tsk_BaseCost,(ROW()-ROW(MSPTasks[[#Headers],[ID]])))="","",N(INDEX(tsk_BaseCost,(ROW()-ROW(MSPTasks[[#Headers],[ID]]))))))</f>
        <v/>
      </c>
      <c r="T59" s="24" t="str">
        <f aca="false">IF(IFERROR(INDEX(tsk_Name,(ROW()-ROW(MSPTasks[[#Headers],[ID]])))="",TRUE()),"",IF(INDEX(tsk_IsSummary,(ROW()-ROW(MSPTasks[[#Headers],[ID]]))),"",IF(N(INDEX(tsk_ActCostInput,(ROW()-ROW(MSPTasks[[#Headers],[ID]]))))=0,"",INDEX(tsk_ActCostInput,(ROW()-ROW(MSPTasks[[#Headers],[ID]]))))))</f>
        <v/>
      </c>
      <c r="U59" s="24" t="str">
        <f aca="false">IF(IFERROR(INDEX(tsk_Name,(ROW()-ROW(MSPTasks[[#Headers],[ID]])))="",TRUE()),"",IF(INDEX(tsk_IsSummary,(ROW()-ROW(MSPTasks[[#Headers],[ID]]))),"",IF(AND(INDEX(tsk_Mode,(ROW()-ROW(MSPTasks[[#Headers],[ID]])))&lt;&gt;"Manual",N(INDEX(tsk_Constraint,(ROW()-ROW(MSPTasks[[#Headers],[ID]]))))&gt;0),"Start No Earlier Than","As Soon As Possible")))</f>
        <v/>
      </c>
      <c r="V59" s="130" t="str">
        <f aca="false">IF(IFERROR(INDEX(tsk_Name,(ROW()-ROW(MSPTasks[[#Headers],[ID]])))="",TRUE()),"",IF(OR(INDEX(tsk_IsSummary,(ROW()-ROW(MSPTasks[[#Headers],[ID]]))),INDEX(tsk_Mode,(ROW()-ROW(MSPTasks[[#Headers],[ID]])))="Manual"),"",IF(N(INDEX(tsk_Constraint,(ROW()-ROW(MSPTasks[[#Headers],[ID]]))))=0,"",INDEX(tsk_Constraint,(ROW()-ROW(MSPTasks[[#Headers],[ID]]))))))</f>
        <v/>
      </c>
      <c r="W59" s="130" t="str">
        <f aca="false">IF(IFERROR(INDEX(tsk_Name,(ROW()-ROW(MSPTasks[[#Headers],[ID]])))="",TRUE()),"",IF(N(INDEX(tsk_Deadline,(ROW()-ROW(MSPTasks[[#Headers],[ID]]))))=0,"",INDEX(tsk_Deadline,(ROW()-ROW(MSPTasks[[#Headers],[ID]])))))</f>
        <v/>
      </c>
      <c r="X59" s="24" t="str">
        <f aca="false">IF(IFERROR(INDEX(tsk_Name,(ROW()-ROW(MSPTasks[[#Headers],[ID]])))="",TRUE()),"",IF(INDEX(tsk_IsSummary,(ROW()-ROW(MSPTasks[[#Headers],[ID]]))),"",INDEX(tsk_Sprint,(ROW()-ROW(MSPTasks[[#Headers],[ID]])))&amp;""))</f>
        <v/>
      </c>
      <c r="Y59" s="24" t="str">
        <f aca="false">IF(IFERROR(INDEX(tsk_Name,(ROW()-ROW(MSPTasks[[#Headers],[ID]])))="",TRUE()),"",IF(INDEX(tsk_IsSummary,(ROW()-ROW(MSPTasks[[#Headers],[ID]]))),"",IF(N(INDEX(tsk_StoryPoints,(ROW()-ROW(MSPTasks[[#Headers],[ID]]))))=0,"",INDEX(tsk_StoryPoints,(ROW()-ROW(MSPTasks[[#Headers],[ID]]))))))</f>
        <v/>
      </c>
      <c r="Z59" s="24" t="str">
        <f aca="false">IF(IFERROR(INDEX(tsk_Name,(ROW()-ROW(MSPTasks[[#Headers],[ID]])))="",TRUE()),"",INDEX(tsk_Notes,(ROW()-ROW(MSPTasks[[#Headers],[ID]])))&amp;"")</f>
        <v/>
      </c>
    </row>
    <row r="60" customFormat="false" ht="15" hidden="false" customHeight="false" outlineLevel="0" collapsed="false">
      <c r="A60" s="24" t="str">
        <f aca="false">IF(IFERROR(INDEX(tsk_Name,(ROW()-ROW(MSPTasks[[#Headers],[ID]])))="",TRUE()),"",INDEX(tsk_ID,(ROW()-ROW(MSPTasks[[#Headers],[ID]]))))</f>
        <v/>
      </c>
      <c r="B60" s="24" t="str">
        <f aca="false">IF(IFERROR(INDEX(tsk_Name,(ROW()-ROW(MSPTasks[[#Headers],[ID]])))="",TRUE()),"",INDEX(tsk_UID,(ROW()-ROW(MSPTasks[[#Headers],[ID]]))))</f>
        <v/>
      </c>
      <c r="C60" s="24" t="str">
        <f aca="false">IF(IFERROR(INDEX(tsk_Name,(ROW()-ROW(MSPTasks[[#Headers],[ID]])))="",TRUE()),"",INDEX(tsk_Name,(ROW()-ROW(MSPTasks[[#Headers],[ID]]))))</f>
        <v/>
      </c>
      <c r="D60" s="24" t="str">
        <f aca="false">IF(IFERROR(INDEX(tsk_Name,(ROW()-ROW(MSPTasks[[#Headers],[ID]])))="",TRUE()),"",INDEX(tsk_Level,(ROW()-ROW(MSPTasks[[#Headers],[ID]]))))</f>
        <v/>
      </c>
      <c r="E60" s="24" t="str">
        <f aca="false">IF(IFERROR(INDEX(tsk_Name,(ROW()-ROW(MSPTasks[[#Headers],[ID]])))="",TRUE()),"",IF(INDEX(tsk_Mode,(ROW()-ROW(MSPTasks[[#Headers],[ID]])))="Manual","Manually Scheduled","Auto Scheduled"))</f>
        <v/>
      </c>
      <c r="F60" s="24" t="str">
        <f aca="false">IF(IFERROR(INDEX(tsk_Name,(ROW()-ROW(MSPTasks[[#Headers],[ID]])))="",TRUE()),"",IF(INDEX(tsk_IsSummary,(ROW()-ROW(MSPTasks[[#Headers],[ID]]))),"",N(INDEX(tsk_Duration,(ROW()-ROW(MSPTasks[[#Headers],[ID]]))))&amp;"d"))</f>
        <v/>
      </c>
      <c r="G60" s="130" t="str">
        <f aca="false">IF(IFERROR(INDEX(tsk_Name,(ROW()-ROW(MSPTasks[[#Headers],[ID]])))="",TRUE()),"",INDEX(tsk_FcStart,(ROW()-ROW(MSPTasks[[#Headers],[ID]]))))</f>
        <v/>
      </c>
      <c r="H60" s="130" t="str">
        <f aca="false">IF(IFERROR(INDEX(tsk_Name,(ROW()-ROW(MSPTasks[[#Headers],[ID]])))="",TRUE()),"",INDEX(tsk_FcFinish,(ROW()-ROW(MSPTasks[[#Headers],[ID]]))))</f>
        <v/>
      </c>
      <c r="I60" s="24" t="str">
        <f aca="false">IF(IFERROR(INDEX(tsk_Name,(ROW()-ROW(MSPTasks[[#Headers],[ID]])))="",TRUE()),"",IF(INDEX(tsk_IsSummary,(ROW()-ROW(MSPTasks[[#Headers],[ID]]))),"",INDEX(tsk_Predecessors,(ROW()-ROW(MSPTasks[[#Headers],[ID]])))))</f>
        <v/>
      </c>
      <c r="J60" s="24" t="str">
        <f aca="false">IF(IFERROR(INDEX(tsk_Name,(ROW()-ROW(MSPTasks[[#Headers],[ID]])))="",TRUE()),"",IF(INDEX(tsk_IsSummary,(ROW()-ROW(MSPTasks[[#Headers],[ID]]))),"",INDEX(tsk_UIDPredecessors,(ROW()-ROW(MSPTasks[[#Headers],[ID]])))))</f>
        <v/>
      </c>
      <c r="K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0" s="24" t="str">
        <f aca="false">IF(IFERROR(INDEX(tsk_Name,(ROW()-ROW(MSPTasks[[#Headers],[ID]])))="",TRUE()),"",IF(INDEX(tsk_IsSummary,(ROW()-ROW(MSPTasks[[#Headers],[ID]]))),"",ROUND(INDEX(tsk_Progress,(ROW()-ROW(MSPTasks[[#Headers],[ID]])))*100,0)))</f>
        <v/>
      </c>
      <c r="M60" s="130" t="str">
        <f aca="false">IF(IFERROR(INDEX(tsk_Name,(ROW()-ROW(MSPTasks[[#Headers],[ID]])))="",TRUE()),"",IF(N(INDEX(tsk_ActStart,(ROW()-ROW(MSPTasks[[#Headers],[ID]]))))=0,"",INDEX(tsk_ActStart,(ROW()-ROW(MSPTasks[[#Headers],[ID]])))))</f>
        <v/>
      </c>
      <c r="N60" s="130" t="str">
        <f aca="false">IF(IFERROR(INDEX(tsk_Name,(ROW()-ROW(MSPTasks[[#Headers],[ID]])))="",TRUE()),"",IF(N(INDEX(tsk_ActFinish,(ROW()-ROW(MSPTasks[[#Headers],[ID]]))))=0,"",INDEX(tsk_ActFinish,(ROW()-ROW(MSPTasks[[#Headers],[ID]])))))</f>
        <v/>
      </c>
      <c r="O60" s="130" t="str">
        <f aca="false">IF(IFERROR(INDEX(tsk_Name,(ROW()-ROW(MSPTasks[[#Headers],[ID]])))="",TRUE()),"",INDEX(tsk_PlanStart,(ROW()-ROW(MSPTasks[[#Headers],[ID]]))))</f>
        <v/>
      </c>
      <c r="P60" s="130" t="str">
        <f aca="false">IF(IFERROR(INDEX(tsk_Name,(ROW()-ROW(MSPTasks[[#Headers],[ID]])))="",TRUE()),"",INDEX(tsk_PlanFinish,(ROW()-ROW(MSPTasks[[#Headers],[ID]]))))</f>
        <v/>
      </c>
      <c r="Q60" s="24" t="str">
        <f aca="false">IF(IFERROR(INDEX(tsk_Name,(ROW()-ROW(MSPTasks[[#Headers],[ID]])))="",TRUE()),"",IF(INDEX(tsk_BaseDuration,(ROW()-ROW(MSPTasks[[#Headers],[ID]])))="","",N(INDEX(tsk_BaseDuration,(ROW()-ROW(MSPTasks[[#Headers],[ID]]))))&amp;"d"))</f>
        <v/>
      </c>
      <c r="R60" s="24" t="str">
        <f aca="false">IF(IFERROR(INDEX(tsk_Name,(ROW()-ROW(MSPTasks[[#Headers],[ID]])))="",TRUE()),"",IF(INDEX(tsk_BaseWork,(ROW()-ROW(MSPTasks[[#Headers],[ID]])))="","",N(INDEX(tsk_BaseWork,(ROW()-ROW(MSPTasks[[#Headers],[ID]]))))&amp;"h"))</f>
        <v/>
      </c>
      <c r="S60" s="24" t="str">
        <f aca="false">IF(IFERROR(INDEX(tsk_Name,(ROW()-ROW(MSPTasks[[#Headers],[ID]])))="",TRUE()),"",IF(INDEX(tsk_BaseCost,(ROW()-ROW(MSPTasks[[#Headers],[ID]])))="","",N(INDEX(tsk_BaseCost,(ROW()-ROW(MSPTasks[[#Headers],[ID]]))))))</f>
        <v/>
      </c>
      <c r="T60" s="24" t="str">
        <f aca="false">IF(IFERROR(INDEX(tsk_Name,(ROW()-ROW(MSPTasks[[#Headers],[ID]])))="",TRUE()),"",IF(INDEX(tsk_IsSummary,(ROW()-ROW(MSPTasks[[#Headers],[ID]]))),"",IF(N(INDEX(tsk_ActCostInput,(ROW()-ROW(MSPTasks[[#Headers],[ID]]))))=0,"",INDEX(tsk_ActCostInput,(ROW()-ROW(MSPTasks[[#Headers],[ID]]))))))</f>
        <v/>
      </c>
      <c r="U60" s="24" t="str">
        <f aca="false">IF(IFERROR(INDEX(tsk_Name,(ROW()-ROW(MSPTasks[[#Headers],[ID]])))="",TRUE()),"",IF(INDEX(tsk_IsSummary,(ROW()-ROW(MSPTasks[[#Headers],[ID]]))),"",IF(AND(INDEX(tsk_Mode,(ROW()-ROW(MSPTasks[[#Headers],[ID]])))&lt;&gt;"Manual",N(INDEX(tsk_Constraint,(ROW()-ROW(MSPTasks[[#Headers],[ID]]))))&gt;0),"Start No Earlier Than","As Soon As Possible")))</f>
        <v/>
      </c>
      <c r="V60" s="130" t="str">
        <f aca="false">IF(IFERROR(INDEX(tsk_Name,(ROW()-ROW(MSPTasks[[#Headers],[ID]])))="",TRUE()),"",IF(OR(INDEX(tsk_IsSummary,(ROW()-ROW(MSPTasks[[#Headers],[ID]]))),INDEX(tsk_Mode,(ROW()-ROW(MSPTasks[[#Headers],[ID]])))="Manual"),"",IF(N(INDEX(tsk_Constraint,(ROW()-ROW(MSPTasks[[#Headers],[ID]]))))=0,"",INDEX(tsk_Constraint,(ROW()-ROW(MSPTasks[[#Headers],[ID]]))))))</f>
        <v/>
      </c>
      <c r="W60" s="130" t="str">
        <f aca="false">IF(IFERROR(INDEX(tsk_Name,(ROW()-ROW(MSPTasks[[#Headers],[ID]])))="",TRUE()),"",IF(N(INDEX(tsk_Deadline,(ROW()-ROW(MSPTasks[[#Headers],[ID]]))))=0,"",INDEX(tsk_Deadline,(ROW()-ROW(MSPTasks[[#Headers],[ID]])))))</f>
        <v/>
      </c>
      <c r="X60" s="24" t="str">
        <f aca="false">IF(IFERROR(INDEX(tsk_Name,(ROW()-ROW(MSPTasks[[#Headers],[ID]])))="",TRUE()),"",IF(INDEX(tsk_IsSummary,(ROW()-ROW(MSPTasks[[#Headers],[ID]]))),"",INDEX(tsk_Sprint,(ROW()-ROW(MSPTasks[[#Headers],[ID]])))&amp;""))</f>
        <v/>
      </c>
      <c r="Y60" s="24" t="str">
        <f aca="false">IF(IFERROR(INDEX(tsk_Name,(ROW()-ROW(MSPTasks[[#Headers],[ID]])))="",TRUE()),"",IF(INDEX(tsk_IsSummary,(ROW()-ROW(MSPTasks[[#Headers],[ID]]))),"",IF(N(INDEX(tsk_StoryPoints,(ROW()-ROW(MSPTasks[[#Headers],[ID]]))))=0,"",INDEX(tsk_StoryPoints,(ROW()-ROW(MSPTasks[[#Headers],[ID]]))))))</f>
        <v/>
      </c>
      <c r="Z60" s="24" t="str">
        <f aca="false">IF(IFERROR(INDEX(tsk_Name,(ROW()-ROW(MSPTasks[[#Headers],[ID]])))="",TRUE()),"",INDEX(tsk_Notes,(ROW()-ROW(MSPTasks[[#Headers],[ID]])))&amp;"")</f>
        <v/>
      </c>
    </row>
    <row r="61" customFormat="false" ht="15" hidden="false" customHeight="false" outlineLevel="0" collapsed="false">
      <c r="A61" s="24" t="str">
        <f aca="false">IF(IFERROR(INDEX(tsk_Name,(ROW()-ROW(MSPTasks[[#Headers],[ID]])))="",TRUE()),"",INDEX(tsk_ID,(ROW()-ROW(MSPTasks[[#Headers],[ID]]))))</f>
        <v/>
      </c>
      <c r="B61" s="24" t="str">
        <f aca="false">IF(IFERROR(INDEX(tsk_Name,(ROW()-ROW(MSPTasks[[#Headers],[ID]])))="",TRUE()),"",INDEX(tsk_UID,(ROW()-ROW(MSPTasks[[#Headers],[ID]]))))</f>
        <v/>
      </c>
      <c r="C61" s="24" t="str">
        <f aca="false">IF(IFERROR(INDEX(tsk_Name,(ROW()-ROW(MSPTasks[[#Headers],[ID]])))="",TRUE()),"",INDEX(tsk_Name,(ROW()-ROW(MSPTasks[[#Headers],[ID]]))))</f>
        <v/>
      </c>
      <c r="D61" s="24" t="str">
        <f aca="false">IF(IFERROR(INDEX(tsk_Name,(ROW()-ROW(MSPTasks[[#Headers],[ID]])))="",TRUE()),"",INDEX(tsk_Level,(ROW()-ROW(MSPTasks[[#Headers],[ID]]))))</f>
        <v/>
      </c>
      <c r="E61" s="24" t="str">
        <f aca="false">IF(IFERROR(INDEX(tsk_Name,(ROW()-ROW(MSPTasks[[#Headers],[ID]])))="",TRUE()),"",IF(INDEX(tsk_Mode,(ROW()-ROW(MSPTasks[[#Headers],[ID]])))="Manual","Manually Scheduled","Auto Scheduled"))</f>
        <v/>
      </c>
      <c r="F61" s="24" t="str">
        <f aca="false">IF(IFERROR(INDEX(tsk_Name,(ROW()-ROW(MSPTasks[[#Headers],[ID]])))="",TRUE()),"",IF(INDEX(tsk_IsSummary,(ROW()-ROW(MSPTasks[[#Headers],[ID]]))),"",N(INDEX(tsk_Duration,(ROW()-ROW(MSPTasks[[#Headers],[ID]]))))&amp;"d"))</f>
        <v/>
      </c>
      <c r="G61" s="130" t="str">
        <f aca="false">IF(IFERROR(INDEX(tsk_Name,(ROW()-ROW(MSPTasks[[#Headers],[ID]])))="",TRUE()),"",INDEX(tsk_FcStart,(ROW()-ROW(MSPTasks[[#Headers],[ID]]))))</f>
        <v/>
      </c>
      <c r="H61" s="130" t="str">
        <f aca="false">IF(IFERROR(INDEX(tsk_Name,(ROW()-ROW(MSPTasks[[#Headers],[ID]])))="",TRUE()),"",INDEX(tsk_FcFinish,(ROW()-ROW(MSPTasks[[#Headers],[ID]]))))</f>
        <v/>
      </c>
      <c r="I61" s="24" t="str">
        <f aca="false">IF(IFERROR(INDEX(tsk_Name,(ROW()-ROW(MSPTasks[[#Headers],[ID]])))="",TRUE()),"",IF(INDEX(tsk_IsSummary,(ROW()-ROW(MSPTasks[[#Headers],[ID]]))),"",INDEX(tsk_Predecessors,(ROW()-ROW(MSPTasks[[#Headers],[ID]])))))</f>
        <v/>
      </c>
      <c r="J61" s="24" t="str">
        <f aca="false">IF(IFERROR(INDEX(tsk_Name,(ROW()-ROW(MSPTasks[[#Headers],[ID]])))="",TRUE()),"",IF(INDEX(tsk_IsSummary,(ROW()-ROW(MSPTasks[[#Headers],[ID]]))),"",INDEX(tsk_UIDPredecessors,(ROW()-ROW(MSPTasks[[#Headers],[ID]])))))</f>
        <v/>
      </c>
      <c r="K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1" s="24" t="str">
        <f aca="false">IF(IFERROR(INDEX(tsk_Name,(ROW()-ROW(MSPTasks[[#Headers],[ID]])))="",TRUE()),"",IF(INDEX(tsk_IsSummary,(ROW()-ROW(MSPTasks[[#Headers],[ID]]))),"",ROUND(INDEX(tsk_Progress,(ROW()-ROW(MSPTasks[[#Headers],[ID]])))*100,0)))</f>
        <v/>
      </c>
      <c r="M61" s="130" t="str">
        <f aca="false">IF(IFERROR(INDEX(tsk_Name,(ROW()-ROW(MSPTasks[[#Headers],[ID]])))="",TRUE()),"",IF(N(INDEX(tsk_ActStart,(ROW()-ROW(MSPTasks[[#Headers],[ID]]))))=0,"",INDEX(tsk_ActStart,(ROW()-ROW(MSPTasks[[#Headers],[ID]])))))</f>
        <v/>
      </c>
      <c r="N61" s="130" t="str">
        <f aca="false">IF(IFERROR(INDEX(tsk_Name,(ROW()-ROW(MSPTasks[[#Headers],[ID]])))="",TRUE()),"",IF(N(INDEX(tsk_ActFinish,(ROW()-ROW(MSPTasks[[#Headers],[ID]]))))=0,"",INDEX(tsk_ActFinish,(ROW()-ROW(MSPTasks[[#Headers],[ID]])))))</f>
        <v/>
      </c>
      <c r="O61" s="130" t="str">
        <f aca="false">IF(IFERROR(INDEX(tsk_Name,(ROW()-ROW(MSPTasks[[#Headers],[ID]])))="",TRUE()),"",INDEX(tsk_PlanStart,(ROW()-ROW(MSPTasks[[#Headers],[ID]]))))</f>
        <v/>
      </c>
      <c r="P61" s="130" t="str">
        <f aca="false">IF(IFERROR(INDEX(tsk_Name,(ROW()-ROW(MSPTasks[[#Headers],[ID]])))="",TRUE()),"",INDEX(tsk_PlanFinish,(ROW()-ROW(MSPTasks[[#Headers],[ID]]))))</f>
        <v/>
      </c>
      <c r="Q61" s="24" t="str">
        <f aca="false">IF(IFERROR(INDEX(tsk_Name,(ROW()-ROW(MSPTasks[[#Headers],[ID]])))="",TRUE()),"",IF(INDEX(tsk_BaseDuration,(ROW()-ROW(MSPTasks[[#Headers],[ID]])))="","",N(INDEX(tsk_BaseDuration,(ROW()-ROW(MSPTasks[[#Headers],[ID]]))))&amp;"d"))</f>
        <v/>
      </c>
      <c r="R61" s="24" t="str">
        <f aca="false">IF(IFERROR(INDEX(tsk_Name,(ROW()-ROW(MSPTasks[[#Headers],[ID]])))="",TRUE()),"",IF(INDEX(tsk_BaseWork,(ROW()-ROW(MSPTasks[[#Headers],[ID]])))="","",N(INDEX(tsk_BaseWork,(ROW()-ROW(MSPTasks[[#Headers],[ID]]))))&amp;"h"))</f>
        <v/>
      </c>
      <c r="S61" s="24" t="str">
        <f aca="false">IF(IFERROR(INDEX(tsk_Name,(ROW()-ROW(MSPTasks[[#Headers],[ID]])))="",TRUE()),"",IF(INDEX(tsk_BaseCost,(ROW()-ROW(MSPTasks[[#Headers],[ID]])))="","",N(INDEX(tsk_BaseCost,(ROW()-ROW(MSPTasks[[#Headers],[ID]]))))))</f>
        <v/>
      </c>
      <c r="T61" s="24" t="str">
        <f aca="false">IF(IFERROR(INDEX(tsk_Name,(ROW()-ROW(MSPTasks[[#Headers],[ID]])))="",TRUE()),"",IF(INDEX(tsk_IsSummary,(ROW()-ROW(MSPTasks[[#Headers],[ID]]))),"",IF(N(INDEX(tsk_ActCostInput,(ROW()-ROW(MSPTasks[[#Headers],[ID]]))))=0,"",INDEX(tsk_ActCostInput,(ROW()-ROW(MSPTasks[[#Headers],[ID]]))))))</f>
        <v/>
      </c>
      <c r="U61" s="24" t="str">
        <f aca="false">IF(IFERROR(INDEX(tsk_Name,(ROW()-ROW(MSPTasks[[#Headers],[ID]])))="",TRUE()),"",IF(INDEX(tsk_IsSummary,(ROW()-ROW(MSPTasks[[#Headers],[ID]]))),"",IF(AND(INDEX(tsk_Mode,(ROW()-ROW(MSPTasks[[#Headers],[ID]])))&lt;&gt;"Manual",N(INDEX(tsk_Constraint,(ROW()-ROW(MSPTasks[[#Headers],[ID]]))))&gt;0),"Start No Earlier Than","As Soon As Possible")))</f>
        <v/>
      </c>
      <c r="V61" s="130" t="str">
        <f aca="false">IF(IFERROR(INDEX(tsk_Name,(ROW()-ROW(MSPTasks[[#Headers],[ID]])))="",TRUE()),"",IF(OR(INDEX(tsk_IsSummary,(ROW()-ROW(MSPTasks[[#Headers],[ID]]))),INDEX(tsk_Mode,(ROW()-ROW(MSPTasks[[#Headers],[ID]])))="Manual"),"",IF(N(INDEX(tsk_Constraint,(ROW()-ROW(MSPTasks[[#Headers],[ID]]))))=0,"",INDEX(tsk_Constraint,(ROW()-ROW(MSPTasks[[#Headers],[ID]]))))))</f>
        <v/>
      </c>
      <c r="W61" s="130" t="str">
        <f aca="false">IF(IFERROR(INDEX(tsk_Name,(ROW()-ROW(MSPTasks[[#Headers],[ID]])))="",TRUE()),"",IF(N(INDEX(tsk_Deadline,(ROW()-ROW(MSPTasks[[#Headers],[ID]]))))=0,"",INDEX(tsk_Deadline,(ROW()-ROW(MSPTasks[[#Headers],[ID]])))))</f>
        <v/>
      </c>
      <c r="X61" s="24" t="str">
        <f aca="false">IF(IFERROR(INDEX(tsk_Name,(ROW()-ROW(MSPTasks[[#Headers],[ID]])))="",TRUE()),"",IF(INDEX(tsk_IsSummary,(ROW()-ROW(MSPTasks[[#Headers],[ID]]))),"",INDEX(tsk_Sprint,(ROW()-ROW(MSPTasks[[#Headers],[ID]])))&amp;""))</f>
        <v/>
      </c>
      <c r="Y61" s="24" t="str">
        <f aca="false">IF(IFERROR(INDEX(tsk_Name,(ROW()-ROW(MSPTasks[[#Headers],[ID]])))="",TRUE()),"",IF(INDEX(tsk_IsSummary,(ROW()-ROW(MSPTasks[[#Headers],[ID]]))),"",IF(N(INDEX(tsk_StoryPoints,(ROW()-ROW(MSPTasks[[#Headers],[ID]]))))=0,"",INDEX(tsk_StoryPoints,(ROW()-ROW(MSPTasks[[#Headers],[ID]]))))))</f>
        <v/>
      </c>
      <c r="Z61" s="24" t="str">
        <f aca="false">IF(IFERROR(INDEX(tsk_Name,(ROW()-ROW(MSPTasks[[#Headers],[ID]])))="",TRUE()),"",INDEX(tsk_Notes,(ROW()-ROW(MSPTasks[[#Headers],[ID]])))&amp;"")</f>
        <v/>
      </c>
    </row>
    <row r="62" customFormat="false" ht="15" hidden="false" customHeight="false" outlineLevel="0" collapsed="false">
      <c r="A62" s="24" t="str">
        <f aca="false">IF(IFERROR(INDEX(tsk_Name,(ROW()-ROW(MSPTasks[[#Headers],[ID]])))="",TRUE()),"",INDEX(tsk_ID,(ROW()-ROW(MSPTasks[[#Headers],[ID]]))))</f>
        <v/>
      </c>
      <c r="B62" s="24" t="str">
        <f aca="false">IF(IFERROR(INDEX(tsk_Name,(ROW()-ROW(MSPTasks[[#Headers],[ID]])))="",TRUE()),"",INDEX(tsk_UID,(ROW()-ROW(MSPTasks[[#Headers],[ID]]))))</f>
        <v/>
      </c>
      <c r="C62" s="24" t="str">
        <f aca="false">IF(IFERROR(INDEX(tsk_Name,(ROW()-ROW(MSPTasks[[#Headers],[ID]])))="",TRUE()),"",INDEX(tsk_Name,(ROW()-ROW(MSPTasks[[#Headers],[ID]]))))</f>
        <v/>
      </c>
      <c r="D62" s="24" t="str">
        <f aca="false">IF(IFERROR(INDEX(tsk_Name,(ROW()-ROW(MSPTasks[[#Headers],[ID]])))="",TRUE()),"",INDEX(tsk_Level,(ROW()-ROW(MSPTasks[[#Headers],[ID]]))))</f>
        <v/>
      </c>
      <c r="E62" s="24" t="str">
        <f aca="false">IF(IFERROR(INDEX(tsk_Name,(ROW()-ROW(MSPTasks[[#Headers],[ID]])))="",TRUE()),"",IF(INDEX(tsk_Mode,(ROW()-ROW(MSPTasks[[#Headers],[ID]])))="Manual","Manually Scheduled","Auto Scheduled"))</f>
        <v/>
      </c>
      <c r="F62" s="24" t="str">
        <f aca="false">IF(IFERROR(INDEX(tsk_Name,(ROW()-ROW(MSPTasks[[#Headers],[ID]])))="",TRUE()),"",IF(INDEX(tsk_IsSummary,(ROW()-ROW(MSPTasks[[#Headers],[ID]]))),"",N(INDEX(tsk_Duration,(ROW()-ROW(MSPTasks[[#Headers],[ID]]))))&amp;"d"))</f>
        <v/>
      </c>
      <c r="G62" s="130" t="str">
        <f aca="false">IF(IFERROR(INDEX(tsk_Name,(ROW()-ROW(MSPTasks[[#Headers],[ID]])))="",TRUE()),"",INDEX(tsk_FcStart,(ROW()-ROW(MSPTasks[[#Headers],[ID]]))))</f>
        <v/>
      </c>
      <c r="H62" s="130" t="str">
        <f aca="false">IF(IFERROR(INDEX(tsk_Name,(ROW()-ROW(MSPTasks[[#Headers],[ID]])))="",TRUE()),"",INDEX(tsk_FcFinish,(ROW()-ROW(MSPTasks[[#Headers],[ID]]))))</f>
        <v/>
      </c>
      <c r="I62" s="24" t="str">
        <f aca="false">IF(IFERROR(INDEX(tsk_Name,(ROW()-ROW(MSPTasks[[#Headers],[ID]])))="",TRUE()),"",IF(INDEX(tsk_IsSummary,(ROW()-ROW(MSPTasks[[#Headers],[ID]]))),"",INDEX(tsk_Predecessors,(ROW()-ROW(MSPTasks[[#Headers],[ID]])))))</f>
        <v/>
      </c>
      <c r="J62" s="24" t="str">
        <f aca="false">IF(IFERROR(INDEX(tsk_Name,(ROW()-ROW(MSPTasks[[#Headers],[ID]])))="",TRUE()),"",IF(INDEX(tsk_IsSummary,(ROW()-ROW(MSPTasks[[#Headers],[ID]]))),"",INDEX(tsk_UIDPredecessors,(ROW()-ROW(MSPTasks[[#Headers],[ID]])))))</f>
        <v/>
      </c>
      <c r="K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2" s="24" t="str">
        <f aca="false">IF(IFERROR(INDEX(tsk_Name,(ROW()-ROW(MSPTasks[[#Headers],[ID]])))="",TRUE()),"",IF(INDEX(tsk_IsSummary,(ROW()-ROW(MSPTasks[[#Headers],[ID]]))),"",ROUND(INDEX(tsk_Progress,(ROW()-ROW(MSPTasks[[#Headers],[ID]])))*100,0)))</f>
        <v/>
      </c>
      <c r="M62" s="130" t="str">
        <f aca="false">IF(IFERROR(INDEX(tsk_Name,(ROW()-ROW(MSPTasks[[#Headers],[ID]])))="",TRUE()),"",IF(N(INDEX(tsk_ActStart,(ROW()-ROW(MSPTasks[[#Headers],[ID]]))))=0,"",INDEX(tsk_ActStart,(ROW()-ROW(MSPTasks[[#Headers],[ID]])))))</f>
        <v/>
      </c>
      <c r="N62" s="130" t="str">
        <f aca="false">IF(IFERROR(INDEX(tsk_Name,(ROW()-ROW(MSPTasks[[#Headers],[ID]])))="",TRUE()),"",IF(N(INDEX(tsk_ActFinish,(ROW()-ROW(MSPTasks[[#Headers],[ID]]))))=0,"",INDEX(tsk_ActFinish,(ROW()-ROW(MSPTasks[[#Headers],[ID]])))))</f>
        <v/>
      </c>
      <c r="O62" s="130" t="str">
        <f aca="false">IF(IFERROR(INDEX(tsk_Name,(ROW()-ROW(MSPTasks[[#Headers],[ID]])))="",TRUE()),"",INDEX(tsk_PlanStart,(ROW()-ROW(MSPTasks[[#Headers],[ID]]))))</f>
        <v/>
      </c>
      <c r="P62" s="130" t="str">
        <f aca="false">IF(IFERROR(INDEX(tsk_Name,(ROW()-ROW(MSPTasks[[#Headers],[ID]])))="",TRUE()),"",INDEX(tsk_PlanFinish,(ROW()-ROW(MSPTasks[[#Headers],[ID]]))))</f>
        <v/>
      </c>
      <c r="Q62" s="24" t="str">
        <f aca="false">IF(IFERROR(INDEX(tsk_Name,(ROW()-ROW(MSPTasks[[#Headers],[ID]])))="",TRUE()),"",IF(INDEX(tsk_BaseDuration,(ROW()-ROW(MSPTasks[[#Headers],[ID]])))="","",N(INDEX(tsk_BaseDuration,(ROW()-ROW(MSPTasks[[#Headers],[ID]]))))&amp;"d"))</f>
        <v/>
      </c>
      <c r="R62" s="24" t="str">
        <f aca="false">IF(IFERROR(INDEX(tsk_Name,(ROW()-ROW(MSPTasks[[#Headers],[ID]])))="",TRUE()),"",IF(INDEX(tsk_BaseWork,(ROW()-ROW(MSPTasks[[#Headers],[ID]])))="","",N(INDEX(tsk_BaseWork,(ROW()-ROW(MSPTasks[[#Headers],[ID]]))))&amp;"h"))</f>
        <v/>
      </c>
      <c r="S62" s="24" t="str">
        <f aca="false">IF(IFERROR(INDEX(tsk_Name,(ROW()-ROW(MSPTasks[[#Headers],[ID]])))="",TRUE()),"",IF(INDEX(tsk_BaseCost,(ROW()-ROW(MSPTasks[[#Headers],[ID]])))="","",N(INDEX(tsk_BaseCost,(ROW()-ROW(MSPTasks[[#Headers],[ID]]))))))</f>
        <v/>
      </c>
      <c r="T62" s="24" t="str">
        <f aca="false">IF(IFERROR(INDEX(tsk_Name,(ROW()-ROW(MSPTasks[[#Headers],[ID]])))="",TRUE()),"",IF(INDEX(tsk_IsSummary,(ROW()-ROW(MSPTasks[[#Headers],[ID]]))),"",IF(N(INDEX(tsk_ActCostInput,(ROW()-ROW(MSPTasks[[#Headers],[ID]]))))=0,"",INDEX(tsk_ActCostInput,(ROW()-ROW(MSPTasks[[#Headers],[ID]]))))))</f>
        <v/>
      </c>
      <c r="U62" s="24" t="str">
        <f aca="false">IF(IFERROR(INDEX(tsk_Name,(ROW()-ROW(MSPTasks[[#Headers],[ID]])))="",TRUE()),"",IF(INDEX(tsk_IsSummary,(ROW()-ROW(MSPTasks[[#Headers],[ID]]))),"",IF(AND(INDEX(tsk_Mode,(ROW()-ROW(MSPTasks[[#Headers],[ID]])))&lt;&gt;"Manual",N(INDEX(tsk_Constraint,(ROW()-ROW(MSPTasks[[#Headers],[ID]]))))&gt;0),"Start No Earlier Than","As Soon As Possible")))</f>
        <v/>
      </c>
      <c r="V62" s="130" t="str">
        <f aca="false">IF(IFERROR(INDEX(tsk_Name,(ROW()-ROW(MSPTasks[[#Headers],[ID]])))="",TRUE()),"",IF(OR(INDEX(tsk_IsSummary,(ROW()-ROW(MSPTasks[[#Headers],[ID]]))),INDEX(tsk_Mode,(ROW()-ROW(MSPTasks[[#Headers],[ID]])))="Manual"),"",IF(N(INDEX(tsk_Constraint,(ROW()-ROW(MSPTasks[[#Headers],[ID]]))))=0,"",INDEX(tsk_Constraint,(ROW()-ROW(MSPTasks[[#Headers],[ID]]))))))</f>
        <v/>
      </c>
      <c r="W62" s="130" t="str">
        <f aca="false">IF(IFERROR(INDEX(tsk_Name,(ROW()-ROW(MSPTasks[[#Headers],[ID]])))="",TRUE()),"",IF(N(INDEX(tsk_Deadline,(ROW()-ROW(MSPTasks[[#Headers],[ID]]))))=0,"",INDEX(tsk_Deadline,(ROW()-ROW(MSPTasks[[#Headers],[ID]])))))</f>
        <v/>
      </c>
      <c r="X62" s="24" t="str">
        <f aca="false">IF(IFERROR(INDEX(tsk_Name,(ROW()-ROW(MSPTasks[[#Headers],[ID]])))="",TRUE()),"",IF(INDEX(tsk_IsSummary,(ROW()-ROW(MSPTasks[[#Headers],[ID]]))),"",INDEX(tsk_Sprint,(ROW()-ROW(MSPTasks[[#Headers],[ID]])))&amp;""))</f>
        <v/>
      </c>
      <c r="Y62" s="24" t="str">
        <f aca="false">IF(IFERROR(INDEX(tsk_Name,(ROW()-ROW(MSPTasks[[#Headers],[ID]])))="",TRUE()),"",IF(INDEX(tsk_IsSummary,(ROW()-ROW(MSPTasks[[#Headers],[ID]]))),"",IF(N(INDEX(tsk_StoryPoints,(ROW()-ROW(MSPTasks[[#Headers],[ID]]))))=0,"",INDEX(tsk_StoryPoints,(ROW()-ROW(MSPTasks[[#Headers],[ID]]))))))</f>
        <v/>
      </c>
      <c r="Z62" s="24" t="str">
        <f aca="false">IF(IFERROR(INDEX(tsk_Name,(ROW()-ROW(MSPTasks[[#Headers],[ID]])))="",TRUE()),"",INDEX(tsk_Notes,(ROW()-ROW(MSPTasks[[#Headers],[ID]])))&amp;"")</f>
        <v/>
      </c>
    </row>
    <row r="63" customFormat="false" ht="15" hidden="false" customHeight="false" outlineLevel="0" collapsed="false">
      <c r="A63" s="24" t="str">
        <f aca="false">IF(IFERROR(INDEX(tsk_Name,(ROW()-ROW(MSPTasks[[#Headers],[ID]])))="",TRUE()),"",INDEX(tsk_ID,(ROW()-ROW(MSPTasks[[#Headers],[ID]]))))</f>
        <v/>
      </c>
      <c r="B63" s="24" t="str">
        <f aca="false">IF(IFERROR(INDEX(tsk_Name,(ROW()-ROW(MSPTasks[[#Headers],[ID]])))="",TRUE()),"",INDEX(tsk_UID,(ROW()-ROW(MSPTasks[[#Headers],[ID]]))))</f>
        <v/>
      </c>
      <c r="C63" s="24" t="str">
        <f aca="false">IF(IFERROR(INDEX(tsk_Name,(ROW()-ROW(MSPTasks[[#Headers],[ID]])))="",TRUE()),"",INDEX(tsk_Name,(ROW()-ROW(MSPTasks[[#Headers],[ID]]))))</f>
        <v/>
      </c>
      <c r="D63" s="24" t="str">
        <f aca="false">IF(IFERROR(INDEX(tsk_Name,(ROW()-ROW(MSPTasks[[#Headers],[ID]])))="",TRUE()),"",INDEX(tsk_Level,(ROW()-ROW(MSPTasks[[#Headers],[ID]]))))</f>
        <v/>
      </c>
      <c r="E63" s="24" t="str">
        <f aca="false">IF(IFERROR(INDEX(tsk_Name,(ROW()-ROW(MSPTasks[[#Headers],[ID]])))="",TRUE()),"",IF(INDEX(tsk_Mode,(ROW()-ROW(MSPTasks[[#Headers],[ID]])))="Manual","Manually Scheduled","Auto Scheduled"))</f>
        <v/>
      </c>
      <c r="F63" s="24" t="str">
        <f aca="false">IF(IFERROR(INDEX(tsk_Name,(ROW()-ROW(MSPTasks[[#Headers],[ID]])))="",TRUE()),"",IF(INDEX(tsk_IsSummary,(ROW()-ROW(MSPTasks[[#Headers],[ID]]))),"",N(INDEX(tsk_Duration,(ROW()-ROW(MSPTasks[[#Headers],[ID]]))))&amp;"d"))</f>
        <v/>
      </c>
      <c r="G63" s="130" t="str">
        <f aca="false">IF(IFERROR(INDEX(tsk_Name,(ROW()-ROW(MSPTasks[[#Headers],[ID]])))="",TRUE()),"",INDEX(tsk_FcStart,(ROW()-ROW(MSPTasks[[#Headers],[ID]]))))</f>
        <v/>
      </c>
      <c r="H63" s="130" t="str">
        <f aca="false">IF(IFERROR(INDEX(tsk_Name,(ROW()-ROW(MSPTasks[[#Headers],[ID]])))="",TRUE()),"",INDEX(tsk_FcFinish,(ROW()-ROW(MSPTasks[[#Headers],[ID]]))))</f>
        <v/>
      </c>
      <c r="I63" s="24" t="str">
        <f aca="false">IF(IFERROR(INDEX(tsk_Name,(ROW()-ROW(MSPTasks[[#Headers],[ID]])))="",TRUE()),"",IF(INDEX(tsk_IsSummary,(ROW()-ROW(MSPTasks[[#Headers],[ID]]))),"",INDEX(tsk_Predecessors,(ROW()-ROW(MSPTasks[[#Headers],[ID]])))))</f>
        <v/>
      </c>
      <c r="J63" s="24" t="str">
        <f aca="false">IF(IFERROR(INDEX(tsk_Name,(ROW()-ROW(MSPTasks[[#Headers],[ID]])))="",TRUE()),"",IF(INDEX(tsk_IsSummary,(ROW()-ROW(MSPTasks[[#Headers],[ID]]))),"",INDEX(tsk_UIDPredecessors,(ROW()-ROW(MSPTasks[[#Headers],[ID]])))))</f>
        <v/>
      </c>
      <c r="K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3" s="24" t="str">
        <f aca="false">IF(IFERROR(INDEX(tsk_Name,(ROW()-ROW(MSPTasks[[#Headers],[ID]])))="",TRUE()),"",IF(INDEX(tsk_IsSummary,(ROW()-ROW(MSPTasks[[#Headers],[ID]]))),"",ROUND(INDEX(tsk_Progress,(ROW()-ROW(MSPTasks[[#Headers],[ID]])))*100,0)))</f>
        <v/>
      </c>
      <c r="M63" s="130" t="str">
        <f aca="false">IF(IFERROR(INDEX(tsk_Name,(ROW()-ROW(MSPTasks[[#Headers],[ID]])))="",TRUE()),"",IF(N(INDEX(tsk_ActStart,(ROW()-ROW(MSPTasks[[#Headers],[ID]]))))=0,"",INDEX(tsk_ActStart,(ROW()-ROW(MSPTasks[[#Headers],[ID]])))))</f>
        <v/>
      </c>
      <c r="N63" s="130" t="str">
        <f aca="false">IF(IFERROR(INDEX(tsk_Name,(ROW()-ROW(MSPTasks[[#Headers],[ID]])))="",TRUE()),"",IF(N(INDEX(tsk_ActFinish,(ROW()-ROW(MSPTasks[[#Headers],[ID]]))))=0,"",INDEX(tsk_ActFinish,(ROW()-ROW(MSPTasks[[#Headers],[ID]])))))</f>
        <v/>
      </c>
      <c r="O63" s="130" t="str">
        <f aca="false">IF(IFERROR(INDEX(tsk_Name,(ROW()-ROW(MSPTasks[[#Headers],[ID]])))="",TRUE()),"",INDEX(tsk_PlanStart,(ROW()-ROW(MSPTasks[[#Headers],[ID]]))))</f>
        <v/>
      </c>
      <c r="P63" s="130" t="str">
        <f aca="false">IF(IFERROR(INDEX(tsk_Name,(ROW()-ROW(MSPTasks[[#Headers],[ID]])))="",TRUE()),"",INDEX(tsk_PlanFinish,(ROW()-ROW(MSPTasks[[#Headers],[ID]]))))</f>
        <v/>
      </c>
      <c r="Q63" s="24" t="str">
        <f aca="false">IF(IFERROR(INDEX(tsk_Name,(ROW()-ROW(MSPTasks[[#Headers],[ID]])))="",TRUE()),"",IF(INDEX(tsk_BaseDuration,(ROW()-ROW(MSPTasks[[#Headers],[ID]])))="","",N(INDEX(tsk_BaseDuration,(ROW()-ROW(MSPTasks[[#Headers],[ID]]))))&amp;"d"))</f>
        <v/>
      </c>
      <c r="R63" s="24" t="str">
        <f aca="false">IF(IFERROR(INDEX(tsk_Name,(ROW()-ROW(MSPTasks[[#Headers],[ID]])))="",TRUE()),"",IF(INDEX(tsk_BaseWork,(ROW()-ROW(MSPTasks[[#Headers],[ID]])))="","",N(INDEX(tsk_BaseWork,(ROW()-ROW(MSPTasks[[#Headers],[ID]]))))&amp;"h"))</f>
        <v/>
      </c>
      <c r="S63" s="24" t="str">
        <f aca="false">IF(IFERROR(INDEX(tsk_Name,(ROW()-ROW(MSPTasks[[#Headers],[ID]])))="",TRUE()),"",IF(INDEX(tsk_BaseCost,(ROW()-ROW(MSPTasks[[#Headers],[ID]])))="","",N(INDEX(tsk_BaseCost,(ROW()-ROW(MSPTasks[[#Headers],[ID]]))))))</f>
        <v/>
      </c>
      <c r="T63" s="24" t="str">
        <f aca="false">IF(IFERROR(INDEX(tsk_Name,(ROW()-ROW(MSPTasks[[#Headers],[ID]])))="",TRUE()),"",IF(INDEX(tsk_IsSummary,(ROW()-ROW(MSPTasks[[#Headers],[ID]]))),"",IF(N(INDEX(tsk_ActCostInput,(ROW()-ROW(MSPTasks[[#Headers],[ID]]))))=0,"",INDEX(tsk_ActCostInput,(ROW()-ROW(MSPTasks[[#Headers],[ID]]))))))</f>
        <v/>
      </c>
      <c r="U63" s="24" t="str">
        <f aca="false">IF(IFERROR(INDEX(tsk_Name,(ROW()-ROW(MSPTasks[[#Headers],[ID]])))="",TRUE()),"",IF(INDEX(tsk_IsSummary,(ROW()-ROW(MSPTasks[[#Headers],[ID]]))),"",IF(AND(INDEX(tsk_Mode,(ROW()-ROW(MSPTasks[[#Headers],[ID]])))&lt;&gt;"Manual",N(INDEX(tsk_Constraint,(ROW()-ROW(MSPTasks[[#Headers],[ID]]))))&gt;0),"Start No Earlier Than","As Soon As Possible")))</f>
        <v/>
      </c>
      <c r="V63" s="130" t="str">
        <f aca="false">IF(IFERROR(INDEX(tsk_Name,(ROW()-ROW(MSPTasks[[#Headers],[ID]])))="",TRUE()),"",IF(OR(INDEX(tsk_IsSummary,(ROW()-ROW(MSPTasks[[#Headers],[ID]]))),INDEX(tsk_Mode,(ROW()-ROW(MSPTasks[[#Headers],[ID]])))="Manual"),"",IF(N(INDEX(tsk_Constraint,(ROW()-ROW(MSPTasks[[#Headers],[ID]]))))=0,"",INDEX(tsk_Constraint,(ROW()-ROW(MSPTasks[[#Headers],[ID]]))))))</f>
        <v/>
      </c>
      <c r="W63" s="130" t="str">
        <f aca="false">IF(IFERROR(INDEX(tsk_Name,(ROW()-ROW(MSPTasks[[#Headers],[ID]])))="",TRUE()),"",IF(N(INDEX(tsk_Deadline,(ROW()-ROW(MSPTasks[[#Headers],[ID]]))))=0,"",INDEX(tsk_Deadline,(ROW()-ROW(MSPTasks[[#Headers],[ID]])))))</f>
        <v/>
      </c>
      <c r="X63" s="24" t="str">
        <f aca="false">IF(IFERROR(INDEX(tsk_Name,(ROW()-ROW(MSPTasks[[#Headers],[ID]])))="",TRUE()),"",IF(INDEX(tsk_IsSummary,(ROW()-ROW(MSPTasks[[#Headers],[ID]]))),"",INDEX(tsk_Sprint,(ROW()-ROW(MSPTasks[[#Headers],[ID]])))&amp;""))</f>
        <v/>
      </c>
      <c r="Y63" s="24" t="str">
        <f aca="false">IF(IFERROR(INDEX(tsk_Name,(ROW()-ROW(MSPTasks[[#Headers],[ID]])))="",TRUE()),"",IF(INDEX(tsk_IsSummary,(ROW()-ROW(MSPTasks[[#Headers],[ID]]))),"",IF(N(INDEX(tsk_StoryPoints,(ROW()-ROW(MSPTasks[[#Headers],[ID]]))))=0,"",INDEX(tsk_StoryPoints,(ROW()-ROW(MSPTasks[[#Headers],[ID]]))))))</f>
        <v/>
      </c>
      <c r="Z63" s="24" t="str">
        <f aca="false">IF(IFERROR(INDEX(tsk_Name,(ROW()-ROW(MSPTasks[[#Headers],[ID]])))="",TRUE()),"",INDEX(tsk_Notes,(ROW()-ROW(MSPTasks[[#Headers],[ID]])))&amp;"")</f>
        <v/>
      </c>
    </row>
    <row r="64" customFormat="false" ht="15" hidden="false" customHeight="false" outlineLevel="0" collapsed="false">
      <c r="A64" s="24" t="str">
        <f aca="false">IF(IFERROR(INDEX(tsk_Name,(ROW()-ROW(MSPTasks[[#Headers],[ID]])))="",TRUE()),"",INDEX(tsk_ID,(ROW()-ROW(MSPTasks[[#Headers],[ID]]))))</f>
        <v/>
      </c>
      <c r="B64" s="24" t="str">
        <f aca="false">IF(IFERROR(INDEX(tsk_Name,(ROW()-ROW(MSPTasks[[#Headers],[ID]])))="",TRUE()),"",INDEX(tsk_UID,(ROW()-ROW(MSPTasks[[#Headers],[ID]]))))</f>
        <v/>
      </c>
      <c r="C64" s="24" t="str">
        <f aca="false">IF(IFERROR(INDEX(tsk_Name,(ROW()-ROW(MSPTasks[[#Headers],[ID]])))="",TRUE()),"",INDEX(tsk_Name,(ROW()-ROW(MSPTasks[[#Headers],[ID]]))))</f>
        <v/>
      </c>
      <c r="D64" s="24" t="str">
        <f aca="false">IF(IFERROR(INDEX(tsk_Name,(ROW()-ROW(MSPTasks[[#Headers],[ID]])))="",TRUE()),"",INDEX(tsk_Level,(ROW()-ROW(MSPTasks[[#Headers],[ID]]))))</f>
        <v/>
      </c>
      <c r="E64" s="24" t="str">
        <f aca="false">IF(IFERROR(INDEX(tsk_Name,(ROW()-ROW(MSPTasks[[#Headers],[ID]])))="",TRUE()),"",IF(INDEX(tsk_Mode,(ROW()-ROW(MSPTasks[[#Headers],[ID]])))="Manual","Manually Scheduled","Auto Scheduled"))</f>
        <v/>
      </c>
      <c r="F64" s="24" t="str">
        <f aca="false">IF(IFERROR(INDEX(tsk_Name,(ROW()-ROW(MSPTasks[[#Headers],[ID]])))="",TRUE()),"",IF(INDEX(tsk_IsSummary,(ROW()-ROW(MSPTasks[[#Headers],[ID]]))),"",N(INDEX(tsk_Duration,(ROW()-ROW(MSPTasks[[#Headers],[ID]]))))&amp;"d"))</f>
        <v/>
      </c>
      <c r="G64" s="130" t="str">
        <f aca="false">IF(IFERROR(INDEX(tsk_Name,(ROW()-ROW(MSPTasks[[#Headers],[ID]])))="",TRUE()),"",INDEX(tsk_FcStart,(ROW()-ROW(MSPTasks[[#Headers],[ID]]))))</f>
        <v/>
      </c>
      <c r="H64" s="130" t="str">
        <f aca="false">IF(IFERROR(INDEX(tsk_Name,(ROW()-ROW(MSPTasks[[#Headers],[ID]])))="",TRUE()),"",INDEX(tsk_FcFinish,(ROW()-ROW(MSPTasks[[#Headers],[ID]]))))</f>
        <v/>
      </c>
      <c r="I64" s="24" t="str">
        <f aca="false">IF(IFERROR(INDEX(tsk_Name,(ROW()-ROW(MSPTasks[[#Headers],[ID]])))="",TRUE()),"",IF(INDEX(tsk_IsSummary,(ROW()-ROW(MSPTasks[[#Headers],[ID]]))),"",INDEX(tsk_Predecessors,(ROW()-ROW(MSPTasks[[#Headers],[ID]])))))</f>
        <v/>
      </c>
      <c r="J64" s="24" t="str">
        <f aca="false">IF(IFERROR(INDEX(tsk_Name,(ROW()-ROW(MSPTasks[[#Headers],[ID]])))="",TRUE()),"",IF(INDEX(tsk_IsSummary,(ROW()-ROW(MSPTasks[[#Headers],[ID]]))),"",INDEX(tsk_UIDPredecessors,(ROW()-ROW(MSPTasks[[#Headers],[ID]])))))</f>
        <v/>
      </c>
      <c r="K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4" s="24" t="str">
        <f aca="false">IF(IFERROR(INDEX(tsk_Name,(ROW()-ROW(MSPTasks[[#Headers],[ID]])))="",TRUE()),"",IF(INDEX(tsk_IsSummary,(ROW()-ROW(MSPTasks[[#Headers],[ID]]))),"",ROUND(INDEX(tsk_Progress,(ROW()-ROW(MSPTasks[[#Headers],[ID]])))*100,0)))</f>
        <v/>
      </c>
      <c r="M64" s="130" t="str">
        <f aca="false">IF(IFERROR(INDEX(tsk_Name,(ROW()-ROW(MSPTasks[[#Headers],[ID]])))="",TRUE()),"",IF(N(INDEX(tsk_ActStart,(ROW()-ROW(MSPTasks[[#Headers],[ID]]))))=0,"",INDEX(tsk_ActStart,(ROW()-ROW(MSPTasks[[#Headers],[ID]])))))</f>
        <v/>
      </c>
      <c r="N64" s="130" t="str">
        <f aca="false">IF(IFERROR(INDEX(tsk_Name,(ROW()-ROW(MSPTasks[[#Headers],[ID]])))="",TRUE()),"",IF(N(INDEX(tsk_ActFinish,(ROW()-ROW(MSPTasks[[#Headers],[ID]]))))=0,"",INDEX(tsk_ActFinish,(ROW()-ROW(MSPTasks[[#Headers],[ID]])))))</f>
        <v/>
      </c>
      <c r="O64" s="130" t="str">
        <f aca="false">IF(IFERROR(INDEX(tsk_Name,(ROW()-ROW(MSPTasks[[#Headers],[ID]])))="",TRUE()),"",INDEX(tsk_PlanStart,(ROW()-ROW(MSPTasks[[#Headers],[ID]]))))</f>
        <v/>
      </c>
      <c r="P64" s="130" t="str">
        <f aca="false">IF(IFERROR(INDEX(tsk_Name,(ROW()-ROW(MSPTasks[[#Headers],[ID]])))="",TRUE()),"",INDEX(tsk_PlanFinish,(ROW()-ROW(MSPTasks[[#Headers],[ID]]))))</f>
        <v/>
      </c>
      <c r="Q64" s="24" t="str">
        <f aca="false">IF(IFERROR(INDEX(tsk_Name,(ROW()-ROW(MSPTasks[[#Headers],[ID]])))="",TRUE()),"",IF(INDEX(tsk_BaseDuration,(ROW()-ROW(MSPTasks[[#Headers],[ID]])))="","",N(INDEX(tsk_BaseDuration,(ROW()-ROW(MSPTasks[[#Headers],[ID]]))))&amp;"d"))</f>
        <v/>
      </c>
      <c r="R64" s="24" t="str">
        <f aca="false">IF(IFERROR(INDEX(tsk_Name,(ROW()-ROW(MSPTasks[[#Headers],[ID]])))="",TRUE()),"",IF(INDEX(tsk_BaseWork,(ROW()-ROW(MSPTasks[[#Headers],[ID]])))="","",N(INDEX(tsk_BaseWork,(ROW()-ROW(MSPTasks[[#Headers],[ID]]))))&amp;"h"))</f>
        <v/>
      </c>
      <c r="S64" s="24" t="str">
        <f aca="false">IF(IFERROR(INDEX(tsk_Name,(ROW()-ROW(MSPTasks[[#Headers],[ID]])))="",TRUE()),"",IF(INDEX(tsk_BaseCost,(ROW()-ROW(MSPTasks[[#Headers],[ID]])))="","",N(INDEX(tsk_BaseCost,(ROW()-ROW(MSPTasks[[#Headers],[ID]]))))))</f>
        <v/>
      </c>
      <c r="T64" s="24" t="str">
        <f aca="false">IF(IFERROR(INDEX(tsk_Name,(ROW()-ROW(MSPTasks[[#Headers],[ID]])))="",TRUE()),"",IF(INDEX(tsk_IsSummary,(ROW()-ROW(MSPTasks[[#Headers],[ID]]))),"",IF(N(INDEX(tsk_ActCostInput,(ROW()-ROW(MSPTasks[[#Headers],[ID]]))))=0,"",INDEX(tsk_ActCostInput,(ROW()-ROW(MSPTasks[[#Headers],[ID]]))))))</f>
        <v/>
      </c>
      <c r="U64" s="24" t="str">
        <f aca="false">IF(IFERROR(INDEX(tsk_Name,(ROW()-ROW(MSPTasks[[#Headers],[ID]])))="",TRUE()),"",IF(INDEX(tsk_IsSummary,(ROW()-ROW(MSPTasks[[#Headers],[ID]]))),"",IF(AND(INDEX(tsk_Mode,(ROW()-ROW(MSPTasks[[#Headers],[ID]])))&lt;&gt;"Manual",N(INDEX(tsk_Constraint,(ROW()-ROW(MSPTasks[[#Headers],[ID]]))))&gt;0),"Start No Earlier Than","As Soon As Possible")))</f>
        <v/>
      </c>
      <c r="V64" s="130" t="str">
        <f aca="false">IF(IFERROR(INDEX(tsk_Name,(ROW()-ROW(MSPTasks[[#Headers],[ID]])))="",TRUE()),"",IF(OR(INDEX(tsk_IsSummary,(ROW()-ROW(MSPTasks[[#Headers],[ID]]))),INDEX(tsk_Mode,(ROW()-ROW(MSPTasks[[#Headers],[ID]])))="Manual"),"",IF(N(INDEX(tsk_Constraint,(ROW()-ROW(MSPTasks[[#Headers],[ID]]))))=0,"",INDEX(tsk_Constraint,(ROW()-ROW(MSPTasks[[#Headers],[ID]]))))))</f>
        <v/>
      </c>
      <c r="W64" s="130" t="str">
        <f aca="false">IF(IFERROR(INDEX(tsk_Name,(ROW()-ROW(MSPTasks[[#Headers],[ID]])))="",TRUE()),"",IF(N(INDEX(tsk_Deadline,(ROW()-ROW(MSPTasks[[#Headers],[ID]]))))=0,"",INDEX(tsk_Deadline,(ROW()-ROW(MSPTasks[[#Headers],[ID]])))))</f>
        <v/>
      </c>
      <c r="X64" s="24" t="str">
        <f aca="false">IF(IFERROR(INDEX(tsk_Name,(ROW()-ROW(MSPTasks[[#Headers],[ID]])))="",TRUE()),"",IF(INDEX(tsk_IsSummary,(ROW()-ROW(MSPTasks[[#Headers],[ID]]))),"",INDEX(tsk_Sprint,(ROW()-ROW(MSPTasks[[#Headers],[ID]])))&amp;""))</f>
        <v/>
      </c>
      <c r="Y64" s="24" t="str">
        <f aca="false">IF(IFERROR(INDEX(tsk_Name,(ROW()-ROW(MSPTasks[[#Headers],[ID]])))="",TRUE()),"",IF(INDEX(tsk_IsSummary,(ROW()-ROW(MSPTasks[[#Headers],[ID]]))),"",IF(N(INDEX(tsk_StoryPoints,(ROW()-ROW(MSPTasks[[#Headers],[ID]]))))=0,"",INDEX(tsk_StoryPoints,(ROW()-ROW(MSPTasks[[#Headers],[ID]]))))))</f>
        <v/>
      </c>
      <c r="Z64" s="24" t="str">
        <f aca="false">IF(IFERROR(INDEX(tsk_Name,(ROW()-ROW(MSPTasks[[#Headers],[ID]])))="",TRUE()),"",INDEX(tsk_Notes,(ROW()-ROW(MSPTasks[[#Headers],[ID]])))&amp;"")</f>
        <v/>
      </c>
    </row>
    <row r="65" customFormat="false" ht="15" hidden="false" customHeight="false" outlineLevel="0" collapsed="false">
      <c r="A65" s="24" t="str">
        <f aca="false">IF(IFERROR(INDEX(tsk_Name,(ROW()-ROW(MSPTasks[[#Headers],[ID]])))="",TRUE()),"",INDEX(tsk_ID,(ROW()-ROW(MSPTasks[[#Headers],[ID]]))))</f>
        <v/>
      </c>
      <c r="B65" s="24" t="str">
        <f aca="false">IF(IFERROR(INDEX(tsk_Name,(ROW()-ROW(MSPTasks[[#Headers],[ID]])))="",TRUE()),"",INDEX(tsk_UID,(ROW()-ROW(MSPTasks[[#Headers],[ID]]))))</f>
        <v/>
      </c>
      <c r="C65" s="24" t="str">
        <f aca="false">IF(IFERROR(INDEX(tsk_Name,(ROW()-ROW(MSPTasks[[#Headers],[ID]])))="",TRUE()),"",INDEX(tsk_Name,(ROW()-ROW(MSPTasks[[#Headers],[ID]]))))</f>
        <v/>
      </c>
      <c r="D65" s="24" t="str">
        <f aca="false">IF(IFERROR(INDEX(tsk_Name,(ROW()-ROW(MSPTasks[[#Headers],[ID]])))="",TRUE()),"",INDEX(tsk_Level,(ROW()-ROW(MSPTasks[[#Headers],[ID]]))))</f>
        <v/>
      </c>
      <c r="E65" s="24" t="str">
        <f aca="false">IF(IFERROR(INDEX(tsk_Name,(ROW()-ROW(MSPTasks[[#Headers],[ID]])))="",TRUE()),"",IF(INDEX(tsk_Mode,(ROW()-ROW(MSPTasks[[#Headers],[ID]])))="Manual","Manually Scheduled","Auto Scheduled"))</f>
        <v/>
      </c>
      <c r="F65" s="24" t="str">
        <f aca="false">IF(IFERROR(INDEX(tsk_Name,(ROW()-ROW(MSPTasks[[#Headers],[ID]])))="",TRUE()),"",IF(INDEX(tsk_IsSummary,(ROW()-ROW(MSPTasks[[#Headers],[ID]]))),"",N(INDEX(tsk_Duration,(ROW()-ROW(MSPTasks[[#Headers],[ID]]))))&amp;"d"))</f>
        <v/>
      </c>
      <c r="G65" s="130" t="str">
        <f aca="false">IF(IFERROR(INDEX(tsk_Name,(ROW()-ROW(MSPTasks[[#Headers],[ID]])))="",TRUE()),"",INDEX(tsk_FcStart,(ROW()-ROW(MSPTasks[[#Headers],[ID]]))))</f>
        <v/>
      </c>
      <c r="H65" s="130" t="str">
        <f aca="false">IF(IFERROR(INDEX(tsk_Name,(ROW()-ROW(MSPTasks[[#Headers],[ID]])))="",TRUE()),"",INDEX(tsk_FcFinish,(ROW()-ROW(MSPTasks[[#Headers],[ID]]))))</f>
        <v/>
      </c>
      <c r="I65" s="24" t="str">
        <f aca="false">IF(IFERROR(INDEX(tsk_Name,(ROW()-ROW(MSPTasks[[#Headers],[ID]])))="",TRUE()),"",IF(INDEX(tsk_IsSummary,(ROW()-ROW(MSPTasks[[#Headers],[ID]]))),"",INDEX(tsk_Predecessors,(ROW()-ROW(MSPTasks[[#Headers],[ID]])))))</f>
        <v/>
      </c>
      <c r="J65" s="24" t="str">
        <f aca="false">IF(IFERROR(INDEX(tsk_Name,(ROW()-ROW(MSPTasks[[#Headers],[ID]])))="",TRUE()),"",IF(INDEX(tsk_IsSummary,(ROW()-ROW(MSPTasks[[#Headers],[ID]]))),"",INDEX(tsk_UIDPredecessors,(ROW()-ROW(MSPTasks[[#Headers],[ID]])))))</f>
        <v/>
      </c>
      <c r="K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5" s="24" t="str">
        <f aca="false">IF(IFERROR(INDEX(tsk_Name,(ROW()-ROW(MSPTasks[[#Headers],[ID]])))="",TRUE()),"",IF(INDEX(tsk_IsSummary,(ROW()-ROW(MSPTasks[[#Headers],[ID]]))),"",ROUND(INDEX(tsk_Progress,(ROW()-ROW(MSPTasks[[#Headers],[ID]])))*100,0)))</f>
        <v/>
      </c>
      <c r="M65" s="130" t="str">
        <f aca="false">IF(IFERROR(INDEX(tsk_Name,(ROW()-ROW(MSPTasks[[#Headers],[ID]])))="",TRUE()),"",IF(N(INDEX(tsk_ActStart,(ROW()-ROW(MSPTasks[[#Headers],[ID]]))))=0,"",INDEX(tsk_ActStart,(ROW()-ROW(MSPTasks[[#Headers],[ID]])))))</f>
        <v/>
      </c>
      <c r="N65" s="130" t="str">
        <f aca="false">IF(IFERROR(INDEX(tsk_Name,(ROW()-ROW(MSPTasks[[#Headers],[ID]])))="",TRUE()),"",IF(N(INDEX(tsk_ActFinish,(ROW()-ROW(MSPTasks[[#Headers],[ID]]))))=0,"",INDEX(tsk_ActFinish,(ROW()-ROW(MSPTasks[[#Headers],[ID]])))))</f>
        <v/>
      </c>
      <c r="O65" s="130" t="str">
        <f aca="false">IF(IFERROR(INDEX(tsk_Name,(ROW()-ROW(MSPTasks[[#Headers],[ID]])))="",TRUE()),"",INDEX(tsk_PlanStart,(ROW()-ROW(MSPTasks[[#Headers],[ID]]))))</f>
        <v/>
      </c>
      <c r="P65" s="130" t="str">
        <f aca="false">IF(IFERROR(INDEX(tsk_Name,(ROW()-ROW(MSPTasks[[#Headers],[ID]])))="",TRUE()),"",INDEX(tsk_PlanFinish,(ROW()-ROW(MSPTasks[[#Headers],[ID]]))))</f>
        <v/>
      </c>
      <c r="Q65" s="24" t="str">
        <f aca="false">IF(IFERROR(INDEX(tsk_Name,(ROW()-ROW(MSPTasks[[#Headers],[ID]])))="",TRUE()),"",IF(INDEX(tsk_BaseDuration,(ROW()-ROW(MSPTasks[[#Headers],[ID]])))="","",N(INDEX(tsk_BaseDuration,(ROW()-ROW(MSPTasks[[#Headers],[ID]]))))&amp;"d"))</f>
        <v/>
      </c>
      <c r="R65" s="24" t="str">
        <f aca="false">IF(IFERROR(INDEX(tsk_Name,(ROW()-ROW(MSPTasks[[#Headers],[ID]])))="",TRUE()),"",IF(INDEX(tsk_BaseWork,(ROW()-ROW(MSPTasks[[#Headers],[ID]])))="","",N(INDEX(tsk_BaseWork,(ROW()-ROW(MSPTasks[[#Headers],[ID]]))))&amp;"h"))</f>
        <v/>
      </c>
      <c r="S65" s="24" t="str">
        <f aca="false">IF(IFERROR(INDEX(tsk_Name,(ROW()-ROW(MSPTasks[[#Headers],[ID]])))="",TRUE()),"",IF(INDEX(tsk_BaseCost,(ROW()-ROW(MSPTasks[[#Headers],[ID]])))="","",N(INDEX(tsk_BaseCost,(ROW()-ROW(MSPTasks[[#Headers],[ID]]))))))</f>
        <v/>
      </c>
      <c r="T65" s="24" t="str">
        <f aca="false">IF(IFERROR(INDEX(tsk_Name,(ROW()-ROW(MSPTasks[[#Headers],[ID]])))="",TRUE()),"",IF(INDEX(tsk_IsSummary,(ROW()-ROW(MSPTasks[[#Headers],[ID]]))),"",IF(N(INDEX(tsk_ActCostInput,(ROW()-ROW(MSPTasks[[#Headers],[ID]]))))=0,"",INDEX(tsk_ActCostInput,(ROW()-ROW(MSPTasks[[#Headers],[ID]]))))))</f>
        <v/>
      </c>
      <c r="U65" s="24" t="str">
        <f aca="false">IF(IFERROR(INDEX(tsk_Name,(ROW()-ROW(MSPTasks[[#Headers],[ID]])))="",TRUE()),"",IF(INDEX(tsk_IsSummary,(ROW()-ROW(MSPTasks[[#Headers],[ID]]))),"",IF(AND(INDEX(tsk_Mode,(ROW()-ROW(MSPTasks[[#Headers],[ID]])))&lt;&gt;"Manual",N(INDEX(tsk_Constraint,(ROW()-ROW(MSPTasks[[#Headers],[ID]]))))&gt;0),"Start No Earlier Than","As Soon As Possible")))</f>
        <v/>
      </c>
      <c r="V65" s="130" t="str">
        <f aca="false">IF(IFERROR(INDEX(tsk_Name,(ROW()-ROW(MSPTasks[[#Headers],[ID]])))="",TRUE()),"",IF(OR(INDEX(tsk_IsSummary,(ROW()-ROW(MSPTasks[[#Headers],[ID]]))),INDEX(tsk_Mode,(ROW()-ROW(MSPTasks[[#Headers],[ID]])))="Manual"),"",IF(N(INDEX(tsk_Constraint,(ROW()-ROW(MSPTasks[[#Headers],[ID]]))))=0,"",INDEX(tsk_Constraint,(ROW()-ROW(MSPTasks[[#Headers],[ID]]))))))</f>
        <v/>
      </c>
      <c r="W65" s="130" t="str">
        <f aca="false">IF(IFERROR(INDEX(tsk_Name,(ROW()-ROW(MSPTasks[[#Headers],[ID]])))="",TRUE()),"",IF(N(INDEX(tsk_Deadline,(ROW()-ROW(MSPTasks[[#Headers],[ID]]))))=0,"",INDEX(tsk_Deadline,(ROW()-ROW(MSPTasks[[#Headers],[ID]])))))</f>
        <v/>
      </c>
      <c r="X65" s="24" t="str">
        <f aca="false">IF(IFERROR(INDEX(tsk_Name,(ROW()-ROW(MSPTasks[[#Headers],[ID]])))="",TRUE()),"",IF(INDEX(tsk_IsSummary,(ROW()-ROW(MSPTasks[[#Headers],[ID]]))),"",INDEX(tsk_Sprint,(ROW()-ROW(MSPTasks[[#Headers],[ID]])))&amp;""))</f>
        <v/>
      </c>
      <c r="Y65" s="24" t="str">
        <f aca="false">IF(IFERROR(INDEX(tsk_Name,(ROW()-ROW(MSPTasks[[#Headers],[ID]])))="",TRUE()),"",IF(INDEX(tsk_IsSummary,(ROW()-ROW(MSPTasks[[#Headers],[ID]]))),"",IF(N(INDEX(tsk_StoryPoints,(ROW()-ROW(MSPTasks[[#Headers],[ID]]))))=0,"",INDEX(tsk_StoryPoints,(ROW()-ROW(MSPTasks[[#Headers],[ID]]))))))</f>
        <v/>
      </c>
      <c r="Z65" s="24" t="str">
        <f aca="false">IF(IFERROR(INDEX(tsk_Name,(ROW()-ROW(MSPTasks[[#Headers],[ID]])))="",TRUE()),"",INDEX(tsk_Notes,(ROW()-ROW(MSPTasks[[#Headers],[ID]])))&amp;"")</f>
        <v/>
      </c>
    </row>
    <row r="66" customFormat="false" ht="15" hidden="false" customHeight="false" outlineLevel="0" collapsed="false">
      <c r="A66" s="24" t="str">
        <f aca="false">IF(IFERROR(INDEX(tsk_Name,(ROW()-ROW(MSPTasks[[#Headers],[ID]])))="",TRUE()),"",INDEX(tsk_ID,(ROW()-ROW(MSPTasks[[#Headers],[ID]]))))</f>
        <v/>
      </c>
      <c r="B66" s="24" t="str">
        <f aca="false">IF(IFERROR(INDEX(tsk_Name,(ROW()-ROW(MSPTasks[[#Headers],[ID]])))="",TRUE()),"",INDEX(tsk_UID,(ROW()-ROW(MSPTasks[[#Headers],[ID]]))))</f>
        <v/>
      </c>
      <c r="C66" s="24" t="str">
        <f aca="false">IF(IFERROR(INDEX(tsk_Name,(ROW()-ROW(MSPTasks[[#Headers],[ID]])))="",TRUE()),"",INDEX(tsk_Name,(ROW()-ROW(MSPTasks[[#Headers],[ID]]))))</f>
        <v/>
      </c>
      <c r="D66" s="24" t="str">
        <f aca="false">IF(IFERROR(INDEX(tsk_Name,(ROW()-ROW(MSPTasks[[#Headers],[ID]])))="",TRUE()),"",INDEX(tsk_Level,(ROW()-ROW(MSPTasks[[#Headers],[ID]]))))</f>
        <v/>
      </c>
      <c r="E66" s="24" t="str">
        <f aca="false">IF(IFERROR(INDEX(tsk_Name,(ROW()-ROW(MSPTasks[[#Headers],[ID]])))="",TRUE()),"",IF(INDEX(tsk_Mode,(ROW()-ROW(MSPTasks[[#Headers],[ID]])))="Manual","Manually Scheduled","Auto Scheduled"))</f>
        <v/>
      </c>
      <c r="F66" s="24" t="str">
        <f aca="false">IF(IFERROR(INDEX(tsk_Name,(ROW()-ROW(MSPTasks[[#Headers],[ID]])))="",TRUE()),"",IF(INDEX(tsk_IsSummary,(ROW()-ROW(MSPTasks[[#Headers],[ID]]))),"",N(INDEX(tsk_Duration,(ROW()-ROW(MSPTasks[[#Headers],[ID]]))))&amp;"d"))</f>
        <v/>
      </c>
      <c r="G66" s="130" t="str">
        <f aca="false">IF(IFERROR(INDEX(tsk_Name,(ROW()-ROW(MSPTasks[[#Headers],[ID]])))="",TRUE()),"",INDEX(tsk_FcStart,(ROW()-ROW(MSPTasks[[#Headers],[ID]]))))</f>
        <v/>
      </c>
      <c r="H66" s="130" t="str">
        <f aca="false">IF(IFERROR(INDEX(tsk_Name,(ROW()-ROW(MSPTasks[[#Headers],[ID]])))="",TRUE()),"",INDEX(tsk_FcFinish,(ROW()-ROW(MSPTasks[[#Headers],[ID]]))))</f>
        <v/>
      </c>
      <c r="I66" s="24" t="str">
        <f aca="false">IF(IFERROR(INDEX(tsk_Name,(ROW()-ROW(MSPTasks[[#Headers],[ID]])))="",TRUE()),"",IF(INDEX(tsk_IsSummary,(ROW()-ROW(MSPTasks[[#Headers],[ID]]))),"",INDEX(tsk_Predecessors,(ROW()-ROW(MSPTasks[[#Headers],[ID]])))))</f>
        <v/>
      </c>
      <c r="J66" s="24" t="str">
        <f aca="false">IF(IFERROR(INDEX(tsk_Name,(ROW()-ROW(MSPTasks[[#Headers],[ID]])))="",TRUE()),"",IF(INDEX(tsk_IsSummary,(ROW()-ROW(MSPTasks[[#Headers],[ID]]))),"",INDEX(tsk_UIDPredecessors,(ROW()-ROW(MSPTasks[[#Headers],[ID]])))))</f>
        <v/>
      </c>
      <c r="K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6" s="24" t="str">
        <f aca="false">IF(IFERROR(INDEX(tsk_Name,(ROW()-ROW(MSPTasks[[#Headers],[ID]])))="",TRUE()),"",IF(INDEX(tsk_IsSummary,(ROW()-ROW(MSPTasks[[#Headers],[ID]]))),"",ROUND(INDEX(tsk_Progress,(ROW()-ROW(MSPTasks[[#Headers],[ID]])))*100,0)))</f>
        <v/>
      </c>
      <c r="M66" s="130" t="str">
        <f aca="false">IF(IFERROR(INDEX(tsk_Name,(ROW()-ROW(MSPTasks[[#Headers],[ID]])))="",TRUE()),"",IF(N(INDEX(tsk_ActStart,(ROW()-ROW(MSPTasks[[#Headers],[ID]]))))=0,"",INDEX(tsk_ActStart,(ROW()-ROW(MSPTasks[[#Headers],[ID]])))))</f>
        <v/>
      </c>
      <c r="N66" s="130" t="str">
        <f aca="false">IF(IFERROR(INDEX(tsk_Name,(ROW()-ROW(MSPTasks[[#Headers],[ID]])))="",TRUE()),"",IF(N(INDEX(tsk_ActFinish,(ROW()-ROW(MSPTasks[[#Headers],[ID]]))))=0,"",INDEX(tsk_ActFinish,(ROW()-ROW(MSPTasks[[#Headers],[ID]])))))</f>
        <v/>
      </c>
      <c r="O66" s="130" t="str">
        <f aca="false">IF(IFERROR(INDEX(tsk_Name,(ROW()-ROW(MSPTasks[[#Headers],[ID]])))="",TRUE()),"",INDEX(tsk_PlanStart,(ROW()-ROW(MSPTasks[[#Headers],[ID]]))))</f>
        <v/>
      </c>
      <c r="P66" s="130" t="str">
        <f aca="false">IF(IFERROR(INDEX(tsk_Name,(ROW()-ROW(MSPTasks[[#Headers],[ID]])))="",TRUE()),"",INDEX(tsk_PlanFinish,(ROW()-ROW(MSPTasks[[#Headers],[ID]]))))</f>
        <v/>
      </c>
      <c r="Q66" s="24" t="str">
        <f aca="false">IF(IFERROR(INDEX(tsk_Name,(ROW()-ROW(MSPTasks[[#Headers],[ID]])))="",TRUE()),"",IF(INDEX(tsk_BaseDuration,(ROW()-ROW(MSPTasks[[#Headers],[ID]])))="","",N(INDEX(tsk_BaseDuration,(ROW()-ROW(MSPTasks[[#Headers],[ID]]))))&amp;"d"))</f>
        <v/>
      </c>
      <c r="R66" s="24" t="str">
        <f aca="false">IF(IFERROR(INDEX(tsk_Name,(ROW()-ROW(MSPTasks[[#Headers],[ID]])))="",TRUE()),"",IF(INDEX(tsk_BaseWork,(ROW()-ROW(MSPTasks[[#Headers],[ID]])))="","",N(INDEX(tsk_BaseWork,(ROW()-ROW(MSPTasks[[#Headers],[ID]]))))&amp;"h"))</f>
        <v/>
      </c>
      <c r="S66" s="24" t="str">
        <f aca="false">IF(IFERROR(INDEX(tsk_Name,(ROW()-ROW(MSPTasks[[#Headers],[ID]])))="",TRUE()),"",IF(INDEX(tsk_BaseCost,(ROW()-ROW(MSPTasks[[#Headers],[ID]])))="","",N(INDEX(tsk_BaseCost,(ROW()-ROW(MSPTasks[[#Headers],[ID]]))))))</f>
        <v/>
      </c>
      <c r="T66" s="24" t="str">
        <f aca="false">IF(IFERROR(INDEX(tsk_Name,(ROW()-ROW(MSPTasks[[#Headers],[ID]])))="",TRUE()),"",IF(INDEX(tsk_IsSummary,(ROW()-ROW(MSPTasks[[#Headers],[ID]]))),"",IF(N(INDEX(tsk_ActCostInput,(ROW()-ROW(MSPTasks[[#Headers],[ID]]))))=0,"",INDEX(tsk_ActCostInput,(ROW()-ROW(MSPTasks[[#Headers],[ID]]))))))</f>
        <v/>
      </c>
      <c r="U66" s="24" t="str">
        <f aca="false">IF(IFERROR(INDEX(tsk_Name,(ROW()-ROW(MSPTasks[[#Headers],[ID]])))="",TRUE()),"",IF(INDEX(tsk_IsSummary,(ROW()-ROW(MSPTasks[[#Headers],[ID]]))),"",IF(AND(INDEX(tsk_Mode,(ROW()-ROW(MSPTasks[[#Headers],[ID]])))&lt;&gt;"Manual",N(INDEX(tsk_Constraint,(ROW()-ROW(MSPTasks[[#Headers],[ID]]))))&gt;0),"Start No Earlier Than","As Soon As Possible")))</f>
        <v/>
      </c>
      <c r="V66" s="130" t="str">
        <f aca="false">IF(IFERROR(INDEX(tsk_Name,(ROW()-ROW(MSPTasks[[#Headers],[ID]])))="",TRUE()),"",IF(OR(INDEX(tsk_IsSummary,(ROW()-ROW(MSPTasks[[#Headers],[ID]]))),INDEX(tsk_Mode,(ROW()-ROW(MSPTasks[[#Headers],[ID]])))="Manual"),"",IF(N(INDEX(tsk_Constraint,(ROW()-ROW(MSPTasks[[#Headers],[ID]]))))=0,"",INDEX(tsk_Constraint,(ROW()-ROW(MSPTasks[[#Headers],[ID]]))))))</f>
        <v/>
      </c>
      <c r="W66" s="130" t="str">
        <f aca="false">IF(IFERROR(INDEX(tsk_Name,(ROW()-ROW(MSPTasks[[#Headers],[ID]])))="",TRUE()),"",IF(N(INDEX(tsk_Deadline,(ROW()-ROW(MSPTasks[[#Headers],[ID]]))))=0,"",INDEX(tsk_Deadline,(ROW()-ROW(MSPTasks[[#Headers],[ID]])))))</f>
        <v/>
      </c>
      <c r="X66" s="24" t="str">
        <f aca="false">IF(IFERROR(INDEX(tsk_Name,(ROW()-ROW(MSPTasks[[#Headers],[ID]])))="",TRUE()),"",IF(INDEX(tsk_IsSummary,(ROW()-ROW(MSPTasks[[#Headers],[ID]]))),"",INDEX(tsk_Sprint,(ROW()-ROW(MSPTasks[[#Headers],[ID]])))&amp;""))</f>
        <v/>
      </c>
      <c r="Y66" s="24" t="str">
        <f aca="false">IF(IFERROR(INDEX(tsk_Name,(ROW()-ROW(MSPTasks[[#Headers],[ID]])))="",TRUE()),"",IF(INDEX(tsk_IsSummary,(ROW()-ROW(MSPTasks[[#Headers],[ID]]))),"",IF(N(INDEX(tsk_StoryPoints,(ROW()-ROW(MSPTasks[[#Headers],[ID]]))))=0,"",INDEX(tsk_StoryPoints,(ROW()-ROW(MSPTasks[[#Headers],[ID]]))))))</f>
        <v/>
      </c>
      <c r="Z66" s="24" t="str">
        <f aca="false">IF(IFERROR(INDEX(tsk_Name,(ROW()-ROW(MSPTasks[[#Headers],[ID]])))="",TRUE()),"",INDEX(tsk_Notes,(ROW()-ROW(MSPTasks[[#Headers],[ID]])))&amp;"")</f>
        <v/>
      </c>
    </row>
    <row r="67" customFormat="false" ht="15" hidden="false" customHeight="false" outlineLevel="0" collapsed="false">
      <c r="A67" s="24" t="str">
        <f aca="false">IF(IFERROR(INDEX(tsk_Name,(ROW()-ROW(MSPTasks[[#Headers],[ID]])))="",TRUE()),"",INDEX(tsk_ID,(ROW()-ROW(MSPTasks[[#Headers],[ID]]))))</f>
        <v/>
      </c>
      <c r="B67" s="24" t="str">
        <f aca="false">IF(IFERROR(INDEX(tsk_Name,(ROW()-ROW(MSPTasks[[#Headers],[ID]])))="",TRUE()),"",INDEX(tsk_UID,(ROW()-ROW(MSPTasks[[#Headers],[ID]]))))</f>
        <v/>
      </c>
      <c r="C67" s="24" t="str">
        <f aca="false">IF(IFERROR(INDEX(tsk_Name,(ROW()-ROW(MSPTasks[[#Headers],[ID]])))="",TRUE()),"",INDEX(tsk_Name,(ROW()-ROW(MSPTasks[[#Headers],[ID]]))))</f>
        <v/>
      </c>
      <c r="D67" s="24" t="str">
        <f aca="false">IF(IFERROR(INDEX(tsk_Name,(ROW()-ROW(MSPTasks[[#Headers],[ID]])))="",TRUE()),"",INDEX(tsk_Level,(ROW()-ROW(MSPTasks[[#Headers],[ID]]))))</f>
        <v/>
      </c>
      <c r="E67" s="24" t="str">
        <f aca="false">IF(IFERROR(INDEX(tsk_Name,(ROW()-ROW(MSPTasks[[#Headers],[ID]])))="",TRUE()),"",IF(INDEX(tsk_Mode,(ROW()-ROW(MSPTasks[[#Headers],[ID]])))="Manual","Manually Scheduled","Auto Scheduled"))</f>
        <v/>
      </c>
      <c r="F67" s="24" t="str">
        <f aca="false">IF(IFERROR(INDEX(tsk_Name,(ROW()-ROW(MSPTasks[[#Headers],[ID]])))="",TRUE()),"",IF(INDEX(tsk_IsSummary,(ROW()-ROW(MSPTasks[[#Headers],[ID]]))),"",N(INDEX(tsk_Duration,(ROW()-ROW(MSPTasks[[#Headers],[ID]]))))&amp;"d"))</f>
        <v/>
      </c>
      <c r="G67" s="130" t="str">
        <f aca="false">IF(IFERROR(INDEX(tsk_Name,(ROW()-ROW(MSPTasks[[#Headers],[ID]])))="",TRUE()),"",INDEX(tsk_FcStart,(ROW()-ROW(MSPTasks[[#Headers],[ID]]))))</f>
        <v/>
      </c>
      <c r="H67" s="130" t="str">
        <f aca="false">IF(IFERROR(INDEX(tsk_Name,(ROW()-ROW(MSPTasks[[#Headers],[ID]])))="",TRUE()),"",INDEX(tsk_FcFinish,(ROW()-ROW(MSPTasks[[#Headers],[ID]]))))</f>
        <v/>
      </c>
      <c r="I67" s="24" t="str">
        <f aca="false">IF(IFERROR(INDEX(tsk_Name,(ROW()-ROW(MSPTasks[[#Headers],[ID]])))="",TRUE()),"",IF(INDEX(tsk_IsSummary,(ROW()-ROW(MSPTasks[[#Headers],[ID]]))),"",INDEX(tsk_Predecessors,(ROW()-ROW(MSPTasks[[#Headers],[ID]])))))</f>
        <v/>
      </c>
      <c r="J67" s="24" t="str">
        <f aca="false">IF(IFERROR(INDEX(tsk_Name,(ROW()-ROW(MSPTasks[[#Headers],[ID]])))="",TRUE()),"",IF(INDEX(tsk_IsSummary,(ROW()-ROW(MSPTasks[[#Headers],[ID]]))),"",INDEX(tsk_UIDPredecessors,(ROW()-ROW(MSPTasks[[#Headers],[ID]])))))</f>
        <v/>
      </c>
      <c r="K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7" s="24" t="str">
        <f aca="false">IF(IFERROR(INDEX(tsk_Name,(ROW()-ROW(MSPTasks[[#Headers],[ID]])))="",TRUE()),"",IF(INDEX(tsk_IsSummary,(ROW()-ROW(MSPTasks[[#Headers],[ID]]))),"",ROUND(INDEX(tsk_Progress,(ROW()-ROW(MSPTasks[[#Headers],[ID]])))*100,0)))</f>
        <v/>
      </c>
      <c r="M67" s="130" t="str">
        <f aca="false">IF(IFERROR(INDEX(tsk_Name,(ROW()-ROW(MSPTasks[[#Headers],[ID]])))="",TRUE()),"",IF(N(INDEX(tsk_ActStart,(ROW()-ROW(MSPTasks[[#Headers],[ID]]))))=0,"",INDEX(tsk_ActStart,(ROW()-ROW(MSPTasks[[#Headers],[ID]])))))</f>
        <v/>
      </c>
      <c r="N67" s="130" t="str">
        <f aca="false">IF(IFERROR(INDEX(tsk_Name,(ROW()-ROW(MSPTasks[[#Headers],[ID]])))="",TRUE()),"",IF(N(INDEX(tsk_ActFinish,(ROW()-ROW(MSPTasks[[#Headers],[ID]]))))=0,"",INDEX(tsk_ActFinish,(ROW()-ROW(MSPTasks[[#Headers],[ID]])))))</f>
        <v/>
      </c>
      <c r="O67" s="130" t="str">
        <f aca="false">IF(IFERROR(INDEX(tsk_Name,(ROW()-ROW(MSPTasks[[#Headers],[ID]])))="",TRUE()),"",INDEX(tsk_PlanStart,(ROW()-ROW(MSPTasks[[#Headers],[ID]]))))</f>
        <v/>
      </c>
      <c r="P67" s="130" t="str">
        <f aca="false">IF(IFERROR(INDEX(tsk_Name,(ROW()-ROW(MSPTasks[[#Headers],[ID]])))="",TRUE()),"",INDEX(tsk_PlanFinish,(ROW()-ROW(MSPTasks[[#Headers],[ID]]))))</f>
        <v/>
      </c>
      <c r="Q67" s="24" t="str">
        <f aca="false">IF(IFERROR(INDEX(tsk_Name,(ROW()-ROW(MSPTasks[[#Headers],[ID]])))="",TRUE()),"",IF(INDEX(tsk_BaseDuration,(ROW()-ROW(MSPTasks[[#Headers],[ID]])))="","",N(INDEX(tsk_BaseDuration,(ROW()-ROW(MSPTasks[[#Headers],[ID]]))))&amp;"d"))</f>
        <v/>
      </c>
      <c r="R67" s="24" t="str">
        <f aca="false">IF(IFERROR(INDEX(tsk_Name,(ROW()-ROW(MSPTasks[[#Headers],[ID]])))="",TRUE()),"",IF(INDEX(tsk_BaseWork,(ROW()-ROW(MSPTasks[[#Headers],[ID]])))="","",N(INDEX(tsk_BaseWork,(ROW()-ROW(MSPTasks[[#Headers],[ID]]))))&amp;"h"))</f>
        <v/>
      </c>
      <c r="S67" s="24" t="str">
        <f aca="false">IF(IFERROR(INDEX(tsk_Name,(ROW()-ROW(MSPTasks[[#Headers],[ID]])))="",TRUE()),"",IF(INDEX(tsk_BaseCost,(ROW()-ROW(MSPTasks[[#Headers],[ID]])))="","",N(INDEX(tsk_BaseCost,(ROW()-ROW(MSPTasks[[#Headers],[ID]]))))))</f>
        <v/>
      </c>
      <c r="T67" s="24" t="str">
        <f aca="false">IF(IFERROR(INDEX(tsk_Name,(ROW()-ROW(MSPTasks[[#Headers],[ID]])))="",TRUE()),"",IF(INDEX(tsk_IsSummary,(ROW()-ROW(MSPTasks[[#Headers],[ID]]))),"",IF(N(INDEX(tsk_ActCostInput,(ROW()-ROW(MSPTasks[[#Headers],[ID]]))))=0,"",INDEX(tsk_ActCostInput,(ROW()-ROW(MSPTasks[[#Headers],[ID]]))))))</f>
        <v/>
      </c>
      <c r="U67" s="24" t="str">
        <f aca="false">IF(IFERROR(INDEX(tsk_Name,(ROW()-ROW(MSPTasks[[#Headers],[ID]])))="",TRUE()),"",IF(INDEX(tsk_IsSummary,(ROW()-ROW(MSPTasks[[#Headers],[ID]]))),"",IF(AND(INDEX(tsk_Mode,(ROW()-ROW(MSPTasks[[#Headers],[ID]])))&lt;&gt;"Manual",N(INDEX(tsk_Constraint,(ROW()-ROW(MSPTasks[[#Headers],[ID]]))))&gt;0),"Start No Earlier Than","As Soon As Possible")))</f>
        <v/>
      </c>
      <c r="V67" s="130" t="str">
        <f aca="false">IF(IFERROR(INDEX(tsk_Name,(ROW()-ROW(MSPTasks[[#Headers],[ID]])))="",TRUE()),"",IF(OR(INDEX(tsk_IsSummary,(ROW()-ROW(MSPTasks[[#Headers],[ID]]))),INDEX(tsk_Mode,(ROW()-ROW(MSPTasks[[#Headers],[ID]])))="Manual"),"",IF(N(INDEX(tsk_Constraint,(ROW()-ROW(MSPTasks[[#Headers],[ID]]))))=0,"",INDEX(tsk_Constraint,(ROW()-ROW(MSPTasks[[#Headers],[ID]]))))))</f>
        <v/>
      </c>
      <c r="W67" s="130" t="str">
        <f aca="false">IF(IFERROR(INDEX(tsk_Name,(ROW()-ROW(MSPTasks[[#Headers],[ID]])))="",TRUE()),"",IF(N(INDEX(tsk_Deadline,(ROW()-ROW(MSPTasks[[#Headers],[ID]]))))=0,"",INDEX(tsk_Deadline,(ROW()-ROW(MSPTasks[[#Headers],[ID]])))))</f>
        <v/>
      </c>
      <c r="X67" s="24" t="str">
        <f aca="false">IF(IFERROR(INDEX(tsk_Name,(ROW()-ROW(MSPTasks[[#Headers],[ID]])))="",TRUE()),"",IF(INDEX(tsk_IsSummary,(ROW()-ROW(MSPTasks[[#Headers],[ID]]))),"",INDEX(tsk_Sprint,(ROW()-ROW(MSPTasks[[#Headers],[ID]])))&amp;""))</f>
        <v/>
      </c>
      <c r="Y67" s="24" t="str">
        <f aca="false">IF(IFERROR(INDEX(tsk_Name,(ROW()-ROW(MSPTasks[[#Headers],[ID]])))="",TRUE()),"",IF(INDEX(tsk_IsSummary,(ROW()-ROW(MSPTasks[[#Headers],[ID]]))),"",IF(N(INDEX(tsk_StoryPoints,(ROW()-ROW(MSPTasks[[#Headers],[ID]]))))=0,"",INDEX(tsk_StoryPoints,(ROW()-ROW(MSPTasks[[#Headers],[ID]]))))))</f>
        <v/>
      </c>
      <c r="Z67" s="24" t="str">
        <f aca="false">IF(IFERROR(INDEX(tsk_Name,(ROW()-ROW(MSPTasks[[#Headers],[ID]])))="",TRUE()),"",INDEX(tsk_Notes,(ROW()-ROW(MSPTasks[[#Headers],[ID]])))&amp;"")</f>
        <v/>
      </c>
    </row>
    <row r="68" customFormat="false" ht="15" hidden="false" customHeight="false" outlineLevel="0" collapsed="false">
      <c r="A68" s="24" t="str">
        <f aca="false">IF(IFERROR(INDEX(tsk_Name,(ROW()-ROW(MSPTasks[[#Headers],[ID]])))="",TRUE()),"",INDEX(tsk_ID,(ROW()-ROW(MSPTasks[[#Headers],[ID]]))))</f>
        <v/>
      </c>
      <c r="B68" s="24" t="str">
        <f aca="false">IF(IFERROR(INDEX(tsk_Name,(ROW()-ROW(MSPTasks[[#Headers],[ID]])))="",TRUE()),"",INDEX(tsk_UID,(ROW()-ROW(MSPTasks[[#Headers],[ID]]))))</f>
        <v/>
      </c>
      <c r="C68" s="24" t="str">
        <f aca="false">IF(IFERROR(INDEX(tsk_Name,(ROW()-ROW(MSPTasks[[#Headers],[ID]])))="",TRUE()),"",INDEX(tsk_Name,(ROW()-ROW(MSPTasks[[#Headers],[ID]]))))</f>
        <v/>
      </c>
      <c r="D68" s="24" t="str">
        <f aca="false">IF(IFERROR(INDEX(tsk_Name,(ROW()-ROW(MSPTasks[[#Headers],[ID]])))="",TRUE()),"",INDEX(tsk_Level,(ROW()-ROW(MSPTasks[[#Headers],[ID]]))))</f>
        <v/>
      </c>
      <c r="E68" s="24" t="str">
        <f aca="false">IF(IFERROR(INDEX(tsk_Name,(ROW()-ROW(MSPTasks[[#Headers],[ID]])))="",TRUE()),"",IF(INDEX(tsk_Mode,(ROW()-ROW(MSPTasks[[#Headers],[ID]])))="Manual","Manually Scheduled","Auto Scheduled"))</f>
        <v/>
      </c>
      <c r="F68" s="24" t="str">
        <f aca="false">IF(IFERROR(INDEX(tsk_Name,(ROW()-ROW(MSPTasks[[#Headers],[ID]])))="",TRUE()),"",IF(INDEX(tsk_IsSummary,(ROW()-ROW(MSPTasks[[#Headers],[ID]]))),"",N(INDEX(tsk_Duration,(ROW()-ROW(MSPTasks[[#Headers],[ID]]))))&amp;"d"))</f>
        <v/>
      </c>
      <c r="G68" s="130" t="str">
        <f aca="false">IF(IFERROR(INDEX(tsk_Name,(ROW()-ROW(MSPTasks[[#Headers],[ID]])))="",TRUE()),"",INDEX(tsk_FcStart,(ROW()-ROW(MSPTasks[[#Headers],[ID]]))))</f>
        <v/>
      </c>
      <c r="H68" s="130" t="str">
        <f aca="false">IF(IFERROR(INDEX(tsk_Name,(ROW()-ROW(MSPTasks[[#Headers],[ID]])))="",TRUE()),"",INDEX(tsk_FcFinish,(ROW()-ROW(MSPTasks[[#Headers],[ID]]))))</f>
        <v/>
      </c>
      <c r="I68" s="24" t="str">
        <f aca="false">IF(IFERROR(INDEX(tsk_Name,(ROW()-ROW(MSPTasks[[#Headers],[ID]])))="",TRUE()),"",IF(INDEX(tsk_IsSummary,(ROW()-ROW(MSPTasks[[#Headers],[ID]]))),"",INDEX(tsk_Predecessors,(ROW()-ROW(MSPTasks[[#Headers],[ID]])))))</f>
        <v/>
      </c>
      <c r="J68" s="24" t="str">
        <f aca="false">IF(IFERROR(INDEX(tsk_Name,(ROW()-ROW(MSPTasks[[#Headers],[ID]])))="",TRUE()),"",IF(INDEX(tsk_IsSummary,(ROW()-ROW(MSPTasks[[#Headers],[ID]]))),"",INDEX(tsk_UIDPredecessors,(ROW()-ROW(MSPTasks[[#Headers],[ID]])))))</f>
        <v/>
      </c>
      <c r="K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8" s="24" t="str">
        <f aca="false">IF(IFERROR(INDEX(tsk_Name,(ROW()-ROW(MSPTasks[[#Headers],[ID]])))="",TRUE()),"",IF(INDEX(tsk_IsSummary,(ROW()-ROW(MSPTasks[[#Headers],[ID]]))),"",ROUND(INDEX(tsk_Progress,(ROW()-ROW(MSPTasks[[#Headers],[ID]])))*100,0)))</f>
        <v/>
      </c>
      <c r="M68" s="130" t="str">
        <f aca="false">IF(IFERROR(INDEX(tsk_Name,(ROW()-ROW(MSPTasks[[#Headers],[ID]])))="",TRUE()),"",IF(N(INDEX(tsk_ActStart,(ROW()-ROW(MSPTasks[[#Headers],[ID]]))))=0,"",INDEX(tsk_ActStart,(ROW()-ROW(MSPTasks[[#Headers],[ID]])))))</f>
        <v/>
      </c>
      <c r="N68" s="130" t="str">
        <f aca="false">IF(IFERROR(INDEX(tsk_Name,(ROW()-ROW(MSPTasks[[#Headers],[ID]])))="",TRUE()),"",IF(N(INDEX(tsk_ActFinish,(ROW()-ROW(MSPTasks[[#Headers],[ID]]))))=0,"",INDEX(tsk_ActFinish,(ROW()-ROW(MSPTasks[[#Headers],[ID]])))))</f>
        <v/>
      </c>
      <c r="O68" s="130" t="str">
        <f aca="false">IF(IFERROR(INDEX(tsk_Name,(ROW()-ROW(MSPTasks[[#Headers],[ID]])))="",TRUE()),"",INDEX(tsk_PlanStart,(ROW()-ROW(MSPTasks[[#Headers],[ID]]))))</f>
        <v/>
      </c>
      <c r="P68" s="130" t="str">
        <f aca="false">IF(IFERROR(INDEX(tsk_Name,(ROW()-ROW(MSPTasks[[#Headers],[ID]])))="",TRUE()),"",INDEX(tsk_PlanFinish,(ROW()-ROW(MSPTasks[[#Headers],[ID]]))))</f>
        <v/>
      </c>
      <c r="Q68" s="24" t="str">
        <f aca="false">IF(IFERROR(INDEX(tsk_Name,(ROW()-ROW(MSPTasks[[#Headers],[ID]])))="",TRUE()),"",IF(INDEX(tsk_BaseDuration,(ROW()-ROW(MSPTasks[[#Headers],[ID]])))="","",N(INDEX(tsk_BaseDuration,(ROW()-ROW(MSPTasks[[#Headers],[ID]]))))&amp;"d"))</f>
        <v/>
      </c>
      <c r="R68" s="24" t="str">
        <f aca="false">IF(IFERROR(INDEX(tsk_Name,(ROW()-ROW(MSPTasks[[#Headers],[ID]])))="",TRUE()),"",IF(INDEX(tsk_BaseWork,(ROW()-ROW(MSPTasks[[#Headers],[ID]])))="","",N(INDEX(tsk_BaseWork,(ROW()-ROW(MSPTasks[[#Headers],[ID]]))))&amp;"h"))</f>
        <v/>
      </c>
      <c r="S68" s="24" t="str">
        <f aca="false">IF(IFERROR(INDEX(tsk_Name,(ROW()-ROW(MSPTasks[[#Headers],[ID]])))="",TRUE()),"",IF(INDEX(tsk_BaseCost,(ROW()-ROW(MSPTasks[[#Headers],[ID]])))="","",N(INDEX(tsk_BaseCost,(ROW()-ROW(MSPTasks[[#Headers],[ID]]))))))</f>
        <v/>
      </c>
      <c r="T68" s="24" t="str">
        <f aca="false">IF(IFERROR(INDEX(tsk_Name,(ROW()-ROW(MSPTasks[[#Headers],[ID]])))="",TRUE()),"",IF(INDEX(tsk_IsSummary,(ROW()-ROW(MSPTasks[[#Headers],[ID]]))),"",IF(N(INDEX(tsk_ActCostInput,(ROW()-ROW(MSPTasks[[#Headers],[ID]]))))=0,"",INDEX(tsk_ActCostInput,(ROW()-ROW(MSPTasks[[#Headers],[ID]]))))))</f>
        <v/>
      </c>
      <c r="U68" s="24" t="str">
        <f aca="false">IF(IFERROR(INDEX(tsk_Name,(ROW()-ROW(MSPTasks[[#Headers],[ID]])))="",TRUE()),"",IF(INDEX(tsk_IsSummary,(ROW()-ROW(MSPTasks[[#Headers],[ID]]))),"",IF(AND(INDEX(tsk_Mode,(ROW()-ROW(MSPTasks[[#Headers],[ID]])))&lt;&gt;"Manual",N(INDEX(tsk_Constraint,(ROW()-ROW(MSPTasks[[#Headers],[ID]]))))&gt;0),"Start No Earlier Than","As Soon As Possible")))</f>
        <v/>
      </c>
      <c r="V68" s="130" t="str">
        <f aca="false">IF(IFERROR(INDEX(tsk_Name,(ROW()-ROW(MSPTasks[[#Headers],[ID]])))="",TRUE()),"",IF(OR(INDEX(tsk_IsSummary,(ROW()-ROW(MSPTasks[[#Headers],[ID]]))),INDEX(tsk_Mode,(ROW()-ROW(MSPTasks[[#Headers],[ID]])))="Manual"),"",IF(N(INDEX(tsk_Constraint,(ROW()-ROW(MSPTasks[[#Headers],[ID]]))))=0,"",INDEX(tsk_Constraint,(ROW()-ROW(MSPTasks[[#Headers],[ID]]))))))</f>
        <v/>
      </c>
      <c r="W68" s="130" t="str">
        <f aca="false">IF(IFERROR(INDEX(tsk_Name,(ROW()-ROW(MSPTasks[[#Headers],[ID]])))="",TRUE()),"",IF(N(INDEX(tsk_Deadline,(ROW()-ROW(MSPTasks[[#Headers],[ID]]))))=0,"",INDEX(tsk_Deadline,(ROW()-ROW(MSPTasks[[#Headers],[ID]])))))</f>
        <v/>
      </c>
      <c r="X68" s="24" t="str">
        <f aca="false">IF(IFERROR(INDEX(tsk_Name,(ROW()-ROW(MSPTasks[[#Headers],[ID]])))="",TRUE()),"",IF(INDEX(tsk_IsSummary,(ROW()-ROW(MSPTasks[[#Headers],[ID]]))),"",INDEX(tsk_Sprint,(ROW()-ROW(MSPTasks[[#Headers],[ID]])))&amp;""))</f>
        <v/>
      </c>
      <c r="Y68" s="24" t="str">
        <f aca="false">IF(IFERROR(INDEX(tsk_Name,(ROW()-ROW(MSPTasks[[#Headers],[ID]])))="",TRUE()),"",IF(INDEX(tsk_IsSummary,(ROW()-ROW(MSPTasks[[#Headers],[ID]]))),"",IF(N(INDEX(tsk_StoryPoints,(ROW()-ROW(MSPTasks[[#Headers],[ID]]))))=0,"",INDEX(tsk_StoryPoints,(ROW()-ROW(MSPTasks[[#Headers],[ID]]))))))</f>
        <v/>
      </c>
      <c r="Z68" s="24" t="str">
        <f aca="false">IF(IFERROR(INDEX(tsk_Name,(ROW()-ROW(MSPTasks[[#Headers],[ID]])))="",TRUE()),"",INDEX(tsk_Notes,(ROW()-ROW(MSPTasks[[#Headers],[ID]])))&amp;"")</f>
        <v/>
      </c>
    </row>
    <row r="69" customFormat="false" ht="15" hidden="false" customHeight="false" outlineLevel="0" collapsed="false">
      <c r="A69" s="24" t="str">
        <f aca="false">IF(IFERROR(INDEX(tsk_Name,(ROW()-ROW(MSPTasks[[#Headers],[ID]])))="",TRUE()),"",INDEX(tsk_ID,(ROW()-ROW(MSPTasks[[#Headers],[ID]]))))</f>
        <v/>
      </c>
      <c r="B69" s="24" t="str">
        <f aca="false">IF(IFERROR(INDEX(tsk_Name,(ROW()-ROW(MSPTasks[[#Headers],[ID]])))="",TRUE()),"",INDEX(tsk_UID,(ROW()-ROW(MSPTasks[[#Headers],[ID]]))))</f>
        <v/>
      </c>
      <c r="C69" s="24" t="str">
        <f aca="false">IF(IFERROR(INDEX(tsk_Name,(ROW()-ROW(MSPTasks[[#Headers],[ID]])))="",TRUE()),"",INDEX(tsk_Name,(ROW()-ROW(MSPTasks[[#Headers],[ID]]))))</f>
        <v/>
      </c>
      <c r="D69" s="24" t="str">
        <f aca="false">IF(IFERROR(INDEX(tsk_Name,(ROW()-ROW(MSPTasks[[#Headers],[ID]])))="",TRUE()),"",INDEX(tsk_Level,(ROW()-ROW(MSPTasks[[#Headers],[ID]]))))</f>
        <v/>
      </c>
      <c r="E69" s="24" t="str">
        <f aca="false">IF(IFERROR(INDEX(tsk_Name,(ROW()-ROW(MSPTasks[[#Headers],[ID]])))="",TRUE()),"",IF(INDEX(tsk_Mode,(ROW()-ROW(MSPTasks[[#Headers],[ID]])))="Manual","Manually Scheduled","Auto Scheduled"))</f>
        <v/>
      </c>
      <c r="F69" s="24" t="str">
        <f aca="false">IF(IFERROR(INDEX(tsk_Name,(ROW()-ROW(MSPTasks[[#Headers],[ID]])))="",TRUE()),"",IF(INDEX(tsk_IsSummary,(ROW()-ROW(MSPTasks[[#Headers],[ID]]))),"",N(INDEX(tsk_Duration,(ROW()-ROW(MSPTasks[[#Headers],[ID]]))))&amp;"d"))</f>
        <v/>
      </c>
      <c r="G69" s="130" t="str">
        <f aca="false">IF(IFERROR(INDEX(tsk_Name,(ROW()-ROW(MSPTasks[[#Headers],[ID]])))="",TRUE()),"",INDEX(tsk_FcStart,(ROW()-ROW(MSPTasks[[#Headers],[ID]]))))</f>
        <v/>
      </c>
      <c r="H69" s="130" t="str">
        <f aca="false">IF(IFERROR(INDEX(tsk_Name,(ROW()-ROW(MSPTasks[[#Headers],[ID]])))="",TRUE()),"",INDEX(tsk_FcFinish,(ROW()-ROW(MSPTasks[[#Headers],[ID]]))))</f>
        <v/>
      </c>
      <c r="I69" s="24" t="str">
        <f aca="false">IF(IFERROR(INDEX(tsk_Name,(ROW()-ROW(MSPTasks[[#Headers],[ID]])))="",TRUE()),"",IF(INDEX(tsk_IsSummary,(ROW()-ROW(MSPTasks[[#Headers],[ID]]))),"",INDEX(tsk_Predecessors,(ROW()-ROW(MSPTasks[[#Headers],[ID]])))))</f>
        <v/>
      </c>
      <c r="J69" s="24" t="str">
        <f aca="false">IF(IFERROR(INDEX(tsk_Name,(ROW()-ROW(MSPTasks[[#Headers],[ID]])))="",TRUE()),"",IF(INDEX(tsk_IsSummary,(ROW()-ROW(MSPTasks[[#Headers],[ID]]))),"",INDEX(tsk_UIDPredecessors,(ROW()-ROW(MSPTasks[[#Headers],[ID]])))))</f>
        <v/>
      </c>
      <c r="K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9" s="24" t="str">
        <f aca="false">IF(IFERROR(INDEX(tsk_Name,(ROW()-ROW(MSPTasks[[#Headers],[ID]])))="",TRUE()),"",IF(INDEX(tsk_IsSummary,(ROW()-ROW(MSPTasks[[#Headers],[ID]]))),"",ROUND(INDEX(tsk_Progress,(ROW()-ROW(MSPTasks[[#Headers],[ID]])))*100,0)))</f>
        <v/>
      </c>
      <c r="M69" s="130" t="str">
        <f aca="false">IF(IFERROR(INDEX(tsk_Name,(ROW()-ROW(MSPTasks[[#Headers],[ID]])))="",TRUE()),"",IF(N(INDEX(tsk_ActStart,(ROW()-ROW(MSPTasks[[#Headers],[ID]]))))=0,"",INDEX(tsk_ActStart,(ROW()-ROW(MSPTasks[[#Headers],[ID]])))))</f>
        <v/>
      </c>
      <c r="N69" s="130" t="str">
        <f aca="false">IF(IFERROR(INDEX(tsk_Name,(ROW()-ROW(MSPTasks[[#Headers],[ID]])))="",TRUE()),"",IF(N(INDEX(tsk_ActFinish,(ROW()-ROW(MSPTasks[[#Headers],[ID]]))))=0,"",INDEX(tsk_ActFinish,(ROW()-ROW(MSPTasks[[#Headers],[ID]])))))</f>
        <v/>
      </c>
      <c r="O69" s="130" t="str">
        <f aca="false">IF(IFERROR(INDEX(tsk_Name,(ROW()-ROW(MSPTasks[[#Headers],[ID]])))="",TRUE()),"",INDEX(tsk_PlanStart,(ROW()-ROW(MSPTasks[[#Headers],[ID]]))))</f>
        <v/>
      </c>
      <c r="P69" s="130" t="str">
        <f aca="false">IF(IFERROR(INDEX(tsk_Name,(ROW()-ROW(MSPTasks[[#Headers],[ID]])))="",TRUE()),"",INDEX(tsk_PlanFinish,(ROW()-ROW(MSPTasks[[#Headers],[ID]]))))</f>
        <v/>
      </c>
      <c r="Q69" s="24" t="str">
        <f aca="false">IF(IFERROR(INDEX(tsk_Name,(ROW()-ROW(MSPTasks[[#Headers],[ID]])))="",TRUE()),"",IF(INDEX(tsk_BaseDuration,(ROW()-ROW(MSPTasks[[#Headers],[ID]])))="","",N(INDEX(tsk_BaseDuration,(ROW()-ROW(MSPTasks[[#Headers],[ID]]))))&amp;"d"))</f>
        <v/>
      </c>
      <c r="R69" s="24" t="str">
        <f aca="false">IF(IFERROR(INDEX(tsk_Name,(ROW()-ROW(MSPTasks[[#Headers],[ID]])))="",TRUE()),"",IF(INDEX(tsk_BaseWork,(ROW()-ROW(MSPTasks[[#Headers],[ID]])))="","",N(INDEX(tsk_BaseWork,(ROW()-ROW(MSPTasks[[#Headers],[ID]]))))&amp;"h"))</f>
        <v/>
      </c>
      <c r="S69" s="24" t="str">
        <f aca="false">IF(IFERROR(INDEX(tsk_Name,(ROW()-ROW(MSPTasks[[#Headers],[ID]])))="",TRUE()),"",IF(INDEX(tsk_BaseCost,(ROW()-ROW(MSPTasks[[#Headers],[ID]])))="","",N(INDEX(tsk_BaseCost,(ROW()-ROW(MSPTasks[[#Headers],[ID]]))))))</f>
        <v/>
      </c>
      <c r="T69" s="24" t="str">
        <f aca="false">IF(IFERROR(INDEX(tsk_Name,(ROW()-ROW(MSPTasks[[#Headers],[ID]])))="",TRUE()),"",IF(INDEX(tsk_IsSummary,(ROW()-ROW(MSPTasks[[#Headers],[ID]]))),"",IF(N(INDEX(tsk_ActCostInput,(ROW()-ROW(MSPTasks[[#Headers],[ID]]))))=0,"",INDEX(tsk_ActCostInput,(ROW()-ROW(MSPTasks[[#Headers],[ID]]))))))</f>
        <v/>
      </c>
      <c r="U69" s="24" t="str">
        <f aca="false">IF(IFERROR(INDEX(tsk_Name,(ROW()-ROW(MSPTasks[[#Headers],[ID]])))="",TRUE()),"",IF(INDEX(tsk_IsSummary,(ROW()-ROW(MSPTasks[[#Headers],[ID]]))),"",IF(AND(INDEX(tsk_Mode,(ROW()-ROW(MSPTasks[[#Headers],[ID]])))&lt;&gt;"Manual",N(INDEX(tsk_Constraint,(ROW()-ROW(MSPTasks[[#Headers],[ID]]))))&gt;0),"Start No Earlier Than","As Soon As Possible")))</f>
        <v/>
      </c>
      <c r="V69" s="130" t="str">
        <f aca="false">IF(IFERROR(INDEX(tsk_Name,(ROW()-ROW(MSPTasks[[#Headers],[ID]])))="",TRUE()),"",IF(OR(INDEX(tsk_IsSummary,(ROW()-ROW(MSPTasks[[#Headers],[ID]]))),INDEX(tsk_Mode,(ROW()-ROW(MSPTasks[[#Headers],[ID]])))="Manual"),"",IF(N(INDEX(tsk_Constraint,(ROW()-ROW(MSPTasks[[#Headers],[ID]]))))=0,"",INDEX(tsk_Constraint,(ROW()-ROW(MSPTasks[[#Headers],[ID]]))))))</f>
        <v/>
      </c>
      <c r="W69" s="130" t="str">
        <f aca="false">IF(IFERROR(INDEX(tsk_Name,(ROW()-ROW(MSPTasks[[#Headers],[ID]])))="",TRUE()),"",IF(N(INDEX(tsk_Deadline,(ROW()-ROW(MSPTasks[[#Headers],[ID]]))))=0,"",INDEX(tsk_Deadline,(ROW()-ROW(MSPTasks[[#Headers],[ID]])))))</f>
        <v/>
      </c>
      <c r="X69" s="24" t="str">
        <f aca="false">IF(IFERROR(INDEX(tsk_Name,(ROW()-ROW(MSPTasks[[#Headers],[ID]])))="",TRUE()),"",IF(INDEX(tsk_IsSummary,(ROW()-ROW(MSPTasks[[#Headers],[ID]]))),"",INDEX(tsk_Sprint,(ROW()-ROW(MSPTasks[[#Headers],[ID]])))&amp;""))</f>
        <v/>
      </c>
      <c r="Y69" s="24" t="str">
        <f aca="false">IF(IFERROR(INDEX(tsk_Name,(ROW()-ROW(MSPTasks[[#Headers],[ID]])))="",TRUE()),"",IF(INDEX(tsk_IsSummary,(ROW()-ROW(MSPTasks[[#Headers],[ID]]))),"",IF(N(INDEX(tsk_StoryPoints,(ROW()-ROW(MSPTasks[[#Headers],[ID]]))))=0,"",INDEX(tsk_StoryPoints,(ROW()-ROW(MSPTasks[[#Headers],[ID]]))))))</f>
        <v/>
      </c>
      <c r="Z69" s="24" t="str">
        <f aca="false">IF(IFERROR(INDEX(tsk_Name,(ROW()-ROW(MSPTasks[[#Headers],[ID]])))="",TRUE()),"",INDEX(tsk_Notes,(ROW()-ROW(MSPTasks[[#Headers],[ID]])))&amp;"")</f>
        <v/>
      </c>
    </row>
    <row r="70" customFormat="false" ht="15" hidden="false" customHeight="false" outlineLevel="0" collapsed="false">
      <c r="A70" s="24" t="str">
        <f aca="false">IF(IFERROR(INDEX(tsk_Name,(ROW()-ROW(MSPTasks[[#Headers],[ID]])))="",TRUE()),"",INDEX(tsk_ID,(ROW()-ROW(MSPTasks[[#Headers],[ID]]))))</f>
        <v/>
      </c>
      <c r="B70" s="24" t="str">
        <f aca="false">IF(IFERROR(INDEX(tsk_Name,(ROW()-ROW(MSPTasks[[#Headers],[ID]])))="",TRUE()),"",INDEX(tsk_UID,(ROW()-ROW(MSPTasks[[#Headers],[ID]]))))</f>
        <v/>
      </c>
      <c r="C70" s="24" t="str">
        <f aca="false">IF(IFERROR(INDEX(tsk_Name,(ROW()-ROW(MSPTasks[[#Headers],[ID]])))="",TRUE()),"",INDEX(tsk_Name,(ROW()-ROW(MSPTasks[[#Headers],[ID]]))))</f>
        <v/>
      </c>
      <c r="D70" s="24" t="str">
        <f aca="false">IF(IFERROR(INDEX(tsk_Name,(ROW()-ROW(MSPTasks[[#Headers],[ID]])))="",TRUE()),"",INDEX(tsk_Level,(ROW()-ROW(MSPTasks[[#Headers],[ID]]))))</f>
        <v/>
      </c>
      <c r="E70" s="24" t="str">
        <f aca="false">IF(IFERROR(INDEX(tsk_Name,(ROW()-ROW(MSPTasks[[#Headers],[ID]])))="",TRUE()),"",IF(INDEX(tsk_Mode,(ROW()-ROW(MSPTasks[[#Headers],[ID]])))="Manual","Manually Scheduled","Auto Scheduled"))</f>
        <v/>
      </c>
      <c r="F70" s="24" t="str">
        <f aca="false">IF(IFERROR(INDEX(tsk_Name,(ROW()-ROW(MSPTasks[[#Headers],[ID]])))="",TRUE()),"",IF(INDEX(tsk_IsSummary,(ROW()-ROW(MSPTasks[[#Headers],[ID]]))),"",N(INDEX(tsk_Duration,(ROW()-ROW(MSPTasks[[#Headers],[ID]]))))&amp;"d"))</f>
        <v/>
      </c>
      <c r="G70" s="130" t="str">
        <f aca="false">IF(IFERROR(INDEX(tsk_Name,(ROW()-ROW(MSPTasks[[#Headers],[ID]])))="",TRUE()),"",INDEX(tsk_FcStart,(ROW()-ROW(MSPTasks[[#Headers],[ID]]))))</f>
        <v/>
      </c>
      <c r="H70" s="130" t="str">
        <f aca="false">IF(IFERROR(INDEX(tsk_Name,(ROW()-ROW(MSPTasks[[#Headers],[ID]])))="",TRUE()),"",INDEX(tsk_FcFinish,(ROW()-ROW(MSPTasks[[#Headers],[ID]]))))</f>
        <v/>
      </c>
      <c r="I70" s="24" t="str">
        <f aca="false">IF(IFERROR(INDEX(tsk_Name,(ROW()-ROW(MSPTasks[[#Headers],[ID]])))="",TRUE()),"",IF(INDEX(tsk_IsSummary,(ROW()-ROW(MSPTasks[[#Headers],[ID]]))),"",INDEX(tsk_Predecessors,(ROW()-ROW(MSPTasks[[#Headers],[ID]])))))</f>
        <v/>
      </c>
      <c r="J70" s="24" t="str">
        <f aca="false">IF(IFERROR(INDEX(tsk_Name,(ROW()-ROW(MSPTasks[[#Headers],[ID]])))="",TRUE()),"",IF(INDEX(tsk_IsSummary,(ROW()-ROW(MSPTasks[[#Headers],[ID]]))),"",INDEX(tsk_UIDPredecessors,(ROW()-ROW(MSPTasks[[#Headers],[ID]])))))</f>
        <v/>
      </c>
      <c r="K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0" s="24" t="str">
        <f aca="false">IF(IFERROR(INDEX(tsk_Name,(ROW()-ROW(MSPTasks[[#Headers],[ID]])))="",TRUE()),"",IF(INDEX(tsk_IsSummary,(ROW()-ROW(MSPTasks[[#Headers],[ID]]))),"",ROUND(INDEX(tsk_Progress,(ROW()-ROW(MSPTasks[[#Headers],[ID]])))*100,0)))</f>
        <v/>
      </c>
      <c r="M70" s="130" t="str">
        <f aca="false">IF(IFERROR(INDEX(tsk_Name,(ROW()-ROW(MSPTasks[[#Headers],[ID]])))="",TRUE()),"",IF(N(INDEX(tsk_ActStart,(ROW()-ROW(MSPTasks[[#Headers],[ID]]))))=0,"",INDEX(tsk_ActStart,(ROW()-ROW(MSPTasks[[#Headers],[ID]])))))</f>
        <v/>
      </c>
      <c r="N70" s="130" t="str">
        <f aca="false">IF(IFERROR(INDEX(tsk_Name,(ROW()-ROW(MSPTasks[[#Headers],[ID]])))="",TRUE()),"",IF(N(INDEX(tsk_ActFinish,(ROW()-ROW(MSPTasks[[#Headers],[ID]]))))=0,"",INDEX(tsk_ActFinish,(ROW()-ROW(MSPTasks[[#Headers],[ID]])))))</f>
        <v/>
      </c>
      <c r="O70" s="130" t="str">
        <f aca="false">IF(IFERROR(INDEX(tsk_Name,(ROW()-ROW(MSPTasks[[#Headers],[ID]])))="",TRUE()),"",INDEX(tsk_PlanStart,(ROW()-ROW(MSPTasks[[#Headers],[ID]]))))</f>
        <v/>
      </c>
      <c r="P70" s="130" t="str">
        <f aca="false">IF(IFERROR(INDEX(tsk_Name,(ROW()-ROW(MSPTasks[[#Headers],[ID]])))="",TRUE()),"",INDEX(tsk_PlanFinish,(ROW()-ROW(MSPTasks[[#Headers],[ID]]))))</f>
        <v/>
      </c>
      <c r="Q70" s="24" t="str">
        <f aca="false">IF(IFERROR(INDEX(tsk_Name,(ROW()-ROW(MSPTasks[[#Headers],[ID]])))="",TRUE()),"",IF(INDEX(tsk_BaseDuration,(ROW()-ROW(MSPTasks[[#Headers],[ID]])))="","",N(INDEX(tsk_BaseDuration,(ROW()-ROW(MSPTasks[[#Headers],[ID]]))))&amp;"d"))</f>
        <v/>
      </c>
      <c r="R70" s="24" t="str">
        <f aca="false">IF(IFERROR(INDEX(tsk_Name,(ROW()-ROW(MSPTasks[[#Headers],[ID]])))="",TRUE()),"",IF(INDEX(tsk_BaseWork,(ROW()-ROW(MSPTasks[[#Headers],[ID]])))="","",N(INDEX(tsk_BaseWork,(ROW()-ROW(MSPTasks[[#Headers],[ID]]))))&amp;"h"))</f>
        <v/>
      </c>
      <c r="S70" s="24" t="str">
        <f aca="false">IF(IFERROR(INDEX(tsk_Name,(ROW()-ROW(MSPTasks[[#Headers],[ID]])))="",TRUE()),"",IF(INDEX(tsk_BaseCost,(ROW()-ROW(MSPTasks[[#Headers],[ID]])))="","",N(INDEX(tsk_BaseCost,(ROW()-ROW(MSPTasks[[#Headers],[ID]]))))))</f>
        <v/>
      </c>
      <c r="T70" s="24" t="str">
        <f aca="false">IF(IFERROR(INDEX(tsk_Name,(ROW()-ROW(MSPTasks[[#Headers],[ID]])))="",TRUE()),"",IF(INDEX(tsk_IsSummary,(ROW()-ROW(MSPTasks[[#Headers],[ID]]))),"",IF(N(INDEX(tsk_ActCostInput,(ROW()-ROW(MSPTasks[[#Headers],[ID]]))))=0,"",INDEX(tsk_ActCostInput,(ROW()-ROW(MSPTasks[[#Headers],[ID]]))))))</f>
        <v/>
      </c>
      <c r="U70" s="24" t="str">
        <f aca="false">IF(IFERROR(INDEX(tsk_Name,(ROW()-ROW(MSPTasks[[#Headers],[ID]])))="",TRUE()),"",IF(INDEX(tsk_IsSummary,(ROW()-ROW(MSPTasks[[#Headers],[ID]]))),"",IF(AND(INDEX(tsk_Mode,(ROW()-ROW(MSPTasks[[#Headers],[ID]])))&lt;&gt;"Manual",N(INDEX(tsk_Constraint,(ROW()-ROW(MSPTasks[[#Headers],[ID]]))))&gt;0),"Start No Earlier Than","As Soon As Possible")))</f>
        <v/>
      </c>
      <c r="V70" s="130" t="str">
        <f aca="false">IF(IFERROR(INDEX(tsk_Name,(ROW()-ROW(MSPTasks[[#Headers],[ID]])))="",TRUE()),"",IF(OR(INDEX(tsk_IsSummary,(ROW()-ROW(MSPTasks[[#Headers],[ID]]))),INDEX(tsk_Mode,(ROW()-ROW(MSPTasks[[#Headers],[ID]])))="Manual"),"",IF(N(INDEX(tsk_Constraint,(ROW()-ROW(MSPTasks[[#Headers],[ID]]))))=0,"",INDEX(tsk_Constraint,(ROW()-ROW(MSPTasks[[#Headers],[ID]]))))))</f>
        <v/>
      </c>
      <c r="W70" s="130" t="str">
        <f aca="false">IF(IFERROR(INDEX(tsk_Name,(ROW()-ROW(MSPTasks[[#Headers],[ID]])))="",TRUE()),"",IF(N(INDEX(tsk_Deadline,(ROW()-ROW(MSPTasks[[#Headers],[ID]]))))=0,"",INDEX(tsk_Deadline,(ROW()-ROW(MSPTasks[[#Headers],[ID]])))))</f>
        <v/>
      </c>
      <c r="X70" s="24" t="str">
        <f aca="false">IF(IFERROR(INDEX(tsk_Name,(ROW()-ROW(MSPTasks[[#Headers],[ID]])))="",TRUE()),"",IF(INDEX(tsk_IsSummary,(ROW()-ROW(MSPTasks[[#Headers],[ID]]))),"",INDEX(tsk_Sprint,(ROW()-ROW(MSPTasks[[#Headers],[ID]])))&amp;""))</f>
        <v/>
      </c>
      <c r="Y70" s="24" t="str">
        <f aca="false">IF(IFERROR(INDEX(tsk_Name,(ROW()-ROW(MSPTasks[[#Headers],[ID]])))="",TRUE()),"",IF(INDEX(tsk_IsSummary,(ROW()-ROW(MSPTasks[[#Headers],[ID]]))),"",IF(N(INDEX(tsk_StoryPoints,(ROW()-ROW(MSPTasks[[#Headers],[ID]]))))=0,"",INDEX(tsk_StoryPoints,(ROW()-ROW(MSPTasks[[#Headers],[ID]]))))))</f>
        <v/>
      </c>
      <c r="Z70" s="24" t="str">
        <f aca="false">IF(IFERROR(INDEX(tsk_Name,(ROW()-ROW(MSPTasks[[#Headers],[ID]])))="",TRUE()),"",INDEX(tsk_Notes,(ROW()-ROW(MSPTasks[[#Headers],[ID]])))&amp;"")</f>
        <v/>
      </c>
    </row>
    <row r="71" customFormat="false" ht="15" hidden="false" customHeight="false" outlineLevel="0" collapsed="false">
      <c r="A71" s="24" t="str">
        <f aca="false">IF(IFERROR(INDEX(tsk_Name,(ROW()-ROW(MSPTasks[[#Headers],[ID]])))="",TRUE()),"",INDEX(tsk_ID,(ROW()-ROW(MSPTasks[[#Headers],[ID]]))))</f>
        <v/>
      </c>
      <c r="B71" s="24" t="str">
        <f aca="false">IF(IFERROR(INDEX(tsk_Name,(ROW()-ROW(MSPTasks[[#Headers],[ID]])))="",TRUE()),"",INDEX(tsk_UID,(ROW()-ROW(MSPTasks[[#Headers],[ID]]))))</f>
        <v/>
      </c>
      <c r="C71" s="24" t="str">
        <f aca="false">IF(IFERROR(INDEX(tsk_Name,(ROW()-ROW(MSPTasks[[#Headers],[ID]])))="",TRUE()),"",INDEX(tsk_Name,(ROW()-ROW(MSPTasks[[#Headers],[ID]]))))</f>
        <v/>
      </c>
      <c r="D71" s="24" t="str">
        <f aca="false">IF(IFERROR(INDEX(tsk_Name,(ROW()-ROW(MSPTasks[[#Headers],[ID]])))="",TRUE()),"",INDEX(tsk_Level,(ROW()-ROW(MSPTasks[[#Headers],[ID]]))))</f>
        <v/>
      </c>
      <c r="E71" s="24" t="str">
        <f aca="false">IF(IFERROR(INDEX(tsk_Name,(ROW()-ROW(MSPTasks[[#Headers],[ID]])))="",TRUE()),"",IF(INDEX(tsk_Mode,(ROW()-ROW(MSPTasks[[#Headers],[ID]])))="Manual","Manually Scheduled","Auto Scheduled"))</f>
        <v/>
      </c>
      <c r="F71" s="24" t="str">
        <f aca="false">IF(IFERROR(INDEX(tsk_Name,(ROW()-ROW(MSPTasks[[#Headers],[ID]])))="",TRUE()),"",IF(INDEX(tsk_IsSummary,(ROW()-ROW(MSPTasks[[#Headers],[ID]]))),"",N(INDEX(tsk_Duration,(ROW()-ROW(MSPTasks[[#Headers],[ID]]))))&amp;"d"))</f>
        <v/>
      </c>
      <c r="G71" s="130" t="str">
        <f aca="false">IF(IFERROR(INDEX(tsk_Name,(ROW()-ROW(MSPTasks[[#Headers],[ID]])))="",TRUE()),"",INDEX(tsk_FcStart,(ROW()-ROW(MSPTasks[[#Headers],[ID]]))))</f>
        <v/>
      </c>
      <c r="H71" s="130" t="str">
        <f aca="false">IF(IFERROR(INDEX(tsk_Name,(ROW()-ROW(MSPTasks[[#Headers],[ID]])))="",TRUE()),"",INDEX(tsk_FcFinish,(ROW()-ROW(MSPTasks[[#Headers],[ID]]))))</f>
        <v/>
      </c>
      <c r="I71" s="24" t="str">
        <f aca="false">IF(IFERROR(INDEX(tsk_Name,(ROW()-ROW(MSPTasks[[#Headers],[ID]])))="",TRUE()),"",IF(INDEX(tsk_IsSummary,(ROW()-ROW(MSPTasks[[#Headers],[ID]]))),"",INDEX(tsk_Predecessors,(ROW()-ROW(MSPTasks[[#Headers],[ID]])))))</f>
        <v/>
      </c>
      <c r="J71" s="24" t="str">
        <f aca="false">IF(IFERROR(INDEX(tsk_Name,(ROW()-ROW(MSPTasks[[#Headers],[ID]])))="",TRUE()),"",IF(INDEX(tsk_IsSummary,(ROW()-ROW(MSPTasks[[#Headers],[ID]]))),"",INDEX(tsk_UIDPredecessors,(ROW()-ROW(MSPTasks[[#Headers],[ID]])))))</f>
        <v/>
      </c>
      <c r="K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1" s="24" t="str">
        <f aca="false">IF(IFERROR(INDEX(tsk_Name,(ROW()-ROW(MSPTasks[[#Headers],[ID]])))="",TRUE()),"",IF(INDEX(tsk_IsSummary,(ROW()-ROW(MSPTasks[[#Headers],[ID]]))),"",ROUND(INDEX(tsk_Progress,(ROW()-ROW(MSPTasks[[#Headers],[ID]])))*100,0)))</f>
        <v/>
      </c>
      <c r="M71" s="130" t="str">
        <f aca="false">IF(IFERROR(INDEX(tsk_Name,(ROW()-ROW(MSPTasks[[#Headers],[ID]])))="",TRUE()),"",IF(N(INDEX(tsk_ActStart,(ROW()-ROW(MSPTasks[[#Headers],[ID]]))))=0,"",INDEX(tsk_ActStart,(ROW()-ROW(MSPTasks[[#Headers],[ID]])))))</f>
        <v/>
      </c>
      <c r="N71" s="130" t="str">
        <f aca="false">IF(IFERROR(INDEX(tsk_Name,(ROW()-ROW(MSPTasks[[#Headers],[ID]])))="",TRUE()),"",IF(N(INDEX(tsk_ActFinish,(ROW()-ROW(MSPTasks[[#Headers],[ID]]))))=0,"",INDEX(tsk_ActFinish,(ROW()-ROW(MSPTasks[[#Headers],[ID]])))))</f>
        <v/>
      </c>
      <c r="O71" s="130" t="str">
        <f aca="false">IF(IFERROR(INDEX(tsk_Name,(ROW()-ROW(MSPTasks[[#Headers],[ID]])))="",TRUE()),"",INDEX(tsk_PlanStart,(ROW()-ROW(MSPTasks[[#Headers],[ID]]))))</f>
        <v/>
      </c>
      <c r="P71" s="130" t="str">
        <f aca="false">IF(IFERROR(INDEX(tsk_Name,(ROW()-ROW(MSPTasks[[#Headers],[ID]])))="",TRUE()),"",INDEX(tsk_PlanFinish,(ROW()-ROW(MSPTasks[[#Headers],[ID]]))))</f>
        <v/>
      </c>
      <c r="Q71" s="24" t="str">
        <f aca="false">IF(IFERROR(INDEX(tsk_Name,(ROW()-ROW(MSPTasks[[#Headers],[ID]])))="",TRUE()),"",IF(INDEX(tsk_BaseDuration,(ROW()-ROW(MSPTasks[[#Headers],[ID]])))="","",N(INDEX(tsk_BaseDuration,(ROW()-ROW(MSPTasks[[#Headers],[ID]]))))&amp;"d"))</f>
        <v/>
      </c>
      <c r="R71" s="24" t="str">
        <f aca="false">IF(IFERROR(INDEX(tsk_Name,(ROW()-ROW(MSPTasks[[#Headers],[ID]])))="",TRUE()),"",IF(INDEX(tsk_BaseWork,(ROW()-ROW(MSPTasks[[#Headers],[ID]])))="","",N(INDEX(tsk_BaseWork,(ROW()-ROW(MSPTasks[[#Headers],[ID]]))))&amp;"h"))</f>
        <v/>
      </c>
      <c r="S71" s="24" t="str">
        <f aca="false">IF(IFERROR(INDEX(tsk_Name,(ROW()-ROW(MSPTasks[[#Headers],[ID]])))="",TRUE()),"",IF(INDEX(tsk_BaseCost,(ROW()-ROW(MSPTasks[[#Headers],[ID]])))="","",N(INDEX(tsk_BaseCost,(ROW()-ROW(MSPTasks[[#Headers],[ID]]))))))</f>
        <v/>
      </c>
      <c r="T71" s="24" t="str">
        <f aca="false">IF(IFERROR(INDEX(tsk_Name,(ROW()-ROW(MSPTasks[[#Headers],[ID]])))="",TRUE()),"",IF(INDEX(tsk_IsSummary,(ROW()-ROW(MSPTasks[[#Headers],[ID]]))),"",IF(N(INDEX(tsk_ActCostInput,(ROW()-ROW(MSPTasks[[#Headers],[ID]]))))=0,"",INDEX(tsk_ActCostInput,(ROW()-ROW(MSPTasks[[#Headers],[ID]]))))))</f>
        <v/>
      </c>
      <c r="U71" s="24" t="str">
        <f aca="false">IF(IFERROR(INDEX(tsk_Name,(ROW()-ROW(MSPTasks[[#Headers],[ID]])))="",TRUE()),"",IF(INDEX(tsk_IsSummary,(ROW()-ROW(MSPTasks[[#Headers],[ID]]))),"",IF(AND(INDEX(tsk_Mode,(ROW()-ROW(MSPTasks[[#Headers],[ID]])))&lt;&gt;"Manual",N(INDEX(tsk_Constraint,(ROW()-ROW(MSPTasks[[#Headers],[ID]]))))&gt;0),"Start No Earlier Than","As Soon As Possible")))</f>
        <v/>
      </c>
      <c r="V71" s="130" t="str">
        <f aca="false">IF(IFERROR(INDEX(tsk_Name,(ROW()-ROW(MSPTasks[[#Headers],[ID]])))="",TRUE()),"",IF(OR(INDEX(tsk_IsSummary,(ROW()-ROW(MSPTasks[[#Headers],[ID]]))),INDEX(tsk_Mode,(ROW()-ROW(MSPTasks[[#Headers],[ID]])))="Manual"),"",IF(N(INDEX(tsk_Constraint,(ROW()-ROW(MSPTasks[[#Headers],[ID]]))))=0,"",INDEX(tsk_Constraint,(ROW()-ROW(MSPTasks[[#Headers],[ID]]))))))</f>
        <v/>
      </c>
      <c r="W71" s="130" t="str">
        <f aca="false">IF(IFERROR(INDEX(tsk_Name,(ROW()-ROW(MSPTasks[[#Headers],[ID]])))="",TRUE()),"",IF(N(INDEX(tsk_Deadline,(ROW()-ROW(MSPTasks[[#Headers],[ID]]))))=0,"",INDEX(tsk_Deadline,(ROW()-ROW(MSPTasks[[#Headers],[ID]])))))</f>
        <v/>
      </c>
      <c r="X71" s="24" t="str">
        <f aca="false">IF(IFERROR(INDEX(tsk_Name,(ROW()-ROW(MSPTasks[[#Headers],[ID]])))="",TRUE()),"",IF(INDEX(tsk_IsSummary,(ROW()-ROW(MSPTasks[[#Headers],[ID]]))),"",INDEX(tsk_Sprint,(ROW()-ROW(MSPTasks[[#Headers],[ID]])))&amp;""))</f>
        <v/>
      </c>
      <c r="Y71" s="24" t="str">
        <f aca="false">IF(IFERROR(INDEX(tsk_Name,(ROW()-ROW(MSPTasks[[#Headers],[ID]])))="",TRUE()),"",IF(INDEX(tsk_IsSummary,(ROW()-ROW(MSPTasks[[#Headers],[ID]]))),"",IF(N(INDEX(tsk_StoryPoints,(ROW()-ROW(MSPTasks[[#Headers],[ID]]))))=0,"",INDEX(tsk_StoryPoints,(ROW()-ROW(MSPTasks[[#Headers],[ID]]))))))</f>
        <v/>
      </c>
      <c r="Z71" s="24" t="str">
        <f aca="false">IF(IFERROR(INDEX(tsk_Name,(ROW()-ROW(MSPTasks[[#Headers],[ID]])))="",TRUE()),"",INDEX(tsk_Notes,(ROW()-ROW(MSPTasks[[#Headers],[ID]])))&amp;"")</f>
        <v/>
      </c>
    </row>
    <row r="72" customFormat="false" ht="15" hidden="false" customHeight="false" outlineLevel="0" collapsed="false">
      <c r="A72" s="24" t="str">
        <f aca="false">IF(IFERROR(INDEX(tsk_Name,(ROW()-ROW(MSPTasks[[#Headers],[ID]])))="",TRUE()),"",INDEX(tsk_ID,(ROW()-ROW(MSPTasks[[#Headers],[ID]]))))</f>
        <v/>
      </c>
      <c r="B72" s="24" t="str">
        <f aca="false">IF(IFERROR(INDEX(tsk_Name,(ROW()-ROW(MSPTasks[[#Headers],[ID]])))="",TRUE()),"",INDEX(tsk_UID,(ROW()-ROW(MSPTasks[[#Headers],[ID]]))))</f>
        <v/>
      </c>
      <c r="C72" s="24" t="str">
        <f aca="false">IF(IFERROR(INDEX(tsk_Name,(ROW()-ROW(MSPTasks[[#Headers],[ID]])))="",TRUE()),"",INDEX(tsk_Name,(ROW()-ROW(MSPTasks[[#Headers],[ID]]))))</f>
        <v/>
      </c>
      <c r="D72" s="24" t="str">
        <f aca="false">IF(IFERROR(INDEX(tsk_Name,(ROW()-ROW(MSPTasks[[#Headers],[ID]])))="",TRUE()),"",INDEX(tsk_Level,(ROW()-ROW(MSPTasks[[#Headers],[ID]]))))</f>
        <v/>
      </c>
      <c r="E72" s="24" t="str">
        <f aca="false">IF(IFERROR(INDEX(tsk_Name,(ROW()-ROW(MSPTasks[[#Headers],[ID]])))="",TRUE()),"",IF(INDEX(tsk_Mode,(ROW()-ROW(MSPTasks[[#Headers],[ID]])))="Manual","Manually Scheduled","Auto Scheduled"))</f>
        <v/>
      </c>
      <c r="F72" s="24" t="str">
        <f aca="false">IF(IFERROR(INDEX(tsk_Name,(ROW()-ROW(MSPTasks[[#Headers],[ID]])))="",TRUE()),"",IF(INDEX(tsk_IsSummary,(ROW()-ROW(MSPTasks[[#Headers],[ID]]))),"",N(INDEX(tsk_Duration,(ROW()-ROW(MSPTasks[[#Headers],[ID]]))))&amp;"d"))</f>
        <v/>
      </c>
      <c r="G72" s="130" t="str">
        <f aca="false">IF(IFERROR(INDEX(tsk_Name,(ROW()-ROW(MSPTasks[[#Headers],[ID]])))="",TRUE()),"",INDEX(tsk_FcStart,(ROW()-ROW(MSPTasks[[#Headers],[ID]]))))</f>
        <v/>
      </c>
      <c r="H72" s="130" t="str">
        <f aca="false">IF(IFERROR(INDEX(tsk_Name,(ROW()-ROW(MSPTasks[[#Headers],[ID]])))="",TRUE()),"",INDEX(tsk_FcFinish,(ROW()-ROW(MSPTasks[[#Headers],[ID]]))))</f>
        <v/>
      </c>
      <c r="I72" s="24" t="str">
        <f aca="false">IF(IFERROR(INDEX(tsk_Name,(ROW()-ROW(MSPTasks[[#Headers],[ID]])))="",TRUE()),"",IF(INDEX(tsk_IsSummary,(ROW()-ROW(MSPTasks[[#Headers],[ID]]))),"",INDEX(tsk_Predecessors,(ROW()-ROW(MSPTasks[[#Headers],[ID]])))))</f>
        <v/>
      </c>
      <c r="J72" s="24" t="str">
        <f aca="false">IF(IFERROR(INDEX(tsk_Name,(ROW()-ROW(MSPTasks[[#Headers],[ID]])))="",TRUE()),"",IF(INDEX(tsk_IsSummary,(ROW()-ROW(MSPTasks[[#Headers],[ID]]))),"",INDEX(tsk_UIDPredecessors,(ROW()-ROW(MSPTasks[[#Headers],[ID]])))))</f>
        <v/>
      </c>
      <c r="K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2" s="24" t="str">
        <f aca="false">IF(IFERROR(INDEX(tsk_Name,(ROW()-ROW(MSPTasks[[#Headers],[ID]])))="",TRUE()),"",IF(INDEX(tsk_IsSummary,(ROW()-ROW(MSPTasks[[#Headers],[ID]]))),"",ROUND(INDEX(tsk_Progress,(ROW()-ROW(MSPTasks[[#Headers],[ID]])))*100,0)))</f>
        <v/>
      </c>
      <c r="M72" s="130" t="str">
        <f aca="false">IF(IFERROR(INDEX(tsk_Name,(ROW()-ROW(MSPTasks[[#Headers],[ID]])))="",TRUE()),"",IF(N(INDEX(tsk_ActStart,(ROW()-ROW(MSPTasks[[#Headers],[ID]]))))=0,"",INDEX(tsk_ActStart,(ROW()-ROW(MSPTasks[[#Headers],[ID]])))))</f>
        <v/>
      </c>
      <c r="N72" s="130" t="str">
        <f aca="false">IF(IFERROR(INDEX(tsk_Name,(ROW()-ROW(MSPTasks[[#Headers],[ID]])))="",TRUE()),"",IF(N(INDEX(tsk_ActFinish,(ROW()-ROW(MSPTasks[[#Headers],[ID]]))))=0,"",INDEX(tsk_ActFinish,(ROW()-ROW(MSPTasks[[#Headers],[ID]])))))</f>
        <v/>
      </c>
      <c r="O72" s="130" t="str">
        <f aca="false">IF(IFERROR(INDEX(tsk_Name,(ROW()-ROW(MSPTasks[[#Headers],[ID]])))="",TRUE()),"",INDEX(tsk_PlanStart,(ROW()-ROW(MSPTasks[[#Headers],[ID]]))))</f>
        <v/>
      </c>
      <c r="P72" s="130" t="str">
        <f aca="false">IF(IFERROR(INDEX(tsk_Name,(ROW()-ROW(MSPTasks[[#Headers],[ID]])))="",TRUE()),"",INDEX(tsk_PlanFinish,(ROW()-ROW(MSPTasks[[#Headers],[ID]]))))</f>
        <v/>
      </c>
      <c r="Q72" s="24" t="str">
        <f aca="false">IF(IFERROR(INDEX(tsk_Name,(ROW()-ROW(MSPTasks[[#Headers],[ID]])))="",TRUE()),"",IF(INDEX(tsk_BaseDuration,(ROW()-ROW(MSPTasks[[#Headers],[ID]])))="","",N(INDEX(tsk_BaseDuration,(ROW()-ROW(MSPTasks[[#Headers],[ID]]))))&amp;"d"))</f>
        <v/>
      </c>
      <c r="R72" s="24" t="str">
        <f aca="false">IF(IFERROR(INDEX(tsk_Name,(ROW()-ROW(MSPTasks[[#Headers],[ID]])))="",TRUE()),"",IF(INDEX(tsk_BaseWork,(ROW()-ROW(MSPTasks[[#Headers],[ID]])))="","",N(INDEX(tsk_BaseWork,(ROW()-ROW(MSPTasks[[#Headers],[ID]]))))&amp;"h"))</f>
        <v/>
      </c>
      <c r="S72" s="24" t="str">
        <f aca="false">IF(IFERROR(INDEX(tsk_Name,(ROW()-ROW(MSPTasks[[#Headers],[ID]])))="",TRUE()),"",IF(INDEX(tsk_BaseCost,(ROW()-ROW(MSPTasks[[#Headers],[ID]])))="","",N(INDEX(tsk_BaseCost,(ROW()-ROW(MSPTasks[[#Headers],[ID]]))))))</f>
        <v/>
      </c>
      <c r="T72" s="24" t="str">
        <f aca="false">IF(IFERROR(INDEX(tsk_Name,(ROW()-ROW(MSPTasks[[#Headers],[ID]])))="",TRUE()),"",IF(INDEX(tsk_IsSummary,(ROW()-ROW(MSPTasks[[#Headers],[ID]]))),"",IF(N(INDEX(tsk_ActCostInput,(ROW()-ROW(MSPTasks[[#Headers],[ID]]))))=0,"",INDEX(tsk_ActCostInput,(ROW()-ROW(MSPTasks[[#Headers],[ID]]))))))</f>
        <v/>
      </c>
      <c r="U72" s="24" t="str">
        <f aca="false">IF(IFERROR(INDEX(tsk_Name,(ROW()-ROW(MSPTasks[[#Headers],[ID]])))="",TRUE()),"",IF(INDEX(tsk_IsSummary,(ROW()-ROW(MSPTasks[[#Headers],[ID]]))),"",IF(AND(INDEX(tsk_Mode,(ROW()-ROW(MSPTasks[[#Headers],[ID]])))&lt;&gt;"Manual",N(INDEX(tsk_Constraint,(ROW()-ROW(MSPTasks[[#Headers],[ID]]))))&gt;0),"Start No Earlier Than","As Soon As Possible")))</f>
        <v/>
      </c>
      <c r="V72" s="130" t="str">
        <f aca="false">IF(IFERROR(INDEX(tsk_Name,(ROW()-ROW(MSPTasks[[#Headers],[ID]])))="",TRUE()),"",IF(OR(INDEX(tsk_IsSummary,(ROW()-ROW(MSPTasks[[#Headers],[ID]]))),INDEX(tsk_Mode,(ROW()-ROW(MSPTasks[[#Headers],[ID]])))="Manual"),"",IF(N(INDEX(tsk_Constraint,(ROW()-ROW(MSPTasks[[#Headers],[ID]]))))=0,"",INDEX(tsk_Constraint,(ROW()-ROW(MSPTasks[[#Headers],[ID]]))))))</f>
        <v/>
      </c>
      <c r="W72" s="130" t="str">
        <f aca="false">IF(IFERROR(INDEX(tsk_Name,(ROW()-ROW(MSPTasks[[#Headers],[ID]])))="",TRUE()),"",IF(N(INDEX(tsk_Deadline,(ROW()-ROW(MSPTasks[[#Headers],[ID]]))))=0,"",INDEX(tsk_Deadline,(ROW()-ROW(MSPTasks[[#Headers],[ID]])))))</f>
        <v/>
      </c>
      <c r="X72" s="24" t="str">
        <f aca="false">IF(IFERROR(INDEX(tsk_Name,(ROW()-ROW(MSPTasks[[#Headers],[ID]])))="",TRUE()),"",IF(INDEX(tsk_IsSummary,(ROW()-ROW(MSPTasks[[#Headers],[ID]]))),"",INDEX(tsk_Sprint,(ROW()-ROW(MSPTasks[[#Headers],[ID]])))&amp;""))</f>
        <v/>
      </c>
      <c r="Y72" s="24" t="str">
        <f aca="false">IF(IFERROR(INDEX(tsk_Name,(ROW()-ROW(MSPTasks[[#Headers],[ID]])))="",TRUE()),"",IF(INDEX(tsk_IsSummary,(ROW()-ROW(MSPTasks[[#Headers],[ID]]))),"",IF(N(INDEX(tsk_StoryPoints,(ROW()-ROW(MSPTasks[[#Headers],[ID]]))))=0,"",INDEX(tsk_StoryPoints,(ROW()-ROW(MSPTasks[[#Headers],[ID]]))))))</f>
        <v/>
      </c>
      <c r="Z72" s="24" t="str">
        <f aca="false">IF(IFERROR(INDEX(tsk_Name,(ROW()-ROW(MSPTasks[[#Headers],[ID]])))="",TRUE()),"",INDEX(tsk_Notes,(ROW()-ROW(MSPTasks[[#Headers],[ID]])))&amp;"")</f>
        <v/>
      </c>
    </row>
    <row r="73" customFormat="false" ht="15" hidden="false" customHeight="false" outlineLevel="0" collapsed="false">
      <c r="A73" s="24" t="str">
        <f aca="false">IF(IFERROR(INDEX(tsk_Name,(ROW()-ROW(MSPTasks[[#Headers],[ID]])))="",TRUE()),"",INDEX(tsk_ID,(ROW()-ROW(MSPTasks[[#Headers],[ID]]))))</f>
        <v/>
      </c>
      <c r="B73" s="24" t="str">
        <f aca="false">IF(IFERROR(INDEX(tsk_Name,(ROW()-ROW(MSPTasks[[#Headers],[ID]])))="",TRUE()),"",INDEX(tsk_UID,(ROW()-ROW(MSPTasks[[#Headers],[ID]]))))</f>
        <v/>
      </c>
      <c r="C73" s="24" t="str">
        <f aca="false">IF(IFERROR(INDEX(tsk_Name,(ROW()-ROW(MSPTasks[[#Headers],[ID]])))="",TRUE()),"",INDEX(tsk_Name,(ROW()-ROW(MSPTasks[[#Headers],[ID]]))))</f>
        <v/>
      </c>
      <c r="D73" s="24" t="str">
        <f aca="false">IF(IFERROR(INDEX(tsk_Name,(ROW()-ROW(MSPTasks[[#Headers],[ID]])))="",TRUE()),"",INDEX(tsk_Level,(ROW()-ROW(MSPTasks[[#Headers],[ID]]))))</f>
        <v/>
      </c>
      <c r="E73" s="24" t="str">
        <f aca="false">IF(IFERROR(INDEX(tsk_Name,(ROW()-ROW(MSPTasks[[#Headers],[ID]])))="",TRUE()),"",IF(INDEX(tsk_Mode,(ROW()-ROW(MSPTasks[[#Headers],[ID]])))="Manual","Manually Scheduled","Auto Scheduled"))</f>
        <v/>
      </c>
      <c r="F73" s="24" t="str">
        <f aca="false">IF(IFERROR(INDEX(tsk_Name,(ROW()-ROW(MSPTasks[[#Headers],[ID]])))="",TRUE()),"",IF(INDEX(tsk_IsSummary,(ROW()-ROW(MSPTasks[[#Headers],[ID]]))),"",N(INDEX(tsk_Duration,(ROW()-ROW(MSPTasks[[#Headers],[ID]]))))&amp;"d"))</f>
        <v/>
      </c>
      <c r="G73" s="130" t="str">
        <f aca="false">IF(IFERROR(INDEX(tsk_Name,(ROW()-ROW(MSPTasks[[#Headers],[ID]])))="",TRUE()),"",INDEX(tsk_FcStart,(ROW()-ROW(MSPTasks[[#Headers],[ID]]))))</f>
        <v/>
      </c>
      <c r="H73" s="130" t="str">
        <f aca="false">IF(IFERROR(INDEX(tsk_Name,(ROW()-ROW(MSPTasks[[#Headers],[ID]])))="",TRUE()),"",INDEX(tsk_FcFinish,(ROW()-ROW(MSPTasks[[#Headers],[ID]]))))</f>
        <v/>
      </c>
      <c r="I73" s="24" t="str">
        <f aca="false">IF(IFERROR(INDEX(tsk_Name,(ROW()-ROW(MSPTasks[[#Headers],[ID]])))="",TRUE()),"",IF(INDEX(tsk_IsSummary,(ROW()-ROW(MSPTasks[[#Headers],[ID]]))),"",INDEX(tsk_Predecessors,(ROW()-ROW(MSPTasks[[#Headers],[ID]])))))</f>
        <v/>
      </c>
      <c r="J73" s="24" t="str">
        <f aca="false">IF(IFERROR(INDEX(tsk_Name,(ROW()-ROW(MSPTasks[[#Headers],[ID]])))="",TRUE()),"",IF(INDEX(tsk_IsSummary,(ROW()-ROW(MSPTasks[[#Headers],[ID]]))),"",INDEX(tsk_UIDPredecessors,(ROW()-ROW(MSPTasks[[#Headers],[ID]])))))</f>
        <v/>
      </c>
      <c r="K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3" s="24" t="str">
        <f aca="false">IF(IFERROR(INDEX(tsk_Name,(ROW()-ROW(MSPTasks[[#Headers],[ID]])))="",TRUE()),"",IF(INDEX(tsk_IsSummary,(ROW()-ROW(MSPTasks[[#Headers],[ID]]))),"",ROUND(INDEX(tsk_Progress,(ROW()-ROW(MSPTasks[[#Headers],[ID]])))*100,0)))</f>
        <v/>
      </c>
      <c r="M73" s="130" t="str">
        <f aca="false">IF(IFERROR(INDEX(tsk_Name,(ROW()-ROW(MSPTasks[[#Headers],[ID]])))="",TRUE()),"",IF(N(INDEX(tsk_ActStart,(ROW()-ROW(MSPTasks[[#Headers],[ID]]))))=0,"",INDEX(tsk_ActStart,(ROW()-ROW(MSPTasks[[#Headers],[ID]])))))</f>
        <v/>
      </c>
      <c r="N73" s="130" t="str">
        <f aca="false">IF(IFERROR(INDEX(tsk_Name,(ROW()-ROW(MSPTasks[[#Headers],[ID]])))="",TRUE()),"",IF(N(INDEX(tsk_ActFinish,(ROW()-ROW(MSPTasks[[#Headers],[ID]]))))=0,"",INDEX(tsk_ActFinish,(ROW()-ROW(MSPTasks[[#Headers],[ID]])))))</f>
        <v/>
      </c>
      <c r="O73" s="130" t="str">
        <f aca="false">IF(IFERROR(INDEX(tsk_Name,(ROW()-ROW(MSPTasks[[#Headers],[ID]])))="",TRUE()),"",INDEX(tsk_PlanStart,(ROW()-ROW(MSPTasks[[#Headers],[ID]]))))</f>
        <v/>
      </c>
      <c r="P73" s="130" t="str">
        <f aca="false">IF(IFERROR(INDEX(tsk_Name,(ROW()-ROW(MSPTasks[[#Headers],[ID]])))="",TRUE()),"",INDEX(tsk_PlanFinish,(ROW()-ROW(MSPTasks[[#Headers],[ID]]))))</f>
        <v/>
      </c>
      <c r="Q73" s="24" t="str">
        <f aca="false">IF(IFERROR(INDEX(tsk_Name,(ROW()-ROW(MSPTasks[[#Headers],[ID]])))="",TRUE()),"",IF(INDEX(tsk_BaseDuration,(ROW()-ROW(MSPTasks[[#Headers],[ID]])))="","",N(INDEX(tsk_BaseDuration,(ROW()-ROW(MSPTasks[[#Headers],[ID]]))))&amp;"d"))</f>
        <v/>
      </c>
      <c r="R73" s="24" t="str">
        <f aca="false">IF(IFERROR(INDEX(tsk_Name,(ROW()-ROW(MSPTasks[[#Headers],[ID]])))="",TRUE()),"",IF(INDEX(tsk_BaseWork,(ROW()-ROW(MSPTasks[[#Headers],[ID]])))="","",N(INDEX(tsk_BaseWork,(ROW()-ROW(MSPTasks[[#Headers],[ID]]))))&amp;"h"))</f>
        <v/>
      </c>
      <c r="S73" s="24" t="str">
        <f aca="false">IF(IFERROR(INDEX(tsk_Name,(ROW()-ROW(MSPTasks[[#Headers],[ID]])))="",TRUE()),"",IF(INDEX(tsk_BaseCost,(ROW()-ROW(MSPTasks[[#Headers],[ID]])))="","",N(INDEX(tsk_BaseCost,(ROW()-ROW(MSPTasks[[#Headers],[ID]]))))))</f>
        <v/>
      </c>
      <c r="T73" s="24" t="str">
        <f aca="false">IF(IFERROR(INDEX(tsk_Name,(ROW()-ROW(MSPTasks[[#Headers],[ID]])))="",TRUE()),"",IF(INDEX(tsk_IsSummary,(ROW()-ROW(MSPTasks[[#Headers],[ID]]))),"",IF(N(INDEX(tsk_ActCostInput,(ROW()-ROW(MSPTasks[[#Headers],[ID]]))))=0,"",INDEX(tsk_ActCostInput,(ROW()-ROW(MSPTasks[[#Headers],[ID]]))))))</f>
        <v/>
      </c>
      <c r="U73" s="24" t="str">
        <f aca="false">IF(IFERROR(INDEX(tsk_Name,(ROW()-ROW(MSPTasks[[#Headers],[ID]])))="",TRUE()),"",IF(INDEX(tsk_IsSummary,(ROW()-ROW(MSPTasks[[#Headers],[ID]]))),"",IF(AND(INDEX(tsk_Mode,(ROW()-ROW(MSPTasks[[#Headers],[ID]])))&lt;&gt;"Manual",N(INDEX(tsk_Constraint,(ROW()-ROW(MSPTasks[[#Headers],[ID]]))))&gt;0),"Start No Earlier Than","As Soon As Possible")))</f>
        <v/>
      </c>
      <c r="V73" s="130" t="str">
        <f aca="false">IF(IFERROR(INDEX(tsk_Name,(ROW()-ROW(MSPTasks[[#Headers],[ID]])))="",TRUE()),"",IF(OR(INDEX(tsk_IsSummary,(ROW()-ROW(MSPTasks[[#Headers],[ID]]))),INDEX(tsk_Mode,(ROW()-ROW(MSPTasks[[#Headers],[ID]])))="Manual"),"",IF(N(INDEX(tsk_Constraint,(ROW()-ROW(MSPTasks[[#Headers],[ID]]))))=0,"",INDEX(tsk_Constraint,(ROW()-ROW(MSPTasks[[#Headers],[ID]]))))))</f>
        <v/>
      </c>
      <c r="W73" s="130" t="str">
        <f aca="false">IF(IFERROR(INDEX(tsk_Name,(ROW()-ROW(MSPTasks[[#Headers],[ID]])))="",TRUE()),"",IF(N(INDEX(tsk_Deadline,(ROW()-ROW(MSPTasks[[#Headers],[ID]]))))=0,"",INDEX(tsk_Deadline,(ROW()-ROW(MSPTasks[[#Headers],[ID]])))))</f>
        <v/>
      </c>
      <c r="X73" s="24" t="str">
        <f aca="false">IF(IFERROR(INDEX(tsk_Name,(ROW()-ROW(MSPTasks[[#Headers],[ID]])))="",TRUE()),"",IF(INDEX(tsk_IsSummary,(ROW()-ROW(MSPTasks[[#Headers],[ID]]))),"",INDEX(tsk_Sprint,(ROW()-ROW(MSPTasks[[#Headers],[ID]])))&amp;""))</f>
        <v/>
      </c>
      <c r="Y73" s="24" t="str">
        <f aca="false">IF(IFERROR(INDEX(tsk_Name,(ROW()-ROW(MSPTasks[[#Headers],[ID]])))="",TRUE()),"",IF(INDEX(tsk_IsSummary,(ROW()-ROW(MSPTasks[[#Headers],[ID]]))),"",IF(N(INDEX(tsk_StoryPoints,(ROW()-ROW(MSPTasks[[#Headers],[ID]]))))=0,"",INDEX(tsk_StoryPoints,(ROW()-ROW(MSPTasks[[#Headers],[ID]]))))))</f>
        <v/>
      </c>
      <c r="Z73" s="24" t="str">
        <f aca="false">IF(IFERROR(INDEX(tsk_Name,(ROW()-ROW(MSPTasks[[#Headers],[ID]])))="",TRUE()),"",INDEX(tsk_Notes,(ROW()-ROW(MSPTasks[[#Headers],[ID]])))&amp;"")</f>
        <v/>
      </c>
    </row>
    <row r="74" customFormat="false" ht="15" hidden="false" customHeight="false" outlineLevel="0" collapsed="false">
      <c r="A74" s="24" t="str">
        <f aca="false">IF(IFERROR(INDEX(tsk_Name,(ROW()-ROW(MSPTasks[[#Headers],[ID]])))="",TRUE()),"",INDEX(tsk_ID,(ROW()-ROW(MSPTasks[[#Headers],[ID]]))))</f>
        <v/>
      </c>
      <c r="B74" s="24" t="str">
        <f aca="false">IF(IFERROR(INDEX(tsk_Name,(ROW()-ROW(MSPTasks[[#Headers],[ID]])))="",TRUE()),"",INDEX(tsk_UID,(ROW()-ROW(MSPTasks[[#Headers],[ID]]))))</f>
        <v/>
      </c>
      <c r="C74" s="24" t="str">
        <f aca="false">IF(IFERROR(INDEX(tsk_Name,(ROW()-ROW(MSPTasks[[#Headers],[ID]])))="",TRUE()),"",INDEX(tsk_Name,(ROW()-ROW(MSPTasks[[#Headers],[ID]]))))</f>
        <v/>
      </c>
      <c r="D74" s="24" t="str">
        <f aca="false">IF(IFERROR(INDEX(tsk_Name,(ROW()-ROW(MSPTasks[[#Headers],[ID]])))="",TRUE()),"",INDEX(tsk_Level,(ROW()-ROW(MSPTasks[[#Headers],[ID]]))))</f>
        <v/>
      </c>
      <c r="E74" s="24" t="str">
        <f aca="false">IF(IFERROR(INDEX(tsk_Name,(ROW()-ROW(MSPTasks[[#Headers],[ID]])))="",TRUE()),"",IF(INDEX(tsk_Mode,(ROW()-ROW(MSPTasks[[#Headers],[ID]])))="Manual","Manually Scheduled","Auto Scheduled"))</f>
        <v/>
      </c>
      <c r="F74" s="24" t="str">
        <f aca="false">IF(IFERROR(INDEX(tsk_Name,(ROW()-ROW(MSPTasks[[#Headers],[ID]])))="",TRUE()),"",IF(INDEX(tsk_IsSummary,(ROW()-ROW(MSPTasks[[#Headers],[ID]]))),"",N(INDEX(tsk_Duration,(ROW()-ROW(MSPTasks[[#Headers],[ID]]))))&amp;"d"))</f>
        <v/>
      </c>
      <c r="G74" s="130" t="str">
        <f aca="false">IF(IFERROR(INDEX(tsk_Name,(ROW()-ROW(MSPTasks[[#Headers],[ID]])))="",TRUE()),"",INDEX(tsk_FcStart,(ROW()-ROW(MSPTasks[[#Headers],[ID]]))))</f>
        <v/>
      </c>
      <c r="H74" s="130" t="str">
        <f aca="false">IF(IFERROR(INDEX(tsk_Name,(ROW()-ROW(MSPTasks[[#Headers],[ID]])))="",TRUE()),"",INDEX(tsk_FcFinish,(ROW()-ROW(MSPTasks[[#Headers],[ID]]))))</f>
        <v/>
      </c>
      <c r="I74" s="24" t="str">
        <f aca="false">IF(IFERROR(INDEX(tsk_Name,(ROW()-ROW(MSPTasks[[#Headers],[ID]])))="",TRUE()),"",IF(INDEX(tsk_IsSummary,(ROW()-ROW(MSPTasks[[#Headers],[ID]]))),"",INDEX(tsk_Predecessors,(ROW()-ROW(MSPTasks[[#Headers],[ID]])))))</f>
        <v/>
      </c>
      <c r="J74" s="24" t="str">
        <f aca="false">IF(IFERROR(INDEX(tsk_Name,(ROW()-ROW(MSPTasks[[#Headers],[ID]])))="",TRUE()),"",IF(INDEX(tsk_IsSummary,(ROW()-ROW(MSPTasks[[#Headers],[ID]]))),"",INDEX(tsk_UIDPredecessors,(ROW()-ROW(MSPTasks[[#Headers],[ID]])))))</f>
        <v/>
      </c>
      <c r="K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4" s="24" t="str">
        <f aca="false">IF(IFERROR(INDEX(tsk_Name,(ROW()-ROW(MSPTasks[[#Headers],[ID]])))="",TRUE()),"",IF(INDEX(tsk_IsSummary,(ROW()-ROW(MSPTasks[[#Headers],[ID]]))),"",ROUND(INDEX(tsk_Progress,(ROW()-ROW(MSPTasks[[#Headers],[ID]])))*100,0)))</f>
        <v/>
      </c>
      <c r="M74" s="130" t="str">
        <f aca="false">IF(IFERROR(INDEX(tsk_Name,(ROW()-ROW(MSPTasks[[#Headers],[ID]])))="",TRUE()),"",IF(N(INDEX(tsk_ActStart,(ROW()-ROW(MSPTasks[[#Headers],[ID]]))))=0,"",INDEX(tsk_ActStart,(ROW()-ROW(MSPTasks[[#Headers],[ID]])))))</f>
        <v/>
      </c>
      <c r="N74" s="130" t="str">
        <f aca="false">IF(IFERROR(INDEX(tsk_Name,(ROW()-ROW(MSPTasks[[#Headers],[ID]])))="",TRUE()),"",IF(N(INDEX(tsk_ActFinish,(ROW()-ROW(MSPTasks[[#Headers],[ID]]))))=0,"",INDEX(tsk_ActFinish,(ROW()-ROW(MSPTasks[[#Headers],[ID]])))))</f>
        <v/>
      </c>
      <c r="O74" s="130" t="str">
        <f aca="false">IF(IFERROR(INDEX(tsk_Name,(ROW()-ROW(MSPTasks[[#Headers],[ID]])))="",TRUE()),"",INDEX(tsk_PlanStart,(ROW()-ROW(MSPTasks[[#Headers],[ID]]))))</f>
        <v/>
      </c>
      <c r="P74" s="130" t="str">
        <f aca="false">IF(IFERROR(INDEX(tsk_Name,(ROW()-ROW(MSPTasks[[#Headers],[ID]])))="",TRUE()),"",INDEX(tsk_PlanFinish,(ROW()-ROW(MSPTasks[[#Headers],[ID]]))))</f>
        <v/>
      </c>
      <c r="Q74" s="24" t="str">
        <f aca="false">IF(IFERROR(INDEX(tsk_Name,(ROW()-ROW(MSPTasks[[#Headers],[ID]])))="",TRUE()),"",IF(INDEX(tsk_BaseDuration,(ROW()-ROW(MSPTasks[[#Headers],[ID]])))="","",N(INDEX(tsk_BaseDuration,(ROW()-ROW(MSPTasks[[#Headers],[ID]]))))&amp;"d"))</f>
        <v/>
      </c>
      <c r="R74" s="24" t="str">
        <f aca="false">IF(IFERROR(INDEX(tsk_Name,(ROW()-ROW(MSPTasks[[#Headers],[ID]])))="",TRUE()),"",IF(INDEX(tsk_BaseWork,(ROW()-ROW(MSPTasks[[#Headers],[ID]])))="","",N(INDEX(tsk_BaseWork,(ROW()-ROW(MSPTasks[[#Headers],[ID]]))))&amp;"h"))</f>
        <v/>
      </c>
      <c r="S74" s="24" t="str">
        <f aca="false">IF(IFERROR(INDEX(tsk_Name,(ROW()-ROW(MSPTasks[[#Headers],[ID]])))="",TRUE()),"",IF(INDEX(tsk_BaseCost,(ROW()-ROW(MSPTasks[[#Headers],[ID]])))="","",N(INDEX(tsk_BaseCost,(ROW()-ROW(MSPTasks[[#Headers],[ID]]))))))</f>
        <v/>
      </c>
      <c r="T74" s="24" t="str">
        <f aca="false">IF(IFERROR(INDEX(tsk_Name,(ROW()-ROW(MSPTasks[[#Headers],[ID]])))="",TRUE()),"",IF(INDEX(tsk_IsSummary,(ROW()-ROW(MSPTasks[[#Headers],[ID]]))),"",IF(N(INDEX(tsk_ActCostInput,(ROW()-ROW(MSPTasks[[#Headers],[ID]]))))=0,"",INDEX(tsk_ActCostInput,(ROW()-ROW(MSPTasks[[#Headers],[ID]]))))))</f>
        <v/>
      </c>
      <c r="U74" s="24" t="str">
        <f aca="false">IF(IFERROR(INDEX(tsk_Name,(ROW()-ROW(MSPTasks[[#Headers],[ID]])))="",TRUE()),"",IF(INDEX(tsk_IsSummary,(ROW()-ROW(MSPTasks[[#Headers],[ID]]))),"",IF(AND(INDEX(tsk_Mode,(ROW()-ROW(MSPTasks[[#Headers],[ID]])))&lt;&gt;"Manual",N(INDEX(tsk_Constraint,(ROW()-ROW(MSPTasks[[#Headers],[ID]]))))&gt;0),"Start No Earlier Than","As Soon As Possible")))</f>
        <v/>
      </c>
      <c r="V74" s="130" t="str">
        <f aca="false">IF(IFERROR(INDEX(tsk_Name,(ROW()-ROW(MSPTasks[[#Headers],[ID]])))="",TRUE()),"",IF(OR(INDEX(tsk_IsSummary,(ROW()-ROW(MSPTasks[[#Headers],[ID]]))),INDEX(tsk_Mode,(ROW()-ROW(MSPTasks[[#Headers],[ID]])))="Manual"),"",IF(N(INDEX(tsk_Constraint,(ROW()-ROW(MSPTasks[[#Headers],[ID]]))))=0,"",INDEX(tsk_Constraint,(ROW()-ROW(MSPTasks[[#Headers],[ID]]))))))</f>
        <v/>
      </c>
      <c r="W74" s="130" t="str">
        <f aca="false">IF(IFERROR(INDEX(tsk_Name,(ROW()-ROW(MSPTasks[[#Headers],[ID]])))="",TRUE()),"",IF(N(INDEX(tsk_Deadline,(ROW()-ROW(MSPTasks[[#Headers],[ID]]))))=0,"",INDEX(tsk_Deadline,(ROW()-ROW(MSPTasks[[#Headers],[ID]])))))</f>
        <v/>
      </c>
      <c r="X74" s="24" t="str">
        <f aca="false">IF(IFERROR(INDEX(tsk_Name,(ROW()-ROW(MSPTasks[[#Headers],[ID]])))="",TRUE()),"",IF(INDEX(tsk_IsSummary,(ROW()-ROW(MSPTasks[[#Headers],[ID]]))),"",INDEX(tsk_Sprint,(ROW()-ROW(MSPTasks[[#Headers],[ID]])))&amp;""))</f>
        <v/>
      </c>
      <c r="Y74" s="24" t="str">
        <f aca="false">IF(IFERROR(INDEX(tsk_Name,(ROW()-ROW(MSPTasks[[#Headers],[ID]])))="",TRUE()),"",IF(INDEX(tsk_IsSummary,(ROW()-ROW(MSPTasks[[#Headers],[ID]]))),"",IF(N(INDEX(tsk_StoryPoints,(ROW()-ROW(MSPTasks[[#Headers],[ID]]))))=0,"",INDEX(tsk_StoryPoints,(ROW()-ROW(MSPTasks[[#Headers],[ID]]))))))</f>
        <v/>
      </c>
      <c r="Z74" s="24" t="str">
        <f aca="false">IF(IFERROR(INDEX(tsk_Name,(ROW()-ROW(MSPTasks[[#Headers],[ID]])))="",TRUE()),"",INDEX(tsk_Notes,(ROW()-ROW(MSPTasks[[#Headers],[ID]])))&amp;"")</f>
        <v/>
      </c>
    </row>
    <row r="75" customFormat="false" ht="15" hidden="false" customHeight="false" outlineLevel="0" collapsed="false">
      <c r="A75" s="24" t="str">
        <f aca="false">IF(IFERROR(INDEX(tsk_Name,(ROW()-ROW(MSPTasks[[#Headers],[ID]])))="",TRUE()),"",INDEX(tsk_ID,(ROW()-ROW(MSPTasks[[#Headers],[ID]]))))</f>
        <v/>
      </c>
      <c r="B75" s="24" t="str">
        <f aca="false">IF(IFERROR(INDEX(tsk_Name,(ROW()-ROW(MSPTasks[[#Headers],[ID]])))="",TRUE()),"",INDEX(tsk_UID,(ROW()-ROW(MSPTasks[[#Headers],[ID]]))))</f>
        <v/>
      </c>
      <c r="C75" s="24" t="str">
        <f aca="false">IF(IFERROR(INDEX(tsk_Name,(ROW()-ROW(MSPTasks[[#Headers],[ID]])))="",TRUE()),"",INDEX(tsk_Name,(ROW()-ROW(MSPTasks[[#Headers],[ID]]))))</f>
        <v/>
      </c>
      <c r="D75" s="24" t="str">
        <f aca="false">IF(IFERROR(INDEX(tsk_Name,(ROW()-ROW(MSPTasks[[#Headers],[ID]])))="",TRUE()),"",INDEX(tsk_Level,(ROW()-ROW(MSPTasks[[#Headers],[ID]]))))</f>
        <v/>
      </c>
      <c r="E75" s="24" t="str">
        <f aca="false">IF(IFERROR(INDEX(tsk_Name,(ROW()-ROW(MSPTasks[[#Headers],[ID]])))="",TRUE()),"",IF(INDEX(tsk_Mode,(ROW()-ROW(MSPTasks[[#Headers],[ID]])))="Manual","Manually Scheduled","Auto Scheduled"))</f>
        <v/>
      </c>
      <c r="F75" s="24" t="str">
        <f aca="false">IF(IFERROR(INDEX(tsk_Name,(ROW()-ROW(MSPTasks[[#Headers],[ID]])))="",TRUE()),"",IF(INDEX(tsk_IsSummary,(ROW()-ROW(MSPTasks[[#Headers],[ID]]))),"",N(INDEX(tsk_Duration,(ROW()-ROW(MSPTasks[[#Headers],[ID]]))))&amp;"d"))</f>
        <v/>
      </c>
      <c r="G75" s="130" t="str">
        <f aca="false">IF(IFERROR(INDEX(tsk_Name,(ROW()-ROW(MSPTasks[[#Headers],[ID]])))="",TRUE()),"",INDEX(tsk_FcStart,(ROW()-ROW(MSPTasks[[#Headers],[ID]]))))</f>
        <v/>
      </c>
      <c r="H75" s="130" t="str">
        <f aca="false">IF(IFERROR(INDEX(tsk_Name,(ROW()-ROW(MSPTasks[[#Headers],[ID]])))="",TRUE()),"",INDEX(tsk_FcFinish,(ROW()-ROW(MSPTasks[[#Headers],[ID]]))))</f>
        <v/>
      </c>
      <c r="I75" s="24" t="str">
        <f aca="false">IF(IFERROR(INDEX(tsk_Name,(ROW()-ROW(MSPTasks[[#Headers],[ID]])))="",TRUE()),"",IF(INDEX(tsk_IsSummary,(ROW()-ROW(MSPTasks[[#Headers],[ID]]))),"",INDEX(tsk_Predecessors,(ROW()-ROW(MSPTasks[[#Headers],[ID]])))))</f>
        <v/>
      </c>
      <c r="J75" s="24" t="str">
        <f aca="false">IF(IFERROR(INDEX(tsk_Name,(ROW()-ROW(MSPTasks[[#Headers],[ID]])))="",TRUE()),"",IF(INDEX(tsk_IsSummary,(ROW()-ROW(MSPTasks[[#Headers],[ID]]))),"",INDEX(tsk_UIDPredecessors,(ROW()-ROW(MSPTasks[[#Headers],[ID]])))))</f>
        <v/>
      </c>
      <c r="K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5" s="24" t="str">
        <f aca="false">IF(IFERROR(INDEX(tsk_Name,(ROW()-ROW(MSPTasks[[#Headers],[ID]])))="",TRUE()),"",IF(INDEX(tsk_IsSummary,(ROW()-ROW(MSPTasks[[#Headers],[ID]]))),"",ROUND(INDEX(tsk_Progress,(ROW()-ROW(MSPTasks[[#Headers],[ID]])))*100,0)))</f>
        <v/>
      </c>
      <c r="M75" s="130" t="str">
        <f aca="false">IF(IFERROR(INDEX(tsk_Name,(ROW()-ROW(MSPTasks[[#Headers],[ID]])))="",TRUE()),"",IF(N(INDEX(tsk_ActStart,(ROW()-ROW(MSPTasks[[#Headers],[ID]]))))=0,"",INDEX(tsk_ActStart,(ROW()-ROW(MSPTasks[[#Headers],[ID]])))))</f>
        <v/>
      </c>
      <c r="N75" s="130" t="str">
        <f aca="false">IF(IFERROR(INDEX(tsk_Name,(ROW()-ROW(MSPTasks[[#Headers],[ID]])))="",TRUE()),"",IF(N(INDEX(tsk_ActFinish,(ROW()-ROW(MSPTasks[[#Headers],[ID]]))))=0,"",INDEX(tsk_ActFinish,(ROW()-ROW(MSPTasks[[#Headers],[ID]])))))</f>
        <v/>
      </c>
      <c r="O75" s="130" t="str">
        <f aca="false">IF(IFERROR(INDEX(tsk_Name,(ROW()-ROW(MSPTasks[[#Headers],[ID]])))="",TRUE()),"",INDEX(tsk_PlanStart,(ROW()-ROW(MSPTasks[[#Headers],[ID]]))))</f>
        <v/>
      </c>
      <c r="P75" s="130" t="str">
        <f aca="false">IF(IFERROR(INDEX(tsk_Name,(ROW()-ROW(MSPTasks[[#Headers],[ID]])))="",TRUE()),"",INDEX(tsk_PlanFinish,(ROW()-ROW(MSPTasks[[#Headers],[ID]]))))</f>
        <v/>
      </c>
      <c r="Q75" s="24" t="str">
        <f aca="false">IF(IFERROR(INDEX(tsk_Name,(ROW()-ROW(MSPTasks[[#Headers],[ID]])))="",TRUE()),"",IF(INDEX(tsk_BaseDuration,(ROW()-ROW(MSPTasks[[#Headers],[ID]])))="","",N(INDEX(tsk_BaseDuration,(ROW()-ROW(MSPTasks[[#Headers],[ID]]))))&amp;"d"))</f>
        <v/>
      </c>
      <c r="R75" s="24" t="str">
        <f aca="false">IF(IFERROR(INDEX(tsk_Name,(ROW()-ROW(MSPTasks[[#Headers],[ID]])))="",TRUE()),"",IF(INDEX(tsk_BaseWork,(ROW()-ROW(MSPTasks[[#Headers],[ID]])))="","",N(INDEX(tsk_BaseWork,(ROW()-ROW(MSPTasks[[#Headers],[ID]]))))&amp;"h"))</f>
        <v/>
      </c>
      <c r="S75" s="24" t="str">
        <f aca="false">IF(IFERROR(INDEX(tsk_Name,(ROW()-ROW(MSPTasks[[#Headers],[ID]])))="",TRUE()),"",IF(INDEX(tsk_BaseCost,(ROW()-ROW(MSPTasks[[#Headers],[ID]])))="","",N(INDEX(tsk_BaseCost,(ROW()-ROW(MSPTasks[[#Headers],[ID]]))))))</f>
        <v/>
      </c>
      <c r="T75" s="24" t="str">
        <f aca="false">IF(IFERROR(INDEX(tsk_Name,(ROW()-ROW(MSPTasks[[#Headers],[ID]])))="",TRUE()),"",IF(INDEX(tsk_IsSummary,(ROW()-ROW(MSPTasks[[#Headers],[ID]]))),"",IF(N(INDEX(tsk_ActCostInput,(ROW()-ROW(MSPTasks[[#Headers],[ID]]))))=0,"",INDEX(tsk_ActCostInput,(ROW()-ROW(MSPTasks[[#Headers],[ID]]))))))</f>
        <v/>
      </c>
      <c r="U75" s="24" t="str">
        <f aca="false">IF(IFERROR(INDEX(tsk_Name,(ROW()-ROW(MSPTasks[[#Headers],[ID]])))="",TRUE()),"",IF(INDEX(tsk_IsSummary,(ROW()-ROW(MSPTasks[[#Headers],[ID]]))),"",IF(AND(INDEX(tsk_Mode,(ROW()-ROW(MSPTasks[[#Headers],[ID]])))&lt;&gt;"Manual",N(INDEX(tsk_Constraint,(ROW()-ROW(MSPTasks[[#Headers],[ID]]))))&gt;0),"Start No Earlier Than","As Soon As Possible")))</f>
        <v/>
      </c>
      <c r="V75" s="130" t="str">
        <f aca="false">IF(IFERROR(INDEX(tsk_Name,(ROW()-ROW(MSPTasks[[#Headers],[ID]])))="",TRUE()),"",IF(OR(INDEX(tsk_IsSummary,(ROW()-ROW(MSPTasks[[#Headers],[ID]]))),INDEX(tsk_Mode,(ROW()-ROW(MSPTasks[[#Headers],[ID]])))="Manual"),"",IF(N(INDEX(tsk_Constraint,(ROW()-ROW(MSPTasks[[#Headers],[ID]]))))=0,"",INDEX(tsk_Constraint,(ROW()-ROW(MSPTasks[[#Headers],[ID]]))))))</f>
        <v/>
      </c>
      <c r="W75" s="130" t="str">
        <f aca="false">IF(IFERROR(INDEX(tsk_Name,(ROW()-ROW(MSPTasks[[#Headers],[ID]])))="",TRUE()),"",IF(N(INDEX(tsk_Deadline,(ROW()-ROW(MSPTasks[[#Headers],[ID]]))))=0,"",INDEX(tsk_Deadline,(ROW()-ROW(MSPTasks[[#Headers],[ID]])))))</f>
        <v/>
      </c>
      <c r="X75" s="24" t="str">
        <f aca="false">IF(IFERROR(INDEX(tsk_Name,(ROW()-ROW(MSPTasks[[#Headers],[ID]])))="",TRUE()),"",IF(INDEX(tsk_IsSummary,(ROW()-ROW(MSPTasks[[#Headers],[ID]]))),"",INDEX(tsk_Sprint,(ROW()-ROW(MSPTasks[[#Headers],[ID]])))&amp;""))</f>
        <v/>
      </c>
      <c r="Y75" s="24" t="str">
        <f aca="false">IF(IFERROR(INDEX(tsk_Name,(ROW()-ROW(MSPTasks[[#Headers],[ID]])))="",TRUE()),"",IF(INDEX(tsk_IsSummary,(ROW()-ROW(MSPTasks[[#Headers],[ID]]))),"",IF(N(INDEX(tsk_StoryPoints,(ROW()-ROW(MSPTasks[[#Headers],[ID]]))))=0,"",INDEX(tsk_StoryPoints,(ROW()-ROW(MSPTasks[[#Headers],[ID]]))))))</f>
        <v/>
      </c>
      <c r="Z75" s="24" t="str">
        <f aca="false">IF(IFERROR(INDEX(tsk_Name,(ROW()-ROW(MSPTasks[[#Headers],[ID]])))="",TRUE()),"",INDEX(tsk_Notes,(ROW()-ROW(MSPTasks[[#Headers],[ID]])))&amp;"")</f>
        <v/>
      </c>
    </row>
    <row r="76" customFormat="false" ht="15" hidden="false" customHeight="false" outlineLevel="0" collapsed="false">
      <c r="A76" s="24" t="str">
        <f aca="false">IF(IFERROR(INDEX(tsk_Name,(ROW()-ROW(MSPTasks[[#Headers],[ID]])))="",TRUE()),"",INDEX(tsk_ID,(ROW()-ROW(MSPTasks[[#Headers],[ID]]))))</f>
        <v/>
      </c>
      <c r="B76" s="24" t="str">
        <f aca="false">IF(IFERROR(INDEX(tsk_Name,(ROW()-ROW(MSPTasks[[#Headers],[ID]])))="",TRUE()),"",INDEX(tsk_UID,(ROW()-ROW(MSPTasks[[#Headers],[ID]]))))</f>
        <v/>
      </c>
      <c r="C76" s="24" t="str">
        <f aca="false">IF(IFERROR(INDEX(tsk_Name,(ROW()-ROW(MSPTasks[[#Headers],[ID]])))="",TRUE()),"",INDEX(tsk_Name,(ROW()-ROW(MSPTasks[[#Headers],[ID]]))))</f>
        <v/>
      </c>
      <c r="D76" s="24" t="str">
        <f aca="false">IF(IFERROR(INDEX(tsk_Name,(ROW()-ROW(MSPTasks[[#Headers],[ID]])))="",TRUE()),"",INDEX(tsk_Level,(ROW()-ROW(MSPTasks[[#Headers],[ID]]))))</f>
        <v/>
      </c>
      <c r="E76" s="24" t="str">
        <f aca="false">IF(IFERROR(INDEX(tsk_Name,(ROW()-ROW(MSPTasks[[#Headers],[ID]])))="",TRUE()),"",IF(INDEX(tsk_Mode,(ROW()-ROW(MSPTasks[[#Headers],[ID]])))="Manual","Manually Scheduled","Auto Scheduled"))</f>
        <v/>
      </c>
      <c r="F76" s="24" t="str">
        <f aca="false">IF(IFERROR(INDEX(tsk_Name,(ROW()-ROW(MSPTasks[[#Headers],[ID]])))="",TRUE()),"",IF(INDEX(tsk_IsSummary,(ROW()-ROW(MSPTasks[[#Headers],[ID]]))),"",N(INDEX(tsk_Duration,(ROW()-ROW(MSPTasks[[#Headers],[ID]]))))&amp;"d"))</f>
        <v/>
      </c>
      <c r="G76" s="130" t="str">
        <f aca="false">IF(IFERROR(INDEX(tsk_Name,(ROW()-ROW(MSPTasks[[#Headers],[ID]])))="",TRUE()),"",INDEX(tsk_FcStart,(ROW()-ROW(MSPTasks[[#Headers],[ID]]))))</f>
        <v/>
      </c>
      <c r="H76" s="130" t="str">
        <f aca="false">IF(IFERROR(INDEX(tsk_Name,(ROW()-ROW(MSPTasks[[#Headers],[ID]])))="",TRUE()),"",INDEX(tsk_FcFinish,(ROW()-ROW(MSPTasks[[#Headers],[ID]]))))</f>
        <v/>
      </c>
      <c r="I76" s="24" t="str">
        <f aca="false">IF(IFERROR(INDEX(tsk_Name,(ROW()-ROW(MSPTasks[[#Headers],[ID]])))="",TRUE()),"",IF(INDEX(tsk_IsSummary,(ROW()-ROW(MSPTasks[[#Headers],[ID]]))),"",INDEX(tsk_Predecessors,(ROW()-ROW(MSPTasks[[#Headers],[ID]])))))</f>
        <v/>
      </c>
      <c r="J76" s="24" t="str">
        <f aca="false">IF(IFERROR(INDEX(tsk_Name,(ROW()-ROW(MSPTasks[[#Headers],[ID]])))="",TRUE()),"",IF(INDEX(tsk_IsSummary,(ROW()-ROW(MSPTasks[[#Headers],[ID]]))),"",INDEX(tsk_UIDPredecessors,(ROW()-ROW(MSPTasks[[#Headers],[ID]])))))</f>
        <v/>
      </c>
      <c r="K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6" s="24" t="str">
        <f aca="false">IF(IFERROR(INDEX(tsk_Name,(ROW()-ROW(MSPTasks[[#Headers],[ID]])))="",TRUE()),"",IF(INDEX(tsk_IsSummary,(ROW()-ROW(MSPTasks[[#Headers],[ID]]))),"",ROUND(INDEX(tsk_Progress,(ROW()-ROW(MSPTasks[[#Headers],[ID]])))*100,0)))</f>
        <v/>
      </c>
      <c r="M76" s="130" t="str">
        <f aca="false">IF(IFERROR(INDEX(tsk_Name,(ROW()-ROW(MSPTasks[[#Headers],[ID]])))="",TRUE()),"",IF(N(INDEX(tsk_ActStart,(ROW()-ROW(MSPTasks[[#Headers],[ID]]))))=0,"",INDEX(tsk_ActStart,(ROW()-ROW(MSPTasks[[#Headers],[ID]])))))</f>
        <v/>
      </c>
      <c r="N76" s="130" t="str">
        <f aca="false">IF(IFERROR(INDEX(tsk_Name,(ROW()-ROW(MSPTasks[[#Headers],[ID]])))="",TRUE()),"",IF(N(INDEX(tsk_ActFinish,(ROW()-ROW(MSPTasks[[#Headers],[ID]]))))=0,"",INDEX(tsk_ActFinish,(ROW()-ROW(MSPTasks[[#Headers],[ID]])))))</f>
        <v/>
      </c>
      <c r="O76" s="130" t="str">
        <f aca="false">IF(IFERROR(INDEX(tsk_Name,(ROW()-ROW(MSPTasks[[#Headers],[ID]])))="",TRUE()),"",INDEX(tsk_PlanStart,(ROW()-ROW(MSPTasks[[#Headers],[ID]]))))</f>
        <v/>
      </c>
      <c r="P76" s="130" t="str">
        <f aca="false">IF(IFERROR(INDEX(tsk_Name,(ROW()-ROW(MSPTasks[[#Headers],[ID]])))="",TRUE()),"",INDEX(tsk_PlanFinish,(ROW()-ROW(MSPTasks[[#Headers],[ID]]))))</f>
        <v/>
      </c>
      <c r="Q76" s="24" t="str">
        <f aca="false">IF(IFERROR(INDEX(tsk_Name,(ROW()-ROW(MSPTasks[[#Headers],[ID]])))="",TRUE()),"",IF(INDEX(tsk_BaseDuration,(ROW()-ROW(MSPTasks[[#Headers],[ID]])))="","",N(INDEX(tsk_BaseDuration,(ROW()-ROW(MSPTasks[[#Headers],[ID]]))))&amp;"d"))</f>
        <v/>
      </c>
      <c r="R76" s="24" t="str">
        <f aca="false">IF(IFERROR(INDEX(tsk_Name,(ROW()-ROW(MSPTasks[[#Headers],[ID]])))="",TRUE()),"",IF(INDEX(tsk_BaseWork,(ROW()-ROW(MSPTasks[[#Headers],[ID]])))="","",N(INDEX(tsk_BaseWork,(ROW()-ROW(MSPTasks[[#Headers],[ID]]))))&amp;"h"))</f>
        <v/>
      </c>
      <c r="S76" s="24" t="str">
        <f aca="false">IF(IFERROR(INDEX(tsk_Name,(ROW()-ROW(MSPTasks[[#Headers],[ID]])))="",TRUE()),"",IF(INDEX(tsk_BaseCost,(ROW()-ROW(MSPTasks[[#Headers],[ID]])))="","",N(INDEX(tsk_BaseCost,(ROW()-ROW(MSPTasks[[#Headers],[ID]]))))))</f>
        <v/>
      </c>
      <c r="T76" s="24" t="str">
        <f aca="false">IF(IFERROR(INDEX(tsk_Name,(ROW()-ROW(MSPTasks[[#Headers],[ID]])))="",TRUE()),"",IF(INDEX(tsk_IsSummary,(ROW()-ROW(MSPTasks[[#Headers],[ID]]))),"",IF(N(INDEX(tsk_ActCostInput,(ROW()-ROW(MSPTasks[[#Headers],[ID]]))))=0,"",INDEX(tsk_ActCostInput,(ROW()-ROW(MSPTasks[[#Headers],[ID]]))))))</f>
        <v/>
      </c>
      <c r="U76" s="24" t="str">
        <f aca="false">IF(IFERROR(INDEX(tsk_Name,(ROW()-ROW(MSPTasks[[#Headers],[ID]])))="",TRUE()),"",IF(INDEX(tsk_IsSummary,(ROW()-ROW(MSPTasks[[#Headers],[ID]]))),"",IF(AND(INDEX(tsk_Mode,(ROW()-ROW(MSPTasks[[#Headers],[ID]])))&lt;&gt;"Manual",N(INDEX(tsk_Constraint,(ROW()-ROW(MSPTasks[[#Headers],[ID]]))))&gt;0),"Start No Earlier Than","As Soon As Possible")))</f>
        <v/>
      </c>
      <c r="V76" s="130" t="str">
        <f aca="false">IF(IFERROR(INDEX(tsk_Name,(ROW()-ROW(MSPTasks[[#Headers],[ID]])))="",TRUE()),"",IF(OR(INDEX(tsk_IsSummary,(ROW()-ROW(MSPTasks[[#Headers],[ID]]))),INDEX(tsk_Mode,(ROW()-ROW(MSPTasks[[#Headers],[ID]])))="Manual"),"",IF(N(INDEX(tsk_Constraint,(ROW()-ROW(MSPTasks[[#Headers],[ID]]))))=0,"",INDEX(tsk_Constraint,(ROW()-ROW(MSPTasks[[#Headers],[ID]]))))))</f>
        <v/>
      </c>
      <c r="W76" s="130" t="str">
        <f aca="false">IF(IFERROR(INDEX(tsk_Name,(ROW()-ROW(MSPTasks[[#Headers],[ID]])))="",TRUE()),"",IF(N(INDEX(tsk_Deadline,(ROW()-ROW(MSPTasks[[#Headers],[ID]]))))=0,"",INDEX(tsk_Deadline,(ROW()-ROW(MSPTasks[[#Headers],[ID]])))))</f>
        <v/>
      </c>
      <c r="X76" s="24" t="str">
        <f aca="false">IF(IFERROR(INDEX(tsk_Name,(ROW()-ROW(MSPTasks[[#Headers],[ID]])))="",TRUE()),"",IF(INDEX(tsk_IsSummary,(ROW()-ROW(MSPTasks[[#Headers],[ID]]))),"",INDEX(tsk_Sprint,(ROW()-ROW(MSPTasks[[#Headers],[ID]])))&amp;""))</f>
        <v/>
      </c>
      <c r="Y76" s="24" t="str">
        <f aca="false">IF(IFERROR(INDEX(tsk_Name,(ROW()-ROW(MSPTasks[[#Headers],[ID]])))="",TRUE()),"",IF(INDEX(tsk_IsSummary,(ROW()-ROW(MSPTasks[[#Headers],[ID]]))),"",IF(N(INDEX(tsk_StoryPoints,(ROW()-ROW(MSPTasks[[#Headers],[ID]]))))=0,"",INDEX(tsk_StoryPoints,(ROW()-ROW(MSPTasks[[#Headers],[ID]]))))))</f>
        <v/>
      </c>
      <c r="Z76" s="24" t="str">
        <f aca="false">IF(IFERROR(INDEX(tsk_Name,(ROW()-ROW(MSPTasks[[#Headers],[ID]])))="",TRUE()),"",INDEX(tsk_Notes,(ROW()-ROW(MSPTasks[[#Headers],[ID]])))&amp;"")</f>
        <v/>
      </c>
    </row>
    <row r="77" customFormat="false" ht="15" hidden="false" customHeight="false" outlineLevel="0" collapsed="false">
      <c r="A77" s="24" t="str">
        <f aca="false">IF(IFERROR(INDEX(tsk_Name,(ROW()-ROW(MSPTasks[[#Headers],[ID]])))="",TRUE()),"",INDEX(tsk_ID,(ROW()-ROW(MSPTasks[[#Headers],[ID]]))))</f>
        <v/>
      </c>
      <c r="B77" s="24" t="str">
        <f aca="false">IF(IFERROR(INDEX(tsk_Name,(ROW()-ROW(MSPTasks[[#Headers],[ID]])))="",TRUE()),"",INDEX(tsk_UID,(ROW()-ROW(MSPTasks[[#Headers],[ID]]))))</f>
        <v/>
      </c>
      <c r="C77" s="24" t="str">
        <f aca="false">IF(IFERROR(INDEX(tsk_Name,(ROW()-ROW(MSPTasks[[#Headers],[ID]])))="",TRUE()),"",INDEX(tsk_Name,(ROW()-ROW(MSPTasks[[#Headers],[ID]]))))</f>
        <v/>
      </c>
      <c r="D77" s="24" t="str">
        <f aca="false">IF(IFERROR(INDEX(tsk_Name,(ROW()-ROW(MSPTasks[[#Headers],[ID]])))="",TRUE()),"",INDEX(tsk_Level,(ROW()-ROW(MSPTasks[[#Headers],[ID]]))))</f>
        <v/>
      </c>
      <c r="E77" s="24" t="str">
        <f aca="false">IF(IFERROR(INDEX(tsk_Name,(ROW()-ROW(MSPTasks[[#Headers],[ID]])))="",TRUE()),"",IF(INDEX(tsk_Mode,(ROW()-ROW(MSPTasks[[#Headers],[ID]])))="Manual","Manually Scheduled","Auto Scheduled"))</f>
        <v/>
      </c>
      <c r="F77" s="24" t="str">
        <f aca="false">IF(IFERROR(INDEX(tsk_Name,(ROW()-ROW(MSPTasks[[#Headers],[ID]])))="",TRUE()),"",IF(INDEX(tsk_IsSummary,(ROW()-ROW(MSPTasks[[#Headers],[ID]]))),"",N(INDEX(tsk_Duration,(ROW()-ROW(MSPTasks[[#Headers],[ID]]))))&amp;"d"))</f>
        <v/>
      </c>
      <c r="G77" s="130" t="str">
        <f aca="false">IF(IFERROR(INDEX(tsk_Name,(ROW()-ROW(MSPTasks[[#Headers],[ID]])))="",TRUE()),"",INDEX(tsk_FcStart,(ROW()-ROW(MSPTasks[[#Headers],[ID]]))))</f>
        <v/>
      </c>
      <c r="H77" s="130" t="str">
        <f aca="false">IF(IFERROR(INDEX(tsk_Name,(ROW()-ROW(MSPTasks[[#Headers],[ID]])))="",TRUE()),"",INDEX(tsk_FcFinish,(ROW()-ROW(MSPTasks[[#Headers],[ID]]))))</f>
        <v/>
      </c>
      <c r="I77" s="24" t="str">
        <f aca="false">IF(IFERROR(INDEX(tsk_Name,(ROW()-ROW(MSPTasks[[#Headers],[ID]])))="",TRUE()),"",IF(INDEX(tsk_IsSummary,(ROW()-ROW(MSPTasks[[#Headers],[ID]]))),"",INDEX(tsk_Predecessors,(ROW()-ROW(MSPTasks[[#Headers],[ID]])))))</f>
        <v/>
      </c>
      <c r="J77" s="24" t="str">
        <f aca="false">IF(IFERROR(INDEX(tsk_Name,(ROW()-ROW(MSPTasks[[#Headers],[ID]])))="",TRUE()),"",IF(INDEX(tsk_IsSummary,(ROW()-ROW(MSPTasks[[#Headers],[ID]]))),"",INDEX(tsk_UIDPredecessors,(ROW()-ROW(MSPTasks[[#Headers],[ID]])))))</f>
        <v/>
      </c>
      <c r="K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7" s="24" t="str">
        <f aca="false">IF(IFERROR(INDEX(tsk_Name,(ROW()-ROW(MSPTasks[[#Headers],[ID]])))="",TRUE()),"",IF(INDEX(tsk_IsSummary,(ROW()-ROW(MSPTasks[[#Headers],[ID]]))),"",ROUND(INDEX(tsk_Progress,(ROW()-ROW(MSPTasks[[#Headers],[ID]])))*100,0)))</f>
        <v/>
      </c>
      <c r="M77" s="130" t="str">
        <f aca="false">IF(IFERROR(INDEX(tsk_Name,(ROW()-ROW(MSPTasks[[#Headers],[ID]])))="",TRUE()),"",IF(N(INDEX(tsk_ActStart,(ROW()-ROW(MSPTasks[[#Headers],[ID]]))))=0,"",INDEX(tsk_ActStart,(ROW()-ROW(MSPTasks[[#Headers],[ID]])))))</f>
        <v/>
      </c>
      <c r="N77" s="130" t="str">
        <f aca="false">IF(IFERROR(INDEX(tsk_Name,(ROW()-ROW(MSPTasks[[#Headers],[ID]])))="",TRUE()),"",IF(N(INDEX(tsk_ActFinish,(ROW()-ROW(MSPTasks[[#Headers],[ID]]))))=0,"",INDEX(tsk_ActFinish,(ROW()-ROW(MSPTasks[[#Headers],[ID]])))))</f>
        <v/>
      </c>
      <c r="O77" s="130" t="str">
        <f aca="false">IF(IFERROR(INDEX(tsk_Name,(ROW()-ROW(MSPTasks[[#Headers],[ID]])))="",TRUE()),"",INDEX(tsk_PlanStart,(ROW()-ROW(MSPTasks[[#Headers],[ID]]))))</f>
        <v/>
      </c>
      <c r="P77" s="130" t="str">
        <f aca="false">IF(IFERROR(INDEX(tsk_Name,(ROW()-ROW(MSPTasks[[#Headers],[ID]])))="",TRUE()),"",INDEX(tsk_PlanFinish,(ROW()-ROW(MSPTasks[[#Headers],[ID]]))))</f>
        <v/>
      </c>
      <c r="Q77" s="24" t="str">
        <f aca="false">IF(IFERROR(INDEX(tsk_Name,(ROW()-ROW(MSPTasks[[#Headers],[ID]])))="",TRUE()),"",IF(INDEX(tsk_BaseDuration,(ROW()-ROW(MSPTasks[[#Headers],[ID]])))="","",N(INDEX(tsk_BaseDuration,(ROW()-ROW(MSPTasks[[#Headers],[ID]]))))&amp;"d"))</f>
        <v/>
      </c>
      <c r="R77" s="24" t="str">
        <f aca="false">IF(IFERROR(INDEX(tsk_Name,(ROW()-ROW(MSPTasks[[#Headers],[ID]])))="",TRUE()),"",IF(INDEX(tsk_BaseWork,(ROW()-ROW(MSPTasks[[#Headers],[ID]])))="","",N(INDEX(tsk_BaseWork,(ROW()-ROW(MSPTasks[[#Headers],[ID]]))))&amp;"h"))</f>
        <v/>
      </c>
      <c r="S77" s="24" t="str">
        <f aca="false">IF(IFERROR(INDEX(tsk_Name,(ROW()-ROW(MSPTasks[[#Headers],[ID]])))="",TRUE()),"",IF(INDEX(tsk_BaseCost,(ROW()-ROW(MSPTasks[[#Headers],[ID]])))="","",N(INDEX(tsk_BaseCost,(ROW()-ROW(MSPTasks[[#Headers],[ID]]))))))</f>
        <v/>
      </c>
      <c r="T77" s="24" t="str">
        <f aca="false">IF(IFERROR(INDEX(tsk_Name,(ROW()-ROW(MSPTasks[[#Headers],[ID]])))="",TRUE()),"",IF(INDEX(tsk_IsSummary,(ROW()-ROW(MSPTasks[[#Headers],[ID]]))),"",IF(N(INDEX(tsk_ActCostInput,(ROW()-ROW(MSPTasks[[#Headers],[ID]]))))=0,"",INDEX(tsk_ActCostInput,(ROW()-ROW(MSPTasks[[#Headers],[ID]]))))))</f>
        <v/>
      </c>
      <c r="U77" s="24" t="str">
        <f aca="false">IF(IFERROR(INDEX(tsk_Name,(ROW()-ROW(MSPTasks[[#Headers],[ID]])))="",TRUE()),"",IF(INDEX(tsk_IsSummary,(ROW()-ROW(MSPTasks[[#Headers],[ID]]))),"",IF(AND(INDEX(tsk_Mode,(ROW()-ROW(MSPTasks[[#Headers],[ID]])))&lt;&gt;"Manual",N(INDEX(tsk_Constraint,(ROW()-ROW(MSPTasks[[#Headers],[ID]]))))&gt;0),"Start No Earlier Than","As Soon As Possible")))</f>
        <v/>
      </c>
      <c r="V77" s="130" t="str">
        <f aca="false">IF(IFERROR(INDEX(tsk_Name,(ROW()-ROW(MSPTasks[[#Headers],[ID]])))="",TRUE()),"",IF(OR(INDEX(tsk_IsSummary,(ROW()-ROW(MSPTasks[[#Headers],[ID]]))),INDEX(tsk_Mode,(ROW()-ROW(MSPTasks[[#Headers],[ID]])))="Manual"),"",IF(N(INDEX(tsk_Constraint,(ROW()-ROW(MSPTasks[[#Headers],[ID]]))))=0,"",INDEX(tsk_Constraint,(ROW()-ROW(MSPTasks[[#Headers],[ID]]))))))</f>
        <v/>
      </c>
      <c r="W77" s="130" t="str">
        <f aca="false">IF(IFERROR(INDEX(tsk_Name,(ROW()-ROW(MSPTasks[[#Headers],[ID]])))="",TRUE()),"",IF(N(INDEX(tsk_Deadline,(ROW()-ROW(MSPTasks[[#Headers],[ID]]))))=0,"",INDEX(tsk_Deadline,(ROW()-ROW(MSPTasks[[#Headers],[ID]])))))</f>
        <v/>
      </c>
      <c r="X77" s="24" t="str">
        <f aca="false">IF(IFERROR(INDEX(tsk_Name,(ROW()-ROW(MSPTasks[[#Headers],[ID]])))="",TRUE()),"",IF(INDEX(tsk_IsSummary,(ROW()-ROW(MSPTasks[[#Headers],[ID]]))),"",INDEX(tsk_Sprint,(ROW()-ROW(MSPTasks[[#Headers],[ID]])))&amp;""))</f>
        <v/>
      </c>
      <c r="Y77" s="24" t="str">
        <f aca="false">IF(IFERROR(INDEX(tsk_Name,(ROW()-ROW(MSPTasks[[#Headers],[ID]])))="",TRUE()),"",IF(INDEX(tsk_IsSummary,(ROW()-ROW(MSPTasks[[#Headers],[ID]]))),"",IF(N(INDEX(tsk_StoryPoints,(ROW()-ROW(MSPTasks[[#Headers],[ID]]))))=0,"",INDEX(tsk_StoryPoints,(ROW()-ROW(MSPTasks[[#Headers],[ID]]))))))</f>
        <v/>
      </c>
      <c r="Z77" s="24" t="str">
        <f aca="false">IF(IFERROR(INDEX(tsk_Name,(ROW()-ROW(MSPTasks[[#Headers],[ID]])))="",TRUE()),"",INDEX(tsk_Notes,(ROW()-ROW(MSPTasks[[#Headers],[ID]])))&amp;"")</f>
        <v/>
      </c>
    </row>
    <row r="78" customFormat="false" ht="15" hidden="false" customHeight="false" outlineLevel="0" collapsed="false">
      <c r="A78" s="24" t="str">
        <f aca="false">IF(IFERROR(INDEX(tsk_Name,(ROW()-ROW(MSPTasks[[#Headers],[ID]])))="",TRUE()),"",INDEX(tsk_ID,(ROW()-ROW(MSPTasks[[#Headers],[ID]]))))</f>
        <v/>
      </c>
      <c r="B78" s="24" t="str">
        <f aca="false">IF(IFERROR(INDEX(tsk_Name,(ROW()-ROW(MSPTasks[[#Headers],[ID]])))="",TRUE()),"",INDEX(tsk_UID,(ROW()-ROW(MSPTasks[[#Headers],[ID]]))))</f>
        <v/>
      </c>
      <c r="C78" s="24" t="str">
        <f aca="false">IF(IFERROR(INDEX(tsk_Name,(ROW()-ROW(MSPTasks[[#Headers],[ID]])))="",TRUE()),"",INDEX(tsk_Name,(ROW()-ROW(MSPTasks[[#Headers],[ID]]))))</f>
        <v/>
      </c>
      <c r="D78" s="24" t="str">
        <f aca="false">IF(IFERROR(INDEX(tsk_Name,(ROW()-ROW(MSPTasks[[#Headers],[ID]])))="",TRUE()),"",INDEX(tsk_Level,(ROW()-ROW(MSPTasks[[#Headers],[ID]]))))</f>
        <v/>
      </c>
      <c r="E78" s="24" t="str">
        <f aca="false">IF(IFERROR(INDEX(tsk_Name,(ROW()-ROW(MSPTasks[[#Headers],[ID]])))="",TRUE()),"",IF(INDEX(tsk_Mode,(ROW()-ROW(MSPTasks[[#Headers],[ID]])))="Manual","Manually Scheduled","Auto Scheduled"))</f>
        <v/>
      </c>
      <c r="F78" s="24" t="str">
        <f aca="false">IF(IFERROR(INDEX(tsk_Name,(ROW()-ROW(MSPTasks[[#Headers],[ID]])))="",TRUE()),"",IF(INDEX(tsk_IsSummary,(ROW()-ROW(MSPTasks[[#Headers],[ID]]))),"",N(INDEX(tsk_Duration,(ROW()-ROW(MSPTasks[[#Headers],[ID]]))))&amp;"d"))</f>
        <v/>
      </c>
      <c r="G78" s="130" t="str">
        <f aca="false">IF(IFERROR(INDEX(tsk_Name,(ROW()-ROW(MSPTasks[[#Headers],[ID]])))="",TRUE()),"",INDEX(tsk_FcStart,(ROW()-ROW(MSPTasks[[#Headers],[ID]]))))</f>
        <v/>
      </c>
      <c r="H78" s="130" t="str">
        <f aca="false">IF(IFERROR(INDEX(tsk_Name,(ROW()-ROW(MSPTasks[[#Headers],[ID]])))="",TRUE()),"",INDEX(tsk_FcFinish,(ROW()-ROW(MSPTasks[[#Headers],[ID]]))))</f>
        <v/>
      </c>
      <c r="I78" s="24" t="str">
        <f aca="false">IF(IFERROR(INDEX(tsk_Name,(ROW()-ROW(MSPTasks[[#Headers],[ID]])))="",TRUE()),"",IF(INDEX(tsk_IsSummary,(ROW()-ROW(MSPTasks[[#Headers],[ID]]))),"",INDEX(tsk_Predecessors,(ROW()-ROW(MSPTasks[[#Headers],[ID]])))))</f>
        <v/>
      </c>
      <c r="J78" s="24" t="str">
        <f aca="false">IF(IFERROR(INDEX(tsk_Name,(ROW()-ROW(MSPTasks[[#Headers],[ID]])))="",TRUE()),"",IF(INDEX(tsk_IsSummary,(ROW()-ROW(MSPTasks[[#Headers],[ID]]))),"",INDEX(tsk_UIDPredecessors,(ROW()-ROW(MSPTasks[[#Headers],[ID]])))))</f>
        <v/>
      </c>
      <c r="K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8" s="24" t="str">
        <f aca="false">IF(IFERROR(INDEX(tsk_Name,(ROW()-ROW(MSPTasks[[#Headers],[ID]])))="",TRUE()),"",IF(INDEX(tsk_IsSummary,(ROW()-ROW(MSPTasks[[#Headers],[ID]]))),"",ROUND(INDEX(tsk_Progress,(ROW()-ROW(MSPTasks[[#Headers],[ID]])))*100,0)))</f>
        <v/>
      </c>
      <c r="M78" s="130" t="str">
        <f aca="false">IF(IFERROR(INDEX(tsk_Name,(ROW()-ROW(MSPTasks[[#Headers],[ID]])))="",TRUE()),"",IF(N(INDEX(tsk_ActStart,(ROW()-ROW(MSPTasks[[#Headers],[ID]]))))=0,"",INDEX(tsk_ActStart,(ROW()-ROW(MSPTasks[[#Headers],[ID]])))))</f>
        <v/>
      </c>
      <c r="N78" s="130" t="str">
        <f aca="false">IF(IFERROR(INDEX(tsk_Name,(ROW()-ROW(MSPTasks[[#Headers],[ID]])))="",TRUE()),"",IF(N(INDEX(tsk_ActFinish,(ROW()-ROW(MSPTasks[[#Headers],[ID]]))))=0,"",INDEX(tsk_ActFinish,(ROW()-ROW(MSPTasks[[#Headers],[ID]])))))</f>
        <v/>
      </c>
      <c r="O78" s="130" t="str">
        <f aca="false">IF(IFERROR(INDEX(tsk_Name,(ROW()-ROW(MSPTasks[[#Headers],[ID]])))="",TRUE()),"",INDEX(tsk_PlanStart,(ROW()-ROW(MSPTasks[[#Headers],[ID]]))))</f>
        <v/>
      </c>
      <c r="P78" s="130" t="str">
        <f aca="false">IF(IFERROR(INDEX(tsk_Name,(ROW()-ROW(MSPTasks[[#Headers],[ID]])))="",TRUE()),"",INDEX(tsk_PlanFinish,(ROW()-ROW(MSPTasks[[#Headers],[ID]]))))</f>
        <v/>
      </c>
      <c r="Q78" s="24" t="str">
        <f aca="false">IF(IFERROR(INDEX(tsk_Name,(ROW()-ROW(MSPTasks[[#Headers],[ID]])))="",TRUE()),"",IF(INDEX(tsk_BaseDuration,(ROW()-ROW(MSPTasks[[#Headers],[ID]])))="","",N(INDEX(tsk_BaseDuration,(ROW()-ROW(MSPTasks[[#Headers],[ID]]))))&amp;"d"))</f>
        <v/>
      </c>
      <c r="R78" s="24" t="str">
        <f aca="false">IF(IFERROR(INDEX(tsk_Name,(ROW()-ROW(MSPTasks[[#Headers],[ID]])))="",TRUE()),"",IF(INDEX(tsk_BaseWork,(ROW()-ROW(MSPTasks[[#Headers],[ID]])))="","",N(INDEX(tsk_BaseWork,(ROW()-ROW(MSPTasks[[#Headers],[ID]]))))&amp;"h"))</f>
        <v/>
      </c>
      <c r="S78" s="24" t="str">
        <f aca="false">IF(IFERROR(INDEX(tsk_Name,(ROW()-ROW(MSPTasks[[#Headers],[ID]])))="",TRUE()),"",IF(INDEX(tsk_BaseCost,(ROW()-ROW(MSPTasks[[#Headers],[ID]])))="","",N(INDEX(tsk_BaseCost,(ROW()-ROW(MSPTasks[[#Headers],[ID]]))))))</f>
        <v/>
      </c>
      <c r="T78" s="24" t="str">
        <f aca="false">IF(IFERROR(INDEX(tsk_Name,(ROW()-ROW(MSPTasks[[#Headers],[ID]])))="",TRUE()),"",IF(INDEX(tsk_IsSummary,(ROW()-ROW(MSPTasks[[#Headers],[ID]]))),"",IF(N(INDEX(tsk_ActCostInput,(ROW()-ROW(MSPTasks[[#Headers],[ID]]))))=0,"",INDEX(tsk_ActCostInput,(ROW()-ROW(MSPTasks[[#Headers],[ID]]))))))</f>
        <v/>
      </c>
      <c r="U78" s="24" t="str">
        <f aca="false">IF(IFERROR(INDEX(tsk_Name,(ROW()-ROW(MSPTasks[[#Headers],[ID]])))="",TRUE()),"",IF(INDEX(tsk_IsSummary,(ROW()-ROW(MSPTasks[[#Headers],[ID]]))),"",IF(AND(INDEX(tsk_Mode,(ROW()-ROW(MSPTasks[[#Headers],[ID]])))&lt;&gt;"Manual",N(INDEX(tsk_Constraint,(ROW()-ROW(MSPTasks[[#Headers],[ID]]))))&gt;0),"Start No Earlier Than","As Soon As Possible")))</f>
        <v/>
      </c>
      <c r="V78" s="130" t="str">
        <f aca="false">IF(IFERROR(INDEX(tsk_Name,(ROW()-ROW(MSPTasks[[#Headers],[ID]])))="",TRUE()),"",IF(OR(INDEX(tsk_IsSummary,(ROW()-ROW(MSPTasks[[#Headers],[ID]]))),INDEX(tsk_Mode,(ROW()-ROW(MSPTasks[[#Headers],[ID]])))="Manual"),"",IF(N(INDEX(tsk_Constraint,(ROW()-ROW(MSPTasks[[#Headers],[ID]]))))=0,"",INDEX(tsk_Constraint,(ROW()-ROW(MSPTasks[[#Headers],[ID]]))))))</f>
        <v/>
      </c>
      <c r="W78" s="130" t="str">
        <f aca="false">IF(IFERROR(INDEX(tsk_Name,(ROW()-ROW(MSPTasks[[#Headers],[ID]])))="",TRUE()),"",IF(N(INDEX(tsk_Deadline,(ROW()-ROW(MSPTasks[[#Headers],[ID]]))))=0,"",INDEX(tsk_Deadline,(ROW()-ROW(MSPTasks[[#Headers],[ID]])))))</f>
        <v/>
      </c>
      <c r="X78" s="24" t="str">
        <f aca="false">IF(IFERROR(INDEX(tsk_Name,(ROW()-ROW(MSPTasks[[#Headers],[ID]])))="",TRUE()),"",IF(INDEX(tsk_IsSummary,(ROW()-ROW(MSPTasks[[#Headers],[ID]]))),"",INDEX(tsk_Sprint,(ROW()-ROW(MSPTasks[[#Headers],[ID]])))&amp;""))</f>
        <v/>
      </c>
      <c r="Y78" s="24" t="str">
        <f aca="false">IF(IFERROR(INDEX(tsk_Name,(ROW()-ROW(MSPTasks[[#Headers],[ID]])))="",TRUE()),"",IF(INDEX(tsk_IsSummary,(ROW()-ROW(MSPTasks[[#Headers],[ID]]))),"",IF(N(INDEX(tsk_StoryPoints,(ROW()-ROW(MSPTasks[[#Headers],[ID]]))))=0,"",INDEX(tsk_StoryPoints,(ROW()-ROW(MSPTasks[[#Headers],[ID]]))))))</f>
        <v/>
      </c>
      <c r="Z78" s="24" t="str">
        <f aca="false">IF(IFERROR(INDEX(tsk_Name,(ROW()-ROW(MSPTasks[[#Headers],[ID]])))="",TRUE()),"",INDEX(tsk_Notes,(ROW()-ROW(MSPTasks[[#Headers],[ID]])))&amp;"")</f>
        <v/>
      </c>
    </row>
    <row r="79" customFormat="false" ht="15" hidden="false" customHeight="false" outlineLevel="0" collapsed="false">
      <c r="A79" s="24" t="str">
        <f aca="false">IF(IFERROR(INDEX(tsk_Name,(ROW()-ROW(MSPTasks[[#Headers],[ID]])))="",TRUE()),"",INDEX(tsk_ID,(ROW()-ROW(MSPTasks[[#Headers],[ID]]))))</f>
        <v/>
      </c>
      <c r="B79" s="24" t="str">
        <f aca="false">IF(IFERROR(INDEX(tsk_Name,(ROW()-ROW(MSPTasks[[#Headers],[ID]])))="",TRUE()),"",INDEX(tsk_UID,(ROW()-ROW(MSPTasks[[#Headers],[ID]]))))</f>
        <v/>
      </c>
      <c r="C79" s="24" t="str">
        <f aca="false">IF(IFERROR(INDEX(tsk_Name,(ROW()-ROW(MSPTasks[[#Headers],[ID]])))="",TRUE()),"",INDEX(tsk_Name,(ROW()-ROW(MSPTasks[[#Headers],[ID]]))))</f>
        <v/>
      </c>
      <c r="D79" s="24" t="str">
        <f aca="false">IF(IFERROR(INDEX(tsk_Name,(ROW()-ROW(MSPTasks[[#Headers],[ID]])))="",TRUE()),"",INDEX(tsk_Level,(ROW()-ROW(MSPTasks[[#Headers],[ID]]))))</f>
        <v/>
      </c>
      <c r="E79" s="24" t="str">
        <f aca="false">IF(IFERROR(INDEX(tsk_Name,(ROW()-ROW(MSPTasks[[#Headers],[ID]])))="",TRUE()),"",IF(INDEX(tsk_Mode,(ROW()-ROW(MSPTasks[[#Headers],[ID]])))="Manual","Manually Scheduled","Auto Scheduled"))</f>
        <v/>
      </c>
      <c r="F79" s="24" t="str">
        <f aca="false">IF(IFERROR(INDEX(tsk_Name,(ROW()-ROW(MSPTasks[[#Headers],[ID]])))="",TRUE()),"",IF(INDEX(tsk_IsSummary,(ROW()-ROW(MSPTasks[[#Headers],[ID]]))),"",N(INDEX(tsk_Duration,(ROW()-ROW(MSPTasks[[#Headers],[ID]]))))&amp;"d"))</f>
        <v/>
      </c>
      <c r="G79" s="130" t="str">
        <f aca="false">IF(IFERROR(INDEX(tsk_Name,(ROW()-ROW(MSPTasks[[#Headers],[ID]])))="",TRUE()),"",INDEX(tsk_FcStart,(ROW()-ROW(MSPTasks[[#Headers],[ID]]))))</f>
        <v/>
      </c>
      <c r="H79" s="130" t="str">
        <f aca="false">IF(IFERROR(INDEX(tsk_Name,(ROW()-ROW(MSPTasks[[#Headers],[ID]])))="",TRUE()),"",INDEX(tsk_FcFinish,(ROW()-ROW(MSPTasks[[#Headers],[ID]]))))</f>
        <v/>
      </c>
      <c r="I79" s="24" t="str">
        <f aca="false">IF(IFERROR(INDEX(tsk_Name,(ROW()-ROW(MSPTasks[[#Headers],[ID]])))="",TRUE()),"",IF(INDEX(tsk_IsSummary,(ROW()-ROW(MSPTasks[[#Headers],[ID]]))),"",INDEX(tsk_Predecessors,(ROW()-ROW(MSPTasks[[#Headers],[ID]])))))</f>
        <v/>
      </c>
      <c r="J79" s="24" t="str">
        <f aca="false">IF(IFERROR(INDEX(tsk_Name,(ROW()-ROW(MSPTasks[[#Headers],[ID]])))="",TRUE()),"",IF(INDEX(tsk_IsSummary,(ROW()-ROW(MSPTasks[[#Headers],[ID]]))),"",INDEX(tsk_UIDPredecessors,(ROW()-ROW(MSPTasks[[#Headers],[ID]])))))</f>
        <v/>
      </c>
      <c r="K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9" s="24" t="str">
        <f aca="false">IF(IFERROR(INDEX(tsk_Name,(ROW()-ROW(MSPTasks[[#Headers],[ID]])))="",TRUE()),"",IF(INDEX(tsk_IsSummary,(ROW()-ROW(MSPTasks[[#Headers],[ID]]))),"",ROUND(INDEX(tsk_Progress,(ROW()-ROW(MSPTasks[[#Headers],[ID]])))*100,0)))</f>
        <v/>
      </c>
      <c r="M79" s="130" t="str">
        <f aca="false">IF(IFERROR(INDEX(tsk_Name,(ROW()-ROW(MSPTasks[[#Headers],[ID]])))="",TRUE()),"",IF(N(INDEX(tsk_ActStart,(ROW()-ROW(MSPTasks[[#Headers],[ID]]))))=0,"",INDEX(tsk_ActStart,(ROW()-ROW(MSPTasks[[#Headers],[ID]])))))</f>
        <v/>
      </c>
      <c r="N79" s="130" t="str">
        <f aca="false">IF(IFERROR(INDEX(tsk_Name,(ROW()-ROW(MSPTasks[[#Headers],[ID]])))="",TRUE()),"",IF(N(INDEX(tsk_ActFinish,(ROW()-ROW(MSPTasks[[#Headers],[ID]]))))=0,"",INDEX(tsk_ActFinish,(ROW()-ROW(MSPTasks[[#Headers],[ID]])))))</f>
        <v/>
      </c>
      <c r="O79" s="130" t="str">
        <f aca="false">IF(IFERROR(INDEX(tsk_Name,(ROW()-ROW(MSPTasks[[#Headers],[ID]])))="",TRUE()),"",INDEX(tsk_PlanStart,(ROW()-ROW(MSPTasks[[#Headers],[ID]]))))</f>
        <v/>
      </c>
      <c r="P79" s="130" t="str">
        <f aca="false">IF(IFERROR(INDEX(tsk_Name,(ROW()-ROW(MSPTasks[[#Headers],[ID]])))="",TRUE()),"",INDEX(tsk_PlanFinish,(ROW()-ROW(MSPTasks[[#Headers],[ID]]))))</f>
        <v/>
      </c>
      <c r="Q79" s="24" t="str">
        <f aca="false">IF(IFERROR(INDEX(tsk_Name,(ROW()-ROW(MSPTasks[[#Headers],[ID]])))="",TRUE()),"",IF(INDEX(tsk_BaseDuration,(ROW()-ROW(MSPTasks[[#Headers],[ID]])))="","",N(INDEX(tsk_BaseDuration,(ROW()-ROW(MSPTasks[[#Headers],[ID]]))))&amp;"d"))</f>
        <v/>
      </c>
      <c r="R79" s="24" t="str">
        <f aca="false">IF(IFERROR(INDEX(tsk_Name,(ROW()-ROW(MSPTasks[[#Headers],[ID]])))="",TRUE()),"",IF(INDEX(tsk_BaseWork,(ROW()-ROW(MSPTasks[[#Headers],[ID]])))="","",N(INDEX(tsk_BaseWork,(ROW()-ROW(MSPTasks[[#Headers],[ID]]))))&amp;"h"))</f>
        <v/>
      </c>
      <c r="S79" s="24" t="str">
        <f aca="false">IF(IFERROR(INDEX(tsk_Name,(ROW()-ROW(MSPTasks[[#Headers],[ID]])))="",TRUE()),"",IF(INDEX(tsk_BaseCost,(ROW()-ROW(MSPTasks[[#Headers],[ID]])))="","",N(INDEX(tsk_BaseCost,(ROW()-ROW(MSPTasks[[#Headers],[ID]]))))))</f>
        <v/>
      </c>
      <c r="T79" s="24" t="str">
        <f aca="false">IF(IFERROR(INDEX(tsk_Name,(ROW()-ROW(MSPTasks[[#Headers],[ID]])))="",TRUE()),"",IF(INDEX(tsk_IsSummary,(ROW()-ROW(MSPTasks[[#Headers],[ID]]))),"",IF(N(INDEX(tsk_ActCostInput,(ROW()-ROW(MSPTasks[[#Headers],[ID]]))))=0,"",INDEX(tsk_ActCostInput,(ROW()-ROW(MSPTasks[[#Headers],[ID]]))))))</f>
        <v/>
      </c>
      <c r="U79" s="24" t="str">
        <f aca="false">IF(IFERROR(INDEX(tsk_Name,(ROW()-ROW(MSPTasks[[#Headers],[ID]])))="",TRUE()),"",IF(INDEX(tsk_IsSummary,(ROW()-ROW(MSPTasks[[#Headers],[ID]]))),"",IF(AND(INDEX(tsk_Mode,(ROW()-ROW(MSPTasks[[#Headers],[ID]])))&lt;&gt;"Manual",N(INDEX(tsk_Constraint,(ROW()-ROW(MSPTasks[[#Headers],[ID]]))))&gt;0),"Start No Earlier Than","As Soon As Possible")))</f>
        <v/>
      </c>
      <c r="V79" s="130" t="str">
        <f aca="false">IF(IFERROR(INDEX(tsk_Name,(ROW()-ROW(MSPTasks[[#Headers],[ID]])))="",TRUE()),"",IF(OR(INDEX(tsk_IsSummary,(ROW()-ROW(MSPTasks[[#Headers],[ID]]))),INDEX(tsk_Mode,(ROW()-ROW(MSPTasks[[#Headers],[ID]])))="Manual"),"",IF(N(INDEX(tsk_Constraint,(ROW()-ROW(MSPTasks[[#Headers],[ID]]))))=0,"",INDEX(tsk_Constraint,(ROW()-ROW(MSPTasks[[#Headers],[ID]]))))))</f>
        <v/>
      </c>
      <c r="W79" s="130" t="str">
        <f aca="false">IF(IFERROR(INDEX(tsk_Name,(ROW()-ROW(MSPTasks[[#Headers],[ID]])))="",TRUE()),"",IF(N(INDEX(tsk_Deadline,(ROW()-ROW(MSPTasks[[#Headers],[ID]]))))=0,"",INDEX(tsk_Deadline,(ROW()-ROW(MSPTasks[[#Headers],[ID]])))))</f>
        <v/>
      </c>
      <c r="X79" s="24" t="str">
        <f aca="false">IF(IFERROR(INDEX(tsk_Name,(ROW()-ROW(MSPTasks[[#Headers],[ID]])))="",TRUE()),"",IF(INDEX(tsk_IsSummary,(ROW()-ROW(MSPTasks[[#Headers],[ID]]))),"",INDEX(tsk_Sprint,(ROW()-ROW(MSPTasks[[#Headers],[ID]])))&amp;""))</f>
        <v/>
      </c>
      <c r="Y79" s="24" t="str">
        <f aca="false">IF(IFERROR(INDEX(tsk_Name,(ROW()-ROW(MSPTasks[[#Headers],[ID]])))="",TRUE()),"",IF(INDEX(tsk_IsSummary,(ROW()-ROW(MSPTasks[[#Headers],[ID]]))),"",IF(N(INDEX(tsk_StoryPoints,(ROW()-ROW(MSPTasks[[#Headers],[ID]]))))=0,"",INDEX(tsk_StoryPoints,(ROW()-ROW(MSPTasks[[#Headers],[ID]]))))))</f>
        <v/>
      </c>
      <c r="Z79" s="24" t="str">
        <f aca="false">IF(IFERROR(INDEX(tsk_Name,(ROW()-ROW(MSPTasks[[#Headers],[ID]])))="",TRUE()),"",INDEX(tsk_Notes,(ROW()-ROW(MSPTasks[[#Headers],[ID]])))&amp;"")</f>
        <v/>
      </c>
    </row>
    <row r="80" customFormat="false" ht="15" hidden="false" customHeight="false" outlineLevel="0" collapsed="false">
      <c r="A80" s="24" t="str">
        <f aca="false">IF(IFERROR(INDEX(tsk_Name,(ROW()-ROW(MSPTasks[[#Headers],[ID]])))="",TRUE()),"",INDEX(tsk_ID,(ROW()-ROW(MSPTasks[[#Headers],[ID]]))))</f>
        <v/>
      </c>
      <c r="B80" s="24" t="str">
        <f aca="false">IF(IFERROR(INDEX(tsk_Name,(ROW()-ROW(MSPTasks[[#Headers],[ID]])))="",TRUE()),"",INDEX(tsk_UID,(ROW()-ROW(MSPTasks[[#Headers],[ID]]))))</f>
        <v/>
      </c>
      <c r="C80" s="24" t="str">
        <f aca="false">IF(IFERROR(INDEX(tsk_Name,(ROW()-ROW(MSPTasks[[#Headers],[ID]])))="",TRUE()),"",INDEX(tsk_Name,(ROW()-ROW(MSPTasks[[#Headers],[ID]]))))</f>
        <v/>
      </c>
      <c r="D80" s="24" t="str">
        <f aca="false">IF(IFERROR(INDEX(tsk_Name,(ROW()-ROW(MSPTasks[[#Headers],[ID]])))="",TRUE()),"",INDEX(tsk_Level,(ROW()-ROW(MSPTasks[[#Headers],[ID]]))))</f>
        <v/>
      </c>
      <c r="E80" s="24" t="str">
        <f aca="false">IF(IFERROR(INDEX(tsk_Name,(ROW()-ROW(MSPTasks[[#Headers],[ID]])))="",TRUE()),"",IF(INDEX(tsk_Mode,(ROW()-ROW(MSPTasks[[#Headers],[ID]])))="Manual","Manually Scheduled","Auto Scheduled"))</f>
        <v/>
      </c>
      <c r="F80" s="24" t="str">
        <f aca="false">IF(IFERROR(INDEX(tsk_Name,(ROW()-ROW(MSPTasks[[#Headers],[ID]])))="",TRUE()),"",IF(INDEX(tsk_IsSummary,(ROW()-ROW(MSPTasks[[#Headers],[ID]]))),"",N(INDEX(tsk_Duration,(ROW()-ROW(MSPTasks[[#Headers],[ID]]))))&amp;"d"))</f>
        <v/>
      </c>
      <c r="G80" s="130" t="str">
        <f aca="false">IF(IFERROR(INDEX(tsk_Name,(ROW()-ROW(MSPTasks[[#Headers],[ID]])))="",TRUE()),"",INDEX(tsk_FcStart,(ROW()-ROW(MSPTasks[[#Headers],[ID]]))))</f>
        <v/>
      </c>
      <c r="H80" s="130" t="str">
        <f aca="false">IF(IFERROR(INDEX(tsk_Name,(ROW()-ROW(MSPTasks[[#Headers],[ID]])))="",TRUE()),"",INDEX(tsk_FcFinish,(ROW()-ROW(MSPTasks[[#Headers],[ID]]))))</f>
        <v/>
      </c>
      <c r="I80" s="24" t="str">
        <f aca="false">IF(IFERROR(INDEX(tsk_Name,(ROW()-ROW(MSPTasks[[#Headers],[ID]])))="",TRUE()),"",IF(INDEX(tsk_IsSummary,(ROW()-ROW(MSPTasks[[#Headers],[ID]]))),"",INDEX(tsk_Predecessors,(ROW()-ROW(MSPTasks[[#Headers],[ID]])))))</f>
        <v/>
      </c>
      <c r="J80" s="24" t="str">
        <f aca="false">IF(IFERROR(INDEX(tsk_Name,(ROW()-ROW(MSPTasks[[#Headers],[ID]])))="",TRUE()),"",IF(INDEX(tsk_IsSummary,(ROW()-ROW(MSPTasks[[#Headers],[ID]]))),"",INDEX(tsk_UIDPredecessors,(ROW()-ROW(MSPTasks[[#Headers],[ID]])))))</f>
        <v/>
      </c>
      <c r="K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0" s="24" t="str">
        <f aca="false">IF(IFERROR(INDEX(tsk_Name,(ROW()-ROW(MSPTasks[[#Headers],[ID]])))="",TRUE()),"",IF(INDEX(tsk_IsSummary,(ROW()-ROW(MSPTasks[[#Headers],[ID]]))),"",ROUND(INDEX(tsk_Progress,(ROW()-ROW(MSPTasks[[#Headers],[ID]])))*100,0)))</f>
        <v/>
      </c>
      <c r="M80" s="130" t="str">
        <f aca="false">IF(IFERROR(INDEX(tsk_Name,(ROW()-ROW(MSPTasks[[#Headers],[ID]])))="",TRUE()),"",IF(N(INDEX(tsk_ActStart,(ROW()-ROW(MSPTasks[[#Headers],[ID]]))))=0,"",INDEX(tsk_ActStart,(ROW()-ROW(MSPTasks[[#Headers],[ID]])))))</f>
        <v/>
      </c>
      <c r="N80" s="130" t="str">
        <f aca="false">IF(IFERROR(INDEX(tsk_Name,(ROW()-ROW(MSPTasks[[#Headers],[ID]])))="",TRUE()),"",IF(N(INDEX(tsk_ActFinish,(ROW()-ROW(MSPTasks[[#Headers],[ID]]))))=0,"",INDEX(tsk_ActFinish,(ROW()-ROW(MSPTasks[[#Headers],[ID]])))))</f>
        <v/>
      </c>
      <c r="O80" s="130" t="str">
        <f aca="false">IF(IFERROR(INDEX(tsk_Name,(ROW()-ROW(MSPTasks[[#Headers],[ID]])))="",TRUE()),"",INDEX(tsk_PlanStart,(ROW()-ROW(MSPTasks[[#Headers],[ID]]))))</f>
        <v/>
      </c>
      <c r="P80" s="130" t="str">
        <f aca="false">IF(IFERROR(INDEX(tsk_Name,(ROW()-ROW(MSPTasks[[#Headers],[ID]])))="",TRUE()),"",INDEX(tsk_PlanFinish,(ROW()-ROW(MSPTasks[[#Headers],[ID]]))))</f>
        <v/>
      </c>
      <c r="Q80" s="24" t="str">
        <f aca="false">IF(IFERROR(INDEX(tsk_Name,(ROW()-ROW(MSPTasks[[#Headers],[ID]])))="",TRUE()),"",IF(INDEX(tsk_BaseDuration,(ROW()-ROW(MSPTasks[[#Headers],[ID]])))="","",N(INDEX(tsk_BaseDuration,(ROW()-ROW(MSPTasks[[#Headers],[ID]]))))&amp;"d"))</f>
        <v/>
      </c>
      <c r="R80" s="24" t="str">
        <f aca="false">IF(IFERROR(INDEX(tsk_Name,(ROW()-ROW(MSPTasks[[#Headers],[ID]])))="",TRUE()),"",IF(INDEX(tsk_BaseWork,(ROW()-ROW(MSPTasks[[#Headers],[ID]])))="","",N(INDEX(tsk_BaseWork,(ROW()-ROW(MSPTasks[[#Headers],[ID]]))))&amp;"h"))</f>
        <v/>
      </c>
      <c r="S80" s="24" t="str">
        <f aca="false">IF(IFERROR(INDEX(tsk_Name,(ROW()-ROW(MSPTasks[[#Headers],[ID]])))="",TRUE()),"",IF(INDEX(tsk_BaseCost,(ROW()-ROW(MSPTasks[[#Headers],[ID]])))="","",N(INDEX(tsk_BaseCost,(ROW()-ROW(MSPTasks[[#Headers],[ID]]))))))</f>
        <v/>
      </c>
      <c r="T80" s="24" t="str">
        <f aca="false">IF(IFERROR(INDEX(tsk_Name,(ROW()-ROW(MSPTasks[[#Headers],[ID]])))="",TRUE()),"",IF(INDEX(tsk_IsSummary,(ROW()-ROW(MSPTasks[[#Headers],[ID]]))),"",IF(N(INDEX(tsk_ActCostInput,(ROW()-ROW(MSPTasks[[#Headers],[ID]]))))=0,"",INDEX(tsk_ActCostInput,(ROW()-ROW(MSPTasks[[#Headers],[ID]]))))))</f>
        <v/>
      </c>
      <c r="U80" s="24" t="str">
        <f aca="false">IF(IFERROR(INDEX(tsk_Name,(ROW()-ROW(MSPTasks[[#Headers],[ID]])))="",TRUE()),"",IF(INDEX(tsk_IsSummary,(ROW()-ROW(MSPTasks[[#Headers],[ID]]))),"",IF(AND(INDEX(tsk_Mode,(ROW()-ROW(MSPTasks[[#Headers],[ID]])))&lt;&gt;"Manual",N(INDEX(tsk_Constraint,(ROW()-ROW(MSPTasks[[#Headers],[ID]]))))&gt;0),"Start No Earlier Than","As Soon As Possible")))</f>
        <v/>
      </c>
      <c r="V80" s="130" t="str">
        <f aca="false">IF(IFERROR(INDEX(tsk_Name,(ROW()-ROW(MSPTasks[[#Headers],[ID]])))="",TRUE()),"",IF(OR(INDEX(tsk_IsSummary,(ROW()-ROW(MSPTasks[[#Headers],[ID]]))),INDEX(tsk_Mode,(ROW()-ROW(MSPTasks[[#Headers],[ID]])))="Manual"),"",IF(N(INDEX(tsk_Constraint,(ROW()-ROW(MSPTasks[[#Headers],[ID]]))))=0,"",INDEX(tsk_Constraint,(ROW()-ROW(MSPTasks[[#Headers],[ID]]))))))</f>
        <v/>
      </c>
      <c r="W80" s="130" t="str">
        <f aca="false">IF(IFERROR(INDEX(tsk_Name,(ROW()-ROW(MSPTasks[[#Headers],[ID]])))="",TRUE()),"",IF(N(INDEX(tsk_Deadline,(ROW()-ROW(MSPTasks[[#Headers],[ID]]))))=0,"",INDEX(tsk_Deadline,(ROW()-ROW(MSPTasks[[#Headers],[ID]])))))</f>
        <v/>
      </c>
      <c r="X80" s="24" t="str">
        <f aca="false">IF(IFERROR(INDEX(tsk_Name,(ROW()-ROW(MSPTasks[[#Headers],[ID]])))="",TRUE()),"",IF(INDEX(tsk_IsSummary,(ROW()-ROW(MSPTasks[[#Headers],[ID]]))),"",INDEX(tsk_Sprint,(ROW()-ROW(MSPTasks[[#Headers],[ID]])))&amp;""))</f>
        <v/>
      </c>
      <c r="Y80" s="24" t="str">
        <f aca="false">IF(IFERROR(INDEX(tsk_Name,(ROW()-ROW(MSPTasks[[#Headers],[ID]])))="",TRUE()),"",IF(INDEX(tsk_IsSummary,(ROW()-ROW(MSPTasks[[#Headers],[ID]]))),"",IF(N(INDEX(tsk_StoryPoints,(ROW()-ROW(MSPTasks[[#Headers],[ID]]))))=0,"",INDEX(tsk_StoryPoints,(ROW()-ROW(MSPTasks[[#Headers],[ID]]))))))</f>
        <v/>
      </c>
      <c r="Z80" s="24" t="str">
        <f aca="false">IF(IFERROR(INDEX(tsk_Name,(ROW()-ROW(MSPTasks[[#Headers],[ID]])))="",TRUE()),"",INDEX(tsk_Notes,(ROW()-ROW(MSPTasks[[#Headers],[ID]])))&amp;"")</f>
        <v/>
      </c>
    </row>
    <row r="81" customFormat="false" ht="15" hidden="false" customHeight="false" outlineLevel="0" collapsed="false">
      <c r="A81" s="24" t="str">
        <f aca="false">IF(IFERROR(INDEX(tsk_Name,(ROW()-ROW(MSPTasks[[#Headers],[ID]])))="",TRUE()),"",INDEX(tsk_ID,(ROW()-ROW(MSPTasks[[#Headers],[ID]]))))</f>
        <v/>
      </c>
      <c r="B81" s="24" t="str">
        <f aca="false">IF(IFERROR(INDEX(tsk_Name,(ROW()-ROW(MSPTasks[[#Headers],[ID]])))="",TRUE()),"",INDEX(tsk_UID,(ROW()-ROW(MSPTasks[[#Headers],[ID]]))))</f>
        <v/>
      </c>
      <c r="C81" s="24" t="str">
        <f aca="false">IF(IFERROR(INDEX(tsk_Name,(ROW()-ROW(MSPTasks[[#Headers],[ID]])))="",TRUE()),"",INDEX(tsk_Name,(ROW()-ROW(MSPTasks[[#Headers],[ID]]))))</f>
        <v/>
      </c>
      <c r="D81" s="24" t="str">
        <f aca="false">IF(IFERROR(INDEX(tsk_Name,(ROW()-ROW(MSPTasks[[#Headers],[ID]])))="",TRUE()),"",INDEX(tsk_Level,(ROW()-ROW(MSPTasks[[#Headers],[ID]]))))</f>
        <v/>
      </c>
      <c r="E81" s="24" t="str">
        <f aca="false">IF(IFERROR(INDEX(tsk_Name,(ROW()-ROW(MSPTasks[[#Headers],[ID]])))="",TRUE()),"",IF(INDEX(tsk_Mode,(ROW()-ROW(MSPTasks[[#Headers],[ID]])))="Manual","Manually Scheduled","Auto Scheduled"))</f>
        <v/>
      </c>
      <c r="F81" s="24" t="str">
        <f aca="false">IF(IFERROR(INDEX(tsk_Name,(ROW()-ROW(MSPTasks[[#Headers],[ID]])))="",TRUE()),"",IF(INDEX(tsk_IsSummary,(ROW()-ROW(MSPTasks[[#Headers],[ID]]))),"",N(INDEX(tsk_Duration,(ROW()-ROW(MSPTasks[[#Headers],[ID]]))))&amp;"d"))</f>
        <v/>
      </c>
      <c r="G81" s="130" t="str">
        <f aca="false">IF(IFERROR(INDEX(tsk_Name,(ROW()-ROW(MSPTasks[[#Headers],[ID]])))="",TRUE()),"",INDEX(tsk_FcStart,(ROW()-ROW(MSPTasks[[#Headers],[ID]]))))</f>
        <v/>
      </c>
      <c r="H81" s="130" t="str">
        <f aca="false">IF(IFERROR(INDEX(tsk_Name,(ROW()-ROW(MSPTasks[[#Headers],[ID]])))="",TRUE()),"",INDEX(tsk_FcFinish,(ROW()-ROW(MSPTasks[[#Headers],[ID]]))))</f>
        <v/>
      </c>
      <c r="I81" s="24" t="str">
        <f aca="false">IF(IFERROR(INDEX(tsk_Name,(ROW()-ROW(MSPTasks[[#Headers],[ID]])))="",TRUE()),"",IF(INDEX(tsk_IsSummary,(ROW()-ROW(MSPTasks[[#Headers],[ID]]))),"",INDEX(tsk_Predecessors,(ROW()-ROW(MSPTasks[[#Headers],[ID]])))))</f>
        <v/>
      </c>
      <c r="J81" s="24" t="str">
        <f aca="false">IF(IFERROR(INDEX(tsk_Name,(ROW()-ROW(MSPTasks[[#Headers],[ID]])))="",TRUE()),"",IF(INDEX(tsk_IsSummary,(ROW()-ROW(MSPTasks[[#Headers],[ID]]))),"",INDEX(tsk_UIDPredecessors,(ROW()-ROW(MSPTasks[[#Headers],[ID]])))))</f>
        <v/>
      </c>
      <c r="K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1" s="24" t="str">
        <f aca="false">IF(IFERROR(INDEX(tsk_Name,(ROW()-ROW(MSPTasks[[#Headers],[ID]])))="",TRUE()),"",IF(INDEX(tsk_IsSummary,(ROW()-ROW(MSPTasks[[#Headers],[ID]]))),"",ROUND(INDEX(tsk_Progress,(ROW()-ROW(MSPTasks[[#Headers],[ID]])))*100,0)))</f>
        <v/>
      </c>
      <c r="M81" s="130" t="str">
        <f aca="false">IF(IFERROR(INDEX(tsk_Name,(ROW()-ROW(MSPTasks[[#Headers],[ID]])))="",TRUE()),"",IF(N(INDEX(tsk_ActStart,(ROW()-ROW(MSPTasks[[#Headers],[ID]]))))=0,"",INDEX(tsk_ActStart,(ROW()-ROW(MSPTasks[[#Headers],[ID]])))))</f>
        <v/>
      </c>
      <c r="N81" s="130" t="str">
        <f aca="false">IF(IFERROR(INDEX(tsk_Name,(ROW()-ROW(MSPTasks[[#Headers],[ID]])))="",TRUE()),"",IF(N(INDEX(tsk_ActFinish,(ROW()-ROW(MSPTasks[[#Headers],[ID]]))))=0,"",INDEX(tsk_ActFinish,(ROW()-ROW(MSPTasks[[#Headers],[ID]])))))</f>
        <v/>
      </c>
      <c r="O81" s="130" t="str">
        <f aca="false">IF(IFERROR(INDEX(tsk_Name,(ROW()-ROW(MSPTasks[[#Headers],[ID]])))="",TRUE()),"",INDEX(tsk_PlanStart,(ROW()-ROW(MSPTasks[[#Headers],[ID]]))))</f>
        <v/>
      </c>
      <c r="P81" s="130" t="str">
        <f aca="false">IF(IFERROR(INDEX(tsk_Name,(ROW()-ROW(MSPTasks[[#Headers],[ID]])))="",TRUE()),"",INDEX(tsk_PlanFinish,(ROW()-ROW(MSPTasks[[#Headers],[ID]]))))</f>
        <v/>
      </c>
      <c r="Q81" s="24" t="str">
        <f aca="false">IF(IFERROR(INDEX(tsk_Name,(ROW()-ROW(MSPTasks[[#Headers],[ID]])))="",TRUE()),"",IF(INDEX(tsk_BaseDuration,(ROW()-ROW(MSPTasks[[#Headers],[ID]])))="","",N(INDEX(tsk_BaseDuration,(ROW()-ROW(MSPTasks[[#Headers],[ID]]))))&amp;"d"))</f>
        <v/>
      </c>
      <c r="R81" s="24" t="str">
        <f aca="false">IF(IFERROR(INDEX(tsk_Name,(ROW()-ROW(MSPTasks[[#Headers],[ID]])))="",TRUE()),"",IF(INDEX(tsk_BaseWork,(ROW()-ROW(MSPTasks[[#Headers],[ID]])))="","",N(INDEX(tsk_BaseWork,(ROW()-ROW(MSPTasks[[#Headers],[ID]]))))&amp;"h"))</f>
        <v/>
      </c>
      <c r="S81" s="24" t="str">
        <f aca="false">IF(IFERROR(INDEX(tsk_Name,(ROW()-ROW(MSPTasks[[#Headers],[ID]])))="",TRUE()),"",IF(INDEX(tsk_BaseCost,(ROW()-ROW(MSPTasks[[#Headers],[ID]])))="","",N(INDEX(tsk_BaseCost,(ROW()-ROW(MSPTasks[[#Headers],[ID]]))))))</f>
        <v/>
      </c>
      <c r="T81" s="24" t="str">
        <f aca="false">IF(IFERROR(INDEX(tsk_Name,(ROW()-ROW(MSPTasks[[#Headers],[ID]])))="",TRUE()),"",IF(INDEX(tsk_IsSummary,(ROW()-ROW(MSPTasks[[#Headers],[ID]]))),"",IF(N(INDEX(tsk_ActCostInput,(ROW()-ROW(MSPTasks[[#Headers],[ID]]))))=0,"",INDEX(tsk_ActCostInput,(ROW()-ROW(MSPTasks[[#Headers],[ID]]))))))</f>
        <v/>
      </c>
      <c r="U81" s="24" t="str">
        <f aca="false">IF(IFERROR(INDEX(tsk_Name,(ROW()-ROW(MSPTasks[[#Headers],[ID]])))="",TRUE()),"",IF(INDEX(tsk_IsSummary,(ROW()-ROW(MSPTasks[[#Headers],[ID]]))),"",IF(AND(INDEX(tsk_Mode,(ROW()-ROW(MSPTasks[[#Headers],[ID]])))&lt;&gt;"Manual",N(INDEX(tsk_Constraint,(ROW()-ROW(MSPTasks[[#Headers],[ID]]))))&gt;0),"Start No Earlier Than","As Soon As Possible")))</f>
        <v/>
      </c>
      <c r="V81" s="130" t="str">
        <f aca="false">IF(IFERROR(INDEX(tsk_Name,(ROW()-ROW(MSPTasks[[#Headers],[ID]])))="",TRUE()),"",IF(OR(INDEX(tsk_IsSummary,(ROW()-ROW(MSPTasks[[#Headers],[ID]]))),INDEX(tsk_Mode,(ROW()-ROW(MSPTasks[[#Headers],[ID]])))="Manual"),"",IF(N(INDEX(tsk_Constraint,(ROW()-ROW(MSPTasks[[#Headers],[ID]]))))=0,"",INDEX(tsk_Constraint,(ROW()-ROW(MSPTasks[[#Headers],[ID]]))))))</f>
        <v/>
      </c>
      <c r="W81" s="130" t="str">
        <f aca="false">IF(IFERROR(INDEX(tsk_Name,(ROW()-ROW(MSPTasks[[#Headers],[ID]])))="",TRUE()),"",IF(N(INDEX(tsk_Deadline,(ROW()-ROW(MSPTasks[[#Headers],[ID]]))))=0,"",INDEX(tsk_Deadline,(ROW()-ROW(MSPTasks[[#Headers],[ID]])))))</f>
        <v/>
      </c>
      <c r="X81" s="24" t="str">
        <f aca="false">IF(IFERROR(INDEX(tsk_Name,(ROW()-ROW(MSPTasks[[#Headers],[ID]])))="",TRUE()),"",IF(INDEX(tsk_IsSummary,(ROW()-ROW(MSPTasks[[#Headers],[ID]]))),"",INDEX(tsk_Sprint,(ROW()-ROW(MSPTasks[[#Headers],[ID]])))&amp;""))</f>
        <v/>
      </c>
      <c r="Y81" s="24" t="str">
        <f aca="false">IF(IFERROR(INDEX(tsk_Name,(ROW()-ROW(MSPTasks[[#Headers],[ID]])))="",TRUE()),"",IF(INDEX(tsk_IsSummary,(ROW()-ROW(MSPTasks[[#Headers],[ID]]))),"",IF(N(INDEX(tsk_StoryPoints,(ROW()-ROW(MSPTasks[[#Headers],[ID]]))))=0,"",INDEX(tsk_StoryPoints,(ROW()-ROW(MSPTasks[[#Headers],[ID]]))))))</f>
        <v/>
      </c>
      <c r="Z81" s="24" t="str">
        <f aca="false">IF(IFERROR(INDEX(tsk_Name,(ROW()-ROW(MSPTasks[[#Headers],[ID]])))="",TRUE()),"",INDEX(tsk_Notes,(ROW()-ROW(MSPTasks[[#Headers],[ID]])))&amp;"")</f>
        <v/>
      </c>
    </row>
    <row r="82" customFormat="false" ht="15" hidden="false" customHeight="false" outlineLevel="0" collapsed="false">
      <c r="A82" s="24" t="str">
        <f aca="false">IF(IFERROR(INDEX(tsk_Name,(ROW()-ROW(MSPTasks[[#Headers],[ID]])))="",TRUE()),"",INDEX(tsk_ID,(ROW()-ROW(MSPTasks[[#Headers],[ID]]))))</f>
        <v/>
      </c>
      <c r="B82" s="24" t="str">
        <f aca="false">IF(IFERROR(INDEX(tsk_Name,(ROW()-ROW(MSPTasks[[#Headers],[ID]])))="",TRUE()),"",INDEX(tsk_UID,(ROW()-ROW(MSPTasks[[#Headers],[ID]]))))</f>
        <v/>
      </c>
      <c r="C82" s="24" t="str">
        <f aca="false">IF(IFERROR(INDEX(tsk_Name,(ROW()-ROW(MSPTasks[[#Headers],[ID]])))="",TRUE()),"",INDEX(tsk_Name,(ROW()-ROW(MSPTasks[[#Headers],[ID]]))))</f>
        <v/>
      </c>
      <c r="D82" s="24" t="str">
        <f aca="false">IF(IFERROR(INDEX(tsk_Name,(ROW()-ROW(MSPTasks[[#Headers],[ID]])))="",TRUE()),"",INDEX(tsk_Level,(ROW()-ROW(MSPTasks[[#Headers],[ID]]))))</f>
        <v/>
      </c>
      <c r="E82" s="24" t="str">
        <f aca="false">IF(IFERROR(INDEX(tsk_Name,(ROW()-ROW(MSPTasks[[#Headers],[ID]])))="",TRUE()),"",IF(INDEX(tsk_Mode,(ROW()-ROW(MSPTasks[[#Headers],[ID]])))="Manual","Manually Scheduled","Auto Scheduled"))</f>
        <v/>
      </c>
      <c r="F82" s="24" t="str">
        <f aca="false">IF(IFERROR(INDEX(tsk_Name,(ROW()-ROW(MSPTasks[[#Headers],[ID]])))="",TRUE()),"",IF(INDEX(tsk_IsSummary,(ROW()-ROW(MSPTasks[[#Headers],[ID]]))),"",N(INDEX(tsk_Duration,(ROW()-ROW(MSPTasks[[#Headers],[ID]]))))&amp;"d"))</f>
        <v/>
      </c>
      <c r="G82" s="130" t="str">
        <f aca="false">IF(IFERROR(INDEX(tsk_Name,(ROW()-ROW(MSPTasks[[#Headers],[ID]])))="",TRUE()),"",INDEX(tsk_FcStart,(ROW()-ROW(MSPTasks[[#Headers],[ID]]))))</f>
        <v/>
      </c>
      <c r="H82" s="130" t="str">
        <f aca="false">IF(IFERROR(INDEX(tsk_Name,(ROW()-ROW(MSPTasks[[#Headers],[ID]])))="",TRUE()),"",INDEX(tsk_FcFinish,(ROW()-ROW(MSPTasks[[#Headers],[ID]]))))</f>
        <v/>
      </c>
      <c r="I82" s="24" t="str">
        <f aca="false">IF(IFERROR(INDEX(tsk_Name,(ROW()-ROW(MSPTasks[[#Headers],[ID]])))="",TRUE()),"",IF(INDEX(tsk_IsSummary,(ROW()-ROW(MSPTasks[[#Headers],[ID]]))),"",INDEX(tsk_Predecessors,(ROW()-ROW(MSPTasks[[#Headers],[ID]])))))</f>
        <v/>
      </c>
      <c r="J82" s="24" t="str">
        <f aca="false">IF(IFERROR(INDEX(tsk_Name,(ROW()-ROW(MSPTasks[[#Headers],[ID]])))="",TRUE()),"",IF(INDEX(tsk_IsSummary,(ROW()-ROW(MSPTasks[[#Headers],[ID]]))),"",INDEX(tsk_UIDPredecessors,(ROW()-ROW(MSPTasks[[#Headers],[ID]])))))</f>
        <v/>
      </c>
      <c r="K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2" s="24" t="str">
        <f aca="false">IF(IFERROR(INDEX(tsk_Name,(ROW()-ROW(MSPTasks[[#Headers],[ID]])))="",TRUE()),"",IF(INDEX(tsk_IsSummary,(ROW()-ROW(MSPTasks[[#Headers],[ID]]))),"",ROUND(INDEX(tsk_Progress,(ROW()-ROW(MSPTasks[[#Headers],[ID]])))*100,0)))</f>
        <v/>
      </c>
      <c r="M82" s="130" t="str">
        <f aca="false">IF(IFERROR(INDEX(tsk_Name,(ROW()-ROW(MSPTasks[[#Headers],[ID]])))="",TRUE()),"",IF(N(INDEX(tsk_ActStart,(ROW()-ROW(MSPTasks[[#Headers],[ID]]))))=0,"",INDEX(tsk_ActStart,(ROW()-ROW(MSPTasks[[#Headers],[ID]])))))</f>
        <v/>
      </c>
      <c r="N82" s="130" t="str">
        <f aca="false">IF(IFERROR(INDEX(tsk_Name,(ROW()-ROW(MSPTasks[[#Headers],[ID]])))="",TRUE()),"",IF(N(INDEX(tsk_ActFinish,(ROW()-ROW(MSPTasks[[#Headers],[ID]]))))=0,"",INDEX(tsk_ActFinish,(ROW()-ROW(MSPTasks[[#Headers],[ID]])))))</f>
        <v/>
      </c>
      <c r="O82" s="130" t="str">
        <f aca="false">IF(IFERROR(INDEX(tsk_Name,(ROW()-ROW(MSPTasks[[#Headers],[ID]])))="",TRUE()),"",INDEX(tsk_PlanStart,(ROW()-ROW(MSPTasks[[#Headers],[ID]]))))</f>
        <v/>
      </c>
      <c r="P82" s="130" t="str">
        <f aca="false">IF(IFERROR(INDEX(tsk_Name,(ROW()-ROW(MSPTasks[[#Headers],[ID]])))="",TRUE()),"",INDEX(tsk_PlanFinish,(ROW()-ROW(MSPTasks[[#Headers],[ID]]))))</f>
        <v/>
      </c>
      <c r="Q82" s="24" t="str">
        <f aca="false">IF(IFERROR(INDEX(tsk_Name,(ROW()-ROW(MSPTasks[[#Headers],[ID]])))="",TRUE()),"",IF(INDEX(tsk_BaseDuration,(ROW()-ROW(MSPTasks[[#Headers],[ID]])))="","",N(INDEX(tsk_BaseDuration,(ROW()-ROW(MSPTasks[[#Headers],[ID]]))))&amp;"d"))</f>
        <v/>
      </c>
      <c r="R82" s="24" t="str">
        <f aca="false">IF(IFERROR(INDEX(tsk_Name,(ROW()-ROW(MSPTasks[[#Headers],[ID]])))="",TRUE()),"",IF(INDEX(tsk_BaseWork,(ROW()-ROW(MSPTasks[[#Headers],[ID]])))="","",N(INDEX(tsk_BaseWork,(ROW()-ROW(MSPTasks[[#Headers],[ID]]))))&amp;"h"))</f>
        <v/>
      </c>
      <c r="S82" s="24" t="str">
        <f aca="false">IF(IFERROR(INDEX(tsk_Name,(ROW()-ROW(MSPTasks[[#Headers],[ID]])))="",TRUE()),"",IF(INDEX(tsk_BaseCost,(ROW()-ROW(MSPTasks[[#Headers],[ID]])))="","",N(INDEX(tsk_BaseCost,(ROW()-ROW(MSPTasks[[#Headers],[ID]]))))))</f>
        <v/>
      </c>
      <c r="T82" s="24" t="str">
        <f aca="false">IF(IFERROR(INDEX(tsk_Name,(ROW()-ROW(MSPTasks[[#Headers],[ID]])))="",TRUE()),"",IF(INDEX(tsk_IsSummary,(ROW()-ROW(MSPTasks[[#Headers],[ID]]))),"",IF(N(INDEX(tsk_ActCostInput,(ROW()-ROW(MSPTasks[[#Headers],[ID]]))))=0,"",INDEX(tsk_ActCostInput,(ROW()-ROW(MSPTasks[[#Headers],[ID]]))))))</f>
        <v/>
      </c>
      <c r="U82" s="24" t="str">
        <f aca="false">IF(IFERROR(INDEX(tsk_Name,(ROW()-ROW(MSPTasks[[#Headers],[ID]])))="",TRUE()),"",IF(INDEX(tsk_IsSummary,(ROW()-ROW(MSPTasks[[#Headers],[ID]]))),"",IF(AND(INDEX(tsk_Mode,(ROW()-ROW(MSPTasks[[#Headers],[ID]])))&lt;&gt;"Manual",N(INDEX(tsk_Constraint,(ROW()-ROW(MSPTasks[[#Headers],[ID]]))))&gt;0),"Start No Earlier Than","As Soon As Possible")))</f>
        <v/>
      </c>
      <c r="V82" s="130" t="str">
        <f aca="false">IF(IFERROR(INDEX(tsk_Name,(ROW()-ROW(MSPTasks[[#Headers],[ID]])))="",TRUE()),"",IF(OR(INDEX(tsk_IsSummary,(ROW()-ROW(MSPTasks[[#Headers],[ID]]))),INDEX(tsk_Mode,(ROW()-ROW(MSPTasks[[#Headers],[ID]])))="Manual"),"",IF(N(INDEX(tsk_Constraint,(ROW()-ROW(MSPTasks[[#Headers],[ID]]))))=0,"",INDEX(tsk_Constraint,(ROW()-ROW(MSPTasks[[#Headers],[ID]]))))))</f>
        <v/>
      </c>
      <c r="W82" s="130" t="str">
        <f aca="false">IF(IFERROR(INDEX(tsk_Name,(ROW()-ROW(MSPTasks[[#Headers],[ID]])))="",TRUE()),"",IF(N(INDEX(tsk_Deadline,(ROW()-ROW(MSPTasks[[#Headers],[ID]]))))=0,"",INDEX(tsk_Deadline,(ROW()-ROW(MSPTasks[[#Headers],[ID]])))))</f>
        <v/>
      </c>
      <c r="X82" s="24" t="str">
        <f aca="false">IF(IFERROR(INDEX(tsk_Name,(ROW()-ROW(MSPTasks[[#Headers],[ID]])))="",TRUE()),"",IF(INDEX(tsk_IsSummary,(ROW()-ROW(MSPTasks[[#Headers],[ID]]))),"",INDEX(tsk_Sprint,(ROW()-ROW(MSPTasks[[#Headers],[ID]])))&amp;""))</f>
        <v/>
      </c>
      <c r="Y82" s="24" t="str">
        <f aca="false">IF(IFERROR(INDEX(tsk_Name,(ROW()-ROW(MSPTasks[[#Headers],[ID]])))="",TRUE()),"",IF(INDEX(tsk_IsSummary,(ROW()-ROW(MSPTasks[[#Headers],[ID]]))),"",IF(N(INDEX(tsk_StoryPoints,(ROW()-ROW(MSPTasks[[#Headers],[ID]]))))=0,"",INDEX(tsk_StoryPoints,(ROW()-ROW(MSPTasks[[#Headers],[ID]]))))))</f>
        <v/>
      </c>
      <c r="Z82" s="24" t="str">
        <f aca="false">IF(IFERROR(INDEX(tsk_Name,(ROW()-ROW(MSPTasks[[#Headers],[ID]])))="",TRUE()),"",INDEX(tsk_Notes,(ROW()-ROW(MSPTasks[[#Headers],[ID]])))&amp;"")</f>
        <v/>
      </c>
    </row>
    <row r="83" customFormat="false" ht="15" hidden="false" customHeight="false" outlineLevel="0" collapsed="false">
      <c r="A83" s="24" t="str">
        <f aca="false">IF(IFERROR(INDEX(tsk_Name,(ROW()-ROW(MSPTasks[[#Headers],[ID]])))="",TRUE()),"",INDEX(tsk_ID,(ROW()-ROW(MSPTasks[[#Headers],[ID]]))))</f>
        <v/>
      </c>
      <c r="B83" s="24" t="str">
        <f aca="false">IF(IFERROR(INDEX(tsk_Name,(ROW()-ROW(MSPTasks[[#Headers],[ID]])))="",TRUE()),"",INDEX(tsk_UID,(ROW()-ROW(MSPTasks[[#Headers],[ID]]))))</f>
        <v/>
      </c>
      <c r="C83" s="24" t="str">
        <f aca="false">IF(IFERROR(INDEX(tsk_Name,(ROW()-ROW(MSPTasks[[#Headers],[ID]])))="",TRUE()),"",INDEX(tsk_Name,(ROW()-ROW(MSPTasks[[#Headers],[ID]]))))</f>
        <v/>
      </c>
      <c r="D83" s="24" t="str">
        <f aca="false">IF(IFERROR(INDEX(tsk_Name,(ROW()-ROW(MSPTasks[[#Headers],[ID]])))="",TRUE()),"",INDEX(tsk_Level,(ROW()-ROW(MSPTasks[[#Headers],[ID]]))))</f>
        <v/>
      </c>
      <c r="E83" s="24" t="str">
        <f aca="false">IF(IFERROR(INDEX(tsk_Name,(ROW()-ROW(MSPTasks[[#Headers],[ID]])))="",TRUE()),"",IF(INDEX(tsk_Mode,(ROW()-ROW(MSPTasks[[#Headers],[ID]])))="Manual","Manually Scheduled","Auto Scheduled"))</f>
        <v/>
      </c>
      <c r="F83" s="24" t="str">
        <f aca="false">IF(IFERROR(INDEX(tsk_Name,(ROW()-ROW(MSPTasks[[#Headers],[ID]])))="",TRUE()),"",IF(INDEX(tsk_IsSummary,(ROW()-ROW(MSPTasks[[#Headers],[ID]]))),"",N(INDEX(tsk_Duration,(ROW()-ROW(MSPTasks[[#Headers],[ID]]))))&amp;"d"))</f>
        <v/>
      </c>
      <c r="G83" s="130" t="str">
        <f aca="false">IF(IFERROR(INDEX(tsk_Name,(ROW()-ROW(MSPTasks[[#Headers],[ID]])))="",TRUE()),"",INDEX(tsk_FcStart,(ROW()-ROW(MSPTasks[[#Headers],[ID]]))))</f>
        <v/>
      </c>
      <c r="H83" s="130" t="str">
        <f aca="false">IF(IFERROR(INDEX(tsk_Name,(ROW()-ROW(MSPTasks[[#Headers],[ID]])))="",TRUE()),"",INDEX(tsk_FcFinish,(ROW()-ROW(MSPTasks[[#Headers],[ID]]))))</f>
        <v/>
      </c>
      <c r="I83" s="24" t="str">
        <f aca="false">IF(IFERROR(INDEX(tsk_Name,(ROW()-ROW(MSPTasks[[#Headers],[ID]])))="",TRUE()),"",IF(INDEX(tsk_IsSummary,(ROW()-ROW(MSPTasks[[#Headers],[ID]]))),"",INDEX(tsk_Predecessors,(ROW()-ROW(MSPTasks[[#Headers],[ID]])))))</f>
        <v/>
      </c>
      <c r="J83" s="24" t="str">
        <f aca="false">IF(IFERROR(INDEX(tsk_Name,(ROW()-ROW(MSPTasks[[#Headers],[ID]])))="",TRUE()),"",IF(INDEX(tsk_IsSummary,(ROW()-ROW(MSPTasks[[#Headers],[ID]]))),"",INDEX(tsk_UIDPredecessors,(ROW()-ROW(MSPTasks[[#Headers],[ID]])))))</f>
        <v/>
      </c>
      <c r="K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3" s="24" t="str">
        <f aca="false">IF(IFERROR(INDEX(tsk_Name,(ROW()-ROW(MSPTasks[[#Headers],[ID]])))="",TRUE()),"",IF(INDEX(tsk_IsSummary,(ROW()-ROW(MSPTasks[[#Headers],[ID]]))),"",ROUND(INDEX(tsk_Progress,(ROW()-ROW(MSPTasks[[#Headers],[ID]])))*100,0)))</f>
        <v/>
      </c>
      <c r="M83" s="130" t="str">
        <f aca="false">IF(IFERROR(INDEX(tsk_Name,(ROW()-ROW(MSPTasks[[#Headers],[ID]])))="",TRUE()),"",IF(N(INDEX(tsk_ActStart,(ROW()-ROW(MSPTasks[[#Headers],[ID]]))))=0,"",INDEX(tsk_ActStart,(ROW()-ROW(MSPTasks[[#Headers],[ID]])))))</f>
        <v/>
      </c>
      <c r="N83" s="130" t="str">
        <f aca="false">IF(IFERROR(INDEX(tsk_Name,(ROW()-ROW(MSPTasks[[#Headers],[ID]])))="",TRUE()),"",IF(N(INDEX(tsk_ActFinish,(ROW()-ROW(MSPTasks[[#Headers],[ID]]))))=0,"",INDEX(tsk_ActFinish,(ROW()-ROW(MSPTasks[[#Headers],[ID]])))))</f>
        <v/>
      </c>
      <c r="O83" s="130" t="str">
        <f aca="false">IF(IFERROR(INDEX(tsk_Name,(ROW()-ROW(MSPTasks[[#Headers],[ID]])))="",TRUE()),"",INDEX(tsk_PlanStart,(ROW()-ROW(MSPTasks[[#Headers],[ID]]))))</f>
        <v/>
      </c>
      <c r="P83" s="130" t="str">
        <f aca="false">IF(IFERROR(INDEX(tsk_Name,(ROW()-ROW(MSPTasks[[#Headers],[ID]])))="",TRUE()),"",INDEX(tsk_PlanFinish,(ROW()-ROW(MSPTasks[[#Headers],[ID]]))))</f>
        <v/>
      </c>
      <c r="Q83" s="24" t="str">
        <f aca="false">IF(IFERROR(INDEX(tsk_Name,(ROW()-ROW(MSPTasks[[#Headers],[ID]])))="",TRUE()),"",IF(INDEX(tsk_BaseDuration,(ROW()-ROW(MSPTasks[[#Headers],[ID]])))="","",N(INDEX(tsk_BaseDuration,(ROW()-ROW(MSPTasks[[#Headers],[ID]]))))&amp;"d"))</f>
        <v/>
      </c>
      <c r="R83" s="24" t="str">
        <f aca="false">IF(IFERROR(INDEX(tsk_Name,(ROW()-ROW(MSPTasks[[#Headers],[ID]])))="",TRUE()),"",IF(INDEX(tsk_BaseWork,(ROW()-ROW(MSPTasks[[#Headers],[ID]])))="","",N(INDEX(tsk_BaseWork,(ROW()-ROW(MSPTasks[[#Headers],[ID]]))))&amp;"h"))</f>
        <v/>
      </c>
      <c r="S83" s="24" t="str">
        <f aca="false">IF(IFERROR(INDEX(tsk_Name,(ROW()-ROW(MSPTasks[[#Headers],[ID]])))="",TRUE()),"",IF(INDEX(tsk_BaseCost,(ROW()-ROW(MSPTasks[[#Headers],[ID]])))="","",N(INDEX(tsk_BaseCost,(ROW()-ROW(MSPTasks[[#Headers],[ID]]))))))</f>
        <v/>
      </c>
      <c r="T83" s="24" t="str">
        <f aca="false">IF(IFERROR(INDEX(tsk_Name,(ROW()-ROW(MSPTasks[[#Headers],[ID]])))="",TRUE()),"",IF(INDEX(tsk_IsSummary,(ROW()-ROW(MSPTasks[[#Headers],[ID]]))),"",IF(N(INDEX(tsk_ActCostInput,(ROW()-ROW(MSPTasks[[#Headers],[ID]]))))=0,"",INDEX(tsk_ActCostInput,(ROW()-ROW(MSPTasks[[#Headers],[ID]]))))))</f>
        <v/>
      </c>
      <c r="U83" s="24" t="str">
        <f aca="false">IF(IFERROR(INDEX(tsk_Name,(ROW()-ROW(MSPTasks[[#Headers],[ID]])))="",TRUE()),"",IF(INDEX(tsk_IsSummary,(ROW()-ROW(MSPTasks[[#Headers],[ID]]))),"",IF(AND(INDEX(tsk_Mode,(ROW()-ROW(MSPTasks[[#Headers],[ID]])))&lt;&gt;"Manual",N(INDEX(tsk_Constraint,(ROW()-ROW(MSPTasks[[#Headers],[ID]]))))&gt;0),"Start No Earlier Than","As Soon As Possible")))</f>
        <v/>
      </c>
      <c r="V83" s="130" t="str">
        <f aca="false">IF(IFERROR(INDEX(tsk_Name,(ROW()-ROW(MSPTasks[[#Headers],[ID]])))="",TRUE()),"",IF(OR(INDEX(tsk_IsSummary,(ROW()-ROW(MSPTasks[[#Headers],[ID]]))),INDEX(tsk_Mode,(ROW()-ROW(MSPTasks[[#Headers],[ID]])))="Manual"),"",IF(N(INDEX(tsk_Constraint,(ROW()-ROW(MSPTasks[[#Headers],[ID]]))))=0,"",INDEX(tsk_Constraint,(ROW()-ROW(MSPTasks[[#Headers],[ID]]))))))</f>
        <v/>
      </c>
      <c r="W83" s="130" t="str">
        <f aca="false">IF(IFERROR(INDEX(tsk_Name,(ROW()-ROW(MSPTasks[[#Headers],[ID]])))="",TRUE()),"",IF(N(INDEX(tsk_Deadline,(ROW()-ROW(MSPTasks[[#Headers],[ID]]))))=0,"",INDEX(tsk_Deadline,(ROW()-ROW(MSPTasks[[#Headers],[ID]])))))</f>
        <v/>
      </c>
      <c r="X83" s="24" t="str">
        <f aca="false">IF(IFERROR(INDEX(tsk_Name,(ROW()-ROW(MSPTasks[[#Headers],[ID]])))="",TRUE()),"",IF(INDEX(tsk_IsSummary,(ROW()-ROW(MSPTasks[[#Headers],[ID]]))),"",INDEX(tsk_Sprint,(ROW()-ROW(MSPTasks[[#Headers],[ID]])))&amp;""))</f>
        <v/>
      </c>
      <c r="Y83" s="24" t="str">
        <f aca="false">IF(IFERROR(INDEX(tsk_Name,(ROW()-ROW(MSPTasks[[#Headers],[ID]])))="",TRUE()),"",IF(INDEX(tsk_IsSummary,(ROW()-ROW(MSPTasks[[#Headers],[ID]]))),"",IF(N(INDEX(tsk_StoryPoints,(ROW()-ROW(MSPTasks[[#Headers],[ID]]))))=0,"",INDEX(tsk_StoryPoints,(ROW()-ROW(MSPTasks[[#Headers],[ID]]))))))</f>
        <v/>
      </c>
      <c r="Z83" s="24" t="str">
        <f aca="false">IF(IFERROR(INDEX(tsk_Name,(ROW()-ROW(MSPTasks[[#Headers],[ID]])))="",TRUE()),"",INDEX(tsk_Notes,(ROW()-ROW(MSPTasks[[#Headers],[ID]])))&amp;"")</f>
        <v/>
      </c>
    </row>
    <row r="84" customFormat="false" ht="15" hidden="false" customHeight="false" outlineLevel="0" collapsed="false">
      <c r="A84" s="24" t="str">
        <f aca="false">IF(IFERROR(INDEX(tsk_Name,(ROW()-ROW(MSPTasks[[#Headers],[ID]])))="",TRUE()),"",INDEX(tsk_ID,(ROW()-ROW(MSPTasks[[#Headers],[ID]]))))</f>
        <v/>
      </c>
      <c r="B84" s="24" t="str">
        <f aca="false">IF(IFERROR(INDEX(tsk_Name,(ROW()-ROW(MSPTasks[[#Headers],[ID]])))="",TRUE()),"",INDEX(tsk_UID,(ROW()-ROW(MSPTasks[[#Headers],[ID]]))))</f>
        <v/>
      </c>
      <c r="C84" s="24" t="str">
        <f aca="false">IF(IFERROR(INDEX(tsk_Name,(ROW()-ROW(MSPTasks[[#Headers],[ID]])))="",TRUE()),"",INDEX(tsk_Name,(ROW()-ROW(MSPTasks[[#Headers],[ID]]))))</f>
        <v/>
      </c>
      <c r="D84" s="24" t="str">
        <f aca="false">IF(IFERROR(INDEX(tsk_Name,(ROW()-ROW(MSPTasks[[#Headers],[ID]])))="",TRUE()),"",INDEX(tsk_Level,(ROW()-ROW(MSPTasks[[#Headers],[ID]]))))</f>
        <v/>
      </c>
      <c r="E84" s="24" t="str">
        <f aca="false">IF(IFERROR(INDEX(tsk_Name,(ROW()-ROW(MSPTasks[[#Headers],[ID]])))="",TRUE()),"",IF(INDEX(tsk_Mode,(ROW()-ROW(MSPTasks[[#Headers],[ID]])))="Manual","Manually Scheduled","Auto Scheduled"))</f>
        <v/>
      </c>
      <c r="F84" s="24" t="str">
        <f aca="false">IF(IFERROR(INDEX(tsk_Name,(ROW()-ROW(MSPTasks[[#Headers],[ID]])))="",TRUE()),"",IF(INDEX(tsk_IsSummary,(ROW()-ROW(MSPTasks[[#Headers],[ID]]))),"",N(INDEX(tsk_Duration,(ROW()-ROW(MSPTasks[[#Headers],[ID]]))))&amp;"d"))</f>
        <v/>
      </c>
      <c r="G84" s="130" t="str">
        <f aca="false">IF(IFERROR(INDEX(tsk_Name,(ROW()-ROW(MSPTasks[[#Headers],[ID]])))="",TRUE()),"",INDEX(tsk_FcStart,(ROW()-ROW(MSPTasks[[#Headers],[ID]]))))</f>
        <v/>
      </c>
      <c r="H84" s="130" t="str">
        <f aca="false">IF(IFERROR(INDEX(tsk_Name,(ROW()-ROW(MSPTasks[[#Headers],[ID]])))="",TRUE()),"",INDEX(tsk_FcFinish,(ROW()-ROW(MSPTasks[[#Headers],[ID]]))))</f>
        <v/>
      </c>
      <c r="I84" s="24" t="str">
        <f aca="false">IF(IFERROR(INDEX(tsk_Name,(ROW()-ROW(MSPTasks[[#Headers],[ID]])))="",TRUE()),"",IF(INDEX(tsk_IsSummary,(ROW()-ROW(MSPTasks[[#Headers],[ID]]))),"",INDEX(tsk_Predecessors,(ROW()-ROW(MSPTasks[[#Headers],[ID]])))))</f>
        <v/>
      </c>
      <c r="J84" s="24" t="str">
        <f aca="false">IF(IFERROR(INDEX(tsk_Name,(ROW()-ROW(MSPTasks[[#Headers],[ID]])))="",TRUE()),"",IF(INDEX(tsk_IsSummary,(ROW()-ROW(MSPTasks[[#Headers],[ID]]))),"",INDEX(tsk_UIDPredecessors,(ROW()-ROW(MSPTasks[[#Headers],[ID]])))))</f>
        <v/>
      </c>
      <c r="K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4" s="24" t="str">
        <f aca="false">IF(IFERROR(INDEX(tsk_Name,(ROW()-ROW(MSPTasks[[#Headers],[ID]])))="",TRUE()),"",IF(INDEX(tsk_IsSummary,(ROW()-ROW(MSPTasks[[#Headers],[ID]]))),"",ROUND(INDEX(tsk_Progress,(ROW()-ROW(MSPTasks[[#Headers],[ID]])))*100,0)))</f>
        <v/>
      </c>
      <c r="M84" s="130" t="str">
        <f aca="false">IF(IFERROR(INDEX(tsk_Name,(ROW()-ROW(MSPTasks[[#Headers],[ID]])))="",TRUE()),"",IF(N(INDEX(tsk_ActStart,(ROW()-ROW(MSPTasks[[#Headers],[ID]]))))=0,"",INDEX(tsk_ActStart,(ROW()-ROW(MSPTasks[[#Headers],[ID]])))))</f>
        <v/>
      </c>
      <c r="N84" s="130" t="str">
        <f aca="false">IF(IFERROR(INDEX(tsk_Name,(ROW()-ROW(MSPTasks[[#Headers],[ID]])))="",TRUE()),"",IF(N(INDEX(tsk_ActFinish,(ROW()-ROW(MSPTasks[[#Headers],[ID]]))))=0,"",INDEX(tsk_ActFinish,(ROW()-ROW(MSPTasks[[#Headers],[ID]])))))</f>
        <v/>
      </c>
      <c r="O84" s="130" t="str">
        <f aca="false">IF(IFERROR(INDEX(tsk_Name,(ROW()-ROW(MSPTasks[[#Headers],[ID]])))="",TRUE()),"",INDEX(tsk_PlanStart,(ROW()-ROW(MSPTasks[[#Headers],[ID]]))))</f>
        <v/>
      </c>
      <c r="P84" s="130" t="str">
        <f aca="false">IF(IFERROR(INDEX(tsk_Name,(ROW()-ROW(MSPTasks[[#Headers],[ID]])))="",TRUE()),"",INDEX(tsk_PlanFinish,(ROW()-ROW(MSPTasks[[#Headers],[ID]]))))</f>
        <v/>
      </c>
      <c r="Q84" s="24" t="str">
        <f aca="false">IF(IFERROR(INDEX(tsk_Name,(ROW()-ROW(MSPTasks[[#Headers],[ID]])))="",TRUE()),"",IF(INDEX(tsk_BaseDuration,(ROW()-ROW(MSPTasks[[#Headers],[ID]])))="","",N(INDEX(tsk_BaseDuration,(ROW()-ROW(MSPTasks[[#Headers],[ID]]))))&amp;"d"))</f>
        <v/>
      </c>
      <c r="R84" s="24" t="str">
        <f aca="false">IF(IFERROR(INDEX(tsk_Name,(ROW()-ROW(MSPTasks[[#Headers],[ID]])))="",TRUE()),"",IF(INDEX(tsk_BaseWork,(ROW()-ROW(MSPTasks[[#Headers],[ID]])))="","",N(INDEX(tsk_BaseWork,(ROW()-ROW(MSPTasks[[#Headers],[ID]]))))&amp;"h"))</f>
        <v/>
      </c>
      <c r="S84" s="24" t="str">
        <f aca="false">IF(IFERROR(INDEX(tsk_Name,(ROW()-ROW(MSPTasks[[#Headers],[ID]])))="",TRUE()),"",IF(INDEX(tsk_BaseCost,(ROW()-ROW(MSPTasks[[#Headers],[ID]])))="","",N(INDEX(tsk_BaseCost,(ROW()-ROW(MSPTasks[[#Headers],[ID]]))))))</f>
        <v/>
      </c>
      <c r="T84" s="24" t="str">
        <f aca="false">IF(IFERROR(INDEX(tsk_Name,(ROW()-ROW(MSPTasks[[#Headers],[ID]])))="",TRUE()),"",IF(INDEX(tsk_IsSummary,(ROW()-ROW(MSPTasks[[#Headers],[ID]]))),"",IF(N(INDEX(tsk_ActCostInput,(ROW()-ROW(MSPTasks[[#Headers],[ID]]))))=0,"",INDEX(tsk_ActCostInput,(ROW()-ROW(MSPTasks[[#Headers],[ID]]))))))</f>
        <v/>
      </c>
      <c r="U84" s="24" t="str">
        <f aca="false">IF(IFERROR(INDEX(tsk_Name,(ROW()-ROW(MSPTasks[[#Headers],[ID]])))="",TRUE()),"",IF(INDEX(tsk_IsSummary,(ROW()-ROW(MSPTasks[[#Headers],[ID]]))),"",IF(AND(INDEX(tsk_Mode,(ROW()-ROW(MSPTasks[[#Headers],[ID]])))&lt;&gt;"Manual",N(INDEX(tsk_Constraint,(ROW()-ROW(MSPTasks[[#Headers],[ID]]))))&gt;0),"Start No Earlier Than","As Soon As Possible")))</f>
        <v/>
      </c>
      <c r="V84" s="130" t="str">
        <f aca="false">IF(IFERROR(INDEX(tsk_Name,(ROW()-ROW(MSPTasks[[#Headers],[ID]])))="",TRUE()),"",IF(OR(INDEX(tsk_IsSummary,(ROW()-ROW(MSPTasks[[#Headers],[ID]]))),INDEX(tsk_Mode,(ROW()-ROW(MSPTasks[[#Headers],[ID]])))="Manual"),"",IF(N(INDEX(tsk_Constraint,(ROW()-ROW(MSPTasks[[#Headers],[ID]]))))=0,"",INDEX(tsk_Constraint,(ROW()-ROW(MSPTasks[[#Headers],[ID]]))))))</f>
        <v/>
      </c>
      <c r="W84" s="130" t="str">
        <f aca="false">IF(IFERROR(INDEX(tsk_Name,(ROW()-ROW(MSPTasks[[#Headers],[ID]])))="",TRUE()),"",IF(N(INDEX(tsk_Deadline,(ROW()-ROW(MSPTasks[[#Headers],[ID]]))))=0,"",INDEX(tsk_Deadline,(ROW()-ROW(MSPTasks[[#Headers],[ID]])))))</f>
        <v/>
      </c>
      <c r="X84" s="24" t="str">
        <f aca="false">IF(IFERROR(INDEX(tsk_Name,(ROW()-ROW(MSPTasks[[#Headers],[ID]])))="",TRUE()),"",IF(INDEX(tsk_IsSummary,(ROW()-ROW(MSPTasks[[#Headers],[ID]]))),"",INDEX(tsk_Sprint,(ROW()-ROW(MSPTasks[[#Headers],[ID]])))&amp;""))</f>
        <v/>
      </c>
      <c r="Y84" s="24" t="str">
        <f aca="false">IF(IFERROR(INDEX(tsk_Name,(ROW()-ROW(MSPTasks[[#Headers],[ID]])))="",TRUE()),"",IF(INDEX(tsk_IsSummary,(ROW()-ROW(MSPTasks[[#Headers],[ID]]))),"",IF(N(INDEX(tsk_StoryPoints,(ROW()-ROW(MSPTasks[[#Headers],[ID]]))))=0,"",INDEX(tsk_StoryPoints,(ROW()-ROW(MSPTasks[[#Headers],[ID]]))))))</f>
        <v/>
      </c>
      <c r="Z84" s="24" t="str">
        <f aca="false">IF(IFERROR(INDEX(tsk_Name,(ROW()-ROW(MSPTasks[[#Headers],[ID]])))="",TRUE()),"",INDEX(tsk_Notes,(ROW()-ROW(MSPTasks[[#Headers],[ID]])))&amp;"")</f>
        <v/>
      </c>
    </row>
    <row r="85" customFormat="false" ht="15" hidden="false" customHeight="false" outlineLevel="0" collapsed="false">
      <c r="A85" s="24" t="str">
        <f aca="false">IF(IFERROR(INDEX(tsk_Name,(ROW()-ROW(MSPTasks[[#Headers],[ID]])))="",TRUE()),"",INDEX(tsk_ID,(ROW()-ROW(MSPTasks[[#Headers],[ID]]))))</f>
        <v/>
      </c>
      <c r="B85" s="24" t="str">
        <f aca="false">IF(IFERROR(INDEX(tsk_Name,(ROW()-ROW(MSPTasks[[#Headers],[ID]])))="",TRUE()),"",INDEX(tsk_UID,(ROW()-ROW(MSPTasks[[#Headers],[ID]]))))</f>
        <v/>
      </c>
      <c r="C85" s="24" t="str">
        <f aca="false">IF(IFERROR(INDEX(tsk_Name,(ROW()-ROW(MSPTasks[[#Headers],[ID]])))="",TRUE()),"",INDEX(tsk_Name,(ROW()-ROW(MSPTasks[[#Headers],[ID]]))))</f>
        <v/>
      </c>
      <c r="D85" s="24" t="str">
        <f aca="false">IF(IFERROR(INDEX(tsk_Name,(ROW()-ROW(MSPTasks[[#Headers],[ID]])))="",TRUE()),"",INDEX(tsk_Level,(ROW()-ROW(MSPTasks[[#Headers],[ID]]))))</f>
        <v/>
      </c>
      <c r="E85" s="24" t="str">
        <f aca="false">IF(IFERROR(INDEX(tsk_Name,(ROW()-ROW(MSPTasks[[#Headers],[ID]])))="",TRUE()),"",IF(INDEX(tsk_Mode,(ROW()-ROW(MSPTasks[[#Headers],[ID]])))="Manual","Manually Scheduled","Auto Scheduled"))</f>
        <v/>
      </c>
      <c r="F85" s="24" t="str">
        <f aca="false">IF(IFERROR(INDEX(tsk_Name,(ROW()-ROW(MSPTasks[[#Headers],[ID]])))="",TRUE()),"",IF(INDEX(tsk_IsSummary,(ROW()-ROW(MSPTasks[[#Headers],[ID]]))),"",N(INDEX(tsk_Duration,(ROW()-ROW(MSPTasks[[#Headers],[ID]]))))&amp;"d"))</f>
        <v/>
      </c>
      <c r="G85" s="130" t="str">
        <f aca="false">IF(IFERROR(INDEX(tsk_Name,(ROW()-ROW(MSPTasks[[#Headers],[ID]])))="",TRUE()),"",INDEX(tsk_FcStart,(ROW()-ROW(MSPTasks[[#Headers],[ID]]))))</f>
        <v/>
      </c>
      <c r="H85" s="130" t="str">
        <f aca="false">IF(IFERROR(INDEX(tsk_Name,(ROW()-ROW(MSPTasks[[#Headers],[ID]])))="",TRUE()),"",INDEX(tsk_FcFinish,(ROW()-ROW(MSPTasks[[#Headers],[ID]]))))</f>
        <v/>
      </c>
      <c r="I85" s="24" t="str">
        <f aca="false">IF(IFERROR(INDEX(tsk_Name,(ROW()-ROW(MSPTasks[[#Headers],[ID]])))="",TRUE()),"",IF(INDEX(tsk_IsSummary,(ROW()-ROW(MSPTasks[[#Headers],[ID]]))),"",INDEX(tsk_Predecessors,(ROW()-ROW(MSPTasks[[#Headers],[ID]])))))</f>
        <v/>
      </c>
      <c r="J85" s="24" t="str">
        <f aca="false">IF(IFERROR(INDEX(tsk_Name,(ROW()-ROW(MSPTasks[[#Headers],[ID]])))="",TRUE()),"",IF(INDEX(tsk_IsSummary,(ROW()-ROW(MSPTasks[[#Headers],[ID]]))),"",INDEX(tsk_UIDPredecessors,(ROW()-ROW(MSPTasks[[#Headers],[ID]])))))</f>
        <v/>
      </c>
      <c r="K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5" s="24" t="str">
        <f aca="false">IF(IFERROR(INDEX(tsk_Name,(ROW()-ROW(MSPTasks[[#Headers],[ID]])))="",TRUE()),"",IF(INDEX(tsk_IsSummary,(ROW()-ROW(MSPTasks[[#Headers],[ID]]))),"",ROUND(INDEX(tsk_Progress,(ROW()-ROW(MSPTasks[[#Headers],[ID]])))*100,0)))</f>
        <v/>
      </c>
      <c r="M85" s="130" t="str">
        <f aca="false">IF(IFERROR(INDEX(tsk_Name,(ROW()-ROW(MSPTasks[[#Headers],[ID]])))="",TRUE()),"",IF(N(INDEX(tsk_ActStart,(ROW()-ROW(MSPTasks[[#Headers],[ID]]))))=0,"",INDEX(tsk_ActStart,(ROW()-ROW(MSPTasks[[#Headers],[ID]])))))</f>
        <v/>
      </c>
      <c r="N85" s="130" t="str">
        <f aca="false">IF(IFERROR(INDEX(tsk_Name,(ROW()-ROW(MSPTasks[[#Headers],[ID]])))="",TRUE()),"",IF(N(INDEX(tsk_ActFinish,(ROW()-ROW(MSPTasks[[#Headers],[ID]]))))=0,"",INDEX(tsk_ActFinish,(ROW()-ROW(MSPTasks[[#Headers],[ID]])))))</f>
        <v/>
      </c>
      <c r="O85" s="130" t="str">
        <f aca="false">IF(IFERROR(INDEX(tsk_Name,(ROW()-ROW(MSPTasks[[#Headers],[ID]])))="",TRUE()),"",INDEX(tsk_PlanStart,(ROW()-ROW(MSPTasks[[#Headers],[ID]]))))</f>
        <v/>
      </c>
      <c r="P85" s="130" t="str">
        <f aca="false">IF(IFERROR(INDEX(tsk_Name,(ROW()-ROW(MSPTasks[[#Headers],[ID]])))="",TRUE()),"",INDEX(tsk_PlanFinish,(ROW()-ROW(MSPTasks[[#Headers],[ID]]))))</f>
        <v/>
      </c>
      <c r="Q85" s="24" t="str">
        <f aca="false">IF(IFERROR(INDEX(tsk_Name,(ROW()-ROW(MSPTasks[[#Headers],[ID]])))="",TRUE()),"",IF(INDEX(tsk_BaseDuration,(ROW()-ROW(MSPTasks[[#Headers],[ID]])))="","",N(INDEX(tsk_BaseDuration,(ROW()-ROW(MSPTasks[[#Headers],[ID]]))))&amp;"d"))</f>
        <v/>
      </c>
      <c r="R85" s="24" t="str">
        <f aca="false">IF(IFERROR(INDEX(tsk_Name,(ROW()-ROW(MSPTasks[[#Headers],[ID]])))="",TRUE()),"",IF(INDEX(tsk_BaseWork,(ROW()-ROW(MSPTasks[[#Headers],[ID]])))="","",N(INDEX(tsk_BaseWork,(ROW()-ROW(MSPTasks[[#Headers],[ID]]))))&amp;"h"))</f>
        <v/>
      </c>
      <c r="S85" s="24" t="str">
        <f aca="false">IF(IFERROR(INDEX(tsk_Name,(ROW()-ROW(MSPTasks[[#Headers],[ID]])))="",TRUE()),"",IF(INDEX(tsk_BaseCost,(ROW()-ROW(MSPTasks[[#Headers],[ID]])))="","",N(INDEX(tsk_BaseCost,(ROW()-ROW(MSPTasks[[#Headers],[ID]]))))))</f>
        <v/>
      </c>
      <c r="T85" s="24" t="str">
        <f aca="false">IF(IFERROR(INDEX(tsk_Name,(ROW()-ROW(MSPTasks[[#Headers],[ID]])))="",TRUE()),"",IF(INDEX(tsk_IsSummary,(ROW()-ROW(MSPTasks[[#Headers],[ID]]))),"",IF(N(INDEX(tsk_ActCostInput,(ROW()-ROW(MSPTasks[[#Headers],[ID]]))))=0,"",INDEX(tsk_ActCostInput,(ROW()-ROW(MSPTasks[[#Headers],[ID]]))))))</f>
        <v/>
      </c>
      <c r="U85" s="24" t="str">
        <f aca="false">IF(IFERROR(INDEX(tsk_Name,(ROW()-ROW(MSPTasks[[#Headers],[ID]])))="",TRUE()),"",IF(INDEX(tsk_IsSummary,(ROW()-ROW(MSPTasks[[#Headers],[ID]]))),"",IF(AND(INDEX(tsk_Mode,(ROW()-ROW(MSPTasks[[#Headers],[ID]])))&lt;&gt;"Manual",N(INDEX(tsk_Constraint,(ROW()-ROW(MSPTasks[[#Headers],[ID]]))))&gt;0),"Start No Earlier Than","As Soon As Possible")))</f>
        <v/>
      </c>
      <c r="V85" s="130" t="str">
        <f aca="false">IF(IFERROR(INDEX(tsk_Name,(ROW()-ROW(MSPTasks[[#Headers],[ID]])))="",TRUE()),"",IF(OR(INDEX(tsk_IsSummary,(ROW()-ROW(MSPTasks[[#Headers],[ID]]))),INDEX(tsk_Mode,(ROW()-ROW(MSPTasks[[#Headers],[ID]])))="Manual"),"",IF(N(INDEX(tsk_Constraint,(ROW()-ROW(MSPTasks[[#Headers],[ID]]))))=0,"",INDEX(tsk_Constraint,(ROW()-ROW(MSPTasks[[#Headers],[ID]]))))))</f>
        <v/>
      </c>
      <c r="W85" s="130" t="str">
        <f aca="false">IF(IFERROR(INDEX(tsk_Name,(ROW()-ROW(MSPTasks[[#Headers],[ID]])))="",TRUE()),"",IF(N(INDEX(tsk_Deadline,(ROW()-ROW(MSPTasks[[#Headers],[ID]]))))=0,"",INDEX(tsk_Deadline,(ROW()-ROW(MSPTasks[[#Headers],[ID]])))))</f>
        <v/>
      </c>
      <c r="X85" s="24" t="str">
        <f aca="false">IF(IFERROR(INDEX(tsk_Name,(ROW()-ROW(MSPTasks[[#Headers],[ID]])))="",TRUE()),"",IF(INDEX(tsk_IsSummary,(ROW()-ROW(MSPTasks[[#Headers],[ID]]))),"",INDEX(tsk_Sprint,(ROW()-ROW(MSPTasks[[#Headers],[ID]])))&amp;""))</f>
        <v/>
      </c>
      <c r="Y85" s="24" t="str">
        <f aca="false">IF(IFERROR(INDEX(tsk_Name,(ROW()-ROW(MSPTasks[[#Headers],[ID]])))="",TRUE()),"",IF(INDEX(tsk_IsSummary,(ROW()-ROW(MSPTasks[[#Headers],[ID]]))),"",IF(N(INDEX(tsk_StoryPoints,(ROW()-ROW(MSPTasks[[#Headers],[ID]]))))=0,"",INDEX(tsk_StoryPoints,(ROW()-ROW(MSPTasks[[#Headers],[ID]]))))))</f>
        <v/>
      </c>
      <c r="Z85" s="24" t="str">
        <f aca="false">IF(IFERROR(INDEX(tsk_Name,(ROW()-ROW(MSPTasks[[#Headers],[ID]])))="",TRUE()),"",INDEX(tsk_Notes,(ROW()-ROW(MSPTasks[[#Headers],[ID]])))&amp;"")</f>
        <v/>
      </c>
    </row>
    <row r="86" customFormat="false" ht="15" hidden="false" customHeight="false" outlineLevel="0" collapsed="false">
      <c r="A86" s="24" t="str">
        <f aca="false">IF(IFERROR(INDEX(tsk_Name,(ROW()-ROW(MSPTasks[[#Headers],[ID]])))="",TRUE()),"",INDEX(tsk_ID,(ROW()-ROW(MSPTasks[[#Headers],[ID]]))))</f>
        <v/>
      </c>
      <c r="B86" s="24" t="str">
        <f aca="false">IF(IFERROR(INDEX(tsk_Name,(ROW()-ROW(MSPTasks[[#Headers],[ID]])))="",TRUE()),"",INDEX(tsk_UID,(ROW()-ROW(MSPTasks[[#Headers],[ID]]))))</f>
        <v/>
      </c>
      <c r="C86" s="24" t="str">
        <f aca="false">IF(IFERROR(INDEX(tsk_Name,(ROW()-ROW(MSPTasks[[#Headers],[ID]])))="",TRUE()),"",INDEX(tsk_Name,(ROW()-ROW(MSPTasks[[#Headers],[ID]]))))</f>
        <v/>
      </c>
      <c r="D86" s="24" t="str">
        <f aca="false">IF(IFERROR(INDEX(tsk_Name,(ROW()-ROW(MSPTasks[[#Headers],[ID]])))="",TRUE()),"",INDEX(tsk_Level,(ROW()-ROW(MSPTasks[[#Headers],[ID]]))))</f>
        <v/>
      </c>
      <c r="E86" s="24" t="str">
        <f aca="false">IF(IFERROR(INDEX(tsk_Name,(ROW()-ROW(MSPTasks[[#Headers],[ID]])))="",TRUE()),"",IF(INDEX(tsk_Mode,(ROW()-ROW(MSPTasks[[#Headers],[ID]])))="Manual","Manually Scheduled","Auto Scheduled"))</f>
        <v/>
      </c>
      <c r="F86" s="24" t="str">
        <f aca="false">IF(IFERROR(INDEX(tsk_Name,(ROW()-ROW(MSPTasks[[#Headers],[ID]])))="",TRUE()),"",IF(INDEX(tsk_IsSummary,(ROW()-ROW(MSPTasks[[#Headers],[ID]]))),"",N(INDEX(tsk_Duration,(ROW()-ROW(MSPTasks[[#Headers],[ID]]))))&amp;"d"))</f>
        <v/>
      </c>
      <c r="G86" s="130" t="str">
        <f aca="false">IF(IFERROR(INDEX(tsk_Name,(ROW()-ROW(MSPTasks[[#Headers],[ID]])))="",TRUE()),"",INDEX(tsk_FcStart,(ROW()-ROW(MSPTasks[[#Headers],[ID]]))))</f>
        <v/>
      </c>
      <c r="H86" s="130" t="str">
        <f aca="false">IF(IFERROR(INDEX(tsk_Name,(ROW()-ROW(MSPTasks[[#Headers],[ID]])))="",TRUE()),"",INDEX(tsk_FcFinish,(ROW()-ROW(MSPTasks[[#Headers],[ID]]))))</f>
        <v/>
      </c>
      <c r="I86" s="24" t="str">
        <f aca="false">IF(IFERROR(INDEX(tsk_Name,(ROW()-ROW(MSPTasks[[#Headers],[ID]])))="",TRUE()),"",IF(INDEX(tsk_IsSummary,(ROW()-ROW(MSPTasks[[#Headers],[ID]]))),"",INDEX(tsk_Predecessors,(ROW()-ROW(MSPTasks[[#Headers],[ID]])))))</f>
        <v/>
      </c>
      <c r="J86" s="24" t="str">
        <f aca="false">IF(IFERROR(INDEX(tsk_Name,(ROW()-ROW(MSPTasks[[#Headers],[ID]])))="",TRUE()),"",IF(INDEX(tsk_IsSummary,(ROW()-ROW(MSPTasks[[#Headers],[ID]]))),"",INDEX(tsk_UIDPredecessors,(ROW()-ROW(MSPTasks[[#Headers],[ID]])))))</f>
        <v/>
      </c>
      <c r="K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6" s="24" t="str">
        <f aca="false">IF(IFERROR(INDEX(tsk_Name,(ROW()-ROW(MSPTasks[[#Headers],[ID]])))="",TRUE()),"",IF(INDEX(tsk_IsSummary,(ROW()-ROW(MSPTasks[[#Headers],[ID]]))),"",ROUND(INDEX(tsk_Progress,(ROW()-ROW(MSPTasks[[#Headers],[ID]])))*100,0)))</f>
        <v/>
      </c>
      <c r="M86" s="130" t="str">
        <f aca="false">IF(IFERROR(INDEX(tsk_Name,(ROW()-ROW(MSPTasks[[#Headers],[ID]])))="",TRUE()),"",IF(N(INDEX(tsk_ActStart,(ROW()-ROW(MSPTasks[[#Headers],[ID]]))))=0,"",INDEX(tsk_ActStart,(ROW()-ROW(MSPTasks[[#Headers],[ID]])))))</f>
        <v/>
      </c>
      <c r="N86" s="130" t="str">
        <f aca="false">IF(IFERROR(INDEX(tsk_Name,(ROW()-ROW(MSPTasks[[#Headers],[ID]])))="",TRUE()),"",IF(N(INDEX(tsk_ActFinish,(ROW()-ROW(MSPTasks[[#Headers],[ID]]))))=0,"",INDEX(tsk_ActFinish,(ROW()-ROW(MSPTasks[[#Headers],[ID]])))))</f>
        <v/>
      </c>
      <c r="O86" s="130" t="str">
        <f aca="false">IF(IFERROR(INDEX(tsk_Name,(ROW()-ROW(MSPTasks[[#Headers],[ID]])))="",TRUE()),"",INDEX(tsk_PlanStart,(ROW()-ROW(MSPTasks[[#Headers],[ID]]))))</f>
        <v/>
      </c>
      <c r="P86" s="130" t="str">
        <f aca="false">IF(IFERROR(INDEX(tsk_Name,(ROW()-ROW(MSPTasks[[#Headers],[ID]])))="",TRUE()),"",INDEX(tsk_PlanFinish,(ROW()-ROW(MSPTasks[[#Headers],[ID]]))))</f>
        <v/>
      </c>
      <c r="Q86" s="24" t="str">
        <f aca="false">IF(IFERROR(INDEX(tsk_Name,(ROW()-ROW(MSPTasks[[#Headers],[ID]])))="",TRUE()),"",IF(INDEX(tsk_BaseDuration,(ROW()-ROW(MSPTasks[[#Headers],[ID]])))="","",N(INDEX(tsk_BaseDuration,(ROW()-ROW(MSPTasks[[#Headers],[ID]]))))&amp;"d"))</f>
        <v/>
      </c>
      <c r="R86" s="24" t="str">
        <f aca="false">IF(IFERROR(INDEX(tsk_Name,(ROW()-ROW(MSPTasks[[#Headers],[ID]])))="",TRUE()),"",IF(INDEX(tsk_BaseWork,(ROW()-ROW(MSPTasks[[#Headers],[ID]])))="","",N(INDEX(tsk_BaseWork,(ROW()-ROW(MSPTasks[[#Headers],[ID]]))))&amp;"h"))</f>
        <v/>
      </c>
      <c r="S86" s="24" t="str">
        <f aca="false">IF(IFERROR(INDEX(tsk_Name,(ROW()-ROW(MSPTasks[[#Headers],[ID]])))="",TRUE()),"",IF(INDEX(tsk_BaseCost,(ROW()-ROW(MSPTasks[[#Headers],[ID]])))="","",N(INDEX(tsk_BaseCost,(ROW()-ROW(MSPTasks[[#Headers],[ID]]))))))</f>
        <v/>
      </c>
      <c r="T86" s="24" t="str">
        <f aca="false">IF(IFERROR(INDEX(tsk_Name,(ROW()-ROW(MSPTasks[[#Headers],[ID]])))="",TRUE()),"",IF(INDEX(tsk_IsSummary,(ROW()-ROW(MSPTasks[[#Headers],[ID]]))),"",IF(N(INDEX(tsk_ActCostInput,(ROW()-ROW(MSPTasks[[#Headers],[ID]]))))=0,"",INDEX(tsk_ActCostInput,(ROW()-ROW(MSPTasks[[#Headers],[ID]]))))))</f>
        <v/>
      </c>
      <c r="U86" s="24" t="str">
        <f aca="false">IF(IFERROR(INDEX(tsk_Name,(ROW()-ROW(MSPTasks[[#Headers],[ID]])))="",TRUE()),"",IF(INDEX(tsk_IsSummary,(ROW()-ROW(MSPTasks[[#Headers],[ID]]))),"",IF(AND(INDEX(tsk_Mode,(ROW()-ROW(MSPTasks[[#Headers],[ID]])))&lt;&gt;"Manual",N(INDEX(tsk_Constraint,(ROW()-ROW(MSPTasks[[#Headers],[ID]]))))&gt;0),"Start No Earlier Than","As Soon As Possible")))</f>
        <v/>
      </c>
      <c r="V86" s="130" t="str">
        <f aca="false">IF(IFERROR(INDEX(tsk_Name,(ROW()-ROW(MSPTasks[[#Headers],[ID]])))="",TRUE()),"",IF(OR(INDEX(tsk_IsSummary,(ROW()-ROW(MSPTasks[[#Headers],[ID]]))),INDEX(tsk_Mode,(ROW()-ROW(MSPTasks[[#Headers],[ID]])))="Manual"),"",IF(N(INDEX(tsk_Constraint,(ROW()-ROW(MSPTasks[[#Headers],[ID]]))))=0,"",INDEX(tsk_Constraint,(ROW()-ROW(MSPTasks[[#Headers],[ID]]))))))</f>
        <v/>
      </c>
      <c r="W86" s="130" t="str">
        <f aca="false">IF(IFERROR(INDEX(tsk_Name,(ROW()-ROW(MSPTasks[[#Headers],[ID]])))="",TRUE()),"",IF(N(INDEX(tsk_Deadline,(ROW()-ROW(MSPTasks[[#Headers],[ID]]))))=0,"",INDEX(tsk_Deadline,(ROW()-ROW(MSPTasks[[#Headers],[ID]])))))</f>
        <v/>
      </c>
      <c r="X86" s="24" t="str">
        <f aca="false">IF(IFERROR(INDEX(tsk_Name,(ROW()-ROW(MSPTasks[[#Headers],[ID]])))="",TRUE()),"",IF(INDEX(tsk_IsSummary,(ROW()-ROW(MSPTasks[[#Headers],[ID]]))),"",INDEX(tsk_Sprint,(ROW()-ROW(MSPTasks[[#Headers],[ID]])))&amp;""))</f>
        <v/>
      </c>
      <c r="Y86" s="24" t="str">
        <f aca="false">IF(IFERROR(INDEX(tsk_Name,(ROW()-ROW(MSPTasks[[#Headers],[ID]])))="",TRUE()),"",IF(INDEX(tsk_IsSummary,(ROW()-ROW(MSPTasks[[#Headers],[ID]]))),"",IF(N(INDEX(tsk_StoryPoints,(ROW()-ROW(MSPTasks[[#Headers],[ID]]))))=0,"",INDEX(tsk_StoryPoints,(ROW()-ROW(MSPTasks[[#Headers],[ID]]))))))</f>
        <v/>
      </c>
      <c r="Z86" s="24" t="str">
        <f aca="false">IF(IFERROR(INDEX(tsk_Name,(ROW()-ROW(MSPTasks[[#Headers],[ID]])))="",TRUE()),"",INDEX(tsk_Notes,(ROW()-ROW(MSPTasks[[#Headers],[ID]])))&amp;"")</f>
        <v/>
      </c>
    </row>
    <row r="87" customFormat="false" ht="15" hidden="false" customHeight="false" outlineLevel="0" collapsed="false">
      <c r="A87" s="24" t="str">
        <f aca="false">IF(IFERROR(INDEX(tsk_Name,(ROW()-ROW(MSPTasks[[#Headers],[ID]])))="",TRUE()),"",INDEX(tsk_ID,(ROW()-ROW(MSPTasks[[#Headers],[ID]]))))</f>
        <v/>
      </c>
      <c r="B87" s="24" t="str">
        <f aca="false">IF(IFERROR(INDEX(tsk_Name,(ROW()-ROW(MSPTasks[[#Headers],[ID]])))="",TRUE()),"",INDEX(tsk_UID,(ROW()-ROW(MSPTasks[[#Headers],[ID]]))))</f>
        <v/>
      </c>
      <c r="C87" s="24" t="str">
        <f aca="false">IF(IFERROR(INDEX(tsk_Name,(ROW()-ROW(MSPTasks[[#Headers],[ID]])))="",TRUE()),"",INDEX(tsk_Name,(ROW()-ROW(MSPTasks[[#Headers],[ID]]))))</f>
        <v/>
      </c>
      <c r="D87" s="24" t="str">
        <f aca="false">IF(IFERROR(INDEX(tsk_Name,(ROW()-ROW(MSPTasks[[#Headers],[ID]])))="",TRUE()),"",INDEX(tsk_Level,(ROW()-ROW(MSPTasks[[#Headers],[ID]]))))</f>
        <v/>
      </c>
      <c r="E87" s="24" t="str">
        <f aca="false">IF(IFERROR(INDEX(tsk_Name,(ROW()-ROW(MSPTasks[[#Headers],[ID]])))="",TRUE()),"",IF(INDEX(tsk_Mode,(ROW()-ROW(MSPTasks[[#Headers],[ID]])))="Manual","Manually Scheduled","Auto Scheduled"))</f>
        <v/>
      </c>
      <c r="F87" s="24" t="str">
        <f aca="false">IF(IFERROR(INDEX(tsk_Name,(ROW()-ROW(MSPTasks[[#Headers],[ID]])))="",TRUE()),"",IF(INDEX(tsk_IsSummary,(ROW()-ROW(MSPTasks[[#Headers],[ID]]))),"",N(INDEX(tsk_Duration,(ROW()-ROW(MSPTasks[[#Headers],[ID]]))))&amp;"d"))</f>
        <v/>
      </c>
      <c r="G87" s="130" t="str">
        <f aca="false">IF(IFERROR(INDEX(tsk_Name,(ROW()-ROW(MSPTasks[[#Headers],[ID]])))="",TRUE()),"",INDEX(tsk_FcStart,(ROW()-ROW(MSPTasks[[#Headers],[ID]]))))</f>
        <v/>
      </c>
      <c r="H87" s="130" t="str">
        <f aca="false">IF(IFERROR(INDEX(tsk_Name,(ROW()-ROW(MSPTasks[[#Headers],[ID]])))="",TRUE()),"",INDEX(tsk_FcFinish,(ROW()-ROW(MSPTasks[[#Headers],[ID]]))))</f>
        <v/>
      </c>
      <c r="I87" s="24" t="str">
        <f aca="false">IF(IFERROR(INDEX(tsk_Name,(ROW()-ROW(MSPTasks[[#Headers],[ID]])))="",TRUE()),"",IF(INDEX(tsk_IsSummary,(ROW()-ROW(MSPTasks[[#Headers],[ID]]))),"",INDEX(tsk_Predecessors,(ROW()-ROW(MSPTasks[[#Headers],[ID]])))))</f>
        <v/>
      </c>
      <c r="J87" s="24" t="str">
        <f aca="false">IF(IFERROR(INDEX(tsk_Name,(ROW()-ROW(MSPTasks[[#Headers],[ID]])))="",TRUE()),"",IF(INDEX(tsk_IsSummary,(ROW()-ROW(MSPTasks[[#Headers],[ID]]))),"",INDEX(tsk_UIDPredecessors,(ROW()-ROW(MSPTasks[[#Headers],[ID]])))))</f>
        <v/>
      </c>
      <c r="K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7" s="24" t="str">
        <f aca="false">IF(IFERROR(INDEX(tsk_Name,(ROW()-ROW(MSPTasks[[#Headers],[ID]])))="",TRUE()),"",IF(INDEX(tsk_IsSummary,(ROW()-ROW(MSPTasks[[#Headers],[ID]]))),"",ROUND(INDEX(tsk_Progress,(ROW()-ROW(MSPTasks[[#Headers],[ID]])))*100,0)))</f>
        <v/>
      </c>
      <c r="M87" s="130" t="str">
        <f aca="false">IF(IFERROR(INDEX(tsk_Name,(ROW()-ROW(MSPTasks[[#Headers],[ID]])))="",TRUE()),"",IF(N(INDEX(tsk_ActStart,(ROW()-ROW(MSPTasks[[#Headers],[ID]]))))=0,"",INDEX(tsk_ActStart,(ROW()-ROW(MSPTasks[[#Headers],[ID]])))))</f>
        <v/>
      </c>
      <c r="N87" s="130" t="str">
        <f aca="false">IF(IFERROR(INDEX(tsk_Name,(ROW()-ROW(MSPTasks[[#Headers],[ID]])))="",TRUE()),"",IF(N(INDEX(tsk_ActFinish,(ROW()-ROW(MSPTasks[[#Headers],[ID]]))))=0,"",INDEX(tsk_ActFinish,(ROW()-ROW(MSPTasks[[#Headers],[ID]])))))</f>
        <v/>
      </c>
      <c r="O87" s="130" t="str">
        <f aca="false">IF(IFERROR(INDEX(tsk_Name,(ROW()-ROW(MSPTasks[[#Headers],[ID]])))="",TRUE()),"",INDEX(tsk_PlanStart,(ROW()-ROW(MSPTasks[[#Headers],[ID]]))))</f>
        <v/>
      </c>
      <c r="P87" s="130" t="str">
        <f aca="false">IF(IFERROR(INDEX(tsk_Name,(ROW()-ROW(MSPTasks[[#Headers],[ID]])))="",TRUE()),"",INDEX(tsk_PlanFinish,(ROW()-ROW(MSPTasks[[#Headers],[ID]]))))</f>
        <v/>
      </c>
      <c r="Q87" s="24" t="str">
        <f aca="false">IF(IFERROR(INDEX(tsk_Name,(ROW()-ROW(MSPTasks[[#Headers],[ID]])))="",TRUE()),"",IF(INDEX(tsk_BaseDuration,(ROW()-ROW(MSPTasks[[#Headers],[ID]])))="","",N(INDEX(tsk_BaseDuration,(ROW()-ROW(MSPTasks[[#Headers],[ID]]))))&amp;"d"))</f>
        <v/>
      </c>
      <c r="R87" s="24" t="str">
        <f aca="false">IF(IFERROR(INDEX(tsk_Name,(ROW()-ROW(MSPTasks[[#Headers],[ID]])))="",TRUE()),"",IF(INDEX(tsk_BaseWork,(ROW()-ROW(MSPTasks[[#Headers],[ID]])))="","",N(INDEX(tsk_BaseWork,(ROW()-ROW(MSPTasks[[#Headers],[ID]]))))&amp;"h"))</f>
        <v/>
      </c>
      <c r="S87" s="24" t="str">
        <f aca="false">IF(IFERROR(INDEX(tsk_Name,(ROW()-ROW(MSPTasks[[#Headers],[ID]])))="",TRUE()),"",IF(INDEX(tsk_BaseCost,(ROW()-ROW(MSPTasks[[#Headers],[ID]])))="","",N(INDEX(tsk_BaseCost,(ROW()-ROW(MSPTasks[[#Headers],[ID]]))))))</f>
        <v/>
      </c>
      <c r="T87" s="24" t="str">
        <f aca="false">IF(IFERROR(INDEX(tsk_Name,(ROW()-ROW(MSPTasks[[#Headers],[ID]])))="",TRUE()),"",IF(INDEX(tsk_IsSummary,(ROW()-ROW(MSPTasks[[#Headers],[ID]]))),"",IF(N(INDEX(tsk_ActCostInput,(ROW()-ROW(MSPTasks[[#Headers],[ID]]))))=0,"",INDEX(tsk_ActCostInput,(ROW()-ROW(MSPTasks[[#Headers],[ID]]))))))</f>
        <v/>
      </c>
      <c r="U87" s="24" t="str">
        <f aca="false">IF(IFERROR(INDEX(tsk_Name,(ROW()-ROW(MSPTasks[[#Headers],[ID]])))="",TRUE()),"",IF(INDEX(tsk_IsSummary,(ROW()-ROW(MSPTasks[[#Headers],[ID]]))),"",IF(AND(INDEX(tsk_Mode,(ROW()-ROW(MSPTasks[[#Headers],[ID]])))&lt;&gt;"Manual",N(INDEX(tsk_Constraint,(ROW()-ROW(MSPTasks[[#Headers],[ID]]))))&gt;0),"Start No Earlier Than","As Soon As Possible")))</f>
        <v/>
      </c>
      <c r="V87" s="130" t="str">
        <f aca="false">IF(IFERROR(INDEX(tsk_Name,(ROW()-ROW(MSPTasks[[#Headers],[ID]])))="",TRUE()),"",IF(OR(INDEX(tsk_IsSummary,(ROW()-ROW(MSPTasks[[#Headers],[ID]]))),INDEX(tsk_Mode,(ROW()-ROW(MSPTasks[[#Headers],[ID]])))="Manual"),"",IF(N(INDEX(tsk_Constraint,(ROW()-ROW(MSPTasks[[#Headers],[ID]]))))=0,"",INDEX(tsk_Constraint,(ROW()-ROW(MSPTasks[[#Headers],[ID]]))))))</f>
        <v/>
      </c>
      <c r="W87" s="130" t="str">
        <f aca="false">IF(IFERROR(INDEX(tsk_Name,(ROW()-ROW(MSPTasks[[#Headers],[ID]])))="",TRUE()),"",IF(N(INDEX(tsk_Deadline,(ROW()-ROW(MSPTasks[[#Headers],[ID]]))))=0,"",INDEX(tsk_Deadline,(ROW()-ROW(MSPTasks[[#Headers],[ID]])))))</f>
        <v/>
      </c>
      <c r="X87" s="24" t="str">
        <f aca="false">IF(IFERROR(INDEX(tsk_Name,(ROW()-ROW(MSPTasks[[#Headers],[ID]])))="",TRUE()),"",IF(INDEX(tsk_IsSummary,(ROW()-ROW(MSPTasks[[#Headers],[ID]]))),"",INDEX(tsk_Sprint,(ROW()-ROW(MSPTasks[[#Headers],[ID]])))&amp;""))</f>
        <v/>
      </c>
      <c r="Y87" s="24" t="str">
        <f aca="false">IF(IFERROR(INDEX(tsk_Name,(ROW()-ROW(MSPTasks[[#Headers],[ID]])))="",TRUE()),"",IF(INDEX(tsk_IsSummary,(ROW()-ROW(MSPTasks[[#Headers],[ID]]))),"",IF(N(INDEX(tsk_StoryPoints,(ROW()-ROW(MSPTasks[[#Headers],[ID]]))))=0,"",INDEX(tsk_StoryPoints,(ROW()-ROW(MSPTasks[[#Headers],[ID]]))))))</f>
        <v/>
      </c>
      <c r="Z87" s="24" t="str">
        <f aca="false">IF(IFERROR(INDEX(tsk_Name,(ROW()-ROW(MSPTasks[[#Headers],[ID]])))="",TRUE()),"",INDEX(tsk_Notes,(ROW()-ROW(MSPTasks[[#Headers],[ID]])))&amp;"")</f>
        <v/>
      </c>
    </row>
    <row r="88" customFormat="false" ht="15" hidden="false" customHeight="false" outlineLevel="0" collapsed="false">
      <c r="A88" s="24" t="str">
        <f aca="false">IF(IFERROR(INDEX(tsk_Name,(ROW()-ROW(MSPTasks[[#Headers],[ID]])))="",TRUE()),"",INDEX(tsk_ID,(ROW()-ROW(MSPTasks[[#Headers],[ID]]))))</f>
        <v/>
      </c>
      <c r="B88" s="24" t="str">
        <f aca="false">IF(IFERROR(INDEX(tsk_Name,(ROW()-ROW(MSPTasks[[#Headers],[ID]])))="",TRUE()),"",INDEX(tsk_UID,(ROW()-ROW(MSPTasks[[#Headers],[ID]]))))</f>
        <v/>
      </c>
      <c r="C88" s="24" t="str">
        <f aca="false">IF(IFERROR(INDEX(tsk_Name,(ROW()-ROW(MSPTasks[[#Headers],[ID]])))="",TRUE()),"",INDEX(tsk_Name,(ROW()-ROW(MSPTasks[[#Headers],[ID]]))))</f>
        <v/>
      </c>
      <c r="D88" s="24" t="str">
        <f aca="false">IF(IFERROR(INDEX(tsk_Name,(ROW()-ROW(MSPTasks[[#Headers],[ID]])))="",TRUE()),"",INDEX(tsk_Level,(ROW()-ROW(MSPTasks[[#Headers],[ID]]))))</f>
        <v/>
      </c>
      <c r="E88" s="24" t="str">
        <f aca="false">IF(IFERROR(INDEX(tsk_Name,(ROW()-ROW(MSPTasks[[#Headers],[ID]])))="",TRUE()),"",IF(INDEX(tsk_Mode,(ROW()-ROW(MSPTasks[[#Headers],[ID]])))="Manual","Manually Scheduled","Auto Scheduled"))</f>
        <v/>
      </c>
      <c r="F88" s="24" t="str">
        <f aca="false">IF(IFERROR(INDEX(tsk_Name,(ROW()-ROW(MSPTasks[[#Headers],[ID]])))="",TRUE()),"",IF(INDEX(tsk_IsSummary,(ROW()-ROW(MSPTasks[[#Headers],[ID]]))),"",N(INDEX(tsk_Duration,(ROW()-ROW(MSPTasks[[#Headers],[ID]]))))&amp;"d"))</f>
        <v/>
      </c>
      <c r="G88" s="130" t="str">
        <f aca="false">IF(IFERROR(INDEX(tsk_Name,(ROW()-ROW(MSPTasks[[#Headers],[ID]])))="",TRUE()),"",INDEX(tsk_FcStart,(ROW()-ROW(MSPTasks[[#Headers],[ID]]))))</f>
        <v/>
      </c>
      <c r="H88" s="130" t="str">
        <f aca="false">IF(IFERROR(INDEX(tsk_Name,(ROW()-ROW(MSPTasks[[#Headers],[ID]])))="",TRUE()),"",INDEX(tsk_FcFinish,(ROW()-ROW(MSPTasks[[#Headers],[ID]]))))</f>
        <v/>
      </c>
      <c r="I88" s="24" t="str">
        <f aca="false">IF(IFERROR(INDEX(tsk_Name,(ROW()-ROW(MSPTasks[[#Headers],[ID]])))="",TRUE()),"",IF(INDEX(tsk_IsSummary,(ROW()-ROW(MSPTasks[[#Headers],[ID]]))),"",INDEX(tsk_Predecessors,(ROW()-ROW(MSPTasks[[#Headers],[ID]])))))</f>
        <v/>
      </c>
      <c r="J88" s="24" t="str">
        <f aca="false">IF(IFERROR(INDEX(tsk_Name,(ROW()-ROW(MSPTasks[[#Headers],[ID]])))="",TRUE()),"",IF(INDEX(tsk_IsSummary,(ROW()-ROW(MSPTasks[[#Headers],[ID]]))),"",INDEX(tsk_UIDPredecessors,(ROW()-ROW(MSPTasks[[#Headers],[ID]])))))</f>
        <v/>
      </c>
      <c r="K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8" s="24" t="str">
        <f aca="false">IF(IFERROR(INDEX(tsk_Name,(ROW()-ROW(MSPTasks[[#Headers],[ID]])))="",TRUE()),"",IF(INDEX(tsk_IsSummary,(ROW()-ROW(MSPTasks[[#Headers],[ID]]))),"",ROUND(INDEX(tsk_Progress,(ROW()-ROW(MSPTasks[[#Headers],[ID]])))*100,0)))</f>
        <v/>
      </c>
      <c r="M88" s="130" t="str">
        <f aca="false">IF(IFERROR(INDEX(tsk_Name,(ROW()-ROW(MSPTasks[[#Headers],[ID]])))="",TRUE()),"",IF(N(INDEX(tsk_ActStart,(ROW()-ROW(MSPTasks[[#Headers],[ID]]))))=0,"",INDEX(tsk_ActStart,(ROW()-ROW(MSPTasks[[#Headers],[ID]])))))</f>
        <v/>
      </c>
      <c r="N88" s="130" t="str">
        <f aca="false">IF(IFERROR(INDEX(tsk_Name,(ROW()-ROW(MSPTasks[[#Headers],[ID]])))="",TRUE()),"",IF(N(INDEX(tsk_ActFinish,(ROW()-ROW(MSPTasks[[#Headers],[ID]]))))=0,"",INDEX(tsk_ActFinish,(ROW()-ROW(MSPTasks[[#Headers],[ID]])))))</f>
        <v/>
      </c>
      <c r="O88" s="130" t="str">
        <f aca="false">IF(IFERROR(INDEX(tsk_Name,(ROW()-ROW(MSPTasks[[#Headers],[ID]])))="",TRUE()),"",INDEX(tsk_PlanStart,(ROW()-ROW(MSPTasks[[#Headers],[ID]]))))</f>
        <v/>
      </c>
      <c r="P88" s="130" t="str">
        <f aca="false">IF(IFERROR(INDEX(tsk_Name,(ROW()-ROW(MSPTasks[[#Headers],[ID]])))="",TRUE()),"",INDEX(tsk_PlanFinish,(ROW()-ROW(MSPTasks[[#Headers],[ID]]))))</f>
        <v/>
      </c>
      <c r="Q88" s="24" t="str">
        <f aca="false">IF(IFERROR(INDEX(tsk_Name,(ROW()-ROW(MSPTasks[[#Headers],[ID]])))="",TRUE()),"",IF(INDEX(tsk_BaseDuration,(ROW()-ROW(MSPTasks[[#Headers],[ID]])))="","",N(INDEX(tsk_BaseDuration,(ROW()-ROW(MSPTasks[[#Headers],[ID]]))))&amp;"d"))</f>
        <v/>
      </c>
      <c r="R88" s="24" t="str">
        <f aca="false">IF(IFERROR(INDEX(tsk_Name,(ROW()-ROW(MSPTasks[[#Headers],[ID]])))="",TRUE()),"",IF(INDEX(tsk_BaseWork,(ROW()-ROW(MSPTasks[[#Headers],[ID]])))="","",N(INDEX(tsk_BaseWork,(ROW()-ROW(MSPTasks[[#Headers],[ID]]))))&amp;"h"))</f>
        <v/>
      </c>
      <c r="S88" s="24" t="str">
        <f aca="false">IF(IFERROR(INDEX(tsk_Name,(ROW()-ROW(MSPTasks[[#Headers],[ID]])))="",TRUE()),"",IF(INDEX(tsk_BaseCost,(ROW()-ROW(MSPTasks[[#Headers],[ID]])))="","",N(INDEX(tsk_BaseCost,(ROW()-ROW(MSPTasks[[#Headers],[ID]]))))))</f>
        <v/>
      </c>
      <c r="T88" s="24" t="str">
        <f aca="false">IF(IFERROR(INDEX(tsk_Name,(ROW()-ROW(MSPTasks[[#Headers],[ID]])))="",TRUE()),"",IF(INDEX(tsk_IsSummary,(ROW()-ROW(MSPTasks[[#Headers],[ID]]))),"",IF(N(INDEX(tsk_ActCostInput,(ROW()-ROW(MSPTasks[[#Headers],[ID]]))))=0,"",INDEX(tsk_ActCostInput,(ROW()-ROW(MSPTasks[[#Headers],[ID]]))))))</f>
        <v/>
      </c>
      <c r="U88" s="24" t="str">
        <f aca="false">IF(IFERROR(INDEX(tsk_Name,(ROW()-ROW(MSPTasks[[#Headers],[ID]])))="",TRUE()),"",IF(INDEX(tsk_IsSummary,(ROW()-ROW(MSPTasks[[#Headers],[ID]]))),"",IF(AND(INDEX(tsk_Mode,(ROW()-ROW(MSPTasks[[#Headers],[ID]])))&lt;&gt;"Manual",N(INDEX(tsk_Constraint,(ROW()-ROW(MSPTasks[[#Headers],[ID]]))))&gt;0),"Start No Earlier Than","As Soon As Possible")))</f>
        <v/>
      </c>
      <c r="V88" s="130" t="str">
        <f aca="false">IF(IFERROR(INDEX(tsk_Name,(ROW()-ROW(MSPTasks[[#Headers],[ID]])))="",TRUE()),"",IF(OR(INDEX(tsk_IsSummary,(ROW()-ROW(MSPTasks[[#Headers],[ID]]))),INDEX(tsk_Mode,(ROW()-ROW(MSPTasks[[#Headers],[ID]])))="Manual"),"",IF(N(INDEX(tsk_Constraint,(ROW()-ROW(MSPTasks[[#Headers],[ID]]))))=0,"",INDEX(tsk_Constraint,(ROW()-ROW(MSPTasks[[#Headers],[ID]]))))))</f>
        <v/>
      </c>
      <c r="W88" s="130" t="str">
        <f aca="false">IF(IFERROR(INDEX(tsk_Name,(ROW()-ROW(MSPTasks[[#Headers],[ID]])))="",TRUE()),"",IF(N(INDEX(tsk_Deadline,(ROW()-ROW(MSPTasks[[#Headers],[ID]]))))=0,"",INDEX(tsk_Deadline,(ROW()-ROW(MSPTasks[[#Headers],[ID]])))))</f>
        <v/>
      </c>
      <c r="X88" s="24" t="str">
        <f aca="false">IF(IFERROR(INDEX(tsk_Name,(ROW()-ROW(MSPTasks[[#Headers],[ID]])))="",TRUE()),"",IF(INDEX(tsk_IsSummary,(ROW()-ROW(MSPTasks[[#Headers],[ID]]))),"",INDEX(tsk_Sprint,(ROW()-ROW(MSPTasks[[#Headers],[ID]])))&amp;""))</f>
        <v/>
      </c>
      <c r="Y88" s="24" t="str">
        <f aca="false">IF(IFERROR(INDEX(tsk_Name,(ROW()-ROW(MSPTasks[[#Headers],[ID]])))="",TRUE()),"",IF(INDEX(tsk_IsSummary,(ROW()-ROW(MSPTasks[[#Headers],[ID]]))),"",IF(N(INDEX(tsk_StoryPoints,(ROW()-ROW(MSPTasks[[#Headers],[ID]]))))=0,"",INDEX(tsk_StoryPoints,(ROW()-ROW(MSPTasks[[#Headers],[ID]]))))))</f>
        <v/>
      </c>
      <c r="Z88" s="24" t="str">
        <f aca="false">IF(IFERROR(INDEX(tsk_Name,(ROW()-ROW(MSPTasks[[#Headers],[ID]])))="",TRUE()),"",INDEX(tsk_Notes,(ROW()-ROW(MSPTasks[[#Headers],[ID]])))&amp;"")</f>
        <v/>
      </c>
    </row>
    <row r="89" customFormat="false" ht="15" hidden="false" customHeight="false" outlineLevel="0" collapsed="false">
      <c r="A89" s="24" t="str">
        <f aca="false">IF(IFERROR(INDEX(tsk_Name,(ROW()-ROW(MSPTasks[[#Headers],[ID]])))="",TRUE()),"",INDEX(tsk_ID,(ROW()-ROW(MSPTasks[[#Headers],[ID]]))))</f>
        <v/>
      </c>
      <c r="B89" s="24" t="str">
        <f aca="false">IF(IFERROR(INDEX(tsk_Name,(ROW()-ROW(MSPTasks[[#Headers],[ID]])))="",TRUE()),"",INDEX(tsk_UID,(ROW()-ROW(MSPTasks[[#Headers],[ID]]))))</f>
        <v/>
      </c>
      <c r="C89" s="24" t="str">
        <f aca="false">IF(IFERROR(INDEX(tsk_Name,(ROW()-ROW(MSPTasks[[#Headers],[ID]])))="",TRUE()),"",INDEX(tsk_Name,(ROW()-ROW(MSPTasks[[#Headers],[ID]]))))</f>
        <v/>
      </c>
      <c r="D89" s="24" t="str">
        <f aca="false">IF(IFERROR(INDEX(tsk_Name,(ROW()-ROW(MSPTasks[[#Headers],[ID]])))="",TRUE()),"",INDEX(tsk_Level,(ROW()-ROW(MSPTasks[[#Headers],[ID]]))))</f>
        <v/>
      </c>
      <c r="E89" s="24" t="str">
        <f aca="false">IF(IFERROR(INDEX(tsk_Name,(ROW()-ROW(MSPTasks[[#Headers],[ID]])))="",TRUE()),"",IF(INDEX(tsk_Mode,(ROW()-ROW(MSPTasks[[#Headers],[ID]])))="Manual","Manually Scheduled","Auto Scheduled"))</f>
        <v/>
      </c>
      <c r="F89" s="24" t="str">
        <f aca="false">IF(IFERROR(INDEX(tsk_Name,(ROW()-ROW(MSPTasks[[#Headers],[ID]])))="",TRUE()),"",IF(INDEX(tsk_IsSummary,(ROW()-ROW(MSPTasks[[#Headers],[ID]]))),"",N(INDEX(tsk_Duration,(ROW()-ROW(MSPTasks[[#Headers],[ID]]))))&amp;"d"))</f>
        <v/>
      </c>
      <c r="G89" s="130" t="str">
        <f aca="false">IF(IFERROR(INDEX(tsk_Name,(ROW()-ROW(MSPTasks[[#Headers],[ID]])))="",TRUE()),"",INDEX(tsk_FcStart,(ROW()-ROW(MSPTasks[[#Headers],[ID]]))))</f>
        <v/>
      </c>
      <c r="H89" s="130" t="str">
        <f aca="false">IF(IFERROR(INDEX(tsk_Name,(ROW()-ROW(MSPTasks[[#Headers],[ID]])))="",TRUE()),"",INDEX(tsk_FcFinish,(ROW()-ROW(MSPTasks[[#Headers],[ID]]))))</f>
        <v/>
      </c>
      <c r="I89" s="24" t="str">
        <f aca="false">IF(IFERROR(INDEX(tsk_Name,(ROW()-ROW(MSPTasks[[#Headers],[ID]])))="",TRUE()),"",IF(INDEX(tsk_IsSummary,(ROW()-ROW(MSPTasks[[#Headers],[ID]]))),"",INDEX(tsk_Predecessors,(ROW()-ROW(MSPTasks[[#Headers],[ID]])))))</f>
        <v/>
      </c>
      <c r="J89" s="24" t="str">
        <f aca="false">IF(IFERROR(INDEX(tsk_Name,(ROW()-ROW(MSPTasks[[#Headers],[ID]])))="",TRUE()),"",IF(INDEX(tsk_IsSummary,(ROW()-ROW(MSPTasks[[#Headers],[ID]]))),"",INDEX(tsk_UIDPredecessors,(ROW()-ROW(MSPTasks[[#Headers],[ID]])))))</f>
        <v/>
      </c>
      <c r="K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9" s="24" t="str">
        <f aca="false">IF(IFERROR(INDEX(tsk_Name,(ROW()-ROW(MSPTasks[[#Headers],[ID]])))="",TRUE()),"",IF(INDEX(tsk_IsSummary,(ROW()-ROW(MSPTasks[[#Headers],[ID]]))),"",ROUND(INDEX(tsk_Progress,(ROW()-ROW(MSPTasks[[#Headers],[ID]])))*100,0)))</f>
        <v/>
      </c>
      <c r="M89" s="130" t="str">
        <f aca="false">IF(IFERROR(INDEX(tsk_Name,(ROW()-ROW(MSPTasks[[#Headers],[ID]])))="",TRUE()),"",IF(N(INDEX(tsk_ActStart,(ROW()-ROW(MSPTasks[[#Headers],[ID]]))))=0,"",INDEX(tsk_ActStart,(ROW()-ROW(MSPTasks[[#Headers],[ID]])))))</f>
        <v/>
      </c>
      <c r="N89" s="130" t="str">
        <f aca="false">IF(IFERROR(INDEX(tsk_Name,(ROW()-ROW(MSPTasks[[#Headers],[ID]])))="",TRUE()),"",IF(N(INDEX(tsk_ActFinish,(ROW()-ROW(MSPTasks[[#Headers],[ID]]))))=0,"",INDEX(tsk_ActFinish,(ROW()-ROW(MSPTasks[[#Headers],[ID]])))))</f>
        <v/>
      </c>
      <c r="O89" s="130" t="str">
        <f aca="false">IF(IFERROR(INDEX(tsk_Name,(ROW()-ROW(MSPTasks[[#Headers],[ID]])))="",TRUE()),"",INDEX(tsk_PlanStart,(ROW()-ROW(MSPTasks[[#Headers],[ID]]))))</f>
        <v/>
      </c>
      <c r="P89" s="130" t="str">
        <f aca="false">IF(IFERROR(INDEX(tsk_Name,(ROW()-ROW(MSPTasks[[#Headers],[ID]])))="",TRUE()),"",INDEX(tsk_PlanFinish,(ROW()-ROW(MSPTasks[[#Headers],[ID]]))))</f>
        <v/>
      </c>
      <c r="Q89" s="24" t="str">
        <f aca="false">IF(IFERROR(INDEX(tsk_Name,(ROW()-ROW(MSPTasks[[#Headers],[ID]])))="",TRUE()),"",IF(INDEX(tsk_BaseDuration,(ROW()-ROW(MSPTasks[[#Headers],[ID]])))="","",N(INDEX(tsk_BaseDuration,(ROW()-ROW(MSPTasks[[#Headers],[ID]]))))&amp;"d"))</f>
        <v/>
      </c>
      <c r="R89" s="24" t="str">
        <f aca="false">IF(IFERROR(INDEX(tsk_Name,(ROW()-ROW(MSPTasks[[#Headers],[ID]])))="",TRUE()),"",IF(INDEX(tsk_BaseWork,(ROW()-ROW(MSPTasks[[#Headers],[ID]])))="","",N(INDEX(tsk_BaseWork,(ROW()-ROW(MSPTasks[[#Headers],[ID]]))))&amp;"h"))</f>
        <v/>
      </c>
      <c r="S89" s="24" t="str">
        <f aca="false">IF(IFERROR(INDEX(tsk_Name,(ROW()-ROW(MSPTasks[[#Headers],[ID]])))="",TRUE()),"",IF(INDEX(tsk_BaseCost,(ROW()-ROW(MSPTasks[[#Headers],[ID]])))="","",N(INDEX(tsk_BaseCost,(ROW()-ROW(MSPTasks[[#Headers],[ID]]))))))</f>
        <v/>
      </c>
      <c r="T89" s="24" t="str">
        <f aca="false">IF(IFERROR(INDEX(tsk_Name,(ROW()-ROW(MSPTasks[[#Headers],[ID]])))="",TRUE()),"",IF(INDEX(tsk_IsSummary,(ROW()-ROW(MSPTasks[[#Headers],[ID]]))),"",IF(N(INDEX(tsk_ActCostInput,(ROW()-ROW(MSPTasks[[#Headers],[ID]]))))=0,"",INDEX(tsk_ActCostInput,(ROW()-ROW(MSPTasks[[#Headers],[ID]]))))))</f>
        <v/>
      </c>
      <c r="U89" s="24" t="str">
        <f aca="false">IF(IFERROR(INDEX(tsk_Name,(ROW()-ROW(MSPTasks[[#Headers],[ID]])))="",TRUE()),"",IF(INDEX(tsk_IsSummary,(ROW()-ROW(MSPTasks[[#Headers],[ID]]))),"",IF(AND(INDEX(tsk_Mode,(ROW()-ROW(MSPTasks[[#Headers],[ID]])))&lt;&gt;"Manual",N(INDEX(tsk_Constraint,(ROW()-ROW(MSPTasks[[#Headers],[ID]]))))&gt;0),"Start No Earlier Than","As Soon As Possible")))</f>
        <v/>
      </c>
      <c r="V89" s="130" t="str">
        <f aca="false">IF(IFERROR(INDEX(tsk_Name,(ROW()-ROW(MSPTasks[[#Headers],[ID]])))="",TRUE()),"",IF(OR(INDEX(tsk_IsSummary,(ROW()-ROW(MSPTasks[[#Headers],[ID]]))),INDEX(tsk_Mode,(ROW()-ROW(MSPTasks[[#Headers],[ID]])))="Manual"),"",IF(N(INDEX(tsk_Constraint,(ROW()-ROW(MSPTasks[[#Headers],[ID]]))))=0,"",INDEX(tsk_Constraint,(ROW()-ROW(MSPTasks[[#Headers],[ID]]))))))</f>
        <v/>
      </c>
      <c r="W89" s="130" t="str">
        <f aca="false">IF(IFERROR(INDEX(tsk_Name,(ROW()-ROW(MSPTasks[[#Headers],[ID]])))="",TRUE()),"",IF(N(INDEX(tsk_Deadline,(ROW()-ROW(MSPTasks[[#Headers],[ID]]))))=0,"",INDEX(tsk_Deadline,(ROW()-ROW(MSPTasks[[#Headers],[ID]])))))</f>
        <v/>
      </c>
      <c r="X89" s="24" t="str">
        <f aca="false">IF(IFERROR(INDEX(tsk_Name,(ROW()-ROW(MSPTasks[[#Headers],[ID]])))="",TRUE()),"",IF(INDEX(tsk_IsSummary,(ROW()-ROW(MSPTasks[[#Headers],[ID]]))),"",INDEX(tsk_Sprint,(ROW()-ROW(MSPTasks[[#Headers],[ID]])))&amp;""))</f>
        <v/>
      </c>
      <c r="Y89" s="24" t="str">
        <f aca="false">IF(IFERROR(INDEX(tsk_Name,(ROW()-ROW(MSPTasks[[#Headers],[ID]])))="",TRUE()),"",IF(INDEX(tsk_IsSummary,(ROW()-ROW(MSPTasks[[#Headers],[ID]]))),"",IF(N(INDEX(tsk_StoryPoints,(ROW()-ROW(MSPTasks[[#Headers],[ID]]))))=0,"",INDEX(tsk_StoryPoints,(ROW()-ROW(MSPTasks[[#Headers],[ID]]))))))</f>
        <v/>
      </c>
      <c r="Z89" s="24" t="str">
        <f aca="false">IF(IFERROR(INDEX(tsk_Name,(ROW()-ROW(MSPTasks[[#Headers],[ID]])))="",TRUE()),"",INDEX(tsk_Notes,(ROW()-ROW(MSPTasks[[#Headers],[ID]])))&amp;"")</f>
        <v/>
      </c>
    </row>
    <row r="90" customFormat="false" ht="15" hidden="false" customHeight="false" outlineLevel="0" collapsed="false">
      <c r="A90" s="24" t="str">
        <f aca="false">IF(IFERROR(INDEX(tsk_Name,(ROW()-ROW(MSPTasks[[#Headers],[ID]])))="",TRUE()),"",INDEX(tsk_ID,(ROW()-ROW(MSPTasks[[#Headers],[ID]]))))</f>
        <v/>
      </c>
      <c r="B90" s="24" t="str">
        <f aca="false">IF(IFERROR(INDEX(tsk_Name,(ROW()-ROW(MSPTasks[[#Headers],[ID]])))="",TRUE()),"",INDEX(tsk_UID,(ROW()-ROW(MSPTasks[[#Headers],[ID]]))))</f>
        <v/>
      </c>
      <c r="C90" s="24" t="str">
        <f aca="false">IF(IFERROR(INDEX(tsk_Name,(ROW()-ROW(MSPTasks[[#Headers],[ID]])))="",TRUE()),"",INDEX(tsk_Name,(ROW()-ROW(MSPTasks[[#Headers],[ID]]))))</f>
        <v/>
      </c>
      <c r="D90" s="24" t="str">
        <f aca="false">IF(IFERROR(INDEX(tsk_Name,(ROW()-ROW(MSPTasks[[#Headers],[ID]])))="",TRUE()),"",INDEX(tsk_Level,(ROW()-ROW(MSPTasks[[#Headers],[ID]]))))</f>
        <v/>
      </c>
      <c r="E90" s="24" t="str">
        <f aca="false">IF(IFERROR(INDEX(tsk_Name,(ROW()-ROW(MSPTasks[[#Headers],[ID]])))="",TRUE()),"",IF(INDEX(tsk_Mode,(ROW()-ROW(MSPTasks[[#Headers],[ID]])))="Manual","Manually Scheduled","Auto Scheduled"))</f>
        <v/>
      </c>
      <c r="F90" s="24" t="str">
        <f aca="false">IF(IFERROR(INDEX(tsk_Name,(ROW()-ROW(MSPTasks[[#Headers],[ID]])))="",TRUE()),"",IF(INDEX(tsk_IsSummary,(ROW()-ROW(MSPTasks[[#Headers],[ID]]))),"",N(INDEX(tsk_Duration,(ROW()-ROW(MSPTasks[[#Headers],[ID]]))))&amp;"d"))</f>
        <v/>
      </c>
      <c r="G90" s="130" t="str">
        <f aca="false">IF(IFERROR(INDEX(tsk_Name,(ROW()-ROW(MSPTasks[[#Headers],[ID]])))="",TRUE()),"",INDEX(tsk_FcStart,(ROW()-ROW(MSPTasks[[#Headers],[ID]]))))</f>
        <v/>
      </c>
      <c r="H90" s="130" t="str">
        <f aca="false">IF(IFERROR(INDEX(tsk_Name,(ROW()-ROW(MSPTasks[[#Headers],[ID]])))="",TRUE()),"",INDEX(tsk_FcFinish,(ROW()-ROW(MSPTasks[[#Headers],[ID]]))))</f>
        <v/>
      </c>
      <c r="I90" s="24" t="str">
        <f aca="false">IF(IFERROR(INDEX(tsk_Name,(ROW()-ROW(MSPTasks[[#Headers],[ID]])))="",TRUE()),"",IF(INDEX(tsk_IsSummary,(ROW()-ROW(MSPTasks[[#Headers],[ID]]))),"",INDEX(tsk_Predecessors,(ROW()-ROW(MSPTasks[[#Headers],[ID]])))))</f>
        <v/>
      </c>
      <c r="J90" s="24" t="str">
        <f aca="false">IF(IFERROR(INDEX(tsk_Name,(ROW()-ROW(MSPTasks[[#Headers],[ID]])))="",TRUE()),"",IF(INDEX(tsk_IsSummary,(ROW()-ROW(MSPTasks[[#Headers],[ID]]))),"",INDEX(tsk_UIDPredecessors,(ROW()-ROW(MSPTasks[[#Headers],[ID]])))))</f>
        <v/>
      </c>
      <c r="K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0" s="24" t="str">
        <f aca="false">IF(IFERROR(INDEX(tsk_Name,(ROW()-ROW(MSPTasks[[#Headers],[ID]])))="",TRUE()),"",IF(INDEX(tsk_IsSummary,(ROW()-ROW(MSPTasks[[#Headers],[ID]]))),"",ROUND(INDEX(tsk_Progress,(ROW()-ROW(MSPTasks[[#Headers],[ID]])))*100,0)))</f>
        <v/>
      </c>
      <c r="M90" s="130" t="str">
        <f aca="false">IF(IFERROR(INDEX(tsk_Name,(ROW()-ROW(MSPTasks[[#Headers],[ID]])))="",TRUE()),"",IF(N(INDEX(tsk_ActStart,(ROW()-ROW(MSPTasks[[#Headers],[ID]]))))=0,"",INDEX(tsk_ActStart,(ROW()-ROW(MSPTasks[[#Headers],[ID]])))))</f>
        <v/>
      </c>
      <c r="N90" s="130" t="str">
        <f aca="false">IF(IFERROR(INDEX(tsk_Name,(ROW()-ROW(MSPTasks[[#Headers],[ID]])))="",TRUE()),"",IF(N(INDEX(tsk_ActFinish,(ROW()-ROW(MSPTasks[[#Headers],[ID]]))))=0,"",INDEX(tsk_ActFinish,(ROW()-ROW(MSPTasks[[#Headers],[ID]])))))</f>
        <v/>
      </c>
      <c r="O90" s="130" t="str">
        <f aca="false">IF(IFERROR(INDEX(tsk_Name,(ROW()-ROW(MSPTasks[[#Headers],[ID]])))="",TRUE()),"",INDEX(tsk_PlanStart,(ROW()-ROW(MSPTasks[[#Headers],[ID]]))))</f>
        <v/>
      </c>
      <c r="P90" s="130" t="str">
        <f aca="false">IF(IFERROR(INDEX(tsk_Name,(ROW()-ROW(MSPTasks[[#Headers],[ID]])))="",TRUE()),"",INDEX(tsk_PlanFinish,(ROW()-ROW(MSPTasks[[#Headers],[ID]]))))</f>
        <v/>
      </c>
      <c r="Q90" s="24" t="str">
        <f aca="false">IF(IFERROR(INDEX(tsk_Name,(ROW()-ROW(MSPTasks[[#Headers],[ID]])))="",TRUE()),"",IF(INDEX(tsk_BaseDuration,(ROW()-ROW(MSPTasks[[#Headers],[ID]])))="","",N(INDEX(tsk_BaseDuration,(ROW()-ROW(MSPTasks[[#Headers],[ID]]))))&amp;"d"))</f>
        <v/>
      </c>
      <c r="R90" s="24" t="str">
        <f aca="false">IF(IFERROR(INDEX(tsk_Name,(ROW()-ROW(MSPTasks[[#Headers],[ID]])))="",TRUE()),"",IF(INDEX(tsk_BaseWork,(ROW()-ROW(MSPTasks[[#Headers],[ID]])))="","",N(INDEX(tsk_BaseWork,(ROW()-ROW(MSPTasks[[#Headers],[ID]]))))&amp;"h"))</f>
        <v/>
      </c>
      <c r="S90" s="24" t="str">
        <f aca="false">IF(IFERROR(INDEX(tsk_Name,(ROW()-ROW(MSPTasks[[#Headers],[ID]])))="",TRUE()),"",IF(INDEX(tsk_BaseCost,(ROW()-ROW(MSPTasks[[#Headers],[ID]])))="","",N(INDEX(tsk_BaseCost,(ROW()-ROW(MSPTasks[[#Headers],[ID]]))))))</f>
        <v/>
      </c>
      <c r="T90" s="24" t="str">
        <f aca="false">IF(IFERROR(INDEX(tsk_Name,(ROW()-ROW(MSPTasks[[#Headers],[ID]])))="",TRUE()),"",IF(INDEX(tsk_IsSummary,(ROW()-ROW(MSPTasks[[#Headers],[ID]]))),"",IF(N(INDEX(tsk_ActCostInput,(ROW()-ROW(MSPTasks[[#Headers],[ID]]))))=0,"",INDEX(tsk_ActCostInput,(ROW()-ROW(MSPTasks[[#Headers],[ID]]))))))</f>
        <v/>
      </c>
      <c r="U90" s="24" t="str">
        <f aca="false">IF(IFERROR(INDEX(tsk_Name,(ROW()-ROW(MSPTasks[[#Headers],[ID]])))="",TRUE()),"",IF(INDEX(tsk_IsSummary,(ROW()-ROW(MSPTasks[[#Headers],[ID]]))),"",IF(AND(INDEX(tsk_Mode,(ROW()-ROW(MSPTasks[[#Headers],[ID]])))&lt;&gt;"Manual",N(INDEX(tsk_Constraint,(ROW()-ROW(MSPTasks[[#Headers],[ID]]))))&gt;0),"Start No Earlier Than","As Soon As Possible")))</f>
        <v/>
      </c>
      <c r="V90" s="130" t="str">
        <f aca="false">IF(IFERROR(INDEX(tsk_Name,(ROW()-ROW(MSPTasks[[#Headers],[ID]])))="",TRUE()),"",IF(OR(INDEX(tsk_IsSummary,(ROW()-ROW(MSPTasks[[#Headers],[ID]]))),INDEX(tsk_Mode,(ROW()-ROW(MSPTasks[[#Headers],[ID]])))="Manual"),"",IF(N(INDEX(tsk_Constraint,(ROW()-ROW(MSPTasks[[#Headers],[ID]]))))=0,"",INDEX(tsk_Constraint,(ROW()-ROW(MSPTasks[[#Headers],[ID]]))))))</f>
        <v/>
      </c>
      <c r="W90" s="130" t="str">
        <f aca="false">IF(IFERROR(INDEX(tsk_Name,(ROW()-ROW(MSPTasks[[#Headers],[ID]])))="",TRUE()),"",IF(N(INDEX(tsk_Deadline,(ROW()-ROW(MSPTasks[[#Headers],[ID]]))))=0,"",INDEX(tsk_Deadline,(ROW()-ROW(MSPTasks[[#Headers],[ID]])))))</f>
        <v/>
      </c>
      <c r="X90" s="24" t="str">
        <f aca="false">IF(IFERROR(INDEX(tsk_Name,(ROW()-ROW(MSPTasks[[#Headers],[ID]])))="",TRUE()),"",IF(INDEX(tsk_IsSummary,(ROW()-ROW(MSPTasks[[#Headers],[ID]]))),"",INDEX(tsk_Sprint,(ROW()-ROW(MSPTasks[[#Headers],[ID]])))&amp;""))</f>
        <v/>
      </c>
      <c r="Y90" s="24" t="str">
        <f aca="false">IF(IFERROR(INDEX(tsk_Name,(ROW()-ROW(MSPTasks[[#Headers],[ID]])))="",TRUE()),"",IF(INDEX(tsk_IsSummary,(ROW()-ROW(MSPTasks[[#Headers],[ID]]))),"",IF(N(INDEX(tsk_StoryPoints,(ROW()-ROW(MSPTasks[[#Headers],[ID]]))))=0,"",INDEX(tsk_StoryPoints,(ROW()-ROW(MSPTasks[[#Headers],[ID]]))))))</f>
        <v/>
      </c>
      <c r="Z90" s="24" t="str">
        <f aca="false">IF(IFERROR(INDEX(tsk_Name,(ROW()-ROW(MSPTasks[[#Headers],[ID]])))="",TRUE()),"",INDEX(tsk_Notes,(ROW()-ROW(MSPTasks[[#Headers],[ID]])))&amp;"")</f>
        <v/>
      </c>
    </row>
    <row r="91" customFormat="false" ht="15" hidden="false" customHeight="false" outlineLevel="0" collapsed="false">
      <c r="A91" s="24" t="str">
        <f aca="false">IF(IFERROR(INDEX(tsk_Name,(ROW()-ROW(MSPTasks[[#Headers],[ID]])))="",TRUE()),"",INDEX(tsk_ID,(ROW()-ROW(MSPTasks[[#Headers],[ID]]))))</f>
        <v/>
      </c>
      <c r="B91" s="24" t="str">
        <f aca="false">IF(IFERROR(INDEX(tsk_Name,(ROW()-ROW(MSPTasks[[#Headers],[ID]])))="",TRUE()),"",INDEX(tsk_UID,(ROW()-ROW(MSPTasks[[#Headers],[ID]]))))</f>
        <v/>
      </c>
      <c r="C91" s="24" t="str">
        <f aca="false">IF(IFERROR(INDEX(tsk_Name,(ROW()-ROW(MSPTasks[[#Headers],[ID]])))="",TRUE()),"",INDEX(tsk_Name,(ROW()-ROW(MSPTasks[[#Headers],[ID]]))))</f>
        <v/>
      </c>
      <c r="D91" s="24" t="str">
        <f aca="false">IF(IFERROR(INDEX(tsk_Name,(ROW()-ROW(MSPTasks[[#Headers],[ID]])))="",TRUE()),"",INDEX(tsk_Level,(ROW()-ROW(MSPTasks[[#Headers],[ID]]))))</f>
        <v/>
      </c>
      <c r="E91" s="24" t="str">
        <f aca="false">IF(IFERROR(INDEX(tsk_Name,(ROW()-ROW(MSPTasks[[#Headers],[ID]])))="",TRUE()),"",IF(INDEX(tsk_Mode,(ROW()-ROW(MSPTasks[[#Headers],[ID]])))="Manual","Manually Scheduled","Auto Scheduled"))</f>
        <v/>
      </c>
      <c r="F91" s="24" t="str">
        <f aca="false">IF(IFERROR(INDEX(tsk_Name,(ROW()-ROW(MSPTasks[[#Headers],[ID]])))="",TRUE()),"",IF(INDEX(tsk_IsSummary,(ROW()-ROW(MSPTasks[[#Headers],[ID]]))),"",N(INDEX(tsk_Duration,(ROW()-ROW(MSPTasks[[#Headers],[ID]]))))&amp;"d"))</f>
        <v/>
      </c>
      <c r="G91" s="130" t="str">
        <f aca="false">IF(IFERROR(INDEX(tsk_Name,(ROW()-ROW(MSPTasks[[#Headers],[ID]])))="",TRUE()),"",INDEX(tsk_FcStart,(ROW()-ROW(MSPTasks[[#Headers],[ID]]))))</f>
        <v/>
      </c>
      <c r="H91" s="130" t="str">
        <f aca="false">IF(IFERROR(INDEX(tsk_Name,(ROW()-ROW(MSPTasks[[#Headers],[ID]])))="",TRUE()),"",INDEX(tsk_FcFinish,(ROW()-ROW(MSPTasks[[#Headers],[ID]]))))</f>
        <v/>
      </c>
      <c r="I91" s="24" t="str">
        <f aca="false">IF(IFERROR(INDEX(tsk_Name,(ROW()-ROW(MSPTasks[[#Headers],[ID]])))="",TRUE()),"",IF(INDEX(tsk_IsSummary,(ROW()-ROW(MSPTasks[[#Headers],[ID]]))),"",INDEX(tsk_Predecessors,(ROW()-ROW(MSPTasks[[#Headers],[ID]])))))</f>
        <v/>
      </c>
      <c r="J91" s="24" t="str">
        <f aca="false">IF(IFERROR(INDEX(tsk_Name,(ROW()-ROW(MSPTasks[[#Headers],[ID]])))="",TRUE()),"",IF(INDEX(tsk_IsSummary,(ROW()-ROW(MSPTasks[[#Headers],[ID]]))),"",INDEX(tsk_UIDPredecessors,(ROW()-ROW(MSPTasks[[#Headers],[ID]])))))</f>
        <v/>
      </c>
      <c r="K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1" s="24" t="str">
        <f aca="false">IF(IFERROR(INDEX(tsk_Name,(ROW()-ROW(MSPTasks[[#Headers],[ID]])))="",TRUE()),"",IF(INDEX(tsk_IsSummary,(ROW()-ROW(MSPTasks[[#Headers],[ID]]))),"",ROUND(INDEX(tsk_Progress,(ROW()-ROW(MSPTasks[[#Headers],[ID]])))*100,0)))</f>
        <v/>
      </c>
      <c r="M91" s="130" t="str">
        <f aca="false">IF(IFERROR(INDEX(tsk_Name,(ROW()-ROW(MSPTasks[[#Headers],[ID]])))="",TRUE()),"",IF(N(INDEX(tsk_ActStart,(ROW()-ROW(MSPTasks[[#Headers],[ID]]))))=0,"",INDEX(tsk_ActStart,(ROW()-ROW(MSPTasks[[#Headers],[ID]])))))</f>
        <v/>
      </c>
      <c r="N91" s="130" t="str">
        <f aca="false">IF(IFERROR(INDEX(tsk_Name,(ROW()-ROW(MSPTasks[[#Headers],[ID]])))="",TRUE()),"",IF(N(INDEX(tsk_ActFinish,(ROW()-ROW(MSPTasks[[#Headers],[ID]]))))=0,"",INDEX(tsk_ActFinish,(ROW()-ROW(MSPTasks[[#Headers],[ID]])))))</f>
        <v/>
      </c>
      <c r="O91" s="130" t="str">
        <f aca="false">IF(IFERROR(INDEX(tsk_Name,(ROW()-ROW(MSPTasks[[#Headers],[ID]])))="",TRUE()),"",INDEX(tsk_PlanStart,(ROW()-ROW(MSPTasks[[#Headers],[ID]]))))</f>
        <v/>
      </c>
      <c r="P91" s="130" t="str">
        <f aca="false">IF(IFERROR(INDEX(tsk_Name,(ROW()-ROW(MSPTasks[[#Headers],[ID]])))="",TRUE()),"",INDEX(tsk_PlanFinish,(ROW()-ROW(MSPTasks[[#Headers],[ID]]))))</f>
        <v/>
      </c>
      <c r="Q91" s="24" t="str">
        <f aca="false">IF(IFERROR(INDEX(tsk_Name,(ROW()-ROW(MSPTasks[[#Headers],[ID]])))="",TRUE()),"",IF(INDEX(tsk_BaseDuration,(ROW()-ROW(MSPTasks[[#Headers],[ID]])))="","",N(INDEX(tsk_BaseDuration,(ROW()-ROW(MSPTasks[[#Headers],[ID]]))))&amp;"d"))</f>
        <v/>
      </c>
      <c r="R91" s="24" t="str">
        <f aca="false">IF(IFERROR(INDEX(tsk_Name,(ROW()-ROW(MSPTasks[[#Headers],[ID]])))="",TRUE()),"",IF(INDEX(tsk_BaseWork,(ROW()-ROW(MSPTasks[[#Headers],[ID]])))="","",N(INDEX(tsk_BaseWork,(ROW()-ROW(MSPTasks[[#Headers],[ID]]))))&amp;"h"))</f>
        <v/>
      </c>
      <c r="S91" s="24" t="str">
        <f aca="false">IF(IFERROR(INDEX(tsk_Name,(ROW()-ROW(MSPTasks[[#Headers],[ID]])))="",TRUE()),"",IF(INDEX(tsk_BaseCost,(ROW()-ROW(MSPTasks[[#Headers],[ID]])))="","",N(INDEX(tsk_BaseCost,(ROW()-ROW(MSPTasks[[#Headers],[ID]]))))))</f>
        <v/>
      </c>
      <c r="T91" s="24" t="str">
        <f aca="false">IF(IFERROR(INDEX(tsk_Name,(ROW()-ROW(MSPTasks[[#Headers],[ID]])))="",TRUE()),"",IF(INDEX(tsk_IsSummary,(ROW()-ROW(MSPTasks[[#Headers],[ID]]))),"",IF(N(INDEX(tsk_ActCostInput,(ROW()-ROW(MSPTasks[[#Headers],[ID]]))))=0,"",INDEX(tsk_ActCostInput,(ROW()-ROW(MSPTasks[[#Headers],[ID]]))))))</f>
        <v/>
      </c>
      <c r="U91" s="24" t="str">
        <f aca="false">IF(IFERROR(INDEX(tsk_Name,(ROW()-ROW(MSPTasks[[#Headers],[ID]])))="",TRUE()),"",IF(INDEX(tsk_IsSummary,(ROW()-ROW(MSPTasks[[#Headers],[ID]]))),"",IF(AND(INDEX(tsk_Mode,(ROW()-ROW(MSPTasks[[#Headers],[ID]])))&lt;&gt;"Manual",N(INDEX(tsk_Constraint,(ROW()-ROW(MSPTasks[[#Headers],[ID]]))))&gt;0),"Start No Earlier Than","As Soon As Possible")))</f>
        <v/>
      </c>
      <c r="V91" s="130" t="str">
        <f aca="false">IF(IFERROR(INDEX(tsk_Name,(ROW()-ROW(MSPTasks[[#Headers],[ID]])))="",TRUE()),"",IF(OR(INDEX(tsk_IsSummary,(ROW()-ROW(MSPTasks[[#Headers],[ID]]))),INDEX(tsk_Mode,(ROW()-ROW(MSPTasks[[#Headers],[ID]])))="Manual"),"",IF(N(INDEX(tsk_Constraint,(ROW()-ROW(MSPTasks[[#Headers],[ID]]))))=0,"",INDEX(tsk_Constraint,(ROW()-ROW(MSPTasks[[#Headers],[ID]]))))))</f>
        <v/>
      </c>
      <c r="W91" s="130" t="str">
        <f aca="false">IF(IFERROR(INDEX(tsk_Name,(ROW()-ROW(MSPTasks[[#Headers],[ID]])))="",TRUE()),"",IF(N(INDEX(tsk_Deadline,(ROW()-ROW(MSPTasks[[#Headers],[ID]]))))=0,"",INDEX(tsk_Deadline,(ROW()-ROW(MSPTasks[[#Headers],[ID]])))))</f>
        <v/>
      </c>
      <c r="X91" s="24" t="str">
        <f aca="false">IF(IFERROR(INDEX(tsk_Name,(ROW()-ROW(MSPTasks[[#Headers],[ID]])))="",TRUE()),"",IF(INDEX(tsk_IsSummary,(ROW()-ROW(MSPTasks[[#Headers],[ID]]))),"",INDEX(tsk_Sprint,(ROW()-ROW(MSPTasks[[#Headers],[ID]])))&amp;""))</f>
        <v/>
      </c>
      <c r="Y91" s="24" t="str">
        <f aca="false">IF(IFERROR(INDEX(tsk_Name,(ROW()-ROW(MSPTasks[[#Headers],[ID]])))="",TRUE()),"",IF(INDEX(tsk_IsSummary,(ROW()-ROW(MSPTasks[[#Headers],[ID]]))),"",IF(N(INDEX(tsk_StoryPoints,(ROW()-ROW(MSPTasks[[#Headers],[ID]]))))=0,"",INDEX(tsk_StoryPoints,(ROW()-ROW(MSPTasks[[#Headers],[ID]]))))))</f>
        <v/>
      </c>
      <c r="Z91" s="24" t="str">
        <f aca="false">IF(IFERROR(INDEX(tsk_Name,(ROW()-ROW(MSPTasks[[#Headers],[ID]])))="",TRUE()),"",INDEX(tsk_Notes,(ROW()-ROW(MSPTasks[[#Headers],[ID]])))&amp;"")</f>
        <v/>
      </c>
    </row>
    <row r="92" customFormat="false" ht="15" hidden="false" customHeight="false" outlineLevel="0" collapsed="false">
      <c r="A92" s="24" t="str">
        <f aca="false">IF(IFERROR(INDEX(tsk_Name,(ROW()-ROW(MSPTasks[[#Headers],[ID]])))="",TRUE()),"",INDEX(tsk_ID,(ROW()-ROW(MSPTasks[[#Headers],[ID]]))))</f>
        <v/>
      </c>
      <c r="B92" s="24" t="str">
        <f aca="false">IF(IFERROR(INDEX(tsk_Name,(ROW()-ROW(MSPTasks[[#Headers],[ID]])))="",TRUE()),"",INDEX(tsk_UID,(ROW()-ROW(MSPTasks[[#Headers],[ID]]))))</f>
        <v/>
      </c>
      <c r="C92" s="24" t="str">
        <f aca="false">IF(IFERROR(INDEX(tsk_Name,(ROW()-ROW(MSPTasks[[#Headers],[ID]])))="",TRUE()),"",INDEX(tsk_Name,(ROW()-ROW(MSPTasks[[#Headers],[ID]]))))</f>
        <v/>
      </c>
      <c r="D92" s="24" t="str">
        <f aca="false">IF(IFERROR(INDEX(tsk_Name,(ROW()-ROW(MSPTasks[[#Headers],[ID]])))="",TRUE()),"",INDEX(tsk_Level,(ROW()-ROW(MSPTasks[[#Headers],[ID]]))))</f>
        <v/>
      </c>
      <c r="E92" s="24" t="str">
        <f aca="false">IF(IFERROR(INDEX(tsk_Name,(ROW()-ROW(MSPTasks[[#Headers],[ID]])))="",TRUE()),"",IF(INDEX(tsk_Mode,(ROW()-ROW(MSPTasks[[#Headers],[ID]])))="Manual","Manually Scheduled","Auto Scheduled"))</f>
        <v/>
      </c>
      <c r="F92" s="24" t="str">
        <f aca="false">IF(IFERROR(INDEX(tsk_Name,(ROW()-ROW(MSPTasks[[#Headers],[ID]])))="",TRUE()),"",IF(INDEX(tsk_IsSummary,(ROW()-ROW(MSPTasks[[#Headers],[ID]]))),"",N(INDEX(tsk_Duration,(ROW()-ROW(MSPTasks[[#Headers],[ID]]))))&amp;"d"))</f>
        <v/>
      </c>
      <c r="G92" s="130" t="str">
        <f aca="false">IF(IFERROR(INDEX(tsk_Name,(ROW()-ROW(MSPTasks[[#Headers],[ID]])))="",TRUE()),"",INDEX(tsk_FcStart,(ROW()-ROW(MSPTasks[[#Headers],[ID]]))))</f>
        <v/>
      </c>
      <c r="H92" s="130" t="str">
        <f aca="false">IF(IFERROR(INDEX(tsk_Name,(ROW()-ROW(MSPTasks[[#Headers],[ID]])))="",TRUE()),"",INDEX(tsk_FcFinish,(ROW()-ROW(MSPTasks[[#Headers],[ID]]))))</f>
        <v/>
      </c>
      <c r="I92" s="24" t="str">
        <f aca="false">IF(IFERROR(INDEX(tsk_Name,(ROW()-ROW(MSPTasks[[#Headers],[ID]])))="",TRUE()),"",IF(INDEX(tsk_IsSummary,(ROW()-ROW(MSPTasks[[#Headers],[ID]]))),"",INDEX(tsk_Predecessors,(ROW()-ROW(MSPTasks[[#Headers],[ID]])))))</f>
        <v/>
      </c>
      <c r="J92" s="24" t="str">
        <f aca="false">IF(IFERROR(INDEX(tsk_Name,(ROW()-ROW(MSPTasks[[#Headers],[ID]])))="",TRUE()),"",IF(INDEX(tsk_IsSummary,(ROW()-ROW(MSPTasks[[#Headers],[ID]]))),"",INDEX(tsk_UIDPredecessors,(ROW()-ROW(MSPTasks[[#Headers],[ID]])))))</f>
        <v/>
      </c>
      <c r="K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2" s="24" t="str">
        <f aca="false">IF(IFERROR(INDEX(tsk_Name,(ROW()-ROW(MSPTasks[[#Headers],[ID]])))="",TRUE()),"",IF(INDEX(tsk_IsSummary,(ROW()-ROW(MSPTasks[[#Headers],[ID]]))),"",ROUND(INDEX(tsk_Progress,(ROW()-ROW(MSPTasks[[#Headers],[ID]])))*100,0)))</f>
        <v/>
      </c>
      <c r="M92" s="130" t="str">
        <f aca="false">IF(IFERROR(INDEX(tsk_Name,(ROW()-ROW(MSPTasks[[#Headers],[ID]])))="",TRUE()),"",IF(N(INDEX(tsk_ActStart,(ROW()-ROW(MSPTasks[[#Headers],[ID]]))))=0,"",INDEX(tsk_ActStart,(ROW()-ROW(MSPTasks[[#Headers],[ID]])))))</f>
        <v/>
      </c>
      <c r="N92" s="130" t="str">
        <f aca="false">IF(IFERROR(INDEX(tsk_Name,(ROW()-ROW(MSPTasks[[#Headers],[ID]])))="",TRUE()),"",IF(N(INDEX(tsk_ActFinish,(ROW()-ROW(MSPTasks[[#Headers],[ID]]))))=0,"",INDEX(tsk_ActFinish,(ROW()-ROW(MSPTasks[[#Headers],[ID]])))))</f>
        <v/>
      </c>
      <c r="O92" s="130" t="str">
        <f aca="false">IF(IFERROR(INDEX(tsk_Name,(ROW()-ROW(MSPTasks[[#Headers],[ID]])))="",TRUE()),"",INDEX(tsk_PlanStart,(ROW()-ROW(MSPTasks[[#Headers],[ID]]))))</f>
        <v/>
      </c>
      <c r="P92" s="130" t="str">
        <f aca="false">IF(IFERROR(INDEX(tsk_Name,(ROW()-ROW(MSPTasks[[#Headers],[ID]])))="",TRUE()),"",INDEX(tsk_PlanFinish,(ROW()-ROW(MSPTasks[[#Headers],[ID]]))))</f>
        <v/>
      </c>
      <c r="Q92" s="24" t="str">
        <f aca="false">IF(IFERROR(INDEX(tsk_Name,(ROW()-ROW(MSPTasks[[#Headers],[ID]])))="",TRUE()),"",IF(INDEX(tsk_BaseDuration,(ROW()-ROW(MSPTasks[[#Headers],[ID]])))="","",N(INDEX(tsk_BaseDuration,(ROW()-ROW(MSPTasks[[#Headers],[ID]]))))&amp;"d"))</f>
        <v/>
      </c>
      <c r="R92" s="24" t="str">
        <f aca="false">IF(IFERROR(INDEX(tsk_Name,(ROW()-ROW(MSPTasks[[#Headers],[ID]])))="",TRUE()),"",IF(INDEX(tsk_BaseWork,(ROW()-ROW(MSPTasks[[#Headers],[ID]])))="","",N(INDEX(tsk_BaseWork,(ROW()-ROW(MSPTasks[[#Headers],[ID]]))))&amp;"h"))</f>
        <v/>
      </c>
      <c r="S92" s="24" t="str">
        <f aca="false">IF(IFERROR(INDEX(tsk_Name,(ROW()-ROW(MSPTasks[[#Headers],[ID]])))="",TRUE()),"",IF(INDEX(tsk_BaseCost,(ROW()-ROW(MSPTasks[[#Headers],[ID]])))="","",N(INDEX(tsk_BaseCost,(ROW()-ROW(MSPTasks[[#Headers],[ID]]))))))</f>
        <v/>
      </c>
      <c r="T92" s="24" t="str">
        <f aca="false">IF(IFERROR(INDEX(tsk_Name,(ROW()-ROW(MSPTasks[[#Headers],[ID]])))="",TRUE()),"",IF(INDEX(tsk_IsSummary,(ROW()-ROW(MSPTasks[[#Headers],[ID]]))),"",IF(N(INDEX(tsk_ActCostInput,(ROW()-ROW(MSPTasks[[#Headers],[ID]]))))=0,"",INDEX(tsk_ActCostInput,(ROW()-ROW(MSPTasks[[#Headers],[ID]]))))))</f>
        <v/>
      </c>
      <c r="U92" s="24" t="str">
        <f aca="false">IF(IFERROR(INDEX(tsk_Name,(ROW()-ROW(MSPTasks[[#Headers],[ID]])))="",TRUE()),"",IF(INDEX(tsk_IsSummary,(ROW()-ROW(MSPTasks[[#Headers],[ID]]))),"",IF(AND(INDEX(tsk_Mode,(ROW()-ROW(MSPTasks[[#Headers],[ID]])))&lt;&gt;"Manual",N(INDEX(tsk_Constraint,(ROW()-ROW(MSPTasks[[#Headers],[ID]]))))&gt;0),"Start No Earlier Than","As Soon As Possible")))</f>
        <v/>
      </c>
      <c r="V92" s="130" t="str">
        <f aca="false">IF(IFERROR(INDEX(tsk_Name,(ROW()-ROW(MSPTasks[[#Headers],[ID]])))="",TRUE()),"",IF(OR(INDEX(tsk_IsSummary,(ROW()-ROW(MSPTasks[[#Headers],[ID]]))),INDEX(tsk_Mode,(ROW()-ROW(MSPTasks[[#Headers],[ID]])))="Manual"),"",IF(N(INDEX(tsk_Constraint,(ROW()-ROW(MSPTasks[[#Headers],[ID]]))))=0,"",INDEX(tsk_Constraint,(ROW()-ROW(MSPTasks[[#Headers],[ID]]))))))</f>
        <v/>
      </c>
      <c r="W92" s="130" t="str">
        <f aca="false">IF(IFERROR(INDEX(tsk_Name,(ROW()-ROW(MSPTasks[[#Headers],[ID]])))="",TRUE()),"",IF(N(INDEX(tsk_Deadline,(ROW()-ROW(MSPTasks[[#Headers],[ID]]))))=0,"",INDEX(tsk_Deadline,(ROW()-ROW(MSPTasks[[#Headers],[ID]])))))</f>
        <v/>
      </c>
      <c r="X92" s="24" t="str">
        <f aca="false">IF(IFERROR(INDEX(tsk_Name,(ROW()-ROW(MSPTasks[[#Headers],[ID]])))="",TRUE()),"",IF(INDEX(tsk_IsSummary,(ROW()-ROW(MSPTasks[[#Headers],[ID]]))),"",INDEX(tsk_Sprint,(ROW()-ROW(MSPTasks[[#Headers],[ID]])))&amp;""))</f>
        <v/>
      </c>
      <c r="Y92" s="24" t="str">
        <f aca="false">IF(IFERROR(INDEX(tsk_Name,(ROW()-ROW(MSPTasks[[#Headers],[ID]])))="",TRUE()),"",IF(INDEX(tsk_IsSummary,(ROW()-ROW(MSPTasks[[#Headers],[ID]]))),"",IF(N(INDEX(tsk_StoryPoints,(ROW()-ROW(MSPTasks[[#Headers],[ID]]))))=0,"",INDEX(tsk_StoryPoints,(ROW()-ROW(MSPTasks[[#Headers],[ID]]))))))</f>
        <v/>
      </c>
      <c r="Z92" s="24" t="str">
        <f aca="false">IF(IFERROR(INDEX(tsk_Name,(ROW()-ROW(MSPTasks[[#Headers],[ID]])))="",TRUE()),"",INDEX(tsk_Notes,(ROW()-ROW(MSPTasks[[#Headers],[ID]])))&amp;"")</f>
        <v/>
      </c>
    </row>
    <row r="93" customFormat="false" ht="15" hidden="false" customHeight="false" outlineLevel="0" collapsed="false">
      <c r="A93" s="24" t="str">
        <f aca="false">IF(IFERROR(INDEX(tsk_Name,(ROW()-ROW(MSPTasks[[#Headers],[ID]])))="",TRUE()),"",INDEX(tsk_ID,(ROW()-ROW(MSPTasks[[#Headers],[ID]]))))</f>
        <v/>
      </c>
      <c r="B93" s="24" t="str">
        <f aca="false">IF(IFERROR(INDEX(tsk_Name,(ROW()-ROW(MSPTasks[[#Headers],[ID]])))="",TRUE()),"",INDEX(tsk_UID,(ROW()-ROW(MSPTasks[[#Headers],[ID]]))))</f>
        <v/>
      </c>
      <c r="C93" s="24" t="str">
        <f aca="false">IF(IFERROR(INDEX(tsk_Name,(ROW()-ROW(MSPTasks[[#Headers],[ID]])))="",TRUE()),"",INDEX(tsk_Name,(ROW()-ROW(MSPTasks[[#Headers],[ID]]))))</f>
        <v/>
      </c>
      <c r="D93" s="24" t="str">
        <f aca="false">IF(IFERROR(INDEX(tsk_Name,(ROW()-ROW(MSPTasks[[#Headers],[ID]])))="",TRUE()),"",INDEX(tsk_Level,(ROW()-ROW(MSPTasks[[#Headers],[ID]]))))</f>
        <v/>
      </c>
      <c r="E93" s="24" t="str">
        <f aca="false">IF(IFERROR(INDEX(tsk_Name,(ROW()-ROW(MSPTasks[[#Headers],[ID]])))="",TRUE()),"",IF(INDEX(tsk_Mode,(ROW()-ROW(MSPTasks[[#Headers],[ID]])))="Manual","Manually Scheduled","Auto Scheduled"))</f>
        <v/>
      </c>
      <c r="F93" s="24" t="str">
        <f aca="false">IF(IFERROR(INDEX(tsk_Name,(ROW()-ROW(MSPTasks[[#Headers],[ID]])))="",TRUE()),"",IF(INDEX(tsk_IsSummary,(ROW()-ROW(MSPTasks[[#Headers],[ID]]))),"",N(INDEX(tsk_Duration,(ROW()-ROW(MSPTasks[[#Headers],[ID]]))))&amp;"d"))</f>
        <v/>
      </c>
      <c r="G93" s="130" t="str">
        <f aca="false">IF(IFERROR(INDEX(tsk_Name,(ROW()-ROW(MSPTasks[[#Headers],[ID]])))="",TRUE()),"",INDEX(tsk_FcStart,(ROW()-ROW(MSPTasks[[#Headers],[ID]]))))</f>
        <v/>
      </c>
      <c r="H93" s="130" t="str">
        <f aca="false">IF(IFERROR(INDEX(tsk_Name,(ROW()-ROW(MSPTasks[[#Headers],[ID]])))="",TRUE()),"",INDEX(tsk_FcFinish,(ROW()-ROW(MSPTasks[[#Headers],[ID]]))))</f>
        <v/>
      </c>
      <c r="I93" s="24" t="str">
        <f aca="false">IF(IFERROR(INDEX(tsk_Name,(ROW()-ROW(MSPTasks[[#Headers],[ID]])))="",TRUE()),"",IF(INDEX(tsk_IsSummary,(ROW()-ROW(MSPTasks[[#Headers],[ID]]))),"",INDEX(tsk_Predecessors,(ROW()-ROW(MSPTasks[[#Headers],[ID]])))))</f>
        <v/>
      </c>
      <c r="J93" s="24" t="str">
        <f aca="false">IF(IFERROR(INDEX(tsk_Name,(ROW()-ROW(MSPTasks[[#Headers],[ID]])))="",TRUE()),"",IF(INDEX(tsk_IsSummary,(ROW()-ROW(MSPTasks[[#Headers],[ID]]))),"",INDEX(tsk_UIDPredecessors,(ROW()-ROW(MSPTasks[[#Headers],[ID]])))))</f>
        <v/>
      </c>
      <c r="K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3" s="24" t="str">
        <f aca="false">IF(IFERROR(INDEX(tsk_Name,(ROW()-ROW(MSPTasks[[#Headers],[ID]])))="",TRUE()),"",IF(INDEX(tsk_IsSummary,(ROW()-ROW(MSPTasks[[#Headers],[ID]]))),"",ROUND(INDEX(tsk_Progress,(ROW()-ROW(MSPTasks[[#Headers],[ID]])))*100,0)))</f>
        <v/>
      </c>
      <c r="M93" s="130" t="str">
        <f aca="false">IF(IFERROR(INDEX(tsk_Name,(ROW()-ROW(MSPTasks[[#Headers],[ID]])))="",TRUE()),"",IF(N(INDEX(tsk_ActStart,(ROW()-ROW(MSPTasks[[#Headers],[ID]]))))=0,"",INDEX(tsk_ActStart,(ROW()-ROW(MSPTasks[[#Headers],[ID]])))))</f>
        <v/>
      </c>
      <c r="N93" s="130" t="str">
        <f aca="false">IF(IFERROR(INDEX(tsk_Name,(ROW()-ROW(MSPTasks[[#Headers],[ID]])))="",TRUE()),"",IF(N(INDEX(tsk_ActFinish,(ROW()-ROW(MSPTasks[[#Headers],[ID]]))))=0,"",INDEX(tsk_ActFinish,(ROW()-ROW(MSPTasks[[#Headers],[ID]])))))</f>
        <v/>
      </c>
      <c r="O93" s="130" t="str">
        <f aca="false">IF(IFERROR(INDEX(tsk_Name,(ROW()-ROW(MSPTasks[[#Headers],[ID]])))="",TRUE()),"",INDEX(tsk_PlanStart,(ROW()-ROW(MSPTasks[[#Headers],[ID]]))))</f>
        <v/>
      </c>
      <c r="P93" s="130" t="str">
        <f aca="false">IF(IFERROR(INDEX(tsk_Name,(ROW()-ROW(MSPTasks[[#Headers],[ID]])))="",TRUE()),"",INDEX(tsk_PlanFinish,(ROW()-ROW(MSPTasks[[#Headers],[ID]]))))</f>
        <v/>
      </c>
      <c r="Q93" s="24" t="str">
        <f aca="false">IF(IFERROR(INDEX(tsk_Name,(ROW()-ROW(MSPTasks[[#Headers],[ID]])))="",TRUE()),"",IF(INDEX(tsk_BaseDuration,(ROW()-ROW(MSPTasks[[#Headers],[ID]])))="","",N(INDEX(tsk_BaseDuration,(ROW()-ROW(MSPTasks[[#Headers],[ID]]))))&amp;"d"))</f>
        <v/>
      </c>
      <c r="R93" s="24" t="str">
        <f aca="false">IF(IFERROR(INDEX(tsk_Name,(ROW()-ROW(MSPTasks[[#Headers],[ID]])))="",TRUE()),"",IF(INDEX(tsk_BaseWork,(ROW()-ROW(MSPTasks[[#Headers],[ID]])))="","",N(INDEX(tsk_BaseWork,(ROW()-ROW(MSPTasks[[#Headers],[ID]]))))&amp;"h"))</f>
        <v/>
      </c>
      <c r="S93" s="24" t="str">
        <f aca="false">IF(IFERROR(INDEX(tsk_Name,(ROW()-ROW(MSPTasks[[#Headers],[ID]])))="",TRUE()),"",IF(INDEX(tsk_BaseCost,(ROW()-ROW(MSPTasks[[#Headers],[ID]])))="","",N(INDEX(tsk_BaseCost,(ROW()-ROW(MSPTasks[[#Headers],[ID]]))))))</f>
        <v/>
      </c>
      <c r="T93" s="24" t="str">
        <f aca="false">IF(IFERROR(INDEX(tsk_Name,(ROW()-ROW(MSPTasks[[#Headers],[ID]])))="",TRUE()),"",IF(INDEX(tsk_IsSummary,(ROW()-ROW(MSPTasks[[#Headers],[ID]]))),"",IF(N(INDEX(tsk_ActCostInput,(ROW()-ROW(MSPTasks[[#Headers],[ID]]))))=0,"",INDEX(tsk_ActCostInput,(ROW()-ROW(MSPTasks[[#Headers],[ID]]))))))</f>
        <v/>
      </c>
      <c r="U93" s="24" t="str">
        <f aca="false">IF(IFERROR(INDEX(tsk_Name,(ROW()-ROW(MSPTasks[[#Headers],[ID]])))="",TRUE()),"",IF(INDEX(tsk_IsSummary,(ROW()-ROW(MSPTasks[[#Headers],[ID]]))),"",IF(AND(INDEX(tsk_Mode,(ROW()-ROW(MSPTasks[[#Headers],[ID]])))&lt;&gt;"Manual",N(INDEX(tsk_Constraint,(ROW()-ROW(MSPTasks[[#Headers],[ID]]))))&gt;0),"Start No Earlier Than","As Soon As Possible")))</f>
        <v/>
      </c>
      <c r="V93" s="130" t="str">
        <f aca="false">IF(IFERROR(INDEX(tsk_Name,(ROW()-ROW(MSPTasks[[#Headers],[ID]])))="",TRUE()),"",IF(OR(INDEX(tsk_IsSummary,(ROW()-ROW(MSPTasks[[#Headers],[ID]]))),INDEX(tsk_Mode,(ROW()-ROW(MSPTasks[[#Headers],[ID]])))="Manual"),"",IF(N(INDEX(tsk_Constraint,(ROW()-ROW(MSPTasks[[#Headers],[ID]]))))=0,"",INDEX(tsk_Constraint,(ROW()-ROW(MSPTasks[[#Headers],[ID]]))))))</f>
        <v/>
      </c>
      <c r="W93" s="130" t="str">
        <f aca="false">IF(IFERROR(INDEX(tsk_Name,(ROW()-ROW(MSPTasks[[#Headers],[ID]])))="",TRUE()),"",IF(N(INDEX(tsk_Deadline,(ROW()-ROW(MSPTasks[[#Headers],[ID]]))))=0,"",INDEX(tsk_Deadline,(ROW()-ROW(MSPTasks[[#Headers],[ID]])))))</f>
        <v/>
      </c>
      <c r="X93" s="24" t="str">
        <f aca="false">IF(IFERROR(INDEX(tsk_Name,(ROW()-ROW(MSPTasks[[#Headers],[ID]])))="",TRUE()),"",IF(INDEX(tsk_IsSummary,(ROW()-ROW(MSPTasks[[#Headers],[ID]]))),"",INDEX(tsk_Sprint,(ROW()-ROW(MSPTasks[[#Headers],[ID]])))&amp;""))</f>
        <v/>
      </c>
      <c r="Y93" s="24" t="str">
        <f aca="false">IF(IFERROR(INDEX(tsk_Name,(ROW()-ROW(MSPTasks[[#Headers],[ID]])))="",TRUE()),"",IF(INDEX(tsk_IsSummary,(ROW()-ROW(MSPTasks[[#Headers],[ID]]))),"",IF(N(INDEX(tsk_StoryPoints,(ROW()-ROW(MSPTasks[[#Headers],[ID]]))))=0,"",INDEX(tsk_StoryPoints,(ROW()-ROW(MSPTasks[[#Headers],[ID]]))))))</f>
        <v/>
      </c>
      <c r="Z93" s="24" t="str">
        <f aca="false">IF(IFERROR(INDEX(tsk_Name,(ROW()-ROW(MSPTasks[[#Headers],[ID]])))="",TRUE()),"",INDEX(tsk_Notes,(ROW()-ROW(MSPTasks[[#Headers],[ID]])))&amp;"")</f>
        <v/>
      </c>
    </row>
    <row r="94" customFormat="false" ht="15" hidden="false" customHeight="false" outlineLevel="0" collapsed="false">
      <c r="A94" s="24" t="str">
        <f aca="false">IF(IFERROR(INDEX(tsk_Name,(ROW()-ROW(MSPTasks[[#Headers],[ID]])))="",TRUE()),"",INDEX(tsk_ID,(ROW()-ROW(MSPTasks[[#Headers],[ID]]))))</f>
        <v/>
      </c>
      <c r="B94" s="24" t="str">
        <f aca="false">IF(IFERROR(INDEX(tsk_Name,(ROW()-ROW(MSPTasks[[#Headers],[ID]])))="",TRUE()),"",INDEX(tsk_UID,(ROW()-ROW(MSPTasks[[#Headers],[ID]]))))</f>
        <v/>
      </c>
      <c r="C94" s="24" t="str">
        <f aca="false">IF(IFERROR(INDEX(tsk_Name,(ROW()-ROW(MSPTasks[[#Headers],[ID]])))="",TRUE()),"",INDEX(tsk_Name,(ROW()-ROW(MSPTasks[[#Headers],[ID]]))))</f>
        <v/>
      </c>
      <c r="D94" s="24" t="str">
        <f aca="false">IF(IFERROR(INDEX(tsk_Name,(ROW()-ROW(MSPTasks[[#Headers],[ID]])))="",TRUE()),"",INDEX(tsk_Level,(ROW()-ROW(MSPTasks[[#Headers],[ID]]))))</f>
        <v/>
      </c>
      <c r="E94" s="24" t="str">
        <f aca="false">IF(IFERROR(INDEX(tsk_Name,(ROW()-ROW(MSPTasks[[#Headers],[ID]])))="",TRUE()),"",IF(INDEX(tsk_Mode,(ROW()-ROW(MSPTasks[[#Headers],[ID]])))="Manual","Manually Scheduled","Auto Scheduled"))</f>
        <v/>
      </c>
      <c r="F94" s="24" t="str">
        <f aca="false">IF(IFERROR(INDEX(tsk_Name,(ROW()-ROW(MSPTasks[[#Headers],[ID]])))="",TRUE()),"",IF(INDEX(tsk_IsSummary,(ROW()-ROW(MSPTasks[[#Headers],[ID]]))),"",N(INDEX(tsk_Duration,(ROW()-ROW(MSPTasks[[#Headers],[ID]]))))&amp;"d"))</f>
        <v/>
      </c>
      <c r="G94" s="130" t="str">
        <f aca="false">IF(IFERROR(INDEX(tsk_Name,(ROW()-ROW(MSPTasks[[#Headers],[ID]])))="",TRUE()),"",INDEX(tsk_FcStart,(ROW()-ROW(MSPTasks[[#Headers],[ID]]))))</f>
        <v/>
      </c>
      <c r="H94" s="130" t="str">
        <f aca="false">IF(IFERROR(INDEX(tsk_Name,(ROW()-ROW(MSPTasks[[#Headers],[ID]])))="",TRUE()),"",INDEX(tsk_FcFinish,(ROW()-ROW(MSPTasks[[#Headers],[ID]]))))</f>
        <v/>
      </c>
      <c r="I94" s="24" t="str">
        <f aca="false">IF(IFERROR(INDEX(tsk_Name,(ROW()-ROW(MSPTasks[[#Headers],[ID]])))="",TRUE()),"",IF(INDEX(tsk_IsSummary,(ROW()-ROW(MSPTasks[[#Headers],[ID]]))),"",INDEX(tsk_Predecessors,(ROW()-ROW(MSPTasks[[#Headers],[ID]])))))</f>
        <v/>
      </c>
      <c r="J94" s="24" t="str">
        <f aca="false">IF(IFERROR(INDEX(tsk_Name,(ROW()-ROW(MSPTasks[[#Headers],[ID]])))="",TRUE()),"",IF(INDEX(tsk_IsSummary,(ROW()-ROW(MSPTasks[[#Headers],[ID]]))),"",INDEX(tsk_UIDPredecessors,(ROW()-ROW(MSPTasks[[#Headers],[ID]])))))</f>
        <v/>
      </c>
      <c r="K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4" s="24" t="str">
        <f aca="false">IF(IFERROR(INDEX(tsk_Name,(ROW()-ROW(MSPTasks[[#Headers],[ID]])))="",TRUE()),"",IF(INDEX(tsk_IsSummary,(ROW()-ROW(MSPTasks[[#Headers],[ID]]))),"",ROUND(INDEX(tsk_Progress,(ROW()-ROW(MSPTasks[[#Headers],[ID]])))*100,0)))</f>
        <v/>
      </c>
      <c r="M94" s="130" t="str">
        <f aca="false">IF(IFERROR(INDEX(tsk_Name,(ROW()-ROW(MSPTasks[[#Headers],[ID]])))="",TRUE()),"",IF(N(INDEX(tsk_ActStart,(ROW()-ROW(MSPTasks[[#Headers],[ID]]))))=0,"",INDEX(tsk_ActStart,(ROW()-ROW(MSPTasks[[#Headers],[ID]])))))</f>
        <v/>
      </c>
      <c r="N94" s="130" t="str">
        <f aca="false">IF(IFERROR(INDEX(tsk_Name,(ROW()-ROW(MSPTasks[[#Headers],[ID]])))="",TRUE()),"",IF(N(INDEX(tsk_ActFinish,(ROW()-ROW(MSPTasks[[#Headers],[ID]]))))=0,"",INDEX(tsk_ActFinish,(ROW()-ROW(MSPTasks[[#Headers],[ID]])))))</f>
        <v/>
      </c>
      <c r="O94" s="130" t="str">
        <f aca="false">IF(IFERROR(INDEX(tsk_Name,(ROW()-ROW(MSPTasks[[#Headers],[ID]])))="",TRUE()),"",INDEX(tsk_PlanStart,(ROW()-ROW(MSPTasks[[#Headers],[ID]]))))</f>
        <v/>
      </c>
      <c r="P94" s="130" t="str">
        <f aca="false">IF(IFERROR(INDEX(tsk_Name,(ROW()-ROW(MSPTasks[[#Headers],[ID]])))="",TRUE()),"",INDEX(tsk_PlanFinish,(ROW()-ROW(MSPTasks[[#Headers],[ID]]))))</f>
        <v/>
      </c>
      <c r="Q94" s="24" t="str">
        <f aca="false">IF(IFERROR(INDEX(tsk_Name,(ROW()-ROW(MSPTasks[[#Headers],[ID]])))="",TRUE()),"",IF(INDEX(tsk_BaseDuration,(ROW()-ROW(MSPTasks[[#Headers],[ID]])))="","",N(INDEX(tsk_BaseDuration,(ROW()-ROW(MSPTasks[[#Headers],[ID]]))))&amp;"d"))</f>
        <v/>
      </c>
      <c r="R94" s="24" t="str">
        <f aca="false">IF(IFERROR(INDEX(tsk_Name,(ROW()-ROW(MSPTasks[[#Headers],[ID]])))="",TRUE()),"",IF(INDEX(tsk_BaseWork,(ROW()-ROW(MSPTasks[[#Headers],[ID]])))="","",N(INDEX(tsk_BaseWork,(ROW()-ROW(MSPTasks[[#Headers],[ID]]))))&amp;"h"))</f>
        <v/>
      </c>
      <c r="S94" s="24" t="str">
        <f aca="false">IF(IFERROR(INDEX(tsk_Name,(ROW()-ROW(MSPTasks[[#Headers],[ID]])))="",TRUE()),"",IF(INDEX(tsk_BaseCost,(ROW()-ROW(MSPTasks[[#Headers],[ID]])))="","",N(INDEX(tsk_BaseCost,(ROW()-ROW(MSPTasks[[#Headers],[ID]]))))))</f>
        <v/>
      </c>
      <c r="T94" s="24" t="str">
        <f aca="false">IF(IFERROR(INDEX(tsk_Name,(ROW()-ROW(MSPTasks[[#Headers],[ID]])))="",TRUE()),"",IF(INDEX(tsk_IsSummary,(ROW()-ROW(MSPTasks[[#Headers],[ID]]))),"",IF(N(INDEX(tsk_ActCostInput,(ROW()-ROW(MSPTasks[[#Headers],[ID]]))))=0,"",INDEX(tsk_ActCostInput,(ROW()-ROW(MSPTasks[[#Headers],[ID]]))))))</f>
        <v/>
      </c>
      <c r="U94" s="24" t="str">
        <f aca="false">IF(IFERROR(INDEX(tsk_Name,(ROW()-ROW(MSPTasks[[#Headers],[ID]])))="",TRUE()),"",IF(INDEX(tsk_IsSummary,(ROW()-ROW(MSPTasks[[#Headers],[ID]]))),"",IF(AND(INDEX(tsk_Mode,(ROW()-ROW(MSPTasks[[#Headers],[ID]])))&lt;&gt;"Manual",N(INDEX(tsk_Constraint,(ROW()-ROW(MSPTasks[[#Headers],[ID]]))))&gt;0),"Start No Earlier Than","As Soon As Possible")))</f>
        <v/>
      </c>
      <c r="V94" s="130" t="str">
        <f aca="false">IF(IFERROR(INDEX(tsk_Name,(ROW()-ROW(MSPTasks[[#Headers],[ID]])))="",TRUE()),"",IF(OR(INDEX(tsk_IsSummary,(ROW()-ROW(MSPTasks[[#Headers],[ID]]))),INDEX(tsk_Mode,(ROW()-ROW(MSPTasks[[#Headers],[ID]])))="Manual"),"",IF(N(INDEX(tsk_Constraint,(ROW()-ROW(MSPTasks[[#Headers],[ID]]))))=0,"",INDEX(tsk_Constraint,(ROW()-ROW(MSPTasks[[#Headers],[ID]]))))))</f>
        <v/>
      </c>
      <c r="W94" s="130" t="str">
        <f aca="false">IF(IFERROR(INDEX(tsk_Name,(ROW()-ROW(MSPTasks[[#Headers],[ID]])))="",TRUE()),"",IF(N(INDEX(tsk_Deadline,(ROW()-ROW(MSPTasks[[#Headers],[ID]]))))=0,"",INDEX(tsk_Deadline,(ROW()-ROW(MSPTasks[[#Headers],[ID]])))))</f>
        <v/>
      </c>
      <c r="X94" s="24" t="str">
        <f aca="false">IF(IFERROR(INDEX(tsk_Name,(ROW()-ROW(MSPTasks[[#Headers],[ID]])))="",TRUE()),"",IF(INDEX(tsk_IsSummary,(ROW()-ROW(MSPTasks[[#Headers],[ID]]))),"",INDEX(tsk_Sprint,(ROW()-ROW(MSPTasks[[#Headers],[ID]])))&amp;""))</f>
        <v/>
      </c>
      <c r="Y94" s="24" t="str">
        <f aca="false">IF(IFERROR(INDEX(tsk_Name,(ROW()-ROW(MSPTasks[[#Headers],[ID]])))="",TRUE()),"",IF(INDEX(tsk_IsSummary,(ROW()-ROW(MSPTasks[[#Headers],[ID]]))),"",IF(N(INDEX(tsk_StoryPoints,(ROW()-ROW(MSPTasks[[#Headers],[ID]]))))=0,"",INDEX(tsk_StoryPoints,(ROW()-ROW(MSPTasks[[#Headers],[ID]]))))))</f>
        <v/>
      </c>
      <c r="Z94" s="24" t="str">
        <f aca="false">IF(IFERROR(INDEX(tsk_Name,(ROW()-ROW(MSPTasks[[#Headers],[ID]])))="",TRUE()),"",INDEX(tsk_Notes,(ROW()-ROW(MSPTasks[[#Headers],[ID]])))&amp;"")</f>
        <v/>
      </c>
    </row>
    <row r="95" customFormat="false" ht="15" hidden="false" customHeight="false" outlineLevel="0" collapsed="false">
      <c r="A95" s="24" t="str">
        <f aca="false">IF(IFERROR(INDEX(tsk_Name,(ROW()-ROW(MSPTasks[[#Headers],[ID]])))="",TRUE()),"",INDEX(tsk_ID,(ROW()-ROW(MSPTasks[[#Headers],[ID]]))))</f>
        <v/>
      </c>
      <c r="B95" s="24" t="str">
        <f aca="false">IF(IFERROR(INDEX(tsk_Name,(ROW()-ROW(MSPTasks[[#Headers],[ID]])))="",TRUE()),"",INDEX(tsk_UID,(ROW()-ROW(MSPTasks[[#Headers],[ID]]))))</f>
        <v/>
      </c>
      <c r="C95" s="24" t="str">
        <f aca="false">IF(IFERROR(INDEX(tsk_Name,(ROW()-ROW(MSPTasks[[#Headers],[ID]])))="",TRUE()),"",INDEX(tsk_Name,(ROW()-ROW(MSPTasks[[#Headers],[ID]]))))</f>
        <v/>
      </c>
      <c r="D95" s="24" t="str">
        <f aca="false">IF(IFERROR(INDEX(tsk_Name,(ROW()-ROW(MSPTasks[[#Headers],[ID]])))="",TRUE()),"",INDEX(tsk_Level,(ROW()-ROW(MSPTasks[[#Headers],[ID]]))))</f>
        <v/>
      </c>
      <c r="E95" s="24" t="str">
        <f aca="false">IF(IFERROR(INDEX(tsk_Name,(ROW()-ROW(MSPTasks[[#Headers],[ID]])))="",TRUE()),"",IF(INDEX(tsk_Mode,(ROW()-ROW(MSPTasks[[#Headers],[ID]])))="Manual","Manually Scheduled","Auto Scheduled"))</f>
        <v/>
      </c>
      <c r="F95" s="24" t="str">
        <f aca="false">IF(IFERROR(INDEX(tsk_Name,(ROW()-ROW(MSPTasks[[#Headers],[ID]])))="",TRUE()),"",IF(INDEX(tsk_IsSummary,(ROW()-ROW(MSPTasks[[#Headers],[ID]]))),"",N(INDEX(tsk_Duration,(ROW()-ROW(MSPTasks[[#Headers],[ID]]))))&amp;"d"))</f>
        <v/>
      </c>
      <c r="G95" s="130" t="str">
        <f aca="false">IF(IFERROR(INDEX(tsk_Name,(ROW()-ROW(MSPTasks[[#Headers],[ID]])))="",TRUE()),"",INDEX(tsk_FcStart,(ROW()-ROW(MSPTasks[[#Headers],[ID]]))))</f>
        <v/>
      </c>
      <c r="H95" s="130" t="str">
        <f aca="false">IF(IFERROR(INDEX(tsk_Name,(ROW()-ROW(MSPTasks[[#Headers],[ID]])))="",TRUE()),"",INDEX(tsk_FcFinish,(ROW()-ROW(MSPTasks[[#Headers],[ID]]))))</f>
        <v/>
      </c>
      <c r="I95" s="24" t="str">
        <f aca="false">IF(IFERROR(INDEX(tsk_Name,(ROW()-ROW(MSPTasks[[#Headers],[ID]])))="",TRUE()),"",IF(INDEX(tsk_IsSummary,(ROW()-ROW(MSPTasks[[#Headers],[ID]]))),"",INDEX(tsk_Predecessors,(ROW()-ROW(MSPTasks[[#Headers],[ID]])))))</f>
        <v/>
      </c>
      <c r="J95" s="24" t="str">
        <f aca="false">IF(IFERROR(INDEX(tsk_Name,(ROW()-ROW(MSPTasks[[#Headers],[ID]])))="",TRUE()),"",IF(INDEX(tsk_IsSummary,(ROW()-ROW(MSPTasks[[#Headers],[ID]]))),"",INDEX(tsk_UIDPredecessors,(ROW()-ROW(MSPTasks[[#Headers],[ID]])))))</f>
        <v/>
      </c>
      <c r="K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5" s="24" t="str">
        <f aca="false">IF(IFERROR(INDEX(tsk_Name,(ROW()-ROW(MSPTasks[[#Headers],[ID]])))="",TRUE()),"",IF(INDEX(tsk_IsSummary,(ROW()-ROW(MSPTasks[[#Headers],[ID]]))),"",ROUND(INDEX(tsk_Progress,(ROW()-ROW(MSPTasks[[#Headers],[ID]])))*100,0)))</f>
        <v/>
      </c>
      <c r="M95" s="130" t="str">
        <f aca="false">IF(IFERROR(INDEX(tsk_Name,(ROW()-ROW(MSPTasks[[#Headers],[ID]])))="",TRUE()),"",IF(N(INDEX(tsk_ActStart,(ROW()-ROW(MSPTasks[[#Headers],[ID]]))))=0,"",INDEX(tsk_ActStart,(ROW()-ROW(MSPTasks[[#Headers],[ID]])))))</f>
        <v/>
      </c>
      <c r="N95" s="130" t="str">
        <f aca="false">IF(IFERROR(INDEX(tsk_Name,(ROW()-ROW(MSPTasks[[#Headers],[ID]])))="",TRUE()),"",IF(N(INDEX(tsk_ActFinish,(ROW()-ROW(MSPTasks[[#Headers],[ID]]))))=0,"",INDEX(tsk_ActFinish,(ROW()-ROW(MSPTasks[[#Headers],[ID]])))))</f>
        <v/>
      </c>
      <c r="O95" s="130" t="str">
        <f aca="false">IF(IFERROR(INDEX(tsk_Name,(ROW()-ROW(MSPTasks[[#Headers],[ID]])))="",TRUE()),"",INDEX(tsk_PlanStart,(ROW()-ROW(MSPTasks[[#Headers],[ID]]))))</f>
        <v/>
      </c>
      <c r="P95" s="130" t="str">
        <f aca="false">IF(IFERROR(INDEX(tsk_Name,(ROW()-ROW(MSPTasks[[#Headers],[ID]])))="",TRUE()),"",INDEX(tsk_PlanFinish,(ROW()-ROW(MSPTasks[[#Headers],[ID]]))))</f>
        <v/>
      </c>
      <c r="Q95" s="24" t="str">
        <f aca="false">IF(IFERROR(INDEX(tsk_Name,(ROW()-ROW(MSPTasks[[#Headers],[ID]])))="",TRUE()),"",IF(INDEX(tsk_BaseDuration,(ROW()-ROW(MSPTasks[[#Headers],[ID]])))="","",N(INDEX(tsk_BaseDuration,(ROW()-ROW(MSPTasks[[#Headers],[ID]]))))&amp;"d"))</f>
        <v/>
      </c>
      <c r="R95" s="24" t="str">
        <f aca="false">IF(IFERROR(INDEX(tsk_Name,(ROW()-ROW(MSPTasks[[#Headers],[ID]])))="",TRUE()),"",IF(INDEX(tsk_BaseWork,(ROW()-ROW(MSPTasks[[#Headers],[ID]])))="","",N(INDEX(tsk_BaseWork,(ROW()-ROW(MSPTasks[[#Headers],[ID]]))))&amp;"h"))</f>
        <v/>
      </c>
      <c r="S95" s="24" t="str">
        <f aca="false">IF(IFERROR(INDEX(tsk_Name,(ROW()-ROW(MSPTasks[[#Headers],[ID]])))="",TRUE()),"",IF(INDEX(tsk_BaseCost,(ROW()-ROW(MSPTasks[[#Headers],[ID]])))="","",N(INDEX(tsk_BaseCost,(ROW()-ROW(MSPTasks[[#Headers],[ID]]))))))</f>
        <v/>
      </c>
      <c r="T95" s="24" t="str">
        <f aca="false">IF(IFERROR(INDEX(tsk_Name,(ROW()-ROW(MSPTasks[[#Headers],[ID]])))="",TRUE()),"",IF(INDEX(tsk_IsSummary,(ROW()-ROW(MSPTasks[[#Headers],[ID]]))),"",IF(N(INDEX(tsk_ActCostInput,(ROW()-ROW(MSPTasks[[#Headers],[ID]]))))=0,"",INDEX(tsk_ActCostInput,(ROW()-ROW(MSPTasks[[#Headers],[ID]]))))))</f>
        <v/>
      </c>
      <c r="U95" s="24" t="str">
        <f aca="false">IF(IFERROR(INDEX(tsk_Name,(ROW()-ROW(MSPTasks[[#Headers],[ID]])))="",TRUE()),"",IF(INDEX(tsk_IsSummary,(ROW()-ROW(MSPTasks[[#Headers],[ID]]))),"",IF(AND(INDEX(tsk_Mode,(ROW()-ROW(MSPTasks[[#Headers],[ID]])))&lt;&gt;"Manual",N(INDEX(tsk_Constraint,(ROW()-ROW(MSPTasks[[#Headers],[ID]]))))&gt;0),"Start No Earlier Than","As Soon As Possible")))</f>
        <v/>
      </c>
      <c r="V95" s="130" t="str">
        <f aca="false">IF(IFERROR(INDEX(tsk_Name,(ROW()-ROW(MSPTasks[[#Headers],[ID]])))="",TRUE()),"",IF(OR(INDEX(tsk_IsSummary,(ROW()-ROW(MSPTasks[[#Headers],[ID]]))),INDEX(tsk_Mode,(ROW()-ROW(MSPTasks[[#Headers],[ID]])))="Manual"),"",IF(N(INDEX(tsk_Constraint,(ROW()-ROW(MSPTasks[[#Headers],[ID]]))))=0,"",INDEX(tsk_Constraint,(ROW()-ROW(MSPTasks[[#Headers],[ID]]))))))</f>
        <v/>
      </c>
      <c r="W95" s="130" t="str">
        <f aca="false">IF(IFERROR(INDEX(tsk_Name,(ROW()-ROW(MSPTasks[[#Headers],[ID]])))="",TRUE()),"",IF(N(INDEX(tsk_Deadline,(ROW()-ROW(MSPTasks[[#Headers],[ID]]))))=0,"",INDEX(tsk_Deadline,(ROW()-ROW(MSPTasks[[#Headers],[ID]])))))</f>
        <v/>
      </c>
      <c r="X95" s="24" t="str">
        <f aca="false">IF(IFERROR(INDEX(tsk_Name,(ROW()-ROW(MSPTasks[[#Headers],[ID]])))="",TRUE()),"",IF(INDEX(tsk_IsSummary,(ROW()-ROW(MSPTasks[[#Headers],[ID]]))),"",INDEX(tsk_Sprint,(ROW()-ROW(MSPTasks[[#Headers],[ID]])))&amp;""))</f>
        <v/>
      </c>
      <c r="Y95" s="24" t="str">
        <f aca="false">IF(IFERROR(INDEX(tsk_Name,(ROW()-ROW(MSPTasks[[#Headers],[ID]])))="",TRUE()),"",IF(INDEX(tsk_IsSummary,(ROW()-ROW(MSPTasks[[#Headers],[ID]]))),"",IF(N(INDEX(tsk_StoryPoints,(ROW()-ROW(MSPTasks[[#Headers],[ID]]))))=0,"",INDEX(tsk_StoryPoints,(ROW()-ROW(MSPTasks[[#Headers],[ID]]))))))</f>
        <v/>
      </c>
      <c r="Z95" s="24" t="str">
        <f aca="false">IF(IFERROR(INDEX(tsk_Name,(ROW()-ROW(MSPTasks[[#Headers],[ID]])))="",TRUE()),"",INDEX(tsk_Notes,(ROW()-ROW(MSPTasks[[#Headers],[ID]])))&amp;"")</f>
        <v/>
      </c>
    </row>
    <row r="96" customFormat="false" ht="15" hidden="false" customHeight="false" outlineLevel="0" collapsed="false">
      <c r="A96" s="24" t="str">
        <f aca="false">IF(IFERROR(INDEX(tsk_Name,(ROW()-ROW(MSPTasks[[#Headers],[ID]])))="",TRUE()),"",INDEX(tsk_ID,(ROW()-ROW(MSPTasks[[#Headers],[ID]]))))</f>
        <v/>
      </c>
      <c r="B96" s="24" t="str">
        <f aca="false">IF(IFERROR(INDEX(tsk_Name,(ROW()-ROW(MSPTasks[[#Headers],[ID]])))="",TRUE()),"",INDEX(tsk_UID,(ROW()-ROW(MSPTasks[[#Headers],[ID]]))))</f>
        <v/>
      </c>
      <c r="C96" s="24" t="str">
        <f aca="false">IF(IFERROR(INDEX(tsk_Name,(ROW()-ROW(MSPTasks[[#Headers],[ID]])))="",TRUE()),"",INDEX(tsk_Name,(ROW()-ROW(MSPTasks[[#Headers],[ID]]))))</f>
        <v/>
      </c>
      <c r="D96" s="24" t="str">
        <f aca="false">IF(IFERROR(INDEX(tsk_Name,(ROW()-ROW(MSPTasks[[#Headers],[ID]])))="",TRUE()),"",INDEX(tsk_Level,(ROW()-ROW(MSPTasks[[#Headers],[ID]]))))</f>
        <v/>
      </c>
      <c r="E96" s="24" t="str">
        <f aca="false">IF(IFERROR(INDEX(tsk_Name,(ROW()-ROW(MSPTasks[[#Headers],[ID]])))="",TRUE()),"",IF(INDEX(tsk_Mode,(ROW()-ROW(MSPTasks[[#Headers],[ID]])))="Manual","Manually Scheduled","Auto Scheduled"))</f>
        <v/>
      </c>
      <c r="F96" s="24" t="str">
        <f aca="false">IF(IFERROR(INDEX(tsk_Name,(ROW()-ROW(MSPTasks[[#Headers],[ID]])))="",TRUE()),"",IF(INDEX(tsk_IsSummary,(ROW()-ROW(MSPTasks[[#Headers],[ID]]))),"",N(INDEX(tsk_Duration,(ROW()-ROW(MSPTasks[[#Headers],[ID]]))))&amp;"d"))</f>
        <v/>
      </c>
      <c r="G96" s="130" t="str">
        <f aca="false">IF(IFERROR(INDEX(tsk_Name,(ROW()-ROW(MSPTasks[[#Headers],[ID]])))="",TRUE()),"",INDEX(tsk_FcStart,(ROW()-ROW(MSPTasks[[#Headers],[ID]]))))</f>
        <v/>
      </c>
      <c r="H96" s="130" t="str">
        <f aca="false">IF(IFERROR(INDEX(tsk_Name,(ROW()-ROW(MSPTasks[[#Headers],[ID]])))="",TRUE()),"",INDEX(tsk_FcFinish,(ROW()-ROW(MSPTasks[[#Headers],[ID]]))))</f>
        <v/>
      </c>
      <c r="I96" s="24" t="str">
        <f aca="false">IF(IFERROR(INDEX(tsk_Name,(ROW()-ROW(MSPTasks[[#Headers],[ID]])))="",TRUE()),"",IF(INDEX(tsk_IsSummary,(ROW()-ROW(MSPTasks[[#Headers],[ID]]))),"",INDEX(tsk_Predecessors,(ROW()-ROW(MSPTasks[[#Headers],[ID]])))))</f>
        <v/>
      </c>
      <c r="J96" s="24" t="str">
        <f aca="false">IF(IFERROR(INDEX(tsk_Name,(ROW()-ROW(MSPTasks[[#Headers],[ID]])))="",TRUE()),"",IF(INDEX(tsk_IsSummary,(ROW()-ROW(MSPTasks[[#Headers],[ID]]))),"",INDEX(tsk_UIDPredecessors,(ROW()-ROW(MSPTasks[[#Headers],[ID]])))))</f>
        <v/>
      </c>
      <c r="K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6" s="24" t="str">
        <f aca="false">IF(IFERROR(INDEX(tsk_Name,(ROW()-ROW(MSPTasks[[#Headers],[ID]])))="",TRUE()),"",IF(INDEX(tsk_IsSummary,(ROW()-ROW(MSPTasks[[#Headers],[ID]]))),"",ROUND(INDEX(tsk_Progress,(ROW()-ROW(MSPTasks[[#Headers],[ID]])))*100,0)))</f>
        <v/>
      </c>
      <c r="M96" s="130" t="str">
        <f aca="false">IF(IFERROR(INDEX(tsk_Name,(ROW()-ROW(MSPTasks[[#Headers],[ID]])))="",TRUE()),"",IF(N(INDEX(tsk_ActStart,(ROW()-ROW(MSPTasks[[#Headers],[ID]]))))=0,"",INDEX(tsk_ActStart,(ROW()-ROW(MSPTasks[[#Headers],[ID]])))))</f>
        <v/>
      </c>
      <c r="N96" s="130" t="str">
        <f aca="false">IF(IFERROR(INDEX(tsk_Name,(ROW()-ROW(MSPTasks[[#Headers],[ID]])))="",TRUE()),"",IF(N(INDEX(tsk_ActFinish,(ROW()-ROW(MSPTasks[[#Headers],[ID]]))))=0,"",INDEX(tsk_ActFinish,(ROW()-ROW(MSPTasks[[#Headers],[ID]])))))</f>
        <v/>
      </c>
      <c r="O96" s="130" t="str">
        <f aca="false">IF(IFERROR(INDEX(tsk_Name,(ROW()-ROW(MSPTasks[[#Headers],[ID]])))="",TRUE()),"",INDEX(tsk_PlanStart,(ROW()-ROW(MSPTasks[[#Headers],[ID]]))))</f>
        <v/>
      </c>
      <c r="P96" s="130" t="str">
        <f aca="false">IF(IFERROR(INDEX(tsk_Name,(ROW()-ROW(MSPTasks[[#Headers],[ID]])))="",TRUE()),"",INDEX(tsk_PlanFinish,(ROW()-ROW(MSPTasks[[#Headers],[ID]]))))</f>
        <v/>
      </c>
      <c r="Q96" s="24" t="str">
        <f aca="false">IF(IFERROR(INDEX(tsk_Name,(ROW()-ROW(MSPTasks[[#Headers],[ID]])))="",TRUE()),"",IF(INDEX(tsk_BaseDuration,(ROW()-ROW(MSPTasks[[#Headers],[ID]])))="","",N(INDEX(tsk_BaseDuration,(ROW()-ROW(MSPTasks[[#Headers],[ID]]))))&amp;"d"))</f>
        <v/>
      </c>
      <c r="R96" s="24" t="str">
        <f aca="false">IF(IFERROR(INDEX(tsk_Name,(ROW()-ROW(MSPTasks[[#Headers],[ID]])))="",TRUE()),"",IF(INDEX(tsk_BaseWork,(ROW()-ROW(MSPTasks[[#Headers],[ID]])))="","",N(INDEX(tsk_BaseWork,(ROW()-ROW(MSPTasks[[#Headers],[ID]]))))&amp;"h"))</f>
        <v/>
      </c>
      <c r="S96" s="24" t="str">
        <f aca="false">IF(IFERROR(INDEX(tsk_Name,(ROW()-ROW(MSPTasks[[#Headers],[ID]])))="",TRUE()),"",IF(INDEX(tsk_BaseCost,(ROW()-ROW(MSPTasks[[#Headers],[ID]])))="","",N(INDEX(tsk_BaseCost,(ROW()-ROW(MSPTasks[[#Headers],[ID]]))))))</f>
        <v/>
      </c>
      <c r="T96" s="24" t="str">
        <f aca="false">IF(IFERROR(INDEX(tsk_Name,(ROW()-ROW(MSPTasks[[#Headers],[ID]])))="",TRUE()),"",IF(INDEX(tsk_IsSummary,(ROW()-ROW(MSPTasks[[#Headers],[ID]]))),"",IF(N(INDEX(tsk_ActCostInput,(ROW()-ROW(MSPTasks[[#Headers],[ID]]))))=0,"",INDEX(tsk_ActCostInput,(ROW()-ROW(MSPTasks[[#Headers],[ID]]))))))</f>
        <v/>
      </c>
      <c r="U96" s="24" t="str">
        <f aca="false">IF(IFERROR(INDEX(tsk_Name,(ROW()-ROW(MSPTasks[[#Headers],[ID]])))="",TRUE()),"",IF(INDEX(tsk_IsSummary,(ROW()-ROW(MSPTasks[[#Headers],[ID]]))),"",IF(AND(INDEX(tsk_Mode,(ROW()-ROW(MSPTasks[[#Headers],[ID]])))&lt;&gt;"Manual",N(INDEX(tsk_Constraint,(ROW()-ROW(MSPTasks[[#Headers],[ID]]))))&gt;0),"Start No Earlier Than","As Soon As Possible")))</f>
        <v/>
      </c>
      <c r="V96" s="130" t="str">
        <f aca="false">IF(IFERROR(INDEX(tsk_Name,(ROW()-ROW(MSPTasks[[#Headers],[ID]])))="",TRUE()),"",IF(OR(INDEX(tsk_IsSummary,(ROW()-ROW(MSPTasks[[#Headers],[ID]]))),INDEX(tsk_Mode,(ROW()-ROW(MSPTasks[[#Headers],[ID]])))="Manual"),"",IF(N(INDEX(tsk_Constraint,(ROW()-ROW(MSPTasks[[#Headers],[ID]]))))=0,"",INDEX(tsk_Constraint,(ROW()-ROW(MSPTasks[[#Headers],[ID]]))))))</f>
        <v/>
      </c>
      <c r="W96" s="130" t="str">
        <f aca="false">IF(IFERROR(INDEX(tsk_Name,(ROW()-ROW(MSPTasks[[#Headers],[ID]])))="",TRUE()),"",IF(N(INDEX(tsk_Deadline,(ROW()-ROW(MSPTasks[[#Headers],[ID]]))))=0,"",INDEX(tsk_Deadline,(ROW()-ROW(MSPTasks[[#Headers],[ID]])))))</f>
        <v/>
      </c>
      <c r="X96" s="24" t="str">
        <f aca="false">IF(IFERROR(INDEX(tsk_Name,(ROW()-ROW(MSPTasks[[#Headers],[ID]])))="",TRUE()),"",IF(INDEX(tsk_IsSummary,(ROW()-ROW(MSPTasks[[#Headers],[ID]]))),"",INDEX(tsk_Sprint,(ROW()-ROW(MSPTasks[[#Headers],[ID]])))&amp;""))</f>
        <v/>
      </c>
      <c r="Y96" s="24" t="str">
        <f aca="false">IF(IFERROR(INDEX(tsk_Name,(ROW()-ROW(MSPTasks[[#Headers],[ID]])))="",TRUE()),"",IF(INDEX(tsk_IsSummary,(ROW()-ROW(MSPTasks[[#Headers],[ID]]))),"",IF(N(INDEX(tsk_StoryPoints,(ROW()-ROW(MSPTasks[[#Headers],[ID]]))))=0,"",INDEX(tsk_StoryPoints,(ROW()-ROW(MSPTasks[[#Headers],[ID]]))))))</f>
        <v/>
      </c>
      <c r="Z96" s="24" t="str">
        <f aca="false">IF(IFERROR(INDEX(tsk_Name,(ROW()-ROW(MSPTasks[[#Headers],[ID]])))="",TRUE()),"",INDEX(tsk_Notes,(ROW()-ROW(MSPTasks[[#Headers],[ID]])))&amp;"")</f>
        <v/>
      </c>
    </row>
    <row r="97" customFormat="false" ht="15" hidden="false" customHeight="false" outlineLevel="0" collapsed="false">
      <c r="A97" s="24" t="str">
        <f aca="false">IF(IFERROR(INDEX(tsk_Name,(ROW()-ROW(MSPTasks[[#Headers],[ID]])))="",TRUE()),"",INDEX(tsk_ID,(ROW()-ROW(MSPTasks[[#Headers],[ID]]))))</f>
        <v/>
      </c>
      <c r="B97" s="24" t="str">
        <f aca="false">IF(IFERROR(INDEX(tsk_Name,(ROW()-ROW(MSPTasks[[#Headers],[ID]])))="",TRUE()),"",INDEX(tsk_UID,(ROW()-ROW(MSPTasks[[#Headers],[ID]]))))</f>
        <v/>
      </c>
      <c r="C97" s="24" t="str">
        <f aca="false">IF(IFERROR(INDEX(tsk_Name,(ROW()-ROW(MSPTasks[[#Headers],[ID]])))="",TRUE()),"",INDEX(tsk_Name,(ROW()-ROW(MSPTasks[[#Headers],[ID]]))))</f>
        <v/>
      </c>
      <c r="D97" s="24" t="str">
        <f aca="false">IF(IFERROR(INDEX(tsk_Name,(ROW()-ROW(MSPTasks[[#Headers],[ID]])))="",TRUE()),"",INDEX(tsk_Level,(ROW()-ROW(MSPTasks[[#Headers],[ID]]))))</f>
        <v/>
      </c>
      <c r="E97" s="24" t="str">
        <f aca="false">IF(IFERROR(INDEX(tsk_Name,(ROW()-ROW(MSPTasks[[#Headers],[ID]])))="",TRUE()),"",IF(INDEX(tsk_Mode,(ROW()-ROW(MSPTasks[[#Headers],[ID]])))="Manual","Manually Scheduled","Auto Scheduled"))</f>
        <v/>
      </c>
      <c r="F97" s="24" t="str">
        <f aca="false">IF(IFERROR(INDEX(tsk_Name,(ROW()-ROW(MSPTasks[[#Headers],[ID]])))="",TRUE()),"",IF(INDEX(tsk_IsSummary,(ROW()-ROW(MSPTasks[[#Headers],[ID]]))),"",N(INDEX(tsk_Duration,(ROW()-ROW(MSPTasks[[#Headers],[ID]]))))&amp;"d"))</f>
        <v/>
      </c>
      <c r="G97" s="130" t="str">
        <f aca="false">IF(IFERROR(INDEX(tsk_Name,(ROW()-ROW(MSPTasks[[#Headers],[ID]])))="",TRUE()),"",INDEX(tsk_FcStart,(ROW()-ROW(MSPTasks[[#Headers],[ID]]))))</f>
        <v/>
      </c>
      <c r="H97" s="130" t="str">
        <f aca="false">IF(IFERROR(INDEX(tsk_Name,(ROW()-ROW(MSPTasks[[#Headers],[ID]])))="",TRUE()),"",INDEX(tsk_FcFinish,(ROW()-ROW(MSPTasks[[#Headers],[ID]]))))</f>
        <v/>
      </c>
      <c r="I97" s="24" t="str">
        <f aca="false">IF(IFERROR(INDEX(tsk_Name,(ROW()-ROW(MSPTasks[[#Headers],[ID]])))="",TRUE()),"",IF(INDEX(tsk_IsSummary,(ROW()-ROW(MSPTasks[[#Headers],[ID]]))),"",INDEX(tsk_Predecessors,(ROW()-ROW(MSPTasks[[#Headers],[ID]])))))</f>
        <v/>
      </c>
      <c r="J97" s="24" t="str">
        <f aca="false">IF(IFERROR(INDEX(tsk_Name,(ROW()-ROW(MSPTasks[[#Headers],[ID]])))="",TRUE()),"",IF(INDEX(tsk_IsSummary,(ROW()-ROW(MSPTasks[[#Headers],[ID]]))),"",INDEX(tsk_UIDPredecessors,(ROW()-ROW(MSPTasks[[#Headers],[ID]])))))</f>
        <v/>
      </c>
      <c r="K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7" s="24" t="str">
        <f aca="false">IF(IFERROR(INDEX(tsk_Name,(ROW()-ROW(MSPTasks[[#Headers],[ID]])))="",TRUE()),"",IF(INDEX(tsk_IsSummary,(ROW()-ROW(MSPTasks[[#Headers],[ID]]))),"",ROUND(INDEX(tsk_Progress,(ROW()-ROW(MSPTasks[[#Headers],[ID]])))*100,0)))</f>
        <v/>
      </c>
      <c r="M97" s="130" t="str">
        <f aca="false">IF(IFERROR(INDEX(tsk_Name,(ROW()-ROW(MSPTasks[[#Headers],[ID]])))="",TRUE()),"",IF(N(INDEX(tsk_ActStart,(ROW()-ROW(MSPTasks[[#Headers],[ID]]))))=0,"",INDEX(tsk_ActStart,(ROW()-ROW(MSPTasks[[#Headers],[ID]])))))</f>
        <v/>
      </c>
      <c r="N97" s="130" t="str">
        <f aca="false">IF(IFERROR(INDEX(tsk_Name,(ROW()-ROW(MSPTasks[[#Headers],[ID]])))="",TRUE()),"",IF(N(INDEX(tsk_ActFinish,(ROW()-ROW(MSPTasks[[#Headers],[ID]]))))=0,"",INDEX(tsk_ActFinish,(ROW()-ROW(MSPTasks[[#Headers],[ID]])))))</f>
        <v/>
      </c>
      <c r="O97" s="130" t="str">
        <f aca="false">IF(IFERROR(INDEX(tsk_Name,(ROW()-ROW(MSPTasks[[#Headers],[ID]])))="",TRUE()),"",INDEX(tsk_PlanStart,(ROW()-ROW(MSPTasks[[#Headers],[ID]]))))</f>
        <v/>
      </c>
      <c r="P97" s="130" t="str">
        <f aca="false">IF(IFERROR(INDEX(tsk_Name,(ROW()-ROW(MSPTasks[[#Headers],[ID]])))="",TRUE()),"",INDEX(tsk_PlanFinish,(ROW()-ROW(MSPTasks[[#Headers],[ID]]))))</f>
        <v/>
      </c>
      <c r="Q97" s="24" t="str">
        <f aca="false">IF(IFERROR(INDEX(tsk_Name,(ROW()-ROW(MSPTasks[[#Headers],[ID]])))="",TRUE()),"",IF(INDEX(tsk_BaseDuration,(ROW()-ROW(MSPTasks[[#Headers],[ID]])))="","",N(INDEX(tsk_BaseDuration,(ROW()-ROW(MSPTasks[[#Headers],[ID]]))))&amp;"d"))</f>
        <v/>
      </c>
      <c r="R97" s="24" t="str">
        <f aca="false">IF(IFERROR(INDEX(tsk_Name,(ROW()-ROW(MSPTasks[[#Headers],[ID]])))="",TRUE()),"",IF(INDEX(tsk_BaseWork,(ROW()-ROW(MSPTasks[[#Headers],[ID]])))="","",N(INDEX(tsk_BaseWork,(ROW()-ROW(MSPTasks[[#Headers],[ID]]))))&amp;"h"))</f>
        <v/>
      </c>
      <c r="S97" s="24" t="str">
        <f aca="false">IF(IFERROR(INDEX(tsk_Name,(ROW()-ROW(MSPTasks[[#Headers],[ID]])))="",TRUE()),"",IF(INDEX(tsk_BaseCost,(ROW()-ROW(MSPTasks[[#Headers],[ID]])))="","",N(INDEX(tsk_BaseCost,(ROW()-ROW(MSPTasks[[#Headers],[ID]]))))))</f>
        <v/>
      </c>
      <c r="T97" s="24" t="str">
        <f aca="false">IF(IFERROR(INDEX(tsk_Name,(ROW()-ROW(MSPTasks[[#Headers],[ID]])))="",TRUE()),"",IF(INDEX(tsk_IsSummary,(ROW()-ROW(MSPTasks[[#Headers],[ID]]))),"",IF(N(INDEX(tsk_ActCostInput,(ROW()-ROW(MSPTasks[[#Headers],[ID]]))))=0,"",INDEX(tsk_ActCostInput,(ROW()-ROW(MSPTasks[[#Headers],[ID]]))))))</f>
        <v/>
      </c>
      <c r="U97" s="24" t="str">
        <f aca="false">IF(IFERROR(INDEX(tsk_Name,(ROW()-ROW(MSPTasks[[#Headers],[ID]])))="",TRUE()),"",IF(INDEX(tsk_IsSummary,(ROW()-ROW(MSPTasks[[#Headers],[ID]]))),"",IF(AND(INDEX(tsk_Mode,(ROW()-ROW(MSPTasks[[#Headers],[ID]])))&lt;&gt;"Manual",N(INDEX(tsk_Constraint,(ROW()-ROW(MSPTasks[[#Headers],[ID]]))))&gt;0),"Start No Earlier Than","As Soon As Possible")))</f>
        <v/>
      </c>
      <c r="V97" s="130" t="str">
        <f aca="false">IF(IFERROR(INDEX(tsk_Name,(ROW()-ROW(MSPTasks[[#Headers],[ID]])))="",TRUE()),"",IF(OR(INDEX(tsk_IsSummary,(ROW()-ROW(MSPTasks[[#Headers],[ID]]))),INDEX(tsk_Mode,(ROW()-ROW(MSPTasks[[#Headers],[ID]])))="Manual"),"",IF(N(INDEX(tsk_Constraint,(ROW()-ROW(MSPTasks[[#Headers],[ID]]))))=0,"",INDEX(tsk_Constraint,(ROW()-ROW(MSPTasks[[#Headers],[ID]]))))))</f>
        <v/>
      </c>
      <c r="W97" s="130" t="str">
        <f aca="false">IF(IFERROR(INDEX(tsk_Name,(ROW()-ROW(MSPTasks[[#Headers],[ID]])))="",TRUE()),"",IF(N(INDEX(tsk_Deadline,(ROW()-ROW(MSPTasks[[#Headers],[ID]]))))=0,"",INDEX(tsk_Deadline,(ROW()-ROW(MSPTasks[[#Headers],[ID]])))))</f>
        <v/>
      </c>
      <c r="X97" s="24" t="str">
        <f aca="false">IF(IFERROR(INDEX(tsk_Name,(ROW()-ROW(MSPTasks[[#Headers],[ID]])))="",TRUE()),"",IF(INDEX(tsk_IsSummary,(ROW()-ROW(MSPTasks[[#Headers],[ID]]))),"",INDEX(tsk_Sprint,(ROW()-ROW(MSPTasks[[#Headers],[ID]])))&amp;""))</f>
        <v/>
      </c>
      <c r="Y97" s="24" t="str">
        <f aca="false">IF(IFERROR(INDEX(tsk_Name,(ROW()-ROW(MSPTasks[[#Headers],[ID]])))="",TRUE()),"",IF(INDEX(tsk_IsSummary,(ROW()-ROW(MSPTasks[[#Headers],[ID]]))),"",IF(N(INDEX(tsk_StoryPoints,(ROW()-ROW(MSPTasks[[#Headers],[ID]]))))=0,"",INDEX(tsk_StoryPoints,(ROW()-ROW(MSPTasks[[#Headers],[ID]]))))))</f>
        <v/>
      </c>
      <c r="Z97" s="24" t="str">
        <f aca="false">IF(IFERROR(INDEX(tsk_Name,(ROW()-ROW(MSPTasks[[#Headers],[ID]])))="",TRUE()),"",INDEX(tsk_Notes,(ROW()-ROW(MSPTasks[[#Headers],[ID]])))&amp;"")</f>
        <v/>
      </c>
    </row>
    <row r="98" customFormat="false" ht="15" hidden="false" customHeight="false" outlineLevel="0" collapsed="false">
      <c r="A98" s="24" t="str">
        <f aca="false">IF(IFERROR(INDEX(tsk_Name,(ROW()-ROW(MSPTasks[[#Headers],[ID]])))="",TRUE()),"",INDEX(tsk_ID,(ROW()-ROW(MSPTasks[[#Headers],[ID]]))))</f>
        <v/>
      </c>
      <c r="B98" s="24" t="str">
        <f aca="false">IF(IFERROR(INDEX(tsk_Name,(ROW()-ROW(MSPTasks[[#Headers],[ID]])))="",TRUE()),"",INDEX(tsk_UID,(ROW()-ROW(MSPTasks[[#Headers],[ID]]))))</f>
        <v/>
      </c>
      <c r="C98" s="24" t="str">
        <f aca="false">IF(IFERROR(INDEX(tsk_Name,(ROW()-ROW(MSPTasks[[#Headers],[ID]])))="",TRUE()),"",INDEX(tsk_Name,(ROW()-ROW(MSPTasks[[#Headers],[ID]]))))</f>
        <v/>
      </c>
      <c r="D98" s="24" t="str">
        <f aca="false">IF(IFERROR(INDEX(tsk_Name,(ROW()-ROW(MSPTasks[[#Headers],[ID]])))="",TRUE()),"",INDEX(tsk_Level,(ROW()-ROW(MSPTasks[[#Headers],[ID]]))))</f>
        <v/>
      </c>
      <c r="E98" s="24" t="str">
        <f aca="false">IF(IFERROR(INDEX(tsk_Name,(ROW()-ROW(MSPTasks[[#Headers],[ID]])))="",TRUE()),"",IF(INDEX(tsk_Mode,(ROW()-ROW(MSPTasks[[#Headers],[ID]])))="Manual","Manually Scheduled","Auto Scheduled"))</f>
        <v/>
      </c>
      <c r="F98" s="24" t="str">
        <f aca="false">IF(IFERROR(INDEX(tsk_Name,(ROW()-ROW(MSPTasks[[#Headers],[ID]])))="",TRUE()),"",IF(INDEX(tsk_IsSummary,(ROW()-ROW(MSPTasks[[#Headers],[ID]]))),"",N(INDEX(tsk_Duration,(ROW()-ROW(MSPTasks[[#Headers],[ID]]))))&amp;"d"))</f>
        <v/>
      </c>
      <c r="G98" s="130" t="str">
        <f aca="false">IF(IFERROR(INDEX(tsk_Name,(ROW()-ROW(MSPTasks[[#Headers],[ID]])))="",TRUE()),"",INDEX(tsk_FcStart,(ROW()-ROW(MSPTasks[[#Headers],[ID]]))))</f>
        <v/>
      </c>
      <c r="H98" s="130" t="str">
        <f aca="false">IF(IFERROR(INDEX(tsk_Name,(ROW()-ROW(MSPTasks[[#Headers],[ID]])))="",TRUE()),"",INDEX(tsk_FcFinish,(ROW()-ROW(MSPTasks[[#Headers],[ID]]))))</f>
        <v/>
      </c>
      <c r="I98" s="24" t="str">
        <f aca="false">IF(IFERROR(INDEX(tsk_Name,(ROW()-ROW(MSPTasks[[#Headers],[ID]])))="",TRUE()),"",IF(INDEX(tsk_IsSummary,(ROW()-ROW(MSPTasks[[#Headers],[ID]]))),"",INDEX(tsk_Predecessors,(ROW()-ROW(MSPTasks[[#Headers],[ID]])))))</f>
        <v/>
      </c>
      <c r="J98" s="24" t="str">
        <f aca="false">IF(IFERROR(INDEX(tsk_Name,(ROW()-ROW(MSPTasks[[#Headers],[ID]])))="",TRUE()),"",IF(INDEX(tsk_IsSummary,(ROW()-ROW(MSPTasks[[#Headers],[ID]]))),"",INDEX(tsk_UIDPredecessors,(ROW()-ROW(MSPTasks[[#Headers],[ID]])))))</f>
        <v/>
      </c>
      <c r="K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8" s="24" t="str">
        <f aca="false">IF(IFERROR(INDEX(tsk_Name,(ROW()-ROW(MSPTasks[[#Headers],[ID]])))="",TRUE()),"",IF(INDEX(tsk_IsSummary,(ROW()-ROW(MSPTasks[[#Headers],[ID]]))),"",ROUND(INDEX(tsk_Progress,(ROW()-ROW(MSPTasks[[#Headers],[ID]])))*100,0)))</f>
        <v/>
      </c>
      <c r="M98" s="130" t="str">
        <f aca="false">IF(IFERROR(INDEX(tsk_Name,(ROW()-ROW(MSPTasks[[#Headers],[ID]])))="",TRUE()),"",IF(N(INDEX(tsk_ActStart,(ROW()-ROW(MSPTasks[[#Headers],[ID]]))))=0,"",INDEX(tsk_ActStart,(ROW()-ROW(MSPTasks[[#Headers],[ID]])))))</f>
        <v/>
      </c>
      <c r="N98" s="130" t="str">
        <f aca="false">IF(IFERROR(INDEX(tsk_Name,(ROW()-ROW(MSPTasks[[#Headers],[ID]])))="",TRUE()),"",IF(N(INDEX(tsk_ActFinish,(ROW()-ROW(MSPTasks[[#Headers],[ID]]))))=0,"",INDEX(tsk_ActFinish,(ROW()-ROW(MSPTasks[[#Headers],[ID]])))))</f>
        <v/>
      </c>
      <c r="O98" s="130" t="str">
        <f aca="false">IF(IFERROR(INDEX(tsk_Name,(ROW()-ROW(MSPTasks[[#Headers],[ID]])))="",TRUE()),"",INDEX(tsk_PlanStart,(ROW()-ROW(MSPTasks[[#Headers],[ID]]))))</f>
        <v/>
      </c>
      <c r="P98" s="130" t="str">
        <f aca="false">IF(IFERROR(INDEX(tsk_Name,(ROW()-ROW(MSPTasks[[#Headers],[ID]])))="",TRUE()),"",INDEX(tsk_PlanFinish,(ROW()-ROW(MSPTasks[[#Headers],[ID]]))))</f>
        <v/>
      </c>
      <c r="Q98" s="24" t="str">
        <f aca="false">IF(IFERROR(INDEX(tsk_Name,(ROW()-ROW(MSPTasks[[#Headers],[ID]])))="",TRUE()),"",IF(INDEX(tsk_BaseDuration,(ROW()-ROW(MSPTasks[[#Headers],[ID]])))="","",N(INDEX(tsk_BaseDuration,(ROW()-ROW(MSPTasks[[#Headers],[ID]]))))&amp;"d"))</f>
        <v/>
      </c>
      <c r="R98" s="24" t="str">
        <f aca="false">IF(IFERROR(INDEX(tsk_Name,(ROW()-ROW(MSPTasks[[#Headers],[ID]])))="",TRUE()),"",IF(INDEX(tsk_BaseWork,(ROW()-ROW(MSPTasks[[#Headers],[ID]])))="","",N(INDEX(tsk_BaseWork,(ROW()-ROW(MSPTasks[[#Headers],[ID]]))))&amp;"h"))</f>
        <v/>
      </c>
      <c r="S98" s="24" t="str">
        <f aca="false">IF(IFERROR(INDEX(tsk_Name,(ROW()-ROW(MSPTasks[[#Headers],[ID]])))="",TRUE()),"",IF(INDEX(tsk_BaseCost,(ROW()-ROW(MSPTasks[[#Headers],[ID]])))="","",N(INDEX(tsk_BaseCost,(ROW()-ROW(MSPTasks[[#Headers],[ID]]))))))</f>
        <v/>
      </c>
      <c r="T98" s="24" t="str">
        <f aca="false">IF(IFERROR(INDEX(tsk_Name,(ROW()-ROW(MSPTasks[[#Headers],[ID]])))="",TRUE()),"",IF(INDEX(tsk_IsSummary,(ROW()-ROW(MSPTasks[[#Headers],[ID]]))),"",IF(N(INDEX(tsk_ActCostInput,(ROW()-ROW(MSPTasks[[#Headers],[ID]]))))=0,"",INDEX(tsk_ActCostInput,(ROW()-ROW(MSPTasks[[#Headers],[ID]]))))))</f>
        <v/>
      </c>
      <c r="U98" s="24" t="str">
        <f aca="false">IF(IFERROR(INDEX(tsk_Name,(ROW()-ROW(MSPTasks[[#Headers],[ID]])))="",TRUE()),"",IF(INDEX(tsk_IsSummary,(ROW()-ROW(MSPTasks[[#Headers],[ID]]))),"",IF(AND(INDEX(tsk_Mode,(ROW()-ROW(MSPTasks[[#Headers],[ID]])))&lt;&gt;"Manual",N(INDEX(tsk_Constraint,(ROW()-ROW(MSPTasks[[#Headers],[ID]]))))&gt;0),"Start No Earlier Than","As Soon As Possible")))</f>
        <v/>
      </c>
      <c r="V98" s="130" t="str">
        <f aca="false">IF(IFERROR(INDEX(tsk_Name,(ROW()-ROW(MSPTasks[[#Headers],[ID]])))="",TRUE()),"",IF(OR(INDEX(tsk_IsSummary,(ROW()-ROW(MSPTasks[[#Headers],[ID]]))),INDEX(tsk_Mode,(ROW()-ROW(MSPTasks[[#Headers],[ID]])))="Manual"),"",IF(N(INDEX(tsk_Constraint,(ROW()-ROW(MSPTasks[[#Headers],[ID]]))))=0,"",INDEX(tsk_Constraint,(ROW()-ROW(MSPTasks[[#Headers],[ID]]))))))</f>
        <v/>
      </c>
      <c r="W98" s="130" t="str">
        <f aca="false">IF(IFERROR(INDEX(tsk_Name,(ROW()-ROW(MSPTasks[[#Headers],[ID]])))="",TRUE()),"",IF(N(INDEX(tsk_Deadline,(ROW()-ROW(MSPTasks[[#Headers],[ID]]))))=0,"",INDEX(tsk_Deadline,(ROW()-ROW(MSPTasks[[#Headers],[ID]])))))</f>
        <v/>
      </c>
      <c r="X98" s="24" t="str">
        <f aca="false">IF(IFERROR(INDEX(tsk_Name,(ROW()-ROW(MSPTasks[[#Headers],[ID]])))="",TRUE()),"",IF(INDEX(tsk_IsSummary,(ROW()-ROW(MSPTasks[[#Headers],[ID]]))),"",INDEX(tsk_Sprint,(ROW()-ROW(MSPTasks[[#Headers],[ID]])))&amp;""))</f>
        <v/>
      </c>
      <c r="Y98" s="24" t="str">
        <f aca="false">IF(IFERROR(INDEX(tsk_Name,(ROW()-ROW(MSPTasks[[#Headers],[ID]])))="",TRUE()),"",IF(INDEX(tsk_IsSummary,(ROW()-ROW(MSPTasks[[#Headers],[ID]]))),"",IF(N(INDEX(tsk_StoryPoints,(ROW()-ROW(MSPTasks[[#Headers],[ID]]))))=0,"",INDEX(tsk_StoryPoints,(ROW()-ROW(MSPTasks[[#Headers],[ID]]))))))</f>
        <v/>
      </c>
      <c r="Z98" s="24" t="str">
        <f aca="false">IF(IFERROR(INDEX(tsk_Name,(ROW()-ROW(MSPTasks[[#Headers],[ID]])))="",TRUE()),"",INDEX(tsk_Notes,(ROW()-ROW(MSPTasks[[#Headers],[ID]])))&amp;"")</f>
        <v/>
      </c>
    </row>
    <row r="99" customFormat="false" ht="15" hidden="false" customHeight="false" outlineLevel="0" collapsed="false">
      <c r="A99" s="24" t="str">
        <f aca="false">IF(IFERROR(INDEX(tsk_Name,(ROW()-ROW(MSPTasks[[#Headers],[ID]])))="",TRUE()),"",INDEX(tsk_ID,(ROW()-ROW(MSPTasks[[#Headers],[ID]]))))</f>
        <v/>
      </c>
      <c r="B99" s="24" t="str">
        <f aca="false">IF(IFERROR(INDEX(tsk_Name,(ROW()-ROW(MSPTasks[[#Headers],[ID]])))="",TRUE()),"",INDEX(tsk_UID,(ROW()-ROW(MSPTasks[[#Headers],[ID]]))))</f>
        <v/>
      </c>
      <c r="C99" s="24" t="str">
        <f aca="false">IF(IFERROR(INDEX(tsk_Name,(ROW()-ROW(MSPTasks[[#Headers],[ID]])))="",TRUE()),"",INDEX(tsk_Name,(ROW()-ROW(MSPTasks[[#Headers],[ID]]))))</f>
        <v/>
      </c>
      <c r="D99" s="24" t="str">
        <f aca="false">IF(IFERROR(INDEX(tsk_Name,(ROW()-ROW(MSPTasks[[#Headers],[ID]])))="",TRUE()),"",INDEX(tsk_Level,(ROW()-ROW(MSPTasks[[#Headers],[ID]]))))</f>
        <v/>
      </c>
      <c r="E99" s="24" t="str">
        <f aca="false">IF(IFERROR(INDEX(tsk_Name,(ROW()-ROW(MSPTasks[[#Headers],[ID]])))="",TRUE()),"",IF(INDEX(tsk_Mode,(ROW()-ROW(MSPTasks[[#Headers],[ID]])))="Manual","Manually Scheduled","Auto Scheduled"))</f>
        <v/>
      </c>
      <c r="F99" s="24" t="str">
        <f aca="false">IF(IFERROR(INDEX(tsk_Name,(ROW()-ROW(MSPTasks[[#Headers],[ID]])))="",TRUE()),"",IF(INDEX(tsk_IsSummary,(ROW()-ROW(MSPTasks[[#Headers],[ID]]))),"",N(INDEX(tsk_Duration,(ROW()-ROW(MSPTasks[[#Headers],[ID]]))))&amp;"d"))</f>
        <v/>
      </c>
      <c r="G99" s="130" t="str">
        <f aca="false">IF(IFERROR(INDEX(tsk_Name,(ROW()-ROW(MSPTasks[[#Headers],[ID]])))="",TRUE()),"",INDEX(tsk_FcStart,(ROW()-ROW(MSPTasks[[#Headers],[ID]]))))</f>
        <v/>
      </c>
      <c r="H99" s="130" t="str">
        <f aca="false">IF(IFERROR(INDEX(tsk_Name,(ROW()-ROW(MSPTasks[[#Headers],[ID]])))="",TRUE()),"",INDEX(tsk_FcFinish,(ROW()-ROW(MSPTasks[[#Headers],[ID]]))))</f>
        <v/>
      </c>
      <c r="I99" s="24" t="str">
        <f aca="false">IF(IFERROR(INDEX(tsk_Name,(ROW()-ROW(MSPTasks[[#Headers],[ID]])))="",TRUE()),"",IF(INDEX(tsk_IsSummary,(ROW()-ROW(MSPTasks[[#Headers],[ID]]))),"",INDEX(tsk_Predecessors,(ROW()-ROW(MSPTasks[[#Headers],[ID]])))))</f>
        <v/>
      </c>
      <c r="J99" s="24" t="str">
        <f aca="false">IF(IFERROR(INDEX(tsk_Name,(ROW()-ROW(MSPTasks[[#Headers],[ID]])))="",TRUE()),"",IF(INDEX(tsk_IsSummary,(ROW()-ROW(MSPTasks[[#Headers],[ID]]))),"",INDEX(tsk_UIDPredecessors,(ROW()-ROW(MSPTasks[[#Headers],[ID]])))))</f>
        <v/>
      </c>
      <c r="K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9" s="24" t="str">
        <f aca="false">IF(IFERROR(INDEX(tsk_Name,(ROW()-ROW(MSPTasks[[#Headers],[ID]])))="",TRUE()),"",IF(INDEX(tsk_IsSummary,(ROW()-ROW(MSPTasks[[#Headers],[ID]]))),"",ROUND(INDEX(tsk_Progress,(ROW()-ROW(MSPTasks[[#Headers],[ID]])))*100,0)))</f>
        <v/>
      </c>
      <c r="M99" s="130" t="str">
        <f aca="false">IF(IFERROR(INDEX(tsk_Name,(ROW()-ROW(MSPTasks[[#Headers],[ID]])))="",TRUE()),"",IF(N(INDEX(tsk_ActStart,(ROW()-ROW(MSPTasks[[#Headers],[ID]]))))=0,"",INDEX(tsk_ActStart,(ROW()-ROW(MSPTasks[[#Headers],[ID]])))))</f>
        <v/>
      </c>
      <c r="N99" s="130" t="str">
        <f aca="false">IF(IFERROR(INDEX(tsk_Name,(ROW()-ROW(MSPTasks[[#Headers],[ID]])))="",TRUE()),"",IF(N(INDEX(tsk_ActFinish,(ROW()-ROW(MSPTasks[[#Headers],[ID]]))))=0,"",INDEX(tsk_ActFinish,(ROW()-ROW(MSPTasks[[#Headers],[ID]])))))</f>
        <v/>
      </c>
      <c r="O99" s="130" t="str">
        <f aca="false">IF(IFERROR(INDEX(tsk_Name,(ROW()-ROW(MSPTasks[[#Headers],[ID]])))="",TRUE()),"",INDEX(tsk_PlanStart,(ROW()-ROW(MSPTasks[[#Headers],[ID]]))))</f>
        <v/>
      </c>
      <c r="P99" s="130" t="str">
        <f aca="false">IF(IFERROR(INDEX(tsk_Name,(ROW()-ROW(MSPTasks[[#Headers],[ID]])))="",TRUE()),"",INDEX(tsk_PlanFinish,(ROW()-ROW(MSPTasks[[#Headers],[ID]]))))</f>
        <v/>
      </c>
      <c r="Q99" s="24" t="str">
        <f aca="false">IF(IFERROR(INDEX(tsk_Name,(ROW()-ROW(MSPTasks[[#Headers],[ID]])))="",TRUE()),"",IF(INDEX(tsk_BaseDuration,(ROW()-ROW(MSPTasks[[#Headers],[ID]])))="","",N(INDEX(tsk_BaseDuration,(ROW()-ROW(MSPTasks[[#Headers],[ID]]))))&amp;"d"))</f>
        <v/>
      </c>
      <c r="R99" s="24" t="str">
        <f aca="false">IF(IFERROR(INDEX(tsk_Name,(ROW()-ROW(MSPTasks[[#Headers],[ID]])))="",TRUE()),"",IF(INDEX(tsk_BaseWork,(ROW()-ROW(MSPTasks[[#Headers],[ID]])))="","",N(INDEX(tsk_BaseWork,(ROW()-ROW(MSPTasks[[#Headers],[ID]]))))&amp;"h"))</f>
        <v/>
      </c>
      <c r="S99" s="24" t="str">
        <f aca="false">IF(IFERROR(INDEX(tsk_Name,(ROW()-ROW(MSPTasks[[#Headers],[ID]])))="",TRUE()),"",IF(INDEX(tsk_BaseCost,(ROW()-ROW(MSPTasks[[#Headers],[ID]])))="","",N(INDEX(tsk_BaseCost,(ROW()-ROW(MSPTasks[[#Headers],[ID]]))))))</f>
        <v/>
      </c>
      <c r="T99" s="24" t="str">
        <f aca="false">IF(IFERROR(INDEX(tsk_Name,(ROW()-ROW(MSPTasks[[#Headers],[ID]])))="",TRUE()),"",IF(INDEX(tsk_IsSummary,(ROW()-ROW(MSPTasks[[#Headers],[ID]]))),"",IF(N(INDEX(tsk_ActCostInput,(ROW()-ROW(MSPTasks[[#Headers],[ID]]))))=0,"",INDEX(tsk_ActCostInput,(ROW()-ROW(MSPTasks[[#Headers],[ID]]))))))</f>
        <v/>
      </c>
      <c r="U99" s="24" t="str">
        <f aca="false">IF(IFERROR(INDEX(tsk_Name,(ROW()-ROW(MSPTasks[[#Headers],[ID]])))="",TRUE()),"",IF(INDEX(tsk_IsSummary,(ROW()-ROW(MSPTasks[[#Headers],[ID]]))),"",IF(AND(INDEX(tsk_Mode,(ROW()-ROW(MSPTasks[[#Headers],[ID]])))&lt;&gt;"Manual",N(INDEX(tsk_Constraint,(ROW()-ROW(MSPTasks[[#Headers],[ID]]))))&gt;0),"Start No Earlier Than","As Soon As Possible")))</f>
        <v/>
      </c>
      <c r="V99" s="130" t="str">
        <f aca="false">IF(IFERROR(INDEX(tsk_Name,(ROW()-ROW(MSPTasks[[#Headers],[ID]])))="",TRUE()),"",IF(OR(INDEX(tsk_IsSummary,(ROW()-ROW(MSPTasks[[#Headers],[ID]]))),INDEX(tsk_Mode,(ROW()-ROW(MSPTasks[[#Headers],[ID]])))="Manual"),"",IF(N(INDEX(tsk_Constraint,(ROW()-ROW(MSPTasks[[#Headers],[ID]]))))=0,"",INDEX(tsk_Constraint,(ROW()-ROW(MSPTasks[[#Headers],[ID]]))))))</f>
        <v/>
      </c>
      <c r="W99" s="130" t="str">
        <f aca="false">IF(IFERROR(INDEX(tsk_Name,(ROW()-ROW(MSPTasks[[#Headers],[ID]])))="",TRUE()),"",IF(N(INDEX(tsk_Deadline,(ROW()-ROW(MSPTasks[[#Headers],[ID]]))))=0,"",INDEX(tsk_Deadline,(ROW()-ROW(MSPTasks[[#Headers],[ID]])))))</f>
        <v/>
      </c>
      <c r="X99" s="24" t="str">
        <f aca="false">IF(IFERROR(INDEX(tsk_Name,(ROW()-ROW(MSPTasks[[#Headers],[ID]])))="",TRUE()),"",IF(INDEX(tsk_IsSummary,(ROW()-ROW(MSPTasks[[#Headers],[ID]]))),"",INDEX(tsk_Sprint,(ROW()-ROW(MSPTasks[[#Headers],[ID]])))&amp;""))</f>
        <v/>
      </c>
      <c r="Y99" s="24" t="str">
        <f aca="false">IF(IFERROR(INDEX(tsk_Name,(ROW()-ROW(MSPTasks[[#Headers],[ID]])))="",TRUE()),"",IF(INDEX(tsk_IsSummary,(ROW()-ROW(MSPTasks[[#Headers],[ID]]))),"",IF(N(INDEX(tsk_StoryPoints,(ROW()-ROW(MSPTasks[[#Headers],[ID]]))))=0,"",INDEX(tsk_StoryPoints,(ROW()-ROW(MSPTasks[[#Headers],[ID]]))))))</f>
        <v/>
      </c>
      <c r="Z99" s="24" t="str">
        <f aca="false">IF(IFERROR(INDEX(tsk_Name,(ROW()-ROW(MSPTasks[[#Headers],[ID]])))="",TRUE()),"",INDEX(tsk_Notes,(ROW()-ROW(MSPTasks[[#Headers],[ID]])))&amp;"")</f>
        <v/>
      </c>
    </row>
    <row r="100" customFormat="false" ht="15" hidden="false" customHeight="false" outlineLevel="0" collapsed="false">
      <c r="A100" s="24" t="str">
        <f aca="false">IF(IFERROR(INDEX(tsk_Name,(ROW()-ROW(MSPTasks[[#Headers],[ID]])))="",TRUE()),"",INDEX(tsk_ID,(ROW()-ROW(MSPTasks[[#Headers],[ID]]))))</f>
        <v/>
      </c>
      <c r="B100" s="24" t="str">
        <f aca="false">IF(IFERROR(INDEX(tsk_Name,(ROW()-ROW(MSPTasks[[#Headers],[ID]])))="",TRUE()),"",INDEX(tsk_UID,(ROW()-ROW(MSPTasks[[#Headers],[ID]]))))</f>
        <v/>
      </c>
      <c r="C100" s="24" t="str">
        <f aca="false">IF(IFERROR(INDEX(tsk_Name,(ROW()-ROW(MSPTasks[[#Headers],[ID]])))="",TRUE()),"",INDEX(tsk_Name,(ROW()-ROW(MSPTasks[[#Headers],[ID]]))))</f>
        <v/>
      </c>
      <c r="D100" s="24" t="str">
        <f aca="false">IF(IFERROR(INDEX(tsk_Name,(ROW()-ROW(MSPTasks[[#Headers],[ID]])))="",TRUE()),"",INDEX(tsk_Level,(ROW()-ROW(MSPTasks[[#Headers],[ID]]))))</f>
        <v/>
      </c>
      <c r="E100" s="24" t="str">
        <f aca="false">IF(IFERROR(INDEX(tsk_Name,(ROW()-ROW(MSPTasks[[#Headers],[ID]])))="",TRUE()),"",IF(INDEX(tsk_Mode,(ROW()-ROW(MSPTasks[[#Headers],[ID]])))="Manual","Manually Scheduled","Auto Scheduled"))</f>
        <v/>
      </c>
      <c r="F100" s="24" t="str">
        <f aca="false">IF(IFERROR(INDEX(tsk_Name,(ROW()-ROW(MSPTasks[[#Headers],[ID]])))="",TRUE()),"",IF(INDEX(tsk_IsSummary,(ROW()-ROW(MSPTasks[[#Headers],[ID]]))),"",N(INDEX(tsk_Duration,(ROW()-ROW(MSPTasks[[#Headers],[ID]]))))&amp;"d"))</f>
        <v/>
      </c>
      <c r="G100" s="130" t="str">
        <f aca="false">IF(IFERROR(INDEX(tsk_Name,(ROW()-ROW(MSPTasks[[#Headers],[ID]])))="",TRUE()),"",INDEX(tsk_FcStart,(ROW()-ROW(MSPTasks[[#Headers],[ID]]))))</f>
        <v/>
      </c>
      <c r="H100" s="130" t="str">
        <f aca="false">IF(IFERROR(INDEX(tsk_Name,(ROW()-ROW(MSPTasks[[#Headers],[ID]])))="",TRUE()),"",INDEX(tsk_FcFinish,(ROW()-ROW(MSPTasks[[#Headers],[ID]]))))</f>
        <v/>
      </c>
      <c r="I100" s="24" t="str">
        <f aca="false">IF(IFERROR(INDEX(tsk_Name,(ROW()-ROW(MSPTasks[[#Headers],[ID]])))="",TRUE()),"",IF(INDEX(tsk_IsSummary,(ROW()-ROW(MSPTasks[[#Headers],[ID]]))),"",INDEX(tsk_Predecessors,(ROW()-ROW(MSPTasks[[#Headers],[ID]])))))</f>
        <v/>
      </c>
      <c r="J100" s="24" t="str">
        <f aca="false">IF(IFERROR(INDEX(tsk_Name,(ROW()-ROW(MSPTasks[[#Headers],[ID]])))="",TRUE()),"",IF(INDEX(tsk_IsSummary,(ROW()-ROW(MSPTasks[[#Headers],[ID]]))),"",INDEX(tsk_UIDPredecessors,(ROW()-ROW(MSPTasks[[#Headers],[ID]])))))</f>
        <v/>
      </c>
      <c r="K1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0" s="24" t="str">
        <f aca="false">IF(IFERROR(INDEX(tsk_Name,(ROW()-ROW(MSPTasks[[#Headers],[ID]])))="",TRUE()),"",IF(INDEX(tsk_IsSummary,(ROW()-ROW(MSPTasks[[#Headers],[ID]]))),"",ROUND(INDEX(tsk_Progress,(ROW()-ROW(MSPTasks[[#Headers],[ID]])))*100,0)))</f>
        <v/>
      </c>
      <c r="M100" s="130" t="str">
        <f aca="false">IF(IFERROR(INDEX(tsk_Name,(ROW()-ROW(MSPTasks[[#Headers],[ID]])))="",TRUE()),"",IF(N(INDEX(tsk_ActStart,(ROW()-ROW(MSPTasks[[#Headers],[ID]]))))=0,"",INDEX(tsk_ActStart,(ROW()-ROW(MSPTasks[[#Headers],[ID]])))))</f>
        <v/>
      </c>
      <c r="N100" s="130" t="str">
        <f aca="false">IF(IFERROR(INDEX(tsk_Name,(ROW()-ROW(MSPTasks[[#Headers],[ID]])))="",TRUE()),"",IF(N(INDEX(tsk_ActFinish,(ROW()-ROW(MSPTasks[[#Headers],[ID]]))))=0,"",INDEX(tsk_ActFinish,(ROW()-ROW(MSPTasks[[#Headers],[ID]])))))</f>
        <v/>
      </c>
      <c r="O100" s="130" t="str">
        <f aca="false">IF(IFERROR(INDEX(tsk_Name,(ROW()-ROW(MSPTasks[[#Headers],[ID]])))="",TRUE()),"",INDEX(tsk_PlanStart,(ROW()-ROW(MSPTasks[[#Headers],[ID]]))))</f>
        <v/>
      </c>
      <c r="P100" s="130" t="str">
        <f aca="false">IF(IFERROR(INDEX(tsk_Name,(ROW()-ROW(MSPTasks[[#Headers],[ID]])))="",TRUE()),"",INDEX(tsk_PlanFinish,(ROW()-ROW(MSPTasks[[#Headers],[ID]]))))</f>
        <v/>
      </c>
      <c r="Q100" s="24" t="str">
        <f aca="false">IF(IFERROR(INDEX(tsk_Name,(ROW()-ROW(MSPTasks[[#Headers],[ID]])))="",TRUE()),"",IF(INDEX(tsk_BaseDuration,(ROW()-ROW(MSPTasks[[#Headers],[ID]])))="","",N(INDEX(tsk_BaseDuration,(ROW()-ROW(MSPTasks[[#Headers],[ID]]))))&amp;"d"))</f>
        <v/>
      </c>
      <c r="R100" s="24" t="str">
        <f aca="false">IF(IFERROR(INDEX(tsk_Name,(ROW()-ROW(MSPTasks[[#Headers],[ID]])))="",TRUE()),"",IF(INDEX(tsk_BaseWork,(ROW()-ROW(MSPTasks[[#Headers],[ID]])))="","",N(INDEX(tsk_BaseWork,(ROW()-ROW(MSPTasks[[#Headers],[ID]]))))&amp;"h"))</f>
        <v/>
      </c>
      <c r="S100" s="24" t="str">
        <f aca="false">IF(IFERROR(INDEX(tsk_Name,(ROW()-ROW(MSPTasks[[#Headers],[ID]])))="",TRUE()),"",IF(INDEX(tsk_BaseCost,(ROW()-ROW(MSPTasks[[#Headers],[ID]])))="","",N(INDEX(tsk_BaseCost,(ROW()-ROW(MSPTasks[[#Headers],[ID]]))))))</f>
        <v/>
      </c>
      <c r="T100" s="24" t="str">
        <f aca="false">IF(IFERROR(INDEX(tsk_Name,(ROW()-ROW(MSPTasks[[#Headers],[ID]])))="",TRUE()),"",IF(INDEX(tsk_IsSummary,(ROW()-ROW(MSPTasks[[#Headers],[ID]]))),"",IF(N(INDEX(tsk_ActCostInput,(ROW()-ROW(MSPTasks[[#Headers],[ID]]))))=0,"",INDEX(tsk_ActCostInput,(ROW()-ROW(MSPTasks[[#Headers],[ID]]))))))</f>
        <v/>
      </c>
      <c r="U100" s="24" t="str">
        <f aca="false">IF(IFERROR(INDEX(tsk_Name,(ROW()-ROW(MSPTasks[[#Headers],[ID]])))="",TRUE()),"",IF(INDEX(tsk_IsSummary,(ROW()-ROW(MSPTasks[[#Headers],[ID]]))),"",IF(AND(INDEX(tsk_Mode,(ROW()-ROW(MSPTasks[[#Headers],[ID]])))&lt;&gt;"Manual",N(INDEX(tsk_Constraint,(ROW()-ROW(MSPTasks[[#Headers],[ID]]))))&gt;0),"Start No Earlier Than","As Soon As Possible")))</f>
        <v/>
      </c>
      <c r="V100" s="130" t="str">
        <f aca="false">IF(IFERROR(INDEX(tsk_Name,(ROW()-ROW(MSPTasks[[#Headers],[ID]])))="",TRUE()),"",IF(OR(INDEX(tsk_IsSummary,(ROW()-ROW(MSPTasks[[#Headers],[ID]]))),INDEX(tsk_Mode,(ROW()-ROW(MSPTasks[[#Headers],[ID]])))="Manual"),"",IF(N(INDEX(tsk_Constraint,(ROW()-ROW(MSPTasks[[#Headers],[ID]]))))=0,"",INDEX(tsk_Constraint,(ROW()-ROW(MSPTasks[[#Headers],[ID]]))))))</f>
        <v/>
      </c>
      <c r="W100" s="130" t="str">
        <f aca="false">IF(IFERROR(INDEX(tsk_Name,(ROW()-ROW(MSPTasks[[#Headers],[ID]])))="",TRUE()),"",IF(N(INDEX(tsk_Deadline,(ROW()-ROW(MSPTasks[[#Headers],[ID]]))))=0,"",INDEX(tsk_Deadline,(ROW()-ROW(MSPTasks[[#Headers],[ID]])))))</f>
        <v/>
      </c>
      <c r="X100" s="24" t="str">
        <f aca="false">IF(IFERROR(INDEX(tsk_Name,(ROW()-ROW(MSPTasks[[#Headers],[ID]])))="",TRUE()),"",IF(INDEX(tsk_IsSummary,(ROW()-ROW(MSPTasks[[#Headers],[ID]]))),"",INDEX(tsk_Sprint,(ROW()-ROW(MSPTasks[[#Headers],[ID]])))&amp;""))</f>
        <v/>
      </c>
      <c r="Y100" s="24" t="str">
        <f aca="false">IF(IFERROR(INDEX(tsk_Name,(ROW()-ROW(MSPTasks[[#Headers],[ID]])))="",TRUE()),"",IF(INDEX(tsk_IsSummary,(ROW()-ROW(MSPTasks[[#Headers],[ID]]))),"",IF(N(INDEX(tsk_StoryPoints,(ROW()-ROW(MSPTasks[[#Headers],[ID]]))))=0,"",INDEX(tsk_StoryPoints,(ROW()-ROW(MSPTasks[[#Headers],[ID]]))))))</f>
        <v/>
      </c>
      <c r="Z100" s="24" t="str">
        <f aca="false">IF(IFERROR(INDEX(tsk_Name,(ROW()-ROW(MSPTasks[[#Headers],[ID]])))="",TRUE()),"",INDEX(tsk_Notes,(ROW()-ROW(MSPTasks[[#Headers],[ID]])))&amp;"")</f>
        <v/>
      </c>
    </row>
    <row r="101" customFormat="false" ht="15" hidden="false" customHeight="false" outlineLevel="0" collapsed="false">
      <c r="A101" s="24" t="str">
        <f aca="false">IF(IFERROR(INDEX(tsk_Name,(ROW()-ROW(MSPTasks[[#Headers],[ID]])))="",TRUE()),"",INDEX(tsk_ID,(ROW()-ROW(MSPTasks[[#Headers],[ID]]))))</f>
        <v/>
      </c>
      <c r="B101" s="24" t="str">
        <f aca="false">IF(IFERROR(INDEX(tsk_Name,(ROW()-ROW(MSPTasks[[#Headers],[ID]])))="",TRUE()),"",INDEX(tsk_UID,(ROW()-ROW(MSPTasks[[#Headers],[ID]]))))</f>
        <v/>
      </c>
      <c r="C101" s="24" t="str">
        <f aca="false">IF(IFERROR(INDEX(tsk_Name,(ROW()-ROW(MSPTasks[[#Headers],[ID]])))="",TRUE()),"",INDEX(tsk_Name,(ROW()-ROW(MSPTasks[[#Headers],[ID]]))))</f>
        <v/>
      </c>
      <c r="D101" s="24" t="str">
        <f aca="false">IF(IFERROR(INDEX(tsk_Name,(ROW()-ROW(MSPTasks[[#Headers],[ID]])))="",TRUE()),"",INDEX(tsk_Level,(ROW()-ROW(MSPTasks[[#Headers],[ID]]))))</f>
        <v/>
      </c>
      <c r="E101" s="24" t="str">
        <f aca="false">IF(IFERROR(INDEX(tsk_Name,(ROW()-ROW(MSPTasks[[#Headers],[ID]])))="",TRUE()),"",IF(INDEX(tsk_Mode,(ROW()-ROW(MSPTasks[[#Headers],[ID]])))="Manual","Manually Scheduled","Auto Scheduled"))</f>
        <v/>
      </c>
      <c r="F101" s="24" t="str">
        <f aca="false">IF(IFERROR(INDEX(tsk_Name,(ROW()-ROW(MSPTasks[[#Headers],[ID]])))="",TRUE()),"",IF(INDEX(tsk_IsSummary,(ROW()-ROW(MSPTasks[[#Headers],[ID]]))),"",N(INDEX(tsk_Duration,(ROW()-ROW(MSPTasks[[#Headers],[ID]]))))&amp;"d"))</f>
        <v/>
      </c>
      <c r="G101" s="130" t="str">
        <f aca="false">IF(IFERROR(INDEX(tsk_Name,(ROW()-ROW(MSPTasks[[#Headers],[ID]])))="",TRUE()),"",INDEX(tsk_FcStart,(ROW()-ROW(MSPTasks[[#Headers],[ID]]))))</f>
        <v/>
      </c>
      <c r="H101" s="130" t="str">
        <f aca="false">IF(IFERROR(INDEX(tsk_Name,(ROW()-ROW(MSPTasks[[#Headers],[ID]])))="",TRUE()),"",INDEX(tsk_FcFinish,(ROW()-ROW(MSPTasks[[#Headers],[ID]]))))</f>
        <v/>
      </c>
      <c r="I101" s="24" t="str">
        <f aca="false">IF(IFERROR(INDEX(tsk_Name,(ROW()-ROW(MSPTasks[[#Headers],[ID]])))="",TRUE()),"",IF(INDEX(tsk_IsSummary,(ROW()-ROW(MSPTasks[[#Headers],[ID]]))),"",INDEX(tsk_Predecessors,(ROW()-ROW(MSPTasks[[#Headers],[ID]])))))</f>
        <v/>
      </c>
      <c r="J101" s="24" t="str">
        <f aca="false">IF(IFERROR(INDEX(tsk_Name,(ROW()-ROW(MSPTasks[[#Headers],[ID]])))="",TRUE()),"",IF(INDEX(tsk_IsSummary,(ROW()-ROW(MSPTasks[[#Headers],[ID]]))),"",INDEX(tsk_UIDPredecessors,(ROW()-ROW(MSPTasks[[#Headers],[ID]])))))</f>
        <v/>
      </c>
      <c r="K1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1" s="24" t="str">
        <f aca="false">IF(IFERROR(INDEX(tsk_Name,(ROW()-ROW(MSPTasks[[#Headers],[ID]])))="",TRUE()),"",IF(INDEX(tsk_IsSummary,(ROW()-ROW(MSPTasks[[#Headers],[ID]]))),"",ROUND(INDEX(tsk_Progress,(ROW()-ROW(MSPTasks[[#Headers],[ID]])))*100,0)))</f>
        <v/>
      </c>
      <c r="M101" s="130" t="str">
        <f aca="false">IF(IFERROR(INDEX(tsk_Name,(ROW()-ROW(MSPTasks[[#Headers],[ID]])))="",TRUE()),"",IF(N(INDEX(tsk_ActStart,(ROW()-ROW(MSPTasks[[#Headers],[ID]]))))=0,"",INDEX(tsk_ActStart,(ROW()-ROW(MSPTasks[[#Headers],[ID]])))))</f>
        <v/>
      </c>
      <c r="N101" s="130" t="str">
        <f aca="false">IF(IFERROR(INDEX(tsk_Name,(ROW()-ROW(MSPTasks[[#Headers],[ID]])))="",TRUE()),"",IF(N(INDEX(tsk_ActFinish,(ROW()-ROW(MSPTasks[[#Headers],[ID]]))))=0,"",INDEX(tsk_ActFinish,(ROW()-ROW(MSPTasks[[#Headers],[ID]])))))</f>
        <v/>
      </c>
      <c r="O101" s="130" t="str">
        <f aca="false">IF(IFERROR(INDEX(tsk_Name,(ROW()-ROW(MSPTasks[[#Headers],[ID]])))="",TRUE()),"",INDEX(tsk_PlanStart,(ROW()-ROW(MSPTasks[[#Headers],[ID]]))))</f>
        <v/>
      </c>
      <c r="P101" s="130" t="str">
        <f aca="false">IF(IFERROR(INDEX(tsk_Name,(ROW()-ROW(MSPTasks[[#Headers],[ID]])))="",TRUE()),"",INDEX(tsk_PlanFinish,(ROW()-ROW(MSPTasks[[#Headers],[ID]]))))</f>
        <v/>
      </c>
      <c r="Q101" s="24" t="str">
        <f aca="false">IF(IFERROR(INDEX(tsk_Name,(ROW()-ROW(MSPTasks[[#Headers],[ID]])))="",TRUE()),"",IF(INDEX(tsk_BaseDuration,(ROW()-ROW(MSPTasks[[#Headers],[ID]])))="","",N(INDEX(tsk_BaseDuration,(ROW()-ROW(MSPTasks[[#Headers],[ID]]))))&amp;"d"))</f>
        <v/>
      </c>
      <c r="R101" s="24" t="str">
        <f aca="false">IF(IFERROR(INDEX(tsk_Name,(ROW()-ROW(MSPTasks[[#Headers],[ID]])))="",TRUE()),"",IF(INDEX(tsk_BaseWork,(ROW()-ROW(MSPTasks[[#Headers],[ID]])))="","",N(INDEX(tsk_BaseWork,(ROW()-ROW(MSPTasks[[#Headers],[ID]]))))&amp;"h"))</f>
        <v/>
      </c>
      <c r="S101" s="24" t="str">
        <f aca="false">IF(IFERROR(INDEX(tsk_Name,(ROW()-ROW(MSPTasks[[#Headers],[ID]])))="",TRUE()),"",IF(INDEX(tsk_BaseCost,(ROW()-ROW(MSPTasks[[#Headers],[ID]])))="","",N(INDEX(tsk_BaseCost,(ROW()-ROW(MSPTasks[[#Headers],[ID]]))))))</f>
        <v/>
      </c>
      <c r="T101" s="24" t="str">
        <f aca="false">IF(IFERROR(INDEX(tsk_Name,(ROW()-ROW(MSPTasks[[#Headers],[ID]])))="",TRUE()),"",IF(INDEX(tsk_IsSummary,(ROW()-ROW(MSPTasks[[#Headers],[ID]]))),"",IF(N(INDEX(tsk_ActCostInput,(ROW()-ROW(MSPTasks[[#Headers],[ID]]))))=0,"",INDEX(tsk_ActCostInput,(ROW()-ROW(MSPTasks[[#Headers],[ID]]))))))</f>
        <v/>
      </c>
      <c r="U101" s="24" t="str">
        <f aca="false">IF(IFERROR(INDEX(tsk_Name,(ROW()-ROW(MSPTasks[[#Headers],[ID]])))="",TRUE()),"",IF(INDEX(tsk_IsSummary,(ROW()-ROW(MSPTasks[[#Headers],[ID]]))),"",IF(AND(INDEX(tsk_Mode,(ROW()-ROW(MSPTasks[[#Headers],[ID]])))&lt;&gt;"Manual",N(INDEX(tsk_Constraint,(ROW()-ROW(MSPTasks[[#Headers],[ID]]))))&gt;0),"Start No Earlier Than","As Soon As Possible")))</f>
        <v/>
      </c>
      <c r="V101" s="130" t="str">
        <f aca="false">IF(IFERROR(INDEX(tsk_Name,(ROW()-ROW(MSPTasks[[#Headers],[ID]])))="",TRUE()),"",IF(OR(INDEX(tsk_IsSummary,(ROW()-ROW(MSPTasks[[#Headers],[ID]]))),INDEX(tsk_Mode,(ROW()-ROW(MSPTasks[[#Headers],[ID]])))="Manual"),"",IF(N(INDEX(tsk_Constraint,(ROW()-ROW(MSPTasks[[#Headers],[ID]]))))=0,"",INDEX(tsk_Constraint,(ROW()-ROW(MSPTasks[[#Headers],[ID]]))))))</f>
        <v/>
      </c>
      <c r="W101" s="130" t="str">
        <f aca="false">IF(IFERROR(INDEX(tsk_Name,(ROW()-ROW(MSPTasks[[#Headers],[ID]])))="",TRUE()),"",IF(N(INDEX(tsk_Deadline,(ROW()-ROW(MSPTasks[[#Headers],[ID]]))))=0,"",INDEX(tsk_Deadline,(ROW()-ROW(MSPTasks[[#Headers],[ID]])))))</f>
        <v/>
      </c>
      <c r="X101" s="24" t="str">
        <f aca="false">IF(IFERROR(INDEX(tsk_Name,(ROW()-ROW(MSPTasks[[#Headers],[ID]])))="",TRUE()),"",IF(INDEX(tsk_IsSummary,(ROW()-ROW(MSPTasks[[#Headers],[ID]]))),"",INDEX(tsk_Sprint,(ROW()-ROW(MSPTasks[[#Headers],[ID]])))&amp;""))</f>
        <v/>
      </c>
      <c r="Y101" s="24" t="str">
        <f aca="false">IF(IFERROR(INDEX(tsk_Name,(ROW()-ROW(MSPTasks[[#Headers],[ID]])))="",TRUE()),"",IF(INDEX(tsk_IsSummary,(ROW()-ROW(MSPTasks[[#Headers],[ID]]))),"",IF(N(INDEX(tsk_StoryPoints,(ROW()-ROW(MSPTasks[[#Headers],[ID]]))))=0,"",INDEX(tsk_StoryPoints,(ROW()-ROW(MSPTasks[[#Headers],[ID]]))))))</f>
        <v/>
      </c>
      <c r="Z101" s="24" t="str">
        <f aca="false">IF(IFERROR(INDEX(tsk_Name,(ROW()-ROW(MSPTasks[[#Headers],[ID]])))="",TRUE()),"",INDEX(tsk_Notes,(ROW()-ROW(MSPTasks[[#Headers],[ID]])))&amp;"")</f>
        <v/>
      </c>
    </row>
    <row r="102" customFormat="false" ht="15" hidden="false" customHeight="false" outlineLevel="0" collapsed="false">
      <c r="A102" s="24" t="str">
        <f aca="false">IF(IFERROR(INDEX(tsk_Name,(ROW()-ROW(MSPTasks[[#Headers],[ID]])))="",TRUE()),"",INDEX(tsk_ID,(ROW()-ROW(MSPTasks[[#Headers],[ID]]))))</f>
        <v/>
      </c>
      <c r="B102" s="24" t="str">
        <f aca="false">IF(IFERROR(INDEX(tsk_Name,(ROW()-ROW(MSPTasks[[#Headers],[ID]])))="",TRUE()),"",INDEX(tsk_UID,(ROW()-ROW(MSPTasks[[#Headers],[ID]]))))</f>
        <v/>
      </c>
      <c r="C102" s="24" t="str">
        <f aca="false">IF(IFERROR(INDEX(tsk_Name,(ROW()-ROW(MSPTasks[[#Headers],[ID]])))="",TRUE()),"",INDEX(tsk_Name,(ROW()-ROW(MSPTasks[[#Headers],[ID]]))))</f>
        <v/>
      </c>
      <c r="D102" s="24" t="str">
        <f aca="false">IF(IFERROR(INDEX(tsk_Name,(ROW()-ROW(MSPTasks[[#Headers],[ID]])))="",TRUE()),"",INDEX(tsk_Level,(ROW()-ROW(MSPTasks[[#Headers],[ID]]))))</f>
        <v/>
      </c>
      <c r="E102" s="24" t="str">
        <f aca="false">IF(IFERROR(INDEX(tsk_Name,(ROW()-ROW(MSPTasks[[#Headers],[ID]])))="",TRUE()),"",IF(INDEX(tsk_Mode,(ROW()-ROW(MSPTasks[[#Headers],[ID]])))="Manual","Manually Scheduled","Auto Scheduled"))</f>
        <v/>
      </c>
      <c r="F102" s="24" t="str">
        <f aca="false">IF(IFERROR(INDEX(tsk_Name,(ROW()-ROW(MSPTasks[[#Headers],[ID]])))="",TRUE()),"",IF(INDEX(tsk_IsSummary,(ROW()-ROW(MSPTasks[[#Headers],[ID]]))),"",N(INDEX(tsk_Duration,(ROW()-ROW(MSPTasks[[#Headers],[ID]]))))&amp;"d"))</f>
        <v/>
      </c>
      <c r="G102" s="130" t="str">
        <f aca="false">IF(IFERROR(INDEX(tsk_Name,(ROW()-ROW(MSPTasks[[#Headers],[ID]])))="",TRUE()),"",INDEX(tsk_FcStart,(ROW()-ROW(MSPTasks[[#Headers],[ID]]))))</f>
        <v/>
      </c>
      <c r="H102" s="130" t="str">
        <f aca="false">IF(IFERROR(INDEX(tsk_Name,(ROW()-ROW(MSPTasks[[#Headers],[ID]])))="",TRUE()),"",INDEX(tsk_FcFinish,(ROW()-ROW(MSPTasks[[#Headers],[ID]]))))</f>
        <v/>
      </c>
      <c r="I102" s="24" t="str">
        <f aca="false">IF(IFERROR(INDEX(tsk_Name,(ROW()-ROW(MSPTasks[[#Headers],[ID]])))="",TRUE()),"",IF(INDEX(tsk_IsSummary,(ROW()-ROW(MSPTasks[[#Headers],[ID]]))),"",INDEX(tsk_Predecessors,(ROW()-ROW(MSPTasks[[#Headers],[ID]])))))</f>
        <v/>
      </c>
      <c r="J102" s="24" t="str">
        <f aca="false">IF(IFERROR(INDEX(tsk_Name,(ROW()-ROW(MSPTasks[[#Headers],[ID]])))="",TRUE()),"",IF(INDEX(tsk_IsSummary,(ROW()-ROW(MSPTasks[[#Headers],[ID]]))),"",INDEX(tsk_UIDPredecessors,(ROW()-ROW(MSPTasks[[#Headers],[ID]])))))</f>
        <v/>
      </c>
      <c r="K10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2" s="24" t="str">
        <f aca="false">IF(IFERROR(INDEX(tsk_Name,(ROW()-ROW(MSPTasks[[#Headers],[ID]])))="",TRUE()),"",IF(INDEX(tsk_IsSummary,(ROW()-ROW(MSPTasks[[#Headers],[ID]]))),"",ROUND(INDEX(tsk_Progress,(ROW()-ROW(MSPTasks[[#Headers],[ID]])))*100,0)))</f>
        <v/>
      </c>
      <c r="M102" s="130" t="str">
        <f aca="false">IF(IFERROR(INDEX(tsk_Name,(ROW()-ROW(MSPTasks[[#Headers],[ID]])))="",TRUE()),"",IF(N(INDEX(tsk_ActStart,(ROW()-ROW(MSPTasks[[#Headers],[ID]]))))=0,"",INDEX(tsk_ActStart,(ROW()-ROW(MSPTasks[[#Headers],[ID]])))))</f>
        <v/>
      </c>
      <c r="N102" s="130" t="str">
        <f aca="false">IF(IFERROR(INDEX(tsk_Name,(ROW()-ROW(MSPTasks[[#Headers],[ID]])))="",TRUE()),"",IF(N(INDEX(tsk_ActFinish,(ROW()-ROW(MSPTasks[[#Headers],[ID]]))))=0,"",INDEX(tsk_ActFinish,(ROW()-ROW(MSPTasks[[#Headers],[ID]])))))</f>
        <v/>
      </c>
      <c r="O102" s="130" t="str">
        <f aca="false">IF(IFERROR(INDEX(tsk_Name,(ROW()-ROW(MSPTasks[[#Headers],[ID]])))="",TRUE()),"",INDEX(tsk_PlanStart,(ROW()-ROW(MSPTasks[[#Headers],[ID]]))))</f>
        <v/>
      </c>
      <c r="P102" s="130" t="str">
        <f aca="false">IF(IFERROR(INDEX(tsk_Name,(ROW()-ROW(MSPTasks[[#Headers],[ID]])))="",TRUE()),"",INDEX(tsk_PlanFinish,(ROW()-ROW(MSPTasks[[#Headers],[ID]]))))</f>
        <v/>
      </c>
      <c r="Q102" s="24" t="str">
        <f aca="false">IF(IFERROR(INDEX(tsk_Name,(ROW()-ROW(MSPTasks[[#Headers],[ID]])))="",TRUE()),"",IF(INDEX(tsk_BaseDuration,(ROW()-ROW(MSPTasks[[#Headers],[ID]])))="","",N(INDEX(tsk_BaseDuration,(ROW()-ROW(MSPTasks[[#Headers],[ID]]))))&amp;"d"))</f>
        <v/>
      </c>
      <c r="R102" s="24" t="str">
        <f aca="false">IF(IFERROR(INDEX(tsk_Name,(ROW()-ROW(MSPTasks[[#Headers],[ID]])))="",TRUE()),"",IF(INDEX(tsk_BaseWork,(ROW()-ROW(MSPTasks[[#Headers],[ID]])))="","",N(INDEX(tsk_BaseWork,(ROW()-ROW(MSPTasks[[#Headers],[ID]]))))&amp;"h"))</f>
        <v/>
      </c>
      <c r="S102" s="24" t="str">
        <f aca="false">IF(IFERROR(INDEX(tsk_Name,(ROW()-ROW(MSPTasks[[#Headers],[ID]])))="",TRUE()),"",IF(INDEX(tsk_BaseCost,(ROW()-ROW(MSPTasks[[#Headers],[ID]])))="","",N(INDEX(tsk_BaseCost,(ROW()-ROW(MSPTasks[[#Headers],[ID]]))))))</f>
        <v/>
      </c>
      <c r="T102" s="24" t="str">
        <f aca="false">IF(IFERROR(INDEX(tsk_Name,(ROW()-ROW(MSPTasks[[#Headers],[ID]])))="",TRUE()),"",IF(INDEX(tsk_IsSummary,(ROW()-ROW(MSPTasks[[#Headers],[ID]]))),"",IF(N(INDEX(tsk_ActCostInput,(ROW()-ROW(MSPTasks[[#Headers],[ID]]))))=0,"",INDEX(tsk_ActCostInput,(ROW()-ROW(MSPTasks[[#Headers],[ID]]))))))</f>
        <v/>
      </c>
      <c r="U102" s="24" t="str">
        <f aca="false">IF(IFERROR(INDEX(tsk_Name,(ROW()-ROW(MSPTasks[[#Headers],[ID]])))="",TRUE()),"",IF(INDEX(tsk_IsSummary,(ROW()-ROW(MSPTasks[[#Headers],[ID]]))),"",IF(AND(INDEX(tsk_Mode,(ROW()-ROW(MSPTasks[[#Headers],[ID]])))&lt;&gt;"Manual",N(INDEX(tsk_Constraint,(ROW()-ROW(MSPTasks[[#Headers],[ID]]))))&gt;0),"Start No Earlier Than","As Soon As Possible")))</f>
        <v/>
      </c>
      <c r="V102" s="130" t="str">
        <f aca="false">IF(IFERROR(INDEX(tsk_Name,(ROW()-ROW(MSPTasks[[#Headers],[ID]])))="",TRUE()),"",IF(OR(INDEX(tsk_IsSummary,(ROW()-ROW(MSPTasks[[#Headers],[ID]]))),INDEX(tsk_Mode,(ROW()-ROW(MSPTasks[[#Headers],[ID]])))="Manual"),"",IF(N(INDEX(tsk_Constraint,(ROW()-ROW(MSPTasks[[#Headers],[ID]]))))=0,"",INDEX(tsk_Constraint,(ROW()-ROW(MSPTasks[[#Headers],[ID]]))))))</f>
        <v/>
      </c>
      <c r="W102" s="130" t="str">
        <f aca="false">IF(IFERROR(INDEX(tsk_Name,(ROW()-ROW(MSPTasks[[#Headers],[ID]])))="",TRUE()),"",IF(N(INDEX(tsk_Deadline,(ROW()-ROW(MSPTasks[[#Headers],[ID]]))))=0,"",INDEX(tsk_Deadline,(ROW()-ROW(MSPTasks[[#Headers],[ID]])))))</f>
        <v/>
      </c>
      <c r="X102" s="24" t="str">
        <f aca="false">IF(IFERROR(INDEX(tsk_Name,(ROW()-ROW(MSPTasks[[#Headers],[ID]])))="",TRUE()),"",IF(INDEX(tsk_IsSummary,(ROW()-ROW(MSPTasks[[#Headers],[ID]]))),"",INDEX(tsk_Sprint,(ROW()-ROW(MSPTasks[[#Headers],[ID]])))&amp;""))</f>
        <v/>
      </c>
      <c r="Y102" s="24" t="str">
        <f aca="false">IF(IFERROR(INDEX(tsk_Name,(ROW()-ROW(MSPTasks[[#Headers],[ID]])))="",TRUE()),"",IF(INDEX(tsk_IsSummary,(ROW()-ROW(MSPTasks[[#Headers],[ID]]))),"",IF(N(INDEX(tsk_StoryPoints,(ROW()-ROW(MSPTasks[[#Headers],[ID]]))))=0,"",INDEX(tsk_StoryPoints,(ROW()-ROW(MSPTasks[[#Headers],[ID]]))))))</f>
        <v/>
      </c>
      <c r="Z102" s="24" t="str">
        <f aca="false">IF(IFERROR(INDEX(tsk_Name,(ROW()-ROW(MSPTasks[[#Headers],[ID]])))="",TRUE()),"",INDEX(tsk_Notes,(ROW()-ROW(MSPTasks[[#Headers],[ID]])))&amp;"")</f>
        <v/>
      </c>
    </row>
    <row r="103" customFormat="false" ht="15" hidden="false" customHeight="false" outlineLevel="0" collapsed="false">
      <c r="A103" s="24" t="str">
        <f aca="false">IF(IFERROR(INDEX(tsk_Name,(ROW()-ROW(MSPTasks[[#Headers],[ID]])))="",TRUE()),"",INDEX(tsk_ID,(ROW()-ROW(MSPTasks[[#Headers],[ID]]))))</f>
        <v/>
      </c>
      <c r="B103" s="24" t="str">
        <f aca="false">IF(IFERROR(INDEX(tsk_Name,(ROW()-ROW(MSPTasks[[#Headers],[ID]])))="",TRUE()),"",INDEX(tsk_UID,(ROW()-ROW(MSPTasks[[#Headers],[ID]]))))</f>
        <v/>
      </c>
      <c r="C103" s="24" t="str">
        <f aca="false">IF(IFERROR(INDEX(tsk_Name,(ROW()-ROW(MSPTasks[[#Headers],[ID]])))="",TRUE()),"",INDEX(tsk_Name,(ROW()-ROW(MSPTasks[[#Headers],[ID]]))))</f>
        <v/>
      </c>
      <c r="D103" s="24" t="str">
        <f aca="false">IF(IFERROR(INDEX(tsk_Name,(ROW()-ROW(MSPTasks[[#Headers],[ID]])))="",TRUE()),"",INDEX(tsk_Level,(ROW()-ROW(MSPTasks[[#Headers],[ID]]))))</f>
        <v/>
      </c>
      <c r="E103" s="24" t="str">
        <f aca="false">IF(IFERROR(INDEX(tsk_Name,(ROW()-ROW(MSPTasks[[#Headers],[ID]])))="",TRUE()),"",IF(INDEX(tsk_Mode,(ROW()-ROW(MSPTasks[[#Headers],[ID]])))="Manual","Manually Scheduled","Auto Scheduled"))</f>
        <v/>
      </c>
      <c r="F103" s="24" t="str">
        <f aca="false">IF(IFERROR(INDEX(tsk_Name,(ROW()-ROW(MSPTasks[[#Headers],[ID]])))="",TRUE()),"",IF(INDEX(tsk_IsSummary,(ROW()-ROW(MSPTasks[[#Headers],[ID]]))),"",N(INDEX(tsk_Duration,(ROW()-ROW(MSPTasks[[#Headers],[ID]]))))&amp;"d"))</f>
        <v/>
      </c>
      <c r="G103" s="130" t="str">
        <f aca="false">IF(IFERROR(INDEX(tsk_Name,(ROW()-ROW(MSPTasks[[#Headers],[ID]])))="",TRUE()),"",INDEX(tsk_FcStart,(ROW()-ROW(MSPTasks[[#Headers],[ID]]))))</f>
        <v/>
      </c>
      <c r="H103" s="130" t="str">
        <f aca="false">IF(IFERROR(INDEX(tsk_Name,(ROW()-ROW(MSPTasks[[#Headers],[ID]])))="",TRUE()),"",INDEX(tsk_FcFinish,(ROW()-ROW(MSPTasks[[#Headers],[ID]]))))</f>
        <v/>
      </c>
      <c r="I103" s="24" t="str">
        <f aca="false">IF(IFERROR(INDEX(tsk_Name,(ROW()-ROW(MSPTasks[[#Headers],[ID]])))="",TRUE()),"",IF(INDEX(tsk_IsSummary,(ROW()-ROW(MSPTasks[[#Headers],[ID]]))),"",INDEX(tsk_Predecessors,(ROW()-ROW(MSPTasks[[#Headers],[ID]])))))</f>
        <v/>
      </c>
      <c r="J103" s="24" t="str">
        <f aca="false">IF(IFERROR(INDEX(tsk_Name,(ROW()-ROW(MSPTasks[[#Headers],[ID]])))="",TRUE()),"",IF(INDEX(tsk_IsSummary,(ROW()-ROW(MSPTasks[[#Headers],[ID]]))),"",INDEX(tsk_UIDPredecessors,(ROW()-ROW(MSPTasks[[#Headers],[ID]])))))</f>
        <v/>
      </c>
      <c r="K10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3" s="24" t="str">
        <f aca="false">IF(IFERROR(INDEX(tsk_Name,(ROW()-ROW(MSPTasks[[#Headers],[ID]])))="",TRUE()),"",IF(INDEX(tsk_IsSummary,(ROW()-ROW(MSPTasks[[#Headers],[ID]]))),"",ROUND(INDEX(tsk_Progress,(ROW()-ROW(MSPTasks[[#Headers],[ID]])))*100,0)))</f>
        <v/>
      </c>
      <c r="M103" s="130" t="str">
        <f aca="false">IF(IFERROR(INDEX(tsk_Name,(ROW()-ROW(MSPTasks[[#Headers],[ID]])))="",TRUE()),"",IF(N(INDEX(tsk_ActStart,(ROW()-ROW(MSPTasks[[#Headers],[ID]]))))=0,"",INDEX(tsk_ActStart,(ROW()-ROW(MSPTasks[[#Headers],[ID]])))))</f>
        <v/>
      </c>
      <c r="N103" s="130" t="str">
        <f aca="false">IF(IFERROR(INDEX(tsk_Name,(ROW()-ROW(MSPTasks[[#Headers],[ID]])))="",TRUE()),"",IF(N(INDEX(tsk_ActFinish,(ROW()-ROW(MSPTasks[[#Headers],[ID]]))))=0,"",INDEX(tsk_ActFinish,(ROW()-ROW(MSPTasks[[#Headers],[ID]])))))</f>
        <v/>
      </c>
      <c r="O103" s="130" t="str">
        <f aca="false">IF(IFERROR(INDEX(tsk_Name,(ROW()-ROW(MSPTasks[[#Headers],[ID]])))="",TRUE()),"",INDEX(tsk_PlanStart,(ROW()-ROW(MSPTasks[[#Headers],[ID]]))))</f>
        <v/>
      </c>
      <c r="P103" s="130" t="str">
        <f aca="false">IF(IFERROR(INDEX(tsk_Name,(ROW()-ROW(MSPTasks[[#Headers],[ID]])))="",TRUE()),"",INDEX(tsk_PlanFinish,(ROW()-ROW(MSPTasks[[#Headers],[ID]]))))</f>
        <v/>
      </c>
      <c r="Q103" s="24" t="str">
        <f aca="false">IF(IFERROR(INDEX(tsk_Name,(ROW()-ROW(MSPTasks[[#Headers],[ID]])))="",TRUE()),"",IF(INDEX(tsk_BaseDuration,(ROW()-ROW(MSPTasks[[#Headers],[ID]])))="","",N(INDEX(tsk_BaseDuration,(ROW()-ROW(MSPTasks[[#Headers],[ID]]))))&amp;"d"))</f>
        <v/>
      </c>
      <c r="R103" s="24" t="str">
        <f aca="false">IF(IFERROR(INDEX(tsk_Name,(ROW()-ROW(MSPTasks[[#Headers],[ID]])))="",TRUE()),"",IF(INDEX(tsk_BaseWork,(ROW()-ROW(MSPTasks[[#Headers],[ID]])))="","",N(INDEX(tsk_BaseWork,(ROW()-ROW(MSPTasks[[#Headers],[ID]]))))&amp;"h"))</f>
        <v/>
      </c>
      <c r="S103" s="24" t="str">
        <f aca="false">IF(IFERROR(INDEX(tsk_Name,(ROW()-ROW(MSPTasks[[#Headers],[ID]])))="",TRUE()),"",IF(INDEX(tsk_BaseCost,(ROW()-ROW(MSPTasks[[#Headers],[ID]])))="","",N(INDEX(tsk_BaseCost,(ROW()-ROW(MSPTasks[[#Headers],[ID]]))))))</f>
        <v/>
      </c>
      <c r="T103" s="24" t="str">
        <f aca="false">IF(IFERROR(INDEX(tsk_Name,(ROW()-ROW(MSPTasks[[#Headers],[ID]])))="",TRUE()),"",IF(INDEX(tsk_IsSummary,(ROW()-ROW(MSPTasks[[#Headers],[ID]]))),"",IF(N(INDEX(tsk_ActCostInput,(ROW()-ROW(MSPTasks[[#Headers],[ID]]))))=0,"",INDEX(tsk_ActCostInput,(ROW()-ROW(MSPTasks[[#Headers],[ID]]))))))</f>
        <v/>
      </c>
      <c r="U103" s="24" t="str">
        <f aca="false">IF(IFERROR(INDEX(tsk_Name,(ROW()-ROW(MSPTasks[[#Headers],[ID]])))="",TRUE()),"",IF(INDEX(tsk_IsSummary,(ROW()-ROW(MSPTasks[[#Headers],[ID]]))),"",IF(AND(INDEX(tsk_Mode,(ROW()-ROW(MSPTasks[[#Headers],[ID]])))&lt;&gt;"Manual",N(INDEX(tsk_Constraint,(ROW()-ROW(MSPTasks[[#Headers],[ID]]))))&gt;0),"Start No Earlier Than","As Soon As Possible")))</f>
        <v/>
      </c>
      <c r="V103" s="130" t="str">
        <f aca="false">IF(IFERROR(INDEX(tsk_Name,(ROW()-ROW(MSPTasks[[#Headers],[ID]])))="",TRUE()),"",IF(OR(INDEX(tsk_IsSummary,(ROW()-ROW(MSPTasks[[#Headers],[ID]]))),INDEX(tsk_Mode,(ROW()-ROW(MSPTasks[[#Headers],[ID]])))="Manual"),"",IF(N(INDEX(tsk_Constraint,(ROW()-ROW(MSPTasks[[#Headers],[ID]]))))=0,"",INDEX(tsk_Constraint,(ROW()-ROW(MSPTasks[[#Headers],[ID]]))))))</f>
        <v/>
      </c>
      <c r="W103" s="130" t="str">
        <f aca="false">IF(IFERROR(INDEX(tsk_Name,(ROW()-ROW(MSPTasks[[#Headers],[ID]])))="",TRUE()),"",IF(N(INDEX(tsk_Deadline,(ROW()-ROW(MSPTasks[[#Headers],[ID]]))))=0,"",INDEX(tsk_Deadline,(ROW()-ROW(MSPTasks[[#Headers],[ID]])))))</f>
        <v/>
      </c>
      <c r="X103" s="24" t="str">
        <f aca="false">IF(IFERROR(INDEX(tsk_Name,(ROW()-ROW(MSPTasks[[#Headers],[ID]])))="",TRUE()),"",IF(INDEX(tsk_IsSummary,(ROW()-ROW(MSPTasks[[#Headers],[ID]]))),"",INDEX(tsk_Sprint,(ROW()-ROW(MSPTasks[[#Headers],[ID]])))&amp;""))</f>
        <v/>
      </c>
      <c r="Y103" s="24" t="str">
        <f aca="false">IF(IFERROR(INDEX(tsk_Name,(ROW()-ROW(MSPTasks[[#Headers],[ID]])))="",TRUE()),"",IF(INDEX(tsk_IsSummary,(ROW()-ROW(MSPTasks[[#Headers],[ID]]))),"",IF(N(INDEX(tsk_StoryPoints,(ROW()-ROW(MSPTasks[[#Headers],[ID]]))))=0,"",INDEX(tsk_StoryPoints,(ROW()-ROW(MSPTasks[[#Headers],[ID]]))))))</f>
        <v/>
      </c>
      <c r="Z103" s="24" t="str">
        <f aca="false">IF(IFERROR(INDEX(tsk_Name,(ROW()-ROW(MSPTasks[[#Headers],[ID]])))="",TRUE()),"",INDEX(tsk_Notes,(ROW()-ROW(MSPTasks[[#Headers],[ID]])))&amp;"")</f>
        <v/>
      </c>
    </row>
    <row r="104" customFormat="false" ht="15" hidden="false" customHeight="false" outlineLevel="0" collapsed="false">
      <c r="A104" s="24" t="str">
        <f aca="false">IF(IFERROR(INDEX(tsk_Name,(ROW()-ROW(MSPTasks[[#Headers],[ID]])))="",TRUE()),"",INDEX(tsk_ID,(ROW()-ROW(MSPTasks[[#Headers],[ID]]))))</f>
        <v/>
      </c>
      <c r="B104" s="24" t="str">
        <f aca="false">IF(IFERROR(INDEX(tsk_Name,(ROW()-ROW(MSPTasks[[#Headers],[ID]])))="",TRUE()),"",INDEX(tsk_UID,(ROW()-ROW(MSPTasks[[#Headers],[ID]]))))</f>
        <v/>
      </c>
      <c r="C104" s="24" t="str">
        <f aca="false">IF(IFERROR(INDEX(tsk_Name,(ROW()-ROW(MSPTasks[[#Headers],[ID]])))="",TRUE()),"",INDEX(tsk_Name,(ROW()-ROW(MSPTasks[[#Headers],[ID]]))))</f>
        <v/>
      </c>
      <c r="D104" s="24" t="str">
        <f aca="false">IF(IFERROR(INDEX(tsk_Name,(ROW()-ROW(MSPTasks[[#Headers],[ID]])))="",TRUE()),"",INDEX(tsk_Level,(ROW()-ROW(MSPTasks[[#Headers],[ID]]))))</f>
        <v/>
      </c>
      <c r="E104" s="24" t="str">
        <f aca="false">IF(IFERROR(INDEX(tsk_Name,(ROW()-ROW(MSPTasks[[#Headers],[ID]])))="",TRUE()),"",IF(INDEX(tsk_Mode,(ROW()-ROW(MSPTasks[[#Headers],[ID]])))="Manual","Manually Scheduled","Auto Scheduled"))</f>
        <v/>
      </c>
      <c r="F104" s="24" t="str">
        <f aca="false">IF(IFERROR(INDEX(tsk_Name,(ROW()-ROW(MSPTasks[[#Headers],[ID]])))="",TRUE()),"",IF(INDEX(tsk_IsSummary,(ROW()-ROW(MSPTasks[[#Headers],[ID]]))),"",N(INDEX(tsk_Duration,(ROW()-ROW(MSPTasks[[#Headers],[ID]]))))&amp;"d"))</f>
        <v/>
      </c>
      <c r="G104" s="130" t="str">
        <f aca="false">IF(IFERROR(INDEX(tsk_Name,(ROW()-ROW(MSPTasks[[#Headers],[ID]])))="",TRUE()),"",INDEX(tsk_FcStart,(ROW()-ROW(MSPTasks[[#Headers],[ID]]))))</f>
        <v/>
      </c>
      <c r="H104" s="130" t="str">
        <f aca="false">IF(IFERROR(INDEX(tsk_Name,(ROW()-ROW(MSPTasks[[#Headers],[ID]])))="",TRUE()),"",INDEX(tsk_FcFinish,(ROW()-ROW(MSPTasks[[#Headers],[ID]]))))</f>
        <v/>
      </c>
      <c r="I104" s="24" t="str">
        <f aca="false">IF(IFERROR(INDEX(tsk_Name,(ROW()-ROW(MSPTasks[[#Headers],[ID]])))="",TRUE()),"",IF(INDEX(tsk_IsSummary,(ROW()-ROW(MSPTasks[[#Headers],[ID]]))),"",INDEX(tsk_Predecessors,(ROW()-ROW(MSPTasks[[#Headers],[ID]])))))</f>
        <v/>
      </c>
      <c r="J104" s="24" t="str">
        <f aca="false">IF(IFERROR(INDEX(tsk_Name,(ROW()-ROW(MSPTasks[[#Headers],[ID]])))="",TRUE()),"",IF(INDEX(tsk_IsSummary,(ROW()-ROW(MSPTasks[[#Headers],[ID]]))),"",INDEX(tsk_UIDPredecessors,(ROW()-ROW(MSPTasks[[#Headers],[ID]])))))</f>
        <v/>
      </c>
      <c r="K10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4" s="24" t="str">
        <f aca="false">IF(IFERROR(INDEX(tsk_Name,(ROW()-ROW(MSPTasks[[#Headers],[ID]])))="",TRUE()),"",IF(INDEX(tsk_IsSummary,(ROW()-ROW(MSPTasks[[#Headers],[ID]]))),"",ROUND(INDEX(tsk_Progress,(ROW()-ROW(MSPTasks[[#Headers],[ID]])))*100,0)))</f>
        <v/>
      </c>
      <c r="M104" s="130" t="str">
        <f aca="false">IF(IFERROR(INDEX(tsk_Name,(ROW()-ROW(MSPTasks[[#Headers],[ID]])))="",TRUE()),"",IF(N(INDEX(tsk_ActStart,(ROW()-ROW(MSPTasks[[#Headers],[ID]]))))=0,"",INDEX(tsk_ActStart,(ROW()-ROW(MSPTasks[[#Headers],[ID]])))))</f>
        <v/>
      </c>
      <c r="N104" s="130" t="str">
        <f aca="false">IF(IFERROR(INDEX(tsk_Name,(ROW()-ROW(MSPTasks[[#Headers],[ID]])))="",TRUE()),"",IF(N(INDEX(tsk_ActFinish,(ROW()-ROW(MSPTasks[[#Headers],[ID]]))))=0,"",INDEX(tsk_ActFinish,(ROW()-ROW(MSPTasks[[#Headers],[ID]])))))</f>
        <v/>
      </c>
      <c r="O104" s="130" t="str">
        <f aca="false">IF(IFERROR(INDEX(tsk_Name,(ROW()-ROW(MSPTasks[[#Headers],[ID]])))="",TRUE()),"",INDEX(tsk_PlanStart,(ROW()-ROW(MSPTasks[[#Headers],[ID]]))))</f>
        <v/>
      </c>
      <c r="P104" s="130" t="str">
        <f aca="false">IF(IFERROR(INDEX(tsk_Name,(ROW()-ROW(MSPTasks[[#Headers],[ID]])))="",TRUE()),"",INDEX(tsk_PlanFinish,(ROW()-ROW(MSPTasks[[#Headers],[ID]]))))</f>
        <v/>
      </c>
      <c r="Q104" s="24" t="str">
        <f aca="false">IF(IFERROR(INDEX(tsk_Name,(ROW()-ROW(MSPTasks[[#Headers],[ID]])))="",TRUE()),"",IF(INDEX(tsk_BaseDuration,(ROW()-ROW(MSPTasks[[#Headers],[ID]])))="","",N(INDEX(tsk_BaseDuration,(ROW()-ROW(MSPTasks[[#Headers],[ID]]))))&amp;"d"))</f>
        <v/>
      </c>
      <c r="R104" s="24" t="str">
        <f aca="false">IF(IFERROR(INDEX(tsk_Name,(ROW()-ROW(MSPTasks[[#Headers],[ID]])))="",TRUE()),"",IF(INDEX(tsk_BaseWork,(ROW()-ROW(MSPTasks[[#Headers],[ID]])))="","",N(INDEX(tsk_BaseWork,(ROW()-ROW(MSPTasks[[#Headers],[ID]]))))&amp;"h"))</f>
        <v/>
      </c>
      <c r="S104" s="24" t="str">
        <f aca="false">IF(IFERROR(INDEX(tsk_Name,(ROW()-ROW(MSPTasks[[#Headers],[ID]])))="",TRUE()),"",IF(INDEX(tsk_BaseCost,(ROW()-ROW(MSPTasks[[#Headers],[ID]])))="","",N(INDEX(tsk_BaseCost,(ROW()-ROW(MSPTasks[[#Headers],[ID]]))))))</f>
        <v/>
      </c>
      <c r="T104" s="24" t="str">
        <f aca="false">IF(IFERROR(INDEX(tsk_Name,(ROW()-ROW(MSPTasks[[#Headers],[ID]])))="",TRUE()),"",IF(INDEX(tsk_IsSummary,(ROW()-ROW(MSPTasks[[#Headers],[ID]]))),"",IF(N(INDEX(tsk_ActCostInput,(ROW()-ROW(MSPTasks[[#Headers],[ID]]))))=0,"",INDEX(tsk_ActCostInput,(ROW()-ROW(MSPTasks[[#Headers],[ID]]))))))</f>
        <v/>
      </c>
      <c r="U104" s="24" t="str">
        <f aca="false">IF(IFERROR(INDEX(tsk_Name,(ROW()-ROW(MSPTasks[[#Headers],[ID]])))="",TRUE()),"",IF(INDEX(tsk_IsSummary,(ROW()-ROW(MSPTasks[[#Headers],[ID]]))),"",IF(AND(INDEX(tsk_Mode,(ROW()-ROW(MSPTasks[[#Headers],[ID]])))&lt;&gt;"Manual",N(INDEX(tsk_Constraint,(ROW()-ROW(MSPTasks[[#Headers],[ID]]))))&gt;0),"Start No Earlier Than","As Soon As Possible")))</f>
        <v/>
      </c>
      <c r="V104" s="130" t="str">
        <f aca="false">IF(IFERROR(INDEX(tsk_Name,(ROW()-ROW(MSPTasks[[#Headers],[ID]])))="",TRUE()),"",IF(OR(INDEX(tsk_IsSummary,(ROW()-ROW(MSPTasks[[#Headers],[ID]]))),INDEX(tsk_Mode,(ROW()-ROW(MSPTasks[[#Headers],[ID]])))="Manual"),"",IF(N(INDEX(tsk_Constraint,(ROW()-ROW(MSPTasks[[#Headers],[ID]]))))=0,"",INDEX(tsk_Constraint,(ROW()-ROW(MSPTasks[[#Headers],[ID]]))))))</f>
        <v/>
      </c>
      <c r="W104" s="130" t="str">
        <f aca="false">IF(IFERROR(INDEX(tsk_Name,(ROW()-ROW(MSPTasks[[#Headers],[ID]])))="",TRUE()),"",IF(N(INDEX(tsk_Deadline,(ROW()-ROW(MSPTasks[[#Headers],[ID]]))))=0,"",INDEX(tsk_Deadline,(ROW()-ROW(MSPTasks[[#Headers],[ID]])))))</f>
        <v/>
      </c>
      <c r="X104" s="24" t="str">
        <f aca="false">IF(IFERROR(INDEX(tsk_Name,(ROW()-ROW(MSPTasks[[#Headers],[ID]])))="",TRUE()),"",IF(INDEX(tsk_IsSummary,(ROW()-ROW(MSPTasks[[#Headers],[ID]]))),"",INDEX(tsk_Sprint,(ROW()-ROW(MSPTasks[[#Headers],[ID]])))&amp;""))</f>
        <v/>
      </c>
      <c r="Y104" s="24" t="str">
        <f aca="false">IF(IFERROR(INDEX(tsk_Name,(ROW()-ROW(MSPTasks[[#Headers],[ID]])))="",TRUE()),"",IF(INDEX(tsk_IsSummary,(ROW()-ROW(MSPTasks[[#Headers],[ID]]))),"",IF(N(INDEX(tsk_StoryPoints,(ROW()-ROW(MSPTasks[[#Headers],[ID]]))))=0,"",INDEX(tsk_StoryPoints,(ROW()-ROW(MSPTasks[[#Headers],[ID]]))))))</f>
        <v/>
      </c>
      <c r="Z104" s="24" t="str">
        <f aca="false">IF(IFERROR(INDEX(tsk_Name,(ROW()-ROW(MSPTasks[[#Headers],[ID]])))="",TRUE()),"",INDEX(tsk_Notes,(ROW()-ROW(MSPTasks[[#Headers],[ID]])))&amp;"")</f>
        <v/>
      </c>
    </row>
    <row r="105" customFormat="false" ht="15" hidden="false" customHeight="false" outlineLevel="0" collapsed="false">
      <c r="A105" s="24" t="str">
        <f aca="false">IF(IFERROR(INDEX(tsk_Name,(ROW()-ROW(MSPTasks[[#Headers],[ID]])))="",TRUE()),"",INDEX(tsk_ID,(ROW()-ROW(MSPTasks[[#Headers],[ID]]))))</f>
        <v/>
      </c>
      <c r="B105" s="24" t="str">
        <f aca="false">IF(IFERROR(INDEX(tsk_Name,(ROW()-ROW(MSPTasks[[#Headers],[ID]])))="",TRUE()),"",INDEX(tsk_UID,(ROW()-ROW(MSPTasks[[#Headers],[ID]]))))</f>
        <v/>
      </c>
      <c r="C105" s="24" t="str">
        <f aca="false">IF(IFERROR(INDEX(tsk_Name,(ROW()-ROW(MSPTasks[[#Headers],[ID]])))="",TRUE()),"",INDEX(tsk_Name,(ROW()-ROW(MSPTasks[[#Headers],[ID]]))))</f>
        <v/>
      </c>
      <c r="D105" s="24" t="str">
        <f aca="false">IF(IFERROR(INDEX(tsk_Name,(ROW()-ROW(MSPTasks[[#Headers],[ID]])))="",TRUE()),"",INDEX(tsk_Level,(ROW()-ROW(MSPTasks[[#Headers],[ID]]))))</f>
        <v/>
      </c>
      <c r="E105" s="24" t="str">
        <f aca="false">IF(IFERROR(INDEX(tsk_Name,(ROW()-ROW(MSPTasks[[#Headers],[ID]])))="",TRUE()),"",IF(INDEX(tsk_Mode,(ROW()-ROW(MSPTasks[[#Headers],[ID]])))="Manual","Manually Scheduled","Auto Scheduled"))</f>
        <v/>
      </c>
      <c r="F105" s="24" t="str">
        <f aca="false">IF(IFERROR(INDEX(tsk_Name,(ROW()-ROW(MSPTasks[[#Headers],[ID]])))="",TRUE()),"",IF(INDEX(tsk_IsSummary,(ROW()-ROW(MSPTasks[[#Headers],[ID]]))),"",N(INDEX(tsk_Duration,(ROW()-ROW(MSPTasks[[#Headers],[ID]]))))&amp;"d"))</f>
        <v/>
      </c>
      <c r="G105" s="130" t="str">
        <f aca="false">IF(IFERROR(INDEX(tsk_Name,(ROW()-ROW(MSPTasks[[#Headers],[ID]])))="",TRUE()),"",INDEX(tsk_FcStart,(ROW()-ROW(MSPTasks[[#Headers],[ID]]))))</f>
        <v/>
      </c>
      <c r="H105" s="130" t="str">
        <f aca="false">IF(IFERROR(INDEX(tsk_Name,(ROW()-ROW(MSPTasks[[#Headers],[ID]])))="",TRUE()),"",INDEX(tsk_FcFinish,(ROW()-ROW(MSPTasks[[#Headers],[ID]]))))</f>
        <v/>
      </c>
      <c r="I105" s="24" t="str">
        <f aca="false">IF(IFERROR(INDEX(tsk_Name,(ROW()-ROW(MSPTasks[[#Headers],[ID]])))="",TRUE()),"",IF(INDEX(tsk_IsSummary,(ROW()-ROW(MSPTasks[[#Headers],[ID]]))),"",INDEX(tsk_Predecessors,(ROW()-ROW(MSPTasks[[#Headers],[ID]])))))</f>
        <v/>
      </c>
      <c r="J105" s="24" t="str">
        <f aca="false">IF(IFERROR(INDEX(tsk_Name,(ROW()-ROW(MSPTasks[[#Headers],[ID]])))="",TRUE()),"",IF(INDEX(tsk_IsSummary,(ROW()-ROW(MSPTasks[[#Headers],[ID]]))),"",INDEX(tsk_UIDPredecessors,(ROW()-ROW(MSPTasks[[#Headers],[ID]])))))</f>
        <v/>
      </c>
      <c r="K10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5" s="24" t="str">
        <f aca="false">IF(IFERROR(INDEX(tsk_Name,(ROW()-ROW(MSPTasks[[#Headers],[ID]])))="",TRUE()),"",IF(INDEX(tsk_IsSummary,(ROW()-ROW(MSPTasks[[#Headers],[ID]]))),"",ROUND(INDEX(tsk_Progress,(ROW()-ROW(MSPTasks[[#Headers],[ID]])))*100,0)))</f>
        <v/>
      </c>
      <c r="M105" s="130" t="str">
        <f aca="false">IF(IFERROR(INDEX(tsk_Name,(ROW()-ROW(MSPTasks[[#Headers],[ID]])))="",TRUE()),"",IF(N(INDEX(tsk_ActStart,(ROW()-ROW(MSPTasks[[#Headers],[ID]]))))=0,"",INDEX(tsk_ActStart,(ROW()-ROW(MSPTasks[[#Headers],[ID]])))))</f>
        <v/>
      </c>
      <c r="N105" s="130" t="str">
        <f aca="false">IF(IFERROR(INDEX(tsk_Name,(ROW()-ROW(MSPTasks[[#Headers],[ID]])))="",TRUE()),"",IF(N(INDEX(tsk_ActFinish,(ROW()-ROW(MSPTasks[[#Headers],[ID]]))))=0,"",INDEX(tsk_ActFinish,(ROW()-ROW(MSPTasks[[#Headers],[ID]])))))</f>
        <v/>
      </c>
      <c r="O105" s="130" t="str">
        <f aca="false">IF(IFERROR(INDEX(tsk_Name,(ROW()-ROW(MSPTasks[[#Headers],[ID]])))="",TRUE()),"",INDEX(tsk_PlanStart,(ROW()-ROW(MSPTasks[[#Headers],[ID]]))))</f>
        <v/>
      </c>
      <c r="P105" s="130" t="str">
        <f aca="false">IF(IFERROR(INDEX(tsk_Name,(ROW()-ROW(MSPTasks[[#Headers],[ID]])))="",TRUE()),"",INDEX(tsk_PlanFinish,(ROW()-ROW(MSPTasks[[#Headers],[ID]]))))</f>
        <v/>
      </c>
      <c r="Q105" s="24" t="str">
        <f aca="false">IF(IFERROR(INDEX(tsk_Name,(ROW()-ROW(MSPTasks[[#Headers],[ID]])))="",TRUE()),"",IF(INDEX(tsk_BaseDuration,(ROW()-ROW(MSPTasks[[#Headers],[ID]])))="","",N(INDEX(tsk_BaseDuration,(ROW()-ROW(MSPTasks[[#Headers],[ID]]))))&amp;"d"))</f>
        <v/>
      </c>
      <c r="R105" s="24" t="str">
        <f aca="false">IF(IFERROR(INDEX(tsk_Name,(ROW()-ROW(MSPTasks[[#Headers],[ID]])))="",TRUE()),"",IF(INDEX(tsk_BaseWork,(ROW()-ROW(MSPTasks[[#Headers],[ID]])))="","",N(INDEX(tsk_BaseWork,(ROW()-ROW(MSPTasks[[#Headers],[ID]]))))&amp;"h"))</f>
        <v/>
      </c>
      <c r="S105" s="24" t="str">
        <f aca="false">IF(IFERROR(INDEX(tsk_Name,(ROW()-ROW(MSPTasks[[#Headers],[ID]])))="",TRUE()),"",IF(INDEX(tsk_BaseCost,(ROW()-ROW(MSPTasks[[#Headers],[ID]])))="","",N(INDEX(tsk_BaseCost,(ROW()-ROW(MSPTasks[[#Headers],[ID]]))))))</f>
        <v/>
      </c>
      <c r="T105" s="24" t="str">
        <f aca="false">IF(IFERROR(INDEX(tsk_Name,(ROW()-ROW(MSPTasks[[#Headers],[ID]])))="",TRUE()),"",IF(INDEX(tsk_IsSummary,(ROW()-ROW(MSPTasks[[#Headers],[ID]]))),"",IF(N(INDEX(tsk_ActCostInput,(ROW()-ROW(MSPTasks[[#Headers],[ID]]))))=0,"",INDEX(tsk_ActCostInput,(ROW()-ROW(MSPTasks[[#Headers],[ID]]))))))</f>
        <v/>
      </c>
      <c r="U105" s="24" t="str">
        <f aca="false">IF(IFERROR(INDEX(tsk_Name,(ROW()-ROW(MSPTasks[[#Headers],[ID]])))="",TRUE()),"",IF(INDEX(tsk_IsSummary,(ROW()-ROW(MSPTasks[[#Headers],[ID]]))),"",IF(AND(INDEX(tsk_Mode,(ROW()-ROW(MSPTasks[[#Headers],[ID]])))&lt;&gt;"Manual",N(INDEX(tsk_Constraint,(ROW()-ROW(MSPTasks[[#Headers],[ID]]))))&gt;0),"Start No Earlier Than","As Soon As Possible")))</f>
        <v/>
      </c>
      <c r="V105" s="130" t="str">
        <f aca="false">IF(IFERROR(INDEX(tsk_Name,(ROW()-ROW(MSPTasks[[#Headers],[ID]])))="",TRUE()),"",IF(OR(INDEX(tsk_IsSummary,(ROW()-ROW(MSPTasks[[#Headers],[ID]]))),INDEX(tsk_Mode,(ROW()-ROW(MSPTasks[[#Headers],[ID]])))="Manual"),"",IF(N(INDEX(tsk_Constraint,(ROW()-ROW(MSPTasks[[#Headers],[ID]]))))=0,"",INDEX(tsk_Constraint,(ROW()-ROW(MSPTasks[[#Headers],[ID]]))))))</f>
        <v/>
      </c>
      <c r="W105" s="130" t="str">
        <f aca="false">IF(IFERROR(INDEX(tsk_Name,(ROW()-ROW(MSPTasks[[#Headers],[ID]])))="",TRUE()),"",IF(N(INDEX(tsk_Deadline,(ROW()-ROW(MSPTasks[[#Headers],[ID]]))))=0,"",INDEX(tsk_Deadline,(ROW()-ROW(MSPTasks[[#Headers],[ID]])))))</f>
        <v/>
      </c>
      <c r="X105" s="24" t="str">
        <f aca="false">IF(IFERROR(INDEX(tsk_Name,(ROW()-ROW(MSPTasks[[#Headers],[ID]])))="",TRUE()),"",IF(INDEX(tsk_IsSummary,(ROW()-ROW(MSPTasks[[#Headers],[ID]]))),"",INDEX(tsk_Sprint,(ROW()-ROW(MSPTasks[[#Headers],[ID]])))&amp;""))</f>
        <v/>
      </c>
      <c r="Y105" s="24" t="str">
        <f aca="false">IF(IFERROR(INDEX(tsk_Name,(ROW()-ROW(MSPTasks[[#Headers],[ID]])))="",TRUE()),"",IF(INDEX(tsk_IsSummary,(ROW()-ROW(MSPTasks[[#Headers],[ID]]))),"",IF(N(INDEX(tsk_StoryPoints,(ROW()-ROW(MSPTasks[[#Headers],[ID]]))))=0,"",INDEX(tsk_StoryPoints,(ROW()-ROW(MSPTasks[[#Headers],[ID]]))))))</f>
        <v/>
      </c>
      <c r="Z105" s="24" t="str">
        <f aca="false">IF(IFERROR(INDEX(tsk_Name,(ROW()-ROW(MSPTasks[[#Headers],[ID]])))="",TRUE()),"",INDEX(tsk_Notes,(ROW()-ROW(MSPTasks[[#Headers],[ID]])))&amp;"")</f>
        <v/>
      </c>
    </row>
    <row r="106" customFormat="false" ht="15" hidden="false" customHeight="false" outlineLevel="0" collapsed="false">
      <c r="A106" s="24" t="str">
        <f aca="false">IF(IFERROR(INDEX(tsk_Name,(ROW()-ROW(MSPTasks[[#Headers],[ID]])))="",TRUE()),"",INDEX(tsk_ID,(ROW()-ROW(MSPTasks[[#Headers],[ID]]))))</f>
        <v/>
      </c>
      <c r="B106" s="24" t="str">
        <f aca="false">IF(IFERROR(INDEX(tsk_Name,(ROW()-ROW(MSPTasks[[#Headers],[ID]])))="",TRUE()),"",INDEX(tsk_UID,(ROW()-ROW(MSPTasks[[#Headers],[ID]]))))</f>
        <v/>
      </c>
      <c r="C106" s="24" t="str">
        <f aca="false">IF(IFERROR(INDEX(tsk_Name,(ROW()-ROW(MSPTasks[[#Headers],[ID]])))="",TRUE()),"",INDEX(tsk_Name,(ROW()-ROW(MSPTasks[[#Headers],[ID]]))))</f>
        <v/>
      </c>
      <c r="D106" s="24" t="str">
        <f aca="false">IF(IFERROR(INDEX(tsk_Name,(ROW()-ROW(MSPTasks[[#Headers],[ID]])))="",TRUE()),"",INDEX(tsk_Level,(ROW()-ROW(MSPTasks[[#Headers],[ID]]))))</f>
        <v/>
      </c>
      <c r="E106" s="24" t="str">
        <f aca="false">IF(IFERROR(INDEX(tsk_Name,(ROW()-ROW(MSPTasks[[#Headers],[ID]])))="",TRUE()),"",IF(INDEX(tsk_Mode,(ROW()-ROW(MSPTasks[[#Headers],[ID]])))="Manual","Manually Scheduled","Auto Scheduled"))</f>
        <v/>
      </c>
      <c r="F106" s="24" t="str">
        <f aca="false">IF(IFERROR(INDEX(tsk_Name,(ROW()-ROW(MSPTasks[[#Headers],[ID]])))="",TRUE()),"",IF(INDEX(tsk_IsSummary,(ROW()-ROW(MSPTasks[[#Headers],[ID]]))),"",N(INDEX(tsk_Duration,(ROW()-ROW(MSPTasks[[#Headers],[ID]]))))&amp;"d"))</f>
        <v/>
      </c>
      <c r="G106" s="130" t="str">
        <f aca="false">IF(IFERROR(INDEX(tsk_Name,(ROW()-ROW(MSPTasks[[#Headers],[ID]])))="",TRUE()),"",INDEX(tsk_FcStart,(ROW()-ROW(MSPTasks[[#Headers],[ID]]))))</f>
        <v/>
      </c>
      <c r="H106" s="130" t="str">
        <f aca="false">IF(IFERROR(INDEX(tsk_Name,(ROW()-ROW(MSPTasks[[#Headers],[ID]])))="",TRUE()),"",INDEX(tsk_FcFinish,(ROW()-ROW(MSPTasks[[#Headers],[ID]]))))</f>
        <v/>
      </c>
      <c r="I106" s="24" t="str">
        <f aca="false">IF(IFERROR(INDEX(tsk_Name,(ROW()-ROW(MSPTasks[[#Headers],[ID]])))="",TRUE()),"",IF(INDEX(tsk_IsSummary,(ROW()-ROW(MSPTasks[[#Headers],[ID]]))),"",INDEX(tsk_Predecessors,(ROW()-ROW(MSPTasks[[#Headers],[ID]])))))</f>
        <v/>
      </c>
      <c r="J106" s="24" t="str">
        <f aca="false">IF(IFERROR(INDEX(tsk_Name,(ROW()-ROW(MSPTasks[[#Headers],[ID]])))="",TRUE()),"",IF(INDEX(tsk_IsSummary,(ROW()-ROW(MSPTasks[[#Headers],[ID]]))),"",INDEX(tsk_UIDPredecessors,(ROW()-ROW(MSPTasks[[#Headers],[ID]])))))</f>
        <v/>
      </c>
      <c r="K10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6" s="24" t="str">
        <f aca="false">IF(IFERROR(INDEX(tsk_Name,(ROW()-ROW(MSPTasks[[#Headers],[ID]])))="",TRUE()),"",IF(INDEX(tsk_IsSummary,(ROW()-ROW(MSPTasks[[#Headers],[ID]]))),"",ROUND(INDEX(tsk_Progress,(ROW()-ROW(MSPTasks[[#Headers],[ID]])))*100,0)))</f>
        <v/>
      </c>
      <c r="M106" s="130" t="str">
        <f aca="false">IF(IFERROR(INDEX(tsk_Name,(ROW()-ROW(MSPTasks[[#Headers],[ID]])))="",TRUE()),"",IF(N(INDEX(tsk_ActStart,(ROW()-ROW(MSPTasks[[#Headers],[ID]]))))=0,"",INDEX(tsk_ActStart,(ROW()-ROW(MSPTasks[[#Headers],[ID]])))))</f>
        <v/>
      </c>
      <c r="N106" s="130" t="str">
        <f aca="false">IF(IFERROR(INDEX(tsk_Name,(ROW()-ROW(MSPTasks[[#Headers],[ID]])))="",TRUE()),"",IF(N(INDEX(tsk_ActFinish,(ROW()-ROW(MSPTasks[[#Headers],[ID]]))))=0,"",INDEX(tsk_ActFinish,(ROW()-ROW(MSPTasks[[#Headers],[ID]])))))</f>
        <v/>
      </c>
      <c r="O106" s="130" t="str">
        <f aca="false">IF(IFERROR(INDEX(tsk_Name,(ROW()-ROW(MSPTasks[[#Headers],[ID]])))="",TRUE()),"",INDEX(tsk_PlanStart,(ROW()-ROW(MSPTasks[[#Headers],[ID]]))))</f>
        <v/>
      </c>
      <c r="P106" s="130" t="str">
        <f aca="false">IF(IFERROR(INDEX(tsk_Name,(ROW()-ROW(MSPTasks[[#Headers],[ID]])))="",TRUE()),"",INDEX(tsk_PlanFinish,(ROW()-ROW(MSPTasks[[#Headers],[ID]]))))</f>
        <v/>
      </c>
      <c r="Q106" s="24" t="str">
        <f aca="false">IF(IFERROR(INDEX(tsk_Name,(ROW()-ROW(MSPTasks[[#Headers],[ID]])))="",TRUE()),"",IF(INDEX(tsk_BaseDuration,(ROW()-ROW(MSPTasks[[#Headers],[ID]])))="","",N(INDEX(tsk_BaseDuration,(ROW()-ROW(MSPTasks[[#Headers],[ID]]))))&amp;"d"))</f>
        <v/>
      </c>
      <c r="R106" s="24" t="str">
        <f aca="false">IF(IFERROR(INDEX(tsk_Name,(ROW()-ROW(MSPTasks[[#Headers],[ID]])))="",TRUE()),"",IF(INDEX(tsk_BaseWork,(ROW()-ROW(MSPTasks[[#Headers],[ID]])))="","",N(INDEX(tsk_BaseWork,(ROW()-ROW(MSPTasks[[#Headers],[ID]]))))&amp;"h"))</f>
        <v/>
      </c>
      <c r="S106" s="24" t="str">
        <f aca="false">IF(IFERROR(INDEX(tsk_Name,(ROW()-ROW(MSPTasks[[#Headers],[ID]])))="",TRUE()),"",IF(INDEX(tsk_BaseCost,(ROW()-ROW(MSPTasks[[#Headers],[ID]])))="","",N(INDEX(tsk_BaseCost,(ROW()-ROW(MSPTasks[[#Headers],[ID]]))))))</f>
        <v/>
      </c>
      <c r="T106" s="24" t="str">
        <f aca="false">IF(IFERROR(INDEX(tsk_Name,(ROW()-ROW(MSPTasks[[#Headers],[ID]])))="",TRUE()),"",IF(INDEX(tsk_IsSummary,(ROW()-ROW(MSPTasks[[#Headers],[ID]]))),"",IF(N(INDEX(tsk_ActCostInput,(ROW()-ROW(MSPTasks[[#Headers],[ID]]))))=0,"",INDEX(tsk_ActCostInput,(ROW()-ROW(MSPTasks[[#Headers],[ID]]))))))</f>
        <v/>
      </c>
      <c r="U106" s="24" t="str">
        <f aca="false">IF(IFERROR(INDEX(tsk_Name,(ROW()-ROW(MSPTasks[[#Headers],[ID]])))="",TRUE()),"",IF(INDEX(tsk_IsSummary,(ROW()-ROW(MSPTasks[[#Headers],[ID]]))),"",IF(AND(INDEX(tsk_Mode,(ROW()-ROW(MSPTasks[[#Headers],[ID]])))&lt;&gt;"Manual",N(INDEX(tsk_Constraint,(ROW()-ROW(MSPTasks[[#Headers],[ID]]))))&gt;0),"Start No Earlier Than","As Soon As Possible")))</f>
        <v/>
      </c>
      <c r="V106" s="130" t="str">
        <f aca="false">IF(IFERROR(INDEX(tsk_Name,(ROW()-ROW(MSPTasks[[#Headers],[ID]])))="",TRUE()),"",IF(OR(INDEX(tsk_IsSummary,(ROW()-ROW(MSPTasks[[#Headers],[ID]]))),INDEX(tsk_Mode,(ROW()-ROW(MSPTasks[[#Headers],[ID]])))="Manual"),"",IF(N(INDEX(tsk_Constraint,(ROW()-ROW(MSPTasks[[#Headers],[ID]]))))=0,"",INDEX(tsk_Constraint,(ROW()-ROW(MSPTasks[[#Headers],[ID]]))))))</f>
        <v/>
      </c>
      <c r="W106" s="130" t="str">
        <f aca="false">IF(IFERROR(INDEX(tsk_Name,(ROW()-ROW(MSPTasks[[#Headers],[ID]])))="",TRUE()),"",IF(N(INDEX(tsk_Deadline,(ROW()-ROW(MSPTasks[[#Headers],[ID]]))))=0,"",INDEX(tsk_Deadline,(ROW()-ROW(MSPTasks[[#Headers],[ID]])))))</f>
        <v/>
      </c>
      <c r="X106" s="24" t="str">
        <f aca="false">IF(IFERROR(INDEX(tsk_Name,(ROW()-ROW(MSPTasks[[#Headers],[ID]])))="",TRUE()),"",IF(INDEX(tsk_IsSummary,(ROW()-ROW(MSPTasks[[#Headers],[ID]]))),"",INDEX(tsk_Sprint,(ROW()-ROW(MSPTasks[[#Headers],[ID]])))&amp;""))</f>
        <v/>
      </c>
      <c r="Y106" s="24" t="str">
        <f aca="false">IF(IFERROR(INDEX(tsk_Name,(ROW()-ROW(MSPTasks[[#Headers],[ID]])))="",TRUE()),"",IF(INDEX(tsk_IsSummary,(ROW()-ROW(MSPTasks[[#Headers],[ID]]))),"",IF(N(INDEX(tsk_StoryPoints,(ROW()-ROW(MSPTasks[[#Headers],[ID]]))))=0,"",INDEX(tsk_StoryPoints,(ROW()-ROW(MSPTasks[[#Headers],[ID]]))))))</f>
        <v/>
      </c>
      <c r="Z106" s="24" t="str">
        <f aca="false">IF(IFERROR(INDEX(tsk_Name,(ROW()-ROW(MSPTasks[[#Headers],[ID]])))="",TRUE()),"",INDEX(tsk_Notes,(ROW()-ROW(MSPTasks[[#Headers],[ID]])))&amp;"")</f>
        <v/>
      </c>
    </row>
    <row r="107" customFormat="false" ht="15" hidden="false" customHeight="false" outlineLevel="0" collapsed="false">
      <c r="A107" s="24" t="str">
        <f aca="false">IF(IFERROR(INDEX(tsk_Name,(ROW()-ROW(MSPTasks[[#Headers],[ID]])))="",TRUE()),"",INDEX(tsk_ID,(ROW()-ROW(MSPTasks[[#Headers],[ID]]))))</f>
        <v/>
      </c>
      <c r="B107" s="24" t="str">
        <f aca="false">IF(IFERROR(INDEX(tsk_Name,(ROW()-ROW(MSPTasks[[#Headers],[ID]])))="",TRUE()),"",INDEX(tsk_UID,(ROW()-ROW(MSPTasks[[#Headers],[ID]]))))</f>
        <v/>
      </c>
      <c r="C107" s="24" t="str">
        <f aca="false">IF(IFERROR(INDEX(tsk_Name,(ROW()-ROW(MSPTasks[[#Headers],[ID]])))="",TRUE()),"",INDEX(tsk_Name,(ROW()-ROW(MSPTasks[[#Headers],[ID]]))))</f>
        <v/>
      </c>
      <c r="D107" s="24" t="str">
        <f aca="false">IF(IFERROR(INDEX(tsk_Name,(ROW()-ROW(MSPTasks[[#Headers],[ID]])))="",TRUE()),"",INDEX(tsk_Level,(ROW()-ROW(MSPTasks[[#Headers],[ID]]))))</f>
        <v/>
      </c>
      <c r="E107" s="24" t="str">
        <f aca="false">IF(IFERROR(INDEX(tsk_Name,(ROW()-ROW(MSPTasks[[#Headers],[ID]])))="",TRUE()),"",IF(INDEX(tsk_Mode,(ROW()-ROW(MSPTasks[[#Headers],[ID]])))="Manual","Manually Scheduled","Auto Scheduled"))</f>
        <v/>
      </c>
      <c r="F107" s="24" t="str">
        <f aca="false">IF(IFERROR(INDEX(tsk_Name,(ROW()-ROW(MSPTasks[[#Headers],[ID]])))="",TRUE()),"",IF(INDEX(tsk_IsSummary,(ROW()-ROW(MSPTasks[[#Headers],[ID]]))),"",N(INDEX(tsk_Duration,(ROW()-ROW(MSPTasks[[#Headers],[ID]]))))&amp;"d"))</f>
        <v/>
      </c>
      <c r="G107" s="130" t="str">
        <f aca="false">IF(IFERROR(INDEX(tsk_Name,(ROW()-ROW(MSPTasks[[#Headers],[ID]])))="",TRUE()),"",INDEX(tsk_FcStart,(ROW()-ROW(MSPTasks[[#Headers],[ID]]))))</f>
        <v/>
      </c>
      <c r="H107" s="130" t="str">
        <f aca="false">IF(IFERROR(INDEX(tsk_Name,(ROW()-ROW(MSPTasks[[#Headers],[ID]])))="",TRUE()),"",INDEX(tsk_FcFinish,(ROW()-ROW(MSPTasks[[#Headers],[ID]]))))</f>
        <v/>
      </c>
      <c r="I107" s="24" t="str">
        <f aca="false">IF(IFERROR(INDEX(tsk_Name,(ROW()-ROW(MSPTasks[[#Headers],[ID]])))="",TRUE()),"",IF(INDEX(tsk_IsSummary,(ROW()-ROW(MSPTasks[[#Headers],[ID]]))),"",INDEX(tsk_Predecessors,(ROW()-ROW(MSPTasks[[#Headers],[ID]])))))</f>
        <v/>
      </c>
      <c r="J107" s="24" t="str">
        <f aca="false">IF(IFERROR(INDEX(tsk_Name,(ROW()-ROW(MSPTasks[[#Headers],[ID]])))="",TRUE()),"",IF(INDEX(tsk_IsSummary,(ROW()-ROW(MSPTasks[[#Headers],[ID]]))),"",INDEX(tsk_UIDPredecessors,(ROW()-ROW(MSPTasks[[#Headers],[ID]])))))</f>
        <v/>
      </c>
      <c r="K10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7" s="24" t="str">
        <f aca="false">IF(IFERROR(INDEX(tsk_Name,(ROW()-ROW(MSPTasks[[#Headers],[ID]])))="",TRUE()),"",IF(INDEX(tsk_IsSummary,(ROW()-ROW(MSPTasks[[#Headers],[ID]]))),"",ROUND(INDEX(tsk_Progress,(ROW()-ROW(MSPTasks[[#Headers],[ID]])))*100,0)))</f>
        <v/>
      </c>
      <c r="M107" s="130" t="str">
        <f aca="false">IF(IFERROR(INDEX(tsk_Name,(ROW()-ROW(MSPTasks[[#Headers],[ID]])))="",TRUE()),"",IF(N(INDEX(tsk_ActStart,(ROW()-ROW(MSPTasks[[#Headers],[ID]]))))=0,"",INDEX(tsk_ActStart,(ROW()-ROW(MSPTasks[[#Headers],[ID]])))))</f>
        <v/>
      </c>
      <c r="N107" s="130" t="str">
        <f aca="false">IF(IFERROR(INDEX(tsk_Name,(ROW()-ROW(MSPTasks[[#Headers],[ID]])))="",TRUE()),"",IF(N(INDEX(tsk_ActFinish,(ROW()-ROW(MSPTasks[[#Headers],[ID]]))))=0,"",INDEX(tsk_ActFinish,(ROW()-ROW(MSPTasks[[#Headers],[ID]])))))</f>
        <v/>
      </c>
      <c r="O107" s="130" t="str">
        <f aca="false">IF(IFERROR(INDEX(tsk_Name,(ROW()-ROW(MSPTasks[[#Headers],[ID]])))="",TRUE()),"",INDEX(tsk_PlanStart,(ROW()-ROW(MSPTasks[[#Headers],[ID]]))))</f>
        <v/>
      </c>
      <c r="P107" s="130" t="str">
        <f aca="false">IF(IFERROR(INDEX(tsk_Name,(ROW()-ROW(MSPTasks[[#Headers],[ID]])))="",TRUE()),"",INDEX(tsk_PlanFinish,(ROW()-ROW(MSPTasks[[#Headers],[ID]]))))</f>
        <v/>
      </c>
      <c r="Q107" s="24" t="str">
        <f aca="false">IF(IFERROR(INDEX(tsk_Name,(ROW()-ROW(MSPTasks[[#Headers],[ID]])))="",TRUE()),"",IF(INDEX(tsk_BaseDuration,(ROW()-ROW(MSPTasks[[#Headers],[ID]])))="","",N(INDEX(tsk_BaseDuration,(ROW()-ROW(MSPTasks[[#Headers],[ID]]))))&amp;"d"))</f>
        <v/>
      </c>
      <c r="R107" s="24" t="str">
        <f aca="false">IF(IFERROR(INDEX(tsk_Name,(ROW()-ROW(MSPTasks[[#Headers],[ID]])))="",TRUE()),"",IF(INDEX(tsk_BaseWork,(ROW()-ROW(MSPTasks[[#Headers],[ID]])))="","",N(INDEX(tsk_BaseWork,(ROW()-ROW(MSPTasks[[#Headers],[ID]]))))&amp;"h"))</f>
        <v/>
      </c>
      <c r="S107" s="24" t="str">
        <f aca="false">IF(IFERROR(INDEX(tsk_Name,(ROW()-ROW(MSPTasks[[#Headers],[ID]])))="",TRUE()),"",IF(INDEX(tsk_BaseCost,(ROW()-ROW(MSPTasks[[#Headers],[ID]])))="","",N(INDEX(tsk_BaseCost,(ROW()-ROW(MSPTasks[[#Headers],[ID]]))))))</f>
        <v/>
      </c>
      <c r="T107" s="24" t="str">
        <f aca="false">IF(IFERROR(INDEX(tsk_Name,(ROW()-ROW(MSPTasks[[#Headers],[ID]])))="",TRUE()),"",IF(INDEX(tsk_IsSummary,(ROW()-ROW(MSPTasks[[#Headers],[ID]]))),"",IF(N(INDEX(tsk_ActCostInput,(ROW()-ROW(MSPTasks[[#Headers],[ID]]))))=0,"",INDEX(tsk_ActCostInput,(ROW()-ROW(MSPTasks[[#Headers],[ID]]))))))</f>
        <v/>
      </c>
      <c r="U107" s="24" t="str">
        <f aca="false">IF(IFERROR(INDEX(tsk_Name,(ROW()-ROW(MSPTasks[[#Headers],[ID]])))="",TRUE()),"",IF(INDEX(tsk_IsSummary,(ROW()-ROW(MSPTasks[[#Headers],[ID]]))),"",IF(AND(INDEX(tsk_Mode,(ROW()-ROW(MSPTasks[[#Headers],[ID]])))&lt;&gt;"Manual",N(INDEX(tsk_Constraint,(ROW()-ROW(MSPTasks[[#Headers],[ID]]))))&gt;0),"Start No Earlier Than","As Soon As Possible")))</f>
        <v/>
      </c>
      <c r="V107" s="130" t="str">
        <f aca="false">IF(IFERROR(INDEX(tsk_Name,(ROW()-ROW(MSPTasks[[#Headers],[ID]])))="",TRUE()),"",IF(OR(INDEX(tsk_IsSummary,(ROW()-ROW(MSPTasks[[#Headers],[ID]]))),INDEX(tsk_Mode,(ROW()-ROW(MSPTasks[[#Headers],[ID]])))="Manual"),"",IF(N(INDEX(tsk_Constraint,(ROW()-ROW(MSPTasks[[#Headers],[ID]]))))=0,"",INDEX(tsk_Constraint,(ROW()-ROW(MSPTasks[[#Headers],[ID]]))))))</f>
        <v/>
      </c>
      <c r="W107" s="130" t="str">
        <f aca="false">IF(IFERROR(INDEX(tsk_Name,(ROW()-ROW(MSPTasks[[#Headers],[ID]])))="",TRUE()),"",IF(N(INDEX(tsk_Deadline,(ROW()-ROW(MSPTasks[[#Headers],[ID]]))))=0,"",INDEX(tsk_Deadline,(ROW()-ROW(MSPTasks[[#Headers],[ID]])))))</f>
        <v/>
      </c>
      <c r="X107" s="24" t="str">
        <f aca="false">IF(IFERROR(INDEX(tsk_Name,(ROW()-ROW(MSPTasks[[#Headers],[ID]])))="",TRUE()),"",IF(INDEX(tsk_IsSummary,(ROW()-ROW(MSPTasks[[#Headers],[ID]]))),"",INDEX(tsk_Sprint,(ROW()-ROW(MSPTasks[[#Headers],[ID]])))&amp;""))</f>
        <v/>
      </c>
      <c r="Y107" s="24" t="str">
        <f aca="false">IF(IFERROR(INDEX(tsk_Name,(ROW()-ROW(MSPTasks[[#Headers],[ID]])))="",TRUE()),"",IF(INDEX(tsk_IsSummary,(ROW()-ROW(MSPTasks[[#Headers],[ID]]))),"",IF(N(INDEX(tsk_StoryPoints,(ROW()-ROW(MSPTasks[[#Headers],[ID]]))))=0,"",INDEX(tsk_StoryPoints,(ROW()-ROW(MSPTasks[[#Headers],[ID]]))))))</f>
        <v/>
      </c>
      <c r="Z107" s="24" t="str">
        <f aca="false">IF(IFERROR(INDEX(tsk_Name,(ROW()-ROW(MSPTasks[[#Headers],[ID]])))="",TRUE()),"",INDEX(tsk_Notes,(ROW()-ROW(MSPTasks[[#Headers],[ID]])))&amp;"")</f>
        <v/>
      </c>
    </row>
    <row r="108" customFormat="false" ht="15" hidden="false" customHeight="false" outlineLevel="0" collapsed="false">
      <c r="A108" s="24" t="str">
        <f aca="false">IF(IFERROR(INDEX(tsk_Name,(ROW()-ROW(MSPTasks[[#Headers],[ID]])))="",TRUE()),"",INDEX(tsk_ID,(ROW()-ROW(MSPTasks[[#Headers],[ID]]))))</f>
        <v/>
      </c>
      <c r="B108" s="24" t="str">
        <f aca="false">IF(IFERROR(INDEX(tsk_Name,(ROW()-ROW(MSPTasks[[#Headers],[ID]])))="",TRUE()),"",INDEX(tsk_UID,(ROW()-ROW(MSPTasks[[#Headers],[ID]]))))</f>
        <v/>
      </c>
      <c r="C108" s="24" t="str">
        <f aca="false">IF(IFERROR(INDEX(tsk_Name,(ROW()-ROW(MSPTasks[[#Headers],[ID]])))="",TRUE()),"",INDEX(tsk_Name,(ROW()-ROW(MSPTasks[[#Headers],[ID]]))))</f>
        <v/>
      </c>
      <c r="D108" s="24" t="str">
        <f aca="false">IF(IFERROR(INDEX(tsk_Name,(ROW()-ROW(MSPTasks[[#Headers],[ID]])))="",TRUE()),"",INDEX(tsk_Level,(ROW()-ROW(MSPTasks[[#Headers],[ID]]))))</f>
        <v/>
      </c>
      <c r="E108" s="24" t="str">
        <f aca="false">IF(IFERROR(INDEX(tsk_Name,(ROW()-ROW(MSPTasks[[#Headers],[ID]])))="",TRUE()),"",IF(INDEX(tsk_Mode,(ROW()-ROW(MSPTasks[[#Headers],[ID]])))="Manual","Manually Scheduled","Auto Scheduled"))</f>
        <v/>
      </c>
      <c r="F108" s="24" t="str">
        <f aca="false">IF(IFERROR(INDEX(tsk_Name,(ROW()-ROW(MSPTasks[[#Headers],[ID]])))="",TRUE()),"",IF(INDEX(tsk_IsSummary,(ROW()-ROW(MSPTasks[[#Headers],[ID]]))),"",N(INDEX(tsk_Duration,(ROW()-ROW(MSPTasks[[#Headers],[ID]]))))&amp;"d"))</f>
        <v/>
      </c>
      <c r="G108" s="130" t="str">
        <f aca="false">IF(IFERROR(INDEX(tsk_Name,(ROW()-ROW(MSPTasks[[#Headers],[ID]])))="",TRUE()),"",INDEX(tsk_FcStart,(ROW()-ROW(MSPTasks[[#Headers],[ID]]))))</f>
        <v/>
      </c>
      <c r="H108" s="130" t="str">
        <f aca="false">IF(IFERROR(INDEX(tsk_Name,(ROW()-ROW(MSPTasks[[#Headers],[ID]])))="",TRUE()),"",INDEX(tsk_FcFinish,(ROW()-ROW(MSPTasks[[#Headers],[ID]]))))</f>
        <v/>
      </c>
      <c r="I108" s="24" t="str">
        <f aca="false">IF(IFERROR(INDEX(tsk_Name,(ROW()-ROW(MSPTasks[[#Headers],[ID]])))="",TRUE()),"",IF(INDEX(tsk_IsSummary,(ROW()-ROW(MSPTasks[[#Headers],[ID]]))),"",INDEX(tsk_Predecessors,(ROW()-ROW(MSPTasks[[#Headers],[ID]])))))</f>
        <v/>
      </c>
      <c r="J108" s="24" t="str">
        <f aca="false">IF(IFERROR(INDEX(tsk_Name,(ROW()-ROW(MSPTasks[[#Headers],[ID]])))="",TRUE()),"",IF(INDEX(tsk_IsSummary,(ROW()-ROW(MSPTasks[[#Headers],[ID]]))),"",INDEX(tsk_UIDPredecessors,(ROW()-ROW(MSPTasks[[#Headers],[ID]])))))</f>
        <v/>
      </c>
      <c r="K10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8" s="24" t="str">
        <f aca="false">IF(IFERROR(INDEX(tsk_Name,(ROW()-ROW(MSPTasks[[#Headers],[ID]])))="",TRUE()),"",IF(INDEX(tsk_IsSummary,(ROW()-ROW(MSPTasks[[#Headers],[ID]]))),"",ROUND(INDEX(tsk_Progress,(ROW()-ROW(MSPTasks[[#Headers],[ID]])))*100,0)))</f>
        <v/>
      </c>
      <c r="M108" s="130" t="str">
        <f aca="false">IF(IFERROR(INDEX(tsk_Name,(ROW()-ROW(MSPTasks[[#Headers],[ID]])))="",TRUE()),"",IF(N(INDEX(tsk_ActStart,(ROW()-ROW(MSPTasks[[#Headers],[ID]]))))=0,"",INDEX(tsk_ActStart,(ROW()-ROW(MSPTasks[[#Headers],[ID]])))))</f>
        <v/>
      </c>
      <c r="N108" s="130" t="str">
        <f aca="false">IF(IFERROR(INDEX(tsk_Name,(ROW()-ROW(MSPTasks[[#Headers],[ID]])))="",TRUE()),"",IF(N(INDEX(tsk_ActFinish,(ROW()-ROW(MSPTasks[[#Headers],[ID]]))))=0,"",INDEX(tsk_ActFinish,(ROW()-ROW(MSPTasks[[#Headers],[ID]])))))</f>
        <v/>
      </c>
      <c r="O108" s="130" t="str">
        <f aca="false">IF(IFERROR(INDEX(tsk_Name,(ROW()-ROW(MSPTasks[[#Headers],[ID]])))="",TRUE()),"",INDEX(tsk_PlanStart,(ROW()-ROW(MSPTasks[[#Headers],[ID]]))))</f>
        <v/>
      </c>
      <c r="P108" s="130" t="str">
        <f aca="false">IF(IFERROR(INDEX(tsk_Name,(ROW()-ROW(MSPTasks[[#Headers],[ID]])))="",TRUE()),"",INDEX(tsk_PlanFinish,(ROW()-ROW(MSPTasks[[#Headers],[ID]]))))</f>
        <v/>
      </c>
      <c r="Q108" s="24" t="str">
        <f aca="false">IF(IFERROR(INDEX(tsk_Name,(ROW()-ROW(MSPTasks[[#Headers],[ID]])))="",TRUE()),"",IF(INDEX(tsk_BaseDuration,(ROW()-ROW(MSPTasks[[#Headers],[ID]])))="","",N(INDEX(tsk_BaseDuration,(ROW()-ROW(MSPTasks[[#Headers],[ID]]))))&amp;"d"))</f>
        <v/>
      </c>
      <c r="R108" s="24" t="str">
        <f aca="false">IF(IFERROR(INDEX(tsk_Name,(ROW()-ROW(MSPTasks[[#Headers],[ID]])))="",TRUE()),"",IF(INDEX(tsk_BaseWork,(ROW()-ROW(MSPTasks[[#Headers],[ID]])))="","",N(INDEX(tsk_BaseWork,(ROW()-ROW(MSPTasks[[#Headers],[ID]]))))&amp;"h"))</f>
        <v/>
      </c>
      <c r="S108" s="24" t="str">
        <f aca="false">IF(IFERROR(INDEX(tsk_Name,(ROW()-ROW(MSPTasks[[#Headers],[ID]])))="",TRUE()),"",IF(INDEX(tsk_BaseCost,(ROW()-ROW(MSPTasks[[#Headers],[ID]])))="","",N(INDEX(tsk_BaseCost,(ROW()-ROW(MSPTasks[[#Headers],[ID]]))))))</f>
        <v/>
      </c>
      <c r="T108" s="24" t="str">
        <f aca="false">IF(IFERROR(INDEX(tsk_Name,(ROW()-ROW(MSPTasks[[#Headers],[ID]])))="",TRUE()),"",IF(INDEX(tsk_IsSummary,(ROW()-ROW(MSPTasks[[#Headers],[ID]]))),"",IF(N(INDEX(tsk_ActCostInput,(ROW()-ROW(MSPTasks[[#Headers],[ID]]))))=0,"",INDEX(tsk_ActCostInput,(ROW()-ROW(MSPTasks[[#Headers],[ID]]))))))</f>
        <v/>
      </c>
      <c r="U108" s="24" t="str">
        <f aca="false">IF(IFERROR(INDEX(tsk_Name,(ROW()-ROW(MSPTasks[[#Headers],[ID]])))="",TRUE()),"",IF(INDEX(tsk_IsSummary,(ROW()-ROW(MSPTasks[[#Headers],[ID]]))),"",IF(AND(INDEX(tsk_Mode,(ROW()-ROW(MSPTasks[[#Headers],[ID]])))&lt;&gt;"Manual",N(INDEX(tsk_Constraint,(ROW()-ROW(MSPTasks[[#Headers],[ID]]))))&gt;0),"Start No Earlier Than","As Soon As Possible")))</f>
        <v/>
      </c>
      <c r="V108" s="130" t="str">
        <f aca="false">IF(IFERROR(INDEX(tsk_Name,(ROW()-ROW(MSPTasks[[#Headers],[ID]])))="",TRUE()),"",IF(OR(INDEX(tsk_IsSummary,(ROW()-ROW(MSPTasks[[#Headers],[ID]]))),INDEX(tsk_Mode,(ROW()-ROW(MSPTasks[[#Headers],[ID]])))="Manual"),"",IF(N(INDEX(tsk_Constraint,(ROW()-ROW(MSPTasks[[#Headers],[ID]]))))=0,"",INDEX(tsk_Constraint,(ROW()-ROW(MSPTasks[[#Headers],[ID]]))))))</f>
        <v/>
      </c>
      <c r="W108" s="130" t="str">
        <f aca="false">IF(IFERROR(INDEX(tsk_Name,(ROW()-ROW(MSPTasks[[#Headers],[ID]])))="",TRUE()),"",IF(N(INDEX(tsk_Deadline,(ROW()-ROW(MSPTasks[[#Headers],[ID]]))))=0,"",INDEX(tsk_Deadline,(ROW()-ROW(MSPTasks[[#Headers],[ID]])))))</f>
        <v/>
      </c>
      <c r="X108" s="24" t="str">
        <f aca="false">IF(IFERROR(INDEX(tsk_Name,(ROW()-ROW(MSPTasks[[#Headers],[ID]])))="",TRUE()),"",IF(INDEX(tsk_IsSummary,(ROW()-ROW(MSPTasks[[#Headers],[ID]]))),"",INDEX(tsk_Sprint,(ROW()-ROW(MSPTasks[[#Headers],[ID]])))&amp;""))</f>
        <v/>
      </c>
      <c r="Y108" s="24" t="str">
        <f aca="false">IF(IFERROR(INDEX(tsk_Name,(ROW()-ROW(MSPTasks[[#Headers],[ID]])))="",TRUE()),"",IF(INDEX(tsk_IsSummary,(ROW()-ROW(MSPTasks[[#Headers],[ID]]))),"",IF(N(INDEX(tsk_StoryPoints,(ROW()-ROW(MSPTasks[[#Headers],[ID]]))))=0,"",INDEX(tsk_StoryPoints,(ROW()-ROW(MSPTasks[[#Headers],[ID]]))))))</f>
        <v/>
      </c>
      <c r="Z108" s="24" t="str">
        <f aca="false">IF(IFERROR(INDEX(tsk_Name,(ROW()-ROW(MSPTasks[[#Headers],[ID]])))="",TRUE()),"",INDEX(tsk_Notes,(ROW()-ROW(MSPTasks[[#Headers],[ID]])))&amp;"")</f>
        <v/>
      </c>
    </row>
    <row r="109" customFormat="false" ht="15" hidden="false" customHeight="false" outlineLevel="0" collapsed="false">
      <c r="A109" s="24" t="str">
        <f aca="false">IF(IFERROR(INDEX(tsk_Name,(ROW()-ROW(MSPTasks[[#Headers],[ID]])))="",TRUE()),"",INDEX(tsk_ID,(ROW()-ROW(MSPTasks[[#Headers],[ID]]))))</f>
        <v/>
      </c>
      <c r="B109" s="24" t="str">
        <f aca="false">IF(IFERROR(INDEX(tsk_Name,(ROW()-ROW(MSPTasks[[#Headers],[ID]])))="",TRUE()),"",INDEX(tsk_UID,(ROW()-ROW(MSPTasks[[#Headers],[ID]]))))</f>
        <v/>
      </c>
      <c r="C109" s="24" t="str">
        <f aca="false">IF(IFERROR(INDEX(tsk_Name,(ROW()-ROW(MSPTasks[[#Headers],[ID]])))="",TRUE()),"",INDEX(tsk_Name,(ROW()-ROW(MSPTasks[[#Headers],[ID]]))))</f>
        <v/>
      </c>
      <c r="D109" s="24" t="str">
        <f aca="false">IF(IFERROR(INDEX(tsk_Name,(ROW()-ROW(MSPTasks[[#Headers],[ID]])))="",TRUE()),"",INDEX(tsk_Level,(ROW()-ROW(MSPTasks[[#Headers],[ID]]))))</f>
        <v/>
      </c>
      <c r="E109" s="24" t="str">
        <f aca="false">IF(IFERROR(INDEX(tsk_Name,(ROW()-ROW(MSPTasks[[#Headers],[ID]])))="",TRUE()),"",IF(INDEX(tsk_Mode,(ROW()-ROW(MSPTasks[[#Headers],[ID]])))="Manual","Manually Scheduled","Auto Scheduled"))</f>
        <v/>
      </c>
      <c r="F109" s="24" t="str">
        <f aca="false">IF(IFERROR(INDEX(tsk_Name,(ROW()-ROW(MSPTasks[[#Headers],[ID]])))="",TRUE()),"",IF(INDEX(tsk_IsSummary,(ROW()-ROW(MSPTasks[[#Headers],[ID]]))),"",N(INDEX(tsk_Duration,(ROW()-ROW(MSPTasks[[#Headers],[ID]]))))&amp;"d"))</f>
        <v/>
      </c>
      <c r="G109" s="130" t="str">
        <f aca="false">IF(IFERROR(INDEX(tsk_Name,(ROW()-ROW(MSPTasks[[#Headers],[ID]])))="",TRUE()),"",INDEX(tsk_FcStart,(ROW()-ROW(MSPTasks[[#Headers],[ID]]))))</f>
        <v/>
      </c>
      <c r="H109" s="130" t="str">
        <f aca="false">IF(IFERROR(INDEX(tsk_Name,(ROW()-ROW(MSPTasks[[#Headers],[ID]])))="",TRUE()),"",INDEX(tsk_FcFinish,(ROW()-ROW(MSPTasks[[#Headers],[ID]]))))</f>
        <v/>
      </c>
      <c r="I109" s="24" t="str">
        <f aca="false">IF(IFERROR(INDEX(tsk_Name,(ROW()-ROW(MSPTasks[[#Headers],[ID]])))="",TRUE()),"",IF(INDEX(tsk_IsSummary,(ROW()-ROW(MSPTasks[[#Headers],[ID]]))),"",INDEX(tsk_Predecessors,(ROW()-ROW(MSPTasks[[#Headers],[ID]])))))</f>
        <v/>
      </c>
      <c r="J109" s="24" t="str">
        <f aca="false">IF(IFERROR(INDEX(tsk_Name,(ROW()-ROW(MSPTasks[[#Headers],[ID]])))="",TRUE()),"",IF(INDEX(tsk_IsSummary,(ROW()-ROW(MSPTasks[[#Headers],[ID]]))),"",INDEX(tsk_UIDPredecessors,(ROW()-ROW(MSPTasks[[#Headers],[ID]])))))</f>
        <v/>
      </c>
      <c r="K10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9" s="24" t="str">
        <f aca="false">IF(IFERROR(INDEX(tsk_Name,(ROW()-ROW(MSPTasks[[#Headers],[ID]])))="",TRUE()),"",IF(INDEX(tsk_IsSummary,(ROW()-ROW(MSPTasks[[#Headers],[ID]]))),"",ROUND(INDEX(tsk_Progress,(ROW()-ROW(MSPTasks[[#Headers],[ID]])))*100,0)))</f>
        <v/>
      </c>
      <c r="M109" s="130" t="str">
        <f aca="false">IF(IFERROR(INDEX(tsk_Name,(ROW()-ROW(MSPTasks[[#Headers],[ID]])))="",TRUE()),"",IF(N(INDEX(tsk_ActStart,(ROW()-ROW(MSPTasks[[#Headers],[ID]]))))=0,"",INDEX(tsk_ActStart,(ROW()-ROW(MSPTasks[[#Headers],[ID]])))))</f>
        <v/>
      </c>
      <c r="N109" s="130" t="str">
        <f aca="false">IF(IFERROR(INDEX(tsk_Name,(ROW()-ROW(MSPTasks[[#Headers],[ID]])))="",TRUE()),"",IF(N(INDEX(tsk_ActFinish,(ROW()-ROW(MSPTasks[[#Headers],[ID]]))))=0,"",INDEX(tsk_ActFinish,(ROW()-ROW(MSPTasks[[#Headers],[ID]])))))</f>
        <v/>
      </c>
      <c r="O109" s="130" t="str">
        <f aca="false">IF(IFERROR(INDEX(tsk_Name,(ROW()-ROW(MSPTasks[[#Headers],[ID]])))="",TRUE()),"",INDEX(tsk_PlanStart,(ROW()-ROW(MSPTasks[[#Headers],[ID]]))))</f>
        <v/>
      </c>
      <c r="P109" s="130" t="str">
        <f aca="false">IF(IFERROR(INDEX(tsk_Name,(ROW()-ROW(MSPTasks[[#Headers],[ID]])))="",TRUE()),"",INDEX(tsk_PlanFinish,(ROW()-ROW(MSPTasks[[#Headers],[ID]]))))</f>
        <v/>
      </c>
      <c r="Q109" s="24" t="str">
        <f aca="false">IF(IFERROR(INDEX(tsk_Name,(ROW()-ROW(MSPTasks[[#Headers],[ID]])))="",TRUE()),"",IF(INDEX(tsk_BaseDuration,(ROW()-ROW(MSPTasks[[#Headers],[ID]])))="","",N(INDEX(tsk_BaseDuration,(ROW()-ROW(MSPTasks[[#Headers],[ID]]))))&amp;"d"))</f>
        <v/>
      </c>
      <c r="R109" s="24" t="str">
        <f aca="false">IF(IFERROR(INDEX(tsk_Name,(ROW()-ROW(MSPTasks[[#Headers],[ID]])))="",TRUE()),"",IF(INDEX(tsk_BaseWork,(ROW()-ROW(MSPTasks[[#Headers],[ID]])))="","",N(INDEX(tsk_BaseWork,(ROW()-ROW(MSPTasks[[#Headers],[ID]]))))&amp;"h"))</f>
        <v/>
      </c>
      <c r="S109" s="24" t="str">
        <f aca="false">IF(IFERROR(INDEX(tsk_Name,(ROW()-ROW(MSPTasks[[#Headers],[ID]])))="",TRUE()),"",IF(INDEX(tsk_BaseCost,(ROW()-ROW(MSPTasks[[#Headers],[ID]])))="","",N(INDEX(tsk_BaseCost,(ROW()-ROW(MSPTasks[[#Headers],[ID]]))))))</f>
        <v/>
      </c>
      <c r="T109" s="24" t="str">
        <f aca="false">IF(IFERROR(INDEX(tsk_Name,(ROW()-ROW(MSPTasks[[#Headers],[ID]])))="",TRUE()),"",IF(INDEX(tsk_IsSummary,(ROW()-ROW(MSPTasks[[#Headers],[ID]]))),"",IF(N(INDEX(tsk_ActCostInput,(ROW()-ROW(MSPTasks[[#Headers],[ID]]))))=0,"",INDEX(tsk_ActCostInput,(ROW()-ROW(MSPTasks[[#Headers],[ID]]))))))</f>
        <v/>
      </c>
      <c r="U109" s="24" t="str">
        <f aca="false">IF(IFERROR(INDEX(tsk_Name,(ROW()-ROW(MSPTasks[[#Headers],[ID]])))="",TRUE()),"",IF(INDEX(tsk_IsSummary,(ROW()-ROW(MSPTasks[[#Headers],[ID]]))),"",IF(AND(INDEX(tsk_Mode,(ROW()-ROW(MSPTasks[[#Headers],[ID]])))&lt;&gt;"Manual",N(INDEX(tsk_Constraint,(ROW()-ROW(MSPTasks[[#Headers],[ID]]))))&gt;0),"Start No Earlier Than","As Soon As Possible")))</f>
        <v/>
      </c>
      <c r="V109" s="130" t="str">
        <f aca="false">IF(IFERROR(INDEX(tsk_Name,(ROW()-ROW(MSPTasks[[#Headers],[ID]])))="",TRUE()),"",IF(OR(INDEX(tsk_IsSummary,(ROW()-ROW(MSPTasks[[#Headers],[ID]]))),INDEX(tsk_Mode,(ROW()-ROW(MSPTasks[[#Headers],[ID]])))="Manual"),"",IF(N(INDEX(tsk_Constraint,(ROW()-ROW(MSPTasks[[#Headers],[ID]]))))=0,"",INDEX(tsk_Constraint,(ROW()-ROW(MSPTasks[[#Headers],[ID]]))))))</f>
        <v/>
      </c>
      <c r="W109" s="130" t="str">
        <f aca="false">IF(IFERROR(INDEX(tsk_Name,(ROW()-ROW(MSPTasks[[#Headers],[ID]])))="",TRUE()),"",IF(N(INDEX(tsk_Deadline,(ROW()-ROW(MSPTasks[[#Headers],[ID]]))))=0,"",INDEX(tsk_Deadline,(ROW()-ROW(MSPTasks[[#Headers],[ID]])))))</f>
        <v/>
      </c>
      <c r="X109" s="24" t="str">
        <f aca="false">IF(IFERROR(INDEX(tsk_Name,(ROW()-ROW(MSPTasks[[#Headers],[ID]])))="",TRUE()),"",IF(INDEX(tsk_IsSummary,(ROW()-ROW(MSPTasks[[#Headers],[ID]]))),"",INDEX(tsk_Sprint,(ROW()-ROW(MSPTasks[[#Headers],[ID]])))&amp;""))</f>
        <v/>
      </c>
      <c r="Y109" s="24" t="str">
        <f aca="false">IF(IFERROR(INDEX(tsk_Name,(ROW()-ROW(MSPTasks[[#Headers],[ID]])))="",TRUE()),"",IF(INDEX(tsk_IsSummary,(ROW()-ROW(MSPTasks[[#Headers],[ID]]))),"",IF(N(INDEX(tsk_StoryPoints,(ROW()-ROW(MSPTasks[[#Headers],[ID]]))))=0,"",INDEX(tsk_StoryPoints,(ROW()-ROW(MSPTasks[[#Headers],[ID]]))))))</f>
        <v/>
      </c>
      <c r="Z109" s="24" t="str">
        <f aca="false">IF(IFERROR(INDEX(tsk_Name,(ROW()-ROW(MSPTasks[[#Headers],[ID]])))="",TRUE()),"",INDEX(tsk_Notes,(ROW()-ROW(MSPTasks[[#Headers],[ID]])))&amp;"")</f>
        <v/>
      </c>
    </row>
    <row r="110" customFormat="false" ht="15" hidden="false" customHeight="false" outlineLevel="0" collapsed="false">
      <c r="A110" s="24" t="str">
        <f aca="false">IF(IFERROR(INDEX(tsk_Name,(ROW()-ROW(MSPTasks[[#Headers],[ID]])))="",TRUE()),"",INDEX(tsk_ID,(ROW()-ROW(MSPTasks[[#Headers],[ID]]))))</f>
        <v/>
      </c>
      <c r="B110" s="24" t="str">
        <f aca="false">IF(IFERROR(INDEX(tsk_Name,(ROW()-ROW(MSPTasks[[#Headers],[ID]])))="",TRUE()),"",INDEX(tsk_UID,(ROW()-ROW(MSPTasks[[#Headers],[ID]]))))</f>
        <v/>
      </c>
      <c r="C110" s="24" t="str">
        <f aca="false">IF(IFERROR(INDEX(tsk_Name,(ROW()-ROW(MSPTasks[[#Headers],[ID]])))="",TRUE()),"",INDEX(tsk_Name,(ROW()-ROW(MSPTasks[[#Headers],[ID]]))))</f>
        <v/>
      </c>
      <c r="D110" s="24" t="str">
        <f aca="false">IF(IFERROR(INDEX(tsk_Name,(ROW()-ROW(MSPTasks[[#Headers],[ID]])))="",TRUE()),"",INDEX(tsk_Level,(ROW()-ROW(MSPTasks[[#Headers],[ID]]))))</f>
        <v/>
      </c>
      <c r="E110" s="24" t="str">
        <f aca="false">IF(IFERROR(INDEX(tsk_Name,(ROW()-ROW(MSPTasks[[#Headers],[ID]])))="",TRUE()),"",IF(INDEX(tsk_Mode,(ROW()-ROW(MSPTasks[[#Headers],[ID]])))="Manual","Manually Scheduled","Auto Scheduled"))</f>
        <v/>
      </c>
      <c r="F110" s="24" t="str">
        <f aca="false">IF(IFERROR(INDEX(tsk_Name,(ROW()-ROW(MSPTasks[[#Headers],[ID]])))="",TRUE()),"",IF(INDEX(tsk_IsSummary,(ROW()-ROW(MSPTasks[[#Headers],[ID]]))),"",N(INDEX(tsk_Duration,(ROW()-ROW(MSPTasks[[#Headers],[ID]]))))&amp;"d"))</f>
        <v/>
      </c>
      <c r="G110" s="130" t="str">
        <f aca="false">IF(IFERROR(INDEX(tsk_Name,(ROW()-ROW(MSPTasks[[#Headers],[ID]])))="",TRUE()),"",INDEX(tsk_FcStart,(ROW()-ROW(MSPTasks[[#Headers],[ID]]))))</f>
        <v/>
      </c>
      <c r="H110" s="130" t="str">
        <f aca="false">IF(IFERROR(INDEX(tsk_Name,(ROW()-ROW(MSPTasks[[#Headers],[ID]])))="",TRUE()),"",INDEX(tsk_FcFinish,(ROW()-ROW(MSPTasks[[#Headers],[ID]]))))</f>
        <v/>
      </c>
      <c r="I110" s="24" t="str">
        <f aca="false">IF(IFERROR(INDEX(tsk_Name,(ROW()-ROW(MSPTasks[[#Headers],[ID]])))="",TRUE()),"",IF(INDEX(tsk_IsSummary,(ROW()-ROW(MSPTasks[[#Headers],[ID]]))),"",INDEX(tsk_Predecessors,(ROW()-ROW(MSPTasks[[#Headers],[ID]])))))</f>
        <v/>
      </c>
      <c r="J110" s="24" t="str">
        <f aca="false">IF(IFERROR(INDEX(tsk_Name,(ROW()-ROW(MSPTasks[[#Headers],[ID]])))="",TRUE()),"",IF(INDEX(tsk_IsSummary,(ROW()-ROW(MSPTasks[[#Headers],[ID]]))),"",INDEX(tsk_UIDPredecessors,(ROW()-ROW(MSPTasks[[#Headers],[ID]])))))</f>
        <v/>
      </c>
      <c r="K1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0" s="24" t="str">
        <f aca="false">IF(IFERROR(INDEX(tsk_Name,(ROW()-ROW(MSPTasks[[#Headers],[ID]])))="",TRUE()),"",IF(INDEX(tsk_IsSummary,(ROW()-ROW(MSPTasks[[#Headers],[ID]]))),"",ROUND(INDEX(tsk_Progress,(ROW()-ROW(MSPTasks[[#Headers],[ID]])))*100,0)))</f>
        <v/>
      </c>
      <c r="M110" s="130" t="str">
        <f aca="false">IF(IFERROR(INDEX(tsk_Name,(ROW()-ROW(MSPTasks[[#Headers],[ID]])))="",TRUE()),"",IF(N(INDEX(tsk_ActStart,(ROW()-ROW(MSPTasks[[#Headers],[ID]]))))=0,"",INDEX(tsk_ActStart,(ROW()-ROW(MSPTasks[[#Headers],[ID]])))))</f>
        <v/>
      </c>
      <c r="N110" s="130" t="str">
        <f aca="false">IF(IFERROR(INDEX(tsk_Name,(ROW()-ROW(MSPTasks[[#Headers],[ID]])))="",TRUE()),"",IF(N(INDEX(tsk_ActFinish,(ROW()-ROW(MSPTasks[[#Headers],[ID]]))))=0,"",INDEX(tsk_ActFinish,(ROW()-ROW(MSPTasks[[#Headers],[ID]])))))</f>
        <v/>
      </c>
      <c r="O110" s="130" t="str">
        <f aca="false">IF(IFERROR(INDEX(tsk_Name,(ROW()-ROW(MSPTasks[[#Headers],[ID]])))="",TRUE()),"",INDEX(tsk_PlanStart,(ROW()-ROW(MSPTasks[[#Headers],[ID]]))))</f>
        <v/>
      </c>
      <c r="P110" s="130" t="str">
        <f aca="false">IF(IFERROR(INDEX(tsk_Name,(ROW()-ROW(MSPTasks[[#Headers],[ID]])))="",TRUE()),"",INDEX(tsk_PlanFinish,(ROW()-ROW(MSPTasks[[#Headers],[ID]]))))</f>
        <v/>
      </c>
      <c r="Q110" s="24" t="str">
        <f aca="false">IF(IFERROR(INDEX(tsk_Name,(ROW()-ROW(MSPTasks[[#Headers],[ID]])))="",TRUE()),"",IF(INDEX(tsk_BaseDuration,(ROW()-ROW(MSPTasks[[#Headers],[ID]])))="","",N(INDEX(tsk_BaseDuration,(ROW()-ROW(MSPTasks[[#Headers],[ID]]))))&amp;"d"))</f>
        <v/>
      </c>
      <c r="R110" s="24" t="str">
        <f aca="false">IF(IFERROR(INDEX(tsk_Name,(ROW()-ROW(MSPTasks[[#Headers],[ID]])))="",TRUE()),"",IF(INDEX(tsk_BaseWork,(ROW()-ROW(MSPTasks[[#Headers],[ID]])))="","",N(INDEX(tsk_BaseWork,(ROW()-ROW(MSPTasks[[#Headers],[ID]]))))&amp;"h"))</f>
        <v/>
      </c>
      <c r="S110" s="24" t="str">
        <f aca="false">IF(IFERROR(INDEX(tsk_Name,(ROW()-ROW(MSPTasks[[#Headers],[ID]])))="",TRUE()),"",IF(INDEX(tsk_BaseCost,(ROW()-ROW(MSPTasks[[#Headers],[ID]])))="","",N(INDEX(tsk_BaseCost,(ROW()-ROW(MSPTasks[[#Headers],[ID]]))))))</f>
        <v/>
      </c>
      <c r="T110" s="24" t="str">
        <f aca="false">IF(IFERROR(INDEX(tsk_Name,(ROW()-ROW(MSPTasks[[#Headers],[ID]])))="",TRUE()),"",IF(INDEX(tsk_IsSummary,(ROW()-ROW(MSPTasks[[#Headers],[ID]]))),"",IF(N(INDEX(tsk_ActCostInput,(ROW()-ROW(MSPTasks[[#Headers],[ID]]))))=0,"",INDEX(tsk_ActCostInput,(ROW()-ROW(MSPTasks[[#Headers],[ID]]))))))</f>
        <v/>
      </c>
      <c r="U110" s="24" t="str">
        <f aca="false">IF(IFERROR(INDEX(tsk_Name,(ROW()-ROW(MSPTasks[[#Headers],[ID]])))="",TRUE()),"",IF(INDEX(tsk_IsSummary,(ROW()-ROW(MSPTasks[[#Headers],[ID]]))),"",IF(AND(INDEX(tsk_Mode,(ROW()-ROW(MSPTasks[[#Headers],[ID]])))&lt;&gt;"Manual",N(INDEX(tsk_Constraint,(ROW()-ROW(MSPTasks[[#Headers],[ID]]))))&gt;0),"Start No Earlier Than","As Soon As Possible")))</f>
        <v/>
      </c>
      <c r="V110" s="130" t="str">
        <f aca="false">IF(IFERROR(INDEX(tsk_Name,(ROW()-ROW(MSPTasks[[#Headers],[ID]])))="",TRUE()),"",IF(OR(INDEX(tsk_IsSummary,(ROW()-ROW(MSPTasks[[#Headers],[ID]]))),INDEX(tsk_Mode,(ROW()-ROW(MSPTasks[[#Headers],[ID]])))="Manual"),"",IF(N(INDEX(tsk_Constraint,(ROW()-ROW(MSPTasks[[#Headers],[ID]]))))=0,"",INDEX(tsk_Constraint,(ROW()-ROW(MSPTasks[[#Headers],[ID]]))))))</f>
        <v/>
      </c>
      <c r="W110" s="130" t="str">
        <f aca="false">IF(IFERROR(INDEX(tsk_Name,(ROW()-ROW(MSPTasks[[#Headers],[ID]])))="",TRUE()),"",IF(N(INDEX(tsk_Deadline,(ROW()-ROW(MSPTasks[[#Headers],[ID]]))))=0,"",INDEX(tsk_Deadline,(ROW()-ROW(MSPTasks[[#Headers],[ID]])))))</f>
        <v/>
      </c>
      <c r="X110" s="24" t="str">
        <f aca="false">IF(IFERROR(INDEX(tsk_Name,(ROW()-ROW(MSPTasks[[#Headers],[ID]])))="",TRUE()),"",IF(INDEX(tsk_IsSummary,(ROW()-ROW(MSPTasks[[#Headers],[ID]]))),"",INDEX(tsk_Sprint,(ROW()-ROW(MSPTasks[[#Headers],[ID]])))&amp;""))</f>
        <v/>
      </c>
      <c r="Y110" s="24" t="str">
        <f aca="false">IF(IFERROR(INDEX(tsk_Name,(ROW()-ROW(MSPTasks[[#Headers],[ID]])))="",TRUE()),"",IF(INDEX(tsk_IsSummary,(ROW()-ROW(MSPTasks[[#Headers],[ID]]))),"",IF(N(INDEX(tsk_StoryPoints,(ROW()-ROW(MSPTasks[[#Headers],[ID]]))))=0,"",INDEX(tsk_StoryPoints,(ROW()-ROW(MSPTasks[[#Headers],[ID]]))))))</f>
        <v/>
      </c>
      <c r="Z110" s="24" t="str">
        <f aca="false">IF(IFERROR(INDEX(tsk_Name,(ROW()-ROW(MSPTasks[[#Headers],[ID]])))="",TRUE()),"",INDEX(tsk_Notes,(ROW()-ROW(MSPTasks[[#Headers],[ID]])))&amp;"")</f>
        <v/>
      </c>
    </row>
    <row r="111" customFormat="false" ht="15" hidden="false" customHeight="false" outlineLevel="0" collapsed="false">
      <c r="A111" s="24" t="str">
        <f aca="false">IF(IFERROR(INDEX(tsk_Name,(ROW()-ROW(MSPTasks[[#Headers],[ID]])))="",TRUE()),"",INDEX(tsk_ID,(ROW()-ROW(MSPTasks[[#Headers],[ID]]))))</f>
        <v/>
      </c>
      <c r="B111" s="24" t="str">
        <f aca="false">IF(IFERROR(INDEX(tsk_Name,(ROW()-ROW(MSPTasks[[#Headers],[ID]])))="",TRUE()),"",INDEX(tsk_UID,(ROW()-ROW(MSPTasks[[#Headers],[ID]]))))</f>
        <v/>
      </c>
      <c r="C111" s="24" t="str">
        <f aca="false">IF(IFERROR(INDEX(tsk_Name,(ROW()-ROW(MSPTasks[[#Headers],[ID]])))="",TRUE()),"",INDEX(tsk_Name,(ROW()-ROW(MSPTasks[[#Headers],[ID]]))))</f>
        <v/>
      </c>
      <c r="D111" s="24" t="str">
        <f aca="false">IF(IFERROR(INDEX(tsk_Name,(ROW()-ROW(MSPTasks[[#Headers],[ID]])))="",TRUE()),"",INDEX(tsk_Level,(ROW()-ROW(MSPTasks[[#Headers],[ID]]))))</f>
        <v/>
      </c>
      <c r="E111" s="24" t="str">
        <f aca="false">IF(IFERROR(INDEX(tsk_Name,(ROW()-ROW(MSPTasks[[#Headers],[ID]])))="",TRUE()),"",IF(INDEX(tsk_Mode,(ROW()-ROW(MSPTasks[[#Headers],[ID]])))="Manual","Manually Scheduled","Auto Scheduled"))</f>
        <v/>
      </c>
      <c r="F111" s="24" t="str">
        <f aca="false">IF(IFERROR(INDEX(tsk_Name,(ROW()-ROW(MSPTasks[[#Headers],[ID]])))="",TRUE()),"",IF(INDEX(tsk_IsSummary,(ROW()-ROW(MSPTasks[[#Headers],[ID]]))),"",N(INDEX(tsk_Duration,(ROW()-ROW(MSPTasks[[#Headers],[ID]]))))&amp;"d"))</f>
        <v/>
      </c>
      <c r="G111" s="130" t="str">
        <f aca="false">IF(IFERROR(INDEX(tsk_Name,(ROW()-ROW(MSPTasks[[#Headers],[ID]])))="",TRUE()),"",INDEX(tsk_FcStart,(ROW()-ROW(MSPTasks[[#Headers],[ID]]))))</f>
        <v/>
      </c>
      <c r="H111" s="130" t="str">
        <f aca="false">IF(IFERROR(INDEX(tsk_Name,(ROW()-ROW(MSPTasks[[#Headers],[ID]])))="",TRUE()),"",INDEX(tsk_FcFinish,(ROW()-ROW(MSPTasks[[#Headers],[ID]]))))</f>
        <v/>
      </c>
      <c r="I111" s="24" t="str">
        <f aca="false">IF(IFERROR(INDEX(tsk_Name,(ROW()-ROW(MSPTasks[[#Headers],[ID]])))="",TRUE()),"",IF(INDEX(tsk_IsSummary,(ROW()-ROW(MSPTasks[[#Headers],[ID]]))),"",INDEX(tsk_Predecessors,(ROW()-ROW(MSPTasks[[#Headers],[ID]])))))</f>
        <v/>
      </c>
      <c r="J111" s="24" t="str">
        <f aca="false">IF(IFERROR(INDEX(tsk_Name,(ROW()-ROW(MSPTasks[[#Headers],[ID]])))="",TRUE()),"",IF(INDEX(tsk_IsSummary,(ROW()-ROW(MSPTasks[[#Headers],[ID]]))),"",INDEX(tsk_UIDPredecessors,(ROW()-ROW(MSPTasks[[#Headers],[ID]])))))</f>
        <v/>
      </c>
      <c r="K1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1" s="24" t="str">
        <f aca="false">IF(IFERROR(INDEX(tsk_Name,(ROW()-ROW(MSPTasks[[#Headers],[ID]])))="",TRUE()),"",IF(INDEX(tsk_IsSummary,(ROW()-ROW(MSPTasks[[#Headers],[ID]]))),"",ROUND(INDEX(tsk_Progress,(ROW()-ROW(MSPTasks[[#Headers],[ID]])))*100,0)))</f>
        <v/>
      </c>
      <c r="M111" s="130" t="str">
        <f aca="false">IF(IFERROR(INDEX(tsk_Name,(ROW()-ROW(MSPTasks[[#Headers],[ID]])))="",TRUE()),"",IF(N(INDEX(tsk_ActStart,(ROW()-ROW(MSPTasks[[#Headers],[ID]]))))=0,"",INDEX(tsk_ActStart,(ROW()-ROW(MSPTasks[[#Headers],[ID]])))))</f>
        <v/>
      </c>
      <c r="N111" s="130" t="str">
        <f aca="false">IF(IFERROR(INDEX(tsk_Name,(ROW()-ROW(MSPTasks[[#Headers],[ID]])))="",TRUE()),"",IF(N(INDEX(tsk_ActFinish,(ROW()-ROW(MSPTasks[[#Headers],[ID]]))))=0,"",INDEX(tsk_ActFinish,(ROW()-ROW(MSPTasks[[#Headers],[ID]])))))</f>
        <v/>
      </c>
      <c r="O111" s="130" t="str">
        <f aca="false">IF(IFERROR(INDEX(tsk_Name,(ROW()-ROW(MSPTasks[[#Headers],[ID]])))="",TRUE()),"",INDEX(tsk_PlanStart,(ROW()-ROW(MSPTasks[[#Headers],[ID]]))))</f>
        <v/>
      </c>
      <c r="P111" s="130" t="str">
        <f aca="false">IF(IFERROR(INDEX(tsk_Name,(ROW()-ROW(MSPTasks[[#Headers],[ID]])))="",TRUE()),"",INDEX(tsk_PlanFinish,(ROW()-ROW(MSPTasks[[#Headers],[ID]]))))</f>
        <v/>
      </c>
      <c r="Q111" s="24" t="str">
        <f aca="false">IF(IFERROR(INDEX(tsk_Name,(ROW()-ROW(MSPTasks[[#Headers],[ID]])))="",TRUE()),"",IF(INDEX(tsk_BaseDuration,(ROW()-ROW(MSPTasks[[#Headers],[ID]])))="","",N(INDEX(tsk_BaseDuration,(ROW()-ROW(MSPTasks[[#Headers],[ID]]))))&amp;"d"))</f>
        <v/>
      </c>
      <c r="R111" s="24" t="str">
        <f aca="false">IF(IFERROR(INDEX(tsk_Name,(ROW()-ROW(MSPTasks[[#Headers],[ID]])))="",TRUE()),"",IF(INDEX(tsk_BaseWork,(ROW()-ROW(MSPTasks[[#Headers],[ID]])))="","",N(INDEX(tsk_BaseWork,(ROW()-ROW(MSPTasks[[#Headers],[ID]]))))&amp;"h"))</f>
        <v/>
      </c>
      <c r="S111" s="24" t="str">
        <f aca="false">IF(IFERROR(INDEX(tsk_Name,(ROW()-ROW(MSPTasks[[#Headers],[ID]])))="",TRUE()),"",IF(INDEX(tsk_BaseCost,(ROW()-ROW(MSPTasks[[#Headers],[ID]])))="","",N(INDEX(tsk_BaseCost,(ROW()-ROW(MSPTasks[[#Headers],[ID]]))))))</f>
        <v/>
      </c>
      <c r="T111" s="24" t="str">
        <f aca="false">IF(IFERROR(INDEX(tsk_Name,(ROW()-ROW(MSPTasks[[#Headers],[ID]])))="",TRUE()),"",IF(INDEX(tsk_IsSummary,(ROW()-ROW(MSPTasks[[#Headers],[ID]]))),"",IF(N(INDEX(tsk_ActCostInput,(ROW()-ROW(MSPTasks[[#Headers],[ID]]))))=0,"",INDEX(tsk_ActCostInput,(ROW()-ROW(MSPTasks[[#Headers],[ID]]))))))</f>
        <v/>
      </c>
      <c r="U111" s="24" t="str">
        <f aca="false">IF(IFERROR(INDEX(tsk_Name,(ROW()-ROW(MSPTasks[[#Headers],[ID]])))="",TRUE()),"",IF(INDEX(tsk_IsSummary,(ROW()-ROW(MSPTasks[[#Headers],[ID]]))),"",IF(AND(INDEX(tsk_Mode,(ROW()-ROW(MSPTasks[[#Headers],[ID]])))&lt;&gt;"Manual",N(INDEX(tsk_Constraint,(ROW()-ROW(MSPTasks[[#Headers],[ID]]))))&gt;0),"Start No Earlier Than","As Soon As Possible")))</f>
        <v/>
      </c>
      <c r="V111" s="130" t="str">
        <f aca="false">IF(IFERROR(INDEX(tsk_Name,(ROW()-ROW(MSPTasks[[#Headers],[ID]])))="",TRUE()),"",IF(OR(INDEX(tsk_IsSummary,(ROW()-ROW(MSPTasks[[#Headers],[ID]]))),INDEX(tsk_Mode,(ROW()-ROW(MSPTasks[[#Headers],[ID]])))="Manual"),"",IF(N(INDEX(tsk_Constraint,(ROW()-ROW(MSPTasks[[#Headers],[ID]]))))=0,"",INDEX(tsk_Constraint,(ROW()-ROW(MSPTasks[[#Headers],[ID]]))))))</f>
        <v/>
      </c>
      <c r="W111" s="130" t="str">
        <f aca="false">IF(IFERROR(INDEX(tsk_Name,(ROW()-ROW(MSPTasks[[#Headers],[ID]])))="",TRUE()),"",IF(N(INDEX(tsk_Deadline,(ROW()-ROW(MSPTasks[[#Headers],[ID]]))))=0,"",INDEX(tsk_Deadline,(ROW()-ROW(MSPTasks[[#Headers],[ID]])))))</f>
        <v/>
      </c>
      <c r="X111" s="24" t="str">
        <f aca="false">IF(IFERROR(INDEX(tsk_Name,(ROW()-ROW(MSPTasks[[#Headers],[ID]])))="",TRUE()),"",IF(INDEX(tsk_IsSummary,(ROW()-ROW(MSPTasks[[#Headers],[ID]]))),"",INDEX(tsk_Sprint,(ROW()-ROW(MSPTasks[[#Headers],[ID]])))&amp;""))</f>
        <v/>
      </c>
      <c r="Y111" s="24" t="str">
        <f aca="false">IF(IFERROR(INDEX(tsk_Name,(ROW()-ROW(MSPTasks[[#Headers],[ID]])))="",TRUE()),"",IF(INDEX(tsk_IsSummary,(ROW()-ROW(MSPTasks[[#Headers],[ID]]))),"",IF(N(INDEX(tsk_StoryPoints,(ROW()-ROW(MSPTasks[[#Headers],[ID]]))))=0,"",INDEX(tsk_StoryPoints,(ROW()-ROW(MSPTasks[[#Headers],[ID]]))))))</f>
        <v/>
      </c>
      <c r="Z111" s="24" t="str">
        <f aca="false">IF(IFERROR(INDEX(tsk_Name,(ROW()-ROW(MSPTasks[[#Headers],[ID]])))="",TRUE()),"",INDEX(tsk_Notes,(ROW()-ROW(MSPTasks[[#Headers],[ID]])))&amp;"")</f>
        <v/>
      </c>
    </row>
    <row r="112" customFormat="false" ht="15" hidden="false" customHeight="false" outlineLevel="0" collapsed="false">
      <c r="A112" s="24" t="str">
        <f aca="false">IF(IFERROR(INDEX(tsk_Name,(ROW()-ROW(MSPTasks[[#Headers],[ID]])))="",TRUE()),"",INDEX(tsk_ID,(ROW()-ROW(MSPTasks[[#Headers],[ID]]))))</f>
        <v/>
      </c>
      <c r="B112" s="24" t="str">
        <f aca="false">IF(IFERROR(INDEX(tsk_Name,(ROW()-ROW(MSPTasks[[#Headers],[ID]])))="",TRUE()),"",INDEX(tsk_UID,(ROW()-ROW(MSPTasks[[#Headers],[ID]]))))</f>
        <v/>
      </c>
      <c r="C112" s="24" t="str">
        <f aca="false">IF(IFERROR(INDEX(tsk_Name,(ROW()-ROW(MSPTasks[[#Headers],[ID]])))="",TRUE()),"",INDEX(tsk_Name,(ROW()-ROW(MSPTasks[[#Headers],[ID]]))))</f>
        <v/>
      </c>
      <c r="D112" s="24" t="str">
        <f aca="false">IF(IFERROR(INDEX(tsk_Name,(ROW()-ROW(MSPTasks[[#Headers],[ID]])))="",TRUE()),"",INDEX(tsk_Level,(ROW()-ROW(MSPTasks[[#Headers],[ID]]))))</f>
        <v/>
      </c>
      <c r="E112" s="24" t="str">
        <f aca="false">IF(IFERROR(INDEX(tsk_Name,(ROW()-ROW(MSPTasks[[#Headers],[ID]])))="",TRUE()),"",IF(INDEX(tsk_Mode,(ROW()-ROW(MSPTasks[[#Headers],[ID]])))="Manual","Manually Scheduled","Auto Scheduled"))</f>
        <v/>
      </c>
      <c r="F112" s="24" t="str">
        <f aca="false">IF(IFERROR(INDEX(tsk_Name,(ROW()-ROW(MSPTasks[[#Headers],[ID]])))="",TRUE()),"",IF(INDEX(tsk_IsSummary,(ROW()-ROW(MSPTasks[[#Headers],[ID]]))),"",N(INDEX(tsk_Duration,(ROW()-ROW(MSPTasks[[#Headers],[ID]]))))&amp;"d"))</f>
        <v/>
      </c>
      <c r="G112" s="130" t="str">
        <f aca="false">IF(IFERROR(INDEX(tsk_Name,(ROW()-ROW(MSPTasks[[#Headers],[ID]])))="",TRUE()),"",INDEX(tsk_FcStart,(ROW()-ROW(MSPTasks[[#Headers],[ID]]))))</f>
        <v/>
      </c>
      <c r="H112" s="130" t="str">
        <f aca="false">IF(IFERROR(INDEX(tsk_Name,(ROW()-ROW(MSPTasks[[#Headers],[ID]])))="",TRUE()),"",INDEX(tsk_FcFinish,(ROW()-ROW(MSPTasks[[#Headers],[ID]]))))</f>
        <v/>
      </c>
      <c r="I112" s="24" t="str">
        <f aca="false">IF(IFERROR(INDEX(tsk_Name,(ROW()-ROW(MSPTasks[[#Headers],[ID]])))="",TRUE()),"",IF(INDEX(tsk_IsSummary,(ROW()-ROW(MSPTasks[[#Headers],[ID]]))),"",INDEX(tsk_Predecessors,(ROW()-ROW(MSPTasks[[#Headers],[ID]])))))</f>
        <v/>
      </c>
      <c r="J112" s="24" t="str">
        <f aca="false">IF(IFERROR(INDEX(tsk_Name,(ROW()-ROW(MSPTasks[[#Headers],[ID]])))="",TRUE()),"",IF(INDEX(tsk_IsSummary,(ROW()-ROW(MSPTasks[[#Headers],[ID]]))),"",INDEX(tsk_UIDPredecessors,(ROW()-ROW(MSPTasks[[#Headers],[ID]])))))</f>
        <v/>
      </c>
      <c r="K1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2" s="24" t="str">
        <f aca="false">IF(IFERROR(INDEX(tsk_Name,(ROW()-ROW(MSPTasks[[#Headers],[ID]])))="",TRUE()),"",IF(INDEX(tsk_IsSummary,(ROW()-ROW(MSPTasks[[#Headers],[ID]]))),"",ROUND(INDEX(tsk_Progress,(ROW()-ROW(MSPTasks[[#Headers],[ID]])))*100,0)))</f>
        <v/>
      </c>
      <c r="M112" s="130" t="str">
        <f aca="false">IF(IFERROR(INDEX(tsk_Name,(ROW()-ROW(MSPTasks[[#Headers],[ID]])))="",TRUE()),"",IF(N(INDEX(tsk_ActStart,(ROW()-ROW(MSPTasks[[#Headers],[ID]]))))=0,"",INDEX(tsk_ActStart,(ROW()-ROW(MSPTasks[[#Headers],[ID]])))))</f>
        <v/>
      </c>
      <c r="N112" s="130" t="str">
        <f aca="false">IF(IFERROR(INDEX(tsk_Name,(ROW()-ROW(MSPTasks[[#Headers],[ID]])))="",TRUE()),"",IF(N(INDEX(tsk_ActFinish,(ROW()-ROW(MSPTasks[[#Headers],[ID]]))))=0,"",INDEX(tsk_ActFinish,(ROW()-ROW(MSPTasks[[#Headers],[ID]])))))</f>
        <v/>
      </c>
      <c r="O112" s="130" t="str">
        <f aca="false">IF(IFERROR(INDEX(tsk_Name,(ROW()-ROW(MSPTasks[[#Headers],[ID]])))="",TRUE()),"",INDEX(tsk_PlanStart,(ROW()-ROW(MSPTasks[[#Headers],[ID]]))))</f>
        <v/>
      </c>
      <c r="P112" s="130" t="str">
        <f aca="false">IF(IFERROR(INDEX(tsk_Name,(ROW()-ROW(MSPTasks[[#Headers],[ID]])))="",TRUE()),"",INDEX(tsk_PlanFinish,(ROW()-ROW(MSPTasks[[#Headers],[ID]]))))</f>
        <v/>
      </c>
      <c r="Q112" s="24" t="str">
        <f aca="false">IF(IFERROR(INDEX(tsk_Name,(ROW()-ROW(MSPTasks[[#Headers],[ID]])))="",TRUE()),"",IF(INDEX(tsk_BaseDuration,(ROW()-ROW(MSPTasks[[#Headers],[ID]])))="","",N(INDEX(tsk_BaseDuration,(ROW()-ROW(MSPTasks[[#Headers],[ID]]))))&amp;"d"))</f>
        <v/>
      </c>
      <c r="R112" s="24" t="str">
        <f aca="false">IF(IFERROR(INDEX(tsk_Name,(ROW()-ROW(MSPTasks[[#Headers],[ID]])))="",TRUE()),"",IF(INDEX(tsk_BaseWork,(ROW()-ROW(MSPTasks[[#Headers],[ID]])))="","",N(INDEX(tsk_BaseWork,(ROW()-ROW(MSPTasks[[#Headers],[ID]]))))&amp;"h"))</f>
        <v/>
      </c>
      <c r="S112" s="24" t="str">
        <f aca="false">IF(IFERROR(INDEX(tsk_Name,(ROW()-ROW(MSPTasks[[#Headers],[ID]])))="",TRUE()),"",IF(INDEX(tsk_BaseCost,(ROW()-ROW(MSPTasks[[#Headers],[ID]])))="","",N(INDEX(tsk_BaseCost,(ROW()-ROW(MSPTasks[[#Headers],[ID]]))))))</f>
        <v/>
      </c>
      <c r="T112" s="24" t="str">
        <f aca="false">IF(IFERROR(INDEX(tsk_Name,(ROW()-ROW(MSPTasks[[#Headers],[ID]])))="",TRUE()),"",IF(INDEX(tsk_IsSummary,(ROW()-ROW(MSPTasks[[#Headers],[ID]]))),"",IF(N(INDEX(tsk_ActCostInput,(ROW()-ROW(MSPTasks[[#Headers],[ID]]))))=0,"",INDEX(tsk_ActCostInput,(ROW()-ROW(MSPTasks[[#Headers],[ID]]))))))</f>
        <v/>
      </c>
      <c r="U112" s="24" t="str">
        <f aca="false">IF(IFERROR(INDEX(tsk_Name,(ROW()-ROW(MSPTasks[[#Headers],[ID]])))="",TRUE()),"",IF(INDEX(tsk_IsSummary,(ROW()-ROW(MSPTasks[[#Headers],[ID]]))),"",IF(AND(INDEX(tsk_Mode,(ROW()-ROW(MSPTasks[[#Headers],[ID]])))&lt;&gt;"Manual",N(INDEX(tsk_Constraint,(ROW()-ROW(MSPTasks[[#Headers],[ID]]))))&gt;0),"Start No Earlier Than","As Soon As Possible")))</f>
        <v/>
      </c>
      <c r="V112" s="130" t="str">
        <f aca="false">IF(IFERROR(INDEX(tsk_Name,(ROW()-ROW(MSPTasks[[#Headers],[ID]])))="",TRUE()),"",IF(OR(INDEX(tsk_IsSummary,(ROW()-ROW(MSPTasks[[#Headers],[ID]]))),INDEX(tsk_Mode,(ROW()-ROW(MSPTasks[[#Headers],[ID]])))="Manual"),"",IF(N(INDEX(tsk_Constraint,(ROW()-ROW(MSPTasks[[#Headers],[ID]]))))=0,"",INDEX(tsk_Constraint,(ROW()-ROW(MSPTasks[[#Headers],[ID]]))))))</f>
        <v/>
      </c>
      <c r="W112" s="130" t="str">
        <f aca="false">IF(IFERROR(INDEX(tsk_Name,(ROW()-ROW(MSPTasks[[#Headers],[ID]])))="",TRUE()),"",IF(N(INDEX(tsk_Deadline,(ROW()-ROW(MSPTasks[[#Headers],[ID]]))))=0,"",INDEX(tsk_Deadline,(ROW()-ROW(MSPTasks[[#Headers],[ID]])))))</f>
        <v/>
      </c>
      <c r="X112" s="24" t="str">
        <f aca="false">IF(IFERROR(INDEX(tsk_Name,(ROW()-ROW(MSPTasks[[#Headers],[ID]])))="",TRUE()),"",IF(INDEX(tsk_IsSummary,(ROW()-ROW(MSPTasks[[#Headers],[ID]]))),"",INDEX(tsk_Sprint,(ROW()-ROW(MSPTasks[[#Headers],[ID]])))&amp;""))</f>
        <v/>
      </c>
      <c r="Y112" s="24" t="str">
        <f aca="false">IF(IFERROR(INDEX(tsk_Name,(ROW()-ROW(MSPTasks[[#Headers],[ID]])))="",TRUE()),"",IF(INDEX(tsk_IsSummary,(ROW()-ROW(MSPTasks[[#Headers],[ID]]))),"",IF(N(INDEX(tsk_StoryPoints,(ROW()-ROW(MSPTasks[[#Headers],[ID]]))))=0,"",INDEX(tsk_StoryPoints,(ROW()-ROW(MSPTasks[[#Headers],[ID]]))))))</f>
        <v/>
      </c>
      <c r="Z112" s="24" t="str">
        <f aca="false">IF(IFERROR(INDEX(tsk_Name,(ROW()-ROW(MSPTasks[[#Headers],[ID]])))="",TRUE()),"",INDEX(tsk_Notes,(ROW()-ROW(MSPTasks[[#Headers],[ID]])))&amp;"")</f>
        <v/>
      </c>
    </row>
    <row r="113" customFormat="false" ht="15" hidden="false" customHeight="false" outlineLevel="0" collapsed="false">
      <c r="A113" s="24" t="str">
        <f aca="false">IF(IFERROR(INDEX(tsk_Name,(ROW()-ROW(MSPTasks[[#Headers],[ID]])))="",TRUE()),"",INDEX(tsk_ID,(ROW()-ROW(MSPTasks[[#Headers],[ID]]))))</f>
        <v/>
      </c>
      <c r="B113" s="24" t="str">
        <f aca="false">IF(IFERROR(INDEX(tsk_Name,(ROW()-ROW(MSPTasks[[#Headers],[ID]])))="",TRUE()),"",INDEX(tsk_UID,(ROW()-ROW(MSPTasks[[#Headers],[ID]]))))</f>
        <v/>
      </c>
      <c r="C113" s="24" t="str">
        <f aca="false">IF(IFERROR(INDEX(tsk_Name,(ROW()-ROW(MSPTasks[[#Headers],[ID]])))="",TRUE()),"",INDEX(tsk_Name,(ROW()-ROW(MSPTasks[[#Headers],[ID]]))))</f>
        <v/>
      </c>
      <c r="D113" s="24" t="str">
        <f aca="false">IF(IFERROR(INDEX(tsk_Name,(ROW()-ROW(MSPTasks[[#Headers],[ID]])))="",TRUE()),"",INDEX(tsk_Level,(ROW()-ROW(MSPTasks[[#Headers],[ID]]))))</f>
        <v/>
      </c>
      <c r="E113" s="24" t="str">
        <f aca="false">IF(IFERROR(INDEX(tsk_Name,(ROW()-ROW(MSPTasks[[#Headers],[ID]])))="",TRUE()),"",IF(INDEX(tsk_Mode,(ROW()-ROW(MSPTasks[[#Headers],[ID]])))="Manual","Manually Scheduled","Auto Scheduled"))</f>
        <v/>
      </c>
      <c r="F113" s="24" t="str">
        <f aca="false">IF(IFERROR(INDEX(tsk_Name,(ROW()-ROW(MSPTasks[[#Headers],[ID]])))="",TRUE()),"",IF(INDEX(tsk_IsSummary,(ROW()-ROW(MSPTasks[[#Headers],[ID]]))),"",N(INDEX(tsk_Duration,(ROW()-ROW(MSPTasks[[#Headers],[ID]]))))&amp;"d"))</f>
        <v/>
      </c>
      <c r="G113" s="130" t="str">
        <f aca="false">IF(IFERROR(INDEX(tsk_Name,(ROW()-ROW(MSPTasks[[#Headers],[ID]])))="",TRUE()),"",INDEX(tsk_FcStart,(ROW()-ROW(MSPTasks[[#Headers],[ID]]))))</f>
        <v/>
      </c>
      <c r="H113" s="130" t="str">
        <f aca="false">IF(IFERROR(INDEX(tsk_Name,(ROW()-ROW(MSPTasks[[#Headers],[ID]])))="",TRUE()),"",INDEX(tsk_FcFinish,(ROW()-ROW(MSPTasks[[#Headers],[ID]]))))</f>
        <v/>
      </c>
      <c r="I113" s="24" t="str">
        <f aca="false">IF(IFERROR(INDEX(tsk_Name,(ROW()-ROW(MSPTasks[[#Headers],[ID]])))="",TRUE()),"",IF(INDEX(tsk_IsSummary,(ROW()-ROW(MSPTasks[[#Headers],[ID]]))),"",INDEX(tsk_Predecessors,(ROW()-ROW(MSPTasks[[#Headers],[ID]])))))</f>
        <v/>
      </c>
      <c r="J113" s="24" t="str">
        <f aca="false">IF(IFERROR(INDEX(tsk_Name,(ROW()-ROW(MSPTasks[[#Headers],[ID]])))="",TRUE()),"",IF(INDEX(tsk_IsSummary,(ROW()-ROW(MSPTasks[[#Headers],[ID]]))),"",INDEX(tsk_UIDPredecessors,(ROW()-ROW(MSPTasks[[#Headers],[ID]])))))</f>
        <v/>
      </c>
      <c r="K1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3" s="24" t="str">
        <f aca="false">IF(IFERROR(INDEX(tsk_Name,(ROW()-ROW(MSPTasks[[#Headers],[ID]])))="",TRUE()),"",IF(INDEX(tsk_IsSummary,(ROW()-ROW(MSPTasks[[#Headers],[ID]]))),"",ROUND(INDEX(tsk_Progress,(ROW()-ROW(MSPTasks[[#Headers],[ID]])))*100,0)))</f>
        <v/>
      </c>
      <c r="M113" s="130" t="str">
        <f aca="false">IF(IFERROR(INDEX(tsk_Name,(ROW()-ROW(MSPTasks[[#Headers],[ID]])))="",TRUE()),"",IF(N(INDEX(tsk_ActStart,(ROW()-ROW(MSPTasks[[#Headers],[ID]]))))=0,"",INDEX(tsk_ActStart,(ROW()-ROW(MSPTasks[[#Headers],[ID]])))))</f>
        <v/>
      </c>
      <c r="N113" s="130" t="str">
        <f aca="false">IF(IFERROR(INDEX(tsk_Name,(ROW()-ROW(MSPTasks[[#Headers],[ID]])))="",TRUE()),"",IF(N(INDEX(tsk_ActFinish,(ROW()-ROW(MSPTasks[[#Headers],[ID]]))))=0,"",INDEX(tsk_ActFinish,(ROW()-ROW(MSPTasks[[#Headers],[ID]])))))</f>
        <v/>
      </c>
      <c r="O113" s="130" t="str">
        <f aca="false">IF(IFERROR(INDEX(tsk_Name,(ROW()-ROW(MSPTasks[[#Headers],[ID]])))="",TRUE()),"",INDEX(tsk_PlanStart,(ROW()-ROW(MSPTasks[[#Headers],[ID]]))))</f>
        <v/>
      </c>
      <c r="P113" s="130" t="str">
        <f aca="false">IF(IFERROR(INDEX(tsk_Name,(ROW()-ROW(MSPTasks[[#Headers],[ID]])))="",TRUE()),"",INDEX(tsk_PlanFinish,(ROW()-ROW(MSPTasks[[#Headers],[ID]]))))</f>
        <v/>
      </c>
      <c r="Q113" s="24" t="str">
        <f aca="false">IF(IFERROR(INDEX(tsk_Name,(ROW()-ROW(MSPTasks[[#Headers],[ID]])))="",TRUE()),"",IF(INDEX(tsk_BaseDuration,(ROW()-ROW(MSPTasks[[#Headers],[ID]])))="","",N(INDEX(tsk_BaseDuration,(ROW()-ROW(MSPTasks[[#Headers],[ID]]))))&amp;"d"))</f>
        <v/>
      </c>
      <c r="R113" s="24" t="str">
        <f aca="false">IF(IFERROR(INDEX(tsk_Name,(ROW()-ROW(MSPTasks[[#Headers],[ID]])))="",TRUE()),"",IF(INDEX(tsk_BaseWork,(ROW()-ROW(MSPTasks[[#Headers],[ID]])))="","",N(INDEX(tsk_BaseWork,(ROW()-ROW(MSPTasks[[#Headers],[ID]]))))&amp;"h"))</f>
        <v/>
      </c>
      <c r="S113" s="24" t="str">
        <f aca="false">IF(IFERROR(INDEX(tsk_Name,(ROW()-ROW(MSPTasks[[#Headers],[ID]])))="",TRUE()),"",IF(INDEX(tsk_BaseCost,(ROW()-ROW(MSPTasks[[#Headers],[ID]])))="","",N(INDEX(tsk_BaseCost,(ROW()-ROW(MSPTasks[[#Headers],[ID]]))))))</f>
        <v/>
      </c>
      <c r="T113" s="24" t="str">
        <f aca="false">IF(IFERROR(INDEX(tsk_Name,(ROW()-ROW(MSPTasks[[#Headers],[ID]])))="",TRUE()),"",IF(INDEX(tsk_IsSummary,(ROW()-ROW(MSPTasks[[#Headers],[ID]]))),"",IF(N(INDEX(tsk_ActCostInput,(ROW()-ROW(MSPTasks[[#Headers],[ID]]))))=0,"",INDEX(tsk_ActCostInput,(ROW()-ROW(MSPTasks[[#Headers],[ID]]))))))</f>
        <v/>
      </c>
      <c r="U113" s="24" t="str">
        <f aca="false">IF(IFERROR(INDEX(tsk_Name,(ROW()-ROW(MSPTasks[[#Headers],[ID]])))="",TRUE()),"",IF(INDEX(tsk_IsSummary,(ROW()-ROW(MSPTasks[[#Headers],[ID]]))),"",IF(AND(INDEX(tsk_Mode,(ROW()-ROW(MSPTasks[[#Headers],[ID]])))&lt;&gt;"Manual",N(INDEX(tsk_Constraint,(ROW()-ROW(MSPTasks[[#Headers],[ID]]))))&gt;0),"Start No Earlier Than","As Soon As Possible")))</f>
        <v/>
      </c>
      <c r="V113" s="130" t="str">
        <f aca="false">IF(IFERROR(INDEX(tsk_Name,(ROW()-ROW(MSPTasks[[#Headers],[ID]])))="",TRUE()),"",IF(OR(INDEX(tsk_IsSummary,(ROW()-ROW(MSPTasks[[#Headers],[ID]]))),INDEX(tsk_Mode,(ROW()-ROW(MSPTasks[[#Headers],[ID]])))="Manual"),"",IF(N(INDEX(tsk_Constraint,(ROW()-ROW(MSPTasks[[#Headers],[ID]]))))=0,"",INDEX(tsk_Constraint,(ROW()-ROW(MSPTasks[[#Headers],[ID]]))))))</f>
        <v/>
      </c>
      <c r="W113" s="130" t="str">
        <f aca="false">IF(IFERROR(INDEX(tsk_Name,(ROW()-ROW(MSPTasks[[#Headers],[ID]])))="",TRUE()),"",IF(N(INDEX(tsk_Deadline,(ROW()-ROW(MSPTasks[[#Headers],[ID]]))))=0,"",INDEX(tsk_Deadline,(ROW()-ROW(MSPTasks[[#Headers],[ID]])))))</f>
        <v/>
      </c>
      <c r="X113" s="24" t="str">
        <f aca="false">IF(IFERROR(INDEX(tsk_Name,(ROW()-ROW(MSPTasks[[#Headers],[ID]])))="",TRUE()),"",IF(INDEX(tsk_IsSummary,(ROW()-ROW(MSPTasks[[#Headers],[ID]]))),"",INDEX(tsk_Sprint,(ROW()-ROW(MSPTasks[[#Headers],[ID]])))&amp;""))</f>
        <v/>
      </c>
      <c r="Y113" s="24" t="str">
        <f aca="false">IF(IFERROR(INDEX(tsk_Name,(ROW()-ROW(MSPTasks[[#Headers],[ID]])))="",TRUE()),"",IF(INDEX(tsk_IsSummary,(ROW()-ROW(MSPTasks[[#Headers],[ID]]))),"",IF(N(INDEX(tsk_StoryPoints,(ROW()-ROW(MSPTasks[[#Headers],[ID]]))))=0,"",INDEX(tsk_StoryPoints,(ROW()-ROW(MSPTasks[[#Headers],[ID]]))))))</f>
        <v/>
      </c>
      <c r="Z113" s="24" t="str">
        <f aca="false">IF(IFERROR(INDEX(tsk_Name,(ROW()-ROW(MSPTasks[[#Headers],[ID]])))="",TRUE()),"",INDEX(tsk_Notes,(ROW()-ROW(MSPTasks[[#Headers],[ID]])))&amp;"")</f>
        <v/>
      </c>
    </row>
    <row r="114" customFormat="false" ht="15" hidden="false" customHeight="false" outlineLevel="0" collapsed="false">
      <c r="A114" s="24" t="str">
        <f aca="false">IF(IFERROR(INDEX(tsk_Name,(ROW()-ROW(MSPTasks[[#Headers],[ID]])))="",TRUE()),"",INDEX(tsk_ID,(ROW()-ROW(MSPTasks[[#Headers],[ID]]))))</f>
        <v/>
      </c>
      <c r="B114" s="24" t="str">
        <f aca="false">IF(IFERROR(INDEX(tsk_Name,(ROW()-ROW(MSPTasks[[#Headers],[ID]])))="",TRUE()),"",INDEX(tsk_UID,(ROW()-ROW(MSPTasks[[#Headers],[ID]]))))</f>
        <v/>
      </c>
      <c r="C114" s="24" t="str">
        <f aca="false">IF(IFERROR(INDEX(tsk_Name,(ROW()-ROW(MSPTasks[[#Headers],[ID]])))="",TRUE()),"",INDEX(tsk_Name,(ROW()-ROW(MSPTasks[[#Headers],[ID]]))))</f>
        <v/>
      </c>
      <c r="D114" s="24" t="str">
        <f aca="false">IF(IFERROR(INDEX(tsk_Name,(ROW()-ROW(MSPTasks[[#Headers],[ID]])))="",TRUE()),"",INDEX(tsk_Level,(ROW()-ROW(MSPTasks[[#Headers],[ID]]))))</f>
        <v/>
      </c>
      <c r="E114" s="24" t="str">
        <f aca="false">IF(IFERROR(INDEX(tsk_Name,(ROW()-ROW(MSPTasks[[#Headers],[ID]])))="",TRUE()),"",IF(INDEX(tsk_Mode,(ROW()-ROW(MSPTasks[[#Headers],[ID]])))="Manual","Manually Scheduled","Auto Scheduled"))</f>
        <v/>
      </c>
      <c r="F114" s="24" t="str">
        <f aca="false">IF(IFERROR(INDEX(tsk_Name,(ROW()-ROW(MSPTasks[[#Headers],[ID]])))="",TRUE()),"",IF(INDEX(tsk_IsSummary,(ROW()-ROW(MSPTasks[[#Headers],[ID]]))),"",N(INDEX(tsk_Duration,(ROW()-ROW(MSPTasks[[#Headers],[ID]]))))&amp;"d"))</f>
        <v/>
      </c>
      <c r="G114" s="130" t="str">
        <f aca="false">IF(IFERROR(INDEX(tsk_Name,(ROW()-ROW(MSPTasks[[#Headers],[ID]])))="",TRUE()),"",INDEX(tsk_FcStart,(ROW()-ROW(MSPTasks[[#Headers],[ID]]))))</f>
        <v/>
      </c>
      <c r="H114" s="130" t="str">
        <f aca="false">IF(IFERROR(INDEX(tsk_Name,(ROW()-ROW(MSPTasks[[#Headers],[ID]])))="",TRUE()),"",INDEX(tsk_FcFinish,(ROW()-ROW(MSPTasks[[#Headers],[ID]]))))</f>
        <v/>
      </c>
      <c r="I114" s="24" t="str">
        <f aca="false">IF(IFERROR(INDEX(tsk_Name,(ROW()-ROW(MSPTasks[[#Headers],[ID]])))="",TRUE()),"",IF(INDEX(tsk_IsSummary,(ROW()-ROW(MSPTasks[[#Headers],[ID]]))),"",INDEX(tsk_Predecessors,(ROW()-ROW(MSPTasks[[#Headers],[ID]])))))</f>
        <v/>
      </c>
      <c r="J114" s="24" t="str">
        <f aca="false">IF(IFERROR(INDEX(tsk_Name,(ROW()-ROW(MSPTasks[[#Headers],[ID]])))="",TRUE()),"",IF(INDEX(tsk_IsSummary,(ROW()-ROW(MSPTasks[[#Headers],[ID]]))),"",INDEX(tsk_UIDPredecessors,(ROW()-ROW(MSPTasks[[#Headers],[ID]])))))</f>
        <v/>
      </c>
      <c r="K1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4" s="24" t="str">
        <f aca="false">IF(IFERROR(INDEX(tsk_Name,(ROW()-ROW(MSPTasks[[#Headers],[ID]])))="",TRUE()),"",IF(INDEX(tsk_IsSummary,(ROW()-ROW(MSPTasks[[#Headers],[ID]]))),"",ROUND(INDEX(tsk_Progress,(ROW()-ROW(MSPTasks[[#Headers],[ID]])))*100,0)))</f>
        <v/>
      </c>
      <c r="M114" s="130" t="str">
        <f aca="false">IF(IFERROR(INDEX(tsk_Name,(ROW()-ROW(MSPTasks[[#Headers],[ID]])))="",TRUE()),"",IF(N(INDEX(tsk_ActStart,(ROW()-ROW(MSPTasks[[#Headers],[ID]]))))=0,"",INDEX(tsk_ActStart,(ROW()-ROW(MSPTasks[[#Headers],[ID]])))))</f>
        <v/>
      </c>
      <c r="N114" s="130" t="str">
        <f aca="false">IF(IFERROR(INDEX(tsk_Name,(ROW()-ROW(MSPTasks[[#Headers],[ID]])))="",TRUE()),"",IF(N(INDEX(tsk_ActFinish,(ROW()-ROW(MSPTasks[[#Headers],[ID]]))))=0,"",INDEX(tsk_ActFinish,(ROW()-ROW(MSPTasks[[#Headers],[ID]])))))</f>
        <v/>
      </c>
      <c r="O114" s="130" t="str">
        <f aca="false">IF(IFERROR(INDEX(tsk_Name,(ROW()-ROW(MSPTasks[[#Headers],[ID]])))="",TRUE()),"",INDEX(tsk_PlanStart,(ROW()-ROW(MSPTasks[[#Headers],[ID]]))))</f>
        <v/>
      </c>
      <c r="P114" s="130" t="str">
        <f aca="false">IF(IFERROR(INDEX(tsk_Name,(ROW()-ROW(MSPTasks[[#Headers],[ID]])))="",TRUE()),"",INDEX(tsk_PlanFinish,(ROW()-ROW(MSPTasks[[#Headers],[ID]]))))</f>
        <v/>
      </c>
      <c r="Q114" s="24" t="str">
        <f aca="false">IF(IFERROR(INDEX(tsk_Name,(ROW()-ROW(MSPTasks[[#Headers],[ID]])))="",TRUE()),"",IF(INDEX(tsk_BaseDuration,(ROW()-ROW(MSPTasks[[#Headers],[ID]])))="","",N(INDEX(tsk_BaseDuration,(ROW()-ROW(MSPTasks[[#Headers],[ID]]))))&amp;"d"))</f>
        <v/>
      </c>
      <c r="R114" s="24" t="str">
        <f aca="false">IF(IFERROR(INDEX(tsk_Name,(ROW()-ROW(MSPTasks[[#Headers],[ID]])))="",TRUE()),"",IF(INDEX(tsk_BaseWork,(ROW()-ROW(MSPTasks[[#Headers],[ID]])))="","",N(INDEX(tsk_BaseWork,(ROW()-ROW(MSPTasks[[#Headers],[ID]]))))&amp;"h"))</f>
        <v/>
      </c>
      <c r="S114" s="24" t="str">
        <f aca="false">IF(IFERROR(INDEX(tsk_Name,(ROW()-ROW(MSPTasks[[#Headers],[ID]])))="",TRUE()),"",IF(INDEX(tsk_BaseCost,(ROW()-ROW(MSPTasks[[#Headers],[ID]])))="","",N(INDEX(tsk_BaseCost,(ROW()-ROW(MSPTasks[[#Headers],[ID]]))))))</f>
        <v/>
      </c>
      <c r="T114" s="24" t="str">
        <f aca="false">IF(IFERROR(INDEX(tsk_Name,(ROW()-ROW(MSPTasks[[#Headers],[ID]])))="",TRUE()),"",IF(INDEX(tsk_IsSummary,(ROW()-ROW(MSPTasks[[#Headers],[ID]]))),"",IF(N(INDEX(tsk_ActCostInput,(ROW()-ROW(MSPTasks[[#Headers],[ID]]))))=0,"",INDEX(tsk_ActCostInput,(ROW()-ROW(MSPTasks[[#Headers],[ID]]))))))</f>
        <v/>
      </c>
      <c r="U114" s="24" t="str">
        <f aca="false">IF(IFERROR(INDEX(tsk_Name,(ROW()-ROW(MSPTasks[[#Headers],[ID]])))="",TRUE()),"",IF(INDEX(tsk_IsSummary,(ROW()-ROW(MSPTasks[[#Headers],[ID]]))),"",IF(AND(INDEX(tsk_Mode,(ROW()-ROW(MSPTasks[[#Headers],[ID]])))&lt;&gt;"Manual",N(INDEX(tsk_Constraint,(ROW()-ROW(MSPTasks[[#Headers],[ID]]))))&gt;0),"Start No Earlier Than","As Soon As Possible")))</f>
        <v/>
      </c>
      <c r="V114" s="130" t="str">
        <f aca="false">IF(IFERROR(INDEX(tsk_Name,(ROW()-ROW(MSPTasks[[#Headers],[ID]])))="",TRUE()),"",IF(OR(INDEX(tsk_IsSummary,(ROW()-ROW(MSPTasks[[#Headers],[ID]]))),INDEX(tsk_Mode,(ROW()-ROW(MSPTasks[[#Headers],[ID]])))="Manual"),"",IF(N(INDEX(tsk_Constraint,(ROW()-ROW(MSPTasks[[#Headers],[ID]]))))=0,"",INDEX(tsk_Constraint,(ROW()-ROW(MSPTasks[[#Headers],[ID]]))))))</f>
        <v/>
      </c>
      <c r="W114" s="130" t="str">
        <f aca="false">IF(IFERROR(INDEX(tsk_Name,(ROW()-ROW(MSPTasks[[#Headers],[ID]])))="",TRUE()),"",IF(N(INDEX(tsk_Deadline,(ROW()-ROW(MSPTasks[[#Headers],[ID]]))))=0,"",INDEX(tsk_Deadline,(ROW()-ROW(MSPTasks[[#Headers],[ID]])))))</f>
        <v/>
      </c>
      <c r="X114" s="24" t="str">
        <f aca="false">IF(IFERROR(INDEX(tsk_Name,(ROW()-ROW(MSPTasks[[#Headers],[ID]])))="",TRUE()),"",IF(INDEX(tsk_IsSummary,(ROW()-ROW(MSPTasks[[#Headers],[ID]]))),"",INDEX(tsk_Sprint,(ROW()-ROW(MSPTasks[[#Headers],[ID]])))&amp;""))</f>
        <v/>
      </c>
      <c r="Y114" s="24" t="str">
        <f aca="false">IF(IFERROR(INDEX(tsk_Name,(ROW()-ROW(MSPTasks[[#Headers],[ID]])))="",TRUE()),"",IF(INDEX(tsk_IsSummary,(ROW()-ROW(MSPTasks[[#Headers],[ID]]))),"",IF(N(INDEX(tsk_StoryPoints,(ROW()-ROW(MSPTasks[[#Headers],[ID]]))))=0,"",INDEX(tsk_StoryPoints,(ROW()-ROW(MSPTasks[[#Headers],[ID]]))))))</f>
        <v/>
      </c>
      <c r="Z114" s="24" t="str">
        <f aca="false">IF(IFERROR(INDEX(tsk_Name,(ROW()-ROW(MSPTasks[[#Headers],[ID]])))="",TRUE()),"",INDEX(tsk_Notes,(ROW()-ROW(MSPTasks[[#Headers],[ID]])))&amp;"")</f>
        <v/>
      </c>
    </row>
    <row r="115" customFormat="false" ht="15" hidden="false" customHeight="false" outlineLevel="0" collapsed="false">
      <c r="A115" s="24" t="str">
        <f aca="false">IF(IFERROR(INDEX(tsk_Name,(ROW()-ROW(MSPTasks[[#Headers],[ID]])))="",TRUE()),"",INDEX(tsk_ID,(ROW()-ROW(MSPTasks[[#Headers],[ID]]))))</f>
        <v/>
      </c>
      <c r="B115" s="24" t="str">
        <f aca="false">IF(IFERROR(INDEX(tsk_Name,(ROW()-ROW(MSPTasks[[#Headers],[ID]])))="",TRUE()),"",INDEX(tsk_UID,(ROW()-ROW(MSPTasks[[#Headers],[ID]]))))</f>
        <v/>
      </c>
      <c r="C115" s="24" t="str">
        <f aca="false">IF(IFERROR(INDEX(tsk_Name,(ROW()-ROW(MSPTasks[[#Headers],[ID]])))="",TRUE()),"",INDEX(tsk_Name,(ROW()-ROW(MSPTasks[[#Headers],[ID]]))))</f>
        <v/>
      </c>
      <c r="D115" s="24" t="str">
        <f aca="false">IF(IFERROR(INDEX(tsk_Name,(ROW()-ROW(MSPTasks[[#Headers],[ID]])))="",TRUE()),"",INDEX(tsk_Level,(ROW()-ROW(MSPTasks[[#Headers],[ID]]))))</f>
        <v/>
      </c>
      <c r="E115" s="24" t="str">
        <f aca="false">IF(IFERROR(INDEX(tsk_Name,(ROW()-ROW(MSPTasks[[#Headers],[ID]])))="",TRUE()),"",IF(INDEX(tsk_Mode,(ROW()-ROW(MSPTasks[[#Headers],[ID]])))="Manual","Manually Scheduled","Auto Scheduled"))</f>
        <v/>
      </c>
      <c r="F115" s="24" t="str">
        <f aca="false">IF(IFERROR(INDEX(tsk_Name,(ROW()-ROW(MSPTasks[[#Headers],[ID]])))="",TRUE()),"",IF(INDEX(tsk_IsSummary,(ROW()-ROW(MSPTasks[[#Headers],[ID]]))),"",N(INDEX(tsk_Duration,(ROW()-ROW(MSPTasks[[#Headers],[ID]]))))&amp;"d"))</f>
        <v/>
      </c>
      <c r="G115" s="130" t="str">
        <f aca="false">IF(IFERROR(INDEX(tsk_Name,(ROW()-ROW(MSPTasks[[#Headers],[ID]])))="",TRUE()),"",INDEX(tsk_FcStart,(ROW()-ROW(MSPTasks[[#Headers],[ID]]))))</f>
        <v/>
      </c>
      <c r="H115" s="130" t="str">
        <f aca="false">IF(IFERROR(INDEX(tsk_Name,(ROW()-ROW(MSPTasks[[#Headers],[ID]])))="",TRUE()),"",INDEX(tsk_FcFinish,(ROW()-ROW(MSPTasks[[#Headers],[ID]]))))</f>
        <v/>
      </c>
      <c r="I115" s="24" t="str">
        <f aca="false">IF(IFERROR(INDEX(tsk_Name,(ROW()-ROW(MSPTasks[[#Headers],[ID]])))="",TRUE()),"",IF(INDEX(tsk_IsSummary,(ROW()-ROW(MSPTasks[[#Headers],[ID]]))),"",INDEX(tsk_Predecessors,(ROW()-ROW(MSPTasks[[#Headers],[ID]])))))</f>
        <v/>
      </c>
      <c r="J115" s="24" t="str">
        <f aca="false">IF(IFERROR(INDEX(tsk_Name,(ROW()-ROW(MSPTasks[[#Headers],[ID]])))="",TRUE()),"",IF(INDEX(tsk_IsSummary,(ROW()-ROW(MSPTasks[[#Headers],[ID]]))),"",INDEX(tsk_UIDPredecessors,(ROW()-ROW(MSPTasks[[#Headers],[ID]])))))</f>
        <v/>
      </c>
      <c r="K1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5" s="24" t="str">
        <f aca="false">IF(IFERROR(INDEX(tsk_Name,(ROW()-ROW(MSPTasks[[#Headers],[ID]])))="",TRUE()),"",IF(INDEX(tsk_IsSummary,(ROW()-ROW(MSPTasks[[#Headers],[ID]]))),"",ROUND(INDEX(tsk_Progress,(ROW()-ROW(MSPTasks[[#Headers],[ID]])))*100,0)))</f>
        <v/>
      </c>
      <c r="M115" s="130" t="str">
        <f aca="false">IF(IFERROR(INDEX(tsk_Name,(ROW()-ROW(MSPTasks[[#Headers],[ID]])))="",TRUE()),"",IF(N(INDEX(tsk_ActStart,(ROW()-ROW(MSPTasks[[#Headers],[ID]]))))=0,"",INDEX(tsk_ActStart,(ROW()-ROW(MSPTasks[[#Headers],[ID]])))))</f>
        <v/>
      </c>
      <c r="N115" s="130" t="str">
        <f aca="false">IF(IFERROR(INDEX(tsk_Name,(ROW()-ROW(MSPTasks[[#Headers],[ID]])))="",TRUE()),"",IF(N(INDEX(tsk_ActFinish,(ROW()-ROW(MSPTasks[[#Headers],[ID]]))))=0,"",INDEX(tsk_ActFinish,(ROW()-ROW(MSPTasks[[#Headers],[ID]])))))</f>
        <v/>
      </c>
      <c r="O115" s="130" t="str">
        <f aca="false">IF(IFERROR(INDEX(tsk_Name,(ROW()-ROW(MSPTasks[[#Headers],[ID]])))="",TRUE()),"",INDEX(tsk_PlanStart,(ROW()-ROW(MSPTasks[[#Headers],[ID]]))))</f>
        <v/>
      </c>
      <c r="P115" s="130" t="str">
        <f aca="false">IF(IFERROR(INDEX(tsk_Name,(ROW()-ROW(MSPTasks[[#Headers],[ID]])))="",TRUE()),"",INDEX(tsk_PlanFinish,(ROW()-ROW(MSPTasks[[#Headers],[ID]]))))</f>
        <v/>
      </c>
      <c r="Q115" s="24" t="str">
        <f aca="false">IF(IFERROR(INDEX(tsk_Name,(ROW()-ROW(MSPTasks[[#Headers],[ID]])))="",TRUE()),"",IF(INDEX(tsk_BaseDuration,(ROW()-ROW(MSPTasks[[#Headers],[ID]])))="","",N(INDEX(tsk_BaseDuration,(ROW()-ROW(MSPTasks[[#Headers],[ID]]))))&amp;"d"))</f>
        <v/>
      </c>
      <c r="R115" s="24" t="str">
        <f aca="false">IF(IFERROR(INDEX(tsk_Name,(ROW()-ROW(MSPTasks[[#Headers],[ID]])))="",TRUE()),"",IF(INDEX(tsk_BaseWork,(ROW()-ROW(MSPTasks[[#Headers],[ID]])))="","",N(INDEX(tsk_BaseWork,(ROW()-ROW(MSPTasks[[#Headers],[ID]]))))&amp;"h"))</f>
        <v/>
      </c>
      <c r="S115" s="24" t="str">
        <f aca="false">IF(IFERROR(INDEX(tsk_Name,(ROW()-ROW(MSPTasks[[#Headers],[ID]])))="",TRUE()),"",IF(INDEX(tsk_BaseCost,(ROW()-ROW(MSPTasks[[#Headers],[ID]])))="","",N(INDEX(tsk_BaseCost,(ROW()-ROW(MSPTasks[[#Headers],[ID]]))))))</f>
        <v/>
      </c>
      <c r="T115" s="24" t="str">
        <f aca="false">IF(IFERROR(INDEX(tsk_Name,(ROW()-ROW(MSPTasks[[#Headers],[ID]])))="",TRUE()),"",IF(INDEX(tsk_IsSummary,(ROW()-ROW(MSPTasks[[#Headers],[ID]]))),"",IF(N(INDEX(tsk_ActCostInput,(ROW()-ROW(MSPTasks[[#Headers],[ID]]))))=0,"",INDEX(tsk_ActCostInput,(ROW()-ROW(MSPTasks[[#Headers],[ID]]))))))</f>
        <v/>
      </c>
      <c r="U115" s="24" t="str">
        <f aca="false">IF(IFERROR(INDEX(tsk_Name,(ROW()-ROW(MSPTasks[[#Headers],[ID]])))="",TRUE()),"",IF(INDEX(tsk_IsSummary,(ROW()-ROW(MSPTasks[[#Headers],[ID]]))),"",IF(AND(INDEX(tsk_Mode,(ROW()-ROW(MSPTasks[[#Headers],[ID]])))&lt;&gt;"Manual",N(INDEX(tsk_Constraint,(ROW()-ROW(MSPTasks[[#Headers],[ID]]))))&gt;0),"Start No Earlier Than","As Soon As Possible")))</f>
        <v/>
      </c>
      <c r="V115" s="130" t="str">
        <f aca="false">IF(IFERROR(INDEX(tsk_Name,(ROW()-ROW(MSPTasks[[#Headers],[ID]])))="",TRUE()),"",IF(OR(INDEX(tsk_IsSummary,(ROW()-ROW(MSPTasks[[#Headers],[ID]]))),INDEX(tsk_Mode,(ROW()-ROW(MSPTasks[[#Headers],[ID]])))="Manual"),"",IF(N(INDEX(tsk_Constraint,(ROW()-ROW(MSPTasks[[#Headers],[ID]]))))=0,"",INDEX(tsk_Constraint,(ROW()-ROW(MSPTasks[[#Headers],[ID]]))))))</f>
        <v/>
      </c>
      <c r="W115" s="130" t="str">
        <f aca="false">IF(IFERROR(INDEX(tsk_Name,(ROW()-ROW(MSPTasks[[#Headers],[ID]])))="",TRUE()),"",IF(N(INDEX(tsk_Deadline,(ROW()-ROW(MSPTasks[[#Headers],[ID]]))))=0,"",INDEX(tsk_Deadline,(ROW()-ROW(MSPTasks[[#Headers],[ID]])))))</f>
        <v/>
      </c>
      <c r="X115" s="24" t="str">
        <f aca="false">IF(IFERROR(INDEX(tsk_Name,(ROW()-ROW(MSPTasks[[#Headers],[ID]])))="",TRUE()),"",IF(INDEX(tsk_IsSummary,(ROW()-ROW(MSPTasks[[#Headers],[ID]]))),"",INDEX(tsk_Sprint,(ROW()-ROW(MSPTasks[[#Headers],[ID]])))&amp;""))</f>
        <v/>
      </c>
      <c r="Y115" s="24" t="str">
        <f aca="false">IF(IFERROR(INDEX(tsk_Name,(ROW()-ROW(MSPTasks[[#Headers],[ID]])))="",TRUE()),"",IF(INDEX(tsk_IsSummary,(ROW()-ROW(MSPTasks[[#Headers],[ID]]))),"",IF(N(INDEX(tsk_StoryPoints,(ROW()-ROW(MSPTasks[[#Headers],[ID]]))))=0,"",INDEX(tsk_StoryPoints,(ROW()-ROW(MSPTasks[[#Headers],[ID]]))))))</f>
        <v/>
      </c>
      <c r="Z115" s="24" t="str">
        <f aca="false">IF(IFERROR(INDEX(tsk_Name,(ROW()-ROW(MSPTasks[[#Headers],[ID]])))="",TRUE()),"",INDEX(tsk_Notes,(ROW()-ROW(MSPTasks[[#Headers],[ID]])))&amp;"")</f>
        <v/>
      </c>
    </row>
    <row r="116" customFormat="false" ht="15" hidden="false" customHeight="false" outlineLevel="0" collapsed="false">
      <c r="A116" s="24" t="str">
        <f aca="false">IF(IFERROR(INDEX(tsk_Name,(ROW()-ROW(MSPTasks[[#Headers],[ID]])))="",TRUE()),"",INDEX(tsk_ID,(ROW()-ROW(MSPTasks[[#Headers],[ID]]))))</f>
        <v/>
      </c>
      <c r="B116" s="24" t="str">
        <f aca="false">IF(IFERROR(INDEX(tsk_Name,(ROW()-ROW(MSPTasks[[#Headers],[ID]])))="",TRUE()),"",INDEX(tsk_UID,(ROW()-ROW(MSPTasks[[#Headers],[ID]]))))</f>
        <v/>
      </c>
      <c r="C116" s="24" t="str">
        <f aca="false">IF(IFERROR(INDEX(tsk_Name,(ROW()-ROW(MSPTasks[[#Headers],[ID]])))="",TRUE()),"",INDEX(tsk_Name,(ROW()-ROW(MSPTasks[[#Headers],[ID]]))))</f>
        <v/>
      </c>
      <c r="D116" s="24" t="str">
        <f aca="false">IF(IFERROR(INDEX(tsk_Name,(ROW()-ROW(MSPTasks[[#Headers],[ID]])))="",TRUE()),"",INDEX(tsk_Level,(ROW()-ROW(MSPTasks[[#Headers],[ID]]))))</f>
        <v/>
      </c>
      <c r="E116" s="24" t="str">
        <f aca="false">IF(IFERROR(INDEX(tsk_Name,(ROW()-ROW(MSPTasks[[#Headers],[ID]])))="",TRUE()),"",IF(INDEX(tsk_Mode,(ROW()-ROW(MSPTasks[[#Headers],[ID]])))="Manual","Manually Scheduled","Auto Scheduled"))</f>
        <v/>
      </c>
      <c r="F116" s="24" t="str">
        <f aca="false">IF(IFERROR(INDEX(tsk_Name,(ROW()-ROW(MSPTasks[[#Headers],[ID]])))="",TRUE()),"",IF(INDEX(tsk_IsSummary,(ROW()-ROW(MSPTasks[[#Headers],[ID]]))),"",N(INDEX(tsk_Duration,(ROW()-ROW(MSPTasks[[#Headers],[ID]]))))&amp;"d"))</f>
        <v/>
      </c>
      <c r="G116" s="130" t="str">
        <f aca="false">IF(IFERROR(INDEX(tsk_Name,(ROW()-ROW(MSPTasks[[#Headers],[ID]])))="",TRUE()),"",INDEX(tsk_FcStart,(ROW()-ROW(MSPTasks[[#Headers],[ID]]))))</f>
        <v/>
      </c>
      <c r="H116" s="130" t="str">
        <f aca="false">IF(IFERROR(INDEX(tsk_Name,(ROW()-ROW(MSPTasks[[#Headers],[ID]])))="",TRUE()),"",INDEX(tsk_FcFinish,(ROW()-ROW(MSPTasks[[#Headers],[ID]]))))</f>
        <v/>
      </c>
      <c r="I116" s="24" t="str">
        <f aca="false">IF(IFERROR(INDEX(tsk_Name,(ROW()-ROW(MSPTasks[[#Headers],[ID]])))="",TRUE()),"",IF(INDEX(tsk_IsSummary,(ROW()-ROW(MSPTasks[[#Headers],[ID]]))),"",INDEX(tsk_Predecessors,(ROW()-ROW(MSPTasks[[#Headers],[ID]])))))</f>
        <v/>
      </c>
      <c r="J116" s="24" t="str">
        <f aca="false">IF(IFERROR(INDEX(tsk_Name,(ROW()-ROW(MSPTasks[[#Headers],[ID]])))="",TRUE()),"",IF(INDEX(tsk_IsSummary,(ROW()-ROW(MSPTasks[[#Headers],[ID]]))),"",INDEX(tsk_UIDPredecessors,(ROW()-ROW(MSPTasks[[#Headers],[ID]])))))</f>
        <v/>
      </c>
      <c r="K1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6" s="24" t="str">
        <f aca="false">IF(IFERROR(INDEX(tsk_Name,(ROW()-ROW(MSPTasks[[#Headers],[ID]])))="",TRUE()),"",IF(INDEX(tsk_IsSummary,(ROW()-ROW(MSPTasks[[#Headers],[ID]]))),"",ROUND(INDEX(tsk_Progress,(ROW()-ROW(MSPTasks[[#Headers],[ID]])))*100,0)))</f>
        <v/>
      </c>
      <c r="M116" s="130" t="str">
        <f aca="false">IF(IFERROR(INDEX(tsk_Name,(ROW()-ROW(MSPTasks[[#Headers],[ID]])))="",TRUE()),"",IF(N(INDEX(tsk_ActStart,(ROW()-ROW(MSPTasks[[#Headers],[ID]]))))=0,"",INDEX(tsk_ActStart,(ROW()-ROW(MSPTasks[[#Headers],[ID]])))))</f>
        <v/>
      </c>
      <c r="N116" s="130" t="str">
        <f aca="false">IF(IFERROR(INDEX(tsk_Name,(ROW()-ROW(MSPTasks[[#Headers],[ID]])))="",TRUE()),"",IF(N(INDEX(tsk_ActFinish,(ROW()-ROW(MSPTasks[[#Headers],[ID]]))))=0,"",INDEX(tsk_ActFinish,(ROW()-ROW(MSPTasks[[#Headers],[ID]])))))</f>
        <v/>
      </c>
      <c r="O116" s="130" t="str">
        <f aca="false">IF(IFERROR(INDEX(tsk_Name,(ROW()-ROW(MSPTasks[[#Headers],[ID]])))="",TRUE()),"",INDEX(tsk_PlanStart,(ROW()-ROW(MSPTasks[[#Headers],[ID]]))))</f>
        <v/>
      </c>
      <c r="P116" s="130" t="str">
        <f aca="false">IF(IFERROR(INDEX(tsk_Name,(ROW()-ROW(MSPTasks[[#Headers],[ID]])))="",TRUE()),"",INDEX(tsk_PlanFinish,(ROW()-ROW(MSPTasks[[#Headers],[ID]]))))</f>
        <v/>
      </c>
      <c r="Q116" s="24" t="str">
        <f aca="false">IF(IFERROR(INDEX(tsk_Name,(ROW()-ROW(MSPTasks[[#Headers],[ID]])))="",TRUE()),"",IF(INDEX(tsk_BaseDuration,(ROW()-ROW(MSPTasks[[#Headers],[ID]])))="","",N(INDEX(tsk_BaseDuration,(ROW()-ROW(MSPTasks[[#Headers],[ID]]))))&amp;"d"))</f>
        <v/>
      </c>
      <c r="R116" s="24" t="str">
        <f aca="false">IF(IFERROR(INDEX(tsk_Name,(ROW()-ROW(MSPTasks[[#Headers],[ID]])))="",TRUE()),"",IF(INDEX(tsk_BaseWork,(ROW()-ROW(MSPTasks[[#Headers],[ID]])))="","",N(INDEX(tsk_BaseWork,(ROW()-ROW(MSPTasks[[#Headers],[ID]]))))&amp;"h"))</f>
        <v/>
      </c>
      <c r="S116" s="24" t="str">
        <f aca="false">IF(IFERROR(INDEX(tsk_Name,(ROW()-ROW(MSPTasks[[#Headers],[ID]])))="",TRUE()),"",IF(INDEX(tsk_BaseCost,(ROW()-ROW(MSPTasks[[#Headers],[ID]])))="","",N(INDEX(tsk_BaseCost,(ROW()-ROW(MSPTasks[[#Headers],[ID]]))))))</f>
        <v/>
      </c>
      <c r="T116" s="24" t="str">
        <f aca="false">IF(IFERROR(INDEX(tsk_Name,(ROW()-ROW(MSPTasks[[#Headers],[ID]])))="",TRUE()),"",IF(INDEX(tsk_IsSummary,(ROW()-ROW(MSPTasks[[#Headers],[ID]]))),"",IF(N(INDEX(tsk_ActCostInput,(ROW()-ROW(MSPTasks[[#Headers],[ID]]))))=0,"",INDEX(tsk_ActCostInput,(ROW()-ROW(MSPTasks[[#Headers],[ID]]))))))</f>
        <v/>
      </c>
      <c r="U116" s="24" t="str">
        <f aca="false">IF(IFERROR(INDEX(tsk_Name,(ROW()-ROW(MSPTasks[[#Headers],[ID]])))="",TRUE()),"",IF(INDEX(tsk_IsSummary,(ROW()-ROW(MSPTasks[[#Headers],[ID]]))),"",IF(AND(INDEX(tsk_Mode,(ROW()-ROW(MSPTasks[[#Headers],[ID]])))&lt;&gt;"Manual",N(INDEX(tsk_Constraint,(ROW()-ROW(MSPTasks[[#Headers],[ID]]))))&gt;0),"Start No Earlier Than","As Soon As Possible")))</f>
        <v/>
      </c>
      <c r="V116" s="130" t="str">
        <f aca="false">IF(IFERROR(INDEX(tsk_Name,(ROW()-ROW(MSPTasks[[#Headers],[ID]])))="",TRUE()),"",IF(OR(INDEX(tsk_IsSummary,(ROW()-ROW(MSPTasks[[#Headers],[ID]]))),INDEX(tsk_Mode,(ROW()-ROW(MSPTasks[[#Headers],[ID]])))="Manual"),"",IF(N(INDEX(tsk_Constraint,(ROW()-ROW(MSPTasks[[#Headers],[ID]]))))=0,"",INDEX(tsk_Constraint,(ROW()-ROW(MSPTasks[[#Headers],[ID]]))))))</f>
        <v/>
      </c>
      <c r="W116" s="130" t="str">
        <f aca="false">IF(IFERROR(INDEX(tsk_Name,(ROW()-ROW(MSPTasks[[#Headers],[ID]])))="",TRUE()),"",IF(N(INDEX(tsk_Deadline,(ROW()-ROW(MSPTasks[[#Headers],[ID]]))))=0,"",INDEX(tsk_Deadline,(ROW()-ROW(MSPTasks[[#Headers],[ID]])))))</f>
        <v/>
      </c>
      <c r="X116" s="24" t="str">
        <f aca="false">IF(IFERROR(INDEX(tsk_Name,(ROW()-ROW(MSPTasks[[#Headers],[ID]])))="",TRUE()),"",IF(INDEX(tsk_IsSummary,(ROW()-ROW(MSPTasks[[#Headers],[ID]]))),"",INDEX(tsk_Sprint,(ROW()-ROW(MSPTasks[[#Headers],[ID]])))&amp;""))</f>
        <v/>
      </c>
      <c r="Y116" s="24" t="str">
        <f aca="false">IF(IFERROR(INDEX(tsk_Name,(ROW()-ROW(MSPTasks[[#Headers],[ID]])))="",TRUE()),"",IF(INDEX(tsk_IsSummary,(ROW()-ROW(MSPTasks[[#Headers],[ID]]))),"",IF(N(INDEX(tsk_StoryPoints,(ROW()-ROW(MSPTasks[[#Headers],[ID]]))))=0,"",INDEX(tsk_StoryPoints,(ROW()-ROW(MSPTasks[[#Headers],[ID]]))))))</f>
        <v/>
      </c>
      <c r="Z116" s="24" t="str">
        <f aca="false">IF(IFERROR(INDEX(tsk_Name,(ROW()-ROW(MSPTasks[[#Headers],[ID]])))="",TRUE()),"",INDEX(tsk_Notes,(ROW()-ROW(MSPTasks[[#Headers],[ID]])))&amp;"")</f>
        <v/>
      </c>
    </row>
    <row r="117" customFormat="false" ht="15" hidden="false" customHeight="false" outlineLevel="0" collapsed="false">
      <c r="A117" s="24" t="str">
        <f aca="false">IF(IFERROR(INDEX(tsk_Name,(ROW()-ROW(MSPTasks[[#Headers],[ID]])))="",TRUE()),"",INDEX(tsk_ID,(ROW()-ROW(MSPTasks[[#Headers],[ID]]))))</f>
        <v/>
      </c>
      <c r="B117" s="24" t="str">
        <f aca="false">IF(IFERROR(INDEX(tsk_Name,(ROW()-ROW(MSPTasks[[#Headers],[ID]])))="",TRUE()),"",INDEX(tsk_UID,(ROW()-ROW(MSPTasks[[#Headers],[ID]]))))</f>
        <v/>
      </c>
      <c r="C117" s="24" t="str">
        <f aca="false">IF(IFERROR(INDEX(tsk_Name,(ROW()-ROW(MSPTasks[[#Headers],[ID]])))="",TRUE()),"",INDEX(tsk_Name,(ROW()-ROW(MSPTasks[[#Headers],[ID]]))))</f>
        <v/>
      </c>
      <c r="D117" s="24" t="str">
        <f aca="false">IF(IFERROR(INDEX(tsk_Name,(ROW()-ROW(MSPTasks[[#Headers],[ID]])))="",TRUE()),"",INDEX(tsk_Level,(ROW()-ROW(MSPTasks[[#Headers],[ID]]))))</f>
        <v/>
      </c>
      <c r="E117" s="24" t="str">
        <f aca="false">IF(IFERROR(INDEX(tsk_Name,(ROW()-ROW(MSPTasks[[#Headers],[ID]])))="",TRUE()),"",IF(INDEX(tsk_Mode,(ROW()-ROW(MSPTasks[[#Headers],[ID]])))="Manual","Manually Scheduled","Auto Scheduled"))</f>
        <v/>
      </c>
      <c r="F117" s="24" t="str">
        <f aca="false">IF(IFERROR(INDEX(tsk_Name,(ROW()-ROW(MSPTasks[[#Headers],[ID]])))="",TRUE()),"",IF(INDEX(tsk_IsSummary,(ROW()-ROW(MSPTasks[[#Headers],[ID]]))),"",N(INDEX(tsk_Duration,(ROW()-ROW(MSPTasks[[#Headers],[ID]]))))&amp;"d"))</f>
        <v/>
      </c>
      <c r="G117" s="130" t="str">
        <f aca="false">IF(IFERROR(INDEX(tsk_Name,(ROW()-ROW(MSPTasks[[#Headers],[ID]])))="",TRUE()),"",INDEX(tsk_FcStart,(ROW()-ROW(MSPTasks[[#Headers],[ID]]))))</f>
        <v/>
      </c>
      <c r="H117" s="130" t="str">
        <f aca="false">IF(IFERROR(INDEX(tsk_Name,(ROW()-ROW(MSPTasks[[#Headers],[ID]])))="",TRUE()),"",INDEX(tsk_FcFinish,(ROW()-ROW(MSPTasks[[#Headers],[ID]]))))</f>
        <v/>
      </c>
      <c r="I117" s="24" t="str">
        <f aca="false">IF(IFERROR(INDEX(tsk_Name,(ROW()-ROW(MSPTasks[[#Headers],[ID]])))="",TRUE()),"",IF(INDEX(tsk_IsSummary,(ROW()-ROW(MSPTasks[[#Headers],[ID]]))),"",INDEX(tsk_Predecessors,(ROW()-ROW(MSPTasks[[#Headers],[ID]])))))</f>
        <v/>
      </c>
      <c r="J117" s="24" t="str">
        <f aca="false">IF(IFERROR(INDEX(tsk_Name,(ROW()-ROW(MSPTasks[[#Headers],[ID]])))="",TRUE()),"",IF(INDEX(tsk_IsSummary,(ROW()-ROW(MSPTasks[[#Headers],[ID]]))),"",INDEX(tsk_UIDPredecessors,(ROW()-ROW(MSPTasks[[#Headers],[ID]])))))</f>
        <v/>
      </c>
      <c r="K1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7" s="24" t="str">
        <f aca="false">IF(IFERROR(INDEX(tsk_Name,(ROW()-ROW(MSPTasks[[#Headers],[ID]])))="",TRUE()),"",IF(INDEX(tsk_IsSummary,(ROW()-ROW(MSPTasks[[#Headers],[ID]]))),"",ROUND(INDEX(tsk_Progress,(ROW()-ROW(MSPTasks[[#Headers],[ID]])))*100,0)))</f>
        <v/>
      </c>
      <c r="M117" s="130" t="str">
        <f aca="false">IF(IFERROR(INDEX(tsk_Name,(ROW()-ROW(MSPTasks[[#Headers],[ID]])))="",TRUE()),"",IF(N(INDEX(tsk_ActStart,(ROW()-ROW(MSPTasks[[#Headers],[ID]]))))=0,"",INDEX(tsk_ActStart,(ROW()-ROW(MSPTasks[[#Headers],[ID]])))))</f>
        <v/>
      </c>
      <c r="N117" s="130" t="str">
        <f aca="false">IF(IFERROR(INDEX(tsk_Name,(ROW()-ROW(MSPTasks[[#Headers],[ID]])))="",TRUE()),"",IF(N(INDEX(tsk_ActFinish,(ROW()-ROW(MSPTasks[[#Headers],[ID]]))))=0,"",INDEX(tsk_ActFinish,(ROW()-ROW(MSPTasks[[#Headers],[ID]])))))</f>
        <v/>
      </c>
      <c r="O117" s="130" t="str">
        <f aca="false">IF(IFERROR(INDEX(tsk_Name,(ROW()-ROW(MSPTasks[[#Headers],[ID]])))="",TRUE()),"",INDEX(tsk_PlanStart,(ROW()-ROW(MSPTasks[[#Headers],[ID]]))))</f>
        <v/>
      </c>
      <c r="P117" s="130" t="str">
        <f aca="false">IF(IFERROR(INDEX(tsk_Name,(ROW()-ROW(MSPTasks[[#Headers],[ID]])))="",TRUE()),"",INDEX(tsk_PlanFinish,(ROW()-ROW(MSPTasks[[#Headers],[ID]]))))</f>
        <v/>
      </c>
      <c r="Q117" s="24" t="str">
        <f aca="false">IF(IFERROR(INDEX(tsk_Name,(ROW()-ROW(MSPTasks[[#Headers],[ID]])))="",TRUE()),"",IF(INDEX(tsk_BaseDuration,(ROW()-ROW(MSPTasks[[#Headers],[ID]])))="","",N(INDEX(tsk_BaseDuration,(ROW()-ROW(MSPTasks[[#Headers],[ID]]))))&amp;"d"))</f>
        <v/>
      </c>
      <c r="R117" s="24" t="str">
        <f aca="false">IF(IFERROR(INDEX(tsk_Name,(ROW()-ROW(MSPTasks[[#Headers],[ID]])))="",TRUE()),"",IF(INDEX(tsk_BaseWork,(ROW()-ROW(MSPTasks[[#Headers],[ID]])))="","",N(INDEX(tsk_BaseWork,(ROW()-ROW(MSPTasks[[#Headers],[ID]]))))&amp;"h"))</f>
        <v/>
      </c>
      <c r="S117" s="24" t="str">
        <f aca="false">IF(IFERROR(INDEX(tsk_Name,(ROW()-ROW(MSPTasks[[#Headers],[ID]])))="",TRUE()),"",IF(INDEX(tsk_BaseCost,(ROW()-ROW(MSPTasks[[#Headers],[ID]])))="","",N(INDEX(tsk_BaseCost,(ROW()-ROW(MSPTasks[[#Headers],[ID]]))))))</f>
        <v/>
      </c>
      <c r="T117" s="24" t="str">
        <f aca="false">IF(IFERROR(INDEX(tsk_Name,(ROW()-ROW(MSPTasks[[#Headers],[ID]])))="",TRUE()),"",IF(INDEX(tsk_IsSummary,(ROW()-ROW(MSPTasks[[#Headers],[ID]]))),"",IF(N(INDEX(tsk_ActCostInput,(ROW()-ROW(MSPTasks[[#Headers],[ID]]))))=0,"",INDEX(tsk_ActCostInput,(ROW()-ROW(MSPTasks[[#Headers],[ID]]))))))</f>
        <v/>
      </c>
      <c r="U117" s="24" t="str">
        <f aca="false">IF(IFERROR(INDEX(tsk_Name,(ROW()-ROW(MSPTasks[[#Headers],[ID]])))="",TRUE()),"",IF(INDEX(tsk_IsSummary,(ROW()-ROW(MSPTasks[[#Headers],[ID]]))),"",IF(AND(INDEX(tsk_Mode,(ROW()-ROW(MSPTasks[[#Headers],[ID]])))&lt;&gt;"Manual",N(INDEX(tsk_Constraint,(ROW()-ROW(MSPTasks[[#Headers],[ID]]))))&gt;0),"Start No Earlier Than","As Soon As Possible")))</f>
        <v/>
      </c>
      <c r="V117" s="130" t="str">
        <f aca="false">IF(IFERROR(INDEX(tsk_Name,(ROW()-ROW(MSPTasks[[#Headers],[ID]])))="",TRUE()),"",IF(OR(INDEX(tsk_IsSummary,(ROW()-ROW(MSPTasks[[#Headers],[ID]]))),INDEX(tsk_Mode,(ROW()-ROW(MSPTasks[[#Headers],[ID]])))="Manual"),"",IF(N(INDEX(tsk_Constraint,(ROW()-ROW(MSPTasks[[#Headers],[ID]]))))=0,"",INDEX(tsk_Constraint,(ROW()-ROW(MSPTasks[[#Headers],[ID]]))))))</f>
        <v/>
      </c>
      <c r="W117" s="130" t="str">
        <f aca="false">IF(IFERROR(INDEX(tsk_Name,(ROW()-ROW(MSPTasks[[#Headers],[ID]])))="",TRUE()),"",IF(N(INDEX(tsk_Deadline,(ROW()-ROW(MSPTasks[[#Headers],[ID]]))))=0,"",INDEX(tsk_Deadline,(ROW()-ROW(MSPTasks[[#Headers],[ID]])))))</f>
        <v/>
      </c>
      <c r="X117" s="24" t="str">
        <f aca="false">IF(IFERROR(INDEX(tsk_Name,(ROW()-ROW(MSPTasks[[#Headers],[ID]])))="",TRUE()),"",IF(INDEX(tsk_IsSummary,(ROW()-ROW(MSPTasks[[#Headers],[ID]]))),"",INDEX(tsk_Sprint,(ROW()-ROW(MSPTasks[[#Headers],[ID]])))&amp;""))</f>
        <v/>
      </c>
      <c r="Y117" s="24" t="str">
        <f aca="false">IF(IFERROR(INDEX(tsk_Name,(ROW()-ROW(MSPTasks[[#Headers],[ID]])))="",TRUE()),"",IF(INDEX(tsk_IsSummary,(ROW()-ROW(MSPTasks[[#Headers],[ID]]))),"",IF(N(INDEX(tsk_StoryPoints,(ROW()-ROW(MSPTasks[[#Headers],[ID]]))))=0,"",INDEX(tsk_StoryPoints,(ROW()-ROW(MSPTasks[[#Headers],[ID]]))))))</f>
        <v/>
      </c>
      <c r="Z117" s="24" t="str">
        <f aca="false">IF(IFERROR(INDEX(tsk_Name,(ROW()-ROW(MSPTasks[[#Headers],[ID]])))="",TRUE()),"",INDEX(tsk_Notes,(ROW()-ROW(MSPTasks[[#Headers],[ID]])))&amp;"")</f>
        <v/>
      </c>
    </row>
    <row r="118" customFormat="false" ht="15" hidden="false" customHeight="false" outlineLevel="0" collapsed="false">
      <c r="A118" s="24" t="str">
        <f aca="false">IF(IFERROR(INDEX(tsk_Name,(ROW()-ROW(MSPTasks[[#Headers],[ID]])))="",TRUE()),"",INDEX(tsk_ID,(ROW()-ROW(MSPTasks[[#Headers],[ID]]))))</f>
        <v/>
      </c>
      <c r="B118" s="24" t="str">
        <f aca="false">IF(IFERROR(INDEX(tsk_Name,(ROW()-ROW(MSPTasks[[#Headers],[ID]])))="",TRUE()),"",INDEX(tsk_UID,(ROW()-ROW(MSPTasks[[#Headers],[ID]]))))</f>
        <v/>
      </c>
      <c r="C118" s="24" t="str">
        <f aca="false">IF(IFERROR(INDEX(tsk_Name,(ROW()-ROW(MSPTasks[[#Headers],[ID]])))="",TRUE()),"",INDEX(tsk_Name,(ROW()-ROW(MSPTasks[[#Headers],[ID]]))))</f>
        <v/>
      </c>
      <c r="D118" s="24" t="str">
        <f aca="false">IF(IFERROR(INDEX(tsk_Name,(ROW()-ROW(MSPTasks[[#Headers],[ID]])))="",TRUE()),"",INDEX(tsk_Level,(ROW()-ROW(MSPTasks[[#Headers],[ID]]))))</f>
        <v/>
      </c>
      <c r="E118" s="24" t="str">
        <f aca="false">IF(IFERROR(INDEX(tsk_Name,(ROW()-ROW(MSPTasks[[#Headers],[ID]])))="",TRUE()),"",IF(INDEX(tsk_Mode,(ROW()-ROW(MSPTasks[[#Headers],[ID]])))="Manual","Manually Scheduled","Auto Scheduled"))</f>
        <v/>
      </c>
      <c r="F118" s="24" t="str">
        <f aca="false">IF(IFERROR(INDEX(tsk_Name,(ROW()-ROW(MSPTasks[[#Headers],[ID]])))="",TRUE()),"",IF(INDEX(tsk_IsSummary,(ROW()-ROW(MSPTasks[[#Headers],[ID]]))),"",N(INDEX(tsk_Duration,(ROW()-ROW(MSPTasks[[#Headers],[ID]]))))&amp;"d"))</f>
        <v/>
      </c>
      <c r="G118" s="130" t="str">
        <f aca="false">IF(IFERROR(INDEX(tsk_Name,(ROW()-ROW(MSPTasks[[#Headers],[ID]])))="",TRUE()),"",INDEX(tsk_FcStart,(ROW()-ROW(MSPTasks[[#Headers],[ID]]))))</f>
        <v/>
      </c>
      <c r="H118" s="130" t="str">
        <f aca="false">IF(IFERROR(INDEX(tsk_Name,(ROW()-ROW(MSPTasks[[#Headers],[ID]])))="",TRUE()),"",INDEX(tsk_FcFinish,(ROW()-ROW(MSPTasks[[#Headers],[ID]]))))</f>
        <v/>
      </c>
      <c r="I118" s="24" t="str">
        <f aca="false">IF(IFERROR(INDEX(tsk_Name,(ROW()-ROW(MSPTasks[[#Headers],[ID]])))="",TRUE()),"",IF(INDEX(tsk_IsSummary,(ROW()-ROW(MSPTasks[[#Headers],[ID]]))),"",INDEX(tsk_Predecessors,(ROW()-ROW(MSPTasks[[#Headers],[ID]])))))</f>
        <v/>
      </c>
      <c r="J118" s="24" t="str">
        <f aca="false">IF(IFERROR(INDEX(tsk_Name,(ROW()-ROW(MSPTasks[[#Headers],[ID]])))="",TRUE()),"",IF(INDEX(tsk_IsSummary,(ROW()-ROW(MSPTasks[[#Headers],[ID]]))),"",INDEX(tsk_UIDPredecessors,(ROW()-ROW(MSPTasks[[#Headers],[ID]])))))</f>
        <v/>
      </c>
      <c r="K1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8" s="24" t="str">
        <f aca="false">IF(IFERROR(INDEX(tsk_Name,(ROW()-ROW(MSPTasks[[#Headers],[ID]])))="",TRUE()),"",IF(INDEX(tsk_IsSummary,(ROW()-ROW(MSPTasks[[#Headers],[ID]]))),"",ROUND(INDEX(tsk_Progress,(ROW()-ROW(MSPTasks[[#Headers],[ID]])))*100,0)))</f>
        <v/>
      </c>
      <c r="M118" s="130" t="str">
        <f aca="false">IF(IFERROR(INDEX(tsk_Name,(ROW()-ROW(MSPTasks[[#Headers],[ID]])))="",TRUE()),"",IF(N(INDEX(tsk_ActStart,(ROW()-ROW(MSPTasks[[#Headers],[ID]]))))=0,"",INDEX(tsk_ActStart,(ROW()-ROW(MSPTasks[[#Headers],[ID]])))))</f>
        <v/>
      </c>
      <c r="N118" s="130" t="str">
        <f aca="false">IF(IFERROR(INDEX(tsk_Name,(ROW()-ROW(MSPTasks[[#Headers],[ID]])))="",TRUE()),"",IF(N(INDEX(tsk_ActFinish,(ROW()-ROW(MSPTasks[[#Headers],[ID]]))))=0,"",INDEX(tsk_ActFinish,(ROW()-ROW(MSPTasks[[#Headers],[ID]])))))</f>
        <v/>
      </c>
      <c r="O118" s="130" t="str">
        <f aca="false">IF(IFERROR(INDEX(tsk_Name,(ROW()-ROW(MSPTasks[[#Headers],[ID]])))="",TRUE()),"",INDEX(tsk_PlanStart,(ROW()-ROW(MSPTasks[[#Headers],[ID]]))))</f>
        <v/>
      </c>
      <c r="P118" s="130" t="str">
        <f aca="false">IF(IFERROR(INDEX(tsk_Name,(ROW()-ROW(MSPTasks[[#Headers],[ID]])))="",TRUE()),"",INDEX(tsk_PlanFinish,(ROW()-ROW(MSPTasks[[#Headers],[ID]]))))</f>
        <v/>
      </c>
      <c r="Q118" s="24" t="str">
        <f aca="false">IF(IFERROR(INDEX(tsk_Name,(ROW()-ROW(MSPTasks[[#Headers],[ID]])))="",TRUE()),"",IF(INDEX(tsk_BaseDuration,(ROW()-ROW(MSPTasks[[#Headers],[ID]])))="","",N(INDEX(tsk_BaseDuration,(ROW()-ROW(MSPTasks[[#Headers],[ID]]))))&amp;"d"))</f>
        <v/>
      </c>
      <c r="R118" s="24" t="str">
        <f aca="false">IF(IFERROR(INDEX(tsk_Name,(ROW()-ROW(MSPTasks[[#Headers],[ID]])))="",TRUE()),"",IF(INDEX(tsk_BaseWork,(ROW()-ROW(MSPTasks[[#Headers],[ID]])))="","",N(INDEX(tsk_BaseWork,(ROW()-ROW(MSPTasks[[#Headers],[ID]]))))&amp;"h"))</f>
        <v/>
      </c>
      <c r="S118" s="24" t="str">
        <f aca="false">IF(IFERROR(INDEX(tsk_Name,(ROW()-ROW(MSPTasks[[#Headers],[ID]])))="",TRUE()),"",IF(INDEX(tsk_BaseCost,(ROW()-ROW(MSPTasks[[#Headers],[ID]])))="","",N(INDEX(tsk_BaseCost,(ROW()-ROW(MSPTasks[[#Headers],[ID]]))))))</f>
        <v/>
      </c>
      <c r="T118" s="24" t="str">
        <f aca="false">IF(IFERROR(INDEX(tsk_Name,(ROW()-ROW(MSPTasks[[#Headers],[ID]])))="",TRUE()),"",IF(INDEX(tsk_IsSummary,(ROW()-ROW(MSPTasks[[#Headers],[ID]]))),"",IF(N(INDEX(tsk_ActCostInput,(ROW()-ROW(MSPTasks[[#Headers],[ID]]))))=0,"",INDEX(tsk_ActCostInput,(ROW()-ROW(MSPTasks[[#Headers],[ID]]))))))</f>
        <v/>
      </c>
      <c r="U118" s="24" t="str">
        <f aca="false">IF(IFERROR(INDEX(tsk_Name,(ROW()-ROW(MSPTasks[[#Headers],[ID]])))="",TRUE()),"",IF(INDEX(tsk_IsSummary,(ROW()-ROW(MSPTasks[[#Headers],[ID]]))),"",IF(AND(INDEX(tsk_Mode,(ROW()-ROW(MSPTasks[[#Headers],[ID]])))&lt;&gt;"Manual",N(INDEX(tsk_Constraint,(ROW()-ROW(MSPTasks[[#Headers],[ID]]))))&gt;0),"Start No Earlier Than","As Soon As Possible")))</f>
        <v/>
      </c>
      <c r="V118" s="130" t="str">
        <f aca="false">IF(IFERROR(INDEX(tsk_Name,(ROW()-ROW(MSPTasks[[#Headers],[ID]])))="",TRUE()),"",IF(OR(INDEX(tsk_IsSummary,(ROW()-ROW(MSPTasks[[#Headers],[ID]]))),INDEX(tsk_Mode,(ROW()-ROW(MSPTasks[[#Headers],[ID]])))="Manual"),"",IF(N(INDEX(tsk_Constraint,(ROW()-ROW(MSPTasks[[#Headers],[ID]]))))=0,"",INDEX(tsk_Constraint,(ROW()-ROW(MSPTasks[[#Headers],[ID]]))))))</f>
        <v/>
      </c>
      <c r="W118" s="130" t="str">
        <f aca="false">IF(IFERROR(INDEX(tsk_Name,(ROW()-ROW(MSPTasks[[#Headers],[ID]])))="",TRUE()),"",IF(N(INDEX(tsk_Deadline,(ROW()-ROW(MSPTasks[[#Headers],[ID]]))))=0,"",INDEX(tsk_Deadline,(ROW()-ROW(MSPTasks[[#Headers],[ID]])))))</f>
        <v/>
      </c>
      <c r="X118" s="24" t="str">
        <f aca="false">IF(IFERROR(INDEX(tsk_Name,(ROW()-ROW(MSPTasks[[#Headers],[ID]])))="",TRUE()),"",IF(INDEX(tsk_IsSummary,(ROW()-ROW(MSPTasks[[#Headers],[ID]]))),"",INDEX(tsk_Sprint,(ROW()-ROW(MSPTasks[[#Headers],[ID]])))&amp;""))</f>
        <v/>
      </c>
      <c r="Y118" s="24" t="str">
        <f aca="false">IF(IFERROR(INDEX(tsk_Name,(ROW()-ROW(MSPTasks[[#Headers],[ID]])))="",TRUE()),"",IF(INDEX(tsk_IsSummary,(ROW()-ROW(MSPTasks[[#Headers],[ID]]))),"",IF(N(INDEX(tsk_StoryPoints,(ROW()-ROW(MSPTasks[[#Headers],[ID]]))))=0,"",INDEX(tsk_StoryPoints,(ROW()-ROW(MSPTasks[[#Headers],[ID]]))))))</f>
        <v/>
      </c>
      <c r="Z118" s="24" t="str">
        <f aca="false">IF(IFERROR(INDEX(tsk_Name,(ROW()-ROW(MSPTasks[[#Headers],[ID]])))="",TRUE()),"",INDEX(tsk_Notes,(ROW()-ROW(MSPTasks[[#Headers],[ID]])))&amp;"")</f>
        <v/>
      </c>
    </row>
    <row r="119" customFormat="false" ht="15" hidden="false" customHeight="false" outlineLevel="0" collapsed="false">
      <c r="A119" s="24" t="str">
        <f aca="false">IF(IFERROR(INDEX(tsk_Name,(ROW()-ROW(MSPTasks[[#Headers],[ID]])))="",TRUE()),"",INDEX(tsk_ID,(ROW()-ROW(MSPTasks[[#Headers],[ID]]))))</f>
        <v/>
      </c>
      <c r="B119" s="24" t="str">
        <f aca="false">IF(IFERROR(INDEX(tsk_Name,(ROW()-ROW(MSPTasks[[#Headers],[ID]])))="",TRUE()),"",INDEX(tsk_UID,(ROW()-ROW(MSPTasks[[#Headers],[ID]]))))</f>
        <v/>
      </c>
      <c r="C119" s="24" t="str">
        <f aca="false">IF(IFERROR(INDEX(tsk_Name,(ROW()-ROW(MSPTasks[[#Headers],[ID]])))="",TRUE()),"",INDEX(tsk_Name,(ROW()-ROW(MSPTasks[[#Headers],[ID]]))))</f>
        <v/>
      </c>
      <c r="D119" s="24" t="str">
        <f aca="false">IF(IFERROR(INDEX(tsk_Name,(ROW()-ROW(MSPTasks[[#Headers],[ID]])))="",TRUE()),"",INDEX(tsk_Level,(ROW()-ROW(MSPTasks[[#Headers],[ID]]))))</f>
        <v/>
      </c>
      <c r="E119" s="24" t="str">
        <f aca="false">IF(IFERROR(INDEX(tsk_Name,(ROW()-ROW(MSPTasks[[#Headers],[ID]])))="",TRUE()),"",IF(INDEX(tsk_Mode,(ROW()-ROW(MSPTasks[[#Headers],[ID]])))="Manual","Manually Scheduled","Auto Scheduled"))</f>
        <v/>
      </c>
      <c r="F119" s="24" t="str">
        <f aca="false">IF(IFERROR(INDEX(tsk_Name,(ROW()-ROW(MSPTasks[[#Headers],[ID]])))="",TRUE()),"",IF(INDEX(tsk_IsSummary,(ROW()-ROW(MSPTasks[[#Headers],[ID]]))),"",N(INDEX(tsk_Duration,(ROW()-ROW(MSPTasks[[#Headers],[ID]]))))&amp;"d"))</f>
        <v/>
      </c>
      <c r="G119" s="130" t="str">
        <f aca="false">IF(IFERROR(INDEX(tsk_Name,(ROW()-ROW(MSPTasks[[#Headers],[ID]])))="",TRUE()),"",INDEX(tsk_FcStart,(ROW()-ROW(MSPTasks[[#Headers],[ID]]))))</f>
        <v/>
      </c>
      <c r="H119" s="130" t="str">
        <f aca="false">IF(IFERROR(INDEX(tsk_Name,(ROW()-ROW(MSPTasks[[#Headers],[ID]])))="",TRUE()),"",INDEX(tsk_FcFinish,(ROW()-ROW(MSPTasks[[#Headers],[ID]]))))</f>
        <v/>
      </c>
      <c r="I119" s="24" t="str">
        <f aca="false">IF(IFERROR(INDEX(tsk_Name,(ROW()-ROW(MSPTasks[[#Headers],[ID]])))="",TRUE()),"",IF(INDEX(tsk_IsSummary,(ROW()-ROW(MSPTasks[[#Headers],[ID]]))),"",INDEX(tsk_Predecessors,(ROW()-ROW(MSPTasks[[#Headers],[ID]])))))</f>
        <v/>
      </c>
      <c r="J119" s="24" t="str">
        <f aca="false">IF(IFERROR(INDEX(tsk_Name,(ROW()-ROW(MSPTasks[[#Headers],[ID]])))="",TRUE()),"",IF(INDEX(tsk_IsSummary,(ROW()-ROW(MSPTasks[[#Headers],[ID]]))),"",INDEX(tsk_UIDPredecessors,(ROW()-ROW(MSPTasks[[#Headers],[ID]])))))</f>
        <v/>
      </c>
      <c r="K1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9" s="24" t="str">
        <f aca="false">IF(IFERROR(INDEX(tsk_Name,(ROW()-ROW(MSPTasks[[#Headers],[ID]])))="",TRUE()),"",IF(INDEX(tsk_IsSummary,(ROW()-ROW(MSPTasks[[#Headers],[ID]]))),"",ROUND(INDEX(tsk_Progress,(ROW()-ROW(MSPTasks[[#Headers],[ID]])))*100,0)))</f>
        <v/>
      </c>
      <c r="M119" s="130" t="str">
        <f aca="false">IF(IFERROR(INDEX(tsk_Name,(ROW()-ROW(MSPTasks[[#Headers],[ID]])))="",TRUE()),"",IF(N(INDEX(tsk_ActStart,(ROW()-ROW(MSPTasks[[#Headers],[ID]]))))=0,"",INDEX(tsk_ActStart,(ROW()-ROW(MSPTasks[[#Headers],[ID]])))))</f>
        <v/>
      </c>
      <c r="N119" s="130" t="str">
        <f aca="false">IF(IFERROR(INDEX(tsk_Name,(ROW()-ROW(MSPTasks[[#Headers],[ID]])))="",TRUE()),"",IF(N(INDEX(tsk_ActFinish,(ROW()-ROW(MSPTasks[[#Headers],[ID]]))))=0,"",INDEX(tsk_ActFinish,(ROW()-ROW(MSPTasks[[#Headers],[ID]])))))</f>
        <v/>
      </c>
      <c r="O119" s="130" t="str">
        <f aca="false">IF(IFERROR(INDEX(tsk_Name,(ROW()-ROW(MSPTasks[[#Headers],[ID]])))="",TRUE()),"",INDEX(tsk_PlanStart,(ROW()-ROW(MSPTasks[[#Headers],[ID]]))))</f>
        <v/>
      </c>
      <c r="P119" s="130" t="str">
        <f aca="false">IF(IFERROR(INDEX(tsk_Name,(ROW()-ROW(MSPTasks[[#Headers],[ID]])))="",TRUE()),"",INDEX(tsk_PlanFinish,(ROW()-ROW(MSPTasks[[#Headers],[ID]]))))</f>
        <v/>
      </c>
      <c r="Q119" s="24" t="str">
        <f aca="false">IF(IFERROR(INDEX(tsk_Name,(ROW()-ROW(MSPTasks[[#Headers],[ID]])))="",TRUE()),"",IF(INDEX(tsk_BaseDuration,(ROW()-ROW(MSPTasks[[#Headers],[ID]])))="","",N(INDEX(tsk_BaseDuration,(ROW()-ROW(MSPTasks[[#Headers],[ID]]))))&amp;"d"))</f>
        <v/>
      </c>
      <c r="R119" s="24" t="str">
        <f aca="false">IF(IFERROR(INDEX(tsk_Name,(ROW()-ROW(MSPTasks[[#Headers],[ID]])))="",TRUE()),"",IF(INDEX(tsk_BaseWork,(ROW()-ROW(MSPTasks[[#Headers],[ID]])))="","",N(INDEX(tsk_BaseWork,(ROW()-ROW(MSPTasks[[#Headers],[ID]]))))&amp;"h"))</f>
        <v/>
      </c>
      <c r="S119" s="24" t="str">
        <f aca="false">IF(IFERROR(INDEX(tsk_Name,(ROW()-ROW(MSPTasks[[#Headers],[ID]])))="",TRUE()),"",IF(INDEX(tsk_BaseCost,(ROW()-ROW(MSPTasks[[#Headers],[ID]])))="","",N(INDEX(tsk_BaseCost,(ROW()-ROW(MSPTasks[[#Headers],[ID]]))))))</f>
        <v/>
      </c>
      <c r="T119" s="24" t="str">
        <f aca="false">IF(IFERROR(INDEX(tsk_Name,(ROW()-ROW(MSPTasks[[#Headers],[ID]])))="",TRUE()),"",IF(INDEX(tsk_IsSummary,(ROW()-ROW(MSPTasks[[#Headers],[ID]]))),"",IF(N(INDEX(tsk_ActCostInput,(ROW()-ROW(MSPTasks[[#Headers],[ID]]))))=0,"",INDEX(tsk_ActCostInput,(ROW()-ROW(MSPTasks[[#Headers],[ID]]))))))</f>
        <v/>
      </c>
      <c r="U119" s="24" t="str">
        <f aca="false">IF(IFERROR(INDEX(tsk_Name,(ROW()-ROW(MSPTasks[[#Headers],[ID]])))="",TRUE()),"",IF(INDEX(tsk_IsSummary,(ROW()-ROW(MSPTasks[[#Headers],[ID]]))),"",IF(AND(INDEX(tsk_Mode,(ROW()-ROW(MSPTasks[[#Headers],[ID]])))&lt;&gt;"Manual",N(INDEX(tsk_Constraint,(ROW()-ROW(MSPTasks[[#Headers],[ID]]))))&gt;0),"Start No Earlier Than","As Soon As Possible")))</f>
        <v/>
      </c>
      <c r="V119" s="130" t="str">
        <f aca="false">IF(IFERROR(INDEX(tsk_Name,(ROW()-ROW(MSPTasks[[#Headers],[ID]])))="",TRUE()),"",IF(OR(INDEX(tsk_IsSummary,(ROW()-ROW(MSPTasks[[#Headers],[ID]]))),INDEX(tsk_Mode,(ROW()-ROW(MSPTasks[[#Headers],[ID]])))="Manual"),"",IF(N(INDEX(tsk_Constraint,(ROW()-ROW(MSPTasks[[#Headers],[ID]]))))=0,"",INDEX(tsk_Constraint,(ROW()-ROW(MSPTasks[[#Headers],[ID]]))))))</f>
        <v/>
      </c>
      <c r="W119" s="130" t="str">
        <f aca="false">IF(IFERROR(INDEX(tsk_Name,(ROW()-ROW(MSPTasks[[#Headers],[ID]])))="",TRUE()),"",IF(N(INDEX(tsk_Deadline,(ROW()-ROW(MSPTasks[[#Headers],[ID]]))))=0,"",INDEX(tsk_Deadline,(ROW()-ROW(MSPTasks[[#Headers],[ID]])))))</f>
        <v/>
      </c>
      <c r="X119" s="24" t="str">
        <f aca="false">IF(IFERROR(INDEX(tsk_Name,(ROW()-ROW(MSPTasks[[#Headers],[ID]])))="",TRUE()),"",IF(INDEX(tsk_IsSummary,(ROW()-ROW(MSPTasks[[#Headers],[ID]]))),"",INDEX(tsk_Sprint,(ROW()-ROW(MSPTasks[[#Headers],[ID]])))&amp;""))</f>
        <v/>
      </c>
      <c r="Y119" s="24" t="str">
        <f aca="false">IF(IFERROR(INDEX(tsk_Name,(ROW()-ROW(MSPTasks[[#Headers],[ID]])))="",TRUE()),"",IF(INDEX(tsk_IsSummary,(ROW()-ROW(MSPTasks[[#Headers],[ID]]))),"",IF(N(INDEX(tsk_StoryPoints,(ROW()-ROW(MSPTasks[[#Headers],[ID]]))))=0,"",INDEX(tsk_StoryPoints,(ROW()-ROW(MSPTasks[[#Headers],[ID]]))))))</f>
        <v/>
      </c>
      <c r="Z119" s="24" t="str">
        <f aca="false">IF(IFERROR(INDEX(tsk_Name,(ROW()-ROW(MSPTasks[[#Headers],[ID]])))="",TRUE()),"",INDEX(tsk_Notes,(ROW()-ROW(MSPTasks[[#Headers],[ID]])))&amp;"")</f>
        <v/>
      </c>
    </row>
    <row r="120" customFormat="false" ht="15" hidden="false" customHeight="false" outlineLevel="0" collapsed="false">
      <c r="A120" s="24" t="str">
        <f aca="false">IF(IFERROR(INDEX(tsk_Name,(ROW()-ROW(MSPTasks[[#Headers],[ID]])))="",TRUE()),"",INDEX(tsk_ID,(ROW()-ROW(MSPTasks[[#Headers],[ID]]))))</f>
        <v/>
      </c>
      <c r="B120" s="24" t="str">
        <f aca="false">IF(IFERROR(INDEX(tsk_Name,(ROW()-ROW(MSPTasks[[#Headers],[ID]])))="",TRUE()),"",INDEX(tsk_UID,(ROW()-ROW(MSPTasks[[#Headers],[ID]]))))</f>
        <v/>
      </c>
      <c r="C120" s="24" t="str">
        <f aca="false">IF(IFERROR(INDEX(tsk_Name,(ROW()-ROW(MSPTasks[[#Headers],[ID]])))="",TRUE()),"",INDEX(tsk_Name,(ROW()-ROW(MSPTasks[[#Headers],[ID]]))))</f>
        <v/>
      </c>
      <c r="D120" s="24" t="str">
        <f aca="false">IF(IFERROR(INDEX(tsk_Name,(ROW()-ROW(MSPTasks[[#Headers],[ID]])))="",TRUE()),"",INDEX(tsk_Level,(ROW()-ROW(MSPTasks[[#Headers],[ID]]))))</f>
        <v/>
      </c>
      <c r="E120" s="24" t="str">
        <f aca="false">IF(IFERROR(INDEX(tsk_Name,(ROW()-ROW(MSPTasks[[#Headers],[ID]])))="",TRUE()),"",IF(INDEX(tsk_Mode,(ROW()-ROW(MSPTasks[[#Headers],[ID]])))="Manual","Manually Scheduled","Auto Scheduled"))</f>
        <v/>
      </c>
      <c r="F120" s="24" t="str">
        <f aca="false">IF(IFERROR(INDEX(tsk_Name,(ROW()-ROW(MSPTasks[[#Headers],[ID]])))="",TRUE()),"",IF(INDEX(tsk_IsSummary,(ROW()-ROW(MSPTasks[[#Headers],[ID]]))),"",N(INDEX(tsk_Duration,(ROW()-ROW(MSPTasks[[#Headers],[ID]]))))&amp;"d"))</f>
        <v/>
      </c>
      <c r="G120" s="130" t="str">
        <f aca="false">IF(IFERROR(INDEX(tsk_Name,(ROW()-ROW(MSPTasks[[#Headers],[ID]])))="",TRUE()),"",INDEX(tsk_FcStart,(ROW()-ROW(MSPTasks[[#Headers],[ID]]))))</f>
        <v/>
      </c>
      <c r="H120" s="130" t="str">
        <f aca="false">IF(IFERROR(INDEX(tsk_Name,(ROW()-ROW(MSPTasks[[#Headers],[ID]])))="",TRUE()),"",INDEX(tsk_FcFinish,(ROW()-ROW(MSPTasks[[#Headers],[ID]]))))</f>
        <v/>
      </c>
      <c r="I120" s="24" t="str">
        <f aca="false">IF(IFERROR(INDEX(tsk_Name,(ROW()-ROW(MSPTasks[[#Headers],[ID]])))="",TRUE()),"",IF(INDEX(tsk_IsSummary,(ROW()-ROW(MSPTasks[[#Headers],[ID]]))),"",INDEX(tsk_Predecessors,(ROW()-ROW(MSPTasks[[#Headers],[ID]])))))</f>
        <v/>
      </c>
      <c r="J120" s="24" t="str">
        <f aca="false">IF(IFERROR(INDEX(tsk_Name,(ROW()-ROW(MSPTasks[[#Headers],[ID]])))="",TRUE()),"",IF(INDEX(tsk_IsSummary,(ROW()-ROW(MSPTasks[[#Headers],[ID]]))),"",INDEX(tsk_UIDPredecessors,(ROW()-ROW(MSPTasks[[#Headers],[ID]])))))</f>
        <v/>
      </c>
      <c r="K1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0" s="24" t="str">
        <f aca="false">IF(IFERROR(INDEX(tsk_Name,(ROW()-ROW(MSPTasks[[#Headers],[ID]])))="",TRUE()),"",IF(INDEX(tsk_IsSummary,(ROW()-ROW(MSPTasks[[#Headers],[ID]]))),"",ROUND(INDEX(tsk_Progress,(ROW()-ROW(MSPTasks[[#Headers],[ID]])))*100,0)))</f>
        <v/>
      </c>
      <c r="M120" s="130" t="str">
        <f aca="false">IF(IFERROR(INDEX(tsk_Name,(ROW()-ROW(MSPTasks[[#Headers],[ID]])))="",TRUE()),"",IF(N(INDEX(tsk_ActStart,(ROW()-ROW(MSPTasks[[#Headers],[ID]]))))=0,"",INDEX(tsk_ActStart,(ROW()-ROW(MSPTasks[[#Headers],[ID]])))))</f>
        <v/>
      </c>
      <c r="N120" s="130" t="str">
        <f aca="false">IF(IFERROR(INDEX(tsk_Name,(ROW()-ROW(MSPTasks[[#Headers],[ID]])))="",TRUE()),"",IF(N(INDEX(tsk_ActFinish,(ROW()-ROW(MSPTasks[[#Headers],[ID]]))))=0,"",INDEX(tsk_ActFinish,(ROW()-ROW(MSPTasks[[#Headers],[ID]])))))</f>
        <v/>
      </c>
      <c r="O120" s="130" t="str">
        <f aca="false">IF(IFERROR(INDEX(tsk_Name,(ROW()-ROW(MSPTasks[[#Headers],[ID]])))="",TRUE()),"",INDEX(tsk_PlanStart,(ROW()-ROW(MSPTasks[[#Headers],[ID]]))))</f>
        <v/>
      </c>
      <c r="P120" s="130" t="str">
        <f aca="false">IF(IFERROR(INDEX(tsk_Name,(ROW()-ROW(MSPTasks[[#Headers],[ID]])))="",TRUE()),"",INDEX(tsk_PlanFinish,(ROW()-ROW(MSPTasks[[#Headers],[ID]]))))</f>
        <v/>
      </c>
      <c r="Q120" s="24" t="str">
        <f aca="false">IF(IFERROR(INDEX(tsk_Name,(ROW()-ROW(MSPTasks[[#Headers],[ID]])))="",TRUE()),"",IF(INDEX(tsk_BaseDuration,(ROW()-ROW(MSPTasks[[#Headers],[ID]])))="","",N(INDEX(tsk_BaseDuration,(ROW()-ROW(MSPTasks[[#Headers],[ID]]))))&amp;"d"))</f>
        <v/>
      </c>
      <c r="R120" s="24" t="str">
        <f aca="false">IF(IFERROR(INDEX(tsk_Name,(ROW()-ROW(MSPTasks[[#Headers],[ID]])))="",TRUE()),"",IF(INDEX(tsk_BaseWork,(ROW()-ROW(MSPTasks[[#Headers],[ID]])))="","",N(INDEX(tsk_BaseWork,(ROW()-ROW(MSPTasks[[#Headers],[ID]]))))&amp;"h"))</f>
        <v/>
      </c>
      <c r="S120" s="24" t="str">
        <f aca="false">IF(IFERROR(INDEX(tsk_Name,(ROW()-ROW(MSPTasks[[#Headers],[ID]])))="",TRUE()),"",IF(INDEX(tsk_BaseCost,(ROW()-ROW(MSPTasks[[#Headers],[ID]])))="","",N(INDEX(tsk_BaseCost,(ROW()-ROW(MSPTasks[[#Headers],[ID]]))))))</f>
        <v/>
      </c>
      <c r="T120" s="24" t="str">
        <f aca="false">IF(IFERROR(INDEX(tsk_Name,(ROW()-ROW(MSPTasks[[#Headers],[ID]])))="",TRUE()),"",IF(INDEX(tsk_IsSummary,(ROW()-ROW(MSPTasks[[#Headers],[ID]]))),"",IF(N(INDEX(tsk_ActCostInput,(ROW()-ROW(MSPTasks[[#Headers],[ID]]))))=0,"",INDEX(tsk_ActCostInput,(ROW()-ROW(MSPTasks[[#Headers],[ID]]))))))</f>
        <v/>
      </c>
      <c r="U120" s="24" t="str">
        <f aca="false">IF(IFERROR(INDEX(tsk_Name,(ROW()-ROW(MSPTasks[[#Headers],[ID]])))="",TRUE()),"",IF(INDEX(tsk_IsSummary,(ROW()-ROW(MSPTasks[[#Headers],[ID]]))),"",IF(AND(INDEX(tsk_Mode,(ROW()-ROW(MSPTasks[[#Headers],[ID]])))&lt;&gt;"Manual",N(INDEX(tsk_Constraint,(ROW()-ROW(MSPTasks[[#Headers],[ID]]))))&gt;0),"Start No Earlier Than","As Soon As Possible")))</f>
        <v/>
      </c>
      <c r="V120" s="130" t="str">
        <f aca="false">IF(IFERROR(INDEX(tsk_Name,(ROW()-ROW(MSPTasks[[#Headers],[ID]])))="",TRUE()),"",IF(OR(INDEX(tsk_IsSummary,(ROW()-ROW(MSPTasks[[#Headers],[ID]]))),INDEX(tsk_Mode,(ROW()-ROW(MSPTasks[[#Headers],[ID]])))="Manual"),"",IF(N(INDEX(tsk_Constraint,(ROW()-ROW(MSPTasks[[#Headers],[ID]]))))=0,"",INDEX(tsk_Constraint,(ROW()-ROW(MSPTasks[[#Headers],[ID]]))))))</f>
        <v/>
      </c>
      <c r="W120" s="130" t="str">
        <f aca="false">IF(IFERROR(INDEX(tsk_Name,(ROW()-ROW(MSPTasks[[#Headers],[ID]])))="",TRUE()),"",IF(N(INDEX(tsk_Deadline,(ROW()-ROW(MSPTasks[[#Headers],[ID]]))))=0,"",INDEX(tsk_Deadline,(ROW()-ROW(MSPTasks[[#Headers],[ID]])))))</f>
        <v/>
      </c>
      <c r="X120" s="24" t="str">
        <f aca="false">IF(IFERROR(INDEX(tsk_Name,(ROW()-ROW(MSPTasks[[#Headers],[ID]])))="",TRUE()),"",IF(INDEX(tsk_IsSummary,(ROW()-ROW(MSPTasks[[#Headers],[ID]]))),"",INDEX(tsk_Sprint,(ROW()-ROW(MSPTasks[[#Headers],[ID]])))&amp;""))</f>
        <v/>
      </c>
      <c r="Y120" s="24" t="str">
        <f aca="false">IF(IFERROR(INDEX(tsk_Name,(ROW()-ROW(MSPTasks[[#Headers],[ID]])))="",TRUE()),"",IF(INDEX(tsk_IsSummary,(ROW()-ROW(MSPTasks[[#Headers],[ID]]))),"",IF(N(INDEX(tsk_StoryPoints,(ROW()-ROW(MSPTasks[[#Headers],[ID]]))))=0,"",INDEX(tsk_StoryPoints,(ROW()-ROW(MSPTasks[[#Headers],[ID]]))))))</f>
        <v/>
      </c>
      <c r="Z120" s="24" t="str">
        <f aca="false">IF(IFERROR(INDEX(tsk_Name,(ROW()-ROW(MSPTasks[[#Headers],[ID]])))="",TRUE()),"",INDEX(tsk_Notes,(ROW()-ROW(MSPTasks[[#Headers],[ID]])))&amp;"")</f>
        <v/>
      </c>
    </row>
    <row r="121" customFormat="false" ht="15" hidden="false" customHeight="false" outlineLevel="0" collapsed="false">
      <c r="A121" s="24" t="str">
        <f aca="false">IF(IFERROR(INDEX(tsk_Name,(ROW()-ROW(MSPTasks[[#Headers],[ID]])))="",TRUE()),"",INDEX(tsk_ID,(ROW()-ROW(MSPTasks[[#Headers],[ID]]))))</f>
        <v/>
      </c>
      <c r="B121" s="24" t="str">
        <f aca="false">IF(IFERROR(INDEX(tsk_Name,(ROW()-ROW(MSPTasks[[#Headers],[ID]])))="",TRUE()),"",INDEX(tsk_UID,(ROW()-ROW(MSPTasks[[#Headers],[ID]]))))</f>
        <v/>
      </c>
      <c r="C121" s="24" t="str">
        <f aca="false">IF(IFERROR(INDEX(tsk_Name,(ROW()-ROW(MSPTasks[[#Headers],[ID]])))="",TRUE()),"",INDEX(tsk_Name,(ROW()-ROW(MSPTasks[[#Headers],[ID]]))))</f>
        <v/>
      </c>
      <c r="D121" s="24" t="str">
        <f aca="false">IF(IFERROR(INDEX(tsk_Name,(ROW()-ROW(MSPTasks[[#Headers],[ID]])))="",TRUE()),"",INDEX(tsk_Level,(ROW()-ROW(MSPTasks[[#Headers],[ID]]))))</f>
        <v/>
      </c>
      <c r="E121" s="24" t="str">
        <f aca="false">IF(IFERROR(INDEX(tsk_Name,(ROW()-ROW(MSPTasks[[#Headers],[ID]])))="",TRUE()),"",IF(INDEX(tsk_Mode,(ROW()-ROW(MSPTasks[[#Headers],[ID]])))="Manual","Manually Scheduled","Auto Scheduled"))</f>
        <v/>
      </c>
      <c r="F121" s="24" t="str">
        <f aca="false">IF(IFERROR(INDEX(tsk_Name,(ROW()-ROW(MSPTasks[[#Headers],[ID]])))="",TRUE()),"",IF(INDEX(tsk_IsSummary,(ROW()-ROW(MSPTasks[[#Headers],[ID]]))),"",N(INDEX(tsk_Duration,(ROW()-ROW(MSPTasks[[#Headers],[ID]]))))&amp;"d"))</f>
        <v/>
      </c>
      <c r="G121" s="130" t="str">
        <f aca="false">IF(IFERROR(INDEX(tsk_Name,(ROW()-ROW(MSPTasks[[#Headers],[ID]])))="",TRUE()),"",INDEX(tsk_FcStart,(ROW()-ROW(MSPTasks[[#Headers],[ID]]))))</f>
        <v/>
      </c>
      <c r="H121" s="130" t="str">
        <f aca="false">IF(IFERROR(INDEX(tsk_Name,(ROW()-ROW(MSPTasks[[#Headers],[ID]])))="",TRUE()),"",INDEX(tsk_FcFinish,(ROW()-ROW(MSPTasks[[#Headers],[ID]]))))</f>
        <v/>
      </c>
      <c r="I121" s="24" t="str">
        <f aca="false">IF(IFERROR(INDEX(tsk_Name,(ROW()-ROW(MSPTasks[[#Headers],[ID]])))="",TRUE()),"",IF(INDEX(tsk_IsSummary,(ROW()-ROW(MSPTasks[[#Headers],[ID]]))),"",INDEX(tsk_Predecessors,(ROW()-ROW(MSPTasks[[#Headers],[ID]])))))</f>
        <v/>
      </c>
      <c r="J121" s="24" t="str">
        <f aca="false">IF(IFERROR(INDEX(tsk_Name,(ROW()-ROW(MSPTasks[[#Headers],[ID]])))="",TRUE()),"",IF(INDEX(tsk_IsSummary,(ROW()-ROW(MSPTasks[[#Headers],[ID]]))),"",INDEX(tsk_UIDPredecessors,(ROW()-ROW(MSPTasks[[#Headers],[ID]])))))</f>
        <v/>
      </c>
      <c r="K1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1" s="24" t="str">
        <f aca="false">IF(IFERROR(INDEX(tsk_Name,(ROW()-ROW(MSPTasks[[#Headers],[ID]])))="",TRUE()),"",IF(INDEX(tsk_IsSummary,(ROW()-ROW(MSPTasks[[#Headers],[ID]]))),"",ROUND(INDEX(tsk_Progress,(ROW()-ROW(MSPTasks[[#Headers],[ID]])))*100,0)))</f>
        <v/>
      </c>
      <c r="M121" s="130" t="str">
        <f aca="false">IF(IFERROR(INDEX(tsk_Name,(ROW()-ROW(MSPTasks[[#Headers],[ID]])))="",TRUE()),"",IF(N(INDEX(tsk_ActStart,(ROW()-ROW(MSPTasks[[#Headers],[ID]]))))=0,"",INDEX(tsk_ActStart,(ROW()-ROW(MSPTasks[[#Headers],[ID]])))))</f>
        <v/>
      </c>
      <c r="N121" s="130" t="str">
        <f aca="false">IF(IFERROR(INDEX(tsk_Name,(ROW()-ROW(MSPTasks[[#Headers],[ID]])))="",TRUE()),"",IF(N(INDEX(tsk_ActFinish,(ROW()-ROW(MSPTasks[[#Headers],[ID]]))))=0,"",INDEX(tsk_ActFinish,(ROW()-ROW(MSPTasks[[#Headers],[ID]])))))</f>
        <v/>
      </c>
      <c r="O121" s="130" t="str">
        <f aca="false">IF(IFERROR(INDEX(tsk_Name,(ROW()-ROW(MSPTasks[[#Headers],[ID]])))="",TRUE()),"",INDEX(tsk_PlanStart,(ROW()-ROW(MSPTasks[[#Headers],[ID]]))))</f>
        <v/>
      </c>
      <c r="P121" s="130" t="str">
        <f aca="false">IF(IFERROR(INDEX(tsk_Name,(ROW()-ROW(MSPTasks[[#Headers],[ID]])))="",TRUE()),"",INDEX(tsk_PlanFinish,(ROW()-ROW(MSPTasks[[#Headers],[ID]]))))</f>
        <v/>
      </c>
      <c r="Q121" s="24" t="str">
        <f aca="false">IF(IFERROR(INDEX(tsk_Name,(ROW()-ROW(MSPTasks[[#Headers],[ID]])))="",TRUE()),"",IF(INDEX(tsk_BaseDuration,(ROW()-ROW(MSPTasks[[#Headers],[ID]])))="","",N(INDEX(tsk_BaseDuration,(ROW()-ROW(MSPTasks[[#Headers],[ID]]))))&amp;"d"))</f>
        <v/>
      </c>
      <c r="R121" s="24" t="str">
        <f aca="false">IF(IFERROR(INDEX(tsk_Name,(ROW()-ROW(MSPTasks[[#Headers],[ID]])))="",TRUE()),"",IF(INDEX(tsk_BaseWork,(ROW()-ROW(MSPTasks[[#Headers],[ID]])))="","",N(INDEX(tsk_BaseWork,(ROW()-ROW(MSPTasks[[#Headers],[ID]]))))&amp;"h"))</f>
        <v/>
      </c>
      <c r="S121" s="24" t="str">
        <f aca="false">IF(IFERROR(INDEX(tsk_Name,(ROW()-ROW(MSPTasks[[#Headers],[ID]])))="",TRUE()),"",IF(INDEX(tsk_BaseCost,(ROW()-ROW(MSPTasks[[#Headers],[ID]])))="","",N(INDEX(tsk_BaseCost,(ROW()-ROW(MSPTasks[[#Headers],[ID]]))))))</f>
        <v/>
      </c>
      <c r="T121" s="24" t="str">
        <f aca="false">IF(IFERROR(INDEX(tsk_Name,(ROW()-ROW(MSPTasks[[#Headers],[ID]])))="",TRUE()),"",IF(INDEX(tsk_IsSummary,(ROW()-ROW(MSPTasks[[#Headers],[ID]]))),"",IF(N(INDEX(tsk_ActCostInput,(ROW()-ROW(MSPTasks[[#Headers],[ID]]))))=0,"",INDEX(tsk_ActCostInput,(ROW()-ROW(MSPTasks[[#Headers],[ID]]))))))</f>
        <v/>
      </c>
      <c r="U121" s="24" t="str">
        <f aca="false">IF(IFERROR(INDEX(tsk_Name,(ROW()-ROW(MSPTasks[[#Headers],[ID]])))="",TRUE()),"",IF(INDEX(tsk_IsSummary,(ROW()-ROW(MSPTasks[[#Headers],[ID]]))),"",IF(AND(INDEX(tsk_Mode,(ROW()-ROW(MSPTasks[[#Headers],[ID]])))&lt;&gt;"Manual",N(INDEX(tsk_Constraint,(ROW()-ROW(MSPTasks[[#Headers],[ID]]))))&gt;0),"Start No Earlier Than","As Soon As Possible")))</f>
        <v/>
      </c>
      <c r="V121" s="130" t="str">
        <f aca="false">IF(IFERROR(INDEX(tsk_Name,(ROW()-ROW(MSPTasks[[#Headers],[ID]])))="",TRUE()),"",IF(OR(INDEX(tsk_IsSummary,(ROW()-ROW(MSPTasks[[#Headers],[ID]]))),INDEX(tsk_Mode,(ROW()-ROW(MSPTasks[[#Headers],[ID]])))="Manual"),"",IF(N(INDEX(tsk_Constraint,(ROW()-ROW(MSPTasks[[#Headers],[ID]]))))=0,"",INDEX(tsk_Constraint,(ROW()-ROW(MSPTasks[[#Headers],[ID]]))))))</f>
        <v/>
      </c>
      <c r="W121" s="130" t="str">
        <f aca="false">IF(IFERROR(INDEX(tsk_Name,(ROW()-ROW(MSPTasks[[#Headers],[ID]])))="",TRUE()),"",IF(N(INDEX(tsk_Deadline,(ROW()-ROW(MSPTasks[[#Headers],[ID]]))))=0,"",INDEX(tsk_Deadline,(ROW()-ROW(MSPTasks[[#Headers],[ID]])))))</f>
        <v/>
      </c>
      <c r="X121" s="24" t="str">
        <f aca="false">IF(IFERROR(INDEX(tsk_Name,(ROW()-ROW(MSPTasks[[#Headers],[ID]])))="",TRUE()),"",IF(INDEX(tsk_IsSummary,(ROW()-ROW(MSPTasks[[#Headers],[ID]]))),"",INDEX(tsk_Sprint,(ROW()-ROW(MSPTasks[[#Headers],[ID]])))&amp;""))</f>
        <v/>
      </c>
      <c r="Y121" s="24" t="str">
        <f aca="false">IF(IFERROR(INDEX(tsk_Name,(ROW()-ROW(MSPTasks[[#Headers],[ID]])))="",TRUE()),"",IF(INDEX(tsk_IsSummary,(ROW()-ROW(MSPTasks[[#Headers],[ID]]))),"",IF(N(INDEX(tsk_StoryPoints,(ROW()-ROW(MSPTasks[[#Headers],[ID]]))))=0,"",INDEX(tsk_StoryPoints,(ROW()-ROW(MSPTasks[[#Headers],[ID]]))))))</f>
        <v/>
      </c>
      <c r="Z121" s="24" t="str">
        <f aca="false">IF(IFERROR(INDEX(tsk_Name,(ROW()-ROW(MSPTasks[[#Headers],[ID]])))="",TRUE()),"",INDEX(tsk_Notes,(ROW()-ROW(MSPTasks[[#Headers],[ID]])))&amp;"")</f>
        <v/>
      </c>
    </row>
    <row r="122" customFormat="false" ht="15" hidden="false" customHeight="false" outlineLevel="0" collapsed="false">
      <c r="A122" s="24" t="str">
        <f aca="false">IF(IFERROR(INDEX(tsk_Name,(ROW()-ROW(MSPTasks[[#Headers],[ID]])))="",TRUE()),"",INDEX(tsk_ID,(ROW()-ROW(MSPTasks[[#Headers],[ID]]))))</f>
        <v/>
      </c>
      <c r="B122" s="24" t="str">
        <f aca="false">IF(IFERROR(INDEX(tsk_Name,(ROW()-ROW(MSPTasks[[#Headers],[ID]])))="",TRUE()),"",INDEX(tsk_UID,(ROW()-ROW(MSPTasks[[#Headers],[ID]]))))</f>
        <v/>
      </c>
      <c r="C122" s="24" t="str">
        <f aca="false">IF(IFERROR(INDEX(tsk_Name,(ROW()-ROW(MSPTasks[[#Headers],[ID]])))="",TRUE()),"",INDEX(tsk_Name,(ROW()-ROW(MSPTasks[[#Headers],[ID]]))))</f>
        <v/>
      </c>
      <c r="D122" s="24" t="str">
        <f aca="false">IF(IFERROR(INDEX(tsk_Name,(ROW()-ROW(MSPTasks[[#Headers],[ID]])))="",TRUE()),"",INDEX(tsk_Level,(ROW()-ROW(MSPTasks[[#Headers],[ID]]))))</f>
        <v/>
      </c>
      <c r="E122" s="24" t="str">
        <f aca="false">IF(IFERROR(INDEX(tsk_Name,(ROW()-ROW(MSPTasks[[#Headers],[ID]])))="",TRUE()),"",IF(INDEX(tsk_Mode,(ROW()-ROW(MSPTasks[[#Headers],[ID]])))="Manual","Manually Scheduled","Auto Scheduled"))</f>
        <v/>
      </c>
      <c r="F122" s="24" t="str">
        <f aca="false">IF(IFERROR(INDEX(tsk_Name,(ROW()-ROW(MSPTasks[[#Headers],[ID]])))="",TRUE()),"",IF(INDEX(tsk_IsSummary,(ROW()-ROW(MSPTasks[[#Headers],[ID]]))),"",N(INDEX(tsk_Duration,(ROW()-ROW(MSPTasks[[#Headers],[ID]]))))&amp;"d"))</f>
        <v/>
      </c>
      <c r="G122" s="130" t="str">
        <f aca="false">IF(IFERROR(INDEX(tsk_Name,(ROW()-ROW(MSPTasks[[#Headers],[ID]])))="",TRUE()),"",INDEX(tsk_FcStart,(ROW()-ROW(MSPTasks[[#Headers],[ID]]))))</f>
        <v/>
      </c>
      <c r="H122" s="130" t="str">
        <f aca="false">IF(IFERROR(INDEX(tsk_Name,(ROW()-ROW(MSPTasks[[#Headers],[ID]])))="",TRUE()),"",INDEX(tsk_FcFinish,(ROW()-ROW(MSPTasks[[#Headers],[ID]]))))</f>
        <v/>
      </c>
      <c r="I122" s="24" t="str">
        <f aca="false">IF(IFERROR(INDEX(tsk_Name,(ROW()-ROW(MSPTasks[[#Headers],[ID]])))="",TRUE()),"",IF(INDEX(tsk_IsSummary,(ROW()-ROW(MSPTasks[[#Headers],[ID]]))),"",INDEX(tsk_Predecessors,(ROW()-ROW(MSPTasks[[#Headers],[ID]])))))</f>
        <v/>
      </c>
      <c r="J122" s="24" t="str">
        <f aca="false">IF(IFERROR(INDEX(tsk_Name,(ROW()-ROW(MSPTasks[[#Headers],[ID]])))="",TRUE()),"",IF(INDEX(tsk_IsSummary,(ROW()-ROW(MSPTasks[[#Headers],[ID]]))),"",INDEX(tsk_UIDPredecessors,(ROW()-ROW(MSPTasks[[#Headers],[ID]])))))</f>
        <v/>
      </c>
      <c r="K1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2" s="24" t="str">
        <f aca="false">IF(IFERROR(INDEX(tsk_Name,(ROW()-ROW(MSPTasks[[#Headers],[ID]])))="",TRUE()),"",IF(INDEX(tsk_IsSummary,(ROW()-ROW(MSPTasks[[#Headers],[ID]]))),"",ROUND(INDEX(tsk_Progress,(ROW()-ROW(MSPTasks[[#Headers],[ID]])))*100,0)))</f>
        <v/>
      </c>
      <c r="M122" s="130" t="str">
        <f aca="false">IF(IFERROR(INDEX(tsk_Name,(ROW()-ROW(MSPTasks[[#Headers],[ID]])))="",TRUE()),"",IF(N(INDEX(tsk_ActStart,(ROW()-ROW(MSPTasks[[#Headers],[ID]]))))=0,"",INDEX(tsk_ActStart,(ROW()-ROW(MSPTasks[[#Headers],[ID]])))))</f>
        <v/>
      </c>
      <c r="N122" s="130" t="str">
        <f aca="false">IF(IFERROR(INDEX(tsk_Name,(ROW()-ROW(MSPTasks[[#Headers],[ID]])))="",TRUE()),"",IF(N(INDEX(tsk_ActFinish,(ROW()-ROW(MSPTasks[[#Headers],[ID]]))))=0,"",INDEX(tsk_ActFinish,(ROW()-ROW(MSPTasks[[#Headers],[ID]])))))</f>
        <v/>
      </c>
      <c r="O122" s="130" t="str">
        <f aca="false">IF(IFERROR(INDEX(tsk_Name,(ROW()-ROW(MSPTasks[[#Headers],[ID]])))="",TRUE()),"",INDEX(tsk_PlanStart,(ROW()-ROW(MSPTasks[[#Headers],[ID]]))))</f>
        <v/>
      </c>
      <c r="P122" s="130" t="str">
        <f aca="false">IF(IFERROR(INDEX(tsk_Name,(ROW()-ROW(MSPTasks[[#Headers],[ID]])))="",TRUE()),"",INDEX(tsk_PlanFinish,(ROW()-ROW(MSPTasks[[#Headers],[ID]]))))</f>
        <v/>
      </c>
      <c r="Q122" s="24" t="str">
        <f aca="false">IF(IFERROR(INDEX(tsk_Name,(ROW()-ROW(MSPTasks[[#Headers],[ID]])))="",TRUE()),"",IF(INDEX(tsk_BaseDuration,(ROW()-ROW(MSPTasks[[#Headers],[ID]])))="","",N(INDEX(tsk_BaseDuration,(ROW()-ROW(MSPTasks[[#Headers],[ID]]))))&amp;"d"))</f>
        <v/>
      </c>
      <c r="R122" s="24" t="str">
        <f aca="false">IF(IFERROR(INDEX(tsk_Name,(ROW()-ROW(MSPTasks[[#Headers],[ID]])))="",TRUE()),"",IF(INDEX(tsk_BaseWork,(ROW()-ROW(MSPTasks[[#Headers],[ID]])))="","",N(INDEX(tsk_BaseWork,(ROW()-ROW(MSPTasks[[#Headers],[ID]]))))&amp;"h"))</f>
        <v/>
      </c>
      <c r="S122" s="24" t="str">
        <f aca="false">IF(IFERROR(INDEX(tsk_Name,(ROW()-ROW(MSPTasks[[#Headers],[ID]])))="",TRUE()),"",IF(INDEX(tsk_BaseCost,(ROW()-ROW(MSPTasks[[#Headers],[ID]])))="","",N(INDEX(tsk_BaseCost,(ROW()-ROW(MSPTasks[[#Headers],[ID]]))))))</f>
        <v/>
      </c>
      <c r="T122" s="24" t="str">
        <f aca="false">IF(IFERROR(INDEX(tsk_Name,(ROW()-ROW(MSPTasks[[#Headers],[ID]])))="",TRUE()),"",IF(INDEX(tsk_IsSummary,(ROW()-ROW(MSPTasks[[#Headers],[ID]]))),"",IF(N(INDEX(tsk_ActCostInput,(ROW()-ROW(MSPTasks[[#Headers],[ID]]))))=0,"",INDEX(tsk_ActCostInput,(ROW()-ROW(MSPTasks[[#Headers],[ID]]))))))</f>
        <v/>
      </c>
      <c r="U122" s="24" t="str">
        <f aca="false">IF(IFERROR(INDEX(tsk_Name,(ROW()-ROW(MSPTasks[[#Headers],[ID]])))="",TRUE()),"",IF(INDEX(tsk_IsSummary,(ROW()-ROW(MSPTasks[[#Headers],[ID]]))),"",IF(AND(INDEX(tsk_Mode,(ROW()-ROW(MSPTasks[[#Headers],[ID]])))&lt;&gt;"Manual",N(INDEX(tsk_Constraint,(ROW()-ROW(MSPTasks[[#Headers],[ID]]))))&gt;0),"Start No Earlier Than","As Soon As Possible")))</f>
        <v/>
      </c>
      <c r="V122" s="130" t="str">
        <f aca="false">IF(IFERROR(INDEX(tsk_Name,(ROW()-ROW(MSPTasks[[#Headers],[ID]])))="",TRUE()),"",IF(OR(INDEX(tsk_IsSummary,(ROW()-ROW(MSPTasks[[#Headers],[ID]]))),INDEX(tsk_Mode,(ROW()-ROW(MSPTasks[[#Headers],[ID]])))="Manual"),"",IF(N(INDEX(tsk_Constraint,(ROW()-ROW(MSPTasks[[#Headers],[ID]]))))=0,"",INDEX(tsk_Constraint,(ROW()-ROW(MSPTasks[[#Headers],[ID]]))))))</f>
        <v/>
      </c>
      <c r="W122" s="130" t="str">
        <f aca="false">IF(IFERROR(INDEX(tsk_Name,(ROW()-ROW(MSPTasks[[#Headers],[ID]])))="",TRUE()),"",IF(N(INDEX(tsk_Deadline,(ROW()-ROW(MSPTasks[[#Headers],[ID]]))))=0,"",INDEX(tsk_Deadline,(ROW()-ROW(MSPTasks[[#Headers],[ID]])))))</f>
        <v/>
      </c>
      <c r="X122" s="24" t="str">
        <f aca="false">IF(IFERROR(INDEX(tsk_Name,(ROW()-ROW(MSPTasks[[#Headers],[ID]])))="",TRUE()),"",IF(INDEX(tsk_IsSummary,(ROW()-ROW(MSPTasks[[#Headers],[ID]]))),"",INDEX(tsk_Sprint,(ROW()-ROW(MSPTasks[[#Headers],[ID]])))&amp;""))</f>
        <v/>
      </c>
      <c r="Y122" s="24" t="str">
        <f aca="false">IF(IFERROR(INDEX(tsk_Name,(ROW()-ROW(MSPTasks[[#Headers],[ID]])))="",TRUE()),"",IF(INDEX(tsk_IsSummary,(ROW()-ROW(MSPTasks[[#Headers],[ID]]))),"",IF(N(INDEX(tsk_StoryPoints,(ROW()-ROW(MSPTasks[[#Headers],[ID]]))))=0,"",INDEX(tsk_StoryPoints,(ROW()-ROW(MSPTasks[[#Headers],[ID]]))))))</f>
        <v/>
      </c>
      <c r="Z122" s="24" t="str">
        <f aca="false">IF(IFERROR(INDEX(tsk_Name,(ROW()-ROW(MSPTasks[[#Headers],[ID]])))="",TRUE()),"",INDEX(tsk_Notes,(ROW()-ROW(MSPTasks[[#Headers],[ID]])))&amp;"")</f>
        <v/>
      </c>
    </row>
    <row r="123" customFormat="false" ht="15" hidden="false" customHeight="false" outlineLevel="0" collapsed="false">
      <c r="A123" s="24" t="str">
        <f aca="false">IF(IFERROR(INDEX(tsk_Name,(ROW()-ROW(MSPTasks[[#Headers],[ID]])))="",TRUE()),"",INDEX(tsk_ID,(ROW()-ROW(MSPTasks[[#Headers],[ID]]))))</f>
        <v/>
      </c>
      <c r="B123" s="24" t="str">
        <f aca="false">IF(IFERROR(INDEX(tsk_Name,(ROW()-ROW(MSPTasks[[#Headers],[ID]])))="",TRUE()),"",INDEX(tsk_UID,(ROW()-ROW(MSPTasks[[#Headers],[ID]]))))</f>
        <v/>
      </c>
      <c r="C123" s="24" t="str">
        <f aca="false">IF(IFERROR(INDEX(tsk_Name,(ROW()-ROW(MSPTasks[[#Headers],[ID]])))="",TRUE()),"",INDEX(tsk_Name,(ROW()-ROW(MSPTasks[[#Headers],[ID]]))))</f>
        <v/>
      </c>
      <c r="D123" s="24" t="str">
        <f aca="false">IF(IFERROR(INDEX(tsk_Name,(ROW()-ROW(MSPTasks[[#Headers],[ID]])))="",TRUE()),"",INDEX(tsk_Level,(ROW()-ROW(MSPTasks[[#Headers],[ID]]))))</f>
        <v/>
      </c>
      <c r="E123" s="24" t="str">
        <f aca="false">IF(IFERROR(INDEX(tsk_Name,(ROW()-ROW(MSPTasks[[#Headers],[ID]])))="",TRUE()),"",IF(INDEX(tsk_Mode,(ROW()-ROW(MSPTasks[[#Headers],[ID]])))="Manual","Manually Scheduled","Auto Scheduled"))</f>
        <v/>
      </c>
      <c r="F123" s="24" t="str">
        <f aca="false">IF(IFERROR(INDEX(tsk_Name,(ROW()-ROW(MSPTasks[[#Headers],[ID]])))="",TRUE()),"",IF(INDEX(tsk_IsSummary,(ROW()-ROW(MSPTasks[[#Headers],[ID]]))),"",N(INDEX(tsk_Duration,(ROW()-ROW(MSPTasks[[#Headers],[ID]]))))&amp;"d"))</f>
        <v/>
      </c>
      <c r="G123" s="130" t="str">
        <f aca="false">IF(IFERROR(INDEX(tsk_Name,(ROW()-ROW(MSPTasks[[#Headers],[ID]])))="",TRUE()),"",INDEX(tsk_FcStart,(ROW()-ROW(MSPTasks[[#Headers],[ID]]))))</f>
        <v/>
      </c>
      <c r="H123" s="130" t="str">
        <f aca="false">IF(IFERROR(INDEX(tsk_Name,(ROW()-ROW(MSPTasks[[#Headers],[ID]])))="",TRUE()),"",INDEX(tsk_FcFinish,(ROW()-ROW(MSPTasks[[#Headers],[ID]]))))</f>
        <v/>
      </c>
      <c r="I123" s="24" t="str">
        <f aca="false">IF(IFERROR(INDEX(tsk_Name,(ROW()-ROW(MSPTasks[[#Headers],[ID]])))="",TRUE()),"",IF(INDEX(tsk_IsSummary,(ROW()-ROW(MSPTasks[[#Headers],[ID]]))),"",INDEX(tsk_Predecessors,(ROW()-ROW(MSPTasks[[#Headers],[ID]])))))</f>
        <v/>
      </c>
      <c r="J123" s="24" t="str">
        <f aca="false">IF(IFERROR(INDEX(tsk_Name,(ROW()-ROW(MSPTasks[[#Headers],[ID]])))="",TRUE()),"",IF(INDEX(tsk_IsSummary,(ROW()-ROW(MSPTasks[[#Headers],[ID]]))),"",INDEX(tsk_UIDPredecessors,(ROW()-ROW(MSPTasks[[#Headers],[ID]])))))</f>
        <v/>
      </c>
      <c r="K1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3" s="24" t="str">
        <f aca="false">IF(IFERROR(INDEX(tsk_Name,(ROW()-ROW(MSPTasks[[#Headers],[ID]])))="",TRUE()),"",IF(INDEX(tsk_IsSummary,(ROW()-ROW(MSPTasks[[#Headers],[ID]]))),"",ROUND(INDEX(tsk_Progress,(ROW()-ROW(MSPTasks[[#Headers],[ID]])))*100,0)))</f>
        <v/>
      </c>
      <c r="M123" s="130" t="str">
        <f aca="false">IF(IFERROR(INDEX(tsk_Name,(ROW()-ROW(MSPTasks[[#Headers],[ID]])))="",TRUE()),"",IF(N(INDEX(tsk_ActStart,(ROW()-ROW(MSPTasks[[#Headers],[ID]]))))=0,"",INDEX(tsk_ActStart,(ROW()-ROW(MSPTasks[[#Headers],[ID]])))))</f>
        <v/>
      </c>
      <c r="N123" s="130" t="str">
        <f aca="false">IF(IFERROR(INDEX(tsk_Name,(ROW()-ROW(MSPTasks[[#Headers],[ID]])))="",TRUE()),"",IF(N(INDEX(tsk_ActFinish,(ROW()-ROW(MSPTasks[[#Headers],[ID]]))))=0,"",INDEX(tsk_ActFinish,(ROW()-ROW(MSPTasks[[#Headers],[ID]])))))</f>
        <v/>
      </c>
      <c r="O123" s="130" t="str">
        <f aca="false">IF(IFERROR(INDEX(tsk_Name,(ROW()-ROW(MSPTasks[[#Headers],[ID]])))="",TRUE()),"",INDEX(tsk_PlanStart,(ROW()-ROW(MSPTasks[[#Headers],[ID]]))))</f>
        <v/>
      </c>
      <c r="P123" s="130" t="str">
        <f aca="false">IF(IFERROR(INDEX(tsk_Name,(ROW()-ROW(MSPTasks[[#Headers],[ID]])))="",TRUE()),"",INDEX(tsk_PlanFinish,(ROW()-ROW(MSPTasks[[#Headers],[ID]]))))</f>
        <v/>
      </c>
      <c r="Q123" s="24" t="str">
        <f aca="false">IF(IFERROR(INDEX(tsk_Name,(ROW()-ROW(MSPTasks[[#Headers],[ID]])))="",TRUE()),"",IF(INDEX(tsk_BaseDuration,(ROW()-ROW(MSPTasks[[#Headers],[ID]])))="","",N(INDEX(tsk_BaseDuration,(ROW()-ROW(MSPTasks[[#Headers],[ID]]))))&amp;"d"))</f>
        <v/>
      </c>
      <c r="R123" s="24" t="str">
        <f aca="false">IF(IFERROR(INDEX(tsk_Name,(ROW()-ROW(MSPTasks[[#Headers],[ID]])))="",TRUE()),"",IF(INDEX(tsk_BaseWork,(ROW()-ROW(MSPTasks[[#Headers],[ID]])))="","",N(INDEX(tsk_BaseWork,(ROW()-ROW(MSPTasks[[#Headers],[ID]]))))&amp;"h"))</f>
        <v/>
      </c>
      <c r="S123" s="24" t="str">
        <f aca="false">IF(IFERROR(INDEX(tsk_Name,(ROW()-ROW(MSPTasks[[#Headers],[ID]])))="",TRUE()),"",IF(INDEX(tsk_BaseCost,(ROW()-ROW(MSPTasks[[#Headers],[ID]])))="","",N(INDEX(tsk_BaseCost,(ROW()-ROW(MSPTasks[[#Headers],[ID]]))))))</f>
        <v/>
      </c>
      <c r="T123" s="24" t="str">
        <f aca="false">IF(IFERROR(INDEX(tsk_Name,(ROW()-ROW(MSPTasks[[#Headers],[ID]])))="",TRUE()),"",IF(INDEX(tsk_IsSummary,(ROW()-ROW(MSPTasks[[#Headers],[ID]]))),"",IF(N(INDEX(tsk_ActCostInput,(ROW()-ROW(MSPTasks[[#Headers],[ID]]))))=0,"",INDEX(tsk_ActCostInput,(ROW()-ROW(MSPTasks[[#Headers],[ID]]))))))</f>
        <v/>
      </c>
      <c r="U123" s="24" t="str">
        <f aca="false">IF(IFERROR(INDEX(tsk_Name,(ROW()-ROW(MSPTasks[[#Headers],[ID]])))="",TRUE()),"",IF(INDEX(tsk_IsSummary,(ROW()-ROW(MSPTasks[[#Headers],[ID]]))),"",IF(AND(INDEX(tsk_Mode,(ROW()-ROW(MSPTasks[[#Headers],[ID]])))&lt;&gt;"Manual",N(INDEX(tsk_Constraint,(ROW()-ROW(MSPTasks[[#Headers],[ID]]))))&gt;0),"Start No Earlier Than","As Soon As Possible")))</f>
        <v/>
      </c>
      <c r="V123" s="130" t="str">
        <f aca="false">IF(IFERROR(INDEX(tsk_Name,(ROW()-ROW(MSPTasks[[#Headers],[ID]])))="",TRUE()),"",IF(OR(INDEX(tsk_IsSummary,(ROW()-ROW(MSPTasks[[#Headers],[ID]]))),INDEX(tsk_Mode,(ROW()-ROW(MSPTasks[[#Headers],[ID]])))="Manual"),"",IF(N(INDEX(tsk_Constraint,(ROW()-ROW(MSPTasks[[#Headers],[ID]]))))=0,"",INDEX(tsk_Constraint,(ROW()-ROW(MSPTasks[[#Headers],[ID]]))))))</f>
        <v/>
      </c>
      <c r="W123" s="130" t="str">
        <f aca="false">IF(IFERROR(INDEX(tsk_Name,(ROW()-ROW(MSPTasks[[#Headers],[ID]])))="",TRUE()),"",IF(N(INDEX(tsk_Deadline,(ROW()-ROW(MSPTasks[[#Headers],[ID]]))))=0,"",INDEX(tsk_Deadline,(ROW()-ROW(MSPTasks[[#Headers],[ID]])))))</f>
        <v/>
      </c>
      <c r="X123" s="24" t="str">
        <f aca="false">IF(IFERROR(INDEX(tsk_Name,(ROW()-ROW(MSPTasks[[#Headers],[ID]])))="",TRUE()),"",IF(INDEX(tsk_IsSummary,(ROW()-ROW(MSPTasks[[#Headers],[ID]]))),"",INDEX(tsk_Sprint,(ROW()-ROW(MSPTasks[[#Headers],[ID]])))&amp;""))</f>
        <v/>
      </c>
      <c r="Y123" s="24" t="str">
        <f aca="false">IF(IFERROR(INDEX(tsk_Name,(ROW()-ROW(MSPTasks[[#Headers],[ID]])))="",TRUE()),"",IF(INDEX(tsk_IsSummary,(ROW()-ROW(MSPTasks[[#Headers],[ID]]))),"",IF(N(INDEX(tsk_StoryPoints,(ROW()-ROW(MSPTasks[[#Headers],[ID]]))))=0,"",INDEX(tsk_StoryPoints,(ROW()-ROW(MSPTasks[[#Headers],[ID]]))))))</f>
        <v/>
      </c>
      <c r="Z123" s="24" t="str">
        <f aca="false">IF(IFERROR(INDEX(tsk_Name,(ROW()-ROW(MSPTasks[[#Headers],[ID]])))="",TRUE()),"",INDEX(tsk_Notes,(ROW()-ROW(MSPTasks[[#Headers],[ID]])))&amp;"")</f>
        <v/>
      </c>
    </row>
    <row r="124" customFormat="false" ht="15" hidden="false" customHeight="false" outlineLevel="0" collapsed="false">
      <c r="A124" s="24" t="str">
        <f aca="false">IF(IFERROR(INDEX(tsk_Name,(ROW()-ROW(MSPTasks[[#Headers],[ID]])))="",TRUE()),"",INDEX(tsk_ID,(ROW()-ROW(MSPTasks[[#Headers],[ID]]))))</f>
        <v/>
      </c>
      <c r="B124" s="24" t="str">
        <f aca="false">IF(IFERROR(INDEX(tsk_Name,(ROW()-ROW(MSPTasks[[#Headers],[ID]])))="",TRUE()),"",INDEX(tsk_UID,(ROW()-ROW(MSPTasks[[#Headers],[ID]]))))</f>
        <v/>
      </c>
      <c r="C124" s="24" t="str">
        <f aca="false">IF(IFERROR(INDEX(tsk_Name,(ROW()-ROW(MSPTasks[[#Headers],[ID]])))="",TRUE()),"",INDEX(tsk_Name,(ROW()-ROW(MSPTasks[[#Headers],[ID]]))))</f>
        <v/>
      </c>
      <c r="D124" s="24" t="str">
        <f aca="false">IF(IFERROR(INDEX(tsk_Name,(ROW()-ROW(MSPTasks[[#Headers],[ID]])))="",TRUE()),"",INDEX(tsk_Level,(ROW()-ROW(MSPTasks[[#Headers],[ID]]))))</f>
        <v/>
      </c>
      <c r="E124" s="24" t="str">
        <f aca="false">IF(IFERROR(INDEX(tsk_Name,(ROW()-ROW(MSPTasks[[#Headers],[ID]])))="",TRUE()),"",IF(INDEX(tsk_Mode,(ROW()-ROW(MSPTasks[[#Headers],[ID]])))="Manual","Manually Scheduled","Auto Scheduled"))</f>
        <v/>
      </c>
      <c r="F124" s="24" t="str">
        <f aca="false">IF(IFERROR(INDEX(tsk_Name,(ROW()-ROW(MSPTasks[[#Headers],[ID]])))="",TRUE()),"",IF(INDEX(tsk_IsSummary,(ROW()-ROW(MSPTasks[[#Headers],[ID]]))),"",N(INDEX(tsk_Duration,(ROW()-ROW(MSPTasks[[#Headers],[ID]]))))&amp;"d"))</f>
        <v/>
      </c>
      <c r="G124" s="130" t="str">
        <f aca="false">IF(IFERROR(INDEX(tsk_Name,(ROW()-ROW(MSPTasks[[#Headers],[ID]])))="",TRUE()),"",INDEX(tsk_FcStart,(ROW()-ROW(MSPTasks[[#Headers],[ID]]))))</f>
        <v/>
      </c>
      <c r="H124" s="130" t="str">
        <f aca="false">IF(IFERROR(INDEX(tsk_Name,(ROW()-ROW(MSPTasks[[#Headers],[ID]])))="",TRUE()),"",INDEX(tsk_FcFinish,(ROW()-ROW(MSPTasks[[#Headers],[ID]]))))</f>
        <v/>
      </c>
      <c r="I124" s="24" t="str">
        <f aca="false">IF(IFERROR(INDEX(tsk_Name,(ROW()-ROW(MSPTasks[[#Headers],[ID]])))="",TRUE()),"",IF(INDEX(tsk_IsSummary,(ROW()-ROW(MSPTasks[[#Headers],[ID]]))),"",INDEX(tsk_Predecessors,(ROW()-ROW(MSPTasks[[#Headers],[ID]])))))</f>
        <v/>
      </c>
      <c r="J124" s="24" t="str">
        <f aca="false">IF(IFERROR(INDEX(tsk_Name,(ROW()-ROW(MSPTasks[[#Headers],[ID]])))="",TRUE()),"",IF(INDEX(tsk_IsSummary,(ROW()-ROW(MSPTasks[[#Headers],[ID]]))),"",INDEX(tsk_UIDPredecessors,(ROW()-ROW(MSPTasks[[#Headers],[ID]])))))</f>
        <v/>
      </c>
      <c r="K1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4" s="24" t="str">
        <f aca="false">IF(IFERROR(INDEX(tsk_Name,(ROW()-ROW(MSPTasks[[#Headers],[ID]])))="",TRUE()),"",IF(INDEX(tsk_IsSummary,(ROW()-ROW(MSPTasks[[#Headers],[ID]]))),"",ROUND(INDEX(tsk_Progress,(ROW()-ROW(MSPTasks[[#Headers],[ID]])))*100,0)))</f>
        <v/>
      </c>
      <c r="M124" s="130" t="str">
        <f aca="false">IF(IFERROR(INDEX(tsk_Name,(ROW()-ROW(MSPTasks[[#Headers],[ID]])))="",TRUE()),"",IF(N(INDEX(tsk_ActStart,(ROW()-ROW(MSPTasks[[#Headers],[ID]]))))=0,"",INDEX(tsk_ActStart,(ROW()-ROW(MSPTasks[[#Headers],[ID]])))))</f>
        <v/>
      </c>
      <c r="N124" s="130" t="str">
        <f aca="false">IF(IFERROR(INDEX(tsk_Name,(ROW()-ROW(MSPTasks[[#Headers],[ID]])))="",TRUE()),"",IF(N(INDEX(tsk_ActFinish,(ROW()-ROW(MSPTasks[[#Headers],[ID]]))))=0,"",INDEX(tsk_ActFinish,(ROW()-ROW(MSPTasks[[#Headers],[ID]])))))</f>
        <v/>
      </c>
      <c r="O124" s="130" t="str">
        <f aca="false">IF(IFERROR(INDEX(tsk_Name,(ROW()-ROW(MSPTasks[[#Headers],[ID]])))="",TRUE()),"",INDEX(tsk_PlanStart,(ROW()-ROW(MSPTasks[[#Headers],[ID]]))))</f>
        <v/>
      </c>
      <c r="P124" s="130" t="str">
        <f aca="false">IF(IFERROR(INDEX(tsk_Name,(ROW()-ROW(MSPTasks[[#Headers],[ID]])))="",TRUE()),"",INDEX(tsk_PlanFinish,(ROW()-ROW(MSPTasks[[#Headers],[ID]]))))</f>
        <v/>
      </c>
      <c r="Q124" s="24" t="str">
        <f aca="false">IF(IFERROR(INDEX(tsk_Name,(ROW()-ROW(MSPTasks[[#Headers],[ID]])))="",TRUE()),"",IF(INDEX(tsk_BaseDuration,(ROW()-ROW(MSPTasks[[#Headers],[ID]])))="","",N(INDEX(tsk_BaseDuration,(ROW()-ROW(MSPTasks[[#Headers],[ID]]))))&amp;"d"))</f>
        <v/>
      </c>
      <c r="R124" s="24" t="str">
        <f aca="false">IF(IFERROR(INDEX(tsk_Name,(ROW()-ROW(MSPTasks[[#Headers],[ID]])))="",TRUE()),"",IF(INDEX(tsk_BaseWork,(ROW()-ROW(MSPTasks[[#Headers],[ID]])))="","",N(INDEX(tsk_BaseWork,(ROW()-ROW(MSPTasks[[#Headers],[ID]]))))&amp;"h"))</f>
        <v/>
      </c>
      <c r="S124" s="24" t="str">
        <f aca="false">IF(IFERROR(INDEX(tsk_Name,(ROW()-ROW(MSPTasks[[#Headers],[ID]])))="",TRUE()),"",IF(INDEX(tsk_BaseCost,(ROW()-ROW(MSPTasks[[#Headers],[ID]])))="","",N(INDEX(tsk_BaseCost,(ROW()-ROW(MSPTasks[[#Headers],[ID]]))))))</f>
        <v/>
      </c>
      <c r="T124" s="24" t="str">
        <f aca="false">IF(IFERROR(INDEX(tsk_Name,(ROW()-ROW(MSPTasks[[#Headers],[ID]])))="",TRUE()),"",IF(INDEX(tsk_IsSummary,(ROW()-ROW(MSPTasks[[#Headers],[ID]]))),"",IF(N(INDEX(tsk_ActCostInput,(ROW()-ROW(MSPTasks[[#Headers],[ID]]))))=0,"",INDEX(tsk_ActCostInput,(ROW()-ROW(MSPTasks[[#Headers],[ID]]))))))</f>
        <v/>
      </c>
      <c r="U124" s="24" t="str">
        <f aca="false">IF(IFERROR(INDEX(tsk_Name,(ROW()-ROW(MSPTasks[[#Headers],[ID]])))="",TRUE()),"",IF(INDEX(tsk_IsSummary,(ROW()-ROW(MSPTasks[[#Headers],[ID]]))),"",IF(AND(INDEX(tsk_Mode,(ROW()-ROW(MSPTasks[[#Headers],[ID]])))&lt;&gt;"Manual",N(INDEX(tsk_Constraint,(ROW()-ROW(MSPTasks[[#Headers],[ID]]))))&gt;0),"Start No Earlier Than","As Soon As Possible")))</f>
        <v/>
      </c>
      <c r="V124" s="130" t="str">
        <f aca="false">IF(IFERROR(INDEX(tsk_Name,(ROW()-ROW(MSPTasks[[#Headers],[ID]])))="",TRUE()),"",IF(OR(INDEX(tsk_IsSummary,(ROW()-ROW(MSPTasks[[#Headers],[ID]]))),INDEX(tsk_Mode,(ROW()-ROW(MSPTasks[[#Headers],[ID]])))="Manual"),"",IF(N(INDEX(tsk_Constraint,(ROW()-ROW(MSPTasks[[#Headers],[ID]]))))=0,"",INDEX(tsk_Constraint,(ROW()-ROW(MSPTasks[[#Headers],[ID]]))))))</f>
        <v/>
      </c>
      <c r="W124" s="130" t="str">
        <f aca="false">IF(IFERROR(INDEX(tsk_Name,(ROW()-ROW(MSPTasks[[#Headers],[ID]])))="",TRUE()),"",IF(N(INDEX(tsk_Deadline,(ROW()-ROW(MSPTasks[[#Headers],[ID]]))))=0,"",INDEX(tsk_Deadline,(ROW()-ROW(MSPTasks[[#Headers],[ID]])))))</f>
        <v/>
      </c>
      <c r="X124" s="24" t="str">
        <f aca="false">IF(IFERROR(INDEX(tsk_Name,(ROW()-ROW(MSPTasks[[#Headers],[ID]])))="",TRUE()),"",IF(INDEX(tsk_IsSummary,(ROW()-ROW(MSPTasks[[#Headers],[ID]]))),"",INDEX(tsk_Sprint,(ROW()-ROW(MSPTasks[[#Headers],[ID]])))&amp;""))</f>
        <v/>
      </c>
      <c r="Y124" s="24" t="str">
        <f aca="false">IF(IFERROR(INDEX(tsk_Name,(ROW()-ROW(MSPTasks[[#Headers],[ID]])))="",TRUE()),"",IF(INDEX(tsk_IsSummary,(ROW()-ROW(MSPTasks[[#Headers],[ID]]))),"",IF(N(INDEX(tsk_StoryPoints,(ROW()-ROW(MSPTasks[[#Headers],[ID]]))))=0,"",INDEX(tsk_StoryPoints,(ROW()-ROW(MSPTasks[[#Headers],[ID]]))))))</f>
        <v/>
      </c>
      <c r="Z124" s="24" t="str">
        <f aca="false">IF(IFERROR(INDEX(tsk_Name,(ROW()-ROW(MSPTasks[[#Headers],[ID]])))="",TRUE()),"",INDEX(tsk_Notes,(ROW()-ROW(MSPTasks[[#Headers],[ID]])))&amp;"")</f>
        <v/>
      </c>
    </row>
    <row r="125" customFormat="false" ht="15" hidden="false" customHeight="false" outlineLevel="0" collapsed="false">
      <c r="A125" s="24" t="str">
        <f aca="false">IF(IFERROR(INDEX(tsk_Name,(ROW()-ROW(MSPTasks[[#Headers],[ID]])))="",TRUE()),"",INDEX(tsk_ID,(ROW()-ROW(MSPTasks[[#Headers],[ID]]))))</f>
        <v/>
      </c>
      <c r="B125" s="24" t="str">
        <f aca="false">IF(IFERROR(INDEX(tsk_Name,(ROW()-ROW(MSPTasks[[#Headers],[ID]])))="",TRUE()),"",INDEX(tsk_UID,(ROW()-ROW(MSPTasks[[#Headers],[ID]]))))</f>
        <v/>
      </c>
      <c r="C125" s="24" t="str">
        <f aca="false">IF(IFERROR(INDEX(tsk_Name,(ROW()-ROW(MSPTasks[[#Headers],[ID]])))="",TRUE()),"",INDEX(tsk_Name,(ROW()-ROW(MSPTasks[[#Headers],[ID]]))))</f>
        <v/>
      </c>
      <c r="D125" s="24" t="str">
        <f aca="false">IF(IFERROR(INDEX(tsk_Name,(ROW()-ROW(MSPTasks[[#Headers],[ID]])))="",TRUE()),"",INDEX(tsk_Level,(ROW()-ROW(MSPTasks[[#Headers],[ID]]))))</f>
        <v/>
      </c>
      <c r="E125" s="24" t="str">
        <f aca="false">IF(IFERROR(INDEX(tsk_Name,(ROW()-ROW(MSPTasks[[#Headers],[ID]])))="",TRUE()),"",IF(INDEX(tsk_Mode,(ROW()-ROW(MSPTasks[[#Headers],[ID]])))="Manual","Manually Scheduled","Auto Scheduled"))</f>
        <v/>
      </c>
      <c r="F125" s="24" t="str">
        <f aca="false">IF(IFERROR(INDEX(tsk_Name,(ROW()-ROW(MSPTasks[[#Headers],[ID]])))="",TRUE()),"",IF(INDEX(tsk_IsSummary,(ROW()-ROW(MSPTasks[[#Headers],[ID]]))),"",N(INDEX(tsk_Duration,(ROW()-ROW(MSPTasks[[#Headers],[ID]]))))&amp;"d"))</f>
        <v/>
      </c>
      <c r="G125" s="130" t="str">
        <f aca="false">IF(IFERROR(INDEX(tsk_Name,(ROW()-ROW(MSPTasks[[#Headers],[ID]])))="",TRUE()),"",INDEX(tsk_FcStart,(ROW()-ROW(MSPTasks[[#Headers],[ID]]))))</f>
        <v/>
      </c>
      <c r="H125" s="130" t="str">
        <f aca="false">IF(IFERROR(INDEX(tsk_Name,(ROW()-ROW(MSPTasks[[#Headers],[ID]])))="",TRUE()),"",INDEX(tsk_FcFinish,(ROW()-ROW(MSPTasks[[#Headers],[ID]]))))</f>
        <v/>
      </c>
      <c r="I125" s="24" t="str">
        <f aca="false">IF(IFERROR(INDEX(tsk_Name,(ROW()-ROW(MSPTasks[[#Headers],[ID]])))="",TRUE()),"",IF(INDEX(tsk_IsSummary,(ROW()-ROW(MSPTasks[[#Headers],[ID]]))),"",INDEX(tsk_Predecessors,(ROW()-ROW(MSPTasks[[#Headers],[ID]])))))</f>
        <v/>
      </c>
      <c r="J125" s="24" t="str">
        <f aca="false">IF(IFERROR(INDEX(tsk_Name,(ROW()-ROW(MSPTasks[[#Headers],[ID]])))="",TRUE()),"",IF(INDEX(tsk_IsSummary,(ROW()-ROW(MSPTasks[[#Headers],[ID]]))),"",INDEX(tsk_UIDPredecessors,(ROW()-ROW(MSPTasks[[#Headers],[ID]])))))</f>
        <v/>
      </c>
      <c r="K1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5" s="24" t="str">
        <f aca="false">IF(IFERROR(INDEX(tsk_Name,(ROW()-ROW(MSPTasks[[#Headers],[ID]])))="",TRUE()),"",IF(INDEX(tsk_IsSummary,(ROW()-ROW(MSPTasks[[#Headers],[ID]]))),"",ROUND(INDEX(tsk_Progress,(ROW()-ROW(MSPTasks[[#Headers],[ID]])))*100,0)))</f>
        <v/>
      </c>
      <c r="M125" s="130" t="str">
        <f aca="false">IF(IFERROR(INDEX(tsk_Name,(ROW()-ROW(MSPTasks[[#Headers],[ID]])))="",TRUE()),"",IF(N(INDEX(tsk_ActStart,(ROW()-ROW(MSPTasks[[#Headers],[ID]]))))=0,"",INDEX(tsk_ActStart,(ROW()-ROW(MSPTasks[[#Headers],[ID]])))))</f>
        <v/>
      </c>
      <c r="N125" s="130" t="str">
        <f aca="false">IF(IFERROR(INDEX(tsk_Name,(ROW()-ROW(MSPTasks[[#Headers],[ID]])))="",TRUE()),"",IF(N(INDEX(tsk_ActFinish,(ROW()-ROW(MSPTasks[[#Headers],[ID]]))))=0,"",INDEX(tsk_ActFinish,(ROW()-ROW(MSPTasks[[#Headers],[ID]])))))</f>
        <v/>
      </c>
      <c r="O125" s="130" t="str">
        <f aca="false">IF(IFERROR(INDEX(tsk_Name,(ROW()-ROW(MSPTasks[[#Headers],[ID]])))="",TRUE()),"",INDEX(tsk_PlanStart,(ROW()-ROW(MSPTasks[[#Headers],[ID]]))))</f>
        <v/>
      </c>
      <c r="P125" s="130" t="str">
        <f aca="false">IF(IFERROR(INDEX(tsk_Name,(ROW()-ROW(MSPTasks[[#Headers],[ID]])))="",TRUE()),"",INDEX(tsk_PlanFinish,(ROW()-ROW(MSPTasks[[#Headers],[ID]]))))</f>
        <v/>
      </c>
      <c r="Q125" s="24" t="str">
        <f aca="false">IF(IFERROR(INDEX(tsk_Name,(ROW()-ROW(MSPTasks[[#Headers],[ID]])))="",TRUE()),"",IF(INDEX(tsk_BaseDuration,(ROW()-ROW(MSPTasks[[#Headers],[ID]])))="","",N(INDEX(tsk_BaseDuration,(ROW()-ROW(MSPTasks[[#Headers],[ID]]))))&amp;"d"))</f>
        <v/>
      </c>
      <c r="R125" s="24" t="str">
        <f aca="false">IF(IFERROR(INDEX(tsk_Name,(ROW()-ROW(MSPTasks[[#Headers],[ID]])))="",TRUE()),"",IF(INDEX(tsk_BaseWork,(ROW()-ROW(MSPTasks[[#Headers],[ID]])))="","",N(INDEX(tsk_BaseWork,(ROW()-ROW(MSPTasks[[#Headers],[ID]]))))&amp;"h"))</f>
        <v/>
      </c>
      <c r="S125" s="24" t="str">
        <f aca="false">IF(IFERROR(INDEX(tsk_Name,(ROW()-ROW(MSPTasks[[#Headers],[ID]])))="",TRUE()),"",IF(INDEX(tsk_BaseCost,(ROW()-ROW(MSPTasks[[#Headers],[ID]])))="","",N(INDEX(tsk_BaseCost,(ROW()-ROW(MSPTasks[[#Headers],[ID]]))))))</f>
        <v/>
      </c>
      <c r="T125" s="24" t="str">
        <f aca="false">IF(IFERROR(INDEX(tsk_Name,(ROW()-ROW(MSPTasks[[#Headers],[ID]])))="",TRUE()),"",IF(INDEX(tsk_IsSummary,(ROW()-ROW(MSPTasks[[#Headers],[ID]]))),"",IF(N(INDEX(tsk_ActCostInput,(ROW()-ROW(MSPTasks[[#Headers],[ID]]))))=0,"",INDEX(tsk_ActCostInput,(ROW()-ROW(MSPTasks[[#Headers],[ID]]))))))</f>
        <v/>
      </c>
      <c r="U125" s="24" t="str">
        <f aca="false">IF(IFERROR(INDEX(tsk_Name,(ROW()-ROW(MSPTasks[[#Headers],[ID]])))="",TRUE()),"",IF(INDEX(tsk_IsSummary,(ROW()-ROW(MSPTasks[[#Headers],[ID]]))),"",IF(AND(INDEX(tsk_Mode,(ROW()-ROW(MSPTasks[[#Headers],[ID]])))&lt;&gt;"Manual",N(INDEX(tsk_Constraint,(ROW()-ROW(MSPTasks[[#Headers],[ID]]))))&gt;0),"Start No Earlier Than","As Soon As Possible")))</f>
        <v/>
      </c>
      <c r="V125" s="130" t="str">
        <f aca="false">IF(IFERROR(INDEX(tsk_Name,(ROW()-ROW(MSPTasks[[#Headers],[ID]])))="",TRUE()),"",IF(OR(INDEX(tsk_IsSummary,(ROW()-ROW(MSPTasks[[#Headers],[ID]]))),INDEX(tsk_Mode,(ROW()-ROW(MSPTasks[[#Headers],[ID]])))="Manual"),"",IF(N(INDEX(tsk_Constraint,(ROW()-ROW(MSPTasks[[#Headers],[ID]]))))=0,"",INDEX(tsk_Constraint,(ROW()-ROW(MSPTasks[[#Headers],[ID]]))))))</f>
        <v/>
      </c>
      <c r="W125" s="130" t="str">
        <f aca="false">IF(IFERROR(INDEX(tsk_Name,(ROW()-ROW(MSPTasks[[#Headers],[ID]])))="",TRUE()),"",IF(N(INDEX(tsk_Deadline,(ROW()-ROW(MSPTasks[[#Headers],[ID]]))))=0,"",INDEX(tsk_Deadline,(ROW()-ROW(MSPTasks[[#Headers],[ID]])))))</f>
        <v/>
      </c>
      <c r="X125" s="24" t="str">
        <f aca="false">IF(IFERROR(INDEX(tsk_Name,(ROW()-ROW(MSPTasks[[#Headers],[ID]])))="",TRUE()),"",IF(INDEX(tsk_IsSummary,(ROW()-ROW(MSPTasks[[#Headers],[ID]]))),"",INDEX(tsk_Sprint,(ROW()-ROW(MSPTasks[[#Headers],[ID]])))&amp;""))</f>
        <v/>
      </c>
      <c r="Y125" s="24" t="str">
        <f aca="false">IF(IFERROR(INDEX(tsk_Name,(ROW()-ROW(MSPTasks[[#Headers],[ID]])))="",TRUE()),"",IF(INDEX(tsk_IsSummary,(ROW()-ROW(MSPTasks[[#Headers],[ID]]))),"",IF(N(INDEX(tsk_StoryPoints,(ROW()-ROW(MSPTasks[[#Headers],[ID]]))))=0,"",INDEX(tsk_StoryPoints,(ROW()-ROW(MSPTasks[[#Headers],[ID]]))))))</f>
        <v/>
      </c>
      <c r="Z125" s="24" t="str">
        <f aca="false">IF(IFERROR(INDEX(tsk_Name,(ROW()-ROW(MSPTasks[[#Headers],[ID]])))="",TRUE()),"",INDEX(tsk_Notes,(ROW()-ROW(MSPTasks[[#Headers],[ID]])))&amp;"")</f>
        <v/>
      </c>
    </row>
    <row r="126" customFormat="false" ht="15" hidden="false" customHeight="false" outlineLevel="0" collapsed="false">
      <c r="A126" s="24" t="str">
        <f aca="false">IF(IFERROR(INDEX(tsk_Name,(ROW()-ROW(MSPTasks[[#Headers],[ID]])))="",TRUE()),"",INDEX(tsk_ID,(ROW()-ROW(MSPTasks[[#Headers],[ID]]))))</f>
        <v/>
      </c>
      <c r="B126" s="24" t="str">
        <f aca="false">IF(IFERROR(INDEX(tsk_Name,(ROW()-ROW(MSPTasks[[#Headers],[ID]])))="",TRUE()),"",INDEX(tsk_UID,(ROW()-ROW(MSPTasks[[#Headers],[ID]]))))</f>
        <v/>
      </c>
      <c r="C126" s="24" t="str">
        <f aca="false">IF(IFERROR(INDEX(tsk_Name,(ROW()-ROW(MSPTasks[[#Headers],[ID]])))="",TRUE()),"",INDEX(tsk_Name,(ROW()-ROW(MSPTasks[[#Headers],[ID]]))))</f>
        <v/>
      </c>
      <c r="D126" s="24" t="str">
        <f aca="false">IF(IFERROR(INDEX(tsk_Name,(ROW()-ROW(MSPTasks[[#Headers],[ID]])))="",TRUE()),"",INDEX(tsk_Level,(ROW()-ROW(MSPTasks[[#Headers],[ID]]))))</f>
        <v/>
      </c>
      <c r="E126" s="24" t="str">
        <f aca="false">IF(IFERROR(INDEX(tsk_Name,(ROW()-ROW(MSPTasks[[#Headers],[ID]])))="",TRUE()),"",IF(INDEX(tsk_Mode,(ROW()-ROW(MSPTasks[[#Headers],[ID]])))="Manual","Manually Scheduled","Auto Scheduled"))</f>
        <v/>
      </c>
      <c r="F126" s="24" t="str">
        <f aca="false">IF(IFERROR(INDEX(tsk_Name,(ROW()-ROW(MSPTasks[[#Headers],[ID]])))="",TRUE()),"",IF(INDEX(tsk_IsSummary,(ROW()-ROW(MSPTasks[[#Headers],[ID]]))),"",N(INDEX(tsk_Duration,(ROW()-ROW(MSPTasks[[#Headers],[ID]]))))&amp;"d"))</f>
        <v/>
      </c>
      <c r="G126" s="130" t="str">
        <f aca="false">IF(IFERROR(INDEX(tsk_Name,(ROW()-ROW(MSPTasks[[#Headers],[ID]])))="",TRUE()),"",INDEX(tsk_FcStart,(ROW()-ROW(MSPTasks[[#Headers],[ID]]))))</f>
        <v/>
      </c>
      <c r="H126" s="130" t="str">
        <f aca="false">IF(IFERROR(INDEX(tsk_Name,(ROW()-ROW(MSPTasks[[#Headers],[ID]])))="",TRUE()),"",INDEX(tsk_FcFinish,(ROW()-ROW(MSPTasks[[#Headers],[ID]]))))</f>
        <v/>
      </c>
      <c r="I126" s="24" t="str">
        <f aca="false">IF(IFERROR(INDEX(tsk_Name,(ROW()-ROW(MSPTasks[[#Headers],[ID]])))="",TRUE()),"",IF(INDEX(tsk_IsSummary,(ROW()-ROW(MSPTasks[[#Headers],[ID]]))),"",INDEX(tsk_Predecessors,(ROW()-ROW(MSPTasks[[#Headers],[ID]])))))</f>
        <v/>
      </c>
      <c r="J126" s="24" t="str">
        <f aca="false">IF(IFERROR(INDEX(tsk_Name,(ROW()-ROW(MSPTasks[[#Headers],[ID]])))="",TRUE()),"",IF(INDEX(tsk_IsSummary,(ROW()-ROW(MSPTasks[[#Headers],[ID]]))),"",INDEX(tsk_UIDPredecessors,(ROW()-ROW(MSPTasks[[#Headers],[ID]])))))</f>
        <v/>
      </c>
      <c r="K1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6" s="24" t="str">
        <f aca="false">IF(IFERROR(INDEX(tsk_Name,(ROW()-ROW(MSPTasks[[#Headers],[ID]])))="",TRUE()),"",IF(INDEX(tsk_IsSummary,(ROW()-ROW(MSPTasks[[#Headers],[ID]]))),"",ROUND(INDEX(tsk_Progress,(ROW()-ROW(MSPTasks[[#Headers],[ID]])))*100,0)))</f>
        <v/>
      </c>
      <c r="M126" s="130" t="str">
        <f aca="false">IF(IFERROR(INDEX(tsk_Name,(ROW()-ROW(MSPTasks[[#Headers],[ID]])))="",TRUE()),"",IF(N(INDEX(tsk_ActStart,(ROW()-ROW(MSPTasks[[#Headers],[ID]]))))=0,"",INDEX(tsk_ActStart,(ROW()-ROW(MSPTasks[[#Headers],[ID]])))))</f>
        <v/>
      </c>
      <c r="N126" s="130" t="str">
        <f aca="false">IF(IFERROR(INDEX(tsk_Name,(ROW()-ROW(MSPTasks[[#Headers],[ID]])))="",TRUE()),"",IF(N(INDEX(tsk_ActFinish,(ROW()-ROW(MSPTasks[[#Headers],[ID]]))))=0,"",INDEX(tsk_ActFinish,(ROW()-ROW(MSPTasks[[#Headers],[ID]])))))</f>
        <v/>
      </c>
      <c r="O126" s="130" t="str">
        <f aca="false">IF(IFERROR(INDEX(tsk_Name,(ROW()-ROW(MSPTasks[[#Headers],[ID]])))="",TRUE()),"",INDEX(tsk_PlanStart,(ROW()-ROW(MSPTasks[[#Headers],[ID]]))))</f>
        <v/>
      </c>
      <c r="P126" s="130" t="str">
        <f aca="false">IF(IFERROR(INDEX(tsk_Name,(ROW()-ROW(MSPTasks[[#Headers],[ID]])))="",TRUE()),"",INDEX(tsk_PlanFinish,(ROW()-ROW(MSPTasks[[#Headers],[ID]]))))</f>
        <v/>
      </c>
      <c r="Q126" s="24" t="str">
        <f aca="false">IF(IFERROR(INDEX(tsk_Name,(ROW()-ROW(MSPTasks[[#Headers],[ID]])))="",TRUE()),"",IF(INDEX(tsk_BaseDuration,(ROW()-ROW(MSPTasks[[#Headers],[ID]])))="","",N(INDEX(tsk_BaseDuration,(ROW()-ROW(MSPTasks[[#Headers],[ID]]))))&amp;"d"))</f>
        <v/>
      </c>
      <c r="R126" s="24" t="str">
        <f aca="false">IF(IFERROR(INDEX(tsk_Name,(ROW()-ROW(MSPTasks[[#Headers],[ID]])))="",TRUE()),"",IF(INDEX(tsk_BaseWork,(ROW()-ROW(MSPTasks[[#Headers],[ID]])))="","",N(INDEX(tsk_BaseWork,(ROW()-ROW(MSPTasks[[#Headers],[ID]]))))&amp;"h"))</f>
        <v/>
      </c>
      <c r="S126" s="24" t="str">
        <f aca="false">IF(IFERROR(INDEX(tsk_Name,(ROW()-ROW(MSPTasks[[#Headers],[ID]])))="",TRUE()),"",IF(INDEX(tsk_BaseCost,(ROW()-ROW(MSPTasks[[#Headers],[ID]])))="","",N(INDEX(tsk_BaseCost,(ROW()-ROW(MSPTasks[[#Headers],[ID]]))))))</f>
        <v/>
      </c>
      <c r="T126" s="24" t="str">
        <f aca="false">IF(IFERROR(INDEX(tsk_Name,(ROW()-ROW(MSPTasks[[#Headers],[ID]])))="",TRUE()),"",IF(INDEX(tsk_IsSummary,(ROW()-ROW(MSPTasks[[#Headers],[ID]]))),"",IF(N(INDEX(tsk_ActCostInput,(ROW()-ROW(MSPTasks[[#Headers],[ID]]))))=0,"",INDEX(tsk_ActCostInput,(ROW()-ROW(MSPTasks[[#Headers],[ID]]))))))</f>
        <v/>
      </c>
      <c r="U126" s="24" t="str">
        <f aca="false">IF(IFERROR(INDEX(tsk_Name,(ROW()-ROW(MSPTasks[[#Headers],[ID]])))="",TRUE()),"",IF(INDEX(tsk_IsSummary,(ROW()-ROW(MSPTasks[[#Headers],[ID]]))),"",IF(AND(INDEX(tsk_Mode,(ROW()-ROW(MSPTasks[[#Headers],[ID]])))&lt;&gt;"Manual",N(INDEX(tsk_Constraint,(ROW()-ROW(MSPTasks[[#Headers],[ID]]))))&gt;0),"Start No Earlier Than","As Soon As Possible")))</f>
        <v/>
      </c>
      <c r="V126" s="130" t="str">
        <f aca="false">IF(IFERROR(INDEX(tsk_Name,(ROW()-ROW(MSPTasks[[#Headers],[ID]])))="",TRUE()),"",IF(OR(INDEX(tsk_IsSummary,(ROW()-ROW(MSPTasks[[#Headers],[ID]]))),INDEX(tsk_Mode,(ROW()-ROW(MSPTasks[[#Headers],[ID]])))="Manual"),"",IF(N(INDEX(tsk_Constraint,(ROW()-ROW(MSPTasks[[#Headers],[ID]]))))=0,"",INDEX(tsk_Constraint,(ROW()-ROW(MSPTasks[[#Headers],[ID]]))))))</f>
        <v/>
      </c>
      <c r="W126" s="130" t="str">
        <f aca="false">IF(IFERROR(INDEX(tsk_Name,(ROW()-ROW(MSPTasks[[#Headers],[ID]])))="",TRUE()),"",IF(N(INDEX(tsk_Deadline,(ROW()-ROW(MSPTasks[[#Headers],[ID]]))))=0,"",INDEX(tsk_Deadline,(ROW()-ROW(MSPTasks[[#Headers],[ID]])))))</f>
        <v/>
      </c>
      <c r="X126" s="24" t="str">
        <f aca="false">IF(IFERROR(INDEX(tsk_Name,(ROW()-ROW(MSPTasks[[#Headers],[ID]])))="",TRUE()),"",IF(INDEX(tsk_IsSummary,(ROW()-ROW(MSPTasks[[#Headers],[ID]]))),"",INDEX(tsk_Sprint,(ROW()-ROW(MSPTasks[[#Headers],[ID]])))&amp;""))</f>
        <v/>
      </c>
      <c r="Y126" s="24" t="str">
        <f aca="false">IF(IFERROR(INDEX(tsk_Name,(ROW()-ROW(MSPTasks[[#Headers],[ID]])))="",TRUE()),"",IF(INDEX(tsk_IsSummary,(ROW()-ROW(MSPTasks[[#Headers],[ID]]))),"",IF(N(INDEX(tsk_StoryPoints,(ROW()-ROW(MSPTasks[[#Headers],[ID]]))))=0,"",INDEX(tsk_StoryPoints,(ROW()-ROW(MSPTasks[[#Headers],[ID]]))))))</f>
        <v/>
      </c>
      <c r="Z126" s="24" t="str">
        <f aca="false">IF(IFERROR(INDEX(tsk_Name,(ROW()-ROW(MSPTasks[[#Headers],[ID]])))="",TRUE()),"",INDEX(tsk_Notes,(ROW()-ROW(MSPTasks[[#Headers],[ID]])))&amp;"")</f>
        <v/>
      </c>
    </row>
    <row r="127" customFormat="false" ht="15" hidden="false" customHeight="false" outlineLevel="0" collapsed="false">
      <c r="A127" s="24" t="str">
        <f aca="false">IF(IFERROR(INDEX(tsk_Name,(ROW()-ROW(MSPTasks[[#Headers],[ID]])))="",TRUE()),"",INDEX(tsk_ID,(ROW()-ROW(MSPTasks[[#Headers],[ID]]))))</f>
        <v/>
      </c>
      <c r="B127" s="24" t="str">
        <f aca="false">IF(IFERROR(INDEX(tsk_Name,(ROW()-ROW(MSPTasks[[#Headers],[ID]])))="",TRUE()),"",INDEX(tsk_UID,(ROW()-ROW(MSPTasks[[#Headers],[ID]]))))</f>
        <v/>
      </c>
      <c r="C127" s="24" t="str">
        <f aca="false">IF(IFERROR(INDEX(tsk_Name,(ROW()-ROW(MSPTasks[[#Headers],[ID]])))="",TRUE()),"",INDEX(tsk_Name,(ROW()-ROW(MSPTasks[[#Headers],[ID]]))))</f>
        <v/>
      </c>
      <c r="D127" s="24" t="str">
        <f aca="false">IF(IFERROR(INDEX(tsk_Name,(ROW()-ROW(MSPTasks[[#Headers],[ID]])))="",TRUE()),"",INDEX(tsk_Level,(ROW()-ROW(MSPTasks[[#Headers],[ID]]))))</f>
        <v/>
      </c>
      <c r="E127" s="24" t="str">
        <f aca="false">IF(IFERROR(INDEX(tsk_Name,(ROW()-ROW(MSPTasks[[#Headers],[ID]])))="",TRUE()),"",IF(INDEX(tsk_Mode,(ROW()-ROW(MSPTasks[[#Headers],[ID]])))="Manual","Manually Scheduled","Auto Scheduled"))</f>
        <v/>
      </c>
      <c r="F127" s="24" t="str">
        <f aca="false">IF(IFERROR(INDEX(tsk_Name,(ROW()-ROW(MSPTasks[[#Headers],[ID]])))="",TRUE()),"",IF(INDEX(tsk_IsSummary,(ROW()-ROW(MSPTasks[[#Headers],[ID]]))),"",N(INDEX(tsk_Duration,(ROW()-ROW(MSPTasks[[#Headers],[ID]]))))&amp;"d"))</f>
        <v/>
      </c>
      <c r="G127" s="130" t="str">
        <f aca="false">IF(IFERROR(INDEX(tsk_Name,(ROW()-ROW(MSPTasks[[#Headers],[ID]])))="",TRUE()),"",INDEX(tsk_FcStart,(ROW()-ROW(MSPTasks[[#Headers],[ID]]))))</f>
        <v/>
      </c>
      <c r="H127" s="130" t="str">
        <f aca="false">IF(IFERROR(INDEX(tsk_Name,(ROW()-ROW(MSPTasks[[#Headers],[ID]])))="",TRUE()),"",INDEX(tsk_FcFinish,(ROW()-ROW(MSPTasks[[#Headers],[ID]]))))</f>
        <v/>
      </c>
      <c r="I127" s="24" t="str">
        <f aca="false">IF(IFERROR(INDEX(tsk_Name,(ROW()-ROW(MSPTasks[[#Headers],[ID]])))="",TRUE()),"",IF(INDEX(tsk_IsSummary,(ROW()-ROW(MSPTasks[[#Headers],[ID]]))),"",INDEX(tsk_Predecessors,(ROW()-ROW(MSPTasks[[#Headers],[ID]])))))</f>
        <v/>
      </c>
      <c r="J127" s="24" t="str">
        <f aca="false">IF(IFERROR(INDEX(tsk_Name,(ROW()-ROW(MSPTasks[[#Headers],[ID]])))="",TRUE()),"",IF(INDEX(tsk_IsSummary,(ROW()-ROW(MSPTasks[[#Headers],[ID]]))),"",INDEX(tsk_UIDPredecessors,(ROW()-ROW(MSPTasks[[#Headers],[ID]])))))</f>
        <v/>
      </c>
      <c r="K1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7" s="24" t="str">
        <f aca="false">IF(IFERROR(INDEX(tsk_Name,(ROW()-ROW(MSPTasks[[#Headers],[ID]])))="",TRUE()),"",IF(INDEX(tsk_IsSummary,(ROW()-ROW(MSPTasks[[#Headers],[ID]]))),"",ROUND(INDEX(tsk_Progress,(ROW()-ROW(MSPTasks[[#Headers],[ID]])))*100,0)))</f>
        <v/>
      </c>
      <c r="M127" s="130" t="str">
        <f aca="false">IF(IFERROR(INDEX(tsk_Name,(ROW()-ROW(MSPTasks[[#Headers],[ID]])))="",TRUE()),"",IF(N(INDEX(tsk_ActStart,(ROW()-ROW(MSPTasks[[#Headers],[ID]]))))=0,"",INDEX(tsk_ActStart,(ROW()-ROW(MSPTasks[[#Headers],[ID]])))))</f>
        <v/>
      </c>
      <c r="N127" s="130" t="str">
        <f aca="false">IF(IFERROR(INDEX(tsk_Name,(ROW()-ROW(MSPTasks[[#Headers],[ID]])))="",TRUE()),"",IF(N(INDEX(tsk_ActFinish,(ROW()-ROW(MSPTasks[[#Headers],[ID]]))))=0,"",INDEX(tsk_ActFinish,(ROW()-ROW(MSPTasks[[#Headers],[ID]])))))</f>
        <v/>
      </c>
      <c r="O127" s="130" t="str">
        <f aca="false">IF(IFERROR(INDEX(tsk_Name,(ROW()-ROW(MSPTasks[[#Headers],[ID]])))="",TRUE()),"",INDEX(tsk_PlanStart,(ROW()-ROW(MSPTasks[[#Headers],[ID]]))))</f>
        <v/>
      </c>
      <c r="P127" s="130" t="str">
        <f aca="false">IF(IFERROR(INDEX(tsk_Name,(ROW()-ROW(MSPTasks[[#Headers],[ID]])))="",TRUE()),"",INDEX(tsk_PlanFinish,(ROW()-ROW(MSPTasks[[#Headers],[ID]]))))</f>
        <v/>
      </c>
      <c r="Q127" s="24" t="str">
        <f aca="false">IF(IFERROR(INDEX(tsk_Name,(ROW()-ROW(MSPTasks[[#Headers],[ID]])))="",TRUE()),"",IF(INDEX(tsk_BaseDuration,(ROW()-ROW(MSPTasks[[#Headers],[ID]])))="","",N(INDEX(tsk_BaseDuration,(ROW()-ROW(MSPTasks[[#Headers],[ID]]))))&amp;"d"))</f>
        <v/>
      </c>
      <c r="R127" s="24" t="str">
        <f aca="false">IF(IFERROR(INDEX(tsk_Name,(ROW()-ROW(MSPTasks[[#Headers],[ID]])))="",TRUE()),"",IF(INDEX(tsk_BaseWork,(ROW()-ROW(MSPTasks[[#Headers],[ID]])))="","",N(INDEX(tsk_BaseWork,(ROW()-ROW(MSPTasks[[#Headers],[ID]]))))&amp;"h"))</f>
        <v/>
      </c>
      <c r="S127" s="24" t="str">
        <f aca="false">IF(IFERROR(INDEX(tsk_Name,(ROW()-ROW(MSPTasks[[#Headers],[ID]])))="",TRUE()),"",IF(INDEX(tsk_BaseCost,(ROW()-ROW(MSPTasks[[#Headers],[ID]])))="","",N(INDEX(tsk_BaseCost,(ROW()-ROW(MSPTasks[[#Headers],[ID]]))))))</f>
        <v/>
      </c>
      <c r="T127" s="24" t="str">
        <f aca="false">IF(IFERROR(INDEX(tsk_Name,(ROW()-ROW(MSPTasks[[#Headers],[ID]])))="",TRUE()),"",IF(INDEX(tsk_IsSummary,(ROW()-ROW(MSPTasks[[#Headers],[ID]]))),"",IF(N(INDEX(tsk_ActCostInput,(ROW()-ROW(MSPTasks[[#Headers],[ID]]))))=0,"",INDEX(tsk_ActCostInput,(ROW()-ROW(MSPTasks[[#Headers],[ID]]))))))</f>
        <v/>
      </c>
      <c r="U127" s="24" t="str">
        <f aca="false">IF(IFERROR(INDEX(tsk_Name,(ROW()-ROW(MSPTasks[[#Headers],[ID]])))="",TRUE()),"",IF(INDEX(tsk_IsSummary,(ROW()-ROW(MSPTasks[[#Headers],[ID]]))),"",IF(AND(INDEX(tsk_Mode,(ROW()-ROW(MSPTasks[[#Headers],[ID]])))&lt;&gt;"Manual",N(INDEX(tsk_Constraint,(ROW()-ROW(MSPTasks[[#Headers],[ID]]))))&gt;0),"Start No Earlier Than","As Soon As Possible")))</f>
        <v/>
      </c>
      <c r="V127" s="130" t="str">
        <f aca="false">IF(IFERROR(INDEX(tsk_Name,(ROW()-ROW(MSPTasks[[#Headers],[ID]])))="",TRUE()),"",IF(OR(INDEX(tsk_IsSummary,(ROW()-ROW(MSPTasks[[#Headers],[ID]]))),INDEX(tsk_Mode,(ROW()-ROW(MSPTasks[[#Headers],[ID]])))="Manual"),"",IF(N(INDEX(tsk_Constraint,(ROW()-ROW(MSPTasks[[#Headers],[ID]]))))=0,"",INDEX(tsk_Constraint,(ROW()-ROW(MSPTasks[[#Headers],[ID]]))))))</f>
        <v/>
      </c>
      <c r="W127" s="130" t="str">
        <f aca="false">IF(IFERROR(INDEX(tsk_Name,(ROW()-ROW(MSPTasks[[#Headers],[ID]])))="",TRUE()),"",IF(N(INDEX(tsk_Deadline,(ROW()-ROW(MSPTasks[[#Headers],[ID]]))))=0,"",INDEX(tsk_Deadline,(ROW()-ROW(MSPTasks[[#Headers],[ID]])))))</f>
        <v/>
      </c>
      <c r="X127" s="24" t="str">
        <f aca="false">IF(IFERROR(INDEX(tsk_Name,(ROW()-ROW(MSPTasks[[#Headers],[ID]])))="",TRUE()),"",IF(INDEX(tsk_IsSummary,(ROW()-ROW(MSPTasks[[#Headers],[ID]]))),"",INDEX(tsk_Sprint,(ROW()-ROW(MSPTasks[[#Headers],[ID]])))&amp;""))</f>
        <v/>
      </c>
      <c r="Y127" s="24" t="str">
        <f aca="false">IF(IFERROR(INDEX(tsk_Name,(ROW()-ROW(MSPTasks[[#Headers],[ID]])))="",TRUE()),"",IF(INDEX(tsk_IsSummary,(ROW()-ROW(MSPTasks[[#Headers],[ID]]))),"",IF(N(INDEX(tsk_StoryPoints,(ROW()-ROW(MSPTasks[[#Headers],[ID]]))))=0,"",INDEX(tsk_StoryPoints,(ROW()-ROW(MSPTasks[[#Headers],[ID]]))))))</f>
        <v/>
      </c>
      <c r="Z127" s="24" t="str">
        <f aca="false">IF(IFERROR(INDEX(tsk_Name,(ROW()-ROW(MSPTasks[[#Headers],[ID]])))="",TRUE()),"",INDEX(tsk_Notes,(ROW()-ROW(MSPTasks[[#Headers],[ID]])))&amp;"")</f>
        <v/>
      </c>
    </row>
    <row r="128" customFormat="false" ht="15" hidden="false" customHeight="false" outlineLevel="0" collapsed="false">
      <c r="A128" s="24" t="str">
        <f aca="false">IF(IFERROR(INDEX(tsk_Name,(ROW()-ROW(MSPTasks[[#Headers],[ID]])))="",TRUE()),"",INDEX(tsk_ID,(ROW()-ROW(MSPTasks[[#Headers],[ID]]))))</f>
        <v/>
      </c>
      <c r="B128" s="24" t="str">
        <f aca="false">IF(IFERROR(INDEX(tsk_Name,(ROW()-ROW(MSPTasks[[#Headers],[ID]])))="",TRUE()),"",INDEX(tsk_UID,(ROW()-ROW(MSPTasks[[#Headers],[ID]]))))</f>
        <v/>
      </c>
      <c r="C128" s="24" t="str">
        <f aca="false">IF(IFERROR(INDEX(tsk_Name,(ROW()-ROW(MSPTasks[[#Headers],[ID]])))="",TRUE()),"",INDEX(tsk_Name,(ROW()-ROW(MSPTasks[[#Headers],[ID]]))))</f>
        <v/>
      </c>
      <c r="D128" s="24" t="str">
        <f aca="false">IF(IFERROR(INDEX(tsk_Name,(ROW()-ROW(MSPTasks[[#Headers],[ID]])))="",TRUE()),"",INDEX(tsk_Level,(ROW()-ROW(MSPTasks[[#Headers],[ID]]))))</f>
        <v/>
      </c>
      <c r="E128" s="24" t="str">
        <f aca="false">IF(IFERROR(INDEX(tsk_Name,(ROW()-ROW(MSPTasks[[#Headers],[ID]])))="",TRUE()),"",IF(INDEX(tsk_Mode,(ROW()-ROW(MSPTasks[[#Headers],[ID]])))="Manual","Manually Scheduled","Auto Scheduled"))</f>
        <v/>
      </c>
      <c r="F128" s="24" t="str">
        <f aca="false">IF(IFERROR(INDEX(tsk_Name,(ROW()-ROW(MSPTasks[[#Headers],[ID]])))="",TRUE()),"",IF(INDEX(tsk_IsSummary,(ROW()-ROW(MSPTasks[[#Headers],[ID]]))),"",N(INDEX(tsk_Duration,(ROW()-ROW(MSPTasks[[#Headers],[ID]]))))&amp;"d"))</f>
        <v/>
      </c>
      <c r="G128" s="130" t="str">
        <f aca="false">IF(IFERROR(INDEX(tsk_Name,(ROW()-ROW(MSPTasks[[#Headers],[ID]])))="",TRUE()),"",INDEX(tsk_FcStart,(ROW()-ROW(MSPTasks[[#Headers],[ID]]))))</f>
        <v/>
      </c>
      <c r="H128" s="130" t="str">
        <f aca="false">IF(IFERROR(INDEX(tsk_Name,(ROW()-ROW(MSPTasks[[#Headers],[ID]])))="",TRUE()),"",INDEX(tsk_FcFinish,(ROW()-ROW(MSPTasks[[#Headers],[ID]]))))</f>
        <v/>
      </c>
      <c r="I128" s="24" t="str">
        <f aca="false">IF(IFERROR(INDEX(tsk_Name,(ROW()-ROW(MSPTasks[[#Headers],[ID]])))="",TRUE()),"",IF(INDEX(tsk_IsSummary,(ROW()-ROW(MSPTasks[[#Headers],[ID]]))),"",INDEX(tsk_Predecessors,(ROW()-ROW(MSPTasks[[#Headers],[ID]])))))</f>
        <v/>
      </c>
      <c r="J128" s="24" t="str">
        <f aca="false">IF(IFERROR(INDEX(tsk_Name,(ROW()-ROW(MSPTasks[[#Headers],[ID]])))="",TRUE()),"",IF(INDEX(tsk_IsSummary,(ROW()-ROW(MSPTasks[[#Headers],[ID]]))),"",INDEX(tsk_UIDPredecessors,(ROW()-ROW(MSPTasks[[#Headers],[ID]])))))</f>
        <v/>
      </c>
      <c r="K1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8" s="24" t="str">
        <f aca="false">IF(IFERROR(INDEX(tsk_Name,(ROW()-ROW(MSPTasks[[#Headers],[ID]])))="",TRUE()),"",IF(INDEX(tsk_IsSummary,(ROW()-ROW(MSPTasks[[#Headers],[ID]]))),"",ROUND(INDEX(tsk_Progress,(ROW()-ROW(MSPTasks[[#Headers],[ID]])))*100,0)))</f>
        <v/>
      </c>
      <c r="M128" s="130" t="str">
        <f aca="false">IF(IFERROR(INDEX(tsk_Name,(ROW()-ROW(MSPTasks[[#Headers],[ID]])))="",TRUE()),"",IF(N(INDEX(tsk_ActStart,(ROW()-ROW(MSPTasks[[#Headers],[ID]]))))=0,"",INDEX(tsk_ActStart,(ROW()-ROW(MSPTasks[[#Headers],[ID]])))))</f>
        <v/>
      </c>
      <c r="N128" s="130" t="str">
        <f aca="false">IF(IFERROR(INDEX(tsk_Name,(ROW()-ROW(MSPTasks[[#Headers],[ID]])))="",TRUE()),"",IF(N(INDEX(tsk_ActFinish,(ROW()-ROW(MSPTasks[[#Headers],[ID]]))))=0,"",INDEX(tsk_ActFinish,(ROW()-ROW(MSPTasks[[#Headers],[ID]])))))</f>
        <v/>
      </c>
      <c r="O128" s="130" t="str">
        <f aca="false">IF(IFERROR(INDEX(tsk_Name,(ROW()-ROW(MSPTasks[[#Headers],[ID]])))="",TRUE()),"",INDEX(tsk_PlanStart,(ROW()-ROW(MSPTasks[[#Headers],[ID]]))))</f>
        <v/>
      </c>
      <c r="P128" s="130" t="str">
        <f aca="false">IF(IFERROR(INDEX(tsk_Name,(ROW()-ROW(MSPTasks[[#Headers],[ID]])))="",TRUE()),"",INDEX(tsk_PlanFinish,(ROW()-ROW(MSPTasks[[#Headers],[ID]]))))</f>
        <v/>
      </c>
      <c r="Q128" s="24" t="str">
        <f aca="false">IF(IFERROR(INDEX(tsk_Name,(ROW()-ROW(MSPTasks[[#Headers],[ID]])))="",TRUE()),"",IF(INDEX(tsk_BaseDuration,(ROW()-ROW(MSPTasks[[#Headers],[ID]])))="","",N(INDEX(tsk_BaseDuration,(ROW()-ROW(MSPTasks[[#Headers],[ID]]))))&amp;"d"))</f>
        <v/>
      </c>
      <c r="R128" s="24" t="str">
        <f aca="false">IF(IFERROR(INDEX(tsk_Name,(ROW()-ROW(MSPTasks[[#Headers],[ID]])))="",TRUE()),"",IF(INDEX(tsk_BaseWork,(ROW()-ROW(MSPTasks[[#Headers],[ID]])))="","",N(INDEX(tsk_BaseWork,(ROW()-ROW(MSPTasks[[#Headers],[ID]]))))&amp;"h"))</f>
        <v/>
      </c>
      <c r="S128" s="24" t="str">
        <f aca="false">IF(IFERROR(INDEX(tsk_Name,(ROW()-ROW(MSPTasks[[#Headers],[ID]])))="",TRUE()),"",IF(INDEX(tsk_BaseCost,(ROW()-ROW(MSPTasks[[#Headers],[ID]])))="","",N(INDEX(tsk_BaseCost,(ROW()-ROW(MSPTasks[[#Headers],[ID]]))))))</f>
        <v/>
      </c>
      <c r="T128" s="24" t="str">
        <f aca="false">IF(IFERROR(INDEX(tsk_Name,(ROW()-ROW(MSPTasks[[#Headers],[ID]])))="",TRUE()),"",IF(INDEX(tsk_IsSummary,(ROW()-ROW(MSPTasks[[#Headers],[ID]]))),"",IF(N(INDEX(tsk_ActCostInput,(ROW()-ROW(MSPTasks[[#Headers],[ID]]))))=0,"",INDEX(tsk_ActCostInput,(ROW()-ROW(MSPTasks[[#Headers],[ID]]))))))</f>
        <v/>
      </c>
      <c r="U128" s="24" t="str">
        <f aca="false">IF(IFERROR(INDEX(tsk_Name,(ROW()-ROW(MSPTasks[[#Headers],[ID]])))="",TRUE()),"",IF(INDEX(tsk_IsSummary,(ROW()-ROW(MSPTasks[[#Headers],[ID]]))),"",IF(AND(INDEX(tsk_Mode,(ROW()-ROW(MSPTasks[[#Headers],[ID]])))&lt;&gt;"Manual",N(INDEX(tsk_Constraint,(ROW()-ROW(MSPTasks[[#Headers],[ID]]))))&gt;0),"Start No Earlier Than","As Soon As Possible")))</f>
        <v/>
      </c>
      <c r="V128" s="130" t="str">
        <f aca="false">IF(IFERROR(INDEX(tsk_Name,(ROW()-ROW(MSPTasks[[#Headers],[ID]])))="",TRUE()),"",IF(OR(INDEX(tsk_IsSummary,(ROW()-ROW(MSPTasks[[#Headers],[ID]]))),INDEX(tsk_Mode,(ROW()-ROW(MSPTasks[[#Headers],[ID]])))="Manual"),"",IF(N(INDEX(tsk_Constraint,(ROW()-ROW(MSPTasks[[#Headers],[ID]]))))=0,"",INDEX(tsk_Constraint,(ROW()-ROW(MSPTasks[[#Headers],[ID]]))))))</f>
        <v/>
      </c>
      <c r="W128" s="130" t="str">
        <f aca="false">IF(IFERROR(INDEX(tsk_Name,(ROW()-ROW(MSPTasks[[#Headers],[ID]])))="",TRUE()),"",IF(N(INDEX(tsk_Deadline,(ROW()-ROW(MSPTasks[[#Headers],[ID]]))))=0,"",INDEX(tsk_Deadline,(ROW()-ROW(MSPTasks[[#Headers],[ID]])))))</f>
        <v/>
      </c>
      <c r="X128" s="24" t="str">
        <f aca="false">IF(IFERROR(INDEX(tsk_Name,(ROW()-ROW(MSPTasks[[#Headers],[ID]])))="",TRUE()),"",IF(INDEX(tsk_IsSummary,(ROW()-ROW(MSPTasks[[#Headers],[ID]]))),"",INDEX(tsk_Sprint,(ROW()-ROW(MSPTasks[[#Headers],[ID]])))&amp;""))</f>
        <v/>
      </c>
      <c r="Y128" s="24" t="str">
        <f aca="false">IF(IFERROR(INDEX(tsk_Name,(ROW()-ROW(MSPTasks[[#Headers],[ID]])))="",TRUE()),"",IF(INDEX(tsk_IsSummary,(ROW()-ROW(MSPTasks[[#Headers],[ID]]))),"",IF(N(INDEX(tsk_StoryPoints,(ROW()-ROW(MSPTasks[[#Headers],[ID]]))))=0,"",INDEX(tsk_StoryPoints,(ROW()-ROW(MSPTasks[[#Headers],[ID]]))))))</f>
        <v/>
      </c>
      <c r="Z128" s="24" t="str">
        <f aca="false">IF(IFERROR(INDEX(tsk_Name,(ROW()-ROW(MSPTasks[[#Headers],[ID]])))="",TRUE()),"",INDEX(tsk_Notes,(ROW()-ROW(MSPTasks[[#Headers],[ID]])))&amp;"")</f>
        <v/>
      </c>
    </row>
    <row r="129" customFormat="false" ht="15" hidden="false" customHeight="false" outlineLevel="0" collapsed="false">
      <c r="A129" s="24" t="str">
        <f aca="false">IF(IFERROR(INDEX(tsk_Name,(ROW()-ROW(MSPTasks[[#Headers],[ID]])))="",TRUE()),"",INDEX(tsk_ID,(ROW()-ROW(MSPTasks[[#Headers],[ID]]))))</f>
        <v/>
      </c>
      <c r="B129" s="24" t="str">
        <f aca="false">IF(IFERROR(INDEX(tsk_Name,(ROW()-ROW(MSPTasks[[#Headers],[ID]])))="",TRUE()),"",INDEX(tsk_UID,(ROW()-ROW(MSPTasks[[#Headers],[ID]]))))</f>
        <v/>
      </c>
      <c r="C129" s="24" t="str">
        <f aca="false">IF(IFERROR(INDEX(tsk_Name,(ROW()-ROW(MSPTasks[[#Headers],[ID]])))="",TRUE()),"",INDEX(tsk_Name,(ROW()-ROW(MSPTasks[[#Headers],[ID]]))))</f>
        <v/>
      </c>
      <c r="D129" s="24" t="str">
        <f aca="false">IF(IFERROR(INDEX(tsk_Name,(ROW()-ROW(MSPTasks[[#Headers],[ID]])))="",TRUE()),"",INDEX(tsk_Level,(ROW()-ROW(MSPTasks[[#Headers],[ID]]))))</f>
        <v/>
      </c>
      <c r="E129" s="24" t="str">
        <f aca="false">IF(IFERROR(INDEX(tsk_Name,(ROW()-ROW(MSPTasks[[#Headers],[ID]])))="",TRUE()),"",IF(INDEX(tsk_Mode,(ROW()-ROW(MSPTasks[[#Headers],[ID]])))="Manual","Manually Scheduled","Auto Scheduled"))</f>
        <v/>
      </c>
      <c r="F129" s="24" t="str">
        <f aca="false">IF(IFERROR(INDEX(tsk_Name,(ROW()-ROW(MSPTasks[[#Headers],[ID]])))="",TRUE()),"",IF(INDEX(tsk_IsSummary,(ROW()-ROW(MSPTasks[[#Headers],[ID]]))),"",N(INDEX(tsk_Duration,(ROW()-ROW(MSPTasks[[#Headers],[ID]]))))&amp;"d"))</f>
        <v/>
      </c>
      <c r="G129" s="130" t="str">
        <f aca="false">IF(IFERROR(INDEX(tsk_Name,(ROW()-ROW(MSPTasks[[#Headers],[ID]])))="",TRUE()),"",INDEX(tsk_FcStart,(ROW()-ROW(MSPTasks[[#Headers],[ID]]))))</f>
        <v/>
      </c>
      <c r="H129" s="130" t="str">
        <f aca="false">IF(IFERROR(INDEX(tsk_Name,(ROW()-ROW(MSPTasks[[#Headers],[ID]])))="",TRUE()),"",INDEX(tsk_FcFinish,(ROW()-ROW(MSPTasks[[#Headers],[ID]]))))</f>
        <v/>
      </c>
      <c r="I129" s="24" t="str">
        <f aca="false">IF(IFERROR(INDEX(tsk_Name,(ROW()-ROW(MSPTasks[[#Headers],[ID]])))="",TRUE()),"",IF(INDEX(tsk_IsSummary,(ROW()-ROW(MSPTasks[[#Headers],[ID]]))),"",INDEX(tsk_Predecessors,(ROW()-ROW(MSPTasks[[#Headers],[ID]])))))</f>
        <v/>
      </c>
      <c r="J129" s="24" t="str">
        <f aca="false">IF(IFERROR(INDEX(tsk_Name,(ROW()-ROW(MSPTasks[[#Headers],[ID]])))="",TRUE()),"",IF(INDEX(tsk_IsSummary,(ROW()-ROW(MSPTasks[[#Headers],[ID]]))),"",INDEX(tsk_UIDPredecessors,(ROW()-ROW(MSPTasks[[#Headers],[ID]])))))</f>
        <v/>
      </c>
      <c r="K1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9" s="24" t="str">
        <f aca="false">IF(IFERROR(INDEX(tsk_Name,(ROW()-ROW(MSPTasks[[#Headers],[ID]])))="",TRUE()),"",IF(INDEX(tsk_IsSummary,(ROW()-ROW(MSPTasks[[#Headers],[ID]]))),"",ROUND(INDEX(tsk_Progress,(ROW()-ROW(MSPTasks[[#Headers],[ID]])))*100,0)))</f>
        <v/>
      </c>
      <c r="M129" s="130" t="str">
        <f aca="false">IF(IFERROR(INDEX(tsk_Name,(ROW()-ROW(MSPTasks[[#Headers],[ID]])))="",TRUE()),"",IF(N(INDEX(tsk_ActStart,(ROW()-ROW(MSPTasks[[#Headers],[ID]]))))=0,"",INDEX(tsk_ActStart,(ROW()-ROW(MSPTasks[[#Headers],[ID]])))))</f>
        <v/>
      </c>
      <c r="N129" s="130" t="str">
        <f aca="false">IF(IFERROR(INDEX(tsk_Name,(ROW()-ROW(MSPTasks[[#Headers],[ID]])))="",TRUE()),"",IF(N(INDEX(tsk_ActFinish,(ROW()-ROW(MSPTasks[[#Headers],[ID]]))))=0,"",INDEX(tsk_ActFinish,(ROW()-ROW(MSPTasks[[#Headers],[ID]])))))</f>
        <v/>
      </c>
      <c r="O129" s="130" t="str">
        <f aca="false">IF(IFERROR(INDEX(tsk_Name,(ROW()-ROW(MSPTasks[[#Headers],[ID]])))="",TRUE()),"",INDEX(tsk_PlanStart,(ROW()-ROW(MSPTasks[[#Headers],[ID]]))))</f>
        <v/>
      </c>
      <c r="P129" s="130" t="str">
        <f aca="false">IF(IFERROR(INDEX(tsk_Name,(ROW()-ROW(MSPTasks[[#Headers],[ID]])))="",TRUE()),"",INDEX(tsk_PlanFinish,(ROW()-ROW(MSPTasks[[#Headers],[ID]]))))</f>
        <v/>
      </c>
      <c r="Q129" s="24" t="str">
        <f aca="false">IF(IFERROR(INDEX(tsk_Name,(ROW()-ROW(MSPTasks[[#Headers],[ID]])))="",TRUE()),"",IF(INDEX(tsk_BaseDuration,(ROW()-ROW(MSPTasks[[#Headers],[ID]])))="","",N(INDEX(tsk_BaseDuration,(ROW()-ROW(MSPTasks[[#Headers],[ID]]))))&amp;"d"))</f>
        <v/>
      </c>
      <c r="R129" s="24" t="str">
        <f aca="false">IF(IFERROR(INDEX(tsk_Name,(ROW()-ROW(MSPTasks[[#Headers],[ID]])))="",TRUE()),"",IF(INDEX(tsk_BaseWork,(ROW()-ROW(MSPTasks[[#Headers],[ID]])))="","",N(INDEX(tsk_BaseWork,(ROW()-ROW(MSPTasks[[#Headers],[ID]]))))&amp;"h"))</f>
        <v/>
      </c>
      <c r="S129" s="24" t="str">
        <f aca="false">IF(IFERROR(INDEX(tsk_Name,(ROW()-ROW(MSPTasks[[#Headers],[ID]])))="",TRUE()),"",IF(INDEX(tsk_BaseCost,(ROW()-ROW(MSPTasks[[#Headers],[ID]])))="","",N(INDEX(tsk_BaseCost,(ROW()-ROW(MSPTasks[[#Headers],[ID]]))))))</f>
        <v/>
      </c>
      <c r="T129" s="24" t="str">
        <f aca="false">IF(IFERROR(INDEX(tsk_Name,(ROW()-ROW(MSPTasks[[#Headers],[ID]])))="",TRUE()),"",IF(INDEX(tsk_IsSummary,(ROW()-ROW(MSPTasks[[#Headers],[ID]]))),"",IF(N(INDEX(tsk_ActCostInput,(ROW()-ROW(MSPTasks[[#Headers],[ID]]))))=0,"",INDEX(tsk_ActCostInput,(ROW()-ROW(MSPTasks[[#Headers],[ID]]))))))</f>
        <v/>
      </c>
      <c r="U129" s="24" t="str">
        <f aca="false">IF(IFERROR(INDEX(tsk_Name,(ROW()-ROW(MSPTasks[[#Headers],[ID]])))="",TRUE()),"",IF(INDEX(tsk_IsSummary,(ROW()-ROW(MSPTasks[[#Headers],[ID]]))),"",IF(AND(INDEX(tsk_Mode,(ROW()-ROW(MSPTasks[[#Headers],[ID]])))&lt;&gt;"Manual",N(INDEX(tsk_Constraint,(ROW()-ROW(MSPTasks[[#Headers],[ID]]))))&gt;0),"Start No Earlier Than","As Soon As Possible")))</f>
        <v/>
      </c>
      <c r="V129" s="130" t="str">
        <f aca="false">IF(IFERROR(INDEX(tsk_Name,(ROW()-ROW(MSPTasks[[#Headers],[ID]])))="",TRUE()),"",IF(OR(INDEX(tsk_IsSummary,(ROW()-ROW(MSPTasks[[#Headers],[ID]]))),INDEX(tsk_Mode,(ROW()-ROW(MSPTasks[[#Headers],[ID]])))="Manual"),"",IF(N(INDEX(tsk_Constraint,(ROW()-ROW(MSPTasks[[#Headers],[ID]]))))=0,"",INDEX(tsk_Constraint,(ROW()-ROW(MSPTasks[[#Headers],[ID]]))))))</f>
        <v/>
      </c>
      <c r="W129" s="130" t="str">
        <f aca="false">IF(IFERROR(INDEX(tsk_Name,(ROW()-ROW(MSPTasks[[#Headers],[ID]])))="",TRUE()),"",IF(N(INDEX(tsk_Deadline,(ROW()-ROW(MSPTasks[[#Headers],[ID]]))))=0,"",INDEX(tsk_Deadline,(ROW()-ROW(MSPTasks[[#Headers],[ID]])))))</f>
        <v/>
      </c>
      <c r="X129" s="24" t="str">
        <f aca="false">IF(IFERROR(INDEX(tsk_Name,(ROW()-ROW(MSPTasks[[#Headers],[ID]])))="",TRUE()),"",IF(INDEX(tsk_IsSummary,(ROW()-ROW(MSPTasks[[#Headers],[ID]]))),"",INDEX(tsk_Sprint,(ROW()-ROW(MSPTasks[[#Headers],[ID]])))&amp;""))</f>
        <v/>
      </c>
      <c r="Y129" s="24" t="str">
        <f aca="false">IF(IFERROR(INDEX(tsk_Name,(ROW()-ROW(MSPTasks[[#Headers],[ID]])))="",TRUE()),"",IF(INDEX(tsk_IsSummary,(ROW()-ROW(MSPTasks[[#Headers],[ID]]))),"",IF(N(INDEX(tsk_StoryPoints,(ROW()-ROW(MSPTasks[[#Headers],[ID]]))))=0,"",INDEX(tsk_StoryPoints,(ROW()-ROW(MSPTasks[[#Headers],[ID]]))))))</f>
        <v/>
      </c>
      <c r="Z129" s="24" t="str">
        <f aca="false">IF(IFERROR(INDEX(tsk_Name,(ROW()-ROW(MSPTasks[[#Headers],[ID]])))="",TRUE()),"",INDEX(tsk_Notes,(ROW()-ROW(MSPTasks[[#Headers],[ID]])))&amp;"")</f>
        <v/>
      </c>
    </row>
    <row r="130" customFormat="false" ht="15" hidden="false" customHeight="false" outlineLevel="0" collapsed="false">
      <c r="A130" s="24" t="str">
        <f aca="false">IF(IFERROR(INDEX(tsk_Name,(ROW()-ROW(MSPTasks[[#Headers],[ID]])))="",TRUE()),"",INDEX(tsk_ID,(ROW()-ROW(MSPTasks[[#Headers],[ID]]))))</f>
        <v/>
      </c>
      <c r="B130" s="24" t="str">
        <f aca="false">IF(IFERROR(INDEX(tsk_Name,(ROW()-ROW(MSPTasks[[#Headers],[ID]])))="",TRUE()),"",INDEX(tsk_UID,(ROW()-ROW(MSPTasks[[#Headers],[ID]]))))</f>
        <v/>
      </c>
      <c r="C130" s="24" t="str">
        <f aca="false">IF(IFERROR(INDEX(tsk_Name,(ROW()-ROW(MSPTasks[[#Headers],[ID]])))="",TRUE()),"",INDEX(tsk_Name,(ROW()-ROW(MSPTasks[[#Headers],[ID]]))))</f>
        <v/>
      </c>
      <c r="D130" s="24" t="str">
        <f aca="false">IF(IFERROR(INDEX(tsk_Name,(ROW()-ROW(MSPTasks[[#Headers],[ID]])))="",TRUE()),"",INDEX(tsk_Level,(ROW()-ROW(MSPTasks[[#Headers],[ID]]))))</f>
        <v/>
      </c>
      <c r="E130" s="24" t="str">
        <f aca="false">IF(IFERROR(INDEX(tsk_Name,(ROW()-ROW(MSPTasks[[#Headers],[ID]])))="",TRUE()),"",IF(INDEX(tsk_Mode,(ROW()-ROW(MSPTasks[[#Headers],[ID]])))="Manual","Manually Scheduled","Auto Scheduled"))</f>
        <v/>
      </c>
      <c r="F130" s="24" t="str">
        <f aca="false">IF(IFERROR(INDEX(tsk_Name,(ROW()-ROW(MSPTasks[[#Headers],[ID]])))="",TRUE()),"",IF(INDEX(tsk_IsSummary,(ROW()-ROW(MSPTasks[[#Headers],[ID]]))),"",N(INDEX(tsk_Duration,(ROW()-ROW(MSPTasks[[#Headers],[ID]]))))&amp;"d"))</f>
        <v/>
      </c>
      <c r="G130" s="130" t="str">
        <f aca="false">IF(IFERROR(INDEX(tsk_Name,(ROW()-ROW(MSPTasks[[#Headers],[ID]])))="",TRUE()),"",INDEX(tsk_FcStart,(ROW()-ROW(MSPTasks[[#Headers],[ID]]))))</f>
        <v/>
      </c>
      <c r="H130" s="130" t="str">
        <f aca="false">IF(IFERROR(INDEX(tsk_Name,(ROW()-ROW(MSPTasks[[#Headers],[ID]])))="",TRUE()),"",INDEX(tsk_FcFinish,(ROW()-ROW(MSPTasks[[#Headers],[ID]]))))</f>
        <v/>
      </c>
      <c r="I130" s="24" t="str">
        <f aca="false">IF(IFERROR(INDEX(tsk_Name,(ROW()-ROW(MSPTasks[[#Headers],[ID]])))="",TRUE()),"",IF(INDEX(tsk_IsSummary,(ROW()-ROW(MSPTasks[[#Headers],[ID]]))),"",INDEX(tsk_Predecessors,(ROW()-ROW(MSPTasks[[#Headers],[ID]])))))</f>
        <v/>
      </c>
      <c r="J130" s="24" t="str">
        <f aca="false">IF(IFERROR(INDEX(tsk_Name,(ROW()-ROW(MSPTasks[[#Headers],[ID]])))="",TRUE()),"",IF(INDEX(tsk_IsSummary,(ROW()-ROW(MSPTasks[[#Headers],[ID]]))),"",INDEX(tsk_UIDPredecessors,(ROW()-ROW(MSPTasks[[#Headers],[ID]])))))</f>
        <v/>
      </c>
      <c r="K1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0" s="24" t="str">
        <f aca="false">IF(IFERROR(INDEX(tsk_Name,(ROW()-ROW(MSPTasks[[#Headers],[ID]])))="",TRUE()),"",IF(INDEX(tsk_IsSummary,(ROW()-ROW(MSPTasks[[#Headers],[ID]]))),"",ROUND(INDEX(tsk_Progress,(ROW()-ROW(MSPTasks[[#Headers],[ID]])))*100,0)))</f>
        <v/>
      </c>
      <c r="M130" s="130" t="str">
        <f aca="false">IF(IFERROR(INDEX(tsk_Name,(ROW()-ROW(MSPTasks[[#Headers],[ID]])))="",TRUE()),"",IF(N(INDEX(tsk_ActStart,(ROW()-ROW(MSPTasks[[#Headers],[ID]]))))=0,"",INDEX(tsk_ActStart,(ROW()-ROW(MSPTasks[[#Headers],[ID]])))))</f>
        <v/>
      </c>
      <c r="N130" s="130" t="str">
        <f aca="false">IF(IFERROR(INDEX(tsk_Name,(ROW()-ROW(MSPTasks[[#Headers],[ID]])))="",TRUE()),"",IF(N(INDEX(tsk_ActFinish,(ROW()-ROW(MSPTasks[[#Headers],[ID]]))))=0,"",INDEX(tsk_ActFinish,(ROW()-ROW(MSPTasks[[#Headers],[ID]])))))</f>
        <v/>
      </c>
      <c r="O130" s="130" t="str">
        <f aca="false">IF(IFERROR(INDEX(tsk_Name,(ROW()-ROW(MSPTasks[[#Headers],[ID]])))="",TRUE()),"",INDEX(tsk_PlanStart,(ROW()-ROW(MSPTasks[[#Headers],[ID]]))))</f>
        <v/>
      </c>
      <c r="P130" s="130" t="str">
        <f aca="false">IF(IFERROR(INDEX(tsk_Name,(ROW()-ROW(MSPTasks[[#Headers],[ID]])))="",TRUE()),"",INDEX(tsk_PlanFinish,(ROW()-ROW(MSPTasks[[#Headers],[ID]]))))</f>
        <v/>
      </c>
      <c r="Q130" s="24" t="str">
        <f aca="false">IF(IFERROR(INDEX(tsk_Name,(ROW()-ROW(MSPTasks[[#Headers],[ID]])))="",TRUE()),"",IF(INDEX(tsk_BaseDuration,(ROW()-ROW(MSPTasks[[#Headers],[ID]])))="","",N(INDEX(tsk_BaseDuration,(ROW()-ROW(MSPTasks[[#Headers],[ID]]))))&amp;"d"))</f>
        <v/>
      </c>
      <c r="R130" s="24" t="str">
        <f aca="false">IF(IFERROR(INDEX(tsk_Name,(ROW()-ROW(MSPTasks[[#Headers],[ID]])))="",TRUE()),"",IF(INDEX(tsk_BaseWork,(ROW()-ROW(MSPTasks[[#Headers],[ID]])))="","",N(INDEX(tsk_BaseWork,(ROW()-ROW(MSPTasks[[#Headers],[ID]]))))&amp;"h"))</f>
        <v/>
      </c>
      <c r="S130" s="24" t="str">
        <f aca="false">IF(IFERROR(INDEX(tsk_Name,(ROW()-ROW(MSPTasks[[#Headers],[ID]])))="",TRUE()),"",IF(INDEX(tsk_BaseCost,(ROW()-ROW(MSPTasks[[#Headers],[ID]])))="","",N(INDEX(tsk_BaseCost,(ROW()-ROW(MSPTasks[[#Headers],[ID]]))))))</f>
        <v/>
      </c>
      <c r="T130" s="24" t="str">
        <f aca="false">IF(IFERROR(INDEX(tsk_Name,(ROW()-ROW(MSPTasks[[#Headers],[ID]])))="",TRUE()),"",IF(INDEX(tsk_IsSummary,(ROW()-ROW(MSPTasks[[#Headers],[ID]]))),"",IF(N(INDEX(tsk_ActCostInput,(ROW()-ROW(MSPTasks[[#Headers],[ID]]))))=0,"",INDEX(tsk_ActCostInput,(ROW()-ROW(MSPTasks[[#Headers],[ID]]))))))</f>
        <v/>
      </c>
      <c r="U130" s="24" t="str">
        <f aca="false">IF(IFERROR(INDEX(tsk_Name,(ROW()-ROW(MSPTasks[[#Headers],[ID]])))="",TRUE()),"",IF(INDEX(tsk_IsSummary,(ROW()-ROW(MSPTasks[[#Headers],[ID]]))),"",IF(AND(INDEX(tsk_Mode,(ROW()-ROW(MSPTasks[[#Headers],[ID]])))&lt;&gt;"Manual",N(INDEX(tsk_Constraint,(ROW()-ROW(MSPTasks[[#Headers],[ID]]))))&gt;0),"Start No Earlier Than","As Soon As Possible")))</f>
        <v/>
      </c>
      <c r="V130" s="130" t="str">
        <f aca="false">IF(IFERROR(INDEX(tsk_Name,(ROW()-ROW(MSPTasks[[#Headers],[ID]])))="",TRUE()),"",IF(OR(INDEX(tsk_IsSummary,(ROW()-ROW(MSPTasks[[#Headers],[ID]]))),INDEX(tsk_Mode,(ROW()-ROW(MSPTasks[[#Headers],[ID]])))="Manual"),"",IF(N(INDEX(tsk_Constraint,(ROW()-ROW(MSPTasks[[#Headers],[ID]]))))=0,"",INDEX(tsk_Constraint,(ROW()-ROW(MSPTasks[[#Headers],[ID]]))))))</f>
        <v/>
      </c>
      <c r="W130" s="130" t="str">
        <f aca="false">IF(IFERROR(INDEX(tsk_Name,(ROW()-ROW(MSPTasks[[#Headers],[ID]])))="",TRUE()),"",IF(N(INDEX(tsk_Deadline,(ROW()-ROW(MSPTasks[[#Headers],[ID]]))))=0,"",INDEX(tsk_Deadline,(ROW()-ROW(MSPTasks[[#Headers],[ID]])))))</f>
        <v/>
      </c>
      <c r="X130" s="24" t="str">
        <f aca="false">IF(IFERROR(INDEX(tsk_Name,(ROW()-ROW(MSPTasks[[#Headers],[ID]])))="",TRUE()),"",IF(INDEX(tsk_IsSummary,(ROW()-ROW(MSPTasks[[#Headers],[ID]]))),"",INDEX(tsk_Sprint,(ROW()-ROW(MSPTasks[[#Headers],[ID]])))&amp;""))</f>
        <v/>
      </c>
      <c r="Y130" s="24" t="str">
        <f aca="false">IF(IFERROR(INDEX(tsk_Name,(ROW()-ROW(MSPTasks[[#Headers],[ID]])))="",TRUE()),"",IF(INDEX(tsk_IsSummary,(ROW()-ROW(MSPTasks[[#Headers],[ID]]))),"",IF(N(INDEX(tsk_StoryPoints,(ROW()-ROW(MSPTasks[[#Headers],[ID]]))))=0,"",INDEX(tsk_StoryPoints,(ROW()-ROW(MSPTasks[[#Headers],[ID]]))))))</f>
        <v/>
      </c>
      <c r="Z130" s="24" t="str">
        <f aca="false">IF(IFERROR(INDEX(tsk_Name,(ROW()-ROW(MSPTasks[[#Headers],[ID]])))="",TRUE()),"",INDEX(tsk_Notes,(ROW()-ROW(MSPTasks[[#Headers],[ID]])))&amp;"")</f>
        <v/>
      </c>
    </row>
    <row r="131" customFormat="false" ht="15" hidden="false" customHeight="false" outlineLevel="0" collapsed="false">
      <c r="A131" s="24" t="str">
        <f aca="false">IF(IFERROR(INDEX(tsk_Name,(ROW()-ROW(MSPTasks[[#Headers],[ID]])))="",TRUE()),"",INDEX(tsk_ID,(ROW()-ROW(MSPTasks[[#Headers],[ID]]))))</f>
        <v/>
      </c>
      <c r="B131" s="24" t="str">
        <f aca="false">IF(IFERROR(INDEX(tsk_Name,(ROW()-ROW(MSPTasks[[#Headers],[ID]])))="",TRUE()),"",INDEX(tsk_UID,(ROW()-ROW(MSPTasks[[#Headers],[ID]]))))</f>
        <v/>
      </c>
      <c r="C131" s="24" t="str">
        <f aca="false">IF(IFERROR(INDEX(tsk_Name,(ROW()-ROW(MSPTasks[[#Headers],[ID]])))="",TRUE()),"",INDEX(tsk_Name,(ROW()-ROW(MSPTasks[[#Headers],[ID]]))))</f>
        <v/>
      </c>
      <c r="D131" s="24" t="str">
        <f aca="false">IF(IFERROR(INDEX(tsk_Name,(ROW()-ROW(MSPTasks[[#Headers],[ID]])))="",TRUE()),"",INDEX(tsk_Level,(ROW()-ROW(MSPTasks[[#Headers],[ID]]))))</f>
        <v/>
      </c>
      <c r="E131" s="24" t="str">
        <f aca="false">IF(IFERROR(INDEX(tsk_Name,(ROW()-ROW(MSPTasks[[#Headers],[ID]])))="",TRUE()),"",IF(INDEX(tsk_Mode,(ROW()-ROW(MSPTasks[[#Headers],[ID]])))="Manual","Manually Scheduled","Auto Scheduled"))</f>
        <v/>
      </c>
      <c r="F131" s="24" t="str">
        <f aca="false">IF(IFERROR(INDEX(tsk_Name,(ROW()-ROW(MSPTasks[[#Headers],[ID]])))="",TRUE()),"",IF(INDEX(tsk_IsSummary,(ROW()-ROW(MSPTasks[[#Headers],[ID]]))),"",N(INDEX(tsk_Duration,(ROW()-ROW(MSPTasks[[#Headers],[ID]]))))&amp;"d"))</f>
        <v/>
      </c>
      <c r="G131" s="130" t="str">
        <f aca="false">IF(IFERROR(INDEX(tsk_Name,(ROW()-ROW(MSPTasks[[#Headers],[ID]])))="",TRUE()),"",INDEX(tsk_FcStart,(ROW()-ROW(MSPTasks[[#Headers],[ID]]))))</f>
        <v/>
      </c>
      <c r="H131" s="130" t="str">
        <f aca="false">IF(IFERROR(INDEX(tsk_Name,(ROW()-ROW(MSPTasks[[#Headers],[ID]])))="",TRUE()),"",INDEX(tsk_FcFinish,(ROW()-ROW(MSPTasks[[#Headers],[ID]]))))</f>
        <v/>
      </c>
      <c r="I131" s="24" t="str">
        <f aca="false">IF(IFERROR(INDEX(tsk_Name,(ROW()-ROW(MSPTasks[[#Headers],[ID]])))="",TRUE()),"",IF(INDEX(tsk_IsSummary,(ROW()-ROW(MSPTasks[[#Headers],[ID]]))),"",INDEX(tsk_Predecessors,(ROW()-ROW(MSPTasks[[#Headers],[ID]])))))</f>
        <v/>
      </c>
      <c r="J131" s="24" t="str">
        <f aca="false">IF(IFERROR(INDEX(tsk_Name,(ROW()-ROW(MSPTasks[[#Headers],[ID]])))="",TRUE()),"",IF(INDEX(tsk_IsSummary,(ROW()-ROW(MSPTasks[[#Headers],[ID]]))),"",INDEX(tsk_UIDPredecessors,(ROW()-ROW(MSPTasks[[#Headers],[ID]])))))</f>
        <v/>
      </c>
      <c r="K1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1" s="24" t="str">
        <f aca="false">IF(IFERROR(INDEX(tsk_Name,(ROW()-ROW(MSPTasks[[#Headers],[ID]])))="",TRUE()),"",IF(INDEX(tsk_IsSummary,(ROW()-ROW(MSPTasks[[#Headers],[ID]]))),"",ROUND(INDEX(tsk_Progress,(ROW()-ROW(MSPTasks[[#Headers],[ID]])))*100,0)))</f>
        <v/>
      </c>
      <c r="M131" s="130" t="str">
        <f aca="false">IF(IFERROR(INDEX(tsk_Name,(ROW()-ROW(MSPTasks[[#Headers],[ID]])))="",TRUE()),"",IF(N(INDEX(tsk_ActStart,(ROW()-ROW(MSPTasks[[#Headers],[ID]]))))=0,"",INDEX(tsk_ActStart,(ROW()-ROW(MSPTasks[[#Headers],[ID]])))))</f>
        <v/>
      </c>
      <c r="N131" s="130" t="str">
        <f aca="false">IF(IFERROR(INDEX(tsk_Name,(ROW()-ROW(MSPTasks[[#Headers],[ID]])))="",TRUE()),"",IF(N(INDEX(tsk_ActFinish,(ROW()-ROW(MSPTasks[[#Headers],[ID]]))))=0,"",INDEX(tsk_ActFinish,(ROW()-ROW(MSPTasks[[#Headers],[ID]])))))</f>
        <v/>
      </c>
      <c r="O131" s="130" t="str">
        <f aca="false">IF(IFERROR(INDEX(tsk_Name,(ROW()-ROW(MSPTasks[[#Headers],[ID]])))="",TRUE()),"",INDEX(tsk_PlanStart,(ROW()-ROW(MSPTasks[[#Headers],[ID]]))))</f>
        <v/>
      </c>
      <c r="P131" s="130" t="str">
        <f aca="false">IF(IFERROR(INDEX(tsk_Name,(ROW()-ROW(MSPTasks[[#Headers],[ID]])))="",TRUE()),"",INDEX(tsk_PlanFinish,(ROW()-ROW(MSPTasks[[#Headers],[ID]]))))</f>
        <v/>
      </c>
      <c r="Q131" s="24" t="str">
        <f aca="false">IF(IFERROR(INDEX(tsk_Name,(ROW()-ROW(MSPTasks[[#Headers],[ID]])))="",TRUE()),"",IF(INDEX(tsk_BaseDuration,(ROW()-ROW(MSPTasks[[#Headers],[ID]])))="","",N(INDEX(tsk_BaseDuration,(ROW()-ROW(MSPTasks[[#Headers],[ID]]))))&amp;"d"))</f>
        <v/>
      </c>
      <c r="R131" s="24" t="str">
        <f aca="false">IF(IFERROR(INDEX(tsk_Name,(ROW()-ROW(MSPTasks[[#Headers],[ID]])))="",TRUE()),"",IF(INDEX(tsk_BaseWork,(ROW()-ROW(MSPTasks[[#Headers],[ID]])))="","",N(INDEX(tsk_BaseWork,(ROW()-ROW(MSPTasks[[#Headers],[ID]]))))&amp;"h"))</f>
        <v/>
      </c>
      <c r="S131" s="24" t="str">
        <f aca="false">IF(IFERROR(INDEX(tsk_Name,(ROW()-ROW(MSPTasks[[#Headers],[ID]])))="",TRUE()),"",IF(INDEX(tsk_BaseCost,(ROW()-ROW(MSPTasks[[#Headers],[ID]])))="","",N(INDEX(tsk_BaseCost,(ROW()-ROW(MSPTasks[[#Headers],[ID]]))))))</f>
        <v/>
      </c>
      <c r="T131" s="24" t="str">
        <f aca="false">IF(IFERROR(INDEX(tsk_Name,(ROW()-ROW(MSPTasks[[#Headers],[ID]])))="",TRUE()),"",IF(INDEX(tsk_IsSummary,(ROW()-ROW(MSPTasks[[#Headers],[ID]]))),"",IF(N(INDEX(tsk_ActCostInput,(ROW()-ROW(MSPTasks[[#Headers],[ID]]))))=0,"",INDEX(tsk_ActCostInput,(ROW()-ROW(MSPTasks[[#Headers],[ID]]))))))</f>
        <v/>
      </c>
      <c r="U131" s="24" t="str">
        <f aca="false">IF(IFERROR(INDEX(tsk_Name,(ROW()-ROW(MSPTasks[[#Headers],[ID]])))="",TRUE()),"",IF(INDEX(tsk_IsSummary,(ROW()-ROW(MSPTasks[[#Headers],[ID]]))),"",IF(AND(INDEX(tsk_Mode,(ROW()-ROW(MSPTasks[[#Headers],[ID]])))&lt;&gt;"Manual",N(INDEX(tsk_Constraint,(ROW()-ROW(MSPTasks[[#Headers],[ID]]))))&gt;0),"Start No Earlier Than","As Soon As Possible")))</f>
        <v/>
      </c>
      <c r="V131" s="130" t="str">
        <f aca="false">IF(IFERROR(INDEX(tsk_Name,(ROW()-ROW(MSPTasks[[#Headers],[ID]])))="",TRUE()),"",IF(OR(INDEX(tsk_IsSummary,(ROW()-ROW(MSPTasks[[#Headers],[ID]]))),INDEX(tsk_Mode,(ROW()-ROW(MSPTasks[[#Headers],[ID]])))="Manual"),"",IF(N(INDEX(tsk_Constraint,(ROW()-ROW(MSPTasks[[#Headers],[ID]]))))=0,"",INDEX(tsk_Constraint,(ROW()-ROW(MSPTasks[[#Headers],[ID]]))))))</f>
        <v/>
      </c>
      <c r="W131" s="130" t="str">
        <f aca="false">IF(IFERROR(INDEX(tsk_Name,(ROW()-ROW(MSPTasks[[#Headers],[ID]])))="",TRUE()),"",IF(N(INDEX(tsk_Deadline,(ROW()-ROW(MSPTasks[[#Headers],[ID]]))))=0,"",INDEX(tsk_Deadline,(ROW()-ROW(MSPTasks[[#Headers],[ID]])))))</f>
        <v/>
      </c>
      <c r="X131" s="24" t="str">
        <f aca="false">IF(IFERROR(INDEX(tsk_Name,(ROW()-ROW(MSPTasks[[#Headers],[ID]])))="",TRUE()),"",IF(INDEX(tsk_IsSummary,(ROW()-ROW(MSPTasks[[#Headers],[ID]]))),"",INDEX(tsk_Sprint,(ROW()-ROW(MSPTasks[[#Headers],[ID]])))&amp;""))</f>
        <v/>
      </c>
      <c r="Y131" s="24" t="str">
        <f aca="false">IF(IFERROR(INDEX(tsk_Name,(ROW()-ROW(MSPTasks[[#Headers],[ID]])))="",TRUE()),"",IF(INDEX(tsk_IsSummary,(ROW()-ROW(MSPTasks[[#Headers],[ID]]))),"",IF(N(INDEX(tsk_StoryPoints,(ROW()-ROW(MSPTasks[[#Headers],[ID]]))))=0,"",INDEX(tsk_StoryPoints,(ROW()-ROW(MSPTasks[[#Headers],[ID]]))))))</f>
        <v/>
      </c>
      <c r="Z131" s="24" t="str">
        <f aca="false">IF(IFERROR(INDEX(tsk_Name,(ROW()-ROW(MSPTasks[[#Headers],[ID]])))="",TRUE()),"",INDEX(tsk_Notes,(ROW()-ROW(MSPTasks[[#Headers],[ID]])))&amp;"")</f>
        <v/>
      </c>
    </row>
    <row r="132" customFormat="false" ht="15" hidden="false" customHeight="false" outlineLevel="0" collapsed="false">
      <c r="A132" s="24" t="str">
        <f aca="false">IF(IFERROR(INDEX(tsk_Name,(ROW()-ROW(MSPTasks[[#Headers],[ID]])))="",TRUE()),"",INDEX(tsk_ID,(ROW()-ROW(MSPTasks[[#Headers],[ID]]))))</f>
        <v/>
      </c>
      <c r="B132" s="24" t="str">
        <f aca="false">IF(IFERROR(INDEX(tsk_Name,(ROW()-ROW(MSPTasks[[#Headers],[ID]])))="",TRUE()),"",INDEX(tsk_UID,(ROW()-ROW(MSPTasks[[#Headers],[ID]]))))</f>
        <v/>
      </c>
      <c r="C132" s="24" t="str">
        <f aca="false">IF(IFERROR(INDEX(tsk_Name,(ROW()-ROW(MSPTasks[[#Headers],[ID]])))="",TRUE()),"",INDEX(tsk_Name,(ROW()-ROW(MSPTasks[[#Headers],[ID]]))))</f>
        <v/>
      </c>
      <c r="D132" s="24" t="str">
        <f aca="false">IF(IFERROR(INDEX(tsk_Name,(ROW()-ROW(MSPTasks[[#Headers],[ID]])))="",TRUE()),"",INDEX(tsk_Level,(ROW()-ROW(MSPTasks[[#Headers],[ID]]))))</f>
        <v/>
      </c>
      <c r="E132" s="24" t="str">
        <f aca="false">IF(IFERROR(INDEX(tsk_Name,(ROW()-ROW(MSPTasks[[#Headers],[ID]])))="",TRUE()),"",IF(INDEX(tsk_Mode,(ROW()-ROW(MSPTasks[[#Headers],[ID]])))="Manual","Manually Scheduled","Auto Scheduled"))</f>
        <v/>
      </c>
      <c r="F132" s="24" t="str">
        <f aca="false">IF(IFERROR(INDEX(tsk_Name,(ROW()-ROW(MSPTasks[[#Headers],[ID]])))="",TRUE()),"",IF(INDEX(tsk_IsSummary,(ROW()-ROW(MSPTasks[[#Headers],[ID]]))),"",N(INDEX(tsk_Duration,(ROW()-ROW(MSPTasks[[#Headers],[ID]]))))&amp;"d"))</f>
        <v/>
      </c>
      <c r="G132" s="130" t="str">
        <f aca="false">IF(IFERROR(INDEX(tsk_Name,(ROW()-ROW(MSPTasks[[#Headers],[ID]])))="",TRUE()),"",INDEX(tsk_FcStart,(ROW()-ROW(MSPTasks[[#Headers],[ID]]))))</f>
        <v/>
      </c>
      <c r="H132" s="130" t="str">
        <f aca="false">IF(IFERROR(INDEX(tsk_Name,(ROW()-ROW(MSPTasks[[#Headers],[ID]])))="",TRUE()),"",INDEX(tsk_FcFinish,(ROW()-ROW(MSPTasks[[#Headers],[ID]]))))</f>
        <v/>
      </c>
      <c r="I132" s="24" t="str">
        <f aca="false">IF(IFERROR(INDEX(tsk_Name,(ROW()-ROW(MSPTasks[[#Headers],[ID]])))="",TRUE()),"",IF(INDEX(tsk_IsSummary,(ROW()-ROW(MSPTasks[[#Headers],[ID]]))),"",INDEX(tsk_Predecessors,(ROW()-ROW(MSPTasks[[#Headers],[ID]])))))</f>
        <v/>
      </c>
      <c r="J132" s="24" t="str">
        <f aca="false">IF(IFERROR(INDEX(tsk_Name,(ROW()-ROW(MSPTasks[[#Headers],[ID]])))="",TRUE()),"",IF(INDEX(tsk_IsSummary,(ROW()-ROW(MSPTasks[[#Headers],[ID]]))),"",INDEX(tsk_UIDPredecessors,(ROW()-ROW(MSPTasks[[#Headers],[ID]])))))</f>
        <v/>
      </c>
      <c r="K1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2" s="24" t="str">
        <f aca="false">IF(IFERROR(INDEX(tsk_Name,(ROW()-ROW(MSPTasks[[#Headers],[ID]])))="",TRUE()),"",IF(INDEX(tsk_IsSummary,(ROW()-ROW(MSPTasks[[#Headers],[ID]]))),"",ROUND(INDEX(tsk_Progress,(ROW()-ROW(MSPTasks[[#Headers],[ID]])))*100,0)))</f>
        <v/>
      </c>
      <c r="M132" s="130" t="str">
        <f aca="false">IF(IFERROR(INDEX(tsk_Name,(ROW()-ROW(MSPTasks[[#Headers],[ID]])))="",TRUE()),"",IF(N(INDEX(tsk_ActStart,(ROW()-ROW(MSPTasks[[#Headers],[ID]]))))=0,"",INDEX(tsk_ActStart,(ROW()-ROW(MSPTasks[[#Headers],[ID]])))))</f>
        <v/>
      </c>
      <c r="N132" s="130" t="str">
        <f aca="false">IF(IFERROR(INDEX(tsk_Name,(ROW()-ROW(MSPTasks[[#Headers],[ID]])))="",TRUE()),"",IF(N(INDEX(tsk_ActFinish,(ROW()-ROW(MSPTasks[[#Headers],[ID]]))))=0,"",INDEX(tsk_ActFinish,(ROW()-ROW(MSPTasks[[#Headers],[ID]])))))</f>
        <v/>
      </c>
      <c r="O132" s="130" t="str">
        <f aca="false">IF(IFERROR(INDEX(tsk_Name,(ROW()-ROW(MSPTasks[[#Headers],[ID]])))="",TRUE()),"",INDEX(tsk_PlanStart,(ROW()-ROW(MSPTasks[[#Headers],[ID]]))))</f>
        <v/>
      </c>
      <c r="P132" s="130" t="str">
        <f aca="false">IF(IFERROR(INDEX(tsk_Name,(ROW()-ROW(MSPTasks[[#Headers],[ID]])))="",TRUE()),"",INDEX(tsk_PlanFinish,(ROW()-ROW(MSPTasks[[#Headers],[ID]]))))</f>
        <v/>
      </c>
      <c r="Q132" s="24" t="str">
        <f aca="false">IF(IFERROR(INDEX(tsk_Name,(ROW()-ROW(MSPTasks[[#Headers],[ID]])))="",TRUE()),"",IF(INDEX(tsk_BaseDuration,(ROW()-ROW(MSPTasks[[#Headers],[ID]])))="","",N(INDEX(tsk_BaseDuration,(ROW()-ROW(MSPTasks[[#Headers],[ID]]))))&amp;"d"))</f>
        <v/>
      </c>
      <c r="R132" s="24" t="str">
        <f aca="false">IF(IFERROR(INDEX(tsk_Name,(ROW()-ROW(MSPTasks[[#Headers],[ID]])))="",TRUE()),"",IF(INDEX(tsk_BaseWork,(ROW()-ROW(MSPTasks[[#Headers],[ID]])))="","",N(INDEX(tsk_BaseWork,(ROW()-ROW(MSPTasks[[#Headers],[ID]]))))&amp;"h"))</f>
        <v/>
      </c>
      <c r="S132" s="24" t="str">
        <f aca="false">IF(IFERROR(INDEX(tsk_Name,(ROW()-ROW(MSPTasks[[#Headers],[ID]])))="",TRUE()),"",IF(INDEX(tsk_BaseCost,(ROW()-ROW(MSPTasks[[#Headers],[ID]])))="","",N(INDEX(tsk_BaseCost,(ROW()-ROW(MSPTasks[[#Headers],[ID]]))))))</f>
        <v/>
      </c>
      <c r="T132" s="24" t="str">
        <f aca="false">IF(IFERROR(INDEX(tsk_Name,(ROW()-ROW(MSPTasks[[#Headers],[ID]])))="",TRUE()),"",IF(INDEX(tsk_IsSummary,(ROW()-ROW(MSPTasks[[#Headers],[ID]]))),"",IF(N(INDEX(tsk_ActCostInput,(ROW()-ROW(MSPTasks[[#Headers],[ID]]))))=0,"",INDEX(tsk_ActCostInput,(ROW()-ROW(MSPTasks[[#Headers],[ID]]))))))</f>
        <v/>
      </c>
      <c r="U132" s="24" t="str">
        <f aca="false">IF(IFERROR(INDEX(tsk_Name,(ROW()-ROW(MSPTasks[[#Headers],[ID]])))="",TRUE()),"",IF(INDEX(tsk_IsSummary,(ROW()-ROW(MSPTasks[[#Headers],[ID]]))),"",IF(AND(INDEX(tsk_Mode,(ROW()-ROW(MSPTasks[[#Headers],[ID]])))&lt;&gt;"Manual",N(INDEX(tsk_Constraint,(ROW()-ROW(MSPTasks[[#Headers],[ID]]))))&gt;0),"Start No Earlier Than","As Soon As Possible")))</f>
        <v/>
      </c>
      <c r="V132" s="130" t="str">
        <f aca="false">IF(IFERROR(INDEX(tsk_Name,(ROW()-ROW(MSPTasks[[#Headers],[ID]])))="",TRUE()),"",IF(OR(INDEX(tsk_IsSummary,(ROW()-ROW(MSPTasks[[#Headers],[ID]]))),INDEX(tsk_Mode,(ROW()-ROW(MSPTasks[[#Headers],[ID]])))="Manual"),"",IF(N(INDEX(tsk_Constraint,(ROW()-ROW(MSPTasks[[#Headers],[ID]]))))=0,"",INDEX(tsk_Constraint,(ROW()-ROW(MSPTasks[[#Headers],[ID]]))))))</f>
        <v/>
      </c>
      <c r="W132" s="130" t="str">
        <f aca="false">IF(IFERROR(INDEX(tsk_Name,(ROW()-ROW(MSPTasks[[#Headers],[ID]])))="",TRUE()),"",IF(N(INDEX(tsk_Deadline,(ROW()-ROW(MSPTasks[[#Headers],[ID]]))))=0,"",INDEX(tsk_Deadline,(ROW()-ROW(MSPTasks[[#Headers],[ID]])))))</f>
        <v/>
      </c>
      <c r="X132" s="24" t="str">
        <f aca="false">IF(IFERROR(INDEX(tsk_Name,(ROW()-ROW(MSPTasks[[#Headers],[ID]])))="",TRUE()),"",IF(INDEX(tsk_IsSummary,(ROW()-ROW(MSPTasks[[#Headers],[ID]]))),"",INDEX(tsk_Sprint,(ROW()-ROW(MSPTasks[[#Headers],[ID]])))&amp;""))</f>
        <v/>
      </c>
      <c r="Y132" s="24" t="str">
        <f aca="false">IF(IFERROR(INDEX(tsk_Name,(ROW()-ROW(MSPTasks[[#Headers],[ID]])))="",TRUE()),"",IF(INDEX(tsk_IsSummary,(ROW()-ROW(MSPTasks[[#Headers],[ID]]))),"",IF(N(INDEX(tsk_StoryPoints,(ROW()-ROW(MSPTasks[[#Headers],[ID]]))))=0,"",INDEX(tsk_StoryPoints,(ROW()-ROW(MSPTasks[[#Headers],[ID]]))))))</f>
        <v/>
      </c>
      <c r="Z132" s="24" t="str">
        <f aca="false">IF(IFERROR(INDEX(tsk_Name,(ROW()-ROW(MSPTasks[[#Headers],[ID]])))="",TRUE()),"",INDEX(tsk_Notes,(ROW()-ROW(MSPTasks[[#Headers],[ID]])))&amp;"")</f>
        <v/>
      </c>
    </row>
    <row r="133" customFormat="false" ht="15" hidden="false" customHeight="false" outlineLevel="0" collapsed="false">
      <c r="A133" s="24" t="str">
        <f aca="false">IF(IFERROR(INDEX(tsk_Name,(ROW()-ROW(MSPTasks[[#Headers],[ID]])))="",TRUE()),"",INDEX(tsk_ID,(ROW()-ROW(MSPTasks[[#Headers],[ID]]))))</f>
        <v/>
      </c>
      <c r="B133" s="24" t="str">
        <f aca="false">IF(IFERROR(INDEX(tsk_Name,(ROW()-ROW(MSPTasks[[#Headers],[ID]])))="",TRUE()),"",INDEX(tsk_UID,(ROW()-ROW(MSPTasks[[#Headers],[ID]]))))</f>
        <v/>
      </c>
      <c r="C133" s="24" t="str">
        <f aca="false">IF(IFERROR(INDEX(tsk_Name,(ROW()-ROW(MSPTasks[[#Headers],[ID]])))="",TRUE()),"",INDEX(tsk_Name,(ROW()-ROW(MSPTasks[[#Headers],[ID]]))))</f>
        <v/>
      </c>
      <c r="D133" s="24" t="str">
        <f aca="false">IF(IFERROR(INDEX(tsk_Name,(ROW()-ROW(MSPTasks[[#Headers],[ID]])))="",TRUE()),"",INDEX(tsk_Level,(ROW()-ROW(MSPTasks[[#Headers],[ID]]))))</f>
        <v/>
      </c>
      <c r="E133" s="24" t="str">
        <f aca="false">IF(IFERROR(INDEX(tsk_Name,(ROW()-ROW(MSPTasks[[#Headers],[ID]])))="",TRUE()),"",IF(INDEX(tsk_Mode,(ROW()-ROW(MSPTasks[[#Headers],[ID]])))="Manual","Manually Scheduled","Auto Scheduled"))</f>
        <v/>
      </c>
      <c r="F133" s="24" t="str">
        <f aca="false">IF(IFERROR(INDEX(tsk_Name,(ROW()-ROW(MSPTasks[[#Headers],[ID]])))="",TRUE()),"",IF(INDEX(tsk_IsSummary,(ROW()-ROW(MSPTasks[[#Headers],[ID]]))),"",N(INDEX(tsk_Duration,(ROW()-ROW(MSPTasks[[#Headers],[ID]]))))&amp;"d"))</f>
        <v/>
      </c>
      <c r="G133" s="130" t="str">
        <f aca="false">IF(IFERROR(INDEX(tsk_Name,(ROW()-ROW(MSPTasks[[#Headers],[ID]])))="",TRUE()),"",INDEX(tsk_FcStart,(ROW()-ROW(MSPTasks[[#Headers],[ID]]))))</f>
        <v/>
      </c>
      <c r="H133" s="130" t="str">
        <f aca="false">IF(IFERROR(INDEX(tsk_Name,(ROW()-ROW(MSPTasks[[#Headers],[ID]])))="",TRUE()),"",INDEX(tsk_FcFinish,(ROW()-ROW(MSPTasks[[#Headers],[ID]]))))</f>
        <v/>
      </c>
      <c r="I133" s="24" t="str">
        <f aca="false">IF(IFERROR(INDEX(tsk_Name,(ROW()-ROW(MSPTasks[[#Headers],[ID]])))="",TRUE()),"",IF(INDEX(tsk_IsSummary,(ROW()-ROW(MSPTasks[[#Headers],[ID]]))),"",INDEX(tsk_Predecessors,(ROW()-ROW(MSPTasks[[#Headers],[ID]])))))</f>
        <v/>
      </c>
      <c r="J133" s="24" t="str">
        <f aca="false">IF(IFERROR(INDEX(tsk_Name,(ROW()-ROW(MSPTasks[[#Headers],[ID]])))="",TRUE()),"",IF(INDEX(tsk_IsSummary,(ROW()-ROW(MSPTasks[[#Headers],[ID]]))),"",INDEX(tsk_UIDPredecessors,(ROW()-ROW(MSPTasks[[#Headers],[ID]])))))</f>
        <v/>
      </c>
      <c r="K1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3" s="24" t="str">
        <f aca="false">IF(IFERROR(INDEX(tsk_Name,(ROW()-ROW(MSPTasks[[#Headers],[ID]])))="",TRUE()),"",IF(INDEX(tsk_IsSummary,(ROW()-ROW(MSPTasks[[#Headers],[ID]]))),"",ROUND(INDEX(tsk_Progress,(ROW()-ROW(MSPTasks[[#Headers],[ID]])))*100,0)))</f>
        <v/>
      </c>
      <c r="M133" s="130" t="str">
        <f aca="false">IF(IFERROR(INDEX(tsk_Name,(ROW()-ROW(MSPTasks[[#Headers],[ID]])))="",TRUE()),"",IF(N(INDEX(tsk_ActStart,(ROW()-ROW(MSPTasks[[#Headers],[ID]]))))=0,"",INDEX(tsk_ActStart,(ROW()-ROW(MSPTasks[[#Headers],[ID]])))))</f>
        <v/>
      </c>
      <c r="N133" s="130" t="str">
        <f aca="false">IF(IFERROR(INDEX(tsk_Name,(ROW()-ROW(MSPTasks[[#Headers],[ID]])))="",TRUE()),"",IF(N(INDEX(tsk_ActFinish,(ROW()-ROW(MSPTasks[[#Headers],[ID]]))))=0,"",INDEX(tsk_ActFinish,(ROW()-ROW(MSPTasks[[#Headers],[ID]])))))</f>
        <v/>
      </c>
      <c r="O133" s="130" t="str">
        <f aca="false">IF(IFERROR(INDEX(tsk_Name,(ROW()-ROW(MSPTasks[[#Headers],[ID]])))="",TRUE()),"",INDEX(tsk_PlanStart,(ROW()-ROW(MSPTasks[[#Headers],[ID]]))))</f>
        <v/>
      </c>
      <c r="P133" s="130" t="str">
        <f aca="false">IF(IFERROR(INDEX(tsk_Name,(ROW()-ROW(MSPTasks[[#Headers],[ID]])))="",TRUE()),"",INDEX(tsk_PlanFinish,(ROW()-ROW(MSPTasks[[#Headers],[ID]]))))</f>
        <v/>
      </c>
      <c r="Q133" s="24" t="str">
        <f aca="false">IF(IFERROR(INDEX(tsk_Name,(ROW()-ROW(MSPTasks[[#Headers],[ID]])))="",TRUE()),"",IF(INDEX(tsk_BaseDuration,(ROW()-ROW(MSPTasks[[#Headers],[ID]])))="","",N(INDEX(tsk_BaseDuration,(ROW()-ROW(MSPTasks[[#Headers],[ID]]))))&amp;"d"))</f>
        <v/>
      </c>
      <c r="R133" s="24" t="str">
        <f aca="false">IF(IFERROR(INDEX(tsk_Name,(ROW()-ROW(MSPTasks[[#Headers],[ID]])))="",TRUE()),"",IF(INDEX(tsk_BaseWork,(ROW()-ROW(MSPTasks[[#Headers],[ID]])))="","",N(INDEX(tsk_BaseWork,(ROW()-ROW(MSPTasks[[#Headers],[ID]]))))&amp;"h"))</f>
        <v/>
      </c>
      <c r="S133" s="24" t="str">
        <f aca="false">IF(IFERROR(INDEX(tsk_Name,(ROW()-ROW(MSPTasks[[#Headers],[ID]])))="",TRUE()),"",IF(INDEX(tsk_BaseCost,(ROW()-ROW(MSPTasks[[#Headers],[ID]])))="","",N(INDEX(tsk_BaseCost,(ROW()-ROW(MSPTasks[[#Headers],[ID]]))))))</f>
        <v/>
      </c>
      <c r="T133" s="24" t="str">
        <f aca="false">IF(IFERROR(INDEX(tsk_Name,(ROW()-ROW(MSPTasks[[#Headers],[ID]])))="",TRUE()),"",IF(INDEX(tsk_IsSummary,(ROW()-ROW(MSPTasks[[#Headers],[ID]]))),"",IF(N(INDEX(tsk_ActCostInput,(ROW()-ROW(MSPTasks[[#Headers],[ID]]))))=0,"",INDEX(tsk_ActCostInput,(ROW()-ROW(MSPTasks[[#Headers],[ID]]))))))</f>
        <v/>
      </c>
      <c r="U133" s="24" t="str">
        <f aca="false">IF(IFERROR(INDEX(tsk_Name,(ROW()-ROW(MSPTasks[[#Headers],[ID]])))="",TRUE()),"",IF(INDEX(tsk_IsSummary,(ROW()-ROW(MSPTasks[[#Headers],[ID]]))),"",IF(AND(INDEX(tsk_Mode,(ROW()-ROW(MSPTasks[[#Headers],[ID]])))&lt;&gt;"Manual",N(INDEX(tsk_Constraint,(ROW()-ROW(MSPTasks[[#Headers],[ID]]))))&gt;0),"Start No Earlier Than","As Soon As Possible")))</f>
        <v/>
      </c>
      <c r="V133" s="130" t="str">
        <f aca="false">IF(IFERROR(INDEX(tsk_Name,(ROW()-ROW(MSPTasks[[#Headers],[ID]])))="",TRUE()),"",IF(OR(INDEX(tsk_IsSummary,(ROW()-ROW(MSPTasks[[#Headers],[ID]]))),INDEX(tsk_Mode,(ROW()-ROW(MSPTasks[[#Headers],[ID]])))="Manual"),"",IF(N(INDEX(tsk_Constraint,(ROW()-ROW(MSPTasks[[#Headers],[ID]]))))=0,"",INDEX(tsk_Constraint,(ROW()-ROW(MSPTasks[[#Headers],[ID]]))))))</f>
        <v/>
      </c>
      <c r="W133" s="130" t="str">
        <f aca="false">IF(IFERROR(INDEX(tsk_Name,(ROW()-ROW(MSPTasks[[#Headers],[ID]])))="",TRUE()),"",IF(N(INDEX(tsk_Deadline,(ROW()-ROW(MSPTasks[[#Headers],[ID]]))))=0,"",INDEX(tsk_Deadline,(ROW()-ROW(MSPTasks[[#Headers],[ID]])))))</f>
        <v/>
      </c>
      <c r="X133" s="24" t="str">
        <f aca="false">IF(IFERROR(INDEX(tsk_Name,(ROW()-ROW(MSPTasks[[#Headers],[ID]])))="",TRUE()),"",IF(INDEX(tsk_IsSummary,(ROW()-ROW(MSPTasks[[#Headers],[ID]]))),"",INDEX(tsk_Sprint,(ROW()-ROW(MSPTasks[[#Headers],[ID]])))&amp;""))</f>
        <v/>
      </c>
      <c r="Y133" s="24" t="str">
        <f aca="false">IF(IFERROR(INDEX(tsk_Name,(ROW()-ROW(MSPTasks[[#Headers],[ID]])))="",TRUE()),"",IF(INDEX(tsk_IsSummary,(ROW()-ROW(MSPTasks[[#Headers],[ID]]))),"",IF(N(INDEX(tsk_StoryPoints,(ROW()-ROW(MSPTasks[[#Headers],[ID]]))))=0,"",INDEX(tsk_StoryPoints,(ROW()-ROW(MSPTasks[[#Headers],[ID]]))))))</f>
        <v/>
      </c>
      <c r="Z133" s="24" t="str">
        <f aca="false">IF(IFERROR(INDEX(tsk_Name,(ROW()-ROW(MSPTasks[[#Headers],[ID]])))="",TRUE()),"",INDEX(tsk_Notes,(ROW()-ROW(MSPTasks[[#Headers],[ID]])))&amp;"")</f>
        <v/>
      </c>
    </row>
    <row r="134" customFormat="false" ht="15" hidden="false" customHeight="false" outlineLevel="0" collapsed="false">
      <c r="A134" s="24" t="str">
        <f aca="false">IF(IFERROR(INDEX(tsk_Name,(ROW()-ROW(MSPTasks[[#Headers],[ID]])))="",TRUE()),"",INDEX(tsk_ID,(ROW()-ROW(MSPTasks[[#Headers],[ID]]))))</f>
        <v/>
      </c>
      <c r="B134" s="24" t="str">
        <f aca="false">IF(IFERROR(INDEX(tsk_Name,(ROW()-ROW(MSPTasks[[#Headers],[ID]])))="",TRUE()),"",INDEX(tsk_UID,(ROW()-ROW(MSPTasks[[#Headers],[ID]]))))</f>
        <v/>
      </c>
      <c r="C134" s="24" t="str">
        <f aca="false">IF(IFERROR(INDEX(tsk_Name,(ROW()-ROW(MSPTasks[[#Headers],[ID]])))="",TRUE()),"",INDEX(tsk_Name,(ROW()-ROW(MSPTasks[[#Headers],[ID]]))))</f>
        <v/>
      </c>
      <c r="D134" s="24" t="str">
        <f aca="false">IF(IFERROR(INDEX(tsk_Name,(ROW()-ROW(MSPTasks[[#Headers],[ID]])))="",TRUE()),"",INDEX(tsk_Level,(ROW()-ROW(MSPTasks[[#Headers],[ID]]))))</f>
        <v/>
      </c>
      <c r="E134" s="24" t="str">
        <f aca="false">IF(IFERROR(INDEX(tsk_Name,(ROW()-ROW(MSPTasks[[#Headers],[ID]])))="",TRUE()),"",IF(INDEX(tsk_Mode,(ROW()-ROW(MSPTasks[[#Headers],[ID]])))="Manual","Manually Scheduled","Auto Scheduled"))</f>
        <v/>
      </c>
      <c r="F134" s="24" t="str">
        <f aca="false">IF(IFERROR(INDEX(tsk_Name,(ROW()-ROW(MSPTasks[[#Headers],[ID]])))="",TRUE()),"",IF(INDEX(tsk_IsSummary,(ROW()-ROW(MSPTasks[[#Headers],[ID]]))),"",N(INDEX(tsk_Duration,(ROW()-ROW(MSPTasks[[#Headers],[ID]]))))&amp;"d"))</f>
        <v/>
      </c>
      <c r="G134" s="130" t="str">
        <f aca="false">IF(IFERROR(INDEX(tsk_Name,(ROW()-ROW(MSPTasks[[#Headers],[ID]])))="",TRUE()),"",INDEX(tsk_FcStart,(ROW()-ROW(MSPTasks[[#Headers],[ID]]))))</f>
        <v/>
      </c>
      <c r="H134" s="130" t="str">
        <f aca="false">IF(IFERROR(INDEX(tsk_Name,(ROW()-ROW(MSPTasks[[#Headers],[ID]])))="",TRUE()),"",INDEX(tsk_FcFinish,(ROW()-ROW(MSPTasks[[#Headers],[ID]]))))</f>
        <v/>
      </c>
      <c r="I134" s="24" t="str">
        <f aca="false">IF(IFERROR(INDEX(tsk_Name,(ROW()-ROW(MSPTasks[[#Headers],[ID]])))="",TRUE()),"",IF(INDEX(tsk_IsSummary,(ROW()-ROW(MSPTasks[[#Headers],[ID]]))),"",INDEX(tsk_Predecessors,(ROW()-ROW(MSPTasks[[#Headers],[ID]])))))</f>
        <v/>
      </c>
      <c r="J134" s="24" t="str">
        <f aca="false">IF(IFERROR(INDEX(tsk_Name,(ROW()-ROW(MSPTasks[[#Headers],[ID]])))="",TRUE()),"",IF(INDEX(tsk_IsSummary,(ROW()-ROW(MSPTasks[[#Headers],[ID]]))),"",INDEX(tsk_UIDPredecessors,(ROW()-ROW(MSPTasks[[#Headers],[ID]])))))</f>
        <v/>
      </c>
      <c r="K1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4" s="24" t="str">
        <f aca="false">IF(IFERROR(INDEX(tsk_Name,(ROW()-ROW(MSPTasks[[#Headers],[ID]])))="",TRUE()),"",IF(INDEX(tsk_IsSummary,(ROW()-ROW(MSPTasks[[#Headers],[ID]]))),"",ROUND(INDEX(tsk_Progress,(ROW()-ROW(MSPTasks[[#Headers],[ID]])))*100,0)))</f>
        <v/>
      </c>
      <c r="M134" s="130" t="str">
        <f aca="false">IF(IFERROR(INDEX(tsk_Name,(ROW()-ROW(MSPTasks[[#Headers],[ID]])))="",TRUE()),"",IF(N(INDEX(tsk_ActStart,(ROW()-ROW(MSPTasks[[#Headers],[ID]]))))=0,"",INDEX(tsk_ActStart,(ROW()-ROW(MSPTasks[[#Headers],[ID]])))))</f>
        <v/>
      </c>
      <c r="N134" s="130" t="str">
        <f aca="false">IF(IFERROR(INDEX(tsk_Name,(ROW()-ROW(MSPTasks[[#Headers],[ID]])))="",TRUE()),"",IF(N(INDEX(tsk_ActFinish,(ROW()-ROW(MSPTasks[[#Headers],[ID]]))))=0,"",INDEX(tsk_ActFinish,(ROW()-ROW(MSPTasks[[#Headers],[ID]])))))</f>
        <v/>
      </c>
      <c r="O134" s="130" t="str">
        <f aca="false">IF(IFERROR(INDEX(tsk_Name,(ROW()-ROW(MSPTasks[[#Headers],[ID]])))="",TRUE()),"",INDEX(tsk_PlanStart,(ROW()-ROW(MSPTasks[[#Headers],[ID]]))))</f>
        <v/>
      </c>
      <c r="P134" s="130" t="str">
        <f aca="false">IF(IFERROR(INDEX(tsk_Name,(ROW()-ROW(MSPTasks[[#Headers],[ID]])))="",TRUE()),"",INDEX(tsk_PlanFinish,(ROW()-ROW(MSPTasks[[#Headers],[ID]]))))</f>
        <v/>
      </c>
      <c r="Q134" s="24" t="str">
        <f aca="false">IF(IFERROR(INDEX(tsk_Name,(ROW()-ROW(MSPTasks[[#Headers],[ID]])))="",TRUE()),"",IF(INDEX(tsk_BaseDuration,(ROW()-ROW(MSPTasks[[#Headers],[ID]])))="","",N(INDEX(tsk_BaseDuration,(ROW()-ROW(MSPTasks[[#Headers],[ID]]))))&amp;"d"))</f>
        <v/>
      </c>
      <c r="R134" s="24" t="str">
        <f aca="false">IF(IFERROR(INDEX(tsk_Name,(ROW()-ROW(MSPTasks[[#Headers],[ID]])))="",TRUE()),"",IF(INDEX(tsk_BaseWork,(ROW()-ROW(MSPTasks[[#Headers],[ID]])))="","",N(INDEX(tsk_BaseWork,(ROW()-ROW(MSPTasks[[#Headers],[ID]]))))&amp;"h"))</f>
        <v/>
      </c>
      <c r="S134" s="24" t="str">
        <f aca="false">IF(IFERROR(INDEX(tsk_Name,(ROW()-ROW(MSPTasks[[#Headers],[ID]])))="",TRUE()),"",IF(INDEX(tsk_BaseCost,(ROW()-ROW(MSPTasks[[#Headers],[ID]])))="","",N(INDEX(tsk_BaseCost,(ROW()-ROW(MSPTasks[[#Headers],[ID]]))))))</f>
        <v/>
      </c>
      <c r="T134" s="24" t="str">
        <f aca="false">IF(IFERROR(INDEX(tsk_Name,(ROW()-ROW(MSPTasks[[#Headers],[ID]])))="",TRUE()),"",IF(INDEX(tsk_IsSummary,(ROW()-ROW(MSPTasks[[#Headers],[ID]]))),"",IF(N(INDEX(tsk_ActCostInput,(ROW()-ROW(MSPTasks[[#Headers],[ID]]))))=0,"",INDEX(tsk_ActCostInput,(ROW()-ROW(MSPTasks[[#Headers],[ID]]))))))</f>
        <v/>
      </c>
      <c r="U134" s="24" t="str">
        <f aca="false">IF(IFERROR(INDEX(tsk_Name,(ROW()-ROW(MSPTasks[[#Headers],[ID]])))="",TRUE()),"",IF(INDEX(tsk_IsSummary,(ROW()-ROW(MSPTasks[[#Headers],[ID]]))),"",IF(AND(INDEX(tsk_Mode,(ROW()-ROW(MSPTasks[[#Headers],[ID]])))&lt;&gt;"Manual",N(INDEX(tsk_Constraint,(ROW()-ROW(MSPTasks[[#Headers],[ID]]))))&gt;0),"Start No Earlier Than","As Soon As Possible")))</f>
        <v/>
      </c>
      <c r="V134" s="130" t="str">
        <f aca="false">IF(IFERROR(INDEX(tsk_Name,(ROW()-ROW(MSPTasks[[#Headers],[ID]])))="",TRUE()),"",IF(OR(INDEX(tsk_IsSummary,(ROW()-ROW(MSPTasks[[#Headers],[ID]]))),INDEX(tsk_Mode,(ROW()-ROW(MSPTasks[[#Headers],[ID]])))="Manual"),"",IF(N(INDEX(tsk_Constraint,(ROW()-ROW(MSPTasks[[#Headers],[ID]]))))=0,"",INDEX(tsk_Constraint,(ROW()-ROW(MSPTasks[[#Headers],[ID]]))))))</f>
        <v/>
      </c>
      <c r="W134" s="130" t="str">
        <f aca="false">IF(IFERROR(INDEX(tsk_Name,(ROW()-ROW(MSPTasks[[#Headers],[ID]])))="",TRUE()),"",IF(N(INDEX(tsk_Deadline,(ROW()-ROW(MSPTasks[[#Headers],[ID]]))))=0,"",INDEX(tsk_Deadline,(ROW()-ROW(MSPTasks[[#Headers],[ID]])))))</f>
        <v/>
      </c>
      <c r="X134" s="24" t="str">
        <f aca="false">IF(IFERROR(INDEX(tsk_Name,(ROW()-ROW(MSPTasks[[#Headers],[ID]])))="",TRUE()),"",IF(INDEX(tsk_IsSummary,(ROW()-ROW(MSPTasks[[#Headers],[ID]]))),"",INDEX(tsk_Sprint,(ROW()-ROW(MSPTasks[[#Headers],[ID]])))&amp;""))</f>
        <v/>
      </c>
      <c r="Y134" s="24" t="str">
        <f aca="false">IF(IFERROR(INDEX(tsk_Name,(ROW()-ROW(MSPTasks[[#Headers],[ID]])))="",TRUE()),"",IF(INDEX(tsk_IsSummary,(ROW()-ROW(MSPTasks[[#Headers],[ID]]))),"",IF(N(INDEX(tsk_StoryPoints,(ROW()-ROW(MSPTasks[[#Headers],[ID]]))))=0,"",INDEX(tsk_StoryPoints,(ROW()-ROW(MSPTasks[[#Headers],[ID]]))))))</f>
        <v/>
      </c>
      <c r="Z134" s="24" t="str">
        <f aca="false">IF(IFERROR(INDEX(tsk_Name,(ROW()-ROW(MSPTasks[[#Headers],[ID]])))="",TRUE()),"",INDEX(tsk_Notes,(ROW()-ROW(MSPTasks[[#Headers],[ID]])))&amp;"")</f>
        <v/>
      </c>
    </row>
    <row r="135" customFormat="false" ht="15" hidden="false" customHeight="false" outlineLevel="0" collapsed="false">
      <c r="A135" s="24" t="str">
        <f aca="false">IF(IFERROR(INDEX(tsk_Name,(ROW()-ROW(MSPTasks[[#Headers],[ID]])))="",TRUE()),"",INDEX(tsk_ID,(ROW()-ROW(MSPTasks[[#Headers],[ID]]))))</f>
        <v/>
      </c>
      <c r="B135" s="24" t="str">
        <f aca="false">IF(IFERROR(INDEX(tsk_Name,(ROW()-ROW(MSPTasks[[#Headers],[ID]])))="",TRUE()),"",INDEX(tsk_UID,(ROW()-ROW(MSPTasks[[#Headers],[ID]]))))</f>
        <v/>
      </c>
      <c r="C135" s="24" t="str">
        <f aca="false">IF(IFERROR(INDEX(tsk_Name,(ROW()-ROW(MSPTasks[[#Headers],[ID]])))="",TRUE()),"",INDEX(tsk_Name,(ROW()-ROW(MSPTasks[[#Headers],[ID]]))))</f>
        <v/>
      </c>
      <c r="D135" s="24" t="str">
        <f aca="false">IF(IFERROR(INDEX(tsk_Name,(ROW()-ROW(MSPTasks[[#Headers],[ID]])))="",TRUE()),"",INDEX(tsk_Level,(ROW()-ROW(MSPTasks[[#Headers],[ID]]))))</f>
        <v/>
      </c>
      <c r="E135" s="24" t="str">
        <f aca="false">IF(IFERROR(INDEX(tsk_Name,(ROW()-ROW(MSPTasks[[#Headers],[ID]])))="",TRUE()),"",IF(INDEX(tsk_Mode,(ROW()-ROW(MSPTasks[[#Headers],[ID]])))="Manual","Manually Scheduled","Auto Scheduled"))</f>
        <v/>
      </c>
      <c r="F135" s="24" t="str">
        <f aca="false">IF(IFERROR(INDEX(tsk_Name,(ROW()-ROW(MSPTasks[[#Headers],[ID]])))="",TRUE()),"",IF(INDEX(tsk_IsSummary,(ROW()-ROW(MSPTasks[[#Headers],[ID]]))),"",N(INDEX(tsk_Duration,(ROW()-ROW(MSPTasks[[#Headers],[ID]]))))&amp;"d"))</f>
        <v/>
      </c>
      <c r="G135" s="130" t="str">
        <f aca="false">IF(IFERROR(INDEX(tsk_Name,(ROW()-ROW(MSPTasks[[#Headers],[ID]])))="",TRUE()),"",INDEX(tsk_FcStart,(ROW()-ROW(MSPTasks[[#Headers],[ID]]))))</f>
        <v/>
      </c>
      <c r="H135" s="130" t="str">
        <f aca="false">IF(IFERROR(INDEX(tsk_Name,(ROW()-ROW(MSPTasks[[#Headers],[ID]])))="",TRUE()),"",INDEX(tsk_FcFinish,(ROW()-ROW(MSPTasks[[#Headers],[ID]]))))</f>
        <v/>
      </c>
      <c r="I135" s="24" t="str">
        <f aca="false">IF(IFERROR(INDEX(tsk_Name,(ROW()-ROW(MSPTasks[[#Headers],[ID]])))="",TRUE()),"",IF(INDEX(tsk_IsSummary,(ROW()-ROW(MSPTasks[[#Headers],[ID]]))),"",INDEX(tsk_Predecessors,(ROW()-ROW(MSPTasks[[#Headers],[ID]])))))</f>
        <v/>
      </c>
      <c r="J135" s="24" t="str">
        <f aca="false">IF(IFERROR(INDEX(tsk_Name,(ROW()-ROW(MSPTasks[[#Headers],[ID]])))="",TRUE()),"",IF(INDEX(tsk_IsSummary,(ROW()-ROW(MSPTasks[[#Headers],[ID]]))),"",INDEX(tsk_UIDPredecessors,(ROW()-ROW(MSPTasks[[#Headers],[ID]])))))</f>
        <v/>
      </c>
      <c r="K1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5" s="24" t="str">
        <f aca="false">IF(IFERROR(INDEX(tsk_Name,(ROW()-ROW(MSPTasks[[#Headers],[ID]])))="",TRUE()),"",IF(INDEX(tsk_IsSummary,(ROW()-ROW(MSPTasks[[#Headers],[ID]]))),"",ROUND(INDEX(tsk_Progress,(ROW()-ROW(MSPTasks[[#Headers],[ID]])))*100,0)))</f>
        <v/>
      </c>
      <c r="M135" s="130" t="str">
        <f aca="false">IF(IFERROR(INDEX(tsk_Name,(ROW()-ROW(MSPTasks[[#Headers],[ID]])))="",TRUE()),"",IF(N(INDEX(tsk_ActStart,(ROW()-ROW(MSPTasks[[#Headers],[ID]]))))=0,"",INDEX(tsk_ActStart,(ROW()-ROW(MSPTasks[[#Headers],[ID]])))))</f>
        <v/>
      </c>
      <c r="N135" s="130" t="str">
        <f aca="false">IF(IFERROR(INDEX(tsk_Name,(ROW()-ROW(MSPTasks[[#Headers],[ID]])))="",TRUE()),"",IF(N(INDEX(tsk_ActFinish,(ROW()-ROW(MSPTasks[[#Headers],[ID]]))))=0,"",INDEX(tsk_ActFinish,(ROW()-ROW(MSPTasks[[#Headers],[ID]])))))</f>
        <v/>
      </c>
      <c r="O135" s="130" t="str">
        <f aca="false">IF(IFERROR(INDEX(tsk_Name,(ROW()-ROW(MSPTasks[[#Headers],[ID]])))="",TRUE()),"",INDEX(tsk_PlanStart,(ROW()-ROW(MSPTasks[[#Headers],[ID]]))))</f>
        <v/>
      </c>
      <c r="P135" s="130" t="str">
        <f aca="false">IF(IFERROR(INDEX(tsk_Name,(ROW()-ROW(MSPTasks[[#Headers],[ID]])))="",TRUE()),"",INDEX(tsk_PlanFinish,(ROW()-ROW(MSPTasks[[#Headers],[ID]]))))</f>
        <v/>
      </c>
      <c r="Q135" s="24" t="str">
        <f aca="false">IF(IFERROR(INDEX(tsk_Name,(ROW()-ROW(MSPTasks[[#Headers],[ID]])))="",TRUE()),"",IF(INDEX(tsk_BaseDuration,(ROW()-ROW(MSPTasks[[#Headers],[ID]])))="","",N(INDEX(tsk_BaseDuration,(ROW()-ROW(MSPTasks[[#Headers],[ID]]))))&amp;"d"))</f>
        <v/>
      </c>
      <c r="R135" s="24" t="str">
        <f aca="false">IF(IFERROR(INDEX(tsk_Name,(ROW()-ROW(MSPTasks[[#Headers],[ID]])))="",TRUE()),"",IF(INDEX(tsk_BaseWork,(ROW()-ROW(MSPTasks[[#Headers],[ID]])))="","",N(INDEX(tsk_BaseWork,(ROW()-ROW(MSPTasks[[#Headers],[ID]]))))&amp;"h"))</f>
        <v/>
      </c>
      <c r="S135" s="24" t="str">
        <f aca="false">IF(IFERROR(INDEX(tsk_Name,(ROW()-ROW(MSPTasks[[#Headers],[ID]])))="",TRUE()),"",IF(INDEX(tsk_BaseCost,(ROW()-ROW(MSPTasks[[#Headers],[ID]])))="","",N(INDEX(tsk_BaseCost,(ROW()-ROW(MSPTasks[[#Headers],[ID]]))))))</f>
        <v/>
      </c>
      <c r="T135" s="24" t="str">
        <f aca="false">IF(IFERROR(INDEX(tsk_Name,(ROW()-ROW(MSPTasks[[#Headers],[ID]])))="",TRUE()),"",IF(INDEX(tsk_IsSummary,(ROW()-ROW(MSPTasks[[#Headers],[ID]]))),"",IF(N(INDEX(tsk_ActCostInput,(ROW()-ROW(MSPTasks[[#Headers],[ID]]))))=0,"",INDEX(tsk_ActCostInput,(ROW()-ROW(MSPTasks[[#Headers],[ID]]))))))</f>
        <v/>
      </c>
      <c r="U135" s="24" t="str">
        <f aca="false">IF(IFERROR(INDEX(tsk_Name,(ROW()-ROW(MSPTasks[[#Headers],[ID]])))="",TRUE()),"",IF(INDEX(tsk_IsSummary,(ROW()-ROW(MSPTasks[[#Headers],[ID]]))),"",IF(AND(INDEX(tsk_Mode,(ROW()-ROW(MSPTasks[[#Headers],[ID]])))&lt;&gt;"Manual",N(INDEX(tsk_Constraint,(ROW()-ROW(MSPTasks[[#Headers],[ID]]))))&gt;0),"Start No Earlier Than","As Soon As Possible")))</f>
        <v/>
      </c>
      <c r="V135" s="130" t="str">
        <f aca="false">IF(IFERROR(INDEX(tsk_Name,(ROW()-ROW(MSPTasks[[#Headers],[ID]])))="",TRUE()),"",IF(OR(INDEX(tsk_IsSummary,(ROW()-ROW(MSPTasks[[#Headers],[ID]]))),INDEX(tsk_Mode,(ROW()-ROW(MSPTasks[[#Headers],[ID]])))="Manual"),"",IF(N(INDEX(tsk_Constraint,(ROW()-ROW(MSPTasks[[#Headers],[ID]]))))=0,"",INDEX(tsk_Constraint,(ROW()-ROW(MSPTasks[[#Headers],[ID]]))))))</f>
        <v/>
      </c>
      <c r="W135" s="130" t="str">
        <f aca="false">IF(IFERROR(INDEX(tsk_Name,(ROW()-ROW(MSPTasks[[#Headers],[ID]])))="",TRUE()),"",IF(N(INDEX(tsk_Deadline,(ROW()-ROW(MSPTasks[[#Headers],[ID]]))))=0,"",INDEX(tsk_Deadline,(ROW()-ROW(MSPTasks[[#Headers],[ID]])))))</f>
        <v/>
      </c>
      <c r="X135" s="24" t="str">
        <f aca="false">IF(IFERROR(INDEX(tsk_Name,(ROW()-ROW(MSPTasks[[#Headers],[ID]])))="",TRUE()),"",IF(INDEX(tsk_IsSummary,(ROW()-ROW(MSPTasks[[#Headers],[ID]]))),"",INDEX(tsk_Sprint,(ROW()-ROW(MSPTasks[[#Headers],[ID]])))&amp;""))</f>
        <v/>
      </c>
      <c r="Y135" s="24" t="str">
        <f aca="false">IF(IFERROR(INDEX(tsk_Name,(ROW()-ROW(MSPTasks[[#Headers],[ID]])))="",TRUE()),"",IF(INDEX(tsk_IsSummary,(ROW()-ROW(MSPTasks[[#Headers],[ID]]))),"",IF(N(INDEX(tsk_StoryPoints,(ROW()-ROW(MSPTasks[[#Headers],[ID]]))))=0,"",INDEX(tsk_StoryPoints,(ROW()-ROW(MSPTasks[[#Headers],[ID]]))))))</f>
        <v/>
      </c>
      <c r="Z135" s="24" t="str">
        <f aca="false">IF(IFERROR(INDEX(tsk_Name,(ROW()-ROW(MSPTasks[[#Headers],[ID]])))="",TRUE()),"",INDEX(tsk_Notes,(ROW()-ROW(MSPTasks[[#Headers],[ID]])))&amp;"")</f>
        <v/>
      </c>
    </row>
    <row r="136" customFormat="false" ht="15" hidden="false" customHeight="false" outlineLevel="0" collapsed="false">
      <c r="A136" s="24" t="str">
        <f aca="false">IF(IFERROR(INDEX(tsk_Name,(ROW()-ROW(MSPTasks[[#Headers],[ID]])))="",TRUE()),"",INDEX(tsk_ID,(ROW()-ROW(MSPTasks[[#Headers],[ID]]))))</f>
        <v/>
      </c>
      <c r="B136" s="24" t="str">
        <f aca="false">IF(IFERROR(INDEX(tsk_Name,(ROW()-ROW(MSPTasks[[#Headers],[ID]])))="",TRUE()),"",INDEX(tsk_UID,(ROW()-ROW(MSPTasks[[#Headers],[ID]]))))</f>
        <v/>
      </c>
      <c r="C136" s="24" t="str">
        <f aca="false">IF(IFERROR(INDEX(tsk_Name,(ROW()-ROW(MSPTasks[[#Headers],[ID]])))="",TRUE()),"",INDEX(tsk_Name,(ROW()-ROW(MSPTasks[[#Headers],[ID]]))))</f>
        <v/>
      </c>
      <c r="D136" s="24" t="str">
        <f aca="false">IF(IFERROR(INDEX(tsk_Name,(ROW()-ROW(MSPTasks[[#Headers],[ID]])))="",TRUE()),"",INDEX(tsk_Level,(ROW()-ROW(MSPTasks[[#Headers],[ID]]))))</f>
        <v/>
      </c>
      <c r="E136" s="24" t="str">
        <f aca="false">IF(IFERROR(INDEX(tsk_Name,(ROW()-ROW(MSPTasks[[#Headers],[ID]])))="",TRUE()),"",IF(INDEX(tsk_Mode,(ROW()-ROW(MSPTasks[[#Headers],[ID]])))="Manual","Manually Scheduled","Auto Scheduled"))</f>
        <v/>
      </c>
      <c r="F136" s="24" t="str">
        <f aca="false">IF(IFERROR(INDEX(tsk_Name,(ROW()-ROW(MSPTasks[[#Headers],[ID]])))="",TRUE()),"",IF(INDEX(tsk_IsSummary,(ROW()-ROW(MSPTasks[[#Headers],[ID]]))),"",N(INDEX(tsk_Duration,(ROW()-ROW(MSPTasks[[#Headers],[ID]]))))&amp;"d"))</f>
        <v/>
      </c>
      <c r="G136" s="130" t="str">
        <f aca="false">IF(IFERROR(INDEX(tsk_Name,(ROW()-ROW(MSPTasks[[#Headers],[ID]])))="",TRUE()),"",INDEX(tsk_FcStart,(ROW()-ROW(MSPTasks[[#Headers],[ID]]))))</f>
        <v/>
      </c>
      <c r="H136" s="130" t="str">
        <f aca="false">IF(IFERROR(INDEX(tsk_Name,(ROW()-ROW(MSPTasks[[#Headers],[ID]])))="",TRUE()),"",INDEX(tsk_FcFinish,(ROW()-ROW(MSPTasks[[#Headers],[ID]]))))</f>
        <v/>
      </c>
      <c r="I136" s="24" t="str">
        <f aca="false">IF(IFERROR(INDEX(tsk_Name,(ROW()-ROW(MSPTasks[[#Headers],[ID]])))="",TRUE()),"",IF(INDEX(tsk_IsSummary,(ROW()-ROW(MSPTasks[[#Headers],[ID]]))),"",INDEX(tsk_Predecessors,(ROW()-ROW(MSPTasks[[#Headers],[ID]])))))</f>
        <v/>
      </c>
      <c r="J136" s="24" t="str">
        <f aca="false">IF(IFERROR(INDEX(tsk_Name,(ROW()-ROW(MSPTasks[[#Headers],[ID]])))="",TRUE()),"",IF(INDEX(tsk_IsSummary,(ROW()-ROW(MSPTasks[[#Headers],[ID]]))),"",INDEX(tsk_UIDPredecessors,(ROW()-ROW(MSPTasks[[#Headers],[ID]])))))</f>
        <v/>
      </c>
      <c r="K1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6" s="24" t="str">
        <f aca="false">IF(IFERROR(INDEX(tsk_Name,(ROW()-ROW(MSPTasks[[#Headers],[ID]])))="",TRUE()),"",IF(INDEX(tsk_IsSummary,(ROW()-ROW(MSPTasks[[#Headers],[ID]]))),"",ROUND(INDEX(tsk_Progress,(ROW()-ROW(MSPTasks[[#Headers],[ID]])))*100,0)))</f>
        <v/>
      </c>
      <c r="M136" s="130" t="str">
        <f aca="false">IF(IFERROR(INDEX(tsk_Name,(ROW()-ROW(MSPTasks[[#Headers],[ID]])))="",TRUE()),"",IF(N(INDEX(tsk_ActStart,(ROW()-ROW(MSPTasks[[#Headers],[ID]]))))=0,"",INDEX(tsk_ActStart,(ROW()-ROW(MSPTasks[[#Headers],[ID]])))))</f>
        <v/>
      </c>
      <c r="N136" s="130" t="str">
        <f aca="false">IF(IFERROR(INDEX(tsk_Name,(ROW()-ROW(MSPTasks[[#Headers],[ID]])))="",TRUE()),"",IF(N(INDEX(tsk_ActFinish,(ROW()-ROW(MSPTasks[[#Headers],[ID]]))))=0,"",INDEX(tsk_ActFinish,(ROW()-ROW(MSPTasks[[#Headers],[ID]])))))</f>
        <v/>
      </c>
      <c r="O136" s="130" t="str">
        <f aca="false">IF(IFERROR(INDEX(tsk_Name,(ROW()-ROW(MSPTasks[[#Headers],[ID]])))="",TRUE()),"",INDEX(tsk_PlanStart,(ROW()-ROW(MSPTasks[[#Headers],[ID]]))))</f>
        <v/>
      </c>
      <c r="P136" s="130" t="str">
        <f aca="false">IF(IFERROR(INDEX(tsk_Name,(ROW()-ROW(MSPTasks[[#Headers],[ID]])))="",TRUE()),"",INDEX(tsk_PlanFinish,(ROW()-ROW(MSPTasks[[#Headers],[ID]]))))</f>
        <v/>
      </c>
      <c r="Q136" s="24" t="str">
        <f aca="false">IF(IFERROR(INDEX(tsk_Name,(ROW()-ROW(MSPTasks[[#Headers],[ID]])))="",TRUE()),"",IF(INDEX(tsk_BaseDuration,(ROW()-ROW(MSPTasks[[#Headers],[ID]])))="","",N(INDEX(tsk_BaseDuration,(ROW()-ROW(MSPTasks[[#Headers],[ID]]))))&amp;"d"))</f>
        <v/>
      </c>
      <c r="R136" s="24" t="str">
        <f aca="false">IF(IFERROR(INDEX(tsk_Name,(ROW()-ROW(MSPTasks[[#Headers],[ID]])))="",TRUE()),"",IF(INDEX(tsk_BaseWork,(ROW()-ROW(MSPTasks[[#Headers],[ID]])))="","",N(INDEX(tsk_BaseWork,(ROW()-ROW(MSPTasks[[#Headers],[ID]]))))&amp;"h"))</f>
        <v/>
      </c>
      <c r="S136" s="24" t="str">
        <f aca="false">IF(IFERROR(INDEX(tsk_Name,(ROW()-ROW(MSPTasks[[#Headers],[ID]])))="",TRUE()),"",IF(INDEX(tsk_BaseCost,(ROW()-ROW(MSPTasks[[#Headers],[ID]])))="","",N(INDEX(tsk_BaseCost,(ROW()-ROW(MSPTasks[[#Headers],[ID]]))))))</f>
        <v/>
      </c>
      <c r="T136" s="24" t="str">
        <f aca="false">IF(IFERROR(INDEX(tsk_Name,(ROW()-ROW(MSPTasks[[#Headers],[ID]])))="",TRUE()),"",IF(INDEX(tsk_IsSummary,(ROW()-ROW(MSPTasks[[#Headers],[ID]]))),"",IF(N(INDEX(tsk_ActCostInput,(ROW()-ROW(MSPTasks[[#Headers],[ID]]))))=0,"",INDEX(tsk_ActCostInput,(ROW()-ROW(MSPTasks[[#Headers],[ID]]))))))</f>
        <v/>
      </c>
      <c r="U136" s="24" t="str">
        <f aca="false">IF(IFERROR(INDEX(tsk_Name,(ROW()-ROW(MSPTasks[[#Headers],[ID]])))="",TRUE()),"",IF(INDEX(tsk_IsSummary,(ROW()-ROW(MSPTasks[[#Headers],[ID]]))),"",IF(AND(INDEX(tsk_Mode,(ROW()-ROW(MSPTasks[[#Headers],[ID]])))&lt;&gt;"Manual",N(INDEX(tsk_Constraint,(ROW()-ROW(MSPTasks[[#Headers],[ID]]))))&gt;0),"Start No Earlier Than","As Soon As Possible")))</f>
        <v/>
      </c>
      <c r="V136" s="130" t="str">
        <f aca="false">IF(IFERROR(INDEX(tsk_Name,(ROW()-ROW(MSPTasks[[#Headers],[ID]])))="",TRUE()),"",IF(OR(INDEX(tsk_IsSummary,(ROW()-ROW(MSPTasks[[#Headers],[ID]]))),INDEX(tsk_Mode,(ROW()-ROW(MSPTasks[[#Headers],[ID]])))="Manual"),"",IF(N(INDEX(tsk_Constraint,(ROW()-ROW(MSPTasks[[#Headers],[ID]]))))=0,"",INDEX(tsk_Constraint,(ROW()-ROW(MSPTasks[[#Headers],[ID]]))))))</f>
        <v/>
      </c>
      <c r="W136" s="130" t="str">
        <f aca="false">IF(IFERROR(INDEX(tsk_Name,(ROW()-ROW(MSPTasks[[#Headers],[ID]])))="",TRUE()),"",IF(N(INDEX(tsk_Deadline,(ROW()-ROW(MSPTasks[[#Headers],[ID]]))))=0,"",INDEX(tsk_Deadline,(ROW()-ROW(MSPTasks[[#Headers],[ID]])))))</f>
        <v/>
      </c>
      <c r="X136" s="24" t="str">
        <f aca="false">IF(IFERROR(INDEX(tsk_Name,(ROW()-ROW(MSPTasks[[#Headers],[ID]])))="",TRUE()),"",IF(INDEX(tsk_IsSummary,(ROW()-ROW(MSPTasks[[#Headers],[ID]]))),"",INDEX(tsk_Sprint,(ROW()-ROW(MSPTasks[[#Headers],[ID]])))&amp;""))</f>
        <v/>
      </c>
      <c r="Y136" s="24" t="str">
        <f aca="false">IF(IFERROR(INDEX(tsk_Name,(ROW()-ROW(MSPTasks[[#Headers],[ID]])))="",TRUE()),"",IF(INDEX(tsk_IsSummary,(ROW()-ROW(MSPTasks[[#Headers],[ID]]))),"",IF(N(INDEX(tsk_StoryPoints,(ROW()-ROW(MSPTasks[[#Headers],[ID]]))))=0,"",INDEX(tsk_StoryPoints,(ROW()-ROW(MSPTasks[[#Headers],[ID]]))))))</f>
        <v/>
      </c>
      <c r="Z136" s="24" t="str">
        <f aca="false">IF(IFERROR(INDEX(tsk_Name,(ROW()-ROW(MSPTasks[[#Headers],[ID]])))="",TRUE()),"",INDEX(tsk_Notes,(ROW()-ROW(MSPTasks[[#Headers],[ID]])))&amp;"")</f>
        <v/>
      </c>
    </row>
    <row r="137" customFormat="false" ht="15" hidden="false" customHeight="false" outlineLevel="0" collapsed="false">
      <c r="A137" s="24" t="str">
        <f aca="false">IF(IFERROR(INDEX(tsk_Name,(ROW()-ROW(MSPTasks[[#Headers],[ID]])))="",TRUE()),"",INDEX(tsk_ID,(ROW()-ROW(MSPTasks[[#Headers],[ID]]))))</f>
        <v/>
      </c>
      <c r="B137" s="24" t="str">
        <f aca="false">IF(IFERROR(INDEX(tsk_Name,(ROW()-ROW(MSPTasks[[#Headers],[ID]])))="",TRUE()),"",INDEX(tsk_UID,(ROW()-ROW(MSPTasks[[#Headers],[ID]]))))</f>
        <v/>
      </c>
      <c r="C137" s="24" t="str">
        <f aca="false">IF(IFERROR(INDEX(tsk_Name,(ROW()-ROW(MSPTasks[[#Headers],[ID]])))="",TRUE()),"",INDEX(tsk_Name,(ROW()-ROW(MSPTasks[[#Headers],[ID]]))))</f>
        <v/>
      </c>
      <c r="D137" s="24" t="str">
        <f aca="false">IF(IFERROR(INDEX(tsk_Name,(ROW()-ROW(MSPTasks[[#Headers],[ID]])))="",TRUE()),"",INDEX(tsk_Level,(ROW()-ROW(MSPTasks[[#Headers],[ID]]))))</f>
        <v/>
      </c>
      <c r="E137" s="24" t="str">
        <f aca="false">IF(IFERROR(INDEX(tsk_Name,(ROW()-ROW(MSPTasks[[#Headers],[ID]])))="",TRUE()),"",IF(INDEX(tsk_Mode,(ROW()-ROW(MSPTasks[[#Headers],[ID]])))="Manual","Manually Scheduled","Auto Scheduled"))</f>
        <v/>
      </c>
      <c r="F137" s="24" t="str">
        <f aca="false">IF(IFERROR(INDEX(tsk_Name,(ROW()-ROW(MSPTasks[[#Headers],[ID]])))="",TRUE()),"",IF(INDEX(tsk_IsSummary,(ROW()-ROW(MSPTasks[[#Headers],[ID]]))),"",N(INDEX(tsk_Duration,(ROW()-ROW(MSPTasks[[#Headers],[ID]]))))&amp;"d"))</f>
        <v/>
      </c>
      <c r="G137" s="130" t="str">
        <f aca="false">IF(IFERROR(INDEX(tsk_Name,(ROW()-ROW(MSPTasks[[#Headers],[ID]])))="",TRUE()),"",INDEX(tsk_FcStart,(ROW()-ROW(MSPTasks[[#Headers],[ID]]))))</f>
        <v/>
      </c>
      <c r="H137" s="130" t="str">
        <f aca="false">IF(IFERROR(INDEX(tsk_Name,(ROW()-ROW(MSPTasks[[#Headers],[ID]])))="",TRUE()),"",INDEX(tsk_FcFinish,(ROW()-ROW(MSPTasks[[#Headers],[ID]]))))</f>
        <v/>
      </c>
      <c r="I137" s="24" t="str">
        <f aca="false">IF(IFERROR(INDEX(tsk_Name,(ROW()-ROW(MSPTasks[[#Headers],[ID]])))="",TRUE()),"",IF(INDEX(tsk_IsSummary,(ROW()-ROW(MSPTasks[[#Headers],[ID]]))),"",INDEX(tsk_Predecessors,(ROW()-ROW(MSPTasks[[#Headers],[ID]])))))</f>
        <v/>
      </c>
      <c r="J137" s="24" t="str">
        <f aca="false">IF(IFERROR(INDEX(tsk_Name,(ROW()-ROW(MSPTasks[[#Headers],[ID]])))="",TRUE()),"",IF(INDEX(tsk_IsSummary,(ROW()-ROW(MSPTasks[[#Headers],[ID]]))),"",INDEX(tsk_UIDPredecessors,(ROW()-ROW(MSPTasks[[#Headers],[ID]])))))</f>
        <v/>
      </c>
      <c r="K1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7" s="24" t="str">
        <f aca="false">IF(IFERROR(INDEX(tsk_Name,(ROW()-ROW(MSPTasks[[#Headers],[ID]])))="",TRUE()),"",IF(INDEX(tsk_IsSummary,(ROW()-ROW(MSPTasks[[#Headers],[ID]]))),"",ROUND(INDEX(tsk_Progress,(ROW()-ROW(MSPTasks[[#Headers],[ID]])))*100,0)))</f>
        <v/>
      </c>
      <c r="M137" s="130" t="str">
        <f aca="false">IF(IFERROR(INDEX(tsk_Name,(ROW()-ROW(MSPTasks[[#Headers],[ID]])))="",TRUE()),"",IF(N(INDEX(tsk_ActStart,(ROW()-ROW(MSPTasks[[#Headers],[ID]]))))=0,"",INDEX(tsk_ActStart,(ROW()-ROW(MSPTasks[[#Headers],[ID]])))))</f>
        <v/>
      </c>
      <c r="N137" s="130" t="str">
        <f aca="false">IF(IFERROR(INDEX(tsk_Name,(ROW()-ROW(MSPTasks[[#Headers],[ID]])))="",TRUE()),"",IF(N(INDEX(tsk_ActFinish,(ROW()-ROW(MSPTasks[[#Headers],[ID]]))))=0,"",INDEX(tsk_ActFinish,(ROW()-ROW(MSPTasks[[#Headers],[ID]])))))</f>
        <v/>
      </c>
      <c r="O137" s="130" t="str">
        <f aca="false">IF(IFERROR(INDEX(tsk_Name,(ROW()-ROW(MSPTasks[[#Headers],[ID]])))="",TRUE()),"",INDEX(tsk_PlanStart,(ROW()-ROW(MSPTasks[[#Headers],[ID]]))))</f>
        <v/>
      </c>
      <c r="P137" s="130" t="str">
        <f aca="false">IF(IFERROR(INDEX(tsk_Name,(ROW()-ROW(MSPTasks[[#Headers],[ID]])))="",TRUE()),"",INDEX(tsk_PlanFinish,(ROW()-ROW(MSPTasks[[#Headers],[ID]]))))</f>
        <v/>
      </c>
      <c r="Q137" s="24" t="str">
        <f aca="false">IF(IFERROR(INDEX(tsk_Name,(ROW()-ROW(MSPTasks[[#Headers],[ID]])))="",TRUE()),"",IF(INDEX(tsk_BaseDuration,(ROW()-ROW(MSPTasks[[#Headers],[ID]])))="","",N(INDEX(tsk_BaseDuration,(ROW()-ROW(MSPTasks[[#Headers],[ID]]))))&amp;"d"))</f>
        <v/>
      </c>
      <c r="R137" s="24" t="str">
        <f aca="false">IF(IFERROR(INDEX(tsk_Name,(ROW()-ROW(MSPTasks[[#Headers],[ID]])))="",TRUE()),"",IF(INDEX(tsk_BaseWork,(ROW()-ROW(MSPTasks[[#Headers],[ID]])))="","",N(INDEX(tsk_BaseWork,(ROW()-ROW(MSPTasks[[#Headers],[ID]]))))&amp;"h"))</f>
        <v/>
      </c>
      <c r="S137" s="24" t="str">
        <f aca="false">IF(IFERROR(INDEX(tsk_Name,(ROW()-ROW(MSPTasks[[#Headers],[ID]])))="",TRUE()),"",IF(INDEX(tsk_BaseCost,(ROW()-ROW(MSPTasks[[#Headers],[ID]])))="","",N(INDEX(tsk_BaseCost,(ROW()-ROW(MSPTasks[[#Headers],[ID]]))))))</f>
        <v/>
      </c>
      <c r="T137" s="24" t="str">
        <f aca="false">IF(IFERROR(INDEX(tsk_Name,(ROW()-ROW(MSPTasks[[#Headers],[ID]])))="",TRUE()),"",IF(INDEX(tsk_IsSummary,(ROW()-ROW(MSPTasks[[#Headers],[ID]]))),"",IF(N(INDEX(tsk_ActCostInput,(ROW()-ROW(MSPTasks[[#Headers],[ID]]))))=0,"",INDEX(tsk_ActCostInput,(ROW()-ROW(MSPTasks[[#Headers],[ID]]))))))</f>
        <v/>
      </c>
      <c r="U137" s="24" t="str">
        <f aca="false">IF(IFERROR(INDEX(tsk_Name,(ROW()-ROW(MSPTasks[[#Headers],[ID]])))="",TRUE()),"",IF(INDEX(tsk_IsSummary,(ROW()-ROW(MSPTasks[[#Headers],[ID]]))),"",IF(AND(INDEX(tsk_Mode,(ROW()-ROW(MSPTasks[[#Headers],[ID]])))&lt;&gt;"Manual",N(INDEX(tsk_Constraint,(ROW()-ROW(MSPTasks[[#Headers],[ID]]))))&gt;0),"Start No Earlier Than","As Soon As Possible")))</f>
        <v/>
      </c>
      <c r="V137" s="130" t="str">
        <f aca="false">IF(IFERROR(INDEX(tsk_Name,(ROW()-ROW(MSPTasks[[#Headers],[ID]])))="",TRUE()),"",IF(OR(INDEX(tsk_IsSummary,(ROW()-ROW(MSPTasks[[#Headers],[ID]]))),INDEX(tsk_Mode,(ROW()-ROW(MSPTasks[[#Headers],[ID]])))="Manual"),"",IF(N(INDEX(tsk_Constraint,(ROW()-ROW(MSPTasks[[#Headers],[ID]]))))=0,"",INDEX(tsk_Constraint,(ROW()-ROW(MSPTasks[[#Headers],[ID]]))))))</f>
        <v/>
      </c>
      <c r="W137" s="130" t="str">
        <f aca="false">IF(IFERROR(INDEX(tsk_Name,(ROW()-ROW(MSPTasks[[#Headers],[ID]])))="",TRUE()),"",IF(N(INDEX(tsk_Deadline,(ROW()-ROW(MSPTasks[[#Headers],[ID]]))))=0,"",INDEX(tsk_Deadline,(ROW()-ROW(MSPTasks[[#Headers],[ID]])))))</f>
        <v/>
      </c>
      <c r="X137" s="24" t="str">
        <f aca="false">IF(IFERROR(INDEX(tsk_Name,(ROW()-ROW(MSPTasks[[#Headers],[ID]])))="",TRUE()),"",IF(INDEX(tsk_IsSummary,(ROW()-ROW(MSPTasks[[#Headers],[ID]]))),"",INDEX(tsk_Sprint,(ROW()-ROW(MSPTasks[[#Headers],[ID]])))&amp;""))</f>
        <v/>
      </c>
      <c r="Y137" s="24" t="str">
        <f aca="false">IF(IFERROR(INDEX(tsk_Name,(ROW()-ROW(MSPTasks[[#Headers],[ID]])))="",TRUE()),"",IF(INDEX(tsk_IsSummary,(ROW()-ROW(MSPTasks[[#Headers],[ID]]))),"",IF(N(INDEX(tsk_StoryPoints,(ROW()-ROW(MSPTasks[[#Headers],[ID]]))))=0,"",INDEX(tsk_StoryPoints,(ROW()-ROW(MSPTasks[[#Headers],[ID]]))))))</f>
        <v/>
      </c>
      <c r="Z137" s="24" t="str">
        <f aca="false">IF(IFERROR(INDEX(tsk_Name,(ROW()-ROW(MSPTasks[[#Headers],[ID]])))="",TRUE()),"",INDEX(tsk_Notes,(ROW()-ROW(MSPTasks[[#Headers],[ID]])))&amp;"")</f>
        <v/>
      </c>
    </row>
    <row r="138" customFormat="false" ht="15" hidden="false" customHeight="false" outlineLevel="0" collapsed="false">
      <c r="A138" s="24" t="str">
        <f aca="false">IF(IFERROR(INDEX(tsk_Name,(ROW()-ROW(MSPTasks[[#Headers],[ID]])))="",TRUE()),"",INDEX(tsk_ID,(ROW()-ROW(MSPTasks[[#Headers],[ID]]))))</f>
        <v/>
      </c>
      <c r="B138" s="24" t="str">
        <f aca="false">IF(IFERROR(INDEX(tsk_Name,(ROW()-ROW(MSPTasks[[#Headers],[ID]])))="",TRUE()),"",INDEX(tsk_UID,(ROW()-ROW(MSPTasks[[#Headers],[ID]]))))</f>
        <v/>
      </c>
      <c r="C138" s="24" t="str">
        <f aca="false">IF(IFERROR(INDEX(tsk_Name,(ROW()-ROW(MSPTasks[[#Headers],[ID]])))="",TRUE()),"",INDEX(tsk_Name,(ROW()-ROW(MSPTasks[[#Headers],[ID]]))))</f>
        <v/>
      </c>
      <c r="D138" s="24" t="str">
        <f aca="false">IF(IFERROR(INDEX(tsk_Name,(ROW()-ROW(MSPTasks[[#Headers],[ID]])))="",TRUE()),"",INDEX(tsk_Level,(ROW()-ROW(MSPTasks[[#Headers],[ID]]))))</f>
        <v/>
      </c>
      <c r="E138" s="24" t="str">
        <f aca="false">IF(IFERROR(INDEX(tsk_Name,(ROW()-ROW(MSPTasks[[#Headers],[ID]])))="",TRUE()),"",IF(INDEX(tsk_Mode,(ROW()-ROW(MSPTasks[[#Headers],[ID]])))="Manual","Manually Scheduled","Auto Scheduled"))</f>
        <v/>
      </c>
      <c r="F138" s="24" t="str">
        <f aca="false">IF(IFERROR(INDEX(tsk_Name,(ROW()-ROW(MSPTasks[[#Headers],[ID]])))="",TRUE()),"",IF(INDEX(tsk_IsSummary,(ROW()-ROW(MSPTasks[[#Headers],[ID]]))),"",N(INDEX(tsk_Duration,(ROW()-ROW(MSPTasks[[#Headers],[ID]]))))&amp;"d"))</f>
        <v/>
      </c>
      <c r="G138" s="130" t="str">
        <f aca="false">IF(IFERROR(INDEX(tsk_Name,(ROW()-ROW(MSPTasks[[#Headers],[ID]])))="",TRUE()),"",INDEX(tsk_FcStart,(ROW()-ROW(MSPTasks[[#Headers],[ID]]))))</f>
        <v/>
      </c>
      <c r="H138" s="130" t="str">
        <f aca="false">IF(IFERROR(INDEX(tsk_Name,(ROW()-ROW(MSPTasks[[#Headers],[ID]])))="",TRUE()),"",INDEX(tsk_FcFinish,(ROW()-ROW(MSPTasks[[#Headers],[ID]]))))</f>
        <v/>
      </c>
      <c r="I138" s="24" t="str">
        <f aca="false">IF(IFERROR(INDEX(tsk_Name,(ROW()-ROW(MSPTasks[[#Headers],[ID]])))="",TRUE()),"",IF(INDEX(tsk_IsSummary,(ROW()-ROW(MSPTasks[[#Headers],[ID]]))),"",INDEX(tsk_Predecessors,(ROW()-ROW(MSPTasks[[#Headers],[ID]])))))</f>
        <v/>
      </c>
      <c r="J138" s="24" t="str">
        <f aca="false">IF(IFERROR(INDEX(tsk_Name,(ROW()-ROW(MSPTasks[[#Headers],[ID]])))="",TRUE()),"",IF(INDEX(tsk_IsSummary,(ROW()-ROW(MSPTasks[[#Headers],[ID]]))),"",INDEX(tsk_UIDPredecessors,(ROW()-ROW(MSPTasks[[#Headers],[ID]])))))</f>
        <v/>
      </c>
      <c r="K1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8" s="24" t="str">
        <f aca="false">IF(IFERROR(INDEX(tsk_Name,(ROW()-ROW(MSPTasks[[#Headers],[ID]])))="",TRUE()),"",IF(INDEX(tsk_IsSummary,(ROW()-ROW(MSPTasks[[#Headers],[ID]]))),"",ROUND(INDEX(tsk_Progress,(ROW()-ROW(MSPTasks[[#Headers],[ID]])))*100,0)))</f>
        <v/>
      </c>
      <c r="M138" s="130" t="str">
        <f aca="false">IF(IFERROR(INDEX(tsk_Name,(ROW()-ROW(MSPTasks[[#Headers],[ID]])))="",TRUE()),"",IF(N(INDEX(tsk_ActStart,(ROW()-ROW(MSPTasks[[#Headers],[ID]]))))=0,"",INDEX(tsk_ActStart,(ROW()-ROW(MSPTasks[[#Headers],[ID]])))))</f>
        <v/>
      </c>
      <c r="N138" s="130" t="str">
        <f aca="false">IF(IFERROR(INDEX(tsk_Name,(ROW()-ROW(MSPTasks[[#Headers],[ID]])))="",TRUE()),"",IF(N(INDEX(tsk_ActFinish,(ROW()-ROW(MSPTasks[[#Headers],[ID]]))))=0,"",INDEX(tsk_ActFinish,(ROW()-ROW(MSPTasks[[#Headers],[ID]])))))</f>
        <v/>
      </c>
      <c r="O138" s="130" t="str">
        <f aca="false">IF(IFERROR(INDEX(tsk_Name,(ROW()-ROW(MSPTasks[[#Headers],[ID]])))="",TRUE()),"",INDEX(tsk_PlanStart,(ROW()-ROW(MSPTasks[[#Headers],[ID]]))))</f>
        <v/>
      </c>
      <c r="P138" s="130" t="str">
        <f aca="false">IF(IFERROR(INDEX(tsk_Name,(ROW()-ROW(MSPTasks[[#Headers],[ID]])))="",TRUE()),"",INDEX(tsk_PlanFinish,(ROW()-ROW(MSPTasks[[#Headers],[ID]]))))</f>
        <v/>
      </c>
      <c r="Q138" s="24" t="str">
        <f aca="false">IF(IFERROR(INDEX(tsk_Name,(ROW()-ROW(MSPTasks[[#Headers],[ID]])))="",TRUE()),"",IF(INDEX(tsk_BaseDuration,(ROW()-ROW(MSPTasks[[#Headers],[ID]])))="","",N(INDEX(tsk_BaseDuration,(ROW()-ROW(MSPTasks[[#Headers],[ID]]))))&amp;"d"))</f>
        <v/>
      </c>
      <c r="R138" s="24" t="str">
        <f aca="false">IF(IFERROR(INDEX(tsk_Name,(ROW()-ROW(MSPTasks[[#Headers],[ID]])))="",TRUE()),"",IF(INDEX(tsk_BaseWork,(ROW()-ROW(MSPTasks[[#Headers],[ID]])))="","",N(INDEX(tsk_BaseWork,(ROW()-ROW(MSPTasks[[#Headers],[ID]]))))&amp;"h"))</f>
        <v/>
      </c>
      <c r="S138" s="24" t="str">
        <f aca="false">IF(IFERROR(INDEX(tsk_Name,(ROW()-ROW(MSPTasks[[#Headers],[ID]])))="",TRUE()),"",IF(INDEX(tsk_BaseCost,(ROW()-ROW(MSPTasks[[#Headers],[ID]])))="","",N(INDEX(tsk_BaseCost,(ROW()-ROW(MSPTasks[[#Headers],[ID]]))))))</f>
        <v/>
      </c>
      <c r="T138" s="24" t="str">
        <f aca="false">IF(IFERROR(INDEX(tsk_Name,(ROW()-ROW(MSPTasks[[#Headers],[ID]])))="",TRUE()),"",IF(INDEX(tsk_IsSummary,(ROW()-ROW(MSPTasks[[#Headers],[ID]]))),"",IF(N(INDEX(tsk_ActCostInput,(ROW()-ROW(MSPTasks[[#Headers],[ID]]))))=0,"",INDEX(tsk_ActCostInput,(ROW()-ROW(MSPTasks[[#Headers],[ID]]))))))</f>
        <v/>
      </c>
      <c r="U138" s="24" t="str">
        <f aca="false">IF(IFERROR(INDEX(tsk_Name,(ROW()-ROW(MSPTasks[[#Headers],[ID]])))="",TRUE()),"",IF(INDEX(tsk_IsSummary,(ROW()-ROW(MSPTasks[[#Headers],[ID]]))),"",IF(AND(INDEX(tsk_Mode,(ROW()-ROW(MSPTasks[[#Headers],[ID]])))&lt;&gt;"Manual",N(INDEX(tsk_Constraint,(ROW()-ROW(MSPTasks[[#Headers],[ID]]))))&gt;0),"Start No Earlier Than","As Soon As Possible")))</f>
        <v/>
      </c>
      <c r="V138" s="130" t="str">
        <f aca="false">IF(IFERROR(INDEX(tsk_Name,(ROW()-ROW(MSPTasks[[#Headers],[ID]])))="",TRUE()),"",IF(OR(INDEX(tsk_IsSummary,(ROW()-ROW(MSPTasks[[#Headers],[ID]]))),INDEX(tsk_Mode,(ROW()-ROW(MSPTasks[[#Headers],[ID]])))="Manual"),"",IF(N(INDEX(tsk_Constraint,(ROW()-ROW(MSPTasks[[#Headers],[ID]]))))=0,"",INDEX(tsk_Constraint,(ROW()-ROW(MSPTasks[[#Headers],[ID]]))))))</f>
        <v/>
      </c>
      <c r="W138" s="130" t="str">
        <f aca="false">IF(IFERROR(INDEX(tsk_Name,(ROW()-ROW(MSPTasks[[#Headers],[ID]])))="",TRUE()),"",IF(N(INDEX(tsk_Deadline,(ROW()-ROW(MSPTasks[[#Headers],[ID]]))))=0,"",INDEX(tsk_Deadline,(ROW()-ROW(MSPTasks[[#Headers],[ID]])))))</f>
        <v/>
      </c>
      <c r="X138" s="24" t="str">
        <f aca="false">IF(IFERROR(INDEX(tsk_Name,(ROW()-ROW(MSPTasks[[#Headers],[ID]])))="",TRUE()),"",IF(INDEX(tsk_IsSummary,(ROW()-ROW(MSPTasks[[#Headers],[ID]]))),"",INDEX(tsk_Sprint,(ROW()-ROW(MSPTasks[[#Headers],[ID]])))&amp;""))</f>
        <v/>
      </c>
      <c r="Y138" s="24" t="str">
        <f aca="false">IF(IFERROR(INDEX(tsk_Name,(ROW()-ROW(MSPTasks[[#Headers],[ID]])))="",TRUE()),"",IF(INDEX(tsk_IsSummary,(ROW()-ROW(MSPTasks[[#Headers],[ID]]))),"",IF(N(INDEX(tsk_StoryPoints,(ROW()-ROW(MSPTasks[[#Headers],[ID]]))))=0,"",INDEX(tsk_StoryPoints,(ROW()-ROW(MSPTasks[[#Headers],[ID]]))))))</f>
        <v/>
      </c>
      <c r="Z138" s="24" t="str">
        <f aca="false">IF(IFERROR(INDEX(tsk_Name,(ROW()-ROW(MSPTasks[[#Headers],[ID]])))="",TRUE()),"",INDEX(tsk_Notes,(ROW()-ROW(MSPTasks[[#Headers],[ID]])))&amp;"")</f>
        <v/>
      </c>
    </row>
    <row r="139" customFormat="false" ht="15" hidden="false" customHeight="false" outlineLevel="0" collapsed="false">
      <c r="A139" s="24" t="str">
        <f aca="false">IF(IFERROR(INDEX(tsk_Name,(ROW()-ROW(MSPTasks[[#Headers],[ID]])))="",TRUE()),"",INDEX(tsk_ID,(ROW()-ROW(MSPTasks[[#Headers],[ID]]))))</f>
        <v/>
      </c>
      <c r="B139" s="24" t="str">
        <f aca="false">IF(IFERROR(INDEX(tsk_Name,(ROW()-ROW(MSPTasks[[#Headers],[ID]])))="",TRUE()),"",INDEX(tsk_UID,(ROW()-ROW(MSPTasks[[#Headers],[ID]]))))</f>
        <v/>
      </c>
      <c r="C139" s="24" t="str">
        <f aca="false">IF(IFERROR(INDEX(tsk_Name,(ROW()-ROW(MSPTasks[[#Headers],[ID]])))="",TRUE()),"",INDEX(tsk_Name,(ROW()-ROW(MSPTasks[[#Headers],[ID]]))))</f>
        <v/>
      </c>
      <c r="D139" s="24" t="str">
        <f aca="false">IF(IFERROR(INDEX(tsk_Name,(ROW()-ROW(MSPTasks[[#Headers],[ID]])))="",TRUE()),"",INDEX(tsk_Level,(ROW()-ROW(MSPTasks[[#Headers],[ID]]))))</f>
        <v/>
      </c>
      <c r="E139" s="24" t="str">
        <f aca="false">IF(IFERROR(INDEX(tsk_Name,(ROW()-ROW(MSPTasks[[#Headers],[ID]])))="",TRUE()),"",IF(INDEX(tsk_Mode,(ROW()-ROW(MSPTasks[[#Headers],[ID]])))="Manual","Manually Scheduled","Auto Scheduled"))</f>
        <v/>
      </c>
      <c r="F139" s="24" t="str">
        <f aca="false">IF(IFERROR(INDEX(tsk_Name,(ROW()-ROW(MSPTasks[[#Headers],[ID]])))="",TRUE()),"",IF(INDEX(tsk_IsSummary,(ROW()-ROW(MSPTasks[[#Headers],[ID]]))),"",N(INDEX(tsk_Duration,(ROW()-ROW(MSPTasks[[#Headers],[ID]]))))&amp;"d"))</f>
        <v/>
      </c>
      <c r="G139" s="130" t="str">
        <f aca="false">IF(IFERROR(INDEX(tsk_Name,(ROW()-ROW(MSPTasks[[#Headers],[ID]])))="",TRUE()),"",INDEX(tsk_FcStart,(ROW()-ROW(MSPTasks[[#Headers],[ID]]))))</f>
        <v/>
      </c>
      <c r="H139" s="130" t="str">
        <f aca="false">IF(IFERROR(INDEX(tsk_Name,(ROW()-ROW(MSPTasks[[#Headers],[ID]])))="",TRUE()),"",INDEX(tsk_FcFinish,(ROW()-ROW(MSPTasks[[#Headers],[ID]]))))</f>
        <v/>
      </c>
      <c r="I139" s="24" t="str">
        <f aca="false">IF(IFERROR(INDEX(tsk_Name,(ROW()-ROW(MSPTasks[[#Headers],[ID]])))="",TRUE()),"",IF(INDEX(tsk_IsSummary,(ROW()-ROW(MSPTasks[[#Headers],[ID]]))),"",INDEX(tsk_Predecessors,(ROW()-ROW(MSPTasks[[#Headers],[ID]])))))</f>
        <v/>
      </c>
      <c r="J139" s="24" t="str">
        <f aca="false">IF(IFERROR(INDEX(tsk_Name,(ROW()-ROW(MSPTasks[[#Headers],[ID]])))="",TRUE()),"",IF(INDEX(tsk_IsSummary,(ROW()-ROW(MSPTasks[[#Headers],[ID]]))),"",INDEX(tsk_UIDPredecessors,(ROW()-ROW(MSPTasks[[#Headers],[ID]])))))</f>
        <v/>
      </c>
      <c r="K1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9" s="24" t="str">
        <f aca="false">IF(IFERROR(INDEX(tsk_Name,(ROW()-ROW(MSPTasks[[#Headers],[ID]])))="",TRUE()),"",IF(INDEX(tsk_IsSummary,(ROW()-ROW(MSPTasks[[#Headers],[ID]]))),"",ROUND(INDEX(tsk_Progress,(ROW()-ROW(MSPTasks[[#Headers],[ID]])))*100,0)))</f>
        <v/>
      </c>
      <c r="M139" s="130" t="str">
        <f aca="false">IF(IFERROR(INDEX(tsk_Name,(ROW()-ROW(MSPTasks[[#Headers],[ID]])))="",TRUE()),"",IF(N(INDEX(tsk_ActStart,(ROW()-ROW(MSPTasks[[#Headers],[ID]]))))=0,"",INDEX(tsk_ActStart,(ROW()-ROW(MSPTasks[[#Headers],[ID]])))))</f>
        <v/>
      </c>
      <c r="N139" s="130" t="str">
        <f aca="false">IF(IFERROR(INDEX(tsk_Name,(ROW()-ROW(MSPTasks[[#Headers],[ID]])))="",TRUE()),"",IF(N(INDEX(tsk_ActFinish,(ROW()-ROW(MSPTasks[[#Headers],[ID]]))))=0,"",INDEX(tsk_ActFinish,(ROW()-ROW(MSPTasks[[#Headers],[ID]])))))</f>
        <v/>
      </c>
      <c r="O139" s="130" t="str">
        <f aca="false">IF(IFERROR(INDEX(tsk_Name,(ROW()-ROW(MSPTasks[[#Headers],[ID]])))="",TRUE()),"",INDEX(tsk_PlanStart,(ROW()-ROW(MSPTasks[[#Headers],[ID]]))))</f>
        <v/>
      </c>
      <c r="P139" s="130" t="str">
        <f aca="false">IF(IFERROR(INDEX(tsk_Name,(ROW()-ROW(MSPTasks[[#Headers],[ID]])))="",TRUE()),"",INDEX(tsk_PlanFinish,(ROW()-ROW(MSPTasks[[#Headers],[ID]]))))</f>
        <v/>
      </c>
      <c r="Q139" s="24" t="str">
        <f aca="false">IF(IFERROR(INDEX(tsk_Name,(ROW()-ROW(MSPTasks[[#Headers],[ID]])))="",TRUE()),"",IF(INDEX(tsk_BaseDuration,(ROW()-ROW(MSPTasks[[#Headers],[ID]])))="","",N(INDEX(tsk_BaseDuration,(ROW()-ROW(MSPTasks[[#Headers],[ID]]))))&amp;"d"))</f>
        <v/>
      </c>
      <c r="R139" s="24" t="str">
        <f aca="false">IF(IFERROR(INDEX(tsk_Name,(ROW()-ROW(MSPTasks[[#Headers],[ID]])))="",TRUE()),"",IF(INDEX(tsk_BaseWork,(ROW()-ROW(MSPTasks[[#Headers],[ID]])))="","",N(INDEX(tsk_BaseWork,(ROW()-ROW(MSPTasks[[#Headers],[ID]]))))&amp;"h"))</f>
        <v/>
      </c>
      <c r="S139" s="24" t="str">
        <f aca="false">IF(IFERROR(INDEX(tsk_Name,(ROW()-ROW(MSPTasks[[#Headers],[ID]])))="",TRUE()),"",IF(INDEX(tsk_BaseCost,(ROW()-ROW(MSPTasks[[#Headers],[ID]])))="","",N(INDEX(tsk_BaseCost,(ROW()-ROW(MSPTasks[[#Headers],[ID]]))))))</f>
        <v/>
      </c>
      <c r="T139" s="24" t="str">
        <f aca="false">IF(IFERROR(INDEX(tsk_Name,(ROW()-ROW(MSPTasks[[#Headers],[ID]])))="",TRUE()),"",IF(INDEX(tsk_IsSummary,(ROW()-ROW(MSPTasks[[#Headers],[ID]]))),"",IF(N(INDEX(tsk_ActCostInput,(ROW()-ROW(MSPTasks[[#Headers],[ID]]))))=0,"",INDEX(tsk_ActCostInput,(ROW()-ROW(MSPTasks[[#Headers],[ID]]))))))</f>
        <v/>
      </c>
      <c r="U139" s="24" t="str">
        <f aca="false">IF(IFERROR(INDEX(tsk_Name,(ROW()-ROW(MSPTasks[[#Headers],[ID]])))="",TRUE()),"",IF(INDEX(tsk_IsSummary,(ROW()-ROW(MSPTasks[[#Headers],[ID]]))),"",IF(AND(INDEX(tsk_Mode,(ROW()-ROW(MSPTasks[[#Headers],[ID]])))&lt;&gt;"Manual",N(INDEX(tsk_Constraint,(ROW()-ROW(MSPTasks[[#Headers],[ID]]))))&gt;0),"Start No Earlier Than","As Soon As Possible")))</f>
        <v/>
      </c>
      <c r="V139" s="130" t="str">
        <f aca="false">IF(IFERROR(INDEX(tsk_Name,(ROW()-ROW(MSPTasks[[#Headers],[ID]])))="",TRUE()),"",IF(OR(INDEX(tsk_IsSummary,(ROW()-ROW(MSPTasks[[#Headers],[ID]]))),INDEX(tsk_Mode,(ROW()-ROW(MSPTasks[[#Headers],[ID]])))="Manual"),"",IF(N(INDEX(tsk_Constraint,(ROW()-ROW(MSPTasks[[#Headers],[ID]]))))=0,"",INDEX(tsk_Constraint,(ROW()-ROW(MSPTasks[[#Headers],[ID]]))))))</f>
        <v/>
      </c>
      <c r="W139" s="130" t="str">
        <f aca="false">IF(IFERROR(INDEX(tsk_Name,(ROW()-ROW(MSPTasks[[#Headers],[ID]])))="",TRUE()),"",IF(N(INDEX(tsk_Deadline,(ROW()-ROW(MSPTasks[[#Headers],[ID]]))))=0,"",INDEX(tsk_Deadline,(ROW()-ROW(MSPTasks[[#Headers],[ID]])))))</f>
        <v/>
      </c>
      <c r="X139" s="24" t="str">
        <f aca="false">IF(IFERROR(INDEX(tsk_Name,(ROW()-ROW(MSPTasks[[#Headers],[ID]])))="",TRUE()),"",IF(INDEX(tsk_IsSummary,(ROW()-ROW(MSPTasks[[#Headers],[ID]]))),"",INDEX(tsk_Sprint,(ROW()-ROW(MSPTasks[[#Headers],[ID]])))&amp;""))</f>
        <v/>
      </c>
      <c r="Y139" s="24" t="str">
        <f aca="false">IF(IFERROR(INDEX(tsk_Name,(ROW()-ROW(MSPTasks[[#Headers],[ID]])))="",TRUE()),"",IF(INDEX(tsk_IsSummary,(ROW()-ROW(MSPTasks[[#Headers],[ID]]))),"",IF(N(INDEX(tsk_StoryPoints,(ROW()-ROW(MSPTasks[[#Headers],[ID]]))))=0,"",INDEX(tsk_StoryPoints,(ROW()-ROW(MSPTasks[[#Headers],[ID]]))))))</f>
        <v/>
      </c>
      <c r="Z139" s="24" t="str">
        <f aca="false">IF(IFERROR(INDEX(tsk_Name,(ROW()-ROW(MSPTasks[[#Headers],[ID]])))="",TRUE()),"",INDEX(tsk_Notes,(ROW()-ROW(MSPTasks[[#Headers],[ID]])))&amp;"")</f>
        <v/>
      </c>
    </row>
    <row r="140" customFormat="false" ht="15" hidden="false" customHeight="false" outlineLevel="0" collapsed="false">
      <c r="A140" s="24" t="str">
        <f aca="false">IF(IFERROR(INDEX(tsk_Name,(ROW()-ROW(MSPTasks[[#Headers],[ID]])))="",TRUE()),"",INDEX(tsk_ID,(ROW()-ROW(MSPTasks[[#Headers],[ID]]))))</f>
        <v/>
      </c>
      <c r="B140" s="24" t="str">
        <f aca="false">IF(IFERROR(INDEX(tsk_Name,(ROW()-ROW(MSPTasks[[#Headers],[ID]])))="",TRUE()),"",INDEX(tsk_UID,(ROW()-ROW(MSPTasks[[#Headers],[ID]]))))</f>
        <v/>
      </c>
      <c r="C140" s="24" t="str">
        <f aca="false">IF(IFERROR(INDEX(tsk_Name,(ROW()-ROW(MSPTasks[[#Headers],[ID]])))="",TRUE()),"",INDEX(tsk_Name,(ROW()-ROW(MSPTasks[[#Headers],[ID]]))))</f>
        <v/>
      </c>
      <c r="D140" s="24" t="str">
        <f aca="false">IF(IFERROR(INDEX(tsk_Name,(ROW()-ROW(MSPTasks[[#Headers],[ID]])))="",TRUE()),"",INDEX(tsk_Level,(ROW()-ROW(MSPTasks[[#Headers],[ID]]))))</f>
        <v/>
      </c>
      <c r="E140" s="24" t="str">
        <f aca="false">IF(IFERROR(INDEX(tsk_Name,(ROW()-ROW(MSPTasks[[#Headers],[ID]])))="",TRUE()),"",IF(INDEX(tsk_Mode,(ROW()-ROW(MSPTasks[[#Headers],[ID]])))="Manual","Manually Scheduled","Auto Scheduled"))</f>
        <v/>
      </c>
      <c r="F140" s="24" t="str">
        <f aca="false">IF(IFERROR(INDEX(tsk_Name,(ROW()-ROW(MSPTasks[[#Headers],[ID]])))="",TRUE()),"",IF(INDEX(tsk_IsSummary,(ROW()-ROW(MSPTasks[[#Headers],[ID]]))),"",N(INDEX(tsk_Duration,(ROW()-ROW(MSPTasks[[#Headers],[ID]]))))&amp;"d"))</f>
        <v/>
      </c>
      <c r="G140" s="130" t="str">
        <f aca="false">IF(IFERROR(INDEX(tsk_Name,(ROW()-ROW(MSPTasks[[#Headers],[ID]])))="",TRUE()),"",INDEX(tsk_FcStart,(ROW()-ROW(MSPTasks[[#Headers],[ID]]))))</f>
        <v/>
      </c>
      <c r="H140" s="130" t="str">
        <f aca="false">IF(IFERROR(INDEX(tsk_Name,(ROW()-ROW(MSPTasks[[#Headers],[ID]])))="",TRUE()),"",INDEX(tsk_FcFinish,(ROW()-ROW(MSPTasks[[#Headers],[ID]]))))</f>
        <v/>
      </c>
      <c r="I140" s="24" t="str">
        <f aca="false">IF(IFERROR(INDEX(tsk_Name,(ROW()-ROW(MSPTasks[[#Headers],[ID]])))="",TRUE()),"",IF(INDEX(tsk_IsSummary,(ROW()-ROW(MSPTasks[[#Headers],[ID]]))),"",INDEX(tsk_Predecessors,(ROW()-ROW(MSPTasks[[#Headers],[ID]])))))</f>
        <v/>
      </c>
      <c r="J140" s="24" t="str">
        <f aca="false">IF(IFERROR(INDEX(tsk_Name,(ROW()-ROW(MSPTasks[[#Headers],[ID]])))="",TRUE()),"",IF(INDEX(tsk_IsSummary,(ROW()-ROW(MSPTasks[[#Headers],[ID]]))),"",INDEX(tsk_UIDPredecessors,(ROW()-ROW(MSPTasks[[#Headers],[ID]])))))</f>
        <v/>
      </c>
      <c r="K1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0" s="24" t="str">
        <f aca="false">IF(IFERROR(INDEX(tsk_Name,(ROW()-ROW(MSPTasks[[#Headers],[ID]])))="",TRUE()),"",IF(INDEX(tsk_IsSummary,(ROW()-ROW(MSPTasks[[#Headers],[ID]]))),"",ROUND(INDEX(tsk_Progress,(ROW()-ROW(MSPTasks[[#Headers],[ID]])))*100,0)))</f>
        <v/>
      </c>
      <c r="M140" s="130" t="str">
        <f aca="false">IF(IFERROR(INDEX(tsk_Name,(ROW()-ROW(MSPTasks[[#Headers],[ID]])))="",TRUE()),"",IF(N(INDEX(tsk_ActStart,(ROW()-ROW(MSPTasks[[#Headers],[ID]]))))=0,"",INDEX(tsk_ActStart,(ROW()-ROW(MSPTasks[[#Headers],[ID]])))))</f>
        <v/>
      </c>
      <c r="N140" s="130" t="str">
        <f aca="false">IF(IFERROR(INDEX(tsk_Name,(ROW()-ROW(MSPTasks[[#Headers],[ID]])))="",TRUE()),"",IF(N(INDEX(tsk_ActFinish,(ROW()-ROW(MSPTasks[[#Headers],[ID]]))))=0,"",INDEX(tsk_ActFinish,(ROW()-ROW(MSPTasks[[#Headers],[ID]])))))</f>
        <v/>
      </c>
      <c r="O140" s="130" t="str">
        <f aca="false">IF(IFERROR(INDEX(tsk_Name,(ROW()-ROW(MSPTasks[[#Headers],[ID]])))="",TRUE()),"",INDEX(tsk_PlanStart,(ROW()-ROW(MSPTasks[[#Headers],[ID]]))))</f>
        <v/>
      </c>
      <c r="P140" s="130" t="str">
        <f aca="false">IF(IFERROR(INDEX(tsk_Name,(ROW()-ROW(MSPTasks[[#Headers],[ID]])))="",TRUE()),"",INDEX(tsk_PlanFinish,(ROW()-ROW(MSPTasks[[#Headers],[ID]]))))</f>
        <v/>
      </c>
      <c r="Q140" s="24" t="str">
        <f aca="false">IF(IFERROR(INDEX(tsk_Name,(ROW()-ROW(MSPTasks[[#Headers],[ID]])))="",TRUE()),"",IF(INDEX(tsk_BaseDuration,(ROW()-ROW(MSPTasks[[#Headers],[ID]])))="","",N(INDEX(tsk_BaseDuration,(ROW()-ROW(MSPTasks[[#Headers],[ID]]))))&amp;"d"))</f>
        <v/>
      </c>
      <c r="R140" s="24" t="str">
        <f aca="false">IF(IFERROR(INDEX(tsk_Name,(ROW()-ROW(MSPTasks[[#Headers],[ID]])))="",TRUE()),"",IF(INDEX(tsk_BaseWork,(ROW()-ROW(MSPTasks[[#Headers],[ID]])))="","",N(INDEX(tsk_BaseWork,(ROW()-ROW(MSPTasks[[#Headers],[ID]]))))&amp;"h"))</f>
        <v/>
      </c>
      <c r="S140" s="24" t="str">
        <f aca="false">IF(IFERROR(INDEX(tsk_Name,(ROW()-ROW(MSPTasks[[#Headers],[ID]])))="",TRUE()),"",IF(INDEX(tsk_BaseCost,(ROW()-ROW(MSPTasks[[#Headers],[ID]])))="","",N(INDEX(tsk_BaseCost,(ROW()-ROW(MSPTasks[[#Headers],[ID]]))))))</f>
        <v/>
      </c>
      <c r="T140" s="24" t="str">
        <f aca="false">IF(IFERROR(INDEX(tsk_Name,(ROW()-ROW(MSPTasks[[#Headers],[ID]])))="",TRUE()),"",IF(INDEX(tsk_IsSummary,(ROW()-ROW(MSPTasks[[#Headers],[ID]]))),"",IF(N(INDEX(tsk_ActCostInput,(ROW()-ROW(MSPTasks[[#Headers],[ID]]))))=0,"",INDEX(tsk_ActCostInput,(ROW()-ROW(MSPTasks[[#Headers],[ID]]))))))</f>
        <v/>
      </c>
      <c r="U140" s="24" t="str">
        <f aca="false">IF(IFERROR(INDEX(tsk_Name,(ROW()-ROW(MSPTasks[[#Headers],[ID]])))="",TRUE()),"",IF(INDEX(tsk_IsSummary,(ROW()-ROW(MSPTasks[[#Headers],[ID]]))),"",IF(AND(INDEX(tsk_Mode,(ROW()-ROW(MSPTasks[[#Headers],[ID]])))&lt;&gt;"Manual",N(INDEX(tsk_Constraint,(ROW()-ROW(MSPTasks[[#Headers],[ID]]))))&gt;0),"Start No Earlier Than","As Soon As Possible")))</f>
        <v/>
      </c>
      <c r="V140" s="130" t="str">
        <f aca="false">IF(IFERROR(INDEX(tsk_Name,(ROW()-ROW(MSPTasks[[#Headers],[ID]])))="",TRUE()),"",IF(OR(INDEX(tsk_IsSummary,(ROW()-ROW(MSPTasks[[#Headers],[ID]]))),INDEX(tsk_Mode,(ROW()-ROW(MSPTasks[[#Headers],[ID]])))="Manual"),"",IF(N(INDEX(tsk_Constraint,(ROW()-ROW(MSPTasks[[#Headers],[ID]]))))=0,"",INDEX(tsk_Constraint,(ROW()-ROW(MSPTasks[[#Headers],[ID]]))))))</f>
        <v/>
      </c>
      <c r="W140" s="130" t="str">
        <f aca="false">IF(IFERROR(INDEX(tsk_Name,(ROW()-ROW(MSPTasks[[#Headers],[ID]])))="",TRUE()),"",IF(N(INDEX(tsk_Deadline,(ROW()-ROW(MSPTasks[[#Headers],[ID]]))))=0,"",INDEX(tsk_Deadline,(ROW()-ROW(MSPTasks[[#Headers],[ID]])))))</f>
        <v/>
      </c>
      <c r="X140" s="24" t="str">
        <f aca="false">IF(IFERROR(INDEX(tsk_Name,(ROW()-ROW(MSPTasks[[#Headers],[ID]])))="",TRUE()),"",IF(INDEX(tsk_IsSummary,(ROW()-ROW(MSPTasks[[#Headers],[ID]]))),"",INDEX(tsk_Sprint,(ROW()-ROW(MSPTasks[[#Headers],[ID]])))&amp;""))</f>
        <v/>
      </c>
      <c r="Y140" s="24" t="str">
        <f aca="false">IF(IFERROR(INDEX(tsk_Name,(ROW()-ROW(MSPTasks[[#Headers],[ID]])))="",TRUE()),"",IF(INDEX(tsk_IsSummary,(ROW()-ROW(MSPTasks[[#Headers],[ID]]))),"",IF(N(INDEX(tsk_StoryPoints,(ROW()-ROW(MSPTasks[[#Headers],[ID]]))))=0,"",INDEX(tsk_StoryPoints,(ROW()-ROW(MSPTasks[[#Headers],[ID]]))))))</f>
        <v/>
      </c>
      <c r="Z140" s="24" t="str">
        <f aca="false">IF(IFERROR(INDEX(tsk_Name,(ROW()-ROW(MSPTasks[[#Headers],[ID]])))="",TRUE()),"",INDEX(tsk_Notes,(ROW()-ROW(MSPTasks[[#Headers],[ID]])))&amp;"")</f>
        <v/>
      </c>
    </row>
    <row r="141" customFormat="false" ht="15" hidden="false" customHeight="false" outlineLevel="0" collapsed="false">
      <c r="A141" s="24" t="str">
        <f aca="false">IF(IFERROR(INDEX(tsk_Name,(ROW()-ROW(MSPTasks[[#Headers],[ID]])))="",TRUE()),"",INDEX(tsk_ID,(ROW()-ROW(MSPTasks[[#Headers],[ID]]))))</f>
        <v/>
      </c>
      <c r="B141" s="24" t="str">
        <f aca="false">IF(IFERROR(INDEX(tsk_Name,(ROW()-ROW(MSPTasks[[#Headers],[ID]])))="",TRUE()),"",INDEX(tsk_UID,(ROW()-ROW(MSPTasks[[#Headers],[ID]]))))</f>
        <v/>
      </c>
      <c r="C141" s="24" t="str">
        <f aca="false">IF(IFERROR(INDEX(tsk_Name,(ROW()-ROW(MSPTasks[[#Headers],[ID]])))="",TRUE()),"",INDEX(tsk_Name,(ROW()-ROW(MSPTasks[[#Headers],[ID]]))))</f>
        <v/>
      </c>
      <c r="D141" s="24" t="str">
        <f aca="false">IF(IFERROR(INDEX(tsk_Name,(ROW()-ROW(MSPTasks[[#Headers],[ID]])))="",TRUE()),"",INDEX(tsk_Level,(ROW()-ROW(MSPTasks[[#Headers],[ID]]))))</f>
        <v/>
      </c>
      <c r="E141" s="24" t="str">
        <f aca="false">IF(IFERROR(INDEX(tsk_Name,(ROW()-ROW(MSPTasks[[#Headers],[ID]])))="",TRUE()),"",IF(INDEX(tsk_Mode,(ROW()-ROW(MSPTasks[[#Headers],[ID]])))="Manual","Manually Scheduled","Auto Scheduled"))</f>
        <v/>
      </c>
      <c r="F141" s="24" t="str">
        <f aca="false">IF(IFERROR(INDEX(tsk_Name,(ROW()-ROW(MSPTasks[[#Headers],[ID]])))="",TRUE()),"",IF(INDEX(tsk_IsSummary,(ROW()-ROW(MSPTasks[[#Headers],[ID]]))),"",N(INDEX(tsk_Duration,(ROW()-ROW(MSPTasks[[#Headers],[ID]]))))&amp;"d"))</f>
        <v/>
      </c>
      <c r="G141" s="130" t="str">
        <f aca="false">IF(IFERROR(INDEX(tsk_Name,(ROW()-ROW(MSPTasks[[#Headers],[ID]])))="",TRUE()),"",INDEX(tsk_FcStart,(ROW()-ROW(MSPTasks[[#Headers],[ID]]))))</f>
        <v/>
      </c>
      <c r="H141" s="130" t="str">
        <f aca="false">IF(IFERROR(INDEX(tsk_Name,(ROW()-ROW(MSPTasks[[#Headers],[ID]])))="",TRUE()),"",INDEX(tsk_FcFinish,(ROW()-ROW(MSPTasks[[#Headers],[ID]]))))</f>
        <v/>
      </c>
      <c r="I141" s="24" t="str">
        <f aca="false">IF(IFERROR(INDEX(tsk_Name,(ROW()-ROW(MSPTasks[[#Headers],[ID]])))="",TRUE()),"",IF(INDEX(tsk_IsSummary,(ROW()-ROW(MSPTasks[[#Headers],[ID]]))),"",INDEX(tsk_Predecessors,(ROW()-ROW(MSPTasks[[#Headers],[ID]])))))</f>
        <v/>
      </c>
      <c r="J141" s="24" t="str">
        <f aca="false">IF(IFERROR(INDEX(tsk_Name,(ROW()-ROW(MSPTasks[[#Headers],[ID]])))="",TRUE()),"",IF(INDEX(tsk_IsSummary,(ROW()-ROW(MSPTasks[[#Headers],[ID]]))),"",INDEX(tsk_UIDPredecessors,(ROW()-ROW(MSPTasks[[#Headers],[ID]])))))</f>
        <v/>
      </c>
      <c r="K1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1" s="24" t="str">
        <f aca="false">IF(IFERROR(INDEX(tsk_Name,(ROW()-ROW(MSPTasks[[#Headers],[ID]])))="",TRUE()),"",IF(INDEX(tsk_IsSummary,(ROW()-ROW(MSPTasks[[#Headers],[ID]]))),"",ROUND(INDEX(tsk_Progress,(ROW()-ROW(MSPTasks[[#Headers],[ID]])))*100,0)))</f>
        <v/>
      </c>
      <c r="M141" s="130" t="str">
        <f aca="false">IF(IFERROR(INDEX(tsk_Name,(ROW()-ROW(MSPTasks[[#Headers],[ID]])))="",TRUE()),"",IF(N(INDEX(tsk_ActStart,(ROW()-ROW(MSPTasks[[#Headers],[ID]]))))=0,"",INDEX(tsk_ActStart,(ROW()-ROW(MSPTasks[[#Headers],[ID]])))))</f>
        <v/>
      </c>
      <c r="N141" s="130" t="str">
        <f aca="false">IF(IFERROR(INDEX(tsk_Name,(ROW()-ROW(MSPTasks[[#Headers],[ID]])))="",TRUE()),"",IF(N(INDEX(tsk_ActFinish,(ROW()-ROW(MSPTasks[[#Headers],[ID]]))))=0,"",INDEX(tsk_ActFinish,(ROW()-ROW(MSPTasks[[#Headers],[ID]])))))</f>
        <v/>
      </c>
      <c r="O141" s="130" t="str">
        <f aca="false">IF(IFERROR(INDEX(tsk_Name,(ROW()-ROW(MSPTasks[[#Headers],[ID]])))="",TRUE()),"",INDEX(tsk_PlanStart,(ROW()-ROW(MSPTasks[[#Headers],[ID]]))))</f>
        <v/>
      </c>
      <c r="P141" s="130" t="str">
        <f aca="false">IF(IFERROR(INDEX(tsk_Name,(ROW()-ROW(MSPTasks[[#Headers],[ID]])))="",TRUE()),"",INDEX(tsk_PlanFinish,(ROW()-ROW(MSPTasks[[#Headers],[ID]]))))</f>
        <v/>
      </c>
      <c r="Q141" s="24" t="str">
        <f aca="false">IF(IFERROR(INDEX(tsk_Name,(ROW()-ROW(MSPTasks[[#Headers],[ID]])))="",TRUE()),"",IF(INDEX(tsk_BaseDuration,(ROW()-ROW(MSPTasks[[#Headers],[ID]])))="","",N(INDEX(tsk_BaseDuration,(ROW()-ROW(MSPTasks[[#Headers],[ID]]))))&amp;"d"))</f>
        <v/>
      </c>
      <c r="R141" s="24" t="str">
        <f aca="false">IF(IFERROR(INDEX(tsk_Name,(ROW()-ROW(MSPTasks[[#Headers],[ID]])))="",TRUE()),"",IF(INDEX(tsk_BaseWork,(ROW()-ROW(MSPTasks[[#Headers],[ID]])))="","",N(INDEX(tsk_BaseWork,(ROW()-ROW(MSPTasks[[#Headers],[ID]]))))&amp;"h"))</f>
        <v/>
      </c>
      <c r="S141" s="24" t="str">
        <f aca="false">IF(IFERROR(INDEX(tsk_Name,(ROW()-ROW(MSPTasks[[#Headers],[ID]])))="",TRUE()),"",IF(INDEX(tsk_BaseCost,(ROW()-ROW(MSPTasks[[#Headers],[ID]])))="","",N(INDEX(tsk_BaseCost,(ROW()-ROW(MSPTasks[[#Headers],[ID]]))))))</f>
        <v/>
      </c>
      <c r="T141" s="24" t="str">
        <f aca="false">IF(IFERROR(INDEX(tsk_Name,(ROW()-ROW(MSPTasks[[#Headers],[ID]])))="",TRUE()),"",IF(INDEX(tsk_IsSummary,(ROW()-ROW(MSPTasks[[#Headers],[ID]]))),"",IF(N(INDEX(tsk_ActCostInput,(ROW()-ROW(MSPTasks[[#Headers],[ID]]))))=0,"",INDEX(tsk_ActCostInput,(ROW()-ROW(MSPTasks[[#Headers],[ID]]))))))</f>
        <v/>
      </c>
      <c r="U141" s="24" t="str">
        <f aca="false">IF(IFERROR(INDEX(tsk_Name,(ROW()-ROW(MSPTasks[[#Headers],[ID]])))="",TRUE()),"",IF(INDEX(tsk_IsSummary,(ROW()-ROW(MSPTasks[[#Headers],[ID]]))),"",IF(AND(INDEX(tsk_Mode,(ROW()-ROW(MSPTasks[[#Headers],[ID]])))&lt;&gt;"Manual",N(INDEX(tsk_Constraint,(ROW()-ROW(MSPTasks[[#Headers],[ID]]))))&gt;0),"Start No Earlier Than","As Soon As Possible")))</f>
        <v/>
      </c>
      <c r="V141" s="130" t="str">
        <f aca="false">IF(IFERROR(INDEX(tsk_Name,(ROW()-ROW(MSPTasks[[#Headers],[ID]])))="",TRUE()),"",IF(OR(INDEX(tsk_IsSummary,(ROW()-ROW(MSPTasks[[#Headers],[ID]]))),INDEX(tsk_Mode,(ROW()-ROW(MSPTasks[[#Headers],[ID]])))="Manual"),"",IF(N(INDEX(tsk_Constraint,(ROW()-ROW(MSPTasks[[#Headers],[ID]]))))=0,"",INDEX(tsk_Constraint,(ROW()-ROW(MSPTasks[[#Headers],[ID]]))))))</f>
        <v/>
      </c>
      <c r="W141" s="130" t="str">
        <f aca="false">IF(IFERROR(INDEX(tsk_Name,(ROW()-ROW(MSPTasks[[#Headers],[ID]])))="",TRUE()),"",IF(N(INDEX(tsk_Deadline,(ROW()-ROW(MSPTasks[[#Headers],[ID]]))))=0,"",INDEX(tsk_Deadline,(ROW()-ROW(MSPTasks[[#Headers],[ID]])))))</f>
        <v/>
      </c>
      <c r="X141" s="24" t="str">
        <f aca="false">IF(IFERROR(INDEX(tsk_Name,(ROW()-ROW(MSPTasks[[#Headers],[ID]])))="",TRUE()),"",IF(INDEX(tsk_IsSummary,(ROW()-ROW(MSPTasks[[#Headers],[ID]]))),"",INDEX(tsk_Sprint,(ROW()-ROW(MSPTasks[[#Headers],[ID]])))&amp;""))</f>
        <v/>
      </c>
      <c r="Y141" s="24" t="str">
        <f aca="false">IF(IFERROR(INDEX(tsk_Name,(ROW()-ROW(MSPTasks[[#Headers],[ID]])))="",TRUE()),"",IF(INDEX(tsk_IsSummary,(ROW()-ROW(MSPTasks[[#Headers],[ID]]))),"",IF(N(INDEX(tsk_StoryPoints,(ROW()-ROW(MSPTasks[[#Headers],[ID]]))))=0,"",INDEX(tsk_StoryPoints,(ROW()-ROW(MSPTasks[[#Headers],[ID]]))))))</f>
        <v/>
      </c>
      <c r="Z141" s="24" t="str">
        <f aca="false">IF(IFERROR(INDEX(tsk_Name,(ROW()-ROW(MSPTasks[[#Headers],[ID]])))="",TRUE()),"",INDEX(tsk_Notes,(ROW()-ROW(MSPTasks[[#Headers],[ID]])))&amp;"")</f>
        <v/>
      </c>
    </row>
    <row r="142" customFormat="false" ht="15" hidden="false" customHeight="false" outlineLevel="0" collapsed="false">
      <c r="A142" s="24" t="str">
        <f aca="false">IF(IFERROR(INDEX(tsk_Name,(ROW()-ROW(MSPTasks[[#Headers],[ID]])))="",TRUE()),"",INDEX(tsk_ID,(ROW()-ROW(MSPTasks[[#Headers],[ID]]))))</f>
        <v/>
      </c>
      <c r="B142" s="24" t="str">
        <f aca="false">IF(IFERROR(INDEX(tsk_Name,(ROW()-ROW(MSPTasks[[#Headers],[ID]])))="",TRUE()),"",INDEX(tsk_UID,(ROW()-ROW(MSPTasks[[#Headers],[ID]]))))</f>
        <v/>
      </c>
      <c r="C142" s="24" t="str">
        <f aca="false">IF(IFERROR(INDEX(tsk_Name,(ROW()-ROW(MSPTasks[[#Headers],[ID]])))="",TRUE()),"",INDEX(tsk_Name,(ROW()-ROW(MSPTasks[[#Headers],[ID]]))))</f>
        <v/>
      </c>
      <c r="D142" s="24" t="str">
        <f aca="false">IF(IFERROR(INDEX(tsk_Name,(ROW()-ROW(MSPTasks[[#Headers],[ID]])))="",TRUE()),"",INDEX(tsk_Level,(ROW()-ROW(MSPTasks[[#Headers],[ID]]))))</f>
        <v/>
      </c>
      <c r="E142" s="24" t="str">
        <f aca="false">IF(IFERROR(INDEX(tsk_Name,(ROW()-ROW(MSPTasks[[#Headers],[ID]])))="",TRUE()),"",IF(INDEX(tsk_Mode,(ROW()-ROW(MSPTasks[[#Headers],[ID]])))="Manual","Manually Scheduled","Auto Scheduled"))</f>
        <v/>
      </c>
      <c r="F142" s="24" t="str">
        <f aca="false">IF(IFERROR(INDEX(tsk_Name,(ROW()-ROW(MSPTasks[[#Headers],[ID]])))="",TRUE()),"",IF(INDEX(tsk_IsSummary,(ROW()-ROW(MSPTasks[[#Headers],[ID]]))),"",N(INDEX(tsk_Duration,(ROW()-ROW(MSPTasks[[#Headers],[ID]]))))&amp;"d"))</f>
        <v/>
      </c>
      <c r="G142" s="130" t="str">
        <f aca="false">IF(IFERROR(INDEX(tsk_Name,(ROW()-ROW(MSPTasks[[#Headers],[ID]])))="",TRUE()),"",INDEX(tsk_FcStart,(ROW()-ROW(MSPTasks[[#Headers],[ID]]))))</f>
        <v/>
      </c>
      <c r="H142" s="130" t="str">
        <f aca="false">IF(IFERROR(INDEX(tsk_Name,(ROW()-ROW(MSPTasks[[#Headers],[ID]])))="",TRUE()),"",INDEX(tsk_FcFinish,(ROW()-ROW(MSPTasks[[#Headers],[ID]]))))</f>
        <v/>
      </c>
      <c r="I142" s="24" t="str">
        <f aca="false">IF(IFERROR(INDEX(tsk_Name,(ROW()-ROW(MSPTasks[[#Headers],[ID]])))="",TRUE()),"",IF(INDEX(tsk_IsSummary,(ROW()-ROW(MSPTasks[[#Headers],[ID]]))),"",INDEX(tsk_Predecessors,(ROW()-ROW(MSPTasks[[#Headers],[ID]])))))</f>
        <v/>
      </c>
      <c r="J142" s="24" t="str">
        <f aca="false">IF(IFERROR(INDEX(tsk_Name,(ROW()-ROW(MSPTasks[[#Headers],[ID]])))="",TRUE()),"",IF(INDEX(tsk_IsSummary,(ROW()-ROW(MSPTasks[[#Headers],[ID]]))),"",INDEX(tsk_UIDPredecessors,(ROW()-ROW(MSPTasks[[#Headers],[ID]])))))</f>
        <v/>
      </c>
      <c r="K1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2" s="24" t="str">
        <f aca="false">IF(IFERROR(INDEX(tsk_Name,(ROW()-ROW(MSPTasks[[#Headers],[ID]])))="",TRUE()),"",IF(INDEX(tsk_IsSummary,(ROW()-ROW(MSPTasks[[#Headers],[ID]]))),"",ROUND(INDEX(tsk_Progress,(ROW()-ROW(MSPTasks[[#Headers],[ID]])))*100,0)))</f>
        <v/>
      </c>
      <c r="M142" s="130" t="str">
        <f aca="false">IF(IFERROR(INDEX(tsk_Name,(ROW()-ROW(MSPTasks[[#Headers],[ID]])))="",TRUE()),"",IF(N(INDEX(tsk_ActStart,(ROW()-ROW(MSPTasks[[#Headers],[ID]]))))=0,"",INDEX(tsk_ActStart,(ROW()-ROW(MSPTasks[[#Headers],[ID]])))))</f>
        <v/>
      </c>
      <c r="N142" s="130" t="str">
        <f aca="false">IF(IFERROR(INDEX(tsk_Name,(ROW()-ROW(MSPTasks[[#Headers],[ID]])))="",TRUE()),"",IF(N(INDEX(tsk_ActFinish,(ROW()-ROW(MSPTasks[[#Headers],[ID]]))))=0,"",INDEX(tsk_ActFinish,(ROW()-ROW(MSPTasks[[#Headers],[ID]])))))</f>
        <v/>
      </c>
      <c r="O142" s="130" t="str">
        <f aca="false">IF(IFERROR(INDEX(tsk_Name,(ROW()-ROW(MSPTasks[[#Headers],[ID]])))="",TRUE()),"",INDEX(tsk_PlanStart,(ROW()-ROW(MSPTasks[[#Headers],[ID]]))))</f>
        <v/>
      </c>
      <c r="P142" s="130" t="str">
        <f aca="false">IF(IFERROR(INDEX(tsk_Name,(ROW()-ROW(MSPTasks[[#Headers],[ID]])))="",TRUE()),"",INDEX(tsk_PlanFinish,(ROW()-ROW(MSPTasks[[#Headers],[ID]]))))</f>
        <v/>
      </c>
      <c r="Q142" s="24" t="str">
        <f aca="false">IF(IFERROR(INDEX(tsk_Name,(ROW()-ROW(MSPTasks[[#Headers],[ID]])))="",TRUE()),"",IF(INDEX(tsk_BaseDuration,(ROW()-ROW(MSPTasks[[#Headers],[ID]])))="","",N(INDEX(tsk_BaseDuration,(ROW()-ROW(MSPTasks[[#Headers],[ID]]))))&amp;"d"))</f>
        <v/>
      </c>
      <c r="R142" s="24" t="str">
        <f aca="false">IF(IFERROR(INDEX(tsk_Name,(ROW()-ROW(MSPTasks[[#Headers],[ID]])))="",TRUE()),"",IF(INDEX(tsk_BaseWork,(ROW()-ROW(MSPTasks[[#Headers],[ID]])))="","",N(INDEX(tsk_BaseWork,(ROW()-ROW(MSPTasks[[#Headers],[ID]]))))&amp;"h"))</f>
        <v/>
      </c>
      <c r="S142" s="24" t="str">
        <f aca="false">IF(IFERROR(INDEX(tsk_Name,(ROW()-ROW(MSPTasks[[#Headers],[ID]])))="",TRUE()),"",IF(INDEX(tsk_BaseCost,(ROW()-ROW(MSPTasks[[#Headers],[ID]])))="","",N(INDEX(tsk_BaseCost,(ROW()-ROW(MSPTasks[[#Headers],[ID]]))))))</f>
        <v/>
      </c>
      <c r="T142" s="24" t="str">
        <f aca="false">IF(IFERROR(INDEX(tsk_Name,(ROW()-ROW(MSPTasks[[#Headers],[ID]])))="",TRUE()),"",IF(INDEX(tsk_IsSummary,(ROW()-ROW(MSPTasks[[#Headers],[ID]]))),"",IF(N(INDEX(tsk_ActCostInput,(ROW()-ROW(MSPTasks[[#Headers],[ID]]))))=0,"",INDEX(tsk_ActCostInput,(ROW()-ROW(MSPTasks[[#Headers],[ID]]))))))</f>
        <v/>
      </c>
      <c r="U142" s="24" t="str">
        <f aca="false">IF(IFERROR(INDEX(tsk_Name,(ROW()-ROW(MSPTasks[[#Headers],[ID]])))="",TRUE()),"",IF(INDEX(tsk_IsSummary,(ROW()-ROW(MSPTasks[[#Headers],[ID]]))),"",IF(AND(INDEX(tsk_Mode,(ROW()-ROW(MSPTasks[[#Headers],[ID]])))&lt;&gt;"Manual",N(INDEX(tsk_Constraint,(ROW()-ROW(MSPTasks[[#Headers],[ID]]))))&gt;0),"Start No Earlier Than","As Soon As Possible")))</f>
        <v/>
      </c>
      <c r="V142" s="130" t="str">
        <f aca="false">IF(IFERROR(INDEX(tsk_Name,(ROW()-ROW(MSPTasks[[#Headers],[ID]])))="",TRUE()),"",IF(OR(INDEX(tsk_IsSummary,(ROW()-ROW(MSPTasks[[#Headers],[ID]]))),INDEX(tsk_Mode,(ROW()-ROW(MSPTasks[[#Headers],[ID]])))="Manual"),"",IF(N(INDEX(tsk_Constraint,(ROW()-ROW(MSPTasks[[#Headers],[ID]]))))=0,"",INDEX(tsk_Constraint,(ROW()-ROW(MSPTasks[[#Headers],[ID]]))))))</f>
        <v/>
      </c>
      <c r="W142" s="130" t="str">
        <f aca="false">IF(IFERROR(INDEX(tsk_Name,(ROW()-ROW(MSPTasks[[#Headers],[ID]])))="",TRUE()),"",IF(N(INDEX(tsk_Deadline,(ROW()-ROW(MSPTasks[[#Headers],[ID]]))))=0,"",INDEX(tsk_Deadline,(ROW()-ROW(MSPTasks[[#Headers],[ID]])))))</f>
        <v/>
      </c>
      <c r="X142" s="24" t="str">
        <f aca="false">IF(IFERROR(INDEX(tsk_Name,(ROW()-ROW(MSPTasks[[#Headers],[ID]])))="",TRUE()),"",IF(INDEX(tsk_IsSummary,(ROW()-ROW(MSPTasks[[#Headers],[ID]]))),"",INDEX(tsk_Sprint,(ROW()-ROW(MSPTasks[[#Headers],[ID]])))&amp;""))</f>
        <v/>
      </c>
      <c r="Y142" s="24" t="str">
        <f aca="false">IF(IFERROR(INDEX(tsk_Name,(ROW()-ROW(MSPTasks[[#Headers],[ID]])))="",TRUE()),"",IF(INDEX(tsk_IsSummary,(ROW()-ROW(MSPTasks[[#Headers],[ID]]))),"",IF(N(INDEX(tsk_StoryPoints,(ROW()-ROW(MSPTasks[[#Headers],[ID]]))))=0,"",INDEX(tsk_StoryPoints,(ROW()-ROW(MSPTasks[[#Headers],[ID]]))))))</f>
        <v/>
      </c>
      <c r="Z142" s="24" t="str">
        <f aca="false">IF(IFERROR(INDEX(tsk_Name,(ROW()-ROW(MSPTasks[[#Headers],[ID]])))="",TRUE()),"",INDEX(tsk_Notes,(ROW()-ROW(MSPTasks[[#Headers],[ID]])))&amp;"")</f>
        <v/>
      </c>
    </row>
    <row r="143" customFormat="false" ht="15" hidden="false" customHeight="false" outlineLevel="0" collapsed="false">
      <c r="A143" s="24" t="str">
        <f aca="false">IF(IFERROR(INDEX(tsk_Name,(ROW()-ROW(MSPTasks[[#Headers],[ID]])))="",TRUE()),"",INDEX(tsk_ID,(ROW()-ROW(MSPTasks[[#Headers],[ID]]))))</f>
        <v/>
      </c>
      <c r="B143" s="24" t="str">
        <f aca="false">IF(IFERROR(INDEX(tsk_Name,(ROW()-ROW(MSPTasks[[#Headers],[ID]])))="",TRUE()),"",INDEX(tsk_UID,(ROW()-ROW(MSPTasks[[#Headers],[ID]]))))</f>
        <v/>
      </c>
      <c r="C143" s="24" t="str">
        <f aca="false">IF(IFERROR(INDEX(tsk_Name,(ROW()-ROW(MSPTasks[[#Headers],[ID]])))="",TRUE()),"",INDEX(tsk_Name,(ROW()-ROW(MSPTasks[[#Headers],[ID]]))))</f>
        <v/>
      </c>
      <c r="D143" s="24" t="str">
        <f aca="false">IF(IFERROR(INDEX(tsk_Name,(ROW()-ROW(MSPTasks[[#Headers],[ID]])))="",TRUE()),"",INDEX(tsk_Level,(ROW()-ROW(MSPTasks[[#Headers],[ID]]))))</f>
        <v/>
      </c>
      <c r="E143" s="24" t="str">
        <f aca="false">IF(IFERROR(INDEX(tsk_Name,(ROW()-ROW(MSPTasks[[#Headers],[ID]])))="",TRUE()),"",IF(INDEX(tsk_Mode,(ROW()-ROW(MSPTasks[[#Headers],[ID]])))="Manual","Manually Scheduled","Auto Scheduled"))</f>
        <v/>
      </c>
      <c r="F143" s="24" t="str">
        <f aca="false">IF(IFERROR(INDEX(tsk_Name,(ROW()-ROW(MSPTasks[[#Headers],[ID]])))="",TRUE()),"",IF(INDEX(tsk_IsSummary,(ROW()-ROW(MSPTasks[[#Headers],[ID]]))),"",N(INDEX(tsk_Duration,(ROW()-ROW(MSPTasks[[#Headers],[ID]]))))&amp;"d"))</f>
        <v/>
      </c>
      <c r="G143" s="130" t="str">
        <f aca="false">IF(IFERROR(INDEX(tsk_Name,(ROW()-ROW(MSPTasks[[#Headers],[ID]])))="",TRUE()),"",INDEX(tsk_FcStart,(ROW()-ROW(MSPTasks[[#Headers],[ID]]))))</f>
        <v/>
      </c>
      <c r="H143" s="130" t="str">
        <f aca="false">IF(IFERROR(INDEX(tsk_Name,(ROW()-ROW(MSPTasks[[#Headers],[ID]])))="",TRUE()),"",INDEX(tsk_FcFinish,(ROW()-ROW(MSPTasks[[#Headers],[ID]]))))</f>
        <v/>
      </c>
      <c r="I143" s="24" t="str">
        <f aca="false">IF(IFERROR(INDEX(tsk_Name,(ROW()-ROW(MSPTasks[[#Headers],[ID]])))="",TRUE()),"",IF(INDEX(tsk_IsSummary,(ROW()-ROW(MSPTasks[[#Headers],[ID]]))),"",INDEX(tsk_Predecessors,(ROW()-ROW(MSPTasks[[#Headers],[ID]])))))</f>
        <v/>
      </c>
      <c r="J143" s="24" t="str">
        <f aca="false">IF(IFERROR(INDEX(tsk_Name,(ROW()-ROW(MSPTasks[[#Headers],[ID]])))="",TRUE()),"",IF(INDEX(tsk_IsSummary,(ROW()-ROW(MSPTasks[[#Headers],[ID]]))),"",INDEX(tsk_UIDPredecessors,(ROW()-ROW(MSPTasks[[#Headers],[ID]])))))</f>
        <v/>
      </c>
      <c r="K1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3" s="24" t="str">
        <f aca="false">IF(IFERROR(INDEX(tsk_Name,(ROW()-ROW(MSPTasks[[#Headers],[ID]])))="",TRUE()),"",IF(INDEX(tsk_IsSummary,(ROW()-ROW(MSPTasks[[#Headers],[ID]]))),"",ROUND(INDEX(tsk_Progress,(ROW()-ROW(MSPTasks[[#Headers],[ID]])))*100,0)))</f>
        <v/>
      </c>
      <c r="M143" s="130" t="str">
        <f aca="false">IF(IFERROR(INDEX(tsk_Name,(ROW()-ROW(MSPTasks[[#Headers],[ID]])))="",TRUE()),"",IF(N(INDEX(tsk_ActStart,(ROW()-ROW(MSPTasks[[#Headers],[ID]]))))=0,"",INDEX(tsk_ActStart,(ROW()-ROW(MSPTasks[[#Headers],[ID]])))))</f>
        <v/>
      </c>
      <c r="N143" s="130" t="str">
        <f aca="false">IF(IFERROR(INDEX(tsk_Name,(ROW()-ROW(MSPTasks[[#Headers],[ID]])))="",TRUE()),"",IF(N(INDEX(tsk_ActFinish,(ROW()-ROW(MSPTasks[[#Headers],[ID]]))))=0,"",INDEX(tsk_ActFinish,(ROW()-ROW(MSPTasks[[#Headers],[ID]])))))</f>
        <v/>
      </c>
      <c r="O143" s="130" t="str">
        <f aca="false">IF(IFERROR(INDEX(tsk_Name,(ROW()-ROW(MSPTasks[[#Headers],[ID]])))="",TRUE()),"",INDEX(tsk_PlanStart,(ROW()-ROW(MSPTasks[[#Headers],[ID]]))))</f>
        <v/>
      </c>
      <c r="P143" s="130" t="str">
        <f aca="false">IF(IFERROR(INDEX(tsk_Name,(ROW()-ROW(MSPTasks[[#Headers],[ID]])))="",TRUE()),"",INDEX(tsk_PlanFinish,(ROW()-ROW(MSPTasks[[#Headers],[ID]]))))</f>
        <v/>
      </c>
      <c r="Q143" s="24" t="str">
        <f aca="false">IF(IFERROR(INDEX(tsk_Name,(ROW()-ROW(MSPTasks[[#Headers],[ID]])))="",TRUE()),"",IF(INDEX(tsk_BaseDuration,(ROW()-ROW(MSPTasks[[#Headers],[ID]])))="","",N(INDEX(tsk_BaseDuration,(ROW()-ROW(MSPTasks[[#Headers],[ID]]))))&amp;"d"))</f>
        <v/>
      </c>
      <c r="R143" s="24" t="str">
        <f aca="false">IF(IFERROR(INDEX(tsk_Name,(ROW()-ROW(MSPTasks[[#Headers],[ID]])))="",TRUE()),"",IF(INDEX(tsk_BaseWork,(ROW()-ROW(MSPTasks[[#Headers],[ID]])))="","",N(INDEX(tsk_BaseWork,(ROW()-ROW(MSPTasks[[#Headers],[ID]]))))&amp;"h"))</f>
        <v/>
      </c>
      <c r="S143" s="24" t="str">
        <f aca="false">IF(IFERROR(INDEX(tsk_Name,(ROW()-ROW(MSPTasks[[#Headers],[ID]])))="",TRUE()),"",IF(INDEX(tsk_BaseCost,(ROW()-ROW(MSPTasks[[#Headers],[ID]])))="","",N(INDEX(tsk_BaseCost,(ROW()-ROW(MSPTasks[[#Headers],[ID]]))))))</f>
        <v/>
      </c>
      <c r="T143" s="24" t="str">
        <f aca="false">IF(IFERROR(INDEX(tsk_Name,(ROW()-ROW(MSPTasks[[#Headers],[ID]])))="",TRUE()),"",IF(INDEX(tsk_IsSummary,(ROW()-ROW(MSPTasks[[#Headers],[ID]]))),"",IF(N(INDEX(tsk_ActCostInput,(ROW()-ROW(MSPTasks[[#Headers],[ID]]))))=0,"",INDEX(tsk_ActCostInput,(ROW()-ROW(MSPTasks[[#Headers],[ID]]))))))</f>
        <v/>
      </c>
      <c r="U143" s="24" t="str">
        <f aca="false">IF(IFERROR(INDEX(tsk_Name,(ROW()-ROW(MSPTasks[[#Headers],[ID]])))="",TRUE()),"",IF(INDEX(tsk_IsSummary,(ROW()-ROW(MSPTasks[[#Headers],[ID]]))),"",IF(AND(INDEX(tsk_Mode,(ROW()-ROW(MSPTasks[[#Headers],[ID]])))&lt;&gt;"Manual",N(INDEX(tsk_Constraint,(ROW()-ROW(MSPTasks[[#Headers],[ID]]))))&gt;0),"Start No Earlier Than","As Soon As Possible")))</f>
        <v/>
      </c>
      <c r="V143" s="130" t="str">
        <f aca="false">IF(IFERROR(INDEX(tsk_Name,(ROW()-ROW(MSPTasks[[#Headers],[ID]])))="",TRUE()),"",IF(OR(INDEX(tsk_IsSummary,(ROW()-ROW(MSPTasks[[#Headers],[ID]]))),INDEX(tsk_Mode,(ROW()-ROW(MSPTasks[[#Headers],[ID]])))="Manual"),"",IF(N(INDEX(tsk_Constraint,(ROW()-ROW(MSPTasks[[#Headers],[ID]]))))=0,"",INDEX(tsk_Constraint,(ROW()-ROW(MSPTasks[[#Headers],[ID]]))))))</f>
        <v/>
      </c>
      <c r="W143" s="130" t="str">
        <f aca="false">IF(IFERROR(INDEX(tsk_Name,(ROW()-ROW(MSPTasks[[#Headers],[ID]])))="",TRUE()),"",IF(N(INDEX(tsk_Deadline,(ROW()-ROW(MSPTasks[[#Headers],[ID]]))))=0,"",INDEX(tsk_Deadline,(ROW()-ROW(MSPTasks[[#Headers],[ID]])))))</f>
        <v/>
      </c>
      <c r="X143" s="24" t="str">
        <f aca="false">IF(IFERROR(INDEX(tsk_Name,(ROW()-ROW(MSPTasks[[#Headers],[ID]])))="",TRUE()),"",IF(INDEX(tsk_IsSummary,(ROW()-ROW(MSPTasks[[#Headers],[ID]]))),"",INDEX(tsk_Sprint,(ROW()-ROW(MSPTasks[[#Headers],[ID]])))&amp;""))</f>
        <v/>
      </c>
      <c r="Y143" s="24" t="str">
        <f aca="false">IF(IFERROR(INDEX(tsk_Name,(ROW()-ROW(MSPTasks[[#Headers],[ID]])))="",TRUE()),"",IF(INDEX(tsk_IsSummary,(ROW()-ROW(MSPTasks[[#Headers],[ID]]))),"",IF(N(INDEX(tsk_StoryPoints,(ROW()-ROW(MSPTasks[[#Headers],[ID]]))))=0,"",INDEX(tsk_StoryPoints,(ROW()-ROW(MSPTasks[[#Headers],[ID]]))))))</f>
        <v/>
      </c>
      <c r="Z143" s="24" t="str">
        <f aca="false">IF(IFERROR(INDEX(tsk_Name,(ROW()-ROW(MSPTasks[[#Headers],[ID]])))="",TRUE()),"",INDEX(tsk_Notes,(ROW()-ROW(MSPTasks[[#Headers],[ID]])))&amp;"")</f>
        <v/>
      </c>
    </row>
    <row r="144" customFormat="false" ht="15" hidden="false" customHeight="false" outlineLevel="0" collapsed="false">
      <c r="A144" s="24" t="str">
        <f aca="false">IF(IFERROR(INDEX(tsk_Name,(ROW()-ROW(MSPTasks[[#Headers],[ID]])))="",TRUE()),"",INDEX(tsk_ID,(ROW()-ROW(MSPTasks[[#Headers],[ID]]))))</f>
        <v/>
      </c>
      <c r="B144" s="24" t="str">
        <f aca="false">IF(IFERROR(INDEX(tsk_Name,(ROW()-ROW(MSPTasks[[#Headers],[ID]])))="",TRUE()),"",INDEX(tsk_UID,(ROW()-ROW(MSPTasks[[#Headers],[ID]]))))</f>
        <v/>
      </c>
      <c r="C144" s="24" t="str">
        <f aca="false">IF(IFERROR(INDEX(tsk_Name,(ROW()-ROW(MSPTasks[[#Headers],[ID]])))="",TRUE()),"",INDEX(tsk_Name,(ROW()-ROW(MSPTasks[[#Headers],[ID]]))))</f>
        <v/>
      </c>
      <c r="D144" s="24" t="str">
        <f aca="false">IF(IFERROR(INDEX(tsk_Name,(ROW()-ROW(MSPTasks[[#Headers],[ID]])))="",TRUE()),"",INDEX(tsk_Level,(ROW()-ROW(MSPTasks[[#Headers],[ID]]))))</f>
        <v/>
      </c>
      <c r="E144" s="24" t="str">
        <f aca="false">IF(IFERROR(INDEX(tsk_Name,(ROW()-ROW(MSPTasks[[#Headers],[ID]])))="",TRUE()),"",IF(INDEX(tsk_Mode,(ROW()-ROW(MSPTasks[[#Headers],[ID]])))="Manual","Manually Scheduled","Auto Scheduled"))</f>
        <v/>
      </c>
      <c r="F144" s="24" t="str">
        <f aca="false">IF(IFERROR(INDEX(tsk_Name,(ROW()-ROW(MSPTasks[[#Headers],[ID]])))="",TRUE()),"",IF(INDEX(tsk_IsSummary,(ROW()-ROW(MSPTasks[[#Headers],[ID]]))),"",N(INDEX(tsk_Duration,(ROW()-ROW(MSPTasks[[#Headers],[ID]]))))&amp;"d"))</f>
        <v/>
      </c>
      <c r="G144" s="130" t="str">
        <f aca="false">IF(IFERROR(INDEX(tsk_Name,(ROW()-ROW(MSPTasks[[#Headers],[ID]])))="",TRUE()),"",INDEX(tsk_FcStart,(ROW()-ROW(MSPTasks[[#Headers],[ID]]))))</f>
        <v/>
      </c>
      <c r="H144" s="130" t="str">
        <f aca="false">IF(IFERROR(INDEX(tsk_Name,(ROW()-ROW(MSPTasks[[#Headers],[ID]])))="",TRUE()),"",INDEX(tsk_FcFinish,(ROW()-ROW(MSPTasks[[#Headers],[ID]]))))</f>
        <v/>
      </c>
      <c r="I144" s="24" t="str">
        <f aca="false">IF(IFERROR(INDEX(tsk_Name,(ROW()-ROW(MSPTasks[[#Headers],[ID]])))="",TRUE()),"",IF(INDEX(tsk_IsSummary,(ROW()-ROW(MSPTasks[[#Headers],[ID]]))),"",INDEX(tsk_Predecessors,(ROW()-ROW(MSPTasks[[#Headers],[ID]])))))</f>
        <v/>
      </c>
      <c r="J144" s="24" t="str">
        <f aca="false">IF(IFERROR(INDEX(tsk_Name,(ROW()-ROW(MSPTasks[[#Headers],[ID]])))="",TRUE()),"",IF(INDEX(tsk_IsSummary,(ROW()-ROW(MSPTasks[[#Headers],[ID]]))),"",INDEX(tsk_UIDPredecessors,(ROW()-ROW(MSPTasks[[#Headers],[ID]])))))</f>
        <v/>
      </c>
      <c r="K1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4" s="24" t="str">
        <f aca="false">IF(IFERROR(INDEX(tsk_Name,(ROW()-ROW(MSPTasks[[#Headers],[ID]])))="",TRUE()),"",IF(INDEX(tsk_IsSummary,(ROW()-ROW(MSPTasks[[#Headers],[ID]]))),"",ROUND(INDEX(tsk_Progress,(ROW()-ROW(MSPTasks[[#Headers],[ID]])))*100,0)))</f>
        <v/>
      </c>
      <c r="M144" s="130" t="str">
        <f aca="false">IF(IFERROR(INDEX(tsk_Name,(ROW()-ROW(MSPTasks[[#Headers],[ID]])))="",TRUE()),"",IF(N(INDEX(tsk_ActStart,(ROW()-ROW(MSPTasks[[#Headers],[ID]]))))=0,"",INDEX(tsk_ActStart,(ROW()-ROW(MSPTasks[[#Headers],[ID]])))))</f>
        <v/>
      </c>
      <c r="N144" s="130" t="str">
        <f aca="false">IF(IFERROR(INDEX(tsk_Name,(ROW()-ROW(MSPTasks[[#Headers],[ID]])))="",TRUE()),"",IF(N(INDEX(tsk_ActFinish,(ROW()-ROW(MSPTasks[[#Headers],[ID]]))))=0,"",INDEX(tsk_ActFinish,(ROW()-ROW(MSPTasks[[#Headers],[ID]])))))</f>
        <v/>
      </c>
      <c r="O144" s="130" t="str">
        <f aca="false">IF(IFERROR(INDEX(tsk_Name,(ROW()-ROW(MSPTasks[[#Headers],[ID]])))="",TRUE()),"",INDEX(tsk_PlanStart,(ROW()-ROW(MSPTasks[[#Headers],[ID]]))))</f>
        <v/>
      </c>
      <c r="P144" s="130" t="str">
        <f aca="false">IF(IFERROR(INDEX(tsk_Name,(ROW()-ROW(MSPTasks[[#Headers],[ID]])))="",TRUE()),"",INDEX(tsk_PlanFinish,(ROW()-ROW(MSPTasks[[#Headers],[ID]]))))</f>
        <v/>
      </c>
      <c r="Q144" s="24" t="str">
        <f aca="false">IF(IFERROR(INDEX(tsk_Name,(ROW()-ROW(MSPTasks[[#Headers],[ID]])))="",TRUE()),"",IF(INDEX(tsk_BaseDuration,(ROW()-ROW(MSPTasks[[#Headers],[ID]])))="","",N(INDEX(tsk_BaseDuration,(ROW()-ROW(MSPTasks[[#Headers],[ID]]))))&amp;"d"))</f>
        <v/>
      </c>
      <c r="R144" s="24" t="str">
        <f aca="false">IF(IFERROR(INDEX(tsk_Name,(ROW()-ROW(MSPTasks[[#Headers],[ID]])))="",TRUE()),"",IF(INDEX(tsk_BaseWork,(ROW()-ROW(MSPTasks[[#Headers],[ID]])))="","",N(INDEX(tsk_BaseWork,(ROW()-ROW(MSPTasks[[#Headers],[ID]]))))&amp;"h"))</f>
        <v/>
      </c>
      <c r="S144" s="24" t="str">
        <f aca="false">IF(IFERROR(INDEX(tsk_Name,(ROW()-ROW(MSPTasks[[#Headers],[ID]])))="",TRUE()),"",IF(INDEX(tsk_BaseCost,(ROW()-ROW(MSPTasks[[#Headers],[ID]])))="","",N(INDEX(tsk_BaseCost,(ROW()-ROW(MSPTasks[[#Headers],[ID]]))))))</f>
        <v/>
      </c>
      <c r="T144" s="24" t="str">
        <f aca="false">IF(IFERROR(INDEX(tsk_Name,(ROW()-ROW(MSPTasks[[#Headers],[ID]])))="",TRUE()),"",IF(INDEX(tsk_IsSummary,(ROW()-ROW(MSPTasks[[#Headers],[ID]]))),"",IF(N(INDEX(tsk_ActCostInput,(ROW()-ROW(MSPTasks[[#Headers],[ID]]))))=0,"",INDEX(tsk_ActCostInput,(ROW()-ROW(MSPTasks[[#Headers],[ID]]))))))</f>
        <v/>
      </c>
      <c r="U144" s="24" t="str">
        <f aca="false">IF(IFERROR(INDEX(tsk_Name,(ROW()-ROW(MSPTasks[[#Headers],[ID]])))="",TRUE()),"",IF(INDEX(tsk_IsSummary,(ROW()-ROW(MSPTasks[[#Headers],[ID]]))),"",IF(AND(INDEX(tsk_Mode,(ROW()-ROW(MSPTasks[[#Headers],[ID]])))&lt;&gt;"Manual",N(INDEX(tsk_Constraint,(ROW()-ROW(MSPTasks[[#Headers],[ID]]))))&gt;0),"Start No Earlier Than","As Soon As Possible")))</f>
        <v/>
      </c>
      <c r="V144" s="130" t="str">
        <f aca="false">IF(IFERROR(INDEX(tsk_Name,(ROW()-ROW(MSPTasks[[#Headers],[ID]])))="",TRUE()),"",IF(OR(INDEX(tsk_IsSummary,(ROW()-ROW(MSPTasks[[#Headers],[ID]]))),INDEX(tsk_Mode,(ROW()-ROW(MSPTasks[[#Headers],[ID]])))="Manual"),"",IF(N(INDEX(tsk_Constraint,(ROW()-ROW(MSPTasks[[#Headers],[ID]]))))=0,"",INDEX(tsk_Constraint,(ROW()-ROW(MSPTasks[[#Headers],[ID]]))))))</f>
        <v/>
      </c>
      <c r="W144" s="130" t="str">
        <f aca="false">IF(IFERROR(INDEX(tsk_Name,(ROW()-ROW(MSPTasks[[#Headers],[ID]])))="",TRUE()),"",IF(N(INDEX(tsk_Deadline,(ROW()-ROW(MSPTasks[[#Headers],[ID]]))))=0,"",INDEX(tsk_Deadline,(ROW()-ROW(MSPTasks[[#Headers],[ID]])))))</f>
        <v/>
      </c>
      <c r="X144" s="24" t="str">
        <f aca="false">IF(IFERROR(INDEX(tsk_Name,(ROW()-ROW(MSPTasks[[#Headers],[ID]])))="",TRUE()),"",IF(INDEX(tsk_IsSummary,(ROW()-ROW(MSPTasks[[#Headers],[ID]]))),"",INDEX(tsk_Sprint,(ROW()-ROW(MSPTasks[[#Headers],[ID]])))&amp;""))</f>
        <v/>
      </c>
      <c r="Y144" s="24" t="str">
        <f aca="false">IF(IFERROR(INDEX(tsk_Name,(ROW()-ROW(MSPTasks[[#Headers],[ID]])))="",TRUE()),"",IF(INDEX(tsk_IsSummary,(ROW()-ROW(MSPTasks[[#Headers],[ID]]))),"",IF(N(INDEX(tsk_StoryPoints,(ROW()-ROW(MSPTasks[[#Headers],[ID]]))))=0,"",INDEX(tsk_StoryPoints,(ROW()-ROW(MSPTasks[[#Headers],[ID]]))))))</f>
        <v/>
      </c>
      <c r="Z144" s="24" t="str">
        <f aca="false">IF(IFERROR(INDEX(tsk_Name,(ROW()-ROW(MSPTasks[[#Headers],[ID]])))="",TRUE()),"",INDEX(tsk_Notes,(ROW()-ROW(MSPTasks[[#Headers],[ID]])))&amp;"")</f>
        <v/>
      </c>
    </row>
    <row r="145" customFormat="false" ht="15" hidden="false" customHeight="false" outlineLevel="0" collapsed="false">
      <c r="A145" s="24" t="str">
        <f aca="false">IF(IFERROR(INDEX(tsk_Name,(ROW()-ROW(MSPTasks[[#Headers],[ID]])))="",TRUE()),"",INDEX(tsk_ID,(ROW()-ROW(MSPTasks[[#Headers],[ID]]))))</f>
        <v/>
      </c>
      <c r="B145" s="24" t="str">
        <f aca="false">IF(IFERROR(INDEX(tsk_Name,(ROW()-ROW(MSPTasks[[#Headers],[ID]])))="",TRUE()),"",INDEX(tsk_UID,(ROW()-ROW(MSPTasks[[#Headers],[ID]]))))</f>
        <v/>
      </c>
      <c r="C145" s="24" t="str">
        <f aca="false">IF(IFERROR(INDEX(tsk_Name,(ROW()-ROW(MSPTasks[[#Headers],[ID]])))="",TRUE()),"",INDEX(tsk_Name,(ROW()-ROW(MSPTasks[[#Headers],[ID]]))))</f>
        <v/>
      </c>
      <c r="D145" s="24" t="str">
        <f aca="false">IF(IFERROR(INDEX(tsk_Name,(ROW()-ROW(MSPTasks[[#Headers],[ID]])))="",TRUE()),"",INDEX(tsk_Level,(ROW()-ROW(MSPTasks[[#Headers],[ID]]))))</f>
        <v/>
      </c>
      <c r="E145" s="24" t="str">
        <f aca="false">IF(IFERROR(INDEX(tsk_Name,(ROW()-ROW(MSPTasks[[#Headers],[ID]])))="",TRUE()),"",IF(INDEX(tsk_Mode,(ROW()-ROW(MSPTasks[[#Headers],[ID]])))="Manual","Manually Scheduled","Auto Scheduled"))</f>
        <v/>
      </c>
      <c r="F145" s="24" t="str">
        <f aca="false">IF(IFERROR(INDEX(tsk_Name,(ROW()-ROW(MSPTasks[[#Headers],[ID]])))="",TRUE()),"",IF(INDEX(tsk_IsSummary,(ROW()-ROW(MSPTasks[[#Headers],[ID]]))),"",N(INDEX(tsk_Duration,(ROW()-ROW(MSPTasks[[#Headers],[ID]]))))&amp;"d"))</f>
        <v/>
      </c>
      <c r="G145" s="130" t="str">
        <f aca="false">IF(IFERROR(INDEX(tsk_Name,(ROW()-ROW(MSPTasks[[#Headers],[ID]])))="",TRUE()),"",INDEX(tsk_FcStart,(ROW()-ROW(MSPTasks[[#Headers],[ID]]))))</f>
        <v/>
      </c>
      <c r="H145" s="130" t="str">
        <f aca="false">IF(IFERROR(INDEX(tsk_Name,(ROW()-ROW(MSPTasks[[#Headers],[ID]])))="",TRUE()),"",INDEX(tsk_FcFinish,(ROW()-ROW(MSPTasks[[#Headers],[ID]]))))</f>
        <v/>
      </c>
      <c r="I145" s="24" t="str">
        <f aca="false">IF(IFERROR(INDEX(tsk_Name,(ROW()-ROW(MSPTasks[[#Headers],[ID]])))="",TRUE()),"",IF(INDEX(tsk_IsSummary,(ROW()-ROW(MSPTasks[[#Headers],[ID]]))),"",INDEX(tsk_Predecessors,(ROW()-ROW(MSPTasks[[#Headers],[ID]])))))</f>
        <v/>
      </c>
      <c r="J145" s="24" t="str">
        <f aca="false">IF(IFERROR(INDEX(tsk_Name,(ROW()-ROW(MSPTasks[[#Headers],[ID]])))="",TRUE()),"",IF(INDEX(tsk_IsSummary,(ROW()-ROW(MSPTasks[[#Headers],[ID]]))),"",INDEX(tsk_UIDPredecessors,(ROW()-ROW(MSPTasks[[#Headers],[ID]])))))</f>
        <v/>
      </c>
      <c r="K1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5" s="24" t="str">
        <f aca="false">IF(IFERROR(INDEX(tsk_Name,(ROW()-ROW(MSPTasks[[#Headers],[ID]])))="",TRUE()),"",IF(INDEX(tsk_IsSummary,(ROW()-ROW(MSPTasks[[#Headers],[ID]]))),"",ROUND(INDEX(tsk_Progress,(ROW()-ROW(MSPTasks[[#Headers],[ID]])))*100,0)))</f>
        <v/>
      </c>
      <c r="M145" s="130" t="str">
        <f aca="false">IF(IFERROR(INDEX(tsk_Name,(ROW()-ROW(MSPTasks[[#Headers],[ID]])))="",TRUE()),"",IF(N(INDEX(tsk_ActStart,(ROW()-ROW(MSPTasks[[#Headers],[ID]]))))=0,"",INDEX(tsk_ActStart,(ROW()-ROW(MSPTasks[[#Headers],[ID]])))))</f>
        <v/>
      </c>
      <c r="N145" s="130" t="str">
        <f aca="false">IF(IFERROR(INDEX(tsk_Name,(ROW()-ROW(MSPTasks[[#Headers],[ID]])))="",TRUE()),"",IF(N(INDEX(tsk_ActFinish,(ROW()-ROW(MSPTasks[[#Headers],[ID]]))))=0,"",INDEX(tsk_ActFinish,(ROW()-ROW(MSPTasks[[#Headers],[ID]])))))</f>
        <v/>
      </c>
      <c r="O145" s="130" t="str">
        <f aca="false">IF(IFERROR(INDEX(tsk_Name,(ROW()-ROW(MSPTasks[[#Headers],[ID]])))="",TRUE()),"",INDEX(tsk_PlanStart,(ROW()-ROW(MSPTasks[[#Headers],[ID]]))))</f>
        <v/>
      </c>
      <c r="P145" s="130" t="str">
        <f aca="false">IF(IFERROR(INDEX(tsk_Name,(ROW()-ROW(MSPTasks[[#Headers],[ID]])))="",TRUE()),"",INDEX(tsk_PlanFinish,(ROW()-ROW(MSPTasks[[#Headers],[ID]]))))</f>
        <v/>
      </c>
      <c r="Q145" s="24" t="str">
        <f aca="false">IF(IFERROR(INDEX(tsk_Name,(ROW()-ROW(MSPTasks[[#Headers],[ID]])))="",TRUE()),"",IF(INDEX(tsk_BaseDuration,(ROW()-ROW(MSPTasks[[#Headers],[ID]])))="","",N(INDEX(tsk_BaseDuration,(ROW()-ROW(MSPTasks[[#Headers],[ID]]))))&amp;"d"))</f>
        <v/>
      </c>
      <c r="R145" s="24" t="str">
        <f aca="false">IF(IFERROR(INDEX(tsk_Name,(ROW()-ROW(MSPTasks[[#Headers],[ID]])))="",TRUE()),"",IF(INDEX(tsk_BaseWork,(ROW()-ROW(MSPTasks[[#Headers],[ID]])))="","",N(INDEX(tsk_BaseWork,(ROW()-ROW(MSPTasks[[#Headers],[ID]]))))&amp;"h"))</f>
        <v/>
      </c>
      <c r="S145" s="24" t="str">
        <f aca="false">IF(IFERROR(INDEX(tsk_Name,(ROW()-ROW(MSPTasks[[#Headers],[ID]])))="",TRUE()),"",IF(INDEX(tsk_BaseCost,(ROW()-ROW(MSPTasks[[#Headers],[ID]])))="","",N(INDEX(tsk_BaseCost,(ROW()-ROW(MSPTasks[[#Headers],[ID]]))))))</f>
        <v/>
      </c>
      <c r="T145" s="24" t="str">
        <f aca="false">IF(IFERROR(INDEX(tsk_Name,(ROW()-ROW(MSPTasks[[#Headers],[ID]])))="",TRUE()),"",IF(INDEX(tsk_IsSummary,(ROW()-ROW(MSPTasks[[#Headers],[ID]]))),"",IF(N(INDEX(tsk_ActCostInput,(ROW()-ROW(MSPTasks[[#Headers],[ID]]))))=0,"",INDEX(tsk_ActCostInput,(ROW()-ROW(MSPTasks[[#Headers],[ID]]))))))</f>
        <v/>
      </c>
      <c r="U145" s="24" t="str">
        <f aca="false">IF(IFERROR(INDEX(tsk_Name,(ROW()-ROW(MSPTasks[[#Headers],[ID]])))="",TRUE()),"",IF(INDEX(tsk_IsSummary,(ROW()-ROW(MSPTasks[[#Headers],[ID]]))),"",IF(AND(INDEX(tsk_Mode,(ROW()-ROW(MSPTasks[[#Headers],[ID]])))&lt;&gt;"Manual",N(INDEX(tsk_Constraint,(ROW()-ROW(MSPTasks[[#Headers],[ID]]))))&gt;0),"Start No Earlier Than","As Soon As Possible")))</f>
        <v/>
      </c>
      <c r="V145" s="130" t="str">
        <f aca="false">IF(IFERROR(INDEX(tsk_Name,(ROW()-ROW(MSPTasks[[#Headers],[ID]])))="",TRUE()),"",IF(OR(INDEX(tsk_IsSummary,(ROW()-ROW(MSPTasks[[#Headers],[ID]]))),INDEX(tsk_Mode,(ROW()-ROW(MSPTasks[[#Headers],[ID]])))="Manual"),"",IF(N(INDEX(tsk_Constraint,(ROW()-ROW(MSPTasks[[#Headers],[ID]]))))=0,"",INDEX(tsk_Constraint,(ROW()-ROW(MSPTasks[[#Headers],[ID]]))))))</f>
        <v/>
      </c>
      <c r="W145" s="130" t="str">
        <f aca="false">IF(IFERROR(INDEX(tsk_Name,(ROW()-ROW(MSPTasks[[#Headers],[ID]])))="",TRUE()),"",IF(N(INDEX(tsk_Deadline,(ROW()-ROW(MSPTasks[[#Headers],[ID]]))))=0,"",INDEX(tsk_Deadline,(ROW()-ROW(MSPTasks[[#Headers],[ID]])))))</f>
        <v/>
      </c>
      <c r="X145" s="24" t="str">
        <f aca="false">IF(IFERROR(INDEX(tsk_Name,(ROW()-ROW(MSPTasks[[#Headers],[ID]])))="",TRUE()),"",IF(INDEX(tsk_IsSummary,(ROW()-ROW(MSPTasks[[#Headers],[ID]]))),"",INDEX(tsk_Sprint,(ROW()-ROW(MSPTasks[[#Headers],[ID]])))&amp;""))</f>
        <v/>
      </c>
      <c r="Y145" s="24" t="str">
        <f aca="false">IF(IFERROR(INDEX(tsk_Name,(ROW()-ROW(MSPTasks[[#Headers],[ID]])))="",TRUE()),"",IF(INDEX(tsk_IsSummary,(ROW()-ROW(MSPTasks[[#Headers],[ID]]))),"",IF(N(INDEX(tsk_StoryPoints,(ROW()-ROW(MSPTasks[[#Headers],[ID]]))))=0,"",INDEX(tsk_StoryPoints,(ROW()-ROW(MSPTasks[[#Headers],[ID]]))))))</f>
        <v/>
      </c>
      <c r="Z145" s="24" t="str">
        <f aca="false">IF(IFERROR(INDEX(tsk_Name,(ROW()-ROW(MSPTasks[[#Headers],[ID]])))="",TRUE()),"",INDEX(tsk_Notes,(ROW()-ROW(MSPTasks[[#Headers],[ID]])))&amp;"")</f>
        <v/>
      </c>
    </row>
    <row r="146" customFormat="false" ht="15" hidden="false" customHeight="false" outlineLevel="0" collapsed="false">
      <c r="A146" s="24" t="str">
        <f aca="false">IF(IFERROR(INDEX(tsk_Name,(ROW()-ROW(MSPTasks[[#Headers],[ID]])))="",TRUE()),"",INDEX(tsk_ID,(ROW()-ROW(MSPTasks[[#Headers],[ID]]))))</f>
        <v/>
      </c>
      <c r="B146" s="24" t="str">
        <f aca="false">IF(IFERROR(INDEX(tsk_Name,(ROW()-ROW(MSPTasks[[#Headers],[ID]])))="",TRUE()),"",INDEX(tsk_UID,(ROW()-ROW(MSPTasks[[#Headers],[ID]]))))</f>
        <v/>
      </c>
      <c r="C146" s="24" t="str">
        <f aca="false">IF(IFERROR(INDEX(tsk_Name,(ROW()-ROW(MSPTasks[[#Headers],[ID]])))="",TRUE()),"",INDEX(tsk_Name,(ROW()-ROW(MSPTasks[[#Headers],[ID]]))))</f>
        <v/>
      </c>
      <c r="D146" s="24" t="str">
        <f aca="false">IF(IFERROR(INDEX(tsk_Name,(ROW()-ROW(MSPTasks[[#Headers],[ID]])))="",TRUE()),"",INDEX(tsk_Level,(ROW()-ROW(MSPTasks[[#Headers],[ID]]))))</f>
        <v/>
      </c>
      <c r="E146" s="24" t="str">
        <f aca="false">IF(IFERROR(INDEX(tsk_Name,(ROW()-ROW(MSPTasks[[#Headers],[ID]])))="",TRUE()),"",IF(INDEX(tsk_Mode,(ROW()-ROW(MSPTasks[[#Headers],[ID]])))="Manual","Manually Scheduled","Auto Scheduled"))</f>
        <v/>
      </c>
      <c r="F146" s="24" t="str">
        <f aca="false">IF(IFERROR(INDEX(tsk_Name,(ROW()-ROW(MSPTasks[[#Headers],[ID]])))="",TRUE()),"",IF(INDEX(tsk_IsSummary,(ROW()-ROW(MSPTasks[[#Headers],[ID]]))),"",N(INDEX(tsk_Duration,(ROW()-ROW(MSPTasks[[#Headers],[ID]]))))&amp;"d"))</f>
        <v/>
      </c>
      <c r="G146" s="130" t="str">
        <f aca="false">IF(IFERROR(INDEX(tsk_Name,(ROW()-ROW(MSPTasks[[#Headers],[ID]])))="",TRUE()),"",INDEX(tsk_FcStart,(ROW()-ROW(MSPTasks[[#Headers],[ID]]))))</f>
        <v/>
      </c>
      <c r="H146" s="130" t="str">
        <f aca="false">IF(IFERROR(INDEX(tsk_Name,(ROW()-ROW(MSPTasks[[#Headers],[ID]])))="",TRUE()),"",INDEX(tsk_FcFinish,(ROW()-ROW(MSPTasks[[#Headers],[ID]]))))</f>
        <v/>
      </c>
      <c r="I146" s="24" t="str">
        <f aca="false">IF(IFERROR(INDEX(tsk_Name,(ROW()-ROW(MSPTasks[[#Headers],[ID]])))="",TRUE()),"",IF(INDEX(tsk_IsSummary,(ROW()-ROW(MSPTasks[[#Headers],[ID]]))),"",INDEX(tsk_Predecessors,(ROW()-ROW(MSPTasks[[#Headers],[ID]])))))</f>
        <v/>
      </c>
      <c r="J146" s="24" t="str">
        <f aca="false">IF(IFERROR(INDEX(tsk_Name,(ROW()-ROW(MSPTasks[[#Headers],[ID]])))="",TRUE()),"",IF(INDEX(tsk_IsSummary,(ROW()-ROW(MSPTasks[[#Headers],[ID]]))),"",INDEX(tsk_UIDPredecessors,(ROW()-ROW(MSPTasks[[#Headers],[ID]])))))</f>
        <v/>
      </c>
      <c r="K1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6" s="24" t="str">
        <f aca="false">IF(IFERROR(INDEX(tsk_Name,(ROW()-ROW(MSPTasks[[#Headers],[ID]])))="",TRUE()),"",IF(INDEX(tsk_IsSummary,(ROW()-ROW(MSPTasks[[#Headers],[ID]]))),"",ROUND(INDEX(tsk_Progress,(ROW()-ROW(MSPTasks[[#Headers],[ID]])))*100,0)))</f>
        <v/>
      </c>
      <c r="M146" s="130" t="str">
        <f aca="false">IF(IFERROR(INDEX(tsk_Name,(ROW()-ROW(MSPTasks[[#Headers],[ID]])))="",TRUE()),"",IF(N(INDEX(tsk_ActStart,(ROW()-ROW(MSPTasks[[#Headers],[ID]]))))=0,"",INDEX(tsk_ActStart,(ROW()-ROW(MSPTasks[[#Headers],[ID]])))))</f>
        <v/>
      </c>
      <c r="N146" s="130" t="str">
        <f aca="false">IF(IFERROR(INDEX(tsk_Name,(ROW()-ROW(MSPTasks[[#Headers],[ID]])))="",TRUE()),"",IF(N(INDEX(tsk_ActFinish,(ROW()-ROW(MSPTasks[[#Headers],[ID]]))))=0,"",INDEX(tsk_ActFinish,(ROW()-ROW(MSPTasks[[#Headers],[ID]])))))</f>
        <v/>
      </c>
      <c r="O146" s="130" t="str">
        <f aca="false">IF(IFERROR(INDEX(tsk_Name,(ROW()-ROW(MSPTasks[[#Headers],[ID]])))="",TRUE()),"",INDEX(tsk_PlanStart,(ROW()-ROW(MSPTasks[[#Headers],[ID]]))))</f>
        <v/>
      </c>
      <c r="P146" s="130" t="str">
        <f aca="false">IF(IFERROR(INDEX(tsk_Name,(ROW()-ROW(MSPTasks[[#Headers],[ID]])))="",TRUE()),"",INDEX(tsk_PlanFinish,(ROW()-ROW(MSPTasks[[#Headers],[ID]]))))</f>
        <v/>
      </c>
      <c r="Q146" s="24" t="str">
        <f aca="false">IF(IFERROR(INDEX(tsk_Name,(ROW()-ROW(MSPTasks[[#Headers],[ID]])))="",TRUE()),"",IF(INDEX(tsk_BaseDuration,(ROW()-ROW(MSPTasks[[#Headers],[ID]])))="","",N(INDEX(tsk_BaseDuration,(ROW()-ROW(MSPTasks[[#Headers],[ID]]))))&amp;"d"))</f>
        <v/>
      </c>
      <c r="R146" s="24" t="str">
        <f aca="false">IF(IFERROR(INDEX(tsk_Name,(ROW()-ROW(MSPTasks[[#Headers],[ID]])))="",TRUE()),"",IF(INDEX(tsk_BaseWork,(ROW()-ROW(MSPTasks[[#Headers],[ID]])))="","",N(INDEX(tsk_BaseWork,(ROW()-ROW(MSPTasks[[#Headers],[ID]]))))&amp;"h"))</f>
        <v/>
      </c>
      <c r="S146" s="24" t="str">
        <f aca="false">IF(IFERROR(INDEX(tsk_Name,(ROW()-ROW(MSPTasks[[#Headers],[ID]])))="",TRUE()),"",IF(INDEX(tsk_BaseCost,(ROW()-ROW(MSPTasks[[#Headers],[ID]])))="","",N(INDEX(tsk_BaseCost,(ROW()-ROW(MSPTasks[[#Headers],[ID]]))))))</f>
        <v/>
      </c>
      <c r="T146" s="24" t="str">
        <f aca="false">IF(IFERROR(INDEX(tsk_Name,(ROW()-ROW(MSPTasks[[#Headers],[ID]])))="",TRUE()),"",IF(INDEX(tsk_IsSummary,(ROW()-ROW(MSPTasks[[#Headers],[ID]]))),"",IF(N(INDEX(tsk_ActCostInput,(ROW()-ROW(MSPTasks[[#Headers],[ID]]))))=0,"",INDEX(tsk_ActCostInput,(ROW()-ROW(MSPTasks[[#Headers],[ID]]))))))</f>
        <v/>
      </c>
      <c r="U146" s="24" t="str">
        <f aca="false">IF(IFERROR(INDEX(tsk_Name,(ROW()-ROW(MSPTasks[[#Headers],[ID]])))="",TRUE()),"",IF(INDEX(tsk_IsSummary,(ROW()-ROW(MSPTasks[[#Headers],[ID]]))),"",IF(AND(INDEX(tsk_Mode,(ROW()-ROW(MSPTasks[[#Headers],[ID]])))&lt;&gt;"Manual",N(INDEX(tsk_Constraint,(ROW()-ROW(MSPTasks[[#Headers],[ID]]))))&gt;0),"Start No Earlier Than","As Soon As Possible")))</f>
        <v/>
      </c>
      <c r="V146" s="130" t="str">
        <f aca="false">IF(IFERROR(INDEX(tsk_Name,(ROW()-ROW(MSPTasks[[#Headers],[ID]])))="",TRUE()),"",IF(OR(INDEX(tsk_IsSummary,(ROW()-ROW(MSPTasks[[#Headers],[ID]]))),INDEX(tsk_Mode,(ROW()-ROW(MSPTasks[[#Headers],[ID]])))="Manual"),"",IF(N(INDEX(tsk_Constraint,(ROW()-ROW(MSPTasks[[#Headers],[ID]]))))=0,"",INDEX(tsk_Constraint,(ROW()-ROW(MSPTasks[[#Headers],[ID]]))))))</f>
        <v/>
      </c>
      <c r="W146" s="130" t="str">
        <f aca="false">IF(IFERROR(INDEX(tsk_Name,(ROW()-ROW(MSPTasks[[#Headers],[ID]])))="",TRUE()),"",IF(N(INDEX(tsk_Deadline,(ROW()-ROW(MSPTasks[[#Headers],[ID]]))))=0,"",INDEX(tsk_Deadline,(ROW()-ROW(MSPTasks[[#Headers],[ID]])))))</f>
        <v/>
      </c>
      <c r="X146" s="24" t="str">
        <f aca="false">IF(IFERROR(INDEX(tsk_Name,(ROW()-ROW(MSPTasks[[#Headers],[ID]])))="",TRUE()),"",IF(INDEX(tsk_IsSummary,(ROW()-ROW(MSPTasks[[#Headers],[ID]]))),"",INDEX(tsk_Sprint,(ROW()-ROW(MSPTasks[[#Headers],[ID]])))&amp;""))</f>
        <v/>
      </c>
      <c r="Y146" s="24" t="str">
        <f aca="false">IF(IFERROR(INDEX(tsk_Name,(ROW()-ROW(MSPTasks[[#Headers],[ID]])))="",TRUE()),"",IF(INDEX(tsk_IsSummary,(ROW()-ROW(MSPTasks[[#Headers],[ID]]))),"",IF(N(INDEX(tsk_StoryPoints,(ROW()-ROW(MSPTasks[[#Headers],[ID]]))))=0,"",INDEX(tsk_StoryPoints,(ROW()-ROW(MSPTasks[[#Headers],[ID]]))))))</f>
        <v/>
      </c>
      <c r="Z146" s="24" t="str">
        <f aca="false">IF(IFERROR(INDEX(tsk_Name,(ROW()-ROW(MSPTasks[[#Headers],[ID]])))="",TRUE()),"",INDEX(tsk_Notes,(ROW()-ROW(MSPTasks[[#Headers],[ID]])))&amp;"")</f>
        <v/>
      </c>
    </row>
    <row r="147" customFormat="false" ht="15" hidden="false" customHeight="false" outlineLevel="0" collapsed="false">
      <c r="A147" s="24" t="str">
        <f aca="false">IF(IFERROR(INDEX(tsk_Name,(ROW()-ROW(MSPTasks[[#Headers],[ID]])))="",TRUE()),"",INDEX(tsk_ID,(ROW()-ROW(MSPTasks[[#Headers],[ID]]))))</f>
        <v/>
      </c>
      <c r="B147" s="24" t="str">
        <f aca="false">IF(IFERROR(INDEX(tsk_Name,(ROW()-ROW(MSPTasks[[#Headers],[ID]])))="",TRUE()),"",INDEX(tsk_UID,(ROW()-ROW(MSPTasks[[#Headers],[ID]]))))</f>
        <v/>
      </c>
      <c r="C147" s="24" t="str">
        <f aca="false">IF(IFERROR(INDEX(tsk_Name,(ROW()-ROW(MSPTasks[[#Headers],[ID]])))="",TRUE()),"",INDEX(tsk_Name,(ROW()-ROW(MSPTasks[[#Headers],[ID]]))))</f>
        <v/>
      </c>
      <c r="D147" s="24" t="str">
        <f aca="false">IF(IFERROR(INDEX(tsk_Name,(ROW()-ROW(MSPTasks[[#Headers],[ID]])))="",TRUE()),"",INDEX(tsk_Level,(ROW()-ROW(MSPTasks[[#Headers],[ID]]))))</f>
        <v/>
      </c>
      <c r="E147" s="24" t="str">
        <f aca="false">IF(IFERROR(INDEX(tsk_Name,(ROW()-ROW(MSPTasks[[#Headers],[ID]])))="",TRUE()),"",IF(INDEX(tsk_Mode,(ROW()-ROW(MSPTasks[[#Headers],[ID]])))="Manual","Manually Scheduled","Auto Scheduled"))</f>
        <v/>
      </c>
      <c r="F147" s="24" t="str">
        <f aca="false">IF(IFERROR(INDEX(tsk_Name,(ROW()-ROW(MSPTasks[[#Headers],[ID]])))="",TRUE()),"",IF(INDEX(tsk_IsSummary,(ROW()-ROW(MSPTasks[[#Headers],[ID]]))),"",N(INDEX(tsk_Duration,(ROW()-ROW(MSPTasks[[#Headers],[ID]]))))&amp;"d"))</f>
        <v/>
      </c>
      <c r="G147" s="130" t="str">
        <f aca="false">IF(IFERROR(INDEX(tsk_Name,(ROW()-ROW(MSPTasks[[#Headers],[ID]])))="",TRUE()),"",INDEX(tsk_FcStart,(ROW()-ROW(MSPTasks[[#Headers],[ID]]))))</f>
        <v/>
      </c>
      <c r="H147" s="130" t="str">
        <f aca="false">IF(IFERROR(INDEX(tsk_Name,(ROW()-ROW(MSPTasks[[#Headers],[ID]])))="",TRUE()),"",INDEX(tsk_FcFinish,(ROW()-ROW(MSPTasks[[#Headers],[ID]]))))</f>
        <v/>
      </c>
      <c r="I147" s="24" t="str">
        <f aca="false">IF(IFERROR(INDEX(tsk_Name,(ROW()-ROW(MSPTasks[[#Headers],[ID]])))="",TRUE()),"",IF(INDEX(tsk_IsSummary,(ROW()-ROW(MSPTasks[[#Headers],[ID]]))),"",INDEX(tsk_Predecessors,(ROW()-ROW(MSPTasks[[#Headers],[ID]])))))</f>
        <v/>
      </c>
      <c r="J147" s="24" t="str">
        <f aca="false">IF(IFERROR(INDEX(tsk_Name,(ROW()-ROW(MSPTasks[[#Headers],[ID]])))="",TRUE()),"",IF(INDEX(tsk_IsSummary,(ROW()-ROW(MSPTasks[[#Headers],[ID]]))),"",INDEX(tsk_UIDPredecessors,(ROW()-ROW(MSPTasks[[#Headers],[ID]])))))</f>
        <v/>
      </c>
      <c r="K1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7" s="24" t="str">
        <f aca="false">IF(IFERROR(INDEX(tsk_Name,(ROW()-ROW(MSPTasks[[#Headers],[ID]])))="",TRUE()),"",IF(INDEX(tsk_IsSummary,(ROW()-ROW(MSPTasks[[#Headers],[ID]]))),"",ROUND(INDEX(tsk_Progress,(ROW()-ROW(MSPTasks[[#Headers],[ID]])))*100,0)))</f>
        <v/>
      </c>
      <c r="M147" s="130" t="str">
        <f aca="false">IF(IFERROR(INDEX(tsk_Name,(ROW()-ROW(MSPTasks[[#Headers],[ID]])))="",TRUE()),"",IF(N(INDEX(tsk_ActStart,(ROW()-ROW(MSPTasks[[#Headers],[ID]]))))=0,"",INDEX(tsk_ActStart,(ROW()-ROW(MSPTasks[[#Headers],[ID]])))))</f>
        <v/>
      </c>
      <c r="N147" s="130" t="str">
        <f aca="false">IF(IFERROR(INDEX(tsk_Name,(ROW()-ROW(MSPTasks[[#Headers],[ID]])))="",TRUE()),"",IF(N(INDEX(tsk_ActFinish,(ROW()-ROW(MSPTasks[[#Headers],[ID]]))))=0,"",INDEX(tsk_ActFinish,(ROW()-ROW(MSPTasks[[#Headers],[ID]])))))</f>
        <v/>
      </c>
      <c r="O147" s="130" t="str">
        <f aca="false">IF(IFERROR(INDEX(tsk_Name,(ROW()-ROW(MSPTasks[[#Headers],[ID]])))="",TRUE()),"",INDEX(tsk_PlanStart,(ROW()-ROW(MSPTasks[[#Headers],[ID]]))))</f>
        <v/>
      </c>
      <c r="P147" s="130" t="str">
        <f aca="false">IF(IFERROR(INDEX(tsk_Name,(ROW()-ROW(MSPTasks[[#Headers],[ID]])))="",TRUE()),"",INDEX(tsk_PlanFinish,(ROW()-ROW(MSPTasks[[#Headers],[ID]]))))</f>
        <v/>
      </c>
      <c r="Q147" s="24" t="str">
        <f aca="false">IF(IFERROR(INDEX(tsk_Name,(ROW()-ROW(MSPTasks[[#Headers],[ID]])))="",TRUE()),"",IF(INDEX(tsk_BaseDuration,(ROW()-ROW(MSPTasks[[#Headers],[ID]])))="","",N(INDEX(tsk_BaseDuration,(ROW()-ROW(MSPTasks[[#Headers],[ID]]))))&amp;"d"))</f>
        <v/>
      </c>
      <c r="R147" s="24" t="str">
        <f aca="false">IF(IFERROR(INDEX(tsk_Name,(ROW()-ROW(MSPTasks[[#Headers],[ID]])))="",TRUE()),"",IF(INDEX(tsk_BaseWork,(ROW()-ROW(MSPTasks[[#Headers],[ID]])))="","",N(INDEX(tsk_BaseWork,(ROW()-ROW(MSPTasks[[#Headers],[ID]]))))&amp;"h"))</f>
        <v/>
      </c>
      <c r="S147" s="24" t="str">
        <f aca="false">IF(IFERROR(INDEX(tsk_Name,(ROW()-ROW(MSPTasks[[#Headers],[ID]])))="",TRUE()),"",IF(INDEX(tsk_BaseCost,(ROW()-ROW(MSPTasks[[#Headers],[ID]])))="","",N(INDEX(tsk_BaseCost,(ROW()-ROW(MSPTasks[[#Headers],[ID]]))))))</f>
        <v/>
      </c>
      <c r="T147" s="24" t="str">
        <f aca="false">IF(IFERROR(INDEX(tsk_Name,(ROW()-ROW(MSPTasks[[#Headers],[ID]])))="",TRUE()),"",IF(INDEX(tsk_IsSummary,(ROW()-ROW(MSPTasks[[#Headers],[ID]]))),"",IF(N(INDEX(tsk_ActCostInput,(ROW()-ROW(MSPTasks[[#Headers],[ID]]))))=0,"",INDEX(tsk_ActCostInput,(ROW()-ROW(MSPTasks[[#Headers],[ID]]))))))</f>
        <v/>
      </c>
      <c r="U147" s="24" t="str">
        <f aca="false">IF(IFERROR(INDEX(tsk_Name,(ROW()-ROW(MSPTasks[[#Headers],[ID]])))="",TRUE()),"",IF(INDEX(tsk_IsSummary,(ROW()-ROW(MSPTasks[[#Headers],[ID]]))),"",IF(AND(INDEX(tsk_Mode,(ROW()-ROW(MSPTasks[[#Headers],[ID]])))&lt;&gt;"Manual",N(INDEX(tsk_Constraint,(ROW()-ROW(MSPTasks[[#Headers],[ID]]))))&gt;0),"Start No Earlier Than","As Soon As Possible")))</f>
        <v/>
      </c>
      <c r="V147" s="130" t="str">
        <f aca="false">IF(IFERROR(INDEX(tsk_Name,(ROW()-ROW(MSPTasks[[#Headers],[ID]])))="",TRUE()),"",IF(OR(INDEX(tsk_IsSummary,(ROW()-ROW(MSPTasks[[#Headers],[ID]]))),INDEX(tsk_Mode,(ROW()-ROW(MSPTasks[[#Headers],[ID]])))="Manual"),"",IF(N(INDEX(tsk_Constraint,(ROW()-ROW(MSPTasks[[#Headers],[ID]]))))=0,"",INDEX(tsk_Constraint,(ROW()-ROW(MSPTasks[[#Headers],[ID]]))))))</f>
        <v/>
      </c>
      <c r="W147" s="130" t="str">
        <f aca="false">IF(IFERROR(INDEX(tsk_Name,(ROW()-ROW(MSPTasks[[#Headers],[ID]])))="",TRUE()),"",IF(N(INDEX(tsk_Deadline,(ROW()-ROW(MSPTasks[[#Headers],[ID]]))))=0,"",INDEX(tsk_Deadline,(ROW()-ROW(MSPTasks[[#Headers],[ID]])))))</f>
        <v/>
      </c>
      <c r="X147" s="24" t="str">
        <f aca="false">IF(IFERROR(INDEX(tsk_Name,(ROW()-ROW(MSPTasks[[#Headers],[ID]])))="",TRUE()),"",IF(INDEX(tsk_IsSummary,(ROW()-ROW(MSPTasks[[#Headers],[ID]]))),"",INDEX(tsk_Sprint,(ROW()-ROW(MSPTasks[[#Headers],[ID]])))&amp;""))</f>
        <v/>
      </c>
      <c r="Y147" s="24" t="str">
        <f aca="false">IF(IFERROR(INDEX(tsk_Name,(ROW()-ROW(MSPTasks[[#Headers],[ID]])))="",TRUE()),"",IF(INDEX(tsk_IsSummary,(ROW()-ROW(MSPTasks[[#Headers],[ID]]))),"",IF(N(INDEX(tsk_StoryPoints,(ROW()-ROW(MSPTasks[[#Headers],[ID]]))))=0,"",INDEX(tsk_StoryPoints,(ROW()-ROW(MSPTasks[[#Headers],[ID]]))))))</f>
        <v/>
      </c>
      <c r="Z147" s="24" t="str">
        <f aca="false">IF(IFERROR(INDEX(tsk_Name,(ROW()-ROW(MSPTasks[[#Headers],[ID]])))="",TRUE()),"",INDEX(tsk_Notes,(ROW()-ROW(MSPTasks[[#Headers],[ID]])))&amp;"")</f>
        <v/>
      </c>
    </row>
    <row r="148" customFormat="false" ht="15" hidden="false" customHeight="false" outlineLevel="0" collapsed="false">
      <c r="A148" s="24" t="str">
        <f aca="false">IF(IFERROR(INDEX(tsk_Name,(ROW()-ROW(MSPTasks[[#Headers],[ID]])))="",TRUE()),"",INDEX(tsk_ID,(ROW()-ROW(MSPTasks[[#Headers],[ID]]))))</f>
        <v/>
      </c>
      <c r="B148" s="24" t="str">
        <f aca="false">IF(IFERROR(INDEX(tsk_Name,(ROW()-ROW(MSPTasks[[#Headers],[ID]])))="",TRUE()),"",INDEX(tsk_UID,(ROW()-ROW(MSPTasks[[#Headers],[ID]]))))</f>
        <v/>
      </c>
      <c r="C148" s="24" t="str">
        <f aca="false">IF(IFERROR(INDEX(tsk_Name,(ROW()-ROW(MSPTasks[[#Headers],[ID]])))="",TRUE()),"",INDEX(tsk_Name,(ROW()-ROW(MSPTasks[[#Headers],[ID]]))))</f>
        <v/>
      </c>
      <c r="D148" s="24" t="str">
        <f aca="false">IF(IFERROR(INDEX(tsk_Name,(ROW()-ROW(MSPTasks[[#Headers],[ID]])))="",TRUE()),"",INDEX(tsk_Level,(ROW()-ROW(MSPTasks[[#Headers],[ID]]))))</f>
        <v/>
      </c>
      <c r="E148" s="24" t="str">
        <f aca="false">IF(IFERROR(INDEX(tsk_Name,(ROW()-ROW(MSPTasks[[#Headers],[ID]])))="",TRUE()),"",IF(INDEX(tsk_Mode,(ROW()-ROW(MSPTasks[[#Headers],[ID]])))="Manual","Manually Scheduled","Auto Scheduled"))</f>
        <v/>
      </c>
      <c r="F148" s="24" t="str">
        <f aca="false">IF(IFERROR(INDEX(tsk_Name,(ROW()-ROW(MSPTasks[[#Headers],[ID]])))="",TRUE()),"",IF(INDEX(tsk_IsSummary,(ROW()-ROW(MSPTasks[[#Headers],[ID]]))),"",N(INDEX(tsk_Duration,(ROW()-ROW(MSPTasks[[#Headers],[ID]]))))&amp;"d"))</f>
        <v/>
      </c>
      <c r="G148" s="130" t="str">
        <f aca="false">IF(IFERROR(INDEX(tsk_Name,(ROW()-ROW(MSPTasks[[#Headers],[ID]])))="",TRUE()),"",INDEX(tsk_FcStart,(ROW()-ROW(MSPTasks[[#Headers],[ID]]))))</f>
        <v/>
      </c>
      <c r="H148" s="130" t="str">
        <f aca="false">IF(IFERROR(INDEX(tsk_Name,(ROW()-ROW(MSPTasks[[#Headers],[ID]])))="",TRUE()),"",INDEX(tsk_FcFinish,(ROW()-ROW(MSPTasks[[#Headers],[ID]]))))</f>
        <v/>
      </c>
      <c r="I148" s="24" t="str">
        <f aca="false">IF(IFERROR(INDEX(tsk_Name,(ROW()-ROW(MSPTasks[[#Headers],[ID]])))="",TRUE()),"",IF(INDEX(tsk_IsSummary,(ROW()-ROW(MSPTasks[[#Headers],[ID]]))),"",INDEX(tsk_Predecessors,(ROW()-ROW(MSPTasks[[#Headers],[ID]])))))</f>
        <v/>
      </c>
      <c r="J148" s="24" t="str">
        <f aca="false">IF(IFERROR(INDEX(tsk_Name,(ROW()-ROW(MSPTasks[[#Headers],[ID]])))="",TRUE()),"",IF(INDEX(tsk_IsSummary,(ROW()-ROW(MSPTasks[[#Headers],[ID]]))),"",INDEX(tsk_UIDPredecessors,(ROW()-ROW(MSPTasks[[#Headers],[ID]])))))</f>
        <v/>
      </c>
      <c r="K1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8" s="24" t="str">
        <f aca="false">IF(IFERROR(INDEX(tsk_Name,(ROW()-ROW(MSPTasks[[#Headers],[ID]])))="",TRUE()),"",IF(INDEX(tsk_IsSummary,(ROW()-ROW(MSPTasks[[#Headers],[ID]]))),"",ROUND(INDEX(tsk_Progress,(ROW()-ROW(MSPTasks[[#Headers],[ID]])))*100,0)))</f>
        <v/>
      </c>
      <c r="M148" s="130" t="str">
        <f aca="false">IF(IFERROR(INDEX(tsk_Name,(ROW()-ROW(MSPTasks[[#Headers],[ID]])))="",TRUE()),"",IF(N(INDEX(tsk_ActStart,(ROW()-ROW(MSPTasks[[#Headers],[ID]]))))=0,"",INDEX(tsk_ActStart,(ROW()-ROW(MSPTasks[[#Headers],[ID]])))))</f>
        <v/>
      </c>
      <c r="N148" s="130" t="str">
        <f aca="false">IF(IFERROR(INDEX(tsk_Name,(ROW()-ROW(MSPTasks[[#Headers],[ID]])))="",TRUE()),"",IF(N(INDEX(tsk_ActFinish,(ROW()-ROW(MSPTasks[[#Headers],[ID]]))))=0,"",INDEX(tsk_ActFinish,(ROW()-ROW(MSPTasks[[#Headers],[ID]])))))</f>
        <v/>
      </c>
      <c r="O148" s="130" t="str">
        <f aca="false">IF(IFERROR(INDEX(tsk_Name,(ROW()-ROW(MSPTasks[[#Headers],[ID]])))="",TRUE()),"",INDEX(tsk_PlanStart,(ROW()-ROW(MSPTasks[[#Headers],[ID]]))))</f>
        <v/>
      </c>
      <c r="P148" s="130" t="str">
        <f aca="false">IF(IFERROR(INDEX(tsk_Name,(ROW()-ROW(MSPTasks[[#Headers],[ID]])))="",TRUE()),"",INDEX(tsk_PlanFinish,(ROW()-ROW(MSPTasks[[#Headers],[ID]]))))</f>
        <v/>
      </c>
      <c r="Q148" s="24" t="str">
        <f aca="false">IF(IFERROR(INDEX(tsk_Name,(ROW()-ROW(MSPTasks[[#Headers],[ID]])))="",TRUE()),"",IF(INDEX(tsk_BaseDuration,(ROW()-ROW(MSPTasks[[#Headers],[ID]])))="","",N(INDEX(tsk_BaseDuration,(ROW()-ROW(MSPTasks[[#Headers],[ID]]))))&amp;"d"))</f>
        <v/>
      </c>
      <c r="R148" s="24" t="str">
        <f aca="false">IF(IFERROR(INDEX(tsk_Name,(ROW()-ROW(MSPTasks[[#Headers],[ID]])))="",TRUE()),"",IF(INDEX(tsk_BaseWork,(ROW()-ROW(MSPTasks[[#Headers],[ID]])))="","",N(INDEX(tsk_BaseWork,(ROW()-ROW(MSPTasks[[#Headers],[ID]]))))&amp;"h"))</f>
        <v/>
      </c>
      <c r="S148" s="24" t="str">
        <f aca="false">IF(IFERROR(INDEX(tsk_Name,(ROW()-ROW(MSPTasks[[#Headers],[ID]])))="",TRUE()),"",IF(INDEX(tsk_BaseCost,(ROW()-ROW(MSPTasks[[#Headers],[ID]])))="","",N(INDEX(tsk_BaseCost,(ROW()-ROW(MSPTasks[[#Headers],[ID]]))))))</f>
        <v/>
      </c>
      <c r="T148" s="24" t="str">
        <f aca="false">IF(IFERROR(INDEX(tsk_Name,(ROW()-ROW(MSPTasks[[#Headers],[ID]])))="",TRUE()),"",IF(INDEX(tsk_IsSummary,(ROW()-ROW(MSPTasks[[#Headers],[ID]]))),"",IF(N(INDEX(tsk_ActCostInput,(ROW()-ROW(MSPTasks[[#Headers],[ID]]))))=0,"",INDEX(tsk_ActCostInput,(ROW()-ROW(MSPTasks[[#Headers],[ID]]))))))</f>
        <v/>
      </c>
      <c r="U148" s="24" t="str">
        <f aca="false">IF(IFERROR(INDEX(tsk_Name,(ROW()-ROW(MSPTasks[[#Headers],[ID]])))="",TRUE()),"",IF(INDEX(tsk_IsSummary,(ROW()-ROW(MSPTasks[[#Headers],[ID]]))),"",IF(AND(INDEX(tsk_Mode,(ROW()-ROW(MSPTasks[[#Headers],[ID]])))&lt;&gt;"Manual",N(INDEX(tsk_Constraint,(ROW()-ROW(MSPTasks[[#Headers],[ID]]))))&gt;0),"Start No Earlier Than","As Soon As Possible")))</f>
        <v/>
      </c>
      <c r="V148" s="130" t="str">
        <f aca="false">IF(IFERROR(INDEX(tsk_Name,(ROW()-ROW(MSPTasks[[#Headers],[ID]])))="",TRUE()),"",IF(OR(INDEX(tsk_IsSummary,(ROW()-ROW(MSPTasks[[#Headers],[ID]]))),INDEX(tsk_Mode,(ROW()-ROW(MSPTasks[[#Headers],[ID]])))="Manual"),"",IF(N(INDEX(tsk_Constraint,(ROW()-ROW(MSPTasks[[#Headers],[ID]]))))=0,"",INDEX(tsk_Constraint,(ROW()-ROW(MSPTasks[[#Headers],[ID]]))))))</f>
        <v/>
      </c>
      <c r="W148" s="130" t="str">
        <f aca="false">IF(IFERROR(INDEX(tsk_Name,(ROW()-ROW(MSPTasks[[#Headers],[ID]])))="",TRUE()),"",IF(N(INDEX(tsk_Deadline,(ROW()-ROW(MSPTasks[[#Headers],[ID]]))))=0,"",INDEX(tsk_Deadline,(ROW()-ROW(MSPTasks[[#Headers],[ID]])))))</f>
        <v/>
      </c>
      <c r="X148" s="24" t="str">
        <f aca="false">IF(IFERROR(INDEX(tsk_Name,(ROW()-ROW(MSPTasks[[#Headers],[ID]])))="",TRUE()),"",IF(INDEX(tsk_IsSummary,(ROW()-ROW(MSPTasks[[#Headers],[ID]]))),"",INDEX(tsk_Sprint,(ROW()-ROW(MSPTasks[[#Headers],[ID]])))&amp;""))</f>
        <v/>
      </c>
      <c r="Y148" s="24" t="str">
        <f aca="false">IF(IFERROR(INDEX(tsk_Name,(ROW()-ROW(MSPTasks[[#Headers],[ID]])))="",TRUE()),"",IF(INDEX(tsk_IsSummary,(ROW()-ROW(MSPTasks[[#Headers],[ID]]))),"",IF(N(INDEX(tsk_StoryPoints,(ROW()-ROW(MSPTasks[[#Headers],[ID]]))))=0,"",INDEX(tsk_StoryPoints,(ROW()-ROW(MSPTasks[[#Headers],[ID]]))))))</f>
        <v/>
      </c>
      <c r="Z148" s="24" t="str">
        <f aca="false">IF(IFERROR(INDEX(tsk_Name,(ROW()-ROW(MSPTasks[[#Headers],[ID]])))="",TRUE()),"",INDEX(tsk_Notes,(ROW()-ROW(MSPTasks[[#Headers],[ID]])))&amp;"")</f>
        <v/>
      </c>
    </row>
    <row r="149" customFormat="false" ht="15" hidden="false" customHeight="false" outlineLevel="0" collapsed="false">
      <c r="A149" s="24" t="str">
        <f aca="false">IF(IFERROR(INDEX(tsk_Name,(ROW()-ROW(MSPTasks[[#Headers],[ID]])))="",TRUE()),"",INDEX(tsk_ID,(ROW()-ROW(MSPTasks[[#Headers],[ID]]))))</f>
        <v/>
      </c>
      <c r="B149" s="24" t="str">
        <f aca="false">IF(IFERROR(INDEX(tsk_Name,(ROW()-ROW(MSPTasks[[#Headers],[ID]])))="",TRUE()),"",INDEX(tsk_UID,(ROW()-ROW(MSPTasks[[#Headers],[ID]]))))</f>
        <v/>
      </c>
      <c r="C149" s="24" t="str">
        <f aca="false">IF(IFERROR(INDEX(tsk_Name,(ROW()-ROW(MSPTasks[[#Headers],[ID]])))="",TRUE()),"",INDEX(tsk_Name,(ROW()-ROW(MSPTasks[[#Headers],[ID]]))))</f>
        <v/>
      </c>
      <c r="D149" s="24" t="str">
        <f aca="false">IF(IFERROR(INDEX(tsk_Name,(ROW()-ROW(MSPTasks[[#Headers],[ID]])))="",TRUE()),"",INDEX(tsk_Level,(ROW()-ROW(MSPTasks[[#Headers],[ID]]))))</f>
        <v/>
      </c>
      <c r="E149" s="24" t="str">
        <f aca="false">IF(IFERROR(INDEX(tsk_Name,(ROW()-ROW(MSPTasks[[#Headers],[ID]])))="",TRUE()),"",IF(INDEX(tsk_Mode,(ROW()-ROW(MSPTasks[[#Headers],[ID]])))="Manual","Manually Scheduled","Auto Scheduled"))</f>
        <v/>
      </c>
      <c r="F149" s="24" t="str">
        <f aca="false">IF(IFERROR(INDEX(tsk_Name,(ROW()-ROW(MSPTasks[[#Headers],[ID]])))="",TRUE()),"",IF(INDEX(tsk_IsSummary,(ROW()-ROW(MSPTasks[[#Headers],[ID]]))),"",N(INDEX(tsk_Duration,(ROW()-ROW(MSPTasks[[#Headers],[ID]]))))&amp;"d"))</f>
        <v/>
      </c>
      <c r="G149" s="130" t="str">
        <f aca="false">IF(IFERROR(INDEX(tsk_Name,(ROW()-ROW(MSPTasks[[#Headers],[ID]])))="",TRUE()),"",INDEX(tsk_FcStart,(ROW()-ROW(MSPTasks[[#Headers],[ID]]))))</f>
        <v/>
      </c>
      <c r="H149" s="130" t="str">
        <f aca="false">IF(IFERROR(INDEX(tsk_Name,(ROW()-ROW(MSPTasks[[#Headers],[ID]])))="",TRUE()),"",INDEX(tsk_FcFinish,(ROW()-ROW(MSPTasks[[#Headers],[ID]]))))</f>
        <v/>
      </c>
      <c r="I149" s="24" t="str">
        <f aca="false">IF(IFERROR(INDEX(tsk_Name,(ROW()-ROW(MSPTasks[[#Headers],[ID]])))="",TRUE()),"",IF(INDEX(tsk_IsSummary,(ROW()-ROW(MSPTasks[[#Headers],[ID]]))),"",INDEX(tsk_Predecessors,(ROW()-ROW(MSPTasks[[#Headers],[ID]])))))</f>
        <v/>
      </c>
      <c r="J149" s="24" t="str">
        <f aca="false">IF(IFERROR(INDEX(tsk_Name,(ROW()-ROW(MSPTasks[[#Headers],[ID]])))="",TRUE()),"",IF(INDEX(tsk_IsSummary,(ROW()-ROW(MSPTasks[[#Headers],[ID]]))),"",INDEX(tsk_UIDPredecessors,(ROW()-ROW(MSPTasks[[#Headers],[ID]])))))</f>
        <v/>
      </c>
      <c r="K1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9" s="24" t="str">
        <f aca="false">IF(IFERROR(INDEX(tsk_Name,(ROW()-ROW(MSPTasks[[#Headers],[ID]])))="",TRUE()),"",IF(INDEX(tsk_IsSummary,(ROW()-ROW(MSPTasks[[#Headers],[ID]]))),"",ROUND(INDEX(tsk_Progress,(ROW()-ROW(MSPTasks[[#Headers],[ID]])))*100,0)))</f>
        <v/>
      </c>
      <c r="M149" s="130" t="str">
        <f aca="false">IF(IFERROR(INDEX(tsk_Name,(ROW()-ROW(MSPTasks[[#Headers],[ID]])))="",TRUE()),"",IF(N(INDEX(tsk_ActStart,(ROW()-ROW(MSPTasks[[#Headers],[ID]]))))=0,"",INDEX(tsk_ActStart,(ROW()-ROW(MSPTasks[[#Headers],[ID]])))))</f>
        <v/>
      </c>
      <c r="N149" s="130" t="str">
        <f aca="false">IF(IFERROR(INDEX(tsk_Name,(ROW()-ROW(MSPTasks[[#Headers],[ID]])))="",TRUE()),"",IF(N(INDEX(tsk_ActFinish,(ROW()-ROW(MSPTasks[[#Headers],[ID]]))))=0,"",INDEX(tsk_ActFinish,(ROW()-ROW(MSPTasks[[#Headers],[ID]])))))</f>
        <v/>
      </c>
      <c r="O149" s="130" t="str">
        <f aca="false">IF(IFERROR(INDEX(tsk_Name,(ROW()-ROW(MSPTasks[[#Headers],[ID]])))="",TRUE()),"",INDEX(tsk_PlanStart,(ROW()-ROW(MSPTasks[[#Headers],[ID]]))))</f>
        <v/>
      </c>
      <c r="P149" s="130" t="str">
        <f aca="false">IF(IFERROR(INDEX(tsk_Name,(ROW()-ROW(MSPTasks[[#Headers],[ID]])))="",TRUE()),"",INDEX(tsk_PlanFinish,(ROW()-ROW(MSPTasks[[#Headers],[ID]]))))</f>
        <v/>
      </c>
      <c r="Q149" s="24" t="str">
        <f aca="false">IF(IFERROR(INDEX(tsk_Name,(ROW()-ROW(MSPTasks[[#Headers],[ID]])))="",TRUE()),"",IF(INDEX(tsk_BaseDuration,(ROW()-ROW(MSPTasks[[#Headers],[ID]])))="","",N(INDEX(tsk_BaseDuration,(ROW()-ROW(MSPTasks[[#Headers],[ID]]))))&amp;"d"))</f>
        <v/>
      </c>
      <c r="R149" s="24" t="str">
        <f aca="false">IF(IFERROR(INDEX(tsk_Name,(ROW()-ROW(MSPTasks[[#Headers],[ID]])))="",TRUE()),"",IF(INDEX(tsk_BaseWork,(ROW()-ROW(MSPTasks[[#Headers],[ID]])))="","",N(INDEX(tsk_BaseWork,(ROW()-ROW(MSPTasks[[#Headers],[ID]]))))&amp;"h"))</f>
        <v/>
      </c>
      <c r="S149" s="24" t="str">
        <f aca="false">IF(IFERROR(INDEX(tsk_Name,(ROW()-ROW(MSPTasks[[#Headers],[ID]])))="",TRUE()),"",IF(INDEX(tsk_BaseCost,(ROW()-ROW(MSPTasks[[#Headers],[ID]])))="","",N(INDEX(tsk_BaseCost,(ROW()-ROW(MSPTasks[[#Headers],[ID]]))))))</f>
        <v/>
      </c>
      <c r="T149" s="24" t="str">
        <f aca="false">IF(IFERROR(INDEX(tsk_Name,(ROW()-ROW(MSPTasks[[#Headers],[ID]])))="",TRUE()),"",IF(INDEX(tsk_IsSummary,(ROW()-ROW(MSPTasks[[#Headers],[ID]]))),"",IF(N(INDEX(tsk_ActCostInput,(ROW()-ROW(MSPTasks[[#Headers],[ID]]))))=0,"",INDEX(tsk_ActCostInput,(ROW()-ROW(MSPTasks[[#Headers],[ID]]))))))</f>
        <v/>
      </c>
      <c r="U149" s="24" t="str">
        <f aca="false">IF(IFERROR(INDEX(tsk_Name,(ROW()-ROW(MSPTasks[[#Headers],[ID]])))="",TRUE()),"",IF(INDEX(tsk_IsSummary,(ROW()-ROW(MSPTasks[[#Headers],[ID]]))),"",IF(AND(INDEX(tsk_Mode,(ROW()-ROW(MSPTasks[[#Headers],[ID]])))&lt;&gt;"Manual",N(INDEX(tsk_Constraint,(ROW()-ROW(MSPTasks[[#Headers],[ID]]))))&gt;0),"Start No Earlier Than","As Soon As Possible")))</f>
        <v/>
      </c>
      <c r="V149" s="130" t="str">
        <f aca="false">IF(IFERROR(INDEX(tsk_Name,(ROW()-ROW(MSPTasks[[#Headers],[ID]])))="",TRUE()),"",IF(OR(INDEX(tsk_IsSummary,(ROW()-ROW(MSPTasks[[#Headers],[ID]]))),INDEX(tsk_Mode,(ROW()-ROW(MSPTasks[[#Headers],[ID]])))="Manual"),"",IF(N(INDEX(tsk_Constraint,(ROW()-ROW(MSPTasks[[#Headers],[ID]]))))=0,"",INDEX(tsk_Constraint,(ROW()-ROW(MSPTasks[[#Headers],[ID]]))))))</f>
        <v/>
      </c>
      <c r="W149" s="130" t="str">
        <f aca="false">IF(IFERROR(INDEX(tsk_Name,(ROW()-ROW(MSPTasks[[#Headers],[ID]])))="",TRUE()),"",IF(N(INDEX(tsk_Deadline,(ROW()-ROW(MSPTasks[[#Headers],[ID]]))))=0,"",INDEX(tsk_Deadline,(ROW()-ROW(MSPTasks[[#Headers],[ID]])))))</f>
        <v/>
      </c>
      <c r="X149" s="24" t="str">
        <f aca="false">IF(IFERROR(INDEX(tsk_Name,(ROW()-ROW(MSPTasks[[#Headers],[ID]])))="",TRUE()),"",IF(INDEX(tsk_IsSummary,(ROW()-ROW(MSPTasks[[#Headers],[ID]]))),"",INDEX(tsk_Sprint,(ROW()-ROW(MSPTasks[[#Headers],[ID]])))&amp;""))</f>
        <v/>
      </c>
      <c r="Y149" s="24" t="str">
        <f aca="false">IF(IFERROR(INDEX(tsk_Name,(ROW()-ROW(MSPTasks[[#Headers],[ID]])))="",TRUE()),"",IF(INDEX(tsk_IsSummary,(ROW()-ROW(MSPTasks[[#Headers],[ID]]))),"",IF(N(INDEX(tsk_StoryPoints,(ROW()-ROW(MSPTasks[[#Headers],[ID]]))))=0,"",INDEX(tsk_StoryPoints,(ROW()-ROW(MSPTasks[[#Headers],[ID]]))))))</f>
        <v/>
      </c>
      <c r="Z149" s="24" t="str">
        <f aca="false">IF(IFERROR(INDEX(tsk_Name,(ROW()-ROW(MSPTasks[[#Headers],[ID]])))="",TRUE()),"",INDEX(tsk_Notes,(ROW()-ROW(MSPTasks[[#Headers],[ID]])))&amp;"")</f>
        <v/>
      </c>
    </row>
    <row r="150" customFormat="false" ht="15" hidden="false" customHeight="false" outlineLevel="0" collapsed="false">
      <c r="A150" s="24" t="str">
        <f aca="false">IF(IFERROR(INDEX(tsk_Name,(ROW()-ROW(MSPTasks[[#Headers],[ID]])))="",TRUE()),"",INDEX(tsk_ID,(ROW()-ROW(MSPTasks[[#Headers],[ID]]))))</f>
        <v/>
      </c>
      <c r="B150" s="24" t="str">
        <f aca="false">IF(IFERROR(INDEX(tsk_Name,(ROW()-ROW(MSPTasks[[#Headers],[ID]])))="",TRUE()),"",INDEX(tsk_UID,(ROW()-ROW(MSPTasks[[#Headers],[ID]]))))</f>
        <v/>
      </c>
      <c r="C150" s="24" t="str">
        <f aca="false">IF(IFERROR(INDEX(tsk_Name,(ROW()-ROW(MSPTasks[[#Headers],[ID]])))="",TRUE()),"",INDEX(tsk_Name,(ROW()-ROW(MSPTasks[[#Headers],[ID]]))))</f>
        <v/>
      </c>
      <c r="D150" s="24" t="str">
        <f aca="false">IF(IFERROR(INDEX(tsk_Name,(ROW()-ROW(MSPTasks[[#Headers],[ID]])))="",TRUE()),"",INDEX(tsk_Level,(ROW()-ROW(MSPTasks[[#Headers],[ID]]))))</f>
        <v/>
      </c>
      <c r="E150" s="24" t="str">
        <f aca="false">IF(IFERROR(INDEX(tsk_Name,(ROW()-ROW(MSPTasks[[#Headers],[ID]])))="",TRUE()),"",IF(INDEX(tsk_Mode,(ROW()-ROW(MSPTasks[[#Headers],[ID]])))="Manual","Manually Scheduled","Auto Scheduled"))</f>
        <v/>
      </c>
      <c r="F150" s="24" t="str">
        <f aca="false">IF(IFERROR(INDEX(tsk_Name,(ROW()-ROW(MSPTasks[[#Headers],[ID]])))="",TRUE()),"",IF(INDEX(tsk_IsSummary,(ROW()-ROW(MSPTasks[[#Headers],[ID]]))),"",N(INDEX(tsk_Duration,(ROW()-ROW(MSPTasks[[#Headers],[ID]]))))&amp;"d"))</f>
        <v/>
      </c>
      <c r="G150" s="130" t="str">
        <f aca="false">IF(IFERROR(INDEX(tsk_Name,(ROW()-ROW(MSPTasks[[#Headers],[ID]])))="",TRUE()),"",INDEX(tsk_FcStart,(ROW()-ROW(MSPTasks[[#Headers],[ID]]))))</f>
        <v/>
      </c>
      <c r="H150" s="130" t="str">
        <f aca="false">IF(IFERROR(INDEX(tsk_Name,(ROW()-ROW(MSPTasks[[#Headers],[ID]])))="",TRUE()),"",INDEX(tsk_FcFinish,(ROW()-ROW(MSPTasks[[#Headers],[ID]]))))</f>
        <v/>
      </c>
      <c r="I150" s="24" t="str">
        <f aca="false">IF(IFERROR(INDEX(tsk_Name,(ROW()-ROW(MSPTasks[[#Headers],[ID]])))="",TRUE()),"",IF(INDEX(tsk_IsSummary,(ROW()-ROW(MSPTasks[[#Headers],[ID]]))),"",INDEX(tsk_Predecessors,(ROW()-ROW(MSPTasks[[#Headers],[ID]])))))</f>
        <v/>
      </c>
      <c r="J150" s="24" t="str">
        <f aca="false">IF(IFERROR(INDEX(tsk_Name,(ROW()-ROW(MSPTasks[[#Headers],[ID]])))="",TRUE()),"",IF(INDEX(tsk_IsSummary,(ROW()-ROW(MSPTasks[[#Headers],[ID]]))),"",INDEX(tsk_UIDPredecessors,(ROW()-ROW(MSPTasks[[#Headers],[ID]])))))</f>
        <v/>
      </c>
      <c r="K1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0" s="24" t="str">
        <f aca="false">IF(IFERROR(INDEX(tsk_Name,(ROW()-ROW(MSPTasks[[#Headers],[ID]])))="",TRUE()),"",IF(INDEX(tsk_IsSummary,(ROW()-ROW(MSPTasks[[#Headers],[ID]]))),"",ROUND(INDEX(tsk_Progress,(ROW()-ROW(MSPTasks[[#Headers],[ID]])))*100,0)))</f>
        <v/>
      </c>
      <c r="M150" s="130" t="str">
        <f aca="false">IF(IFERROR(INDEX(tsk_Name,(ROW()-ROW(MSPTasks[[#Headers],[ID]])))="",TRUE()),"",IF(N(INDEX(tsk_ActStart,(ROW()-ROW(MSPTasks[[#Headers],[ID]]))))=0,"",INDEX(tsk_ActStart,(ROW()-ROW(MSPTasks[[#Headers],[ID]])))))</f>
        <v/>
      </c>
      <c r="N150" s="130" t="str">
        <f aca="false">IF(IFERROR(INDEX(tsk_Name,(ROW()-ROW(MSPTasks[[#Headers],[ID]])))="",TRUE()),"",IF(N(INDEX(tsk_ActFinish,(ROW()-ROW(MSPTasks[[#Headers],[ID]]))))=0,"",INDEX(tsk_ActFinish,(ROW()-ROW(MSPTasks[[#Headers],[ID]])))))</f>
        <v/>
      </c>
      <c r="O150" s="130" t="str">
        <f aca="false">IF(IFERROR(INDEX(tsk_Name,(ROW()-ROW(MSPTasks[[#Headers],[ID]])))="",TRUE()),"",INDEX(tsk_PlanStart,(ROW()-ROW(MSPTasks[[#Headers],[ID]]))))</f>
        <v/>
      </c>
      <c r="P150" s="130" t="str">
        <f aca="false">IF(IFERROR(INDEX(tsk_Name,(ROW()-ROW(MSPTasks[[#Headers],[ID]])))="",TRUE()),"",INDEX(tsk_PlanFinish,(ROW()-ROW(MSPTasks[[#Headers],[ID]]))))</f>
        <v/>
      </c>
      <c r="Q150" s="24" t="str">
        <f aca="false">IF(IFERROR(INDEX(tsk_Name,(ROW()-ROW(MSPTasks[[#Headers],[ID]])))="",TRUE()),"",IF(INDEX(tsk_BaseDuration,(ROW()-ROW(MSPTasks[[#Headers],[ID]])))="","",N(INDEX(tsk_BaseDuration,(ROW()-ROW(MSPTasks[[#Headers],[ID]]))))&amp;"d"))</f>
        <v/>
      </c>
      <c r="R150" s="24" t="str">
        <f aca="false">IF(IFERROR(INDEX(tsk_Name,(ROW()-ROW(MSPTasks[[#Headers],[ID]])))="",TRUE()),"",IF(INDEX(tsk_BaseWork,(ROW()-ROW(MSPTasks[[#Headers],[ID]])))="","",N(INDEX(tsk_BaseWork,(ROW()-ROW(MSPTasks[[#Headers],[ID]]))))&amp;"h"))</f>
        <v/>
      </c>
      <c r="S150" s="24" t="str">
        <f aca="false">IF(IFERROR(INDEX(tsk_Name,(ROW()-ROW(MSPTasks[[#Headers],[ID]])))="",TRUE()),"",IF(INDEX(tsk_BaseCost,(ROW()-ROW(MSPTasks[[#Headers],[ID]])))="","",N(INDEX(tsk_BaseCost,(ROW()-ROW(MSPTasks[[#Headers],[ID]]))))))</f>
        <v/>
      </c>
      <c r="T150" s="24" t="str">
        <f aca="false">IF(IFERROR(INDEX(tsk_Name,(ROW()-ROW(MSPTasks[[#Headers],[ID]])))="",TRUE()),"",IF(INDEX(tsk_IsSummary,(ROW()-ROW(MSPTasks[[#Headers],[ID]]))),"",IF(N(INDEX(tsk_ActCostInput,(ROW()-ROW(MSPTasks[[#Headers],[ID]]))))=0,"",INDEX(tsk_ActCostInput,(ROW()-ROW(MSPTasks[[#Headers],[ID]]))))))</f>
        <v/>
      </c>
      <c r="U150" s="24" t="str">
        <f aca="false">IF(IFERROR(INDEX(tsk_Name,(ROW()-ROW(MSPTasks[[#Headers],[ID]])))="",TRUE()),"",IF(INDEX(tsk_IsSummary,(ROW()-ROW(MSPTasks[[#Headers],[ID]]))),"",IF(AND(INDEX(tsk_Mode,(ROW()-ROW(MSPTasks[[#Headers],[ID]])))&lt;&gt;"Manual",N(INDEX(tsk_Constraint,(ROW()-ROW(MSPTasks[[#Headers],[ID]]))))&gt;0),"Start No Earlier Than","As Soon As Possible")))</f>
        <v/>
      </c>
      <c r="V150" s="130" t="str">
        <f aca="false">IF(IFERROR(INDEX(tsk_Name,(ROW()-ROW(MSPTasks[[#Headers],[ID]])))="",TRUE()),"",IF(OR(INDEX(tsk_IsSummary,(ROW()-ROW(MSPTasks[[#Headers],[ID]]))),INDEX(tsk_Mode,(ROW()-ROW(MSPTasks[[#Headers],[ID]])))="Manual"),"",IF(N(INDEX(tsk_Constraint,(ROW()-ROW(MSPTasks[[#Headers],[ID]]))))=0,"",INDEX(tsk_Constraint,(ROW()-ROW(MSPTasks[[#Headers],[ID]]))))))</f>
        <v/>
      </c>
      <c r="W150" s="130" t="str">
        <f aca="false">IF(IFERROR(INDEX(tsk_Name,(ROW()-ROW(MSPTasks[[#Headers],[ID]])))="",TRUE()),"",IF(N(INDEX(tsk_Deadline,(ROW()-ROW(MSPTasks[[#Headers],[ID]]))))=0,"",INDEX(tsk_Deadline,(ROW()-ROW(MSPTasks[[#Headers],[ID]])))))</f>
        <v/>
      </c>
      <c r="X150" s="24" t="str">
        <f aca="false">IF(IFERROR(INDEX(tsk_Name,(ROW()-ROW(MSPTasks[[#Headers],[ID]])))="",TRUE()),"",IF(INDEX(tsk_IsSummary,(ROW()-ROW(MSPTasks[[#Headers],[ID]]))),"",INDEX(tsk_Sprint,(ROW()-ROW(MSPTasks[[#Headers],[ID]])))&amp;""))</f>
        <v/>
      </c>
      <c r="Y150" s="24" t="str">
        <f aca="false">IF(IFERROR(INDEX(tsk_Name,(ROW()-ROW(MSPTasks[[#Headers],[ID]])))="",TRUE()),"",IF(INDEX(tsk_IsSummary,(ROW()-ROW(MSPTasks[[#Headers],[ID]]))),"",IF(N(INDEX(tsk_StoryPoints,(ROW()-ROW(MSPTasks[[#Headers],[ID]]))))=0,"",INDEX(tsk_StoryPoints,(ROW()-ROW(MSPTasks[[#Headers],[ID]]))))))</f>
        <v/>
      </c>
      <c r="Z150" s="24" t="str">
        <f aca="false">IF(IFERROR(INDEX(tsk_Name,(ROW()-ROW(MSPTasks[[#Headers],[ID]])))="",TRUE()),"",INDEX(tsk_Notes,(ROW()-ROW(MSPTasks[[#Headers],[ID]])))&amp;"")</f>
        <v/>
      </c>
    </row>
    <row r="151" customFormat="false" ht="15" hidden="false" customHeight="false" outlineLevel="0" collapsed="false">
      <c r="A151" s="24" t="str">
        <f aca="false">IF(IFERROR(INDEX(tsk_Name,(ROW()-ROW(MSPTasks[[#Headers],[ID]])))="",TRUE()),"",INDEX(tsk_ID,(ROW()-ROW(MSPTasks[[#Headers],[ID]]))))</f>
        <v/>
      </c>
      <c r="B151" s="24" t="str">
        <f aca="false">IF(IFERROR(INDEX(tsk_Name,(ROW()-ROW(MSPTasks[[#Headers],[ID]])))="",TRUE()),"",INDEX(tsk_UID,(ROW()-ROW(MSPTasks[[#Headers],[ID]]))))</f>
        <v/>
      </c>
      <c r="C151" s="24" t="str">
        <f aca="false">IF(IFERROR(INDEX(tsk_Name,(ROW()-ROW(MSPTasks[[#Headers],[ID]])))="",TRUE()),"",INDEX(tsk_Name,(ROW()-ROW(MSPTasks[[#Headers],[ID]]))))</f>
        <v/>
      </c>
      <c r="D151" s="24" t="str">
        <f aca="false">IF(IFERROR(INDEX(tsk_Name,(ROW()-ROW(MSPTasks[[#Headers],[ID]])))="",TRUE()),"",INDEX(tsk_Level,(ROW()-ROW(MSPTasks[[#Headers],[ID]]))))</f>
        <v/>
      </c>
      <c r="E151" s="24" t="str">
        <f aca="false">IF(IFERROR(INDEX(tsk_Name,(ROW()-ROW(MSPTasks[[#Headers],[ID]])))="",TRUE()),"",IF(INDEX(tsk_Mode,(ROW()-ROW(MSPTasks[[#Headers],[ID]])))="Manual","Manually Scheduled","Auto Scheduled"))</f>
        <v/>
      </c>
      <c r="F151" s="24" t="str">
        <f aca="false">IF(IFERROR(INDEX(tsk_Name,(ROW()-ROW(MSPTasks[[#Headers],[ID]])))="",TRUE()),"",IF(INDEX(tsk_IsSummary,(ROW()-ROW(MSPTasks[[#Headers],[ID]]))),"",N(INDEX(tsk_Duration,(ROW()-ROW(MSPTasks[[#Headers],[ID]]))))&amp;"d"))</f>
        <v/>
      </c>
      <c r="G151" s="130" t="str">
        <f aca="false">IF(IFERROR(INDEX(tsk_Name,(ROW()-ROW(MSPTasks[[#Headers],[ID]])))="",TRUE()),"",INDEX(tsk_FcStart,(ROW()-ROW(MSPTasks[[#Headers],[ID]]))))</f>
        <v/>
      </c>
      <c r="H151" s="130" t="str">
        <f aca="false">IF(IFERROR(INDEX(tsk_Name,(ROW()-ROW(MSPTasks[[#Headers],[ID]])))="",TRUE()),"",INDEX(tsk_FcFinish,(ROW()-ROW(MSPTasks[[#Headers],[ID]]))))</f>
        <v/>
      </c>
      <c r="I151" s="24" t="str">
        <f aca="false">IF(IFERROR(INDEX(tsk_Name,(ROW()-ROW(MSPTasks[[#Headers],[ID]])))="",TRUE()),"",IF(INDEX(tsk_IsSummary,(ROW()-ROW(MSPTasks[[#Headers],[ID]]))),"",INDEX(tsk_Predecessors,(ROW()-ROW(MSPTasks[[#Headers],[ID]])))))</f>
        <v/>
      </c>
      <c r="J151" s="24" t="str">
        <f aca="false">IF(IFERROR(INDEX(tsk_Name,(ROW()-ROW(MSPTasks[[#Headers],[ID]])))="",TRUE()),"",IF(INDEX(tsk_IsSummary,(ROW()-ROW(MSPTasks[[#Headers],[ID]]))),"",INDEX(tsk_UIDPredecessors,(ROW()-ROW(MSPTasks[[#Headers],[ID]])))))</f>
        <v/>
      </c>
      <c r="K1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1" s="24" t="str">
        <f aca="false">IF(IFERROR(INDEX(tsk_Name,(ROW()-ROW(MSPTasks[[#Headers],[ID]])))="",TRUE()),"",IF(INDEX(tsk_IsSummary,(ROW()-ROW(MSPTasks[[#Headers],[ID]]))),"",ROUND(INDEX(tsk_Progress,(ROW()-ROW(MSPTasks[[#Headers],[ID]])))*100,0)))</f>
        <v/>
      </c>
      <c r="M151" s="130" t="str">
        <f aca="false">IF(IFERROR(INDEX(tsk_Name,(ROW()-ROW(MSPTasks[[#Headers],[ID]])))="",TRUE()),"",IF(N(INDEX(tsk_ActStart,(ROW()-ROW(MSPTasks[[#Headers],[ID]]))))=0,"",INDEX(tsk_ActStart,(ROW()-ROW(MSPTasks[[#Headers],[ID]])))))</f>
        <v/>
      </c>
      <c r="N151" s="130" t="str">
        <f aca="false">IF(IFERROR(INDEX(tsk_Name,(ROW()-ROW(MSPTasks[[#Headers],[ID]])))="",TRUE()),"",IF(N(INDEX(tsk_ActFinish,(ROW()-ROW(MSPTasks[[#Headers],[ID]]))))=0,"",INDEX(tsk_ActFinish,(ROW()-ROW(MSPTasks[[#Headers],[ID]])))))</f>
        <v/>
      </c>
      <c r="O151" s="130" t="str">
        <f aca="false">IF(IFERROR(INDEX(tsk_Name,(ROW()-ROW(MSPTasks[[#Headers],[ID]])))="",TRUE()),"",INDEX(tsk_PlanStart,(ROW()-ROW(MSPTasks[[#Headers],[ID]]))))</f>
        <v/>
      </c>
      <c r="P151" s="130" t="str">
        <f aca="false">IF(IFERROR(INDEX(tsk_Name,(ROW()-ROW(MSPTasks[[#Headers],[ID]])))="",TRUE()),"",INDEX(tsk_PlanFinish,(ROW()-ROW(MSPTasks[[#Headers],[ID]]))))</f>
        <v/>
      </c>
      <c r="Q151" s="24" t="str">
        <f aca="false">IF(IFERROR(INDEX(tsk_Name,(ROW()-ROW(MSPTasks[[#Headers],[ID]])))="",TRUE()),"",IF(INDEX(tsk_BaseDuration,(ROW()-ROW(MSPTasks[[#Headers],[ID]])))="","",N(INDEX(tsk_BaseDuration,(ROW()-ROW(MSPTasks[[#Headers],[ID]]))))&amp;"d"))</f>
        <v/>
      </c>
      <c r="R151" s="24" t="str">
        <f aca="false">IF(IFERROR(INDEX(tsk_Name,(ROW()-ROW(MSPTasks[[#Headers],[ID]])))="",TRUE()),"",IF(INDEX(tsk_BaseWork,(ROW()-ROW(MSPTasks[[#Headers],[ID]])))="","",N(INDEX(tsk_BaseWork,(ROW()-ROW(MSPTasks[[#Headers],[ID]]))))&amp;"h"))</f>
        <v/>
      </c>
      <c r="S151" s="24" t="str">
        <f aca="false">IF(IFERROR(INDEX(tsk_Name,(ROW()-ROW(MSPTasks[[#Headers],[ID]])))="",TRUE()),"",IF(INDEX(tsk_BaseCost,(ROW()-ROW(MSPTasks[[#Headers],[ID]])))="","",N(INDEX(tsk_BaseCost,(ROW()-ROW(MSPTasks[[#Headers],[ID]]))))))</f>
        <v/>
      </c>
      <c r="T151" s="24" t="str">
        <f aca="false">IF(IFERROR(INDEX(tsk_Name,(ROW()-ROW(MSPTasks[[#Headers],[ID]])))="",TRUE()),"",IF(INDEX(tsk_IsSummary,(ROW()-ROW(MSPTasks[[#Headers],[ID]]))),"",IF(N(INDEX(tsk_ActCostInput,(ROW()-ROW(MSPTasks[[#Headers],[ID]]))))=0,"",INDEX(tsk_ActCostInput,(ROW()-ROW(MSPTasks[[#Headers],[ID]]))))))</f>
        <v/>
      </c>
      <c r="U151" s="24" t="str">
        <f aca="false">IF(IFERROR(INDEX(tsk_Name,(ROW()-ROW(MSPTasks[[#Headers],[ID]])))="",TRUE()),"",IF(INDEX(tsk_IsSummary,(ROW()-ROW(MSPTasks[[#Headers],[ID]]))),"",IF(AND(INDEX(tsk_Mode,(ROW()-ROW(MSPTasks[[#Headers],[ID]])))&lt;&gt;"Manual",N(INDEX(tsk_Constraint,(ROW()-ROW(MSPTasks[[#Headers],[ID]]))))&gt;0),"Start No Earlier Than","As Soon As Possible")))</f>
        <v/>
      </c>
      <c r="V151" s="130" t="str">
        <f aca="false">IF(IFERROR(INDEX(tsk_Name,(ROW()-ROW(MSPTasks[[#Headers],[ID]])))="",TRUE()),"",IF(OR(INDEX(tsk_IsSummary,(ROW()-ROW(MSPTasks[[#Headers],[ID]]))),INDEX(tsk_Mode,(ROW()-ROW(MSPTasks[[#Headers],[ID]])))="Manual"),"",IF(N(INDEX(tsk_Constraint,(ROW()-ROW(MSPTasks[[#Headers],[ID]]))))=0,"",INDEX(tsk_Constraint,(ROW()-ROW(MSPTasks[[#Headers],[ID]]))))))</f>
        <v/>
      </c>
      <c r="W151" s="130" t="str">
        <f aca="false">IF(IFERROR(INDEX(tsk_Name,(ROW()-ROW(MSPTasks[[#Headers],[ID]])))="",TRUE()),"",IF(N(INDEX(tsk_Deadline,(ROW()-ROW(MSPTasks[[#Headers],[ID]]))))=0,"",INDEX(tsk_Deadline,(ROW()-ROW(MSPTasks[[#Headers],[ID]])))))</f>
        <v/>
      </c>
      <c r="X151" s="24" t="str">
        <f aca="false">IF(IFERROR(INDEX(tsk_Name,(ROW()-ROW(MSPTasks[[#Headers],[ID]])))="",TRUE()),"",IF(INDEX(tsk_IsSummary,(ROW()-ROW(MSPTasks[[#Headers],[ID]]))),"",INDEX(tsk_Sprint,(ROW()-ROW(MSPTasks[[#Headers],[ID]])))&amp;""))</f>
        <v/>
      </c>
      <c r="Y151" s="24" t="str">
        <f aca="false">IF(IFERROR(INDEX(tsk_Name,(ROW()-ROW(MSPTasks[[#Headers],[ID]])))="",TRUE()),"",IF(INDEX(tsk_IsSummary,(ROW()-ROW(MSPTasks[[#Headers],[ID]]))),"",IF(N(INDEX(tsk_StoryPoints,(ROW()-ROW(MSPTasks[[#Headers],[ID]]))))=0,"",INDEX(tsk_StoryPoints,(ROW()-ROW(MSPTasks[[#Headers],[ID]]))))))</f>
        <v/>
      </c>
      <c r="Z151" s="24" t="str">
        <f aca="false">IF(IFERROR(INDEX(tsk_Name,(ROW()-ROW(MSPTasks[[#Headers],[ID]])))="",TRUE()),"",INDEX(tsk_Notes,(ROW()-ROW(MSPTasks[[#Headers],[ID]])))&amp;"")</f>
        <v/>
      </c>
    </row>
    <row r="152" customFormat="false" ht="15" hidden="false" customHeight="false" outlineLevel="0" collapsed="false">
      <c r="A152" s="24" t="str">
        <f aca="false">IF(IFERROR(INDEX(tsk_Name,(ROW()-ROW(MSPTasks[[#Headers],[ID]])))="",TRUE()),"",INDEX(tsk_ID,(ROW()-ROW(MSPTasks[[#Headers],[ID]]))))</f>
        <v/>
      </c>
      <c r="B152" s="24" t="str">
        <f aca="false">IF(IFERROR(INDEX(tsk_Name,(ROW()-ROW(MSPTasks[[#Headers],[ID]])))="",TRUE()),"",INDEX(tsk_UID,(ROW()-ROW(MSPTasks[[#Headers],[ID]]))))</f>
        <v/>
      </c>
      <c r="C152" s="24" t="str">
        <f aca="false">IF(IFERROR(INDEX(tsk_Name,(ROW()-ROW(MSPTasks[[#Headers],[ID]])))="",TRUE()),"",INDEX(tsk_Name,(ROW()-ROW(MSPTasks[[#Headers],[ID]]))))</f>
        <v/>
      </c>
      <c r="D152" s="24" t="str">
        <f aca="false">IF(IFERROR(INDEX(tsk_Name,(ROW()-ROW(MSPTasks[[#Headers],[ID]])))="",TRUE()),"",INDEX(tsk_Level,(ROW()-ROW(MSPTasks[[#Headers],[ID]]))))</f>
        <v/>
      </c>
      <c r="E152" s="24" t="str">
        <f aca="false">IF(IFERROR(INDEX(tsk_Name,(ROW()-ROW(MSPTasks[[#Headers],[ID]])))="",TRUE()),"",IF(INDEX(tsk_Mode,(ROW()-ROW(MSPTasks[[#Headers],[ID]])))="Manual","Manually Scheduled","Auto Scheduled"))</f>
        <v/>
      </c>
      <c r="F152" s="24" t="str">
        <f aca="false">IF(IFERROR(INDEX(tsk_Name,(ROW()-ROW(MSPTasks[[#Headers],[ID]])))="",TRUE()),"",IF(INDEX(tsk_IsSummary,(ROW()-ROW(MSPTasks[[#Headers],[ID]]))),"",N(INDEX(tsk_Duration,(ROW()-ROW(MSPTasks[[#Headers],[ID]]))))&amp;"d"))</f>
        <v/>
      </c>
      <c r="G152" s="130" t="str">
        <f aca="false">IF(IFERROR(INDEX(tsk_Name,(ROW()-ROW(MSPTasks[[#Headers],[ID]])))="",TRUE()),"",INDEX(tsk_FcStart,(ROW()-ROW(MSPTasks[[#Headers],[ID]]))))</f>
        <v/>
      </c>
      <c r="H152" s="130" t="str">
        <f aca="false">IF(IFERROR(INDEX(tsk_Name,(ROW()-ROW(MSPTasks[[#Headers],[ID]])))="",TRUE()),"",INDEX(tsk_FcFinish,(ROW()-ROW(MSPTasks[[#Headers],[ID]]))))</f>
        <v/>
      </c>
      <c r="I152" s="24" t="str">
        <f aca="false">IF(IFERROR(INDEX(tsk_Name,(ROW()-ROW(MSPTasks[[#Headers],[ID]])))="",TRUE()),"",IF(INDEX(tsk_IsSummary,(ROW()-ROW(MSPTasks[[#Headers],[ID]]))),"",INDEX(tsk_Predecessors,(ROW()-ROW(MSPTasks[[#Headers],[ID]])))))</f>
        <v/>
      </c>
      <c r="J152" s="24" t="str">
        <f aca="false">IF(IFERROR(INDEX(tsk_Name,(ROW()-ROW(MSPTasks[[#Headers],[ID]])))="",TRUE()),"",IF(INDEX(tsk_IsSummary,(ROW()-ROW(MSPTasks[[#Headers],[ID]]))),"",INDEX(tsk_UIDPredecessors,(ROW()-ROW(MSPTasks[[#Headers],[ID]])))))</f>
        <v/>
      </c>
      <c r="K1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2" s="24" t="str">
        <f aca="false">IF(IFERROR(INDEX(tsk_Name,(ROW()-ROW(MSPTasks[[#Headers],[ID]])))="",TRUE()),"",IF(INDEX(tsk_IsSummary,(ROW()-ROW(MSPTasks[[#Headers],[ID]]))),"",ROUND(INDEX(tsk_Progress,(ROW()-ROW(MSPTasks[[#Headers],[ID]])))*100,0)))</f>
        <v/>
      </c>
      <c r="M152" s="130" t="str">
        <f aca="false">IF(IFERROR(INDEX(tsk_Name,(ROW()-ROW(MSPTasks[[#Headers],[ID]])))="",TRUE()),"",IF(N(INDEX(tsk_ActStart,(ROW()-ROW(MSPTasks[[#Headers],[ID]]))))=0,"",INDEX(tsk_ActStart,(ROW()-ROW(MSPTasks[[#Headers],[ID]])))))</f>
        <v/>
      </c>
      <c r="N152" s="130" t="str">
        <f aca="false">IF(IFERROR(INDEX(tsk_Name,(ROW()-ROW(MSPTasks[[#Headers],[ID]])))="",TRUE()),"",IF(N(INDEX(tsk_ActFinish,(ROW()-ROW(MSPTasks[[#Headers],[ID]]))))=0,"",INDEX(tsk_ActFinish,(ROW()-ROW(MSPTasks[[#Headers],[ID]])))))</f>
        <v/>
      </c>
      <c r="O152" s="130" t="str">
        <f aca="false">IF(IFERROR(INDEX(tsk_Name,(ROW()-ROW(MSPTasks[[#Headers],[ID]])))="",TRUE()),"",INDEX(tsk_PlanStart,(ROW()-ROW(MSPTasks[[#Headers],[ID]]))))</f>
        <v/>
      </c>
      <c r="P152" s="130" t="str">
        <f aca="false">IF(IFERROR(INDEX(tsk_Name,(ROW()-ROW(MSPTasks[[#Headers],[ID]])))="",TRUE()),"",INDEX(tsk_PlanFinish,(ROW()-ROW(MSPTasks[[#Headers],[ID]]))))</f>
        <v/>
      </c>
      <c r="Q152" s="24" t="str">
        <f aca="false">IF(IFERROR(INDEX(tsk_Name,(ROW()-ROW(MSPTasks[[#Headers],[ID]])))="",TRUE()),"",IF(INDEX(tsk_BaseDuration,(ROW()-ROW(MSPTasks[[#Headers],[ID]])))="","",N(INDEX(tsk_BaseDuration,(ROW()-ROW(MSPTasks[[#Headers],[ID]]))))&amp;"d"))</f>
        <v/>
      </c>
      <c r="R152" s="24" t="str">
        <f aca="false">IF(IFERROR(INDEX(tsk_Name,(ROW()-ROW(MSPTasks[[#Headers],[ID]])))="",TRUE()),"",IF(INDEX(tsk_BaseWork,(ROW()-ROW(MSPTasks[[#Headers],[ID]])))="","",N(INDEX(tsk_BaseWork,(ROW()-ROW(MSPTasks[[#Headers],[ID]]))))&amp;"h"))</f>
        <v/>
      </c>
      <c r="S152" s="24" t="str">
        <f aca="false">IF(IFERROR(INDEX(tsk_Name,(ROW()-ROW(MSPTasks[[#Headers],[ID]])))="",TRUE()),"",IF(INDEX(tsk_BaseCost,(ROW()-ROW(MSPTasks[[#Headers],[ID]])))="","",N(INDEX(tsk_BaseCost,(ROW()-ROW(MSPTasks[[#Headers],[ID]]))))))</f>
        <v/>
      </c>
      <c r="T152" s="24" t="str">
        <f aca="false">IF(IFERROR(INDEX(tsk_Name,(ROW()-ROW(MSPTasks[[#Headers],[ID]])))="",TRUE()),"",IF(INDEX(tsk_IsSummary,(ROW()-ROW(MSPTasks[[#Headers],[ID]]))),"",IF(N(INDEX(tsk_ActCostInput,(ROW()-ROW(MSPTasks[[#Headers],[ID]]))))=0,"",INDEX(tsk_ActCostInput,(ROW()-ROW(MSPTasks[[#Headers],[ID]]))))))</f>
        <v/>
      </c>
      <c r="U152" s="24" t="str">
        <f aca="false">IF(IFERROR(INDEX(tsk_Name,(ROW()-ROW(MSPTasks[[#Headers],[ID]])))="",TRUE()),"",IF(INDEX(tsk_IsSummary,(ROW()-ROW(MSPTasks[[#Headers],[ID]]))),"",IF(AND(INDEX(tsk_Mode,(ROW()-ROW(MSPTasks[[#Headers],[ID]])))&lt;&gt;"Manual",N(INDEX(tsk_Constraint,(ROW()-ROW(MSPTasks[[#Headers],[ID]]))))&gt;0),"Start No Earlier Than","As Soon As Possible")))</f>
        <v/>
      </c>
      <c r="V152" s="130" t="str">
        <f aca="false">IF(IFERROR(INDEX(tsk_Name,(ROW()-ROW(MSPTasks[[#Headers],[ID]])))="",TRUE()),"",IF(OR(INDEX(tsk_IsSummary,(ROW()-ROW(MSPTasks[[#Headers],[ID]]))),INDEX(tsk_Mode,(ROW()-ROW(MSPTasks[[#Headers],[ID]])))="Manual"),"",IF(N(INDEX(tsk_Constraint,(ROW()-ROW(MSPTasks[[#Headers],[ID]]))))=0,"",INDEX(tsk_Constraint,(ROW()-ROW(MSPTasks[[#Headers],[ID]]))))))</f>
        <v/>
      </c>
      <c r="W152" s="130" t="str">
        <f aca="false">IF(IFERROR(INDEX(tsk_Name,(ROW()-ROW(MSPTasks[[#Headers],[ID]])))="",TRUE()),"",IF(N(INDEX(tsk_Deadline,(ROW()-ROW(MSPTasks[[#Headers],[ID]]))))=0,"",INDEX(tsk_Deadline,(ROW()-ROW(MSPTasks[[#Headers],[ID]])))))</f>
        <v/>
      </c>
      <c r="X152" s="24" t="str">
        <f aca="false">IF(IFERROR(INDEX(tsk_Name,(ROW()-ROW(MSPTasks[[#Headers],[ID]])))="",TRUE()),"",IF(INDEX(tsk_IsSummary,(ROW()-ROW(MSPTasks[[#Headers],[ID]]))),"",INDEX(tsk_Sprint,(ROW()-ROW(MSPTasks[[#Headers],[ID]])))&amp;""))</f>
        <v/>
      </c>
      <c r="Y152" s="24" t="str">
        <f aca="false">IF(IFERROR(INDEX(tsk_Name,(ROW()-ROW(MSPTasks[[#Headers],[ID]])))="",TRUE()),"",IF(INDEX(tsk_IsSummary,(ROW()-ROW(MSPTasks[[#Headers],[ID]]))),"",IF(N(INDEX(tsk_StoryPoints,(ROW()-ROW(MSPTasks[[#Headers],[ID]]))))=0,"",INDEX(tsk_StoryPoints,(ROW()-ROW(MSPTasks[[#Headers],[ID]]))))))</f>
        <v/>
      </c>
      <c r="Z152" s="24" t="str">
        <f aca="false">IF(IFERROR(INDEX(tsk_Name,(ROW()-ROW(MSPTasks[[#Headers],[ID]])))="",TRUE()),"",INDEX(tsk_Notes,(ROW()-ROW(MSPTasks[[#Headers],[ID]])))&amp;"")</f>
        <v/>
      </c>
    </row>
    <row r="153" customFormat="false" ht="15" hidden="false" customHeight="false" outlineLevel="0" collapsed="false">
      <c r="A153" s="24" t="str">
        <f aca="false">IF(IFERROR(INDEX(tsk_Name,(ROW()-ROW(MSPTasks[[#Headers],[ID]])))="",TRUE()),"",INDEX(tsk_ID,(ROW()-ROW(MSPTasks[[#Headers],[ID]]))))</f>
        <v/>
      </c>
      <c r="B153" s="24" t="str">
        <f aca="false">IF(IFERROR(INDEX(tsk_Name,(ROW()-ROW(MSPTasks[[#Headers],[ID]])))="",TRUE()),"",INDEX(tsk_UID,(ROW()-ROW(MSPTasks[[#Headers],[ID]]))))</f>
        <v/>
      </c>
      <c r="C153" s="24" t="str">
        <f aca="false">IF(IFERROR(INDEX(tsk_Name,(ROW()-ROW(MSPTasks[[#Headers],[ID]])))="",TRUE()),"",INDEX(tsk_Name,(ROW()-ROW(MSPTasks[[#Headers],[ID]]))))</f>
        <v/>
      </c>
      <c r="D153" s="24" t="str">
        <f aca="false">IF(IFERROR(INDEX(tsk_Name,(ROW()-ROW(MSPTasks[[#Headers],[ID]])))="",TRUE()),"",INDEX(tsk_Level,(ROW()-ROW(MSPTasks[[#Headers],[ID]]))))</f>
        <v/>
      </c>
      <c r="E153" s="24" t="str">
        <f aca="false">IF(IFERROR(INDEX(tsk_Name,(ROW()-ROW(MSPTasks[[#Headers],[ID]])))="",TRUE()),"",IF(INDEX(tsk_Mode,(ROW()-ROW(MSPTasks[[#Headers],[ID]])))="Manual","Manually Scheduled","Auto Scheduled"))</f>
        <v/>
      </c>
      <c r="F153" s="24" t="str">
        <f aca="false">IF(IFERROR(INDEX(tsk_Name,(ROW()-ROW(MSPTasks[[#Headers],[ID]])))="",TRUE()),"",IF(INDEX(tsk_IsSummary,(ROW()-ROW(MSPTasks[[#Headers],[ID]]))),"",N(INDEX(tsk_Duration,(ROW()-ROW(MSPTasks[[#Headers],[ID]]))))&amp;"d"))</f>
        <v/>
      </c>
      <c r="G153" s="130" t="str">
        <f aca="false">IF(IFERROR(INDEX(tsk_Name,(ROW()-ROW(MSPTasks[[#Headers],[ID]])))="",TRUE()),"",INDEX(tsk_FcStart,(ROW()-ROW(MSPTasks[[#Headers],[ID]]))))</f>
        <v/>
      </c>
      <c r="H153" s="130" t="str">
        <f aca="false">IF(IFERROR(INDEX(tsk_Name,(ROW()-ROW(MSPTasks[[#Headers],[ID]])))="",TRUE()),"",INDEX(tsk_FcFinish,(ROW()-ROW(MSPTasks[[#Headers],[ID]]))))</f>
        <v/>
      </c>
      <c r="I153" s="24" t="str">
        <f aca="false">IF(IFERROR(INDEX(tsk_Name,(ROW()-ROW(MSPTasks[[#Headers],[ID]])))="",TRUE()),"",IF(INDEX(tsk_IsSummary,(ROW()-ROW(MSPTasks[[#Headers],[ID]]))),"",INDEX(tsk_Predecessors,(ROW()-ROW(MSPTasks[[#Headers],[ID]])))))</f>
        <v/>
      </c>
      <c r="J153" s="24" t="str">
        <f aca="false">IF(IFERROR(INDEX(tsk_Name,(ROW()-ROW(MSPTasks[[#Headers],[ID]])))="",TRUE()),"",IF(INDEX(tsk_IsSummary,(ROW()-ROW(MSPTasks[[#Headers],[ID]]))),"",INDEX(tsk_UIDPredecessors,(ROW()-ROW(MSPTasks[[#Headers],[ID]])))))</f>
        <v/>
      </c>
      <c r="K1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3" s="24" t="str">
        <f aca="false">IF(IFERROR(INDEX(tsk_Name,(ROW()-ROW(MSPTasks[[#Headers],[ID]])))="",TRUE()),"",IF(INDEX(tsk_IsSummary,(ROW()-ROW(MSPTasks[[#Headers],[ID]]))),"",ROUND(INDEX(tsk_Progress,(ROW()-ROW(MSPTasks[[#Headers],[ID]])))*100,0)))</f>
        <v/>
      </c>
      <c r="M153" s="130" t="str">
        <f aca="false">IF(IFERROR(INDEX(tsk_Name,(ROW()-ROW(MSPTasks[[#Headers],[ID]])))="",TRUE()),"",IF(N(INDEX(tsk_ActStart,(ROW()-ROW(MSPTasks[[#Headers],[ID]]))))=0,"",INDEX(tsk_ActStart,(ROW()-ROW(MSPTasks[[#Headers],[ID]])))))</f>
        <v/>
      </c>
      <c r="N153" s="130" t="str">
        <f aca="false">IF(IFERROR(INDEX(tsk_Name,(ROW()-ROW(MSPTasks[[#Headers],[ID]])))="",TRUE()),"",IF(N(INDEX(tsk_ActFinish,(ROW()-ROW(MSPTasks[[#Headers],[ID]]))))=0,"",INDEX(tsk_ActFinish,(ROW()-ROW(MSPTasks[[#Headers],[ID]])))))</f>
        <v/>
      </c>
      <c r="O153" s="130" t="str">
        <f aca="false">IF(IFERROR(INDEX(tsk_Name,(ROW()-ROW(MSPTasks[[#Headers],[ID]])))="",TRUE()),"",INDEX(tsk_PlanStart,(ROW()-ROW(MSPTasks[[#Headers],[ID]]))))</f>
        <v/>
      </c>
      <c r="P153" s="130" t="str">
        <f aca="false">IF(IFERROR(INDEX(tsk_Name,(ROW()-ROW(MSPTasks[[#Headers],[ID]])))="",TRUE()),"",INDEX(tsk_PlanFinish,(ROW()-ROW(MSPTasks[[#Headers],[ID]]))))</f>
        <v/>
      </c>
      <c r="Q153" s="24" t="str">
        <f aca="false">IF(IFERROR(INDEX(tsk_Name,(ROW()-ROW(MSPTasks[[#Headers],[ID]])))="",TRUE()),"",IF(INDEX(tsk_BaseDuration,(ROW()-ROW(MSPTasks[[#Headers],[ID]])))="","",N(INDEX(tsk_BaseDuration,(ROW()-ROW(MSPTasks[[#Headers],[ID]]))))&amp;"d"))</f>
        <v/>
      </c>
      <c r="R153" s="24" t="str">
        <f aca="false">IF(IFERROR(INDEX(tsk_Name,(ROW()-ROW(MSPTasks[[#Headers],[ID]])))="",TRUE()),"",IF(INDEX(tsk_BaseWork,(ROW()-ROW(MSPTasks[[#Headers],[ID]])))="","",N(INDEX(tsk_BaseWork,(ROW()-ROW(MSPTasks[[#Headers],[ID]]))))&amp;"h"))</f>
        <v/>
      </c>
      <c r="S153" s="24" t="str">
        <f aca="false">IF(IFERROR(INDEX(tsk_Name,(ROW()-ROW(MSPTasks[[#Headers],[ID]])))="",TRUE()),"",IF(INDEX(tsk_BaseCost,(ROW()-ROW(MSPTasks[[#Headers],[ID]])))="","",N(INDEX(tsk_BaseCost,(ROW()-ROW(MSPTasks[[#Headers],[ID]]))))))</f>
        <v/>
      </c>
      <c r="T153" s="24" t="str">
        <f aca="false">IF(IFERROR(INDEX(tsk_Name,(ROW()-ROW(MSPTasks[[#Headers],[ID]])))="",TRUE()),"",IF(INDEX(tsk_IsSummary,(ROW()-ROW(MSPTasks[[#Headers],[ID]]))),"",IF(N(INDEX(tsk_ActCostInput,(ROW()-ROW(MSPTasks[[#Headers],[ID]]))))=0,"",INDEX(tsk_ActCostInput,(ROW()-ROW(MSPTasks[[#Headers],[ID]]))))))</f>
        <v/>
      </c>
      <c r="U153" s="24" t="str">
        <f aca="false">IF(IFERROR(INDEX(tsk_Name,(ROW()-ROW(MSPTasks[[#Headers],[ID]])))="",TRUE()),"",IF(INDEX(tsk_IsSummary,(ROW()-ROW(MSPTasks[[#Headers],[ID]]))),"",IF(AND(INDEX(tsk_Mode,(ROW()-ROW(MSPTasks[[#Headers],[ID]])))&lt;&gt;"Manual",N(INDEX(tsk_Constraint,(ROW()-ROW(MSPTasks[[#Headers],[ID]]))))&gt;0),"Start No Earlier Than","As Soon As Possible")))</f>
        <v/>
      </c>
      <c r="V153" s="130" t="str">
        <f aca="false">IF(IFERROR(INDEX(tsk_Name,(ROW()-ROW(MSPTasks[[#Headers],[ID]])))="",TRUE()),"",IF(OR(INDEX(tsk_IsSummary,(ROW()-ROW(MSPTasks[[#Headers],[ID]]))),INDEX(tsk_Mode,(ROW()-ROW(MSPTasks[[#Headers],[ID]])))="Manual"),"",IF(N(INDEX(tsk_Constraint,(ROW()-ROW(MSPTasks[[#Headers],[ID]]))))=0,"",INDEX(tsk_Constraint,(ROW()-ROW(MSPTasks[[#Headers],[ID]]))))))</f>
        <v/>
      </c>
      <c r="W153" s="130" t="str">
        <f aca="false">IF(IFERROR(INDEX(tsk_Name,(ROW()-ROW(MSPTasks[[#Headers],[ID]])))="",TRUE()),"",IF(N(INDEX(tsk_Deadline,(ROW()-ROW(MSPTasks[[#Headers],[ID]]))))=0,"",INDEX(tsk_Deadline,(ROW()-ROW(MSPTasks[[#Headers],[ID]])))))</f>
        <v/>
      </c>
      <c r="X153" s="24" t="str">
        <f aca="false">IF(IFERROR(INDEX(tsk_Name,(ROW()-ROW(MSPTasks[[#Headers],[ID]])))="",TRUE()),"",IF(INDEX(tsk_IsSummary,(ROW()-ROW(MSPTasks[[#Headers],[ID]]))),"",INDEX(tsk_Sprint,(ROW()-ROW(MSPTasks[[#Headers],[ID]])))&amp;""))</f>
        <v/>
      </c>
      <c r="Y153" s="24" t="str">
        <f aca="false">IF(IFERROR(INDEX(tsk_Name,(ROW()-ROW(MSPTasks[[#Headers],[ID]])))="",TRUE()),"",IF(INDEX(tsk_IsSummary,(ROW()-ROW(MSPTasks[[#Headers],[ID]]))),"",IF(N(INDEX(tsk_StoryPoints,(ROW()-ROW(MSPTasks[[#Headers],[ID]]))))=0,"",INDEX(tsk_StoryPoints,(ROW()-ROW(MSPTasks[[#Headers],[ID]]))))))</f>
        <v/>
      </c>
      <c r="Z153" s="24" t="str">
        <f aca="false">IF(IFERROR(INDEX(tsk_Name,(ROW()-ROW(MSPTasks[[#Headers],[ID]])))="",TRUE()),"",INDEX(tsk_Notes,(ROW()-ROW(MSPTasks[[#Headers],[ID]])))&amp;"")</f>
        <v/>
      </c>
    </row>
    <row r="154" customFormat="false" ht="15" hidden="false" customHeight="false" outlineLevel="0" collapsed="false">
      <c r="A154" s="24" t="str">
        <f aca="false">IF(IFERROR(INDEX(tsk_Name,(ROW()-ROW(MSPTasks[[#Headers],[ID]])))="",TRUE()),"",INDEX(tsk_ID,(ROW()-ROW(MSPTasks[[#Headers],[ID]]))))</f>
        <v/>
      </c>
      <c r="B154" s="24" t="str">
        <f aca="false">IF(IFERROR(INDEX(tsk_Name,(ROW()-ROW(MSPTasks[[#Headers],[ID]])))="",TRUE()),"",INDEX(tsk_UID,(ROW()-ROW(MSPTasks[[#Headers],[ID]]))))</f>
        <v/>
      </c>
      <c r="C154" s="24" t="str">
        <f aca="false">IF(IFERROR(INDEX(tsk_Name,(ROW()-ROW(MSPTasks[[#Headers],[ID]])))="",TRUE()),"",INDEX(tsk_Name,(ROW()-ROW(MSPTasks[[#Headers],[ID]]))))</f>
        <v/>
      </c>
      <c r="D154" s="24" t="str">
        <f aca="false">IF(IFERROR(INDEX(tsk_Name,(ROW()-ROW(MSPTasks[[#Headers],[ID]])))="",TRUE()),"",INDEX(tsk_Level,(ROW()-ROW(MSPTasks[[#Headers],[ID]]))))</f>
        <v/>
      </c>
      <c r="E154" s="24" t="str">
        <f aca="false">IF(IFERROR(INDEX(tsk_Name,(ROW()-ROW(MSPTasks[[#Headers],[ID]])))="",TRUE()),"",IF(INDEX(tsk_Mode,(ROW()-ROW(MSPTasks[[#Headers],[ID]])))="Manual","Manually Scheduled","Auto Scheduled"))</f>
        <v/>
      </c>
      <c r="F154" s="24" t="str">
        <f aca="false">IF(IFERROR(INDEX(tsk_Name,(ROW()-ROW(MSPTasks[[#Headers],[ID]])))="",TRUE()),"",IF(INDEX(tsk_IsSummary,(ROW()-ROW(MSPTasks[[#Headers],[ID]]))),"",N(INDEX(tsk_Duration,(ROW()-ROW(MSPTasks[[#Headers],[ID]]))))&amp;"d"))</f>
        <v/>
      </c>
      <c r="G154" s="130" t="str">
        <f aca="false">IF(IFERROR(INDEX(tsk_Name,(ROW()-ROW(MSPTasks[[#Headers],[ID]])))="",TRUE()),"",INDEX(tsk_FcStart,(ROW()-ROW(MSPTasks[[#Headers],[ID]]))))</f>
        <v/>
      </c>
      <c r="H154" s="130" t="str">
        <f aca="false">IF(IFERROR(INDEX(tsk_Name,(ROW()-ROW(MSPTasks[[#Headers],[ID]])))="",TRUE()),"",INDEX(tsk_FcFinish,(ROW()-ROW(MSPTasks[[#Headers],[ID]]))))</f>
        <v/>
      </c>
      <c r="I154" s="24" t="str">
        <f aca="false">IF(IFERROR(INDEX(tsk_Name,(ROW()-ROW(MSPTasks[[#Headers],[ID]])))="",TRUE()),"",IF(INDEX(tsk_IsSummary,(ROW()-ROW(MSPTasks[[#Headers],[ID]]))),"",INDEX(tsk_Predecessors,(ROW()-ROW(MSPTasks[[#Headers],[ID]])))))</f>
        <v/>
      </c>
      <c r="J154" s="24" t="str">
        <f aca="false">IF(IFERROR(INDEX(tsk_Name,(ROW()-ROW(MSPTasks[[#Headers],[ID]])))="",TRUE()),"",IF(INDEX(tsk_IsSummary,(ROW()-ROW(MSPTasks[[#Headers],[ID]]))),"",INDEX(tsk_UIDPredecessors,(ROW()-ROW(MSPTasks[[#Headers],[ID]])))))</f>
        <v/>
      </c>
      <c r="K1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4" s="24" t="str">
        <f aca="false">IF(IFERROR(INDEX(tsk_Name,(ROW()-ROW(MSPTasks[[#Headers],[ID]])))="",TRUE()),"",IF(INDEX(tsk_IsSummary,(ROW()-ROW(MSPTasks[[#Headers],[ID]]))),"",ROUND(INDEX(tsk_Progress,(ROW()-ROW(MSPTasks[[#Headers],[ID]])))*100,0)))</f>
        <v/>
      </c>
      <c r="M154" s="130" t="str">
        <f aca="false">IF(IFERROR(INDEX(tsk_Name,(ROW()-ROW(MSPTasks[[#Headers],[ID]])))="",TRUE()),"",IF(N(INDEX(tsk_ActStart,(ROW()-ROW(MSPTasks[[#Headers],[ID]]))))=0,"",INDEX(tsk_ActStart,(ROW()-ROW(MSPTasks[[#Headers],[ID]])))))</f>
        <v/>
      </c>
      <c r="N154" s="130" t="str">
        <f aca="false">IF(IFERROR(INDEX(tsk_Name,(ROW()-ROW(MSPTasks[[#Headers],[ID]])))="",TRUE()),"",IF(N(INDEX(tsk_ActFinish,(ROW()-ROW(MSPTasks[[#Headers],[ID]]))))=0,"",INDEX(tsk_ActFinish,(ROW()-ROW(MSPTasks[[#Headers],[ID]])))))</f>
        <v/>
      </c>
      <c r="O154" s="130" t="str">
        <f aca="false">IF(IFERROR(INDEX(tsk_Name,(ROW()-ROW(MSPTasks[[#Headers],[ID]])))="",TRUE()),"",INDEX(tsk_PlanStart,(ROW()-ROW(MSPTasks[[#Headers],[ID]]))))</f>
        <v/>
      </c>
      <c r="P154" s="130" t="str">
        <f aca="false">IF(IFERROR(INDEX(tsk_Name,(ROW()-ROW(MSPTasks[[#Headers],[ID]])))="",TRUE()),"",INDEX(tsk_PlanFinish,(ROW()-ROW(MSPTasks[[#Headers],[ID]]))))</f>
        <v/>
      </c>
      <c r="Q154" s="24" t="str">
        <f aca="false">IF(IFERROR(INDEX(tsk_Name,(ROW()-ROW(MSPTasks[[#Headers],[ID]])))="",TRUE()),"",IF(INDEX(tsk_BaseDuration,(ROW()-ROW(MSPTasks[[#Headers],[ID]])))="","",N(INDEX(tsk_BaseDuration,(ROW()-ROW(MSPTasks[[#Headers],[ID]]))))&amp;"d"))</f>
        <v/>
      </c>
      <c r="R154" s="24" t="str">
        <f aca="false">IF(IFERROR(INDEX(tsk_Name,(ROW()-ROW(MSPTasks[[#Headers],[ID]])))="",TRUE()),"",IF(INDEX(tsk_BaseWork,(ROW()-ROW(MSPTasks[[#Headers],[ID]])))="","",N(INDEX(tsk_BaseWork,(ROW()-ROW(MSPTasks[[#Headers],[ID]]))))&amp;"h"))</f>
        <v/>
      </c>
      <c r="S154" s="24" t="str">
        <f aca="false">IF(IFERROR(INDEX(tsk_Name,(ROW()-ROW(MSPTasks[[#Headers],[ID]])))="",TRUE()),"",IF(INDEX(tsk_BaseCost,(ROW()-ROW(MSPTasks[[#Headers],[ID]])))="","",N(INDEX(tsk_BaseCost,(ROW()-ROW(MSPTasks[[#Headers],[ID]]))))))</f>
        <v/>
      </c>
      <c r="T154" s="24" t="str">
        <f aca="false">IF(IFERROR(INDEX(tsk_Name,(ROW()-ROW(MSPTasks[[#Headers],[ID]])))="",TRUE()),"",IF(INDEX(tsk_IsSummary,(ROW()-ROW(MSPTasks[[#Headers],[ID]]))),"",IF(N(INDEX(tsk_ActCostInput,(ROW()-ROW(MSPTasks[[#Headers],[ID]]))))=0,"",INDEX(tsk_ActCostInput,(ROW()-ROW(MSPTasks[[#Headers],[ID]]))))))</f>
        <v/>
      </c>
      <c r="U154" s="24" t="str">
        <f aca="false">IF(IFERROR(INDEX(tsk_Name,(ROW()-ROW(MSPTasks[[#Headers],[ID]])))="",TRUE()),"",IF(INDEX(tsk_IsSummary,(ROW()-ROW(MSPTasks[[#Headers],[ID]]))),"",IF(AND(INDEX(tsk_Mode,(ROW()-ROW(MSPTasks[[#Headers],[ID]])))&lt;&gt;"Manual",N(INDEX(tsk_Constraint,(ROW()-ROW(MSPTasks[[#Headers],[ID]]))))&gt;0),"Start No Earlier Than","As Soon As Possible")))</f>
        <v/>
      </c>
      <c r="V154" s="130" t="str">
        <f aca="false">IF(IFERROR(INDEX(tsk_Name,(ROW()-ROW(MSPTasks[[#Headers],[ID]])))="",TRUE()),"",IF(OR(INDEX(tsk_IsSummary,(ROW()-ROW(MSPTasks[[#Headers],[ID]]))),INDEX(tsk_Mode,(ROW()-ROW(MSPTasks[[#Headers],[ID]])))="Manual"),"",IF(N(INDEX(tsk_Constraint,(ROW()-ROW(MSPTasks[[#Headers],[ID]]))))=0,"",INDEX(tsk_Constraint,(ROW()-ROW(MSPTasks[[#Headers],[ID]]))))))</f>
        <v/>
      </c>
      <c r="W154" s="130" t="str">
        <f aca="false">IF(IFERROR(INDEX(tsk_Name,(ROW()-ROW(MSPTasks[[#Headers],[ID]])))="",TRUE()),"",IF(N(INDEX(tsk_Deadline,(ROW()-ROW(MSPTasks[[#Headers],[ID]]))))=0,"",INDEX(tsk_Deadline,(ROW()-ROW(MSPTasks[[#Headers],[ID]])))))</f>
        <v/>
      </c>
      <c r="X154" s="24" t="str">
        <f aca="false">IF(IFERROR(INDEX(tsk_Name,(ROW()-ROW(MSPTasks[[#Headers],[ID]])))="",TRUE()),"",IF(INDEX(tsk_IsSummary,(ROW()-ROW(MSPTasks[[#Headers],[ID]]))),"",INDEX(tsk_Sprint,(ROW()-ROW(MSPTasks[[#Headers],[ID]])))&amp;""))</f>
        <v/>
      </c>
      <c r="Y154" s="24" t="str">
        <f aca="false">IF(IFERROR(INDEX(tsk_Name,(ROW()-ROW(MSPTasks[[#Headers],[ID]])))="",TRUE()),"",IF(INDEX(tsk_IsSummary,(ROW()-ROW(MSPTasks[[#Headers],[ID]]))),"",IF(N(INDEX(tsk_StoryPoints,(ROW()-ROW(MSPTasks[[#Headers],[ID]]))))=0,"",INDEX(tsk_StoryPoints,(ROW()-ROW(MSPTasks[[#Headers],[ID]]))))))</f>
        <v/>
      </c>
      <c r="Z154" s="24" t="str">
        <f aca="false">IF(IFERROR(INDEX(tsk_Name,(ROW()-ROW(MSPTasks[[#Headers],[ID]])))="",TRUE()),"",INDEX(tsk_Notes,(ROW()-ROW(MSPTasks[[#Headers],[ID]])))&amp;"")</f>
        <v/>
      </c>
    </row>
    <row r="155" customFormat="false" ht="15" hidden="false" customHeight="false" outlineLevel="0" collapsed="false">
      <c r="A155" s="24" t="str">
        <f aca="false">IF(IFERROR(INDEX(tsk_Name,(ROW()-ROW(MSPTasks[[#Headers],[ID]])))="",TRUE()),"",INDEX(tsk_ID,(ROW()-ROW(MSPTasks[[#Headers],[ID]]))))</f>
        <v/>
      </c>
      <c r="B155" s="24" t="str">
        <f aca="false">IF(IFERROR(INDEX(tsk_Name,(ROW()-ROW(MSPTasks[[#Headers],[ID]])))="",TRUE()),"",INDEX(tsk_UID,(ROW()-ROW(MSPTasks[[#Headers],[ID]]))))</f>
        <v/>
      </c>
      <c r="C155" s="24" t="str">
        <f aca="false">IF(IFERROR(INDEX(tsk_Name,(ROW()-ROW(MSPTasks[[#Headers],[ID]])))="",TRUE()),"",INDEX(tsk_Name,(ROW()-ROW(MSPTasks[[#Headers],[ID]]))))</f>
        <v/>
      </c>
      <c r="D155" s="24" t="str">
        <f aca="false">IF(IFERROR(INDEX(tsk_Name,(ROW()-ROW(MSPTasks[[#Headers],[ID]])))="",TRUE()),"",INDEX(tsk_Level,(ROW()-ROW(MSPTasks[[#Headers],[ID]]))))</f>
        <v/>
      </c>
      <c r="E155" s="24" t="str">
        <f aca="false">IF(IFERROR(INDEX(tsk_Name,(ROW()-ROW(MSPTasks[[#Headers],[ID]])))="",TRUE()),"",IF(INDEX(tsk_Mode,(ROW()-ROW(MSPTasks[[#Headers],[ID]])))="Manual","Manually Scheduled","Auto Scheduled"))</f>
        <v/>
      </c>
      <c r="F155" s="24" t="str">
        <f aca="false">IF(IFERROR(INDEX(tsk_Name,(ROW()-ROW(MSPTasks[[#Headers],[ID]])))="",TRUE()),"",IF(INDEX(tsk_IsSummary,(ROW()-ROW(MSPTasks[[#Headers],[ID]]))),"",N(INDEX(tsk_Duration,(ROW()-ROW(MSPTasks[[#Headers],[ID]]))))&amp;"d"))</f>
        <v/>
      </c>
      <c r="G155" s="130" t="str">
        <f aca="false">IF(IFERROR(INDEX(tsk_Name,(ROW()-ROW(MSPTasks[[#Headers],[ID]])))="",TRUE()),"",INDEX(tsk_FcStart,(ROW()-ROW(MSPTasks[[#Headers],[ID]]))))</f>
        <v/>
      </c>
      <c r="H155" s="130" t="str">
        <f aca="false">IF(IFERROR(INDEX(tsk_Name,(ROW()-ROW(MSPTasks[[#Headers],[ID]])))="",TRUE()),"",INDEX(tsk_FcFinish,(ROW()-ROW(MSPTasks[[#Headers],[ID]]))))</f>
        <v/>
      </c>
      <c r="I155" s="24" t="str">
        <f aca="false">IF(IFERROR(INDEX(tsk_Name,(ROW()-ROW(MSPTasks[[#Headers],[ID]])))="",TRUE()),"",IF(INDEX(tsk_IsSummary,(ROW()-ROW(MSPTasks[[#Headers],[ID]]))),"",INDEX(tsk_Predecessors,(ROW()-ROW(MSPTasks[[#Headers],[ID]])))))</f>
        <v/>
      </c>
      <c r="J155" s="24" t="str">
        <f aca="false">IF(IFERROR(INDEX(tsk_Name,(ROW()-ROW(MSPTasks[[#Headers],[ID]])))="",TRUE()),"",IF(INDEX(tsk_IsSummary,(ROW()-ROW(MSPTasks[[#Headers],[ID]]))),"",INDEX(tsk_UIDPredecessors,(ROW()-ROW(MSPTasks[[#Headers],[ID]])))))</f>
        <v/>
      </c>
      <c r="K1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5" s="24" t="str">
        <f aca="false">IF(IFERROR(INDEX(tsk_Name,(ROW()-ROW(MSPTasks[[#Headers],[ID]])))="",TRUE()),"",IF(INDEX(tsk_IsSummary,(ROW()-ROW(MSPTasks[[#Headers],[ID]]))),"",ROUND(INDEX(tsk_Progress,(ROW()-ROW(MSPTasks[[#Headers],[ID]])))*100,0)))</f>
        <v/>
      </c>
      <c r="M155" s="130" t="str">
        <f aca="false">IF(IFERROR(INDEX(tsk_Name,(ROW()-ROW(MSPTasks[[#Headers],[ID]])))="",TRUE()),"",IF(N(INDEX(tsk_ActStart,(ROW()-ROW(MSPTasks[[#Headers],[ID]]))))=0,"",INDEX(tsk_ActStart,(ROW()-ROW(MSPTasks[[#Headers],[ID]])))))</f>
        <v/>
      </c>
      <c r="N155" s="130" t="str">
        <f aca="false">IF(IFERROR(INDEX(tsk_Name,(ROW()-ROW(MSPTasks[[#Headers],[ID]])))="",TRUE()),"",IF(N(INDEX(tsk_ActFinish,(ROW()-ROW(MSPTasks[[#Headers],[ID]]))))=0,"",INDEX(tsk_ActFinish,(ROW()-ROW(MSPTasks[[#Headers],[ID]])))))</f>
        <v/>
      </c>
      <c r="O155" s="130" t="str">
        <f aca="false">IF(IFERROR(INDEX(tsk_Name,(ROW()-ROW(MSPTasks[[#Headers],[ID]])))="",TRUE()),"",INDEX(tsk_PlanStart,(ROW()-ROW(MSPTasks[[#Headers],[ID]]))))</f>
        <v/>
      </c>
      <c r="P155" s="130" t="str">
        <f aca="false">IF(IFERROR(INDEX(tsk_Name,(ROW()-ROW(MSPTasks[[#Headers],[ID]])))="",TRUE()),"",INDEX(tsk_PlanFinish,(ROW()-ROW(MSPTasks[[#Headers],[ID]]))))</f>
        <v/>
      </c>
      <c r="Q155" s="24" t="str">
        <f aca="false">IF(IFERROR(INDEX(tsk_Name,(ROW()-ROW(MSPTasks[[#Headers],[ID]])))="",TRUE()),"",IF(INDEX(tsk_BaseDuration,(ROW()-ROW(MSPTasks[[#Headers],[ID]])))="","",N(INDEX(tsk_BaseDuration,(ROW()-ROW(MSPTasks[[#Headers],[ID]]))))&amp;"d"))</f>
        <v/>
      </c>
      <c r="R155" s="24" t="str">
        <f aca="false">IF(IFERROR(INDEX(tsk_Name,(ROW()-ROW(MSPTasks[[#Headers],[ID]])))="",TRUE()),"",IF(INDEX(tsk_BaseWork,(ROW()-ROW(MSPTasks[[#Headers],[ID]])))="","",N(INDEX(tsk_BaseWork,(ROW()-ROW(MSPTasks[[#Headers],[ID]]))))&amp;"h"))</f>
        <v/>
      </c>
      <c r="S155" s="24" t="str">
        <f aca="false">IF(IFERROR(INDEX(tsk_Name,(ROW()-ROW(MSPTasks[[#Headers],[ID]])))="",TRUE()),"",IF(INDEX(tsk_BaseCost,(ROW()-ROW(MSPTasks[[#Headers],[ID]])))="","",N(INDEX(tsk_BaseCost,(ROW()-ROW(MSPTasks[[#Headers],[ID]]))))))</f>
        <v/>
      </c>
      <c r="T155" s="24" t="str">
        <f aca="false">IF(IFERROR(INDEX(tsk_Name,(ROW()-ROW(MSPTasks[[#Headers],[ID]])))="",TRUE()),"",IF(INDEX(tsk_IsSummary,(ROW()-ROW(MSPTasks[[#Headers],[ID]]))),"",IF(N(INDEX(tsk_ActCostInput,(ROW()-ROW(MSPTasks[[#Headers],[ID]]))))=0,"",INDEX(tsk_ActCostInput,(ROW()-ROW(MSPTasks[[#Headers],[ID]]))))))</f>
        <v/>
      </c>
      <c r="U155" s="24" t="str">
        <f aca="false">IF(IFERROR(INDEX(tsk_Name,(ROW()-ROW(MSPTasks[[#Headers],[ID]])))="",TRUE()),"",IF(INDEX(tsk_IsSummary,(ROW()-ROW(MSPTasks[[#Headers],[ID]]))),"",IF(AND(INDEX(tsk_Mode,(ROW()-ROW(MSPTasks[[#Headers],[ID]])))&lt;&gt;"Manual",N(INDEX(tsk_Constraint,(ROW()-ROW(MSPTasks[[#Headers],[ID]]))))&gt;0),"Start No Earlier Than","As Soon As Possible")))</f>
        <v/>
      </c>
      <c r="V155" s="130" t="str">
        <f aca="false">IF(IFERROR(INDEX(tsk_Name,(ROW()-ROW(MSPTasks[[#Headers],[ID]])))="",TRUE()),"",IF(OR(INDEX(tsk_IsSummary,(ROW()-ROW(MSPTasks[[#Headers],[ID]]))),INDEX(tsk_Mode,(ROW()-ROW(MSPTasks[[#Headers],[ID]])))="Manual"),"",IF(N(INDEX(tsk_Constraint,(ROW()-ROW(MSPTasks[[#Headers],[ID]]))))=0,"",INDEX(tsk_Constraint,(ROW()-ROW(MSPTasks[[#Headers],[ID]]))))))</f>
        <v/>
      </c>
      <c r="W155" s="130" t="str">
        <f aca="false">IF(IFERROR(INDEX(tsk_Name,(ROW()-ROW(MSPTasks[[#Headers],[ID]])))="",TRUE()),"",IF(N(INDEX(tsk_Deadline,(ROW()-ROW(MSPTasks[[#Headers],[ID]]))))=0,"",INDEX(tsk_Deadline,(ROW()-ROW(MSPTasks[[#Headers],[ID]])))))</f>
        <v/>
      </c>
      <c r="X155" s="24" t="str">
        <f aca="false">IF(IFERROR(INDEX(tsk_Name,(ROW()-ROW(MSPTasks[[#Headers],[ID]])))="",TRUE()),"",IF(INDEX(tsk_IsSummary,(ROW()-ROW(MSPTasks[[#Headers],[ID]]))),"",INDEX(tsk_Sprint,(ROW()-ROW(MSPTasks[[#Headers],[ID]])))&amp;""))</f>
        <v/>
      </c>
      <c r="Y155" s="24" t="str">
        <f aca="false">IF(IFERROR(INDEX(tsk_Name,(ROW()-ROW(MSPTasks[[#Headers],[ID]])))="",TRUE()),"",IF(INDEX(tsk_IsSummary,(ROW()-ROW(MSPTasks[[#Headers],[ID]]))),"",IF(N(INDEX(tsk_StoryPoints,(ROW()-ROW(MSPTasks[[#Headers],[ID]]))))=0,"",INDEX(tsk_StoryPoints,(ROW()-ROW(MSPTasks[[#Headers],[ID]]))))))</f>
        <v/>
      </c>
      <c r="Z155" s="24" t="str">
        <f aca="false">IF(IFERROR(INDEX(tsk_Name,(ROW()-ROW(MSPTasks[[#Headers],[ID]])))="",TRUE()),"",INDEX(tsk_Notes,(ROW()-ROW(MSPTasks[[#Headers],[ID]])))&amp;"")</f>
        <v/>
      </c>
    </row>
    <row r="156" customFormat="false" ht="15" hidden="false" customHeight="false" outlineLevel="0" collapsed="false">
      <c r="A156" s="24" t="str">
        <f aca="false">IF(IFERROR(INDEX(tsk_Name,(ROW()-ROW(MSPTasks[[#Headers],[ID]])))="",TRUE()),"",INDEX(tsk_ID,(ROW()-ROW(MSPTasks[[#Headers],[ID]]))))</f>
        <v/>
      </c>
      <c r="B156" s="24" t="str">
        <f aca="false">IF(IFERROR(INDEX(tsk_Name,(ROW()-ROW(MSPTasks[[#Headers],[ID]])))="",TRUE()),"",INDEX(tsk_UID,(ROW()-ROW(MSPTasks[[#Headers],[ID]]))))</f>
        <v/>
      </c>
      <c r="C156" s="24" t="str">
        <f aca="false">IF(IFERROR(INDEX(tsk_Name,(ROW()-ROW(MSPTasks[[#Headers],[ID]])))="",TRUE()),"",INDEX(tsk_Name,(ROW()-ROW(MSPTasks[[#Headers],[ID]]))))</f>
        <v/>
      </c>
      <c r="D156" s="24" t="str">
        <f aca="false">IF(IFERROR(INDEX(tsk_Name,(ROW()-ROW(MSPTasks[[#Headers],[ID]])))="",TRUE()),"",INDEX(tsk_Level,(ROW()-ROW(MSPTasks[[#Headers],[ID]]))))</f>
        <v/>
      </c>
      <c r="E156" s="24" t="str">
        <f aca="false">IF(IFERROR(INDEX(tsk_Name,(ROW()-ROW(MSPTasks[[#Headers],[ID]])))="",TRUE()),"",IF(INDEX(tsk_Mode,(ROW()-ROW(MSPTasks[[#Headers],[ID]])))="Manual","Manually Scheduled","Auto Scheduled"))</f>
        <v/>
      </c>
      <c r="F156" s="24" t="str">
        <f aca="false">IF(IFERROR(INDEX(tsk_Name,(ROW()-ROW(MSPTasks[[#Headers],[ID]])))="",TRUE()),"",IF(INDEX(tsk_IsSummary,(ROW()-ROW(MSPTasks[[#Headers],[ID]]))),"",N(INDEX(tsk_Duration,(ROW()-ROW(MSPTasks[[#Headers],[ID]]))))&amp;"d"))</f>
        <v/>
      </c>
      <c r="G156" s="130" t="str">
        <f aca="false">IF(IFERROR(INDEX(tsk_Name,(ROW()-ROW(MSPTasks[[#Headers],[ID]])))="",TRUE()),"",INDEX(tsk_FcStart,(ROW()-ROW(MSPTasks[[#Headers],[ID]]))))</f>
        <v/>
      </c>
      <c r="H156" s="130" t="str">
        <f aca="false">IF(IFERROR(INDEX(tsk_Name,(ROW()-ROW(MSPTasks[[#Headers],[ID]])))="",TRUE()),"",INDEX(tsk_FcFinish,(ROW()-ROW(MSPTasks[[#Headers],[ID]]))))</f>
        <v/>
      </c>
      <c r="I156" s="24" t="str">
        <f aca="false">IF(IFERROR(INDEX(tsk_Name,(ROW()-ROW(MSPTasks[[#Headers],[ID]])))="",TRUE()),"",IF(INDEX(tsk_IsSummary,(ROW()-ROW(MSPTasks[[#Headers],[ID]]))),"",INDEX(tsk_Predecessors,(ROW()-ROW(MSPTasks[[#Headers],[ID]])))))</f>
        <v/>
      </c>
      <c r="J156" s="24" t="str">
        <f aca="false">IF(IFERROR(INDEX(tsk_Name,(ROW()-ROW(MSPTasks[[#Headers],[ID]])))="",TRUE()),"",IF(INDEX(tsk_IsSummary,(ROW()-ROW(MSPTasks[[#Headers],[ID]]))),"",INDEX(tsk_UIDPredecessors,(ROW()-ROW(MSPTasks[[#Headers],[ID]])))))</f>
        <v/>
      </c>
      <c r="K1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6" s="24" t="str">
        <f aca="false">IF(IFERROR(INDEX(tsk_Name,(ROW()-ROW(MSPTasks[[#Headers],[ID]])))="",TRUE()),"",IF(INDEX(tsk_IsSummary,(ROW()-ROW(MSPTasks[[#Headers],[ID]]))),"",ROUND(INDEX(tsk_Progress,(ROW()-ROW(MSPTasks[[#Headers],[ID]])))*100,0)))</f>
        <v/>
      </c>
      <c r="M156" s="130" t="str">
        <f aca="false">IF(IFERROR(INDEX(tsk_Name,(ROW()-ROW(MSPTasks[[#Headers],[ID]])))="",TRUE()),"",IF(N(INDEX(tsk_ActStart,(ROW()-ROW(MSPTasks[[#Headers],[ID]]))))=0,"",INDEX(tsk_ActStart,(ROW()-ROW(MSPTasks[[#Headers],[ID]])))))</f>
        <v/>
      </c>
      <c r="N156" s="130" t="str">
        <f aca="false">IF(IFERROR(INDEX(tsk_Name,(ROW()-ROW(MSPTasks[[#Headers],[ID]])))="",TRUE()),"",IF(N(INDEX(tsk_ActFinish,(ROW()-ROW(MSPTasks[[#Headers],[ID]]))))=0,"",INDEX(tsk_ActFinish,(ROW()-ROW(MSPTasks[[#Headers],[ID]])))))</f>
        <v/>
      </c>
      <c r="O156" s="130" t="str">
        <f aca="false">IF(IFERROR(INDEX(tsk_Name,(ROW()-ROW(MSPTasks[[#Headers],[ID]])))="",TRUE()),"",INDEX(tsk_PlanStart,(ROW()-ROW(MSPTasks[[#Headers],[ID]]))))</f>
        <v/>
      </c>
      <c r="P156" s="130" t="str">
        <f aca="false">IF(IFERROR(INDEX(tsk_Name,(ROW()-ROW(MSPTasks[[#Headers],[ID]])))="",TRUE()),"",INDEX(tsk_PlanFinish,(ROW()-ROW(MSPTasks[[#Headers],[ID]]))))</f>
        <v/>
      </c>
      <c r="Q156" s="24" t="str">
        <f aca="false">IF(IFERROR(INDEX(tsk_Name,(ROW()-ROW(MSPTasks[[#Headers],[ID]])))="",TRUE()),"",IF(INDEX(tsk_BaseDuration,(ROW()-ROW(MSPTasks[[#Headers],[ID]])))="","",N(INDEX(tsk_BaseDuration,(ROW()-ROW(MSPTasks[[#Headers],[ID]]))))&amp;"d"))</f>
        <v/>
      </c>
      <c r="R156" s="24" t="str">
        <f aca="false">IF(IFERROR(INDEX(tsk_Name,(ROW()-ROW(MSPTasks[[#Headers],[ID]])))="",TRUE()),"",IF(INDEX(tsk_BaseWork,(ROW()-ROW(MSPTasks[[#Headers],[ID]])))="","",N(INDEX(tsk_BaseWork,(ROW()-ROW(MSPTasks[[#Headers],[ID]]))))&amp;"h"))</f>
        <v/>
      </c>
      <c r="S156" s="24" t="str">
        <f aca="false">IF(IFERROR(INDEX(tsk_Name,(ROW()-ROW(MSPTasks[[#Headers],[ID]])))="",TRUE()),"",IF(INDEX(tsk_BaseCost,(ROW()-ROW(MSPTasks[[#Headers],[ID]])))="","",N(INDEX(tsk_BaseCost,(ROW()-ROW(MSPTasks[[#Headers],[ID]]))))))</f>
        <v/>
      </c>
      <c r="T156" s="24" t="str">
        <f aca="false">IF(IFERROR(INDEX(tsk_Name,(ROW()-ROW(MSPTasks[[#Headers],[ID]])))="",TRUE()),"",IF(INDEX(tsk_IsSummary,(ROW()-ROW(MSPTasks[[#Headers],[ID]]))),"",IF(N(INDEX(tsk_ActCostInput,(ROW()-ROW(MSPTasks[[#Headers],[ID]]))))=0,"",INDEX(tsk_ActCostInput,(ROW()-ROW(MSPTasks[[#Headers],[ID]]))))))</f>
        <v/>
      </c>
      <c r="U156" s="24" t="str">
        <f aca="false">IF(IFERROR(INDEX(tsk_Name,(ROW()-ROW(MSPTasks[[#Headers],[ID]])))="",TRUE()),"",IF(INDEX(tsk_IsSummary,(ROW()-ROW(MSPTasks[[#Headers],[ID]]))),"",IF(AND(INDEX(tsk_Mode,(ROW()-ROW(MSPTasks[[#Headers],[ID]])))&lt;&gt;"Manual",N(INDEX(tsk_Constraint,(ROW()-ROW(MSPTasks[[#Headers],[ID]]))))&gt;0),"Start No Earlier Than","As Soon As Possible")))</f>
        <v/>
      </c>
      <c r="V156" s="130" t="str">
        <f aca="false">IF(IFERROR(INDEX(tsk_Name,(ROW()-ROW(MSPTasks[[#Headers],[ID]])))="",TRUE()),"",IF(OR(INDEX(tsk_IsSummary,(ROW()-ROW(MSPTasks[[#Headers],[ID]]))),INDEX(tsk_Mode,(ROW()-ROW(MSPTasks[[#Headers],[ID]])))="Manual"),"",IF(N(INDEX(tsk_Constraint,(ROW()-ROW(MSPTasks[[#Headers],[ID]]))))=0,"",INDEX(tsk_Constraint,(ROW()-ROW(MSPTasks[[#Headers],[ID]]))))))</f>
        <v/>
      </c>
      <c r="W156" s="130" t="str">
        <f aca="false">IF(IFERROR(INDEX(tsk_Name,(ROW()-ROW(MSPTasks[[#Headers],[ID]])))="",TRUE()),"",IF(N(INDEX(tsk_Deadline,(ROW()-ROW(MSPTasks[[#Headers],[ID]]))))=0,"",INDEX(tsk_Deadline,(ROW()-ROW(MSPTasks[[#Headers],[ID]])))))</f>
        <v/>
      </c>
      <c r="X156" s="24" t="str">
        <f aca="false">IF(IFERROR(INDEX(tsk_Name,(ROW()-ROW(MSPTasks[[#Headers],[ID]])))="",TRUE()),"",IF(INDEX(tsk_IsSummary,(ROW()-ROW(MSPTasks[[#Headers],[ID]]))),"",INDEX(tsk_Sprint,(ROW()-ROW(MSPTasks[[#Headers],[ID]])))&amp;""))</f>
        <v/>
      </c>
      <c r="Y156" s="24" t="str">
        <f aca="false">IF(IFERROR(INDEX(tsk_Name,(ROW()-ROW(MSPTasks[[#Headers],[ID]])))="",TRUE()),"",IF(INDEX(tsk_IsSummary,(ROW()-ROW(MSPTasks[[#Headers],[ID]]))),"",IF(N(INDEX(tsk_StoryPoints,(ROW()-ROW(MSPTasks[[#Headers],[ID]]))))=0,"",INDEX(tsk_StoryPoints,(ROW()-ROW(MSPTasks[[#Headers],[ID]]))))))</f>
        <v/>
      </c>
      <c r="Z156" s="24" t="str">
        <f aca="false">IF(IFERROR(INDEX(tsk_Name,(ROW()-ROW(MSPTasks[[#Headers],[ID]])))="",TRUE()),"",INDEX(tsk_Notes,(ROW()-ROW(MSPTasks[[#Headers],[ID]])))&amp;"")</f>
        <v/>
      </c>
    </row>
    <row r="157" customFormat="false" ht="15" hidden="false" customHeight="false" outlineLevel="0" collapsed="false">
      <c r="A157" s="24" t="str">
        <f aca="false">IF(IFERROR(INDEX(tsk_Name,(ROW()-ROW(MSPTasks[[#Headers],[ID]])))="",TRUE()),"",INDEX(tsk_ID,(ROW()-ROW(MSPTasks[[#Headers],[ID]]))))</f>
        <v/>
      </c>
      <c r="B157" s="24" t="str">
        <f aca="false">IF(IFERROR(INDEX(tsk_Name,(ROW()-ROW(MSPTasks[[#Headers],[ID]])))="",TRUE()),"",INDEX(tsk_UID,(ROW()-ROW(MSPTasks[[#Headers],[ID]]))))</f>
        <v/>
      </c>
      <c r="C157" s="24" t="str">
        <f aca="false">IF(IFERROR(INDEX(tsk_Name,(ROW()-ROW(MSPTasks[[#Headers],[ID]])))="",TRUE()),"",INDEX(tsk_Name,(ROW()-ROW(MSPTasks[[#Headers],[ID]]))))</f>
        <v/>
      </c>
      <c r="D157" s="24" t="str">
        <f aca="false">IF(IFERROR(INDEX(tsk_Name,(ROW()-ROW(MSPTasks[[#Headers],[ID]])))="",TRUE()),"",INDEX(tsk_Level,(ROW()-ROW(MSPTasks[[#Headers],[ID]]))))</f>
        <v/>
      </c>
      <c r="E157" s="24" t="str">
        <f aca="false">IF(IFERROR(INDEX(tsk_Name,(ROW()-ROW(MSPTasks[[#Headers],[ID]])))="",TRUE()),"",IF(INDEX(tsk_Mode,(ROW()-ROW(MSPTasks[[#Headers],[ID]])))="Manual","Manually Scheduled","Auto Scheduled"))</f>
        <v/>
      </c>
      <c r="F157" s="24" t="str">
        <f aca="false">IF(IFERROR(INDEX(tsk_Name,(ROW()-ROW(MSPTasks[[#Headers],[ID]])))="",TRUE()),"",IF(INDEX(tsk_IsSummary,(ROW()-ROW(MSPTasks[[#Headers],[ID]]))),"",N(INDEX(tsk_Duration,(ROW()-ROW(MSPTasks[[#Headers],[ID]]))))&amp;"d"))</f>
        <v/>
      </c>
      <c r="G157" s="130" t="str">
        <f aca="false">IF(IFERROR(INDEX(tsk_Name,(ROW()-ROW(MSPTasks[[#Headers],[ID]])))="",TRUE()),"",INDEX(tsk_FcStart,(ROW()-ROW(MSPTasks[[#Headers],[ID]]))))</f>
        <v/>
      </c>
      <c r="H157" s="130" t="str">
        <f aca="false">IF(IFERROR(INDEX(tsk_Name,(ROW()-ROW(MSPTasks[[#Headers],[ID]])))="",TRUE()),"",INDEX(tsk_FcFinish,(ROW()-ROW(MSPTasks[[#Headers],[ID]]))))</f>
        <v/>
      </c>
      <c r="I157" s="24" t="str">
        <f aca="false">IF(IFERROR(INDEX(tsk_Name,(ROW()-ROW(MSPTasks[[#Headers],[ID]])))="",TRUE()),"",IF(INDEX(tsk_IsSummary,(ROW()-ROW(MSPTasks[[#Headers],[ID]]))),"",INDEX(tsk_Predecessors,(ROW()-ROW(MSPTasks[[#Headers],[ID]])))))</f>
        <v/>
      </c>
      <c r="J157" s="24" t="str">
        <f aca="false">IF(IFERROR(INDEX(tsk_Name,(ROW()-ROW(MSPTasks[[#Headers],[ID]])))="",TRUE()),"",IF(INDEX(tsk_IsSummary,(ROW()-ROW(MSPTasks[[#Headers],[ID]]))),"",INDEX(tsk_UIDPredecessors,(ROW()-ROW(MSPTasks[[#Headers],[ID]])))))</f>
        <v/>
      </c>
      <c r="K1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7" s="24" t="str">
        <f aca="false">IF(IFERROR(INDEX(tsk_Name,(ROW()-ROW(MSPTasks[[#Headers],[ID]])))="",TRUE()),"",IF(INDEX(tsk_IsSummary,(ROW()-ROW(MSPTasks[[#Headers],[ID]]))),"",ROUND(INDEX(tsk_Progress,(ROW()-ROW(MSPTasks[[#Headers],[ID]])))*100,0)))</f>
        <v/>
      </c>
      <c r="M157" s="130" t="str">
        <f aca="false">IF(IFERROR(INDEX(tsk_Name,(ROW()-ROW(MSPTasks[[#Headers],[ID]])))="",TRUE()),"",IF(N(INDEX(tsk_ActStart,(ROW()-ROW(MSPTasks[[#Headers],[ID]]))))=0,"",INDEX(tsk_ActStart,(ROW()-ROW(MSPTasks[[#Headers],[ID]])))))</f>
        <v/>
      </c>
      <c r="N157" s="130" t="str">
        <f aca="false">IF(IFERROR(INDEX(tsk_Name,(ROW()-ROW(MSPTasks[[#Headers],[ID]])))="",TRUE()),"",IF(N(INDEX(tsk_ActFinish,(ROW()-ROW(MSPTasks[[#Headers],[ID]]))))=0,"",INDEX(tsk_ActFinish,(ROW()-ROW(MSPTasks[[#Headers],[ID]])))))</f>
        <v/>
      </c>
      <c r="O157" s="130" t="str">
        <f aca="false">IF(IFERROR(INDEX(tsk_Name,(ROW()-ROW(MSPTasks[[#Headers],[ID]])))="",TRUE()),"",INDEX(tsk_PlanStart,(ROW()-ROW(MSPTasks[[#Headers],[ID]]))))</f>
        <v/>
      </c>
      <c r="P157" s="130" t="str">
        <f aca="false">IF(IFERROR(INDEX(tsk_Name,(ROW()-ROW(MSPTasks[[#Headers],[ID]])))="",TRUE()),"",INDEX(tsk_PlanFinish,(ROW()-ROW(MSPTasks[[#Headers],[ID]]))))</f>
        <v/>
      </c>
      <c r="Q157" s="24" t="str">
        <f aca="false">IF(IFERROR(INDEX(tsk_Name,(ROW()-ROW(MSPTasks[[#Headers],[ID]])))="",TRUE()),"",IF(INDEX(tsk_BaseDuration,(ROW()-ROW(MSPTasks[[#Headers],[ID]])))="","",N(INDEX(tsk_BaseDuration,(ROW()-ROW(MSPTasks[[#Headers],[ID]]))))&amp;"d"))</f>
        <v/>
      </c>
      <c r="R157" s="24" t="str">
        <f aca="false">IF(IFERROR(INDEX(tsk_Name,(ROW()-ROW(MSPTasks[[#Headers],[ID]])))="",TRUE()),"",IF(INDEX(tsk_BaseWork,(ROW()-ROW(MSPTasks[[#Headers],[ID]])))="","",N(INDEX(tsk_BaseWork,(ROW()-ROW(MSPTasks[[#Headers],[ID]]))))&amp;"h"))</f>
        <v/>
      </c>
      <c r="S157" s="24" t="str">
        <f aca="false">IF(IFERROR(INDEX(tsk_Name,(ROW()-ROW(MSPTasks[[#Headers],[ID]])))="",TRUE()),"",IF(INDEX(tsk_BaseCost,(ROW()-ROW(MSPTasks[[#Headers],[ID]])))="","",N(INDEX(tsk_BaseCost,(ROW()-ROW(MSPTasks[[#Headers],[ID]]))))))</f>
        <v/>
      </c>
      <c r="T157" s="24" t="str">
        <f aca="false">IF(IFERROR(INDEX(tsk_Name,(ROW()-ROW(MSPTasks[[#Headers],[ID]])))="",TRUE()),"",IF(INDEX(tsk_IsSummary,(ROW()-ROW(MSPTasks[[#Headers],[ID]]))),"",IF(N(INDEX(tsk_ActCostInput,(ROW()-ROW(MSPTasks[[#Headers],[ID]]))))=0,"",INDEX(tsk_ActCostInput,(ROW()-ROW(MSPTasks[[#Headers],[ID]]))))))</f>
        <v/>
      </c>
      <c r="U157" s="24" t="str">
        <f aca="false">IF(IFERROR(INDEX(tsk_Name,(ROW()-ROW(MSPTasks[[#Headers],[ID]])))="",TRUE()),"",IF(INDEX(tsk_IsSummary,(ROW()-ROW(MSPTasks[[#Headers],[ID]]))),"",IF(AND(INDEX(tsk_Mode,(ROW()-ROW(MSPTasks[[#Headers],[ID]])))&lt;&gt;"Manual",N(INDEX(tsk_Constraint,(ROW()-ROW(MSPTasks[[#Headers],[ID]]))))&gt;0),"Start No Earlier Than","As Soon As Possible")))</f>
        <v/>
      </c>
      <c r="V157" s="130" t="str">
        <f aca="false">IF(IFERROR(INDEX(tsk_Name,(ROW()-ROW(MSPTasks[[#Headers],[ID]])))="",TRUE()),"",IF(OR(INDEX(tsk_IsSummary,(ROW()-ROW(MSPTasks[[#Headers],[ID]]))),INDEX(tsk_Mode,(ROW()-ROW(MSPTasks[[#Headers],[ID]])))="Manual"),"",IF(N(INDEX(tsk_Constraint,(ROW()-ROW(MSPTasks[[#Headers],[ID]]))))=0,"",INDEX(tsk_Constraint,(ROW()-ROW(MSPTasks[[#Headers],[ID]]))))))</f>
        <v/>
      </c>
      <c r="W157" s="130" t="str">
        <f aca="false">IF(IFERROR(INDEX(tsk_Name,(ROW()-ROW(MSPTasks[[#Headers],[ID]])))="",TRUE()),"",IF(N(INDEX(tsk_Deadline,(ROW()-ROW(MSPTasks[[#Headers],[ID]]))))=0,"",INDEX(tsk_Deadline,(ROW()-ROW(MSPTasks[[#Headers],[ID]])))))</f>
        <v/>
      </c>
      <c r="X157" s="24" t="str">
        <f aca="false">IF(IFERROR(INDEX(tsk_Name,(ROW()-ROW(MSPTasks[[#Headers],[ID]])))="",TRUE()),"",IF(INDEX(tsk_IsSummary,(ROW()-ROW(MSPTasks[[#Headers],[ID]]))),"",INDEX(tsk_Sprint,(ROW()-ROW(MSPTasks[[#Headers],[ID]])))&amp;""))</f>
        <v/>
      </c>
      <c r="Y157" s="24" t="str">
        <f aca="false">IF(IFERROR(INDEX(tsk_Name,(ROW()-ROW(MSPTasks[[#Headers],[ID]])))="",TRUE()),"",IF(INDEX(tsk_IsSummary,(ROW()-ROW(MSPTasks[[#Headers],[ID]]))),"",IF(N(INDEX(tsk_StoryPoints,(ROW()-ROW(MSPTasks[[#Headers],[ID]]))))=0,"",INDEX(tsk_StoryPoints,(ROW()-ROW(MSPTasks[[#Headers],[ID]]))))))</f>
        <v/>
      </c>
      <c r="Z157" s="24" t="str">
        <f aca="false">IF(IFERROR(INDEX(tsk_Name,(ROW()-ROW(MSPTasks[[#Headers],[ID]])))="",TRUE()),"",INDEX(tsk_Notes,(ROW()-ROW(MSPTasks[[#Headers],[ID]])))&amp;"")</f>
        <v/>
      </c>
    </row>
    <row r="158" customFormat="false" ht="15" hidden="false" customHeight="false" outlineLevel="0" collapsed="false">
      <c r="A158" s="24" t="str">
        <f aca="false">IF(IFERROR(INDEX(tsk_Name,(ROW()-ROW(MSPTasks[[#Headers],[ID]])))="",TRUE()),"",INDEX(tsk_ID,(ROW()-ROW(MSPTasks[[#Headers],[ID]]))))</f>
        <v/>
      </c>
      <c r="B158" s="24" t="str">
        <f aca="false">IF(IFERROR(INDEX(tsk_Name,(ROW()-ROW(MSPTasks[[#Headers],[ID]])))="",TRUE()),"",INDEX(tsk_UID,(ROW()-ROW(MSPTasks[[#Headers],[ID]]))))</f>
        <v/>
      </c>
      <c r="C158" s="24" t="str">
        <f aca="false">IF(IFERROR(INDEX(tsk_Name,(ROW()-ROW(MSPTasks[[#Headers],[ID]])))="",TRUE()),"",INDEX(tsk_Name,(ROW()-ROW(MSPTasks[[#Headers],[ID]]))))</f>
        <v/>
      </c>
      <c r="D158" s="24" t="str">
        <f aca="false">IF(IFERROR(INDEX(tsk_Name,(ROW()-ROW(MSPTasks[[#Headers],[ID]])))="",TRUE()),"",INDEX(tsk_Level,(ROW()-ROW(MSPTasks[[#Headers],[ID]]))))</f>
        <v/>
      </c>
      <c r="E158" s="24" t="str">
        <f aca="false">IF(IFERROR(INDEX(tsk_Name,(ROW()-ROW(MSPTasks[[#Headers],[ID]])))="",TRUE()),"",IF(INDEX(tsk_Mode,(ROW()-ROW(MSPTasks[[#Headers],[ID]])))="Manual","Manually Scheduled","Auto Scheduled"))</f>
        <v/>
      </c>
      <c r="F158" s="24" t="str">
        <f aca="false">IF(IFERROR(INDEX(tsk_Name,(ROW()-ROW(MSPTasks[[#Headers],[ID]])))="",TRUE()),"",IF(INDEX(tsk_IsSummary,(ROW()-ROW(MSPTasks[[#Headers],[ID]]))),"",N(INDEX(tsk_Duration,(ROW()-ROW(MSPTasks[[#Headers],[ID]]))))&amp;"d"))</f>
        <v/>
      </c>
      <c r="G158" s="130" t="str">
        <f aca="false">IF(IFERROR(INDEX(tsk_Name,(ROW()-ROW(MSPTasks[[#Headers],[ID]])))="",TRUE()),"",INDEX(tsk_FcStart,(ROW()-ROW(MSPTasks[[#Headers],[ID]]))))</f>
        <v/>
      </c>
      <c r="H158" s="130" t="str">
        <f aca="false">IF(IFERROR(INDEX(tsk_Name,(ROW()-ROW(MSPTasks[[#Headers],[ID]])))="",TRUE()),"",INDEX(tsk_FcFinish,(ROW()-ROW(MSPTasks[[#Headers],[ID]]))))</f>
        <v/>
      </c>
      <c r="I158" s="24" t="str">
        <f aca="false">IF(IFERROR(INDEX(tsk_Name,(ROW()-ROW(MSPTasks[[#Headers],[ID]])))="",TRUE()),"",IF(INDEX(tsk_IsSummary,(ROW()-ROW(MSPTasks[[#Headers],[ID]]))),"",INDEX(tsk_Predecessors,(ROW()-ROW(MSPTasks[[#Headers],[ID]])))))</f>
        <v/>
      </c>
      <c r="J158" s="24" t="str">
        <f aca="false">IF(IFERROR(INDEX(tsk_Name,(ROW()-ROW(MSPTasks[[#Headers],[ID]])))="",TRUE()),"",IF(INDEX(tsk_IsSummary,(ROW()-ROW(MSPTasks[[#Headers],[ID]]))),"",INDEX(tsk_UIDPredecessors,(ROW()-ROW(MSPTasks[[#Headers],[ID]])))))</f>
        <v/>
      </c>
      <c r="K1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8" s="24" t="str">
        <f aca="false">IF(IFERROR(INDEX(tsk_Name,(ROW()-ROW(MSPTasks[[#Headers],[ID]])))="",TRUE()),"",IF(INDEX(tsk_IsSummary,(ROW()-ROW(MSPTasks[[#Headers],[ID]]))),"",ROUND(INDEX(tsk_Progress,(ROW()-ROW(MSPTasks[[#Headers],[ID]])))*100,0)))</f>
        <v/>
      </c>
      <c r="M158" s="130" t="str">
        <f aca="false">IF(IFERROR(INDEX(tsk_Name,(ROW()-ROW(MSPTasks[[#Headers],[ID]])))="",TRUE()),"",IF(N(INDEX(tsk_ActStart,(ROW()-ROW(MSPTasks[[#Headers],[ID]]))))=0,"",INDEX(tsk_ActStart,(ROW()-ROW(MSPTasks[[#Headers],[ID]])))))</f>
        <v/>
      </c>
      <c r="N158" s="130" t="str">
        <f aca="false">IF(IFERROR(INDEX(tsk_Name,(ROW()-ROW(MSPTasks[[#Headers],[ID]])))="",TRUE()),"",IF(N(INDEX(tsk_ActFinish,(ROW()-ROW(MSPTasks[[#Headers],[ID]]))))=0,"",INDEX(tsk_ActFinish,(ROW()-ROW(MSPTasks[[#Headers],[ID]])))))</f>
        <v/>
      </c>
      <c r="O158" s="130" t="str">
        <f aca="false">IF(IFERROR(INDEX(tsk_Name,(ROW()-ROW(MSPTasks[[#Headers],[ID]])))="",TRUE()),"",INDEX(tsk_PlanStart,(ROW()-ROW(MSPTasks[[#Headers],[ID]]))))</f>
        <v/>
      </c>
      <c r="P158" s="130" t="str">
        <f aca="false">IF(IFERROR(INDEX(tsk_Name,(ROW()-ROW(MSPTasks[[#Headers],[ID]])))="",TRUE()),"",INDEX(tsk_PlanFinish,(ROW()-ROW(MSPTasks[[#Headers],[ID]]))))</f>
        <v/>
      </c>
      <c r="Q158" s="24" t="str">
        <f aca="false">IF(IFERROR(INDEX(tsk_Name,(ROW()-ROW(MSPTasks[[#Headers],[ID]])))="",TRUE()),"",IF(INDEX(tsk_BaseDuration,(ROW()-ROW(MSPTasks[[#Headers],[ID]])))="","",N(INDEX(tsk_BaseDuration,(ROW()-ROW(MSPTasks[[#Headers],[ID]]))))&amp;"d"))</f>
        <v/>
      </c>
      <c r="R158" s="24" t="str">
        <f aca="false">IF(IFERROR(INDEX(tsk_Name,(ROW()-ROW(MSPTasks[[#Headers],[ID]])))="",TRUE()),"",IF(INDEX(tsk_BaseWork,(ROW()-ROW(MSPTasks[[#Headers],[ID]])))="","",N(INDEX(tsk_BaseWork,(ROW()-ROW(MSPTasks[[#Headers],[ID]]))))&amp;"h"))</f>
        <v/>
      </c>
      <c r="S158" s="24" t="str">
        <f aca="false">IF(IFERROR(INDEX(tsk_Name,(ROW()-ROW(MSPTasks[[#Headers],[ID]])))="",TRUE()),"",IF(INDEX(tsk_BaseCost,(ROW()-ROW(MSPTasks[[#Headers],[ID]])))="","",N(INDEX(tsk_BaseCost,(ROW()-ROW(MSPTasks[[#Headers],[ID]]))))))</f>
        <v/>
      </c>
      <c r="T158" s="24" t="str">
        <f aca="false">IF(IFERROR(INDEX(tsk_Name,(ROW()-ROW(MSPTasks[[#Headers],[ID]])))="",TRUE()),"",IF(INDEX(tsk_IsSummary,(ROW()-ROW(MSPTasks[[#Headers],[ID]]))),"",IF(N(INDEX(tsk_ActCostInput,(ROW()-ROW(MSPTasks[[#Headers],[ID]]))))=0,"",INDEX(tsk_ActCostInput,(ROW()-ROW(MSPTasks[[#Headers],[ID]]))))))</f>
        <v/>
      </c>
      <c r="U158" s="24" t="str">
        <f aca="false">IF(IFERROR(INDEX(tsk_Name,(ROW()-ROW(MSPTasks[[#Headers],[ID]])))="",TRUE()),"",IF(INDEX(tsk_IsSummary,(ROW()-ROW(MSPTasks[[#Headers],[ID]]))),"",IF(AND(INDEX(tsk_Mode,(ROW()-ROW(MSPTasks[[#Headers],[ID]])))&lt;&gt;"Manual",N(INDEX(tsk_Constraint,(ROW()-ROW(MSPTasks[[#Headers],[ID]]))))&gt;0),"Start No Earlier Than","As Soon As Possible")))</f>
        <v/>
      </c>
      <c r="V158" s="130" t="str">
        <f aca="false">IF(IFERROR(INDEX(tsk_Name,(ROW()-ROW(MSPTasks[[#Headers],[ID]])))="",TRUE()),"",IF(OR(INDEX(tsk_IsSummary,(ROW()-ROW(MSPTasks[[#Headers],[ID]]))),INDEX(tsk_Mode,(ROW()-ROW(MSPTasks[[#Headers],[ID]])))="Manual"),"",IF(N(INDEX(tsk_Constraint,(ROW()-ROW(MSPTasks[[#Headers],[ID]]))))=0,"",INDEX(tsk_Constraint,(ROW()-ROW(MSPTasks[[#Headers],[ID]]))))))</f>
        <v/>
      </c>
      <c r="W158" s="130" t="str">
        <f aca="false">IF(IFERROR(INDEX(tsk_Name,(ROW()-ROW(MSPTasks[[#Headers],[ID]])))="",TRUE()),"",IF(N(INDEX(tsk_Deadline,(ROW()-ROW(MSPTasks[[#Headers],[ID]]))))=0,"",INDEX(tsk_Deadline,(ROW()-ROW(MSPTasks[[#Headers],[ID]])))))</f>
        <v/>
      </c>
      <c r="X158" s="24" t="str">
        <f aca="false">IF(IFERROR(INDEX(tsk_Name,(ROW()-ROW(MSPTasks[[#Headers],[ID]])))="",TRUE()),"",IF(INDEX(tsk_IsSummary,(ROW()-ROW(MSPTasks[[#Headers],[ID]]))),"",INDEX(tsk_Sprint,(ROW()-ROW(MSPTasks[[#Headers],[ID]])))&amp;""))</f>
        <v/>
      </c>
      <c r="Y158" s="24" t="str">
        <f aca="false">IF(IFERROR(INDEX(tsk_Name,(ROW()-ROW(MSPTasks[[#Headers],[ID]])))="",TRUE()),"",IF(INDEX(tsk_IsSummary,(ROW()-ROW(MSPTasks[[#Headers],[ID]]))),"",IF(N(INDEX(tsk_StoryPoints,(ROW()-ROW(MSPTasks[[#Headers],[ID]]))))=0,"",INDEX(tsk_StoryPoints,(ROW()-ROW(MSPTasks[[#Headers],[ID]]))))))</f>
        <v/>
      </c>
      <c r="Z158" s="24" t="str">
        <f aca="false">IF(IFERROR(INDEX(tsk_Name,(ROW()-ROW(MSPTasks[[#Headers],[ID]])))="",TRUE()),"",INDEX(tsk_Notes,(ROW()-ROW(MSPTasks[[#Headers],[ID]])))&amp;"")</f>
        <v/>
      </c>
    </row>
    <row r="159" customFormat="false" ht="15" hidden="false" customHeight="false" outlineLevel="0" collapsed="false">
      <c r="A159" s="24" t="str">
        <f aca="false">IF(IFERROR(INDEX(tsk_Name,(ROW()-ROW(MSPTasks[[#Headers],[ID]])))="",TRUE()),"",INDEX(tsk_ID,(ROW()-ROW(MSPTasks[[#Headers],[ID]]))))</f>
        <v/>
      </c>
      <c r="B159" s="24" t="str">
        <f aca="false">IF(IFERROR(INDEX(tsk_Name,(ROW()-ROW(MSPTasks[[#Headers],[ID]])))="",TRUE()),"",INDEX(tsk_UID,(ROW()-ROW(MSPTasks[[#Headers],[ID]]))))</f>
        <v/>
      </c>
      <c r="C159" s="24" t="str">
        <f aca="false">IF(IFERROR(INDEX(tsk_Name,(ROW()-ROW(MSPTasks[[#Headers],[ID]])))="",TRUE()),"",INDEX(tsk_Name,(ROW()-ROW(MSPTasks[[#Headers],[ID]]))))</f>
        <v/>
      </c>
      <c r="D159" s="24" t="str">
        <f aca="false">IF(IFERROR(INDEX(tsk_Name,(ROW()-ROW(MSPTasks[[#Headers],[ID]])))="",TRUE()),"",INDEX(tsk_Level,(ROW()-ROW(MSPTasks[[#Headers],[ID]]))))</f>
        <v/>
      </c>
      <c r="E159" s="24" t="str">
        <f aca="false">IF(IFERROR(INDEX(tsk_Name,(ROW()-ROW(MSPTasks[[#Headers],[ID]])))="",TRUE()),"",IF(INDEX(tsk_Mode,(ROW()-ROW(MSPTasks[[#Headers],[ID]])))="Manual","Manually Scheduled","Auto Scheduled"))</f>
        <v/>
      </c>
      <c r="F159" s="24" t="str">
        <f aca="false">IF(IFERROR(INDEX(tsk_Name,(ROW()-ROW(MSPTasks[[#Headers],[ID]])))="",TRUE()),"",IF(INDEX(tsk_IsSummary,(ROW()-ROW(MSPTasks[[#Headers],[ID]]))),"",N(INDEX(tsk_Duration,(ROW()-ROW(MSPTasks[[#Headers],[ID]]))))&amp;"d"))</f>
        <v/>
      </c>
      <c r="G159" s="130" t="str">
        <f aca="false">IF(IFERROR(INDEX(tsk_Name,(ROW()-ROW(MSPTasks[[#Headers],[ID]])))="",TRUE()),"",INDEX(tsk_FcStart,(ROW()-ROW(MSPTasks[[#Headers],[ID]]))))</f>
        <v/>
      </c>
      <c r="H159" s="130" t="str">
        <f aca="false">IF(IFERROR(INDEX(tsk_Name,(ROW()-ROW(MSPTasks[[#Headers],[ID]])))="",TRUE()),"",INDEX(tsk_FcFinish,(ROW()-ROW(MSPTasks[[#Headers],[ID]]))))</f>
        <v/>
      </c>
      <c r="I159" s="24" t="str">
        <f aca="false">IF(IFERROR(INDEX(tsk_Name,(ROW()-ROW(MSPTasks[[#Headers],[ID]])))="",TRUE()),"",IF(INDEX(tsk_IsSummary,(ROW()-ROW(MSPTasks[[#Headers],[ID]]))),"",INDEX(tsk_Predecessors,(ROW()-ROW(MSPTasks[[#Headers],[ID]])))))</f>
        <v/>
      </c>
      <c r="J159" s="24" t="str">
        <f aca="false">IF(IFERROR(INDEX(tsk_Name,(ROW()-ROW(MSPTasks[[#Headers],[ID]])))="",TRUE()),"",IF(INDEX(tsk_IsSummary,(ROW()-ROW(MSPTasks[[#Headers],[ID]]))),"",INDEX(tsk_UIDPredecessors,(ROW()-ROW(MSPTasks[[#Headers],[ID]])))))</f>
        <v/>
      </c>
      <c r="K1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9" s="24" t="str">
        <f aca="false">IF(IFERROR(INDEX(tsk_Name,(ROW()-ROW(MSPTasks[[#Headers],[ID]])))="",TRUE()),"",IF(INDEX(tsk_IsSummary,(ROW()-ROW(MSPTasks[[#Headers],[ID]]))),"",ROUND(INDEX(tsk_Progress,(ROW()-ROW(MSPTasks[[#Headers],[ID]])))*100,0)))</f>
        <v/>
      </c>
      <c r="M159" s="130" t="str">
        <f aca="false">IF(IFERROR(INDEX(tsk_Name,(ROW()-ROW(MSPTasks[[#Headers],[ID]])))="",TRUE()),"",IF(N(INDEX(tsk_ActStart,(ROW()-ROW(MSPTasks[[#Headers],[ID]]))))=0,"",INDEX(tsk_ActStart,(ROW()-ROW(MSPTasks[[#Headers],[ID]])))))</f>
        <v/>
      </c>
      <c r="N159" s="130" t="str">
        <f aca="false">IF(IFERROR(INDEX(tsk_Name,(ROW()-ROW(MSPTasks[[#Headers],[ID]])))="",TRUE()),"",IF(N(INDEX(tsk_ActFinish,(ROW()-ROW(MSPTasks[[#Headers],[ID]]))))=0,"",INDEX(tsk_ActFinish,(ROW()-ROW(MSPTasks[[#Headers],[ID]])))))</f>
        <v/>
      </c>
      <c r="O159" s="130" t="str">
        <f aca="false">IF(IFERROR(INDEX(tsk_Name,(ROW()-ROW(MSPTasks[[#Headers],[ID]])))="",TRUE()),"",INDEX(tsk_PlanStart,(ROW()-ROW(MSPTasks[[#Headers],[ID]]))))</f>
        <v/>
      </c>
      <c r="P159" s="130" t="str">
        <f aca="false">IF(IFERROR(INDEX(tsk_Name,(ROW()-ROW(MSPTasks[[#Headers],[ID]])))="",TRUE()),"",INDEX(tsk_PlanFinish,(ROW()-ROW(MSPTasks[[#Headers],[ID]]))))</f>
        <v/>
      </c>
      <c r="Q159" s="24" t="str">
        <f aca="false">IF(IFERROR(INDEX(tsk_Name,(ROW()-ROW(MSPTasks[[#Headers],[ID]])))="",TRUE()),"",IF(INDEX(tsk_BaseDuration,(ROW()-ROW(MSPTasks[[#Headers],[ID]])))="","",N(INDEX(tsk_BaseDuration,(ROW()-ROW(MSPTasks[[#Headers],[ID]]))))&amp;"d"))</f>
        <v/>
      </c>
      <c r="R159" s="24" t="str">
        <f aca="false">IF(IFERROR(INDEX(tsk_Name,(ROW()-ROW(MSPTasks[[#Headers],[ID]])))="",TRUE()),"",IF(INDEX(tsk_BaseWork,(ROW()-ROW(MSPTasks[[#Headers],[ID]])))="","",N(INDEX(tsk_BaseWork,(ROW()-ROW(MSPTasks[[#Headers],[ID]]))))&amp;"h"))</f>
        <v/>
      </c>
      <c r="S159" s="24" t="str">
        <f aca="false">IF(IFERROR(INDEX(tsk_Name,(ROW()-ROW(MSPTasks[[#Headers],[ID]])))="",TRUE()),"",IF(INDEX(tsk_BaseCost,(ROW()-ROW(MSPTasks[[#Headers],[ID]])))="","",N(INDEX(tsk_BaseCost,(ROW()-ROW(MSPTasks[[#Headers],[ID]]))))))</f>
        <v/>
      </c>
      <c r="T159" s="24" t="str">
        <f aca="false">IF(IFERROR(INDEX(tsk_Name,(ROW()-ROW(MSPTasks[[#Headers],[ID]])))="",TRUE()),"",IF(INDEX(tsk_IsSummary,(ROW()-ROW(MSPTasks[[#Headers],[ID]]))),"",IF(N(INDEX(tsk_ActCostInput,(ROW()-ROW(MSPTasks[[#Headers],[ID]]))))=0,"",INDEX(tsk_ActCostInput,(ROW()-ROW(MSPTasks[[#Headers],[ID]]))))))</f>
        <v/>
      </c>
      <c r="U159" s="24" t="str">
        <f aca="false">IF(IFERROR(INDEX(tsk_Name,(ROW()-ROW(MSPTasks[[#Headers],[ID]])))="",TRUE()),"",IF(INDEX(tsk_IsSummary,(ROW()-ROW(MSPTasks[[#Headers],[ID]]))),"",IF(AND(INDEX(tsk_Mode,(ROW()-ROW(MSPTasks[[#Headers],[ID]])))&lt;&gt;"Manual",N(INDEX(tsk_Constraint,(ROW()-ROW(MSPTasks[[#Headers],[ID]]))))&gt;0),"Start No Earlier Than","As Soon As Possible")))</f>
        <v/>
      </c>
      <c r="V159" s="130" t="str">
        <f aca="false">IF(IFERROR(INDEX(tsk_Name,(ROW()-ROW(MSPTasks[[#Headers],[ID]])))="",TRUE()),"",IF(OR(INDEX(tsk_IsSummary,(ROW()-ROW(MSPTasks[[#Headers],[ID]]))),INDEX(tsk_Mode,(ROW()-ROW(MSPTasks[[#Headers],[ID]])))="Manual"),"",IF(N(INDEX(tsk_Constraint,(ROW()-ROW(MSPTasks[[#Headers],[ID]]))))=0,"",INDEX(tsk_Constraint,(ROW()-ROW(MSPTasks[[#Headers],[ID]]))))))</f>
        <v/>
      </c>
      <c r="W159" s="130" t="str">
        <f aca="false">IF(IFERROR(INDEX(tsk_Name,(ROW()-ROW(MSPTasks[[#Headers],[ID]])))="",TRUE()),"",IF(N(INDEX(tsk_Deadline,(ROW()-ROW(MSPTasks[[#Headers],[ID]]))))=0,"",INDEX(tsk_Deadline,(ROW()-ROW(MSPTasks[[#Headers],[ID]])))))</f>
        <v/>
      </c>
      <c r="X159" s="24" t="str">
        <f aca="false">IF(IFERROR(INDEX(tsk_Name,(ROW()-ROW(MSPTasks[[#Headers],[ID]])))="",TRUE()),"",IF(INDEX(tsk_IsSummary,(ROW()-ROW(MSPTasks[[#Headers],[ID]]))),"",INDEX(tsk_Sprint,(ROW()-ROW(MSPTasks[[#Headers],[ID]])))&amp;""))</f>
        <v/>
      </c>
      <c r="Y159" s="24" t="str">
        <f aca="false">IF(IFERROR(INDEX(tsk_Name,(ROW()-ROW(MSPTasks[[#Headers],[ID]])))="",TRUE()),"",IF(INDEX(tsk_IsSummary,(ROW()-ROW(MSPTasks[[#Headers],[ID]]))),"",IF(N(INDEX(tsk_StoryPoints,(ROW()-ROW(MSPTasks[[#Headers],[ID]]))))=0,"",INDEX(tsk_StoryPoints,(ROW()-ROW(MSPTasks[[#Headers],[ID]]))))))</f>
        <v/>
      </c>
      <c r="Z159" s="24" t="str">
        <f aca="false">IF(IFERROR(INDEX(tsk_Name,(ROW()-ROW(MSPTasks[[#Headers],[ID]])))="",TRUE()),"",INDEX(tsk_Notes,(ROW()-ROW(MSPTasks[[#Headers],[ID]])))&amp;"")</f>
        <v/>
      </c>
    </row>
    <row r="160" customFormat="false" ht="15" hidden="false" customHeight="false" outlineLevel="0" collapsed="false">
      <c r="A160" s="24" t="str">
        <f aca="false">IF(IFERROR(INDEX(tsk_Name,(ROW()-ROW(MSPTasks[[#Headers],[ID]])))="",TRUE()),"",INDEX(tsk_ID,(ROW()-ROW(MSPTasks[[#Headers],[ID]]))))</f>
        <v/>
      </c>
      <c r="B160" s="24" t="str">
        <f aca="false">IF(IFERROR(INDEX(tsk_Name,(ROW()-ROW(MSPTasks[[#Headers],[ID]])))="",TRUE()),"",INDEX(tsk_UID,(ROW()-ROW(MSPTasks[[#Headers],[ID]]))))</f>
        <v/>
      </c>
      <c r="C160" s="24" t="str">
        <f aca="false">IF(IFERROR(INDEX(tsk_Name,(ROW()-ROW(MSPTasks[[#Headers],[ID]])))="",TRUE()),"",INDEX(tsk_Name,(ROW()-ROW(MSPTasks[[#Headers],[ID]]))))</f>
        <v/>
      </c>
      <c r="D160" s="24" t="str">
        <f aca="false">IF(IFERROR(INDEX(tsk_Name,(ROW()-ROW(MSPTasks[[#Headers],[ID]])))="",TRUE()),"",INDEX(tsk_Level,(ROW()-ROW(MSPTasks[[#Headers],[ID]]))))</f>
        <v/>
      </c>
      <c r="E160" s="24" t="str">
        <f aca="false">IF(IFERROR(INDEX(tsk_Name,(ROW()-ROW(MSPTasks[[#Headers],[ID]])))="",TRUE()),"",IF(INDEX(tsk_Mode,(ROW()-ROW(MSPTasks[[#Headers],[ID]])))="Manual","Manually Scheduled","Auto Scheduled"))</f>
        <v/>
      </c>
      <c r="F160" s="24" t="str">
        <f aca="false">IF(IFERROR(INDEX(tsk_Name,(ROW()-ROW(MSPTasks[[#Headers],[ID]])))="",TRUE()),"",IF(INDEX(tsk_IsSummary,(ROW()-ROW(MSPTasks[[#Headers],[ID]]))),"",N(INDEX(tsk_Duration,(ROW()-ROW(MSPTasks[[#Headers],[ID]]))))&amp;"d"))</f>
        <v/>
      </c>
      <c r="G160" s="130" t="str">
        <f aca="false">IF(IFERROR(INDEX(tsk_Name,(ROW()-ROW(MSPTasks[[#Headers],[ID]])))="",TRUE()),"",INDEX(tsk_FcStart,(ROW()-ROW(MSPTasks[[#Headers],[ID]]))))</f>
        <v/>
      </c>
      <c r="H160" s="130" t="str">
        <f aca="false">IF(IFERROR(INDEX(tsk_Name,(ROW()-ROW(MSPTasks[[#Headers],[ID]])))="",TRUE()),"",INDEX(tsk_FcFinish,(ROW()-ROW(MSPTasks[[#Headers],[ID]]))))</f>
        <v/>
      </c>
      <c r="I160" s="24" t="str">
        <f aca="false">IF(IFERROR(INDEX(tsk_Name,(ROW()-ROW(MSPTasks[[#Headers],[ID]])))="",TRUE()),"",IF(INDEX(tsk_IsSummary,(ROW()-ROW(MSPTasks[[#Headers],[ID]]))),"",INDEX(tsk_Predecessors,(ROW()-ROW(MSPTasks[[#Headers],[ID]])))))</f>
        <v/>
      </c>
      <c r="J160" s="24" t="str">
        <f aca="false">IF(IFERROR(INDEX(tsk_Name,(ROW()-ROW(MSPTasks[[#Headers],[ID]])))="",TRUE()),"",IF(INDEX(tsk_IsSummary,(ROW()-ROW(MSPTasks[[#Headers],[ID]]))),"",INDEX(tsk_UIDPredecessors,(ROW()-ROW(MSPTasks[[#Headers],[ID]])))))</f>
        <v/>
      </c>
      <c r="K1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0" s="24" t="str">
        <f aca="false">IF(IFERROR(INDEX(tsk_Name,(ROW()-ROW(MSPTasks[[#Headers],[ID]])))="",TRUE()),"",IF(INDEX(tsk_IsSummary,(ROW()-ROW(MSPTasks[[#Headers],[ID]]))),"",ROUND(INDEX(tsk_Progress,(ROW()-ROW(MSPTasks[[#Headers],[ID]])))*100,0)))</f>
        <v/>
      </c>
      <c r="M160" s="130" t="str">
        <f aca="false">IF(IFERROR(INDEX(tsk_Name,(ROW()-ROW(MSPTasks[[#Headers],[ID]])))="",TRUE()),"",IF(N(INDEX(tsk_ActStart,(ROW()-ROW(MSPTasks[[#Headers],[ID]]))))=0,"",INDEX(tsk_ActStart,(ROW()-ROW(MSPTasks[[#Headers],[ID]])))))</f>
        <v/>
      </c>
      <c r="N160" s="130" t="str">
        <f aca="false">IF(IFERROR(INDEX(tsk_Name,(ROW()-ROW(MSPTasks[[#Headers],[ID]])))="",TRUE()),"",IF(N(INDEX(tsk_ActFinish,(ROW()-ROW(MSPTasks[[#Headers],[ID]]))))=0,"",INDEX(tsk_ActFinish,(ROW()-ROW(MSPTasks[[#Headers],[ID]])))))</f>
        <v/>
      </c>
      <c r="O160" s="130" t="str">
        <f aca="false">IF(IFERROR(INDEX(tsk_Name,(ROW()-ROW(MSPTasks[[#Headers],[ID]])))="",TRUE()),"",INDEX(tsk_PlanStart,(ROW()-ROW(MSPTasks[[#Headers],[ID]]))))</f>
        <v/>
      </c>
      <c r="P160" s="130" t="str">
        <f aca="false">IF(IFERROR(INDEX(tsk_Name,(ROW()-ROW(MSPTasks[[#Headers],[ID]])))="",TRUE()),"",INDEX(tsk_PlanFinish,(ROW()-ROW(MSPTasks[[#Headers],[ID]]))))</f>
        <v/>
      </c>
      <c r="Q160" s="24" t="str">
        <f aca="false">IF(IFERROR(INDEX(tsk_Name,(ROW()-ROW(MSPTasks[[#Headers],[ID]])))="",TRUE()),"",IF(INDEX(tsk_BaseDuration,(ROW()-ROW(MSPTasks[[#Headers],[ID]])))="","",N(INDEX(tsk_BaseDuration,(ROW()-ROW(MSPTasks[[#Headers],[ID]]))))&amp;"d"))</f>
        <v/>
      </c>
      <c r="R160" s="24" t="str">
        <f aca="false">IF(IFERROR(INDEX(tsk_Name,(ROW()-ROW(MSPTasks[[#Headers],[ID]])))="",TRUE()),"",IF(INDEX(tsk_BaseWork,(ROW()-ROW(MSPTasks[[#Headers],[ID]])))="","",N(INDEX(tsk_BaseWork,(ROW()-ROW(MSPTasks[[#Headers],[ID]]))))&amp;"h"))</f>
        <v/>
      </c>
      <c r="S160" s="24" t="str">
        <f aca="false">IF(IFERROR(INDEX(tsk_Name,(ROW()-ROW(MSPTasks[[#Headers],[ID]])))="",TRUE()),"",IF(INDEX(tsk_BaseCost,(ROW()-ROW(MSPTasks[[#Headers],[ID]])))="","",N(INDEX(tsk_BaseCost,(ROW()-ROW(MSPTasks[[#Headers],[ID]]))))))</f>
        <v/>
      </c>
      <c r="T160" s="24" t="str">
        <f aca="false">IF(IFERROR(INDEX(tsk_Name,(ROW()-ROW(MSPTasks[[#Headers],[ID]])))="",TRUE()),"",IF(INDEX(tsk_IsSummary,(ROW()-ROW(MSPTasks[[#Headers],[ID]]))),"",IF(N(INDEX(tsk_ActCostInput,(ROW()-ROW(MSPTasks[[#Headers],[ID]]))))=0,"",INDEX(tsk_ActCostInput,(ROW()-ROW(MSPTasks[[#Headers],[ID]]))))))</f>
        <v/>
      </c>
      <c r="U160" s="24" t="str">
        <f aca="false">IF(IFERROR(INDEX(tsk_Name,(ROW()-ROW(MSPTasks[[#Headers],[ID]])))="",TRUE()),"",IF(INDEX(tsk_IsSummary,(ROW()-ROW(MSPTasks[[#Headers],[ID]]))),"",IF(AND(INDEX(tsk_Mode,(ROW()-ROW(MSPTasks[[#Headers],[ID]])))&lt;&gt;"Manual",N(INDEX(tsk_Constraint,(ROW()-ROW(MSPTasks[[#Headers],[ID]]))))&gt;0),"Start No Earlier Than","As Soon As Possible")))</f>
        <v/>
      </c>
      <c r="V160" s="130" t="str">
        <f aca="false">IF(IFERROR(INDEX(tsk_Name,(ROW()-ROW(MSPTasks[[#Headers],[ID]])))="",TRUE()),"",IF(OR(INDEX(tsk_IsSummary,(ROW()-ROW(MSPTasks[[#Headers],[ID]]))),INDEX(tsk_Mode,(ROW()-ROW(MSPTasks[[#Headers],[ID]])))="Manual"),"",IF(N(INDEX(tsk_Constraint,(ROW()-ROW(MSPTasks[[#Headers],[ID]]))))=0,"",INDEX(tsk_Constraint,(ROW()-ROW(MSPTasks[[#Headers],[ID]]))))))</f>
        <v/>
      </c>
      <c r="W160" s="130" t="str">
        <f aca="false">IF(IFERROR(INDEX(tsk_Name,(ROW()-ROW(MSPTasks[[#Headers],[ID]])))="",TRUE()),"",IF(N(INDEX(tsk_Deadline,(ROW()-ROW(MSPTasks[[#Headers],[ID]]))))=0,"",INDEX(tsk_Deadline,(ROW()-ROW(MSPTasks[[#Headers],[ID]])))))</f>
        <v/>
      </c>
      <c r="X160" s="24" t="str">
        <f aca="false">IF(IFERROR(INDEX(tsk_Name,(ROW()-ROW(MSPTasks[[#Headers],[ID]])))="",TRUE()),"",IF(INDEX(tsk_IsSummary,(ROW()-ROW(MSPTasks[[#Headers],[ID]]))),"",INDEX(tsk_Sprint,(ROW()-ROW(MSPTasks[[#Headers],[ID]])))&amp;""))</f>
        <v/>
      </c>
      <c r="Y160" s="24" t="str">
        <f aca="false">IF(IFERROR(INDEX(tsk_Name,(ROW()-ROW(MSPTasks[[#Headers],[ID]])))="",TRUE()),"",IF(INDEX(tsk_IsSummary,(ROW()-ROW(MSPTasks[[#Headers],[ID]]))),"",IF(N(INDEX(tsk_StoryPoints,(ROW()-ROW(MSPTasks[[#Headers],[ID]]))))=0,"",INDEX(tsk_StoryPoints,(ROW()-ROW(MSPTasks[[#Headers],[ID]]))))))</f>
        <v/>
      </c>
      <c r="Z160" s="24" t="str">
        <f aca="false">IF(IFERROR(INDEX(tsk_Name,(ROW()-ROW(MSPTasks[[#Headers],[ID]])))="",TRUE()),"",INDEX(tsk_Notes,(ROW()-ROW(MSPTasks[[#Headers],[ID]])))&amp;"")</f>
        <v/>
      </c>
    </row>
    <row r="161" customFormat="false" ht="15" hidden="false" customHeight="false" outlineLevel="0" collapsed="false">
      <c r="A161" s="24" t="str">
        <f aca="false">IF(IFERROR(INDEX(tsk_Name,(ROW()-ROW(MSPTasks[[#Headers],[ID]])))="",TRUE()),"",INDEX(tsk_ID,(ROW()-ROW(MSPTasks[[#Headers],[ID]]))))</f>
        <v/>
      </c>
      <c r="B161" s="24" t="str">
        <f aca="false">IF(IFERROR(INDEX(tsk_Name,(ROW()-ROW(MSPTasks[[#Headers],[ID]])))="",TRUE()),"",INDEX(tsk_UID,(ROW()-ROW(MSPTasks[[#Headers],[ID]]))))</f>
        <v/>
      </c>
      <c r="C161" s="24" t="str">
        <f aca="false">IF(IFERROR(INDEX(tsk_Name,(ROW()-ROW(MSPTasks[[#Headers],[ID]])))="",TRUE()),"",INDEX(tsk_Name,(ROW()-ROW(MSPTasks[[#Headers],[ID]]))))</f>
        <v/>
      </c>
      <c r="D161" s="24" t="str">
        <f aca="false">IF(IFERROR(INDEX(tsk_Name,(ROW()-ROW(MSPTasks[[#Headers],[ID]])))="",TRUE()),"",INDEX(tsk_Level,(ROW()-ROW(MSPTasks[[#Headers],[ID]]))))</f>
        <v/>
      </c>
      <c r="E161" s="24" t="str">
        <f aca="false">IF(IFERROR(INDEX(tsk_Name,(ROW()-ROW(MSPTasks[[#Headers],[ID]])))="",TRUE()),"",IF(INDEX(tsk_Mode,(ROW()-ROW(MSPTasks[[#Headers],[ID]])))="Manual","Manually Scheduled","Auto Scheduled"))</f>
        <v/>
      </c>
      <c r="F161" s="24" t="str">
        <f aca="false">IF(IFERROR(INDEX(tsk_Name,(ROW()-ROW(MSPTasks[[#Headers],[ID]])))="",TRUE()),"",IF(INDEX(tsk_IsSummary,(ROW()-ROW(MSPTasks[[#Headers],[ID]]))),"",N(INDEX(tsk_Duration,(ROW()-ROW(MSPTasks[[#Headers],[ID]]))))&amp;"d"))</f>
        <v/>
      </c>
      <c r="G161" s="130" t="str">
        <f aca="false">IF(IFERROR(INDEX(tsk_Name,(ROW()-ROW(MSPTasks[[#Headers],[ID]])))="",TRUE()),"",INDEX(tsk_FcStart,(ROW()-ROW(MSPTasks[[#Headers],[ID]]))))</f>
        <v/>
      </c>
      <c r="H161" s="130" t="str">
        <f aca="false">IF(IFERROR(INDEX(tsk_Name,(ROW()-ROW(MSPTasks[[#Headers],[ID]])))="",TRUE()),"",INDEX(tsk_FcFinish,(ROW()-ROW(MSPTasks[[#Headers],[ID]]))))</f>
        <v/>
      </c>
      <c r="I161" s="24" t="str">
        <f aca="false">IF(IFERROR(INDEX(tsk_Name,(ROW()-ROW(MSPTasks[[#Headers],[ID]])))="",TRUE()),"",IF(INDEX(tsk_IsSummary,(ROW()-ROW(MSPTasks[[#Headers],[ID]]))),"",INDEX(tsk_Predecessors,(ROW()-ROW(MSPTasks[[#Headers],[ID]])))))</f>
        <v/>
      </c>
      <c r="J161" s="24" t="str">
        <f aca="false">IF(IFERROR(INDEX(tsk_Name,(ROW()-ROW(MSPTasks[[#Headers],[ID]])))="",TRUE()),"",IF(INDEX(tsk_IsSummary,(ROW()-ROW(MSPTasks[[#Headers],[ID]]))),"",INDEX(tsk_UIDPredecessors,(ROW()-ROW(MSPTasks[[#Headers],[ID]])))))</f>
        <v/>
      </c>
      <c r="K1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1" s="24" t="str">
        <f aca="false">IF(IFERROR(INDEX(tsk_Name,(ROW()-ROW(MSPTasks[[#Headers],[ID]])))="",TRUE()),"",IF(INDEX(tsk_IsSummary,(ROW()-ROW(MSPTasks[[#Headers],[ID]]))),"",ROUND(INDEX(tsk_Progress,(ROW()-ROW(MSPTasks[[#Headers],[ID]])))*100,0)))</f>
        <v/>
      </c>
      <c r="M161" s="130" t="str">
        <f aca="false">IF(IFERROR(INDEX(tsk_Name,(ROW()-ROW(MSPTasks[[#Headers],[ID]])))="",TRUE()),"",IF(N(INDEX(tsk_ActStart,(ROW()-ROW(MSPTasks[[#Headers],[ID]]))))=0,"",INDEX(tsk_ActStart,(ROW()-ROW(MSPTasks[[#Headers],[ID]])))))</f>
        <v/>
      </c>
      <c r="N161" s="130" t="str">
        <f aca="false">IF(IFERROR(INDEX(tsk_Name,(ROW()-ROW(MSPTasks[[#Headers],[ID]])))="",TRUE()),"",IF(N(INDEX(tsk_ActFinish,(ROW()-ROW(MSPTasks[[#Headers],[ID]]))))=0,"",INDEX(tsk_ActFinish,(ROW()-ROW(MSPTasks[[#Headers],[ID]])))))</f>
        <v/>
      </c>
      <c r="O161" s="130" t="str">
        <f aca="false">IF(IFERROR(INDEX(tsk_Name,(ROW()-ROW(MSPTasks[[#Headers],[ID]])))="",TRUE()),"",INDEX(tsk_PlanStart,(ROW()-ROW(MSPTasks[[#Headers],[ID]]))))</f>
        <v/>
      </c>
      <c r="P161" s="130" t="str">
        <f aca="false">IF(IFERROR(INDEX(tsk_Name,(ROW()-ROW(MSPTasks[[#Headers],[ID]])))="",TRUE()),"",INDEX(tsk_PlanFinish,(ROW()-ROW(MSPTasks[[#Headers],[ID]]))))</f>
        <v/>
      </c>
      <c r="Q161" s="24" t="str">
        <f aca="false">IF(IFERROR(INDEX(tsk_Name,(ROW()-ROW(MSPTasks[[#Headers],[ID]])))="",TRUE()),"",IF(INDEX(tsk_BaseDuration,(ROW()-ROW(MSPTasks[[#Headers],[ID]])))="","",N(INDEX(tsk_BaseDuration,(ROW()-ROW(MSPTasks[[#Headers],[ID]]))))&amp;"d"))</f>
        <v/>
      </c>
      <c r="R161" s="24" t="str">
        <f aca="false">IF(IFERROR(INDEX(tsk_Name,(ROW()-ROW(MSPTasks[[#Headers],[ID]])))="",TRUE()),"",IF(INDEX(tsk_BaseWork,(ROW()-ROW(MSPTasks[[#Headers],[ID]])))="","",N(INDEX(tsk_BaseWork,(ROW()-ROW(MSPTasks[[#Headers],[ID]]))))&amp;"h"))</f>
        <v/>
      </c>
      <c r="S161" s="24" t="str">
        <f aca="false">IF(IFERROR(INDEX(tsk_Name,(ROW()-ROW(MSPTasks[[#Headers],[ID]])))="",TRUE()),"",IF(INDEX(tsk_BaseCost,(ROW()-ROW(MSPTasks[[#Headers],[ID]])))="","",N(INDEX(tsk_BaseCost,(ROW()-ROW(MSPTasks[[#Headers],[ID]]))))))</f>
        <v/>
      </c>
      <c r="T161" s="24" t="str">
        <f aca="false">IF(IFERROR(INDEX(tsk_Name,(ROW()-ROW(MSPTasks[[#Headers],[ID]])))="",TRUE()),"",IF(INDEX(tsk_IsSummary,(ROW()-ROW(MSPTasks[[#Headers],[ID]]))),"",IF(N(INDEX(tsk_ActCostInput,(ROW()-ROW(MSPTasks[[#Headers],[ID]]))))=0,"",INDEX(tsk_ActCostInput,(ROW()-ROW(MSPTasks[[#Headers],[ID]]))))))</f>
        <v/>
      </c>
      <c r="U161" s="24" t="str">
        <f aca="false">IF(IFERROR(INDEX(tsk_Name,(ROW()-ROW(MSPTasks[[#Headers],[ID]])))="",TRUE()),"",IF(INDEX(tsk_IsSummary,(ROW()-ROW(MSPTasks[[#Headers],[ID]]))),"",IF(AND(INDEX(tsk_Mode,(ROW()-ROW(MSPTasks[[#Headers],[ID]])))&lt;&gt;"Manual",N(INDEX(tsk_Constraint,(ROW()-ROW(MSPTasks[[#Headers],[ID]]))))&gt;0),"Start No Earlier Than","As Soon As Possible")))</f>
        <v/>
      </c>
      <c r="V161" s="130" t="str">
        <f aca="false">IF(IFERROR(INDEX(tsk_Name,(ROW()-ROW(MSPTasks[[#Headers],[ID]])))="",TRUE()),"",IF(OR(INDEX(tsk_IsSummary,(ROW()-ROW(MSPTasks[[#Headers],[ID]]))),INDEX(tsk_Mode,(ROW()-ROW(MSPTasks[[#Headers],[ID]])))="Manual"),"",IF(N(INDEX(tsk_Constraint,(ROW()-ROW(MSPTasks[[#Headers],[ID]]))))=0,"",INDEX(tsk_Constraint,(ROW()-ROW(MSPTasks[[#Headers],[ID]]))))))</f>
        <v/>
      </c>
      <c r="W161" s="130" t="str">
        <f aca="false">IF(IFERROR(INDEX(tsk_Name,(ROW()-ROW(MSPTasks[[#Headers],[ID]])))="",TRUE()),"",IF(N(INDEX(tsk_Deadline,(ROW()-ROW(MSPTasks[[#Headers],[ID]]))))=0,"",INDEX(tsk_Deadline,(ROW()-ROW(MSPTasks[[#Headers],[ID]])))))</f>
        <v/>
      </c>
      <c r="X161" s="24" t="str">
        <f aca="false">IF(IFERROR(INDEX(tsk_Name,(ROW()-ROW(MSPTasks[[#Headers],[ID]])))="",TRUE()),"",IF(INDEX(tsk_IsSummary,(ROW()-ROW(MSPTasks[[#Headers],[ID]]))),"",INDEX(tsk_Sprint,(ROW()-ROW(MSPTasks[[#Headers],[ID]])))&amp;""))</f>
        <v/>
      </c>
      <c r="Y161" s="24" t="str">
        <f aca="false">IF(IFERROR(INDEX(tsk_Name,(ROW()-ROW(MSPTasks[[#Headers],[ID]])))="",TRUE()),"",IF(INDEX(tsk_IsSummary,(ROW()-ROW(MSPTasks[[#Headers],[ID]]))),"",IF(N(INDEX(tsk_StoryPoints,(ROW()-ROW(MSPTasks[[#Headers],[ID]]))))=0,"",INDEX(tsk_StoryPoints,(ROW()-ROW(MSPTasks[[#Headers],[ID]]))))))</f>
        <v/>
      </c>
      <c r="Z161" s="24" t="str">
        <f aca="false">IF(IFERROR(INDEX(tsk_Name,(ROW()-ROW(MSPTasks[[#Headers],[ID]])))="",TRUE()),"",INDEX(tsk_Notes,(ROW()-ROW(MSPTasks[[#Headers],[ID]])))&amp;"")</f>
        <v/>
      </c>
    </row>
    <row r="162" customFormat="false" ht="15" hidden="false" customHeight="false" outlineLevel="0" collapsed="false">
      <c r="A162" s="24" t="str">
        <f aca="false">IF(IFERROR(INDEX(tsk_Name,(ROW()-ROW(MSPTasks[[#Headers],[ID]])))="",TRUE()),"",INDEX(tsk_ID,(ROW()-ROW(MSPTasks[[#Headers],[ID]]))))</f>
        <v/>
      </c>
      <c r="B162" s="24" t="str">
        <f aca="false">IF(IFERROR(INDEX(tsk_Name,(ROW()-ROW(MSPTasks[[#Headers],[ID]])))="",TRUE()),"",INDEX(tsk_UID,(ROW()-ROW(MSPTasks[[#Headers],[ID]]))))</f>
        <v/>
      </c>
      <c r="C162" s="24" t="str">
        <f aca="false">IF(IFERROR(INDEX(tsk_Name,(ROW()-ROW(MSPTasks[[#Headers],[ID]])))="",TRUE()),"",INDEX(tsk_Name,(ROW()-ROW(MSPTasks[[#Headers],[ID]]))))</f>
        <v/>
      </c>
      <c r="D162" s="24" t="str">
        <f aca="false">IF(IFERROR(INDEX(tsk_Name,(ROW()-ROW(MSPTasks[[#Headers],[ID]])))="",TRUE()),"",INDEX(tsk_Level,(ROW()-ROW(MSPTasks[[#Headers],[ID]]))))</f>
        <v/>
      </c>
      <c r="E162" s="24" t="str">
        <f aca="false">IF(IFERROR(INDEX(tsk_Name,(ROW()-ROW(MSPTasks[[#Headers],[ID]])))="",TRUE()),"",IF(INDEX(tsk_Mode,(ROW()-ROW(MSPTasks[[#Headers],[ID]])))="Manual","Manually Scheduled","Auto Scheduled"))</f>
        <v/>
      </c>
      <c r="F162" s="24" t="str">
        <f aca="false">IF(IFERROR(INDEX(tsk_Name,(ROW()-ROW(MSPTasks[[#Headers],[ID]])))="",TRUE()),"",IF(INDEX(tsk_IsSummary,(ROW()-ROW(MSPTasks[[#Headers],[ID]]))),"",N(INDEX(tsk_Duration,(ROW()-ROW(MSPTasks[[#Headers],[ID]]))))&amp;"d"))</f>
        <v/>
      </c>
      <c r="G162" s="130" t="str">
        <f aca="false">IF(IFERROR(INDEX(tsk_Name,(ROW()-ROW(MSPTasks[[#Headers],[ID]])))="",TRUE()),"",INDEX(tsk_FcStart,(ROW()-ROW(MSPTasks[[#Headers],[ID]]))))</f>
        <v/>
      </c>
      <c r="H162" s="130" t="str">
        <f aca="false">IF(IFERROR(INDEX(tsk_Name,(ROW()-ROW(MSPTasks[[#Headers],[ID]])))="",TRUE()),"",INDEX(tsk_FcFinish,(ROW()-ROW(MSPTasks[[#Headers],[ID]]))))</f>
        <v/>
      </c>
      <c r="I162" s="24" t="str">
        <f aca="false">IF(IFERROR(INDEX(tsk_Name,(ROW()-ROW(MSPTasks[[#Headers],[ID]])))="",TRUE()),"",IF(INDEX(tsk_IsSummary,(ROW()-ROW(MSPTasks[[#Headers],[ID]]))),"",INDEX(tsk_Predecessors,(ROW()-ROW(MSPTasks[[#Headers],[ID]])))))</f>
        <v/>
      </c>
      <c r="J162" s="24" t="str">
        <f aca="false">IF(IFERROR(INDEX(tsk_Name,(ROW()-ROW(MSPTasks[[#Headers],[ID]])))="",TRUE()),"",IF(INDEX(tsk_IsSummary,(ROW()-ROW(MSPTasks[[#Headers],[ID]]))),"",INDEX(tsk_UIDPredecessors,(ROW()-ROW(MSPTasks[[#Headers],[ID]])))))</f>
        <v/>
      </c>
      <c r="K1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2" s="24" t="str">
        <f aca="false">IF(IFERROR(INDEX(tsk_Name,(ROW()-ROW(MSPTasks[[#Headers],[ID]])))="",TRUE()),"",IF(INDEX(tsk_IsSummary,(ROW()-ROW(MSPTasks[[#Headers],[ID]]))),"",ROUND(INDEX(tsk_Progress,(ROW()-ROW(MSPTasks[[#Headers],[ID]])))*100,0)))</f>
        <v/>
      </c>
      <c r="M162" s="130" t="str">
        <f aca="false">IF(IFERROR(INDEX(tsk_Name,(ROW()-ROW(MSPTasks[[#Headers],[ID]])))="",TRUE()),"",IF(N(INDEX(tsk_ActStart,(ROW()-ROW(MSPTasks[[#Headers],[ID]]))))=0,"",INDEX(tsk_ActStart,(ROW()-ROW(MSPTasks[[#Headers],[ID]])))))</f>
        <v/>
      </c>
      <c r="N162" s="130" t="str">
        <f aca="false">IF(IFERROR(INDEX(tsk_Name,(ROW()-ROW(MSPTasks[[#Headers],[ID]])))="",TRUE()),"",IF(N(INDEX(tsk_ActFinish,(ROW()-ROW(MSPTasks[[#Headers],[ID]]))))=0,"",INDEX(tsk_ActFinish,(ROW()-ROW(MSPTasks[[#Headers],[ID]])))))</f>
        <v/>
      </c>
      <c r="O162" s="130" t="str">
        <f aca="false">IF(IFERROR(INDEX(tsk_Name,(ROW()-ROW(MSPTasks[[#Headers],[ID]])))="",TRUE()),"",INDEX(tsk_PlanStart,(ROW()-ROW(MSPTasks[[#Headers],[ID]]))))</f>
        <v/>
      </c>
      <c r="P162" s="130" t="str">
        <f aca="false">IF(IFERROR(INDEX(tsk_Name,(ROW()-ROW(MSPTasks[[#Headers],[ID]])))="",TRUE()),"",INDEX(tsk_PlanFinish,(ROW()-ROW(MSPTasks[[#Headers],[ID]]))))</f>
        <v/>
      </c>
      <c r="Q162" s="24" t="str">
        <f aca="false">IF(IFERROR(INDEX(tsk_Name,(ROW()-ROW(MSPTasks[[#Headers],[ID]])))="",TRUE()),"",IF(INDEX(tsk_BaseDuration,(ROW()-ROW(MSPTasks[[#Headers],[ID]])))="","",N(INDEX(tsk_BaseDuration,(ROW()-ROW(MSPTasks[[#Headers],[ID]]))))&amp;"d"))</f>
        <v/>
      </c>
      <c r="R162" s="24" t="str">
        <f aca="false">IF(IFERROR(INDEX(tsk_Name,(ROW()-ROW(MSPTasks[[#Headers],[ID]])))="",TRUE()),"",IF(INDEX(tsk_BaseWork,(ROW()-ROW(MSPTasks[[#Headers],[ID]])))="","",N(INDEX(tsk_BaseWork,(ROW()-ROW(MSPTasks[[#Headers],[ID]]))))&amp;"h"))</f>
        <v/>
      </c>
      <c r="S162" s="24" t="str">
        <f aca="false">IF(IFERROR(INDEX(tsk_Name,(ROW()-ROW(MSPTasks[[#Headers],[ID]])))="",TRUE()),"",IF(INDEX(tsk_BaseCost,(ROW()-ROW(MSPTasks[[#Headers],[ID]])))="","",N(INDEX(tsk_BaseCost,(ROW()-ROW(MSPTasks[[#Headers],[ID]]))))))</f>
        <v/>
      </c>
      <c r="T162" s="24" t="str">
        <f aca="false">IF(IFERROR(INDEX(tsk_Name,(ROW()-ROW(MSPTasks[[#Headers],[ID]])))="",TRUE()),"",IF(INDEX(tsk_IsSummary,(ROW()-ROW(MSPTasks[[#Headers],[ID]]))),"",IF(N(INDEX(tsk_ActCostInput,(ROW()-ROW(MSPTasks[[#Headers],[ID]]))))=0,"",INDEX(tsk_ActCostInput,(ROW()-ROW(MSPTasks[[#Headers],[ID]]))))))</f>
        <v/>
      </c>
      <c r="U162" s="24" t="str">
        <f aca="false">IF(IFERROR(INDEX(tsk_Name,(ROW()-ROW(MSPTasks[[#Headers],[ID]])))="",TRUE()),"",IF(INDEX(tsk_IsSummary,(ROW()-ROW(MSPTasks[[#Headers],[ID]]))),"",IF(AND(INDEX(tsk_Mode,(ROW()-ROW(MSPTasks[[#Headers],[ID]])))&lt;&gt;"Manual",N(INDEX(tsk_Constraint,(ROW()-ROW(MSPTasks[[#Headers],[ID]]))))&gt;0),"Start No Earlier Than","As Soon As Possible")))</f>
        <v/>
      </c>
      <c r="V162" s="130" t="str">
        <f aca="false">IF(IFERROR(INDEX(tsk_Name,(ROW()-ROW(MSPTasks[[#Headers],[ID]])))="",TRUE()),"",IF(OR(INDEX(tsk_IsSummary,(ROW()-ROW(MSPTasks[[#Headers],[ID]]))),INDEX(tsk_Mode,(ROW()-ROW(MSPTasks[[#Headers],[ID]])))="Manual"),"",IF(N(INDEX(tsk_Constraint,(ROW()-ROW(MSPTasks[[#Headers],[ID]]))))=0,"",INDEX(tsk_Constraint,(ROW()-ROW(MSPTasks[[#Headers],[ID]]))))))</f>
        <v/>
      </c>
      <c r="W162" s="130" t="str">
        <f aca="false">IF(IFERROR(INDEX(tsk_Name,(ROW()-ROW(MSPTasks[[#Headers],[ID]])))="",TRUE()),"",IF(N(INDEX(tsk_Deadline,(ROW()-ROW(MSPTasks[[#Headers],[ID]]))))=0,"",INDEX(tsk_Deadline,(ROW()-ROW(MSPTasks[[#Headers],[ID]])))))</f>
        <v/>
      </c>
      <c r="X162" s="24" t="str">
        <f aca="false">IF(IFERROR(INDEX(tsk_Name,(ROW()-ROW(MSPTasks[[#Headers],[ID]])))="",TRUE()),"",IF(INDEX(tsk_IsSummary,(ROW()-ROW(MSPTasks[[#Headers],[ID]]))),"",INDEX(tsk_Sprint,(ROW()-ROW(MSPTasks[[#Headers],[ID]])))&amp;""))</f>
        <v/>
      </c>
      <c r="Y162" s="24" t="str">
        <f aca="false">IF(IFERROR(INDEX(tsk_Name,(ROW()-ROW(MSPTasks[[#Headers],[ID]])))="",TRUE()),"",IF(INDEX(tsk_IsSummary,(ROW()-ROW(MSPTasks[[#Headers],[ID]]))),"",IF(N(INDEX(tsk_StoryPoints,(ROW()-ROW(MSPTasks[[#Headers],[ID]]))))=0,"",INDEX(tsk_StoryPoints,(ROW()-ROW(MSPTasks[[#Headers],[ID]]))))))</f>
        <v/>
      </c>
      <c r="Z162" s="24" t="str">
        <f aca="false">IF(IFERROR(INDEX(tsk_Name,(ROW()-ROW(MSPTasks[[#Headers],[ID]])))="",TRUE()),"",INDEX(tsk_Notes,(ROW()-ROW(MSPTasks[[#Headers],[ID]])))&amp;"")</f>
        <v/>
      </c>
    </row>
    <row r="163" customFormat="false" ht="15" hidden="false" customHeight="false" outlineLevel="0" collapsed="false">
      <c r="A163" s="24" t="str">
        <f aca="false">IF(IFERROR(INDEX(tsk_Name,(ROW()-ROW(MSPTasks[[#Headers],[ID]])))="",TRUE()),"",INDEX(tsk_ID,(ROW()-ROW(MSPTasks[[#Headers],[ID]]))))</f>
        <v/>
      </c>
      <c r="B163" s="24" t="str">
        <f aca="false">IF(IFERROR(INDEX(tsk_Name,(ROW()-ROW(MSPTasks[[#Headers],[ID]])))="",TRUE()),"",INDEX(tsk_UID,(ROW()-ROW(MSPTasks[[#Headers],[ID]]))))</f>
        <v/>
      </c>
      <c r="C163" s="24" t="str">
        <f aca="false">IF(IFERROR(INDEX(tsk_Name,(ROW()-ROW(MSPTasks[[#Headers],[ID]])))="",TRUE()),"",INDEX(tsk_Name,(ROW()-ROW(MSPTasks[[#Headers],[ID]]))))</f>
        <v/>
      </c>
      <c r="D163" s="24" t="str">
        <f aca="false">IF(IFERROR(INDEX(tsk_Name,(ROW()-ROW(MSPTasks[[#Headers],[ID]])))="",TRUE()),"",INDEX(tsk_Level,(ROW()-ROW(MSPTasks[[#Headers],[ID]]))))</f>
        <v/>
      </c>
      <c r="E163" s="24" t="str">
        <f aca="false">IF(IFERROR(INDEX(tsk_Name,(ROW()-ROW(MSPTasks[[#Headers],[ID]])))="",TRUE()),"",IF(INDEX(tsk_Mode,(ROW()-ROW(MSPTasks[[#Headers],[ID]])))="Manual","Manually Scheduled","Auto Scheduled"))</f>
        <v/>
      </c>
      <c r="F163" s="24" t="str">
        <f aca="false">IF(IFERROR(INDEX(tsk_Name,(ROW()-ROW(MSPTasks[[#Headers],[ID]])))="",TRUE()),"",IF(INDEX(tsk_IsSummary,(ROW()-ROW(MSPTasks[[#Headers],[ID]]))),"",N(INDEX(tsk_Duration,(ROW()-ROW(MSPTasks[[#Headers],[ID]]))))&amp;"d"))</f>
        <v/>
      </c>
      <c r="G163" s="130" t="str">
        <f aca="false">IF(IFERROR(INDEX(tsk_Name,(ROW()-ROW(MSPTasks[[#Headers],[ID]])))="",TRUE()),"",INDEX(tsk_FcStart,(ROW()-ROW(MSPTasks[[#Headers],[ID]]))))</f>
        <v/>
      </c>
      <c r="H163" s="130" t="str">
        <f aca="false">IF(IFERROR(INDEX(tsk_Name,(ROW()-ROW(MSPTasks[[#Headers],[ID]])))="",TRUE()),"",INDEX(tsk_FcFinish,(ROW()-ROW(MSPTasks[[#Headers],[ID]]))))</f>
        <v/>
      </c>
      <c r="I163" s="24" t="str">
        <f aca="false">IF(IFERROR(INDEX(tsk_Name,(ROW()-ROW(MSPTasks[[#Headers],[ID]])))="",TRUE()),"",IF(INDEX(tsk_IsSummary,(ROW()-ROW(MSPTasks[[#Headers],[ID]]))),"",INDEX(tsk_Predecessors,(ROW()-ROW(MSPTasks[[#Headers],[ID]])))))</f>
        <v/>
      </c>
      <c r="J163" s="24" t="str">
        <f aca="false">IF(IFERROR(INDEX(tsk_Name,(ROW()-ROW(MSPTasks[[#Headers],[ID]])))="",TRUE()),"",IF(INDEX(tsk_IsSummary,(ROW()-ROW(MSPTasks[[#Headers],[ID]]))),"",INDEX(tsk_UIDPredecessors,(ROW()-ROW(MSPTasks[[#Headers],[ID]])))))</f>
        <v/>
      </c>
      <c r="K1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3" s="24" t="str">
        <f aca="false">IF(IFERROR(INDEX(tsk_Name,(ROW()-ROW(MSPTasks[[#Headers],[ID]])))="",TRUE()),"",IF(INDEX(tsk_IsSummary,(ROW()-ROW(MSPTasks[[#Headers],[ID]]))),"",ROUND(INDEX(tsk_Progress,(ROW()-ROW(MSPTasks[[#Headers],[ID]])))*100,0)))</f>
        <v/>
      </c>
      <c r="M163" s="130" t="str">
        <f aca="false">IF(IFERROR(INDEX(tsk_Name,(ROW()-ROW(MSPTasks[[#Headers],[ID]])))="",TRUE()),"",IF(N(INDEX(tsk_ActStart,(ROW()-ROW(MSPTasks[[#Headers],[ID]]))))=0,"",INDEX(tsk_ActStart,(ROW()-ROW(MSPTasks[[#Headers],[ID]])))))</f>
        <v/>
      </c>
      <c r="N163" s="130" t="str">
        <f aca="false">IF(IFERROR(INDEX(tsk_Name,(ROW()-ROW(MSPTasks[[#Headers],[ID]])))="",TRUE()),"",IF(N(INDEX(tsk_ActFinish,(ROW()-ROW(MSPTasks[[#Headers],[ID]]))))=0,"",INDEX(tsk_ActFinish,(ROW()-ROW(MSPTasks[[#Headers],[ID]])))))</f>
        <v/>
      </c>
      <c r="O163" s="130" t="str">
        <f aca="false">IF(IFERROR(INDEX(tsk_Name,(ROW()-ROW(MSPTasks[[#Headers],[ID]])))="",TRUE()),"",INDEX(tsk_PlanStart,(ROW()-ROW(MSPTasks[[#Headers],[ID]]))))</f>
        <v/>
      </c>
      <c r="P163" s="130" t="str">
        <f aca="false">IF(IFERROR(INDEX(tsk_Name,(ROW()-ROW(MSPTasks[[#Headers],[ID]])))="",TRUE()),"",INDEX(tsk_PlanFinish,(ROW()-ROW(MSPTasks[[#Headers],[ID]]))))</f>
        <v/>
      </c>
      <c r="Q163" s="24" t="str">
        <f aca="false">IF(IFERROR(INDEX(tsk_Name,(ROW()-ROW(MSPTasks[[#Headers],[ID]])))="",TRUE()),"",IF(INDEX(tsk_BaseDuration,(ROW()-ROW(MSPTasks[[#Headers],[ID]])))="","",N(INDEX(tsk_BaseDuration,(ROW()-ROW(MSPTasks[[#Headers],[ID]]))))&amp;"d"))</f>
        <v/>
      </c>
      <c r="R163" s="24" t="str">
        <f aca="false">IF(IFERROR(INDEX(tsk_Name,(ROW()-ROW(MSPTasks[[#Headers],[ID]])))="",TRUE()),"",IF(INDEX(tsk_BaseWork,(ROW()-ROW(MSPTasks[[#Headers],[ID]])))="","",N(INDEX(tsk_BaseWork,(ROW()-ROW(MSPTasks[[#Headers],[ID]]))))&amp;"h"))</f>
        <v/>
      </c>
      <c r="S163" s="24" t="str">
        <f aca="false">IF(IFERROR(INDEX(tsk_Name,(ROW()-ROW(MSPTasks[[#Headers],[ID]])))="",TRUE()),"",IF(INDEX(tsk_BaseCost,(ROW()-ROW(MSPTasks[[#Headers],[ID]])))="","",N(INDEX(tsk_BaseCost,(ROW()-ROW(MSPTasks[[#Headers],[ID]]))))))</f>
        <v/>
      </c>
      <c r="T163" s="24" t="str">
        <f aca="false">IF(IFERROR(INDEX(tsk_Name,(ROW()-ROW(MSPTasks[[#Headers],[ID]])))="",TRUE()),"",IF(INDEX(tsk_IsSummary,(ROW()-ROW(MSPTasks[[#Headers],[ID]]))),"",IF(N(INDEX(tsk_ActCostInput,(ROW()-ROW(MSPTasks[[#Headers],[ID]]))))=0,"",INDEX(tsk_ActCostInput,(ROW()-ROW(MSPTasks[[#Headers],[ID]]))))))</f>
        <v/>
      </c>
      <c r="U163" s="24" t="str">
        <f aca="false">IF(IFERROR(INDEX(tsk_Name,(ROW()-ROW(MSPTasks[[#Headers],[ID]])))="",TRUE()),"",IF(INDEX(tsk_IsSummary,(ROW()-ROW(MSPTasks[[#Headers],[ID]]))),"",IF(AND(INDEX(tsk_Mode,(ROW()-ROW(MSPTasks[[#Headers],[ID]])))&lt;&gt;"Manual",N(INDEX(tsk_Constraint,(ROW()-ROW(MSPTasks[[#Headers],[ID]]))))&gt;0),"Start No Earlier Than","As Soon As Possible")))</f>
        <v/>
      </c>
      <c r="V163" s="130" t="str">
        <f aca="false">IF(IFERROR(INDEX(tsk_Name,(ROW()-ROW(MSPTasks[[#Headers],[ID]])))="",TRUE()),"",IF(OR(INDEX(tsk_IsSummary,(ROW()-ROW(MSPTasks[[#Headers],[ID]]))),INDEX(tsk_Mode,(ROW()-ROW(MSPTasks[[#Headers],[ID]])))="Manual"),"",IF(N(INDEX(tsk_Constraint,(ROW()-ROW(MSPTasks[[#Headers],[ID]]))))=0,"",INDEX(tsk_Constraint,(ROW()-ROW(MSPTasks[[#Headers],[ID]]))))))</f>
        <v/>
      </c>
      <c r="W163" s="130" t="str">
        <f aca="false">IF(IFERROR(INDEX(tsk_Name,(ROW()-ROW(MSPTasks[[#Headers],[ID]])))="",TRUE()),"",IF(N(INDEX(tsk_Deadline,(ROW()-ROW(MSPTasks[[#Headers],[ID]]))))=0,"",INDEX(tsk_Deadline,(ROW()-ROW(MSPTasks[[#Headers],[ID]])))))</f>
        <v/>
      </c>
      <c r="X163" s="24" t="str">
        <f aca="false">IF(IFERROR(INDEX(tsk_Name,(ROW()-ROW(MSPTasks[[#Headers],[ID]])))="",TRUE()),"",IF(INDEX(tsk_IsSummary,(ROW()-ROW(MSPTasks[[#Headers],[ID]]))),"",INDEX(tsk_Sprint,(ROW()-ROW(MSPTasks[[#Headers],[ID]])))&amp;""))</f>
        <v/>
      </c>
      <c r="Y163" s="24" t="str">
        <f aca="false">IF(IFERROR(INDEX(tsk_Name,(ROW()-ROW(MSPTasks[[#Headers],[ID]])))="",TRUE()),"",IF(INDEX(tsk_IsSummary,(ROW()-ROW(MSPTasks[[#Headers],[ID]]))),"",IF(N(INDEX(tsk_StoryPoints,(ROW()-ROW(MSPTasks[[#Headers],[ID]]))))=0,"",INDEX(tsk_StoryPoints,(ROW()-ROW(MSPTasks[[#Headers],[ID]]))))))</f>
        <v/>
      </c>
      <c r="Z163" s="24" t="str">
        <f aca="false">IF(IFERROR(INDEX(tsk_Name,(ROW()-ROW(MSPTasks[[#Headers],[ID]])))="",TRUE()),"",INDEX(tsk_Notes,(ROW()-ROW(MSPTasks[[#Headers],[ID]])))&amp;"")</f>
        <v/>
      </c>
    </row>
    <row r="164" customFormat="false" ht="15" hidden="false" customHeight="false" outlineLevel="0" collapsed="false">
      <c r="A164" s="24" t="str">
        <f aca="false">IF(IFERROR(INDEX(tsk_Name,(ROW()-ROW(MSPTasks[[#Headers],[ID]])))="",TRUE()),"",INDEX(tsk_ID,(ROW()-ROW(MSPTasks[[#Headers],[ID]]))))</f>
        <v/>
      </c>
      <c r="B164" s="24" t="str">
        <f aca="false">IF(IFERROR(INDEX(tsk_Name,(ROW()-ROW(MSPTasks[[#Headers],[ID]])))="",TRUE()),"",INDEX(tsk_UID,(ROW()-ROW(MSPTasks[[#Headers],[ID]]))))</f>
        <v/>
      </c>
      <c r="C164" s="24" t="str">
        <f aca="false">IF(IFERROR(INDEX(tsk_Name,(ROW()-ROW(MSPTasks[[#Headers],[ID]])))="",TRUE()),"",INDEX(tsk_Name,(ROW()-ROW(MSPTasks[[#Headers],[ID]]))))</f>
        <v/>
      </c>
      <c r="D164" s="24" t="str">
        <f aca="false">IF(IFERROR(INDEX(tsk_Name,(ROW()-ROW(MSPTasks[[#Headers],[ID]])))="",TRUE()),"",INDEX(tsk_Level,(ROW()-ROW(MSPTasks[[#Headers],[ID]]))))</f>
        <v/>
      </c>
      <c r="E164" s="24" t="str">
        <f aca="false">IF(IFERROR(INDEX(tsk_Name,(ROW()-ROW(MSPTasks[[#Headers],[ID]])))="",TRUE()),"",IF(INDEX(tsk_Mode,(ROW()-ROW(MSPTasks[[#Headers],[ID]])))="Manual","Manually Scheduled","Auto Scheduled"))</f>
        <v/>
      </c>
      <c r="F164" s="24" t="str">
        <f aca="false">IF(IFERROR(INDEX(tsk_Name,(ROW()-ROW(MSPTasks[[#Headers],[ID]])))="",TRUE()),"",IF(INDEX(tsk_IsSummary,(ROW()-ROW(MSPTasks[[#Headers],[ID]]))),"",N(INDEX(tsk_Duration,(ROW()-ROW(MSPTasks[[#Headers],[ID]]))))&amp;"d"))</f>
        <v/>
      </c>
      <c r="G164" s="130" t="str">
        <f aca="false">IF(IFERROR(INDEX(tsk_Name,(ROW()-ROW(MSPTasks[[#Headers],[ID]])))="",TRUE()),"",INDEX(tsk_FcStart,(ROW()-ROW(MSPTasks[[#Headers],[ID]]))))</f>
        <v/>
      </c>
      <c r="H164" s="130" t="str">
        <f aca="false">IF(IFERROR(INDEX(tsk_Name,(ROW()-ROW(MSPTasks[[#Headers],[ID]])))="",TRUE()),"",INDEX(tsk_FcFinish,(ROW()-ROW(MSPTasks[[#Headers],[ID]]))))</f>
        <v/>
      </c>
      <c r="I164" s="24" t="str">
        <f aca="false">IF(IFERROR(INDEX(tsk_Name,(ROW()-ROW(MSPTasks[[#Headers],[ID]])))="",TRUE()),"",IF(INDEX(tsk_IsSummary,(ROW()-ROW(MSPTasks[[#Headers],[ID]]))),"",INDEX(tsk_Predecessors,(ROW()-ROW(MSPTasks[[#Headers],[ID]])))))</f>
        <v/>
      </c>
      <c r="J164" s="24" t="str">
        <f aca="false">IF(IFERROR(INDEX(tsk_Name,(ROW()-ROW(MSPTasks[[#Headers],[ID]])))="",TRUE()),"",IF(INDEX(tsk_IsSummary,(ROW()-ROW(MSPTasks[[#Headers],[ID]]))),"",INDEX(tsk_UIDPredecessors,(ROW()-ROW(MSPTasks[[#Headers],[ID]])))))</f>
        <v/>
      </c>
      <c r="K1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4" s="24" t="str">
        <f aca="false">IF(IFERROR(INDEX(tsk_Name,(ROW()-ROW(MSPTasks[[#Headers],[ID]])))="",TRUE()),"",IF(INDEX(tsk_IsSummary,(ROW()-ROW(MSPTasks[[#Headers],[ID]]))),"",ROUND(INDEX(tsk_Progress,(ROW()-ROW(MSPTasks[[#Headers],[ID]])))*100,0)))</f>
        <v/>
      </c>
      <c r="M164" s="130" t="str">
        <f aca="false">IF(IFERROR(INDEX(tsk_Name,(ROW()-ROW(MSPTasks[[#Headers],[ID]])))="",TRUE()),"",IF(N(INDEX(tsk_ActStart,(ROW()-ROW(MSPTasks[[#Headers],[ID]]))))=0,"",INDEX(tsk_ActStart,(ROW()-ROW(MSPTasks[[#Headers],[ID]])))))</f>
        <v/>
      </c>
      <c r="N164" s="130" t="str">
        <f aca="false">IF(IFERROR(INDEX(tsk_Name,(ROW()-ROW(MSPTasks[[#Headers],[ID]])))="",TRUE()),"",IF(N(INDEX(tsk_ActFinish,(ROW()-ROW(MSPTasks[[#Headers],[ID]]))))=0,"",INDEX(tsk_ActFinish,(ROW()-ROW(MSPTasks[[#Headers],[ID]])))))</f>
        <v/>
      </c>
      <c r="O164" s="130" t="str">
        <f aca="false">IF(IFERROR(INDEX(tsk_Name,(ROW()-ROW(MSPTasks[[#Headers],[ID]])))="",TRUE()),"",INDEX(tsk_PlanStart,(ROW()-ROW(MSPTasks[[#Headers],[ID]]))))</f>
        <v/>
      </c>
      <c r="P164" s="130" t="str">
        <f aca="false">IF(IFERROR(INDEX(tsk_Name,(ROW()-ROW(MSPTasks[[#Headers],[ID]])))="",TRUE()),"",INDEX(tsk_PlanFinish,(ROW()-ROW(MSPTasks[[#Headers],[ID]]))))</f>
        <v/>
      </c>
      <c r="Q164" s="24" t="str">
        <f aca="false">IF(IFERROR(INDEX(tsk_Name,(ROW()-ROW(MSPTasks[[#Headers],[ID]])))="",TRUE()),"",IF(INDEX(tsk_BaseDuration,(ROW()-ROW(MSPTasks[[#Headers],[ID]])))="","",N(INDEX(tsk_BaseDuration,(ROW()-ROW(MSPTasks[[#Headers],[ID]]))))&amp;"d"))</f>
        <v/>
      </c>
      <c r="R164" s="24" t="str">
        <f aca="false">IF(IFERROR(INDEX(tsk_Name,(ROW()-ROW(MSPTasks[[#Headers],[ID]])))="",TRUE()),"",IF(INDEX(tsk_BaseWork,(ROW()-ROW(MSPTasks[[#Headers],[ID]])))="","",N(INDEX(tsk_BaseWork,(ROW()-ROW(MSPTasks[[#Headers],[ID]]))))&amp;"h"))</f>
        <v/>
      </c>
      <c r="S164" s="24" t="str">
        <f aca="false">IF(IFERROR(INDEX(tsk_Name,(ROW()-ROW(MSPTasks[[#Headers],[ID]])))="",TRUE()),"",IF(INDEX(tsk_BaseCost,(ROW()-ROW(MSPTasks[[#Headers],[ID]])))="","",N(INDEX(tsk_BaseCost,(ROW()-ROW(MSPTasks[[#Headers],[ID]]))))))</f>
        <v/>
      </c>
      <c r="T164" s="24" t="str">
        <f aca="false">IF(IFERROR(INDEX(tsk_Name,(ROW()-ROW(MSPTasks[[#Headers],[ID]])))="",TRUE()),"",IF(INDEX(tsk_IsSummary,(ROW()-ROW(MSPTasks[[#Headers],[ID]]))),"",IF(N(INDEX(tsk_ActCostInput,(ROW()-ROW(MSPTasks[[#Headers],[ID]]))))=0,"",INDEX(tsk_ActCostInput,(ROW()-ROW(MSPTasks[[#Headers],[ID]]))))))</f>
        <v/>
      </c>
      <c r="U164" s="24" t="str">
        <f aca="false">IF(IFERROR(INDEX(tsk_Name,(ROW()-ROW(MSPTasks[[#Headers],[ID]])))="",TRUE()),"",IF(INDEX(tsk_IsSummary,(ROW()-ROW(MSPTasks[[#Headers],[ID]]))),"",IF(AND(INDEX(tsk_Mode,(ROW()-ROW(MSPTasks[[#Headers],[ID]])))&lt;&gt;"Manual",N(INDEX(tsk_Constraint,(ROW()-ROW(MSPTasks[[#Headers],[ID]]))))&gt;0),"Start No Earlier Than","As Soon As Possible")))</f>
        <v/>
      </c>
      <c r="V164" s="130" t="str">
        <f aca="false">IF(IFERROR(INDEX(tsk_Name,(ROW()-ROW(MSPTasks[[#Headers],[ID]])))="",TRUE()),"",IF(OR(INDEX(tsk_IsSummary,(ROW()-ROW(MSPTasks[[#Headers],[ID]]))),INDEX(tsk_Mode,(ROW()-ROW(MSPTasks[[#Headers],[ID]])))="Manual"),"",IF(N(INDEX(tsk_Constraint,(ROW()-ROW(MSPTasks[[#Headers],[ID]]))))=0,"",INDEX(tsk_Constraint,(ROW()-ROW(MSPTasks[[#Headers],[ID]]))))))</f>
        <v/>
      </c>
      <c r="W164" s="130" t="str">
        <f aca="false">IF(IFERROR(INDEX(tsk_Name,(ROW()-ROW(MSPTasks[[#Headers],[ID]])))="",TRUE()),"",IF(N(INDEX(tsk_Deadline,(ROW()-ROW(MSPTasks[[#Headers],[ID]]))))=0,"",INDEX(tsk_Deadline,(ROW()-ROW(MSPTasks[[#Headers],[ID]])))))</f>
        <v/>
      </c>
      <c r="X164" s="24" t="str">
        <f aca="false">IF(IFERROR(INDEX(tsk_Name,(ROW()-ROW(MSPTasks[[#Headers],[ID]])))="",TRUE()),"",IF(INDEX(tsk_IsSummary,(ROW()-ROW(MSPTasks[[#Headers],[ID]]))),"",INDEX(tsk_Sprint,(ROW()-ROW(MSPTasks[[#Headers],[ID]])))&amp;""))</f>
        <v/>
      </c>
      <c r="Y164" s="24" t="str">
        <f aca="false">IF(IFERROR(INDEX(tsk_Name,(ROW()-ROW(MSPTasks[[#Headers],[ID]])))="",TRUE()),"",IF(INDEX(tsk_IsSummary,(ROW()-ROW(MSPTasks[[#Headers],[ID]]))),"",IF(N(INDEX(tsk_StoryPoints,(ROW()-ROW(MSPTasks[[#Headers],[ID]]))))=0,"",INDEX(tsk_StoryPoints,(ROW()-ROW(MSPTasks[[#Headers],[ID]]))))))</f>
        <v/>
      </c>
      <c r="Z164" s="24" t="str">
        <f aca="false">IF(IFERROR(INDEX(tsk_Name,(ROW()-ROW(MSPTasks[[#Headers],[ID]])))="",TRUE()),"",INDEX(tsk_Notes,(ROW()-ROW(MSPTasks[[#Headers],[ID]])))&amp;"")</f>
        <v/>
      </c>
    </row>
    <row r="165" customFormat="false" ht="15" hidden="false" customHeight="false" outlineLevel="0" collapsed="false">
      <c r="A165" s="24" t="str">
        <f aca="false">IF(IFERROR(INDEX(tsk_Name,(ROW()-ROW(MSPTasks[[#Headers],[ID]])))="",TRUE()),"",INDEX(tsk_ID,(ROW()-ROW(MSPTasks[[#Headers],[ID]]))))</f>
        <v/>
      </c>
      <c r="B165" s="24" t="str">
        <f aca="false">IF(IFERROR(INDEX(tsk_Name,(ROW()-ROW(MSPTasks[[#Headers],[ID]])))="",TRUE()),"",INDEX(tsk_UID,(ROW()-ROW(MSPTasks[[#Headers],[ID]]))))</f>
        <v/>
      </c>
      <c r="C165" s="24" t="str">
        <f aca="false">IF(IFERROR(INDEX(tsk_Name,(ROW()-ROW(MSPTasks[[#Headers],[ID]])))="",TRUE()),"",INDEX(tsk_Name,(ROW()-ROW(MSPTasks[[#Headers],[ID]]))))</f>
        <v/>
      </c>
      <c r="D165" s="24" t="str">
        <f aca="false">IF(IFERROR(INDEX(tsk_Name,(ROW()-ROW(MSPTasks[[#Headers],[ID]])))="",TRUE()),"",INDEX(tsk_Level,(ROW()-ROW(MSPTasks[[#Headers],[ID]]))))</f>
        <v/>
      </c>
      <c r="E165" s="24" t="str">
        <f aca="false">IF(IFERROR(INDEX(tsk_Name,(ROW()-ROW(MSPTasks[[#Headers],[ID]])))="",TRUE()),"",IF(INDEX(tsk_Mode,(ROW()-ROW(MSPTasks[[#Headers],[ID]])))="Manual","Manually Scheduled","Auto Scheduled"))</f>
        <v/>
      </c>
      <c r="F165" s="24" t="str">
        <f aca="false">IF(IFERROR(INDEX(tsk_Name,(ROW()-ROW(MSPTasks[[#Headers],[ID]])))="",TRUE()),"",IF(INDEX(tsk_IsSummary,(ROW()-ROW(MSPTasks[[#Headers],[ID]]))),"",N(INDEX(tsk_Duration,(ROW()-ROW(MSPTasks[[#Headers],[ID]]))))&amp;"d"))</f>
        <v/>
      </c>
      <c r="G165" s="130" t="str">
        <f aca="false">IF(IFERROR(INDEX(tsk_Name,(ROW()-ROW(MSPTasks[[#Headers],[ID]])))="",TRUE()),"",INDEX(tsk_FcStart,(ROW()-ROW(MSPTasks[[#Headers],[ID]]))))</f>
        <v/>
      </c>
      <c r="H165" s="130" t="str">
        <f aca="false">IF(IFERROR(INDEX(tsk_Name,(ROW()-ROW(MSPTasks[[#Headers],[ID]])))="",TRUE()),"",INDEX(tsk_FcFinish,(ROW()-ROW(MSPTasks[[#Headers],[ID]]))))</f>
        <v/>
      </c>
      <c r="I165" s="24" t="str">
        <f aca="false">IF(IFERROR(INDEX(tsk_Name,(ROW()-ROW(MSPTasks[[#Headers],[ID]])))="",TRUE()),"",IF(INDEX(tsk_IsSummary,(ROW()-ROW(MSPTasks[[#Headers],[ID]]))),"",INDEX(tsk_Predecessors,(ROW()-ROW(MSPTasks[[#Headers],[ID]])))))</f>
        <v/>
      </c>
      <c r="J165" s="24" t="str">
        <f aca="false">IF(IFERROR(INDEX(tsk_Name,(ROW()-ROW(MSPTasks[[#Headers],[ID]])))="",TRUE()),"",IF(INDEX(tsk_IsSummary,(ROW()-ROW(MSPTasks[[#Headers],[ID]]))),"",INDEX(tsk_UIDPredecessors,(ROW()-ROW(MSPTasks[[#Headers],[ID]])))))</f>
        <v/>
      </c>
      <c r="K1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5" s="24" t="str">
        <f aca="false">IF(IFERROR(INDEX(tsk_Name,(ROW()-ROW(MSPTasks[[#Headers],[ID]])))="",TRUE()),"",IF(INDEX(tsk_IsSummary,(ROW()-ROW(MSPTasks[[#Headers],[ID]]))),"",ROUND(INDEX(tsk_Progress,(ROW()-ROW(MSPTasks[[#Headers],[ID]])))*100,0)))</f>
        <v/>
      </c>
      <c r="M165" s="130" t="str">
        <f aca="false">IF(IFERROR(INDEX(tsk_Name,(ROW()-ROW(MSPTasks[[#Headers],[ID]])))="",TRUE()),"",IF(N(INDEX(tsk_ActStart,(ROW()-ROW(MSPTasks[[#Headers],[ID]]))))=0,"",INDEX(tsk_ActStart,(ROW()-ROW(MSPTasks[[#Headers],[ID]])))))</f>
        <v/>
      </c>
      <c r="N165" s="130" t="str">
        <f aca="false">IF(IFERROR(INDEX(tsk_Name,(ROW()-ROW(MSPTasks[[#Headers],[ID]])))="",TRUE()),"",IF(N(INDEX(tsk_ActFinish,(ROW()-ROW(MSPTasks[[#Headers],[ID]]))))=0,"",INDEX(tsk_ActFinish,(ROW()-ROW(MSPTasks[[#Headers],[ID]])))))</f>
        <v/>
      </c>
      <c r="O165" s="130" t="str">
        <f aca="false">IF(IFERROR(INDEX(tsk_Name,(ROW()-ROW(MSPTasks[[#Headers],[ID]])))="",TRUE()),"",INDEX(tsk_PlanStart,(ROW()-ROW(MSPTasks[[#Headers],[ID]]))))</f>
        <v/>
      </c>
      <c r="P165" s="130" t="str">
        <f aca="false">IF(IFERROR(INDEX(tsk_Name,(ROW()-ROW(MSPTasks[[#Headers],[ID]])))="",TRUE()),"",INDEX(tsk_PlanFinish,(ROW()-ROW(MSPTasks[[#Headers],[ID]]))))</f>
        <v/>
      </c>
      <c r="Q165" s="24" t="str">
        <f aca="false">IF(IFERROR(INDEX(tsk_Name,(ROW()-ROW(MSPTasks[[#Headers],[ID]])))="",TRUE()),"",IF(INDEX(tsk_BaseDuration,(ROW()-ROW(MSPTasks[[#Headers],[ID]])))="","",N(INDEX(tsk_BaseDuration,(ROW()-ROW(MSPTasks[[#Headers],[ID]]))))&amp;"d"))</f>
        <v/>
      </c>
      <c r="R165" s="24" t="str">
        <f aca="false">IF(IFERROR(INDEX(tsk_Name,(ROW()-ROW(MSPTasks[[#Headers],[ID]])))="",TRUE()),"",IF(INDEX(tsk_BaseWork,(ROW()-ROW(MSPTasks[[#Headers],[ID]])))="","",N(INDEX(tsk_BaseWork,(ROW()-ROW(MSPTasks[[#Headers],[ID]]))))&amp;"h"))</f>
        <v/>
      </c>
      <c r="S165" s="24" t="str">
        <f aca="false">IF(IFERROR(INDEX(tsk_Name,(ROW()-ROW(MSPTasks[[#Headers],[ID]])))="",TRUE()),"",IF(INDEX(tsk_BaseCost,(ROW()-ROW(MSPTasks[[#Headers],[ID]])))="","",N(INDEX(tsk_BaseCost,(ROW()-ROW(MSPTasks[[#Headers],[ID]]))))))</f>
        <v/>
      </c>
      <c r="T165" s="24" t="str">
        <f aca="false">IF(IFERROR(INDEX(tsk_Name,(ROW()-ROW(MSPTasks[[#Headers],[ID]])))="",TRUE()),"",IF(INDEX(tsk_IsSummary,(ROW()-ROW(MSPTasks[[#Headers],[ID]]))),"",IF(N(INDEX(tsk_ActCostInput,(ROW()-ROW(MSPTasks[[#Headers],[ID]]))))=0,"",INDEX(tsk_ActCostInput,(ROW()-ROW(MSPTasks[[#Headers],[ID]]))))))</f>
        <v/>
      </c>
      <c r="U165" s="24" t="str">
        <f aca="false">IF(IFERROR(INDEX(tsk_Name,(ROW()-ROW(MSPTasks[[#Headers],[ID]])))="",TRUE()),"",IF(INDEX(tsk_IsSummary,(ROW()-ROW(MSPTasks[[#Headers],[ID]]))),"",IF(AND(INDEX(tsk_Mode,(ROW()-ROW(MSPTasks[[#Headers],[ID]])))&lt;&gt;"Manual",N(INDEX(tsk_Constraint,(ROW()-ROW(MSPTasks[[#Headers],[ID]]))))&gt;0),"Start No Earlier Than","As Soon As Possible")))</f>
        <v/>
      </c>
      <c r="V165" s="130" t="str">
        <f aca="false">IF(IFERROR(INDEX(tsk_Name,(ROW()-ROW(MSPTasks[[#Headers],[ID]])))="",TRUE()),"",IF(OR(INDEX(tsk_IsSummary,(ROW()-ROW(MSPTasks[[#Headers],[ID]]))),INDEX(tsk_Mode,(ROW()-ROW(MSPTasks[[#Headers],[ID]])))="Manual"),"",IF(N(INDEX(tsk_Constraint,(ROW()-ROW(MSPTasks[[#Headers],[ID]]))))=0,"",INDEX(tsk_Constraint,(ROW()-ROW(MSPTasks[[#Headers],[ID]]))))))</f>
        <v/>
      </c>
      <c r="W165" s="130" t="str">
        <f aca="false">IF(IFERROR(INDEX(tsk_Name,(ROW()-ROW(MSPTasks[[#Headers],[ID]])))="",TRUE()),"",IF(N(INDEX(tsk_Deadline,(ROW()-ROW(MSPTasks[[#Headers],[ID]]))))=0,"",INDEX(tsk_Deadline,(ROW()-ROW(MSPTasks[[#Headers],[ID]])))))</f>
        <v/>
      </c>
      <c r="X165" s="24" t="str">
        <f aca="false">IF(IFERROR(INDEX(tsk_Name,(ROW()-ROW(MSPTasks[[#Headers],[ID]])))="",TRUE()),"",IF(INDEX(tsk_IsSummary,(ROW()-ROW(MSPTasks[[#Headers],[ID]]))),"",INDEX(tsk_Sprint,(ROW()-ROW(MSPTasks[[#Headers],[ID]])))&amp;""))</f>
        <v/>
      </c>
      <c r="Y165" s="24" t="str">
        <f aca="false">IF(IFERROR(INDEX(tsk_Name,(ROW()-ROW(MSPTasks[[#Headers],[ID]])))="",TRUE()),"",IF(INDEX(tsk_IsSummary,(ROW()-ROW(MSPTasks[[#Headers],[ID]]))),"",IF(N(INDEX(tsk_StoryPoints,(ROW()-ROW(MSPTasks[[#Headers],[ID]]))))=0,"",INDEX(tsk_StoryPoints,(ROW()-ROW(MSPTasks[[#Headers],[ID]]))))))</f>
        <v/>
      </c>
      <c r="Z165" s="24" t="str">
        <f aca="false">IF(IFERROR(INDEX(tsk_Name,(ROW()-ROW(MSPTasks[[#Headers],[ID]])))="",TRUE()),"",INDEX(tsk_Notes,(ROW()-ROW(MSPTasks[[#Headers],[ID]])))&amp;"")</f>
        <v/>
      </c>
    </row>
    <row r="166" customFormat="false" ht="15" hidden="false" customHeight="false" outlineLevel="0" collapsed="false">
      <c r="A166" s="24" t="str">
        <f aca="false">IF(IFERROR(INDEX(tsk_Name,(ROW()-ROW(MSPTasks[[#Headers],[ID]])))="",TRUE()),"",INDEX(tsk_ID,(ROW()-ROW(MSPTasks[[#Headers],[ID]]))))</f>
        <v/>
      </c>
      <c r="B166" s="24" t="str">
        <f aca="false">IF(IFERROR(INDEX(tsk_Name,(ROW()-ROW(MSPTasks[[#Headers],[ID]])))="",TRUE()),"",INDEX(tsk_UID,(ROW()-ROW(MSPTasks[[#Headers],[ID]]))))</f>
        <v/>
      </c>
      <c r="C166" s="24" t="str">
        <f aca="false">IF(IFERROR(INDEX(tsk_Name,(ROW()-ROW(MSPTasks[[#Headers],[ID]])))="",TRUE()),"",INDEX(tsk_Name,(ROW()-ROW(MSPTasks[[#Headers],[ID]]))))</f>
        <v/>
      </c>
      <c r="D166" s="24" t="str">
        <f aca="false">IF(IFERROR(INDEX(tsk_Name,(ROW()-ROW(MSPTasks[[#Headers],[ID]])))="",TRUE()),"",INDEX(tsk_Level,(ROW()-ROW(MSPTasks[[#Headers],[ID]]))))</f>
        <v/>
      </c>
      <c r="E166" s="24" t="str">
        <f aca="false">IF(IFERROR(INDEX(tsk_Name,(ROW()-ROW(MSPTasks[[#Headers],[ID]])))="",TRUE()),"",IF(INDEX(tsk_Mode,(ROW()-ROW(MSPTasks[[#Headers],[ID]])))="Manual","Manually Scheduled","Auto Scheduled"))</f>
        <v/>
      </c>
      <c r="F166" s="24" t="str">
        <f aca="false">IF(IFERROR(INDEX(tsk_Name,(ROW()-ROW(MSPTasks[[#Headers],[ID]])))="",TRUE()),"",IF(INDEX(tsk_IsSummary,(ROW()-ROW(MSPTasks[[#Headers],[ID]]))),"",N(INDEX(tsk_Duration,(ROW()-ROW(MSPTasks[[#Headers],[ID]]))))&amp;"d"))</f>
        <v/>
      </c>
      <c r="G166" s="130" t="str">
        <f aca="false">IF(IFERROR(INDEX(tsk_Name,(ROW()-ROW(MSPTasks[[#Headers],[ID]])))="",TRUE()),"",INDEX(tsk_FcStart,(ROW()-ROW(MSPTasks[[#Headers],[ID]]))))</f>
        <v/>
      </c>
      <c r="H166" s="130" t="str">
        <f aca="false">IF(IFERROR(INDEX(tsk_Name,(ROW()-ROW(MSPTasks[[#Headers],[ID]])))="",TRUE()),"",INDEX(tsk_FcFinish,(ROW()-ROW(MSPTasks[[#Headers],[ID]]))))</f>
        <v/>
      </c>
      <c r="I166" s="24" t="str">
        <f aca="false">IF(IFERROR(INDEX(tsk_Name,(ROW()-ROW(MSPTasks[[#Headers],[ID]])))="",TRUE()),"",IF(INDEX(tsk_IsSummary,(ROW()-ROW(MSPTasks[[#Headers],[ID]]))),"",INDEX(tsk_Predecessors,(ROW()-ROW(MSPTasks[[#Headers],[ID]])))))</f>
        <v/>
      </c>
      <c r="J166" s="24" t="str">
        <f aca="false">IF(IFERROR(INDEX(tsk_Name,(ROW()-ROW(MSPTasks[[#Headers],[ID]])))="",TRUE()),"",IF(INDEX(tsk_IsSummary,(ROW()-ROW(MSPTasks[[#Headers],[ID]]))),"",INDEX(tsk_UIDPredecessors,(ROW()-ROW(MSPTasks[[#Headers],[ID]])))))</f>
        <v/>
      </c>
      <c r="K1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6" s="24" t="str">
        <f aca="false">IF(IFERROR(INDEX(tsk_Name,(ROW()-ROW(MSPTasks[[#Headers],[ID]])))="",TRUE()),"",IF(INDEX(tsk_IsSummary,(ROW()-ROW(MSPTasks[[#Headers],[ID]]))),"",ROUND(INDEX(tsk_Progress,(ROW()-ROW(MSPTasks[[#Headers],[ID]])))*100,0)))</f>
        <v/>
      </c>
      <c r="M166" s="130" t="str">
        <f aca="false">IF(IFERROR(INDEX(tsk_Name,(ROW()-ROW(MSPTasks[[#Headers],[ID]])))="",TRUE()),"",IF(N(INDEX(tsk_ActStart,(ROW()-ROW(MSPTasks[[#Headers],[ID]]))))=0,"",INDEX(tsk_ActStart,(ROW()-ROW(MSPTasks[[#Headers],[ID]])))))</f>
        <v/>
      </c>
      <c r="N166" s="130" t="str">
        <f aca="false">IF(IFERROR(INDEX(tsk_Name,(ROW()-ROW(MSPTasks[[#Headers],[ID]])))="",TRUE()),"",IF(N(INDEX(tsk_ActFinish,(ROW()-ROW(MSPTasks[[#Headers],[ID]]))))=0,"",INDEX(tsk_ActFinish,(ROW()-ROW(MSPTasks[[#Headers],[ID]])))))</f>
        <v/>
      </c>
      <c r="O166" s="130" t="str">
        <f aca="false">IF(IFERROR(INDEX(tsk_Name,(ROW()-ROW(MSPTasks[[#Headers],[ID]])))="",TRUE()),"",INDEX(tsk_PlanStart,(ROW()-ROW(MSPTasks[[#Headers],[ID]]))))</f>
        <v/>
      </c>
      <c r="P166" s="130" t="str">
        <f aca="false">IF(IFERROR(INDEX(tsk_Name,(ROW()-ROW(MSPTasks[[#Headers],[ID]])))="",TRUE()),"",INDEX(tsk_PlanFinish,(ROW()-ROW(MSPTasks[[#Headers],[ID]]))))</f>
        <v/>
      </c>
      <c r="Q166" s="24" t="str">
        <f aca="false">IF(IFERROR(INDEX(tsk_Name,(ROW()-ROW(MSPTasks[[#Headers],[ID]])))="",TRUE()),"",IF(INDEX(tsk_BaseDuration,(ROW()-ROW(MSPTasks[[#Headers],[ID]])))="","",N(INDEX(tsk_BaseDuration,(ROW()-ROW(MSPTasks[[#Headers],[ID]]))))&amp;"d"))</f>
        <v/>
      </c>
      <c r="R166" s="24" t="str">
        <f aca="false">IF(IFERROR(INDEX(tsk_Name,(ROW()-ROW(MSPTasks[[#Headers],[ID]])))="",TRUE()),"",IF(INDEX(tsk_BaseWork,(ROW()-ROW(MSPTasks[[#Headers],[ID]])))="","",N(INDEX(tsk_BaseWork,(ROW()-ROW(MSPTasks[[#Headers],[ID]]))))&amp;"h"))</f>
        <v/>
      </c>
      <c r="S166" s="24" t="str">
        <f aca="false">IF(IFERROR(INDEX(tsk_Name,(ROW()-ROW(MSPTasks[[#Headers],[ID]])))="",TRUE()),"",IF(INDEX(tsk_BaseCost,(ROW()-ROW(MSPTasks[[#Headers],[ID]])))="","",N(INDEX(tsk_BaseCost,(ROW()-ROW(MSPTasks[[#Headers],[ID]]))))))</f>
        <v/>
      </c>
      <c r="T166" s="24" t="str">
        <f aca="false">IF(IFERROR(INDEX(tsk_Name,(ROW()-ROW(MSPTasks[[#Headers],[ID]])))="",TRUE()),"",IF(INDEX(tsk_IsSummary,(ROW()-ROW(MSPTasks[[#Headers],[ID]]))),"",IF(N(INDEX(tsk_ActCostInput,(ROW()-ROW(MSPTasks[[#Headers],[ID]]))))=0,"",INDEX(tsk_ActCostInput,(ROW()-ROW(MSPTasks[[#Headers],[ID]]))))))</f>
        <v/>
      </c>
      <c r="U166" s="24" t="str">
        <f aca="false">IF(IFERROR(INDEX(tsk_Name,(ROW()-ROW(MSPTasks[[#Headers],[ID]])))="",TRUE()),"",IF(INDEX(tsk_IsSummary,(ROW()-ROW(MSPTasks[[#Headers],[ID]]))),"",IF(AND(INDEX(tsk_Mode,(ROW()-ROW(MSPTasks[[#Headers],[ID]])))&lt;&gt;"Manual",N(INDEX(tsk_Constraint,(ROW()-ROW(MSPTasks[[#Headers],[ID]]))))&gt;0),"Start No Earlier Than","As Soon As Possible")))</f>
        <v/>
      </c>
      <c r="V166" s="130" t="str">
        <f aca="false">IF(IFERROR(INDEX(tsk_Name,(ROW()-ROW(MSPTasks[[#Headers],[ID]])))="",TRUE()),"",IF(OR(INDEX(tsk_IsSummary,(ROW()-ROW(MSPTasks[[#Headers],[ID]]))),INDEX(tsk_Mode,(ROW()-ROW(MSPTasks[[#Headers],[ID]])))="Manual"),"",IF(N(INDEX(tsk_Constraint,(ROW()-ROW(MSPTasks[[#Headers],[ID]]))))=0,"",INDEX(tsk_Constraint,(ROW()-ROW(MSPTasks[[#Headers],[ID]]))))))</f>
        <v/>
      </c>
      <c r="W166" s="130" t="str">
        <f aca="false">IF(IFERROR(INDEX(tsk_Name,(ROW()-ROW(MSPTasks[[#Headers],[ID]])))="",TRUE()),"",IF(N(INDEX(tsk_Deadline,(ROW()-ROW(MSPTasks[[#Headers],[ID]]))))=0,"",INDEX(tsk_Deadline,(ROW()-ROW(MSPTasks[[#Headers],[ID]])))))</f>
        <v/>
      </c>
      <c r="X166" s="24" t="str">
        <f aca="false">IF(IFERROR(INDEX(tsk_Name,(ROW()-ROW(MSPTasks[[#Headers],[ID]])))="",TRUE()),"",IF(INDEX(tsk_IsSummary,(ROW()-ROW(MSPTasks[[#Headers],[ID]]))),"",INDEX(tsk_Sprint,(ROW()-ROW(MSPTasks[[#Headers],[ID]])))&amp;""))</f>
        <v/>
      </c>
      <c r="Y166" s="24" t="str">
        <f aca="false">IF(IFERROR(INDEX(tsk_Name,(ROW()-ROW(MSPTasks[[#Headers],[ID]])))="",TRUE()),"",IF(INDEX(tsk_IsSummary,(ROW()-ROW(MSPTasks[[#Headers],[ID]]))),"",IF(N(INDEX(tsk_StoryPoints,(ROW()-ROW(MSPTasks[[#Headers],[ID]]))))=0,"",INDEX(tsk_StoryPoints,(ROW()-ROW(MSPTasks[[#Headers],[ID]]))))))</f>
        <v/>
      </c>
      <c r="Z166" s="24" t="str">
        <f aca="false">IF(IFERROR(INDEX(tsk_Name,(ROW()-ROW(MSPTasks[[#Headers],[ID]])))="",TRUE()),"",INDEX(tsk_Notes,(ROW()-ROW(MSPTasks[[#Headers],[ID]])))&amp;"")</f>
        <v/>
      </c>
    </row>
    <row r="167" customFormat="false" ht="15" hidden="false" customHeight="false" outlineLevel="0" collapsed="false">
      <c r="A167" s="24" t="str">
        <f aca="false">IF(IFERROR(INDEX(tsk_Name,(ROW()-ROW(MSPTasks[[#Headers],[ID]])))="",TRUE()),"",INDEX(tsk_ID,(ROW()-ROW(MSPTasks[[#Headers],[ID]]))))</f>
        <v/>
      </c>
      <c r="B167" s="24" t="str">
        <f aca="false">IF(IFERROR(INDEX(tsk_Name,(ROW()-ROW(MSPTasks[[#Headers],[ID]])))="",TRUE()),"",INDEX(tsk_UID,(ROW()-ROW(MSPTasks[[#Headers],[ID]]))))</f>
        <v/>
      </c>
      <c r="C167" s="24" t="str">
        <f aca="false">IF(IFERROR(INDEX(tsk_Name,(ROW()-ROW(MSPTasks[[#Headers],[ID]])))="",TRUE()),"",INDEX(tsk_Name,(ROW()-ROW(MSPTasks[[#Headers],[ID]]))))</f>
        <v/>
      </c>
      <c r="D167" s="24" t="str">
        <f aca="false">IF(IFERROR(INDEX(tsk_Name,(ROW()-ROW(MSPTasks[[#Headers],[ID]])))="",TRUE()),"",INDEX(tsk_Level,(ROW()-ROW(MSPTasks[[#Headers],[ID]]))))</f>
        <v/>
      </c>
      <c r="E167" s="24" t="str">
        <f aca="false">IF(IFERROR(INDEX(tsk_Name,(ROW()-ROW(MSPTasks[[#Headers],[ID]])))="",TRUE()),"",IF(INDEX(tsk_Mode,(ROW()-ROW(MSPTasks[[#Headers],[ID]])))="Manual","Manually Scheduled","Auto Scheduled"))</f>
        <v/>
      </c>
      <c r="F167" s="24" t="str">
        <f aca="false">IF(IFERROR(INDEX(tsk_Name,(ROW()-ROW(MSPTasks[[#Headers],[ID]])))="",TRUE()),"",IF(INDEX(tsk_IsSummary,(ROW()-ROW(MSPTasks[[#Headers],[ID]]))),"",N(INDEX(tsk_Duration,(ROW()-ROW(MSPTasks[[#Headers],[ID]]))))&amp;"d"))</f>
        <v/>
      </c>
      <c r="G167" s="130" t="str">
        <f aca="false">IF(IFERROR(INDEX(tsk_Name,(ROW()-ROW(MSPTasks[[#Headers],[ID]])))="",TRUE()),"",INDEX(tsk_FcStart,(ROW()-ROW(MSPTasks[[#Headers],[ID]]))))</f>
        <v/>
      </c>
      <c r="H167" s="130" t="str">
        <f aca="false">IF(IFERROR(INDEX(tsk_Name,(ROW()-ROW(MSPTasks[[#Headers],[ID]])))="",TRUE()),"",INDEX(tsk_FcFinish,(ROW()-ROW(MSPTasks[[#Headers],[ID]]))))</f>
        <v/>
      </c>
      <c r="I167" s="24" t="str">
        <f aca="false">IF(IFERROR(INDEX(tsk_Name,(ROW()-ROW(MSPTasks[[#Headers],[ID]])))="",TRUE()),"",IF(INDEX(tsk_IsSummary,(ROW()-ROW(MSPTasks[[#Headers],[ID]]))),"",INDEX(tsk_Predecessors,(ROW()-ROW(MSPTasks[[#Headers],[ID]])))))</f>
        <v/>
      </c>
      <c r="J167" s="24" t="str">
        <f aca="false">IF(IFERROR(INDEX(tsk_Name,(ROW()-ROW(MSPTasks[[#Headers],[ID]])))="",TRUE()),"",IF(INDEX(tsk_IsSummary,(ROW()-ROW(MSPTasks[[#Headers],[ID]]))),"",INDEX(tsk_UIDPredecessors,(ROW()-ROW(MSPTasks[[#Headers],[ID]])))))</f>
        <v/>
      </c>
      <c r="K1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7" s="24" t="str">
        <f aca="false">IF(IFERROR(INDEX(tsk_Name,(ROW()-ROW(MSPTasks[[#Headers],[ID]])))="",TRUE()),"",IF(INDEX(tsk_IsSummary,(ROW()-ROW(MSPTasks[[#Headers],[ID]]))),"",ROUND(INDEX(tsk_Progress,(ROW()-ROW(MSPTasks[[#Headers],[ID]])))*100,0)))</f>
        <v/>
      </c>
      <c r="M167" s="130" t="str">
        <f aca="false">IF(IFERROR(INDEX(tsk_Name,(ROW()-ROW(MSPTasks[[#Headers],[ID]])))="",TRUE()),"",IF(N(INDEX(tsk_ActStart,(ROW()-ROW(MSPTasks[[#Headers],[ID]]))))=0,"",INDEX(tsk_ActStart,(ROW()-ROW(MSPTasks[[#Headers],[ID]])))))</f>
        <v/>
      </c>
      <c r="N167" s="130" t="str">
        <f aca="false">IF(IFERROR(INDEX(tsk_Name,(ROW()-ROW(MSPTasks[[#Headers],[ID]])))="",TRUE()),"",IF(N(INDEX(tsk_ActFinish,(ROW()-ROW(MSPTasks[[#Headers],[ID]]))))=0,"",INDEX(tsk_ActFinish,(ROW()-ROW(MSPTasks[[#Headers],[ID]])))))</f>
        <v/>
      </c>
      <c r="O167" s="130" t="str">
        <f aca="false">IF(IFERROR(INDEX(tsk_Name,(ROW()-ROW(MSPTasks[[#Headers],[ID]])))="",TRUE()),"",INDEX(tsk_PlanStart,(ROW()-ROW(MSPTasks[[#Headers],[ID]]))))</f>
        <v/>
      </c>
      <c r="P167" s="130" t="str">
        <f aca="false">IF(IFERROR(INDEX(tsk_Name,(ROW()-ROW(MSPTasks[[#Headers],[ID]])))="",TRUE()),"",INDEX(tsk_PlanFinish,(ROW()-ROW(MSPTasks[[#Headers],[ID]]))))</f>
        <v/>
      </c>
      <c r="Q167" s="24" t="str">
        <f aca="false">IF(IFERROR(INDEX(tsk_Name,(ROW()-ROW(MSPTasks[[#Headers],[ID]])))="",TRUE()),"",IF(INDEX(tsk_BaseDuration,(ROW()-ROW(MSPTasks[[#Headers],[ID]])))="","",N(INDEX(tsk_BaseDuration,(ROW()-ROW(MSPTasks[[#Headers],[ID]]))))&amp;"d"))</f>
        <v/>
      </c>
      <c r="R167" s="24" t="str">
        <f aca="false">IF(IFERROR(INDEX(tsk_Name,(ROW()-ROW(MSPTasks[[#Headers],[ID]])))="",TRUE()),"",IF(INDEX(tsk_BaseWork,(ROW()-ROW(MSPTasks[[#Headers],[ID]])))="","",N(INDEX(tsk_BaseWork,(ROW()-ROW(MSPTasks[[#Headers],[ID]]))))&amp;"h"))</f>
        <v/>
      </c>
      <c r="S167" s="24" t="str">
        <f aca="false">IF(IFERROR(INDEX(tsk_Name,(ROW()-ROW(MSPTasks[[#Headers],[ID]])))="",TRUE()),"",IF(INDEX(tsk_BaseCost,(ROW()-ROW(MSPTasks[[#Headers],[ID]])))="","",N(INDEX(tsk_BaseCost,(ROW()-ROW(MSPTasks[[#Headers],[ID]]))))))</f>
        <v/>
      </c>
      <c r="T167" s="24" t="str">
        <f aca="false">IF(IFERROR(INDEX(tsk_Name,(ROW()-ROW(MSPTasks[[#Headers],[ID]])))="",TRUE()),"",IF(INDEX(tsk_IsSummary,(ROW()-ROW(MSPTasks[[#Headers],[ID]]))),"",IF(N(INDEX(tsk_ActCostInput,(ROW()-ROW(MSPTasks[[#Headers],[ID]]))))=0,"",INDEX(tsk_ActCostInput,(ROW()-ROW(MSPTasks[[#Headers],[ID]]))))))</f>
        <v/>
      </c>
      <c r="U167" s="24" t="str">
        <f aca="false">IF(IFERROR(INDEX(tsk_Name,(ROW()-ROW(MSPTasks[[#Headers],[ID]])))="",TRUE()),"",IF(INDEX(tsk_IsSummary,(ROW()-ROW(MSPTasks[[#Headers],[ID]]))),"",IF(AND(INDEX(tsk_Mode,(ROW()-ROW(MSPTasks[[#Headers],[ID]])))&lt;&gt;"Manual",N(INDEX(tsk_Constraint,(ROW()-ROW(MSPTasks[[#Headers],[ID]]))))&gt;0),"Start No Earlier Than","As Soon As Possible")))</f>
        <v/>
      </c>
      <c r="V167" s="130" t="str">
        <f aca="false">IF(IFERROR(INDEX(tsk_Name,(ROW()-ROW(MSPTasks[[#Headers],[ID]])))="",TRUE()),"",IF(OR(INDEX(tsk_IsSummary,(ROW()-ROW(MSPTasks[[#Headers],[ID]]))),INDEX(tsk_Mode,(ROW()-ROW(MSPTasks[[#Headers],[ID]])))="Manual"),"",IF(N(INDEX(tsk_Constraint,(ROW()-ROW(MSPTasks[[#Headers],[ID]]))))=0,"",INDEX(tsk_Constraint,(ROW()-ROW(MSPTasks[[#Headers],[ID]]))))))</f>
        <v/>
      </c>
      <c r="W167" s="130" t="str">
        <f aca="false">IF(IFERROR(INDEX(tsk_Name,(ROW()-ROW(MSPTasks[[#Headers],[ID]])))="",TRUE()),"",IF(N(INDEX(tsk_Deadline,(ROW()-ROW(MSPTasks[[#Headers],[ID]]))))=0,"",INDEX(tsk_Deadline,(ROW()-ROW(MSPTasks[[#Headers],[ID]])))))</f>
        <v/>
      </c>
      <c r="X167" s="24" t="str">
        <f aca="false">IF(IFERROR(INDEX(tsk_Name,(ROW()-ROW(MSPTasks[[#Headers],[ID]])))="",TRUE()),"",IF(INDEX(tsk_IsSummary,(ROW()-ROW(MSPTasks[[#Headers],[ID]]))),"",INDEX(tsk_Sprint,(ROW()-ROW(MSPTasks[[#Headers],[ID]])))&amp;""))</f>
        <v/>
      </c>
      <c r="Y167" s="24" t="str">
        <f aca="false">IF(IFERROR(INDEX(tsk_Name,(ROW()-ROW(MSPTasks[[#Headers],[ID]])))="",TRUE()),"",IF(INDEX(tsk_IsSummary,(ROW()-ROW(MSPTasks[[#Headers],[ID]]))),"",IF(N(INDEX(tsk_StoryPoints,(ROW()-ROW(MSPTasks[[#Headers],[ID]]))))=0,"",INDEX(tsk_StoryPoints,(ROW()-ROW(MSPTasks[[#Headers],[ID]]))))))</f>
        <v/>
      </c>
      <c r="Z167" s="24" t="str">
        <f aca="false">IF(IFERROR(INDEX(tsk_Name,(ROW()-ROW(MSPTasks[[#Headers],[ID]])))="",TRUE()),"",INDEX(tsk_Notes,(ROW()-ROW(MSPTasks[[#Headers],[ID]])))&amp;"")</f>
        <v/>
      </c>
    </row>
    <row r="168" customFormat="false" ht="15" hidden="false" customHeight="false" outlineLevel="0" collapsed="false">
      <c r="A168" s="24" t="str">
        <f aca="false">IF(IFERROR(INDEX(tsk_Name,(ROW()-ROW(MSPTasks[[#Headers],[ID]])))="",TRUE()),"",INDEX(tsk_ID,(ROW()-ROW(MSPTasks[[#Headers],[ID]]))))</f>
        <v/>
      </c>
      <c r="B168" s="24" t="str">
        <f aca="false">IF(IFERROR(INDEX(tsk_Name,(ROW()-ROW(MSPTasks[[#Headers],[ID]])))="",TRUE()),"",INDEX(tsk_UID,(ROW()-ROW(MSPTasks[[#Headers],[ID]]))))</f>
        <v/>
      </c>
      <c r="C168" s="24" t="str">
        <f aca="false">IF(IFERROR(INDEX(tsk_Name,(ROW()-ROW(MSPTasks[[#Headers],[ID]])))="",TRUE()),"",INDEX(tsk_Name,(ROW()-ROW(MSPTasks[[#Headers],[ID]]))))</f>
        <v/>
      </c>
      <c r="D168" s="24" t="str">
        <f aca="false">IF(IFERROR(INDEX(tsk_Name,(ROW()-ROW(MSPTasks[[#Headers],[ID]])))="",TRUE()),"",INDEX(tsk_Level,(ROW()-ROW(MSPTasks[[#Headers],[ID]]))))</f>
        <v/>
      </c>
      <c r="E168" s="24" t="str">
        <f aca="false">IF(IFERROR(INDEX(tsk_Name,(ROW()-ROW(MSPTasks[[#Headers],[ID]])))="",TRUE()),"",IF(INDEX(tsk_Mode,(ROW()-ROW(MSPTasks[[#Headers],[ID]])))="Manual","Manually Scheduled","Auto Scheduled"))</f>
        <v/>
      </c>
      <c r="F168" s="24" t="str">
        <f aca="false">IF(IFERROR(INDEX(tsk_Name,(ROW()-ROW(MSPTasks[[#Headers],[ID]])))="",TRUE()),"",IF(INDEX(tsk_IsSummary,(ROW()-ROW(MSPTasks[[#Headers],[ID]]))),"",N(INDEX(tsk_Duration,(ROW()-ROW(MSPTasks[[#Headers],[ID]]))))&amp;"d"))</f>
        <v/>
      </c>
      <c r="G168" s="130" t="str">
        <f aca="false">IF(IFERROR(INDEX(tsk_Name,(ROW()-ROW(MSPTasks[[#Headers],[ID]])))="",TRUE()),"",INDEX(tsk_FcStart,(ROW()-ROW(MSPTasks[[#Headers],[ID]]))))</f>
        <v/>
      </c>
      <c r="H168" s="130" t="str">
        <f aca="false">IF(IFERROR(INDEX(tsk_Name,(ROW()-ROW(MSPTasks[[#Headers],[ID]])))="",TRUE()),"",INDEX(tsk_FcFinish,(ROW()-ROW(MSPTasks[[#Headers],[ID]]))))</f>
        <v/>
      </c>
      <c r="I168" s="24" t="str">
        <f aca="false">IF(IFERROR(INDEX(tsk_Name,(ROW()-ROW(MSPTasks[[#Headers],[ID]])))="",TRUE()),"",IF(INDEX(tsk_IsSummary,(ROW()-ROW(MSPTasks[[#Headers],[ID]]))),"",INDEX(tsk_Predecessors,(ROW()-ROW(MSPTasks[[#Headers],[ID]])))))</f>
        <v/>
      </c>
      <c r="J168" s="24" t="str">
        <f aca="false">IF(IFERROR(INDEX(tsk_Name,(ROW()-ROW(MSPTasks[[#Headers],[ID]])))="",TRUE()),"",IF(INDEX(tsk_IsSummary,(ROW()-ROW(MSPTasks[[#Headers],[ID]]))),"",INDEX(tsk_UIDPredecessors,(ROW()-ROW(MSPTasks[[#Headers],[ID]])))))</f>
        <v/>
      </c>
      <c r="K1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8" s="24" t="str">
        <f aca="false">IF(IFERROR(INDEX(tsk_Name,(ROW()-ROW(MSPTasks[[#Headers],[ID]])))="",TRUE()),"",IF(INDEX(tsk_IsSummary,(ROW()-ROW(MSPTasks[[#Headers],[ID]]))),"",ROUND(INDEX(tsk_Progress,(ROW()-ROW(MSPTasks[[#Headers],[ID]])))*100,0)))</f>
        <v/>
      </c>
      <c r="M168" s="130" t="str">
        <f aca="false">IF(IFERROR(INDEX(tsk_Name,(ROW()-ROW(MSPTasks[[#Headers],[ID]])))="",TRUE()),"",IF(N(INDEX(tsk_ActStart,(ROW()-ROW(MSPTasks[[#Headers],[ID]]))))=0,"",INDEX(tsk_ActStart,(ROW()-ROW(MSPTasks[[#Headers],[ID]])))))</f>
        <v/>
      </c>
      <c r="N168" s="130" t="str">
        <f aca="false">IF(IFERROR(INDEX(tsk_Name,(ROW()-ROW(MSPTasks[[#Headers],[ID]])))="",TRUE()),"",IF(N(INDEX(tsk_ActFinish,(ROW()-ROW(MSPTasks[[#Headers],[ID]]))))=0,"",INDEX(tsk_ActFinish,(ROW()-ROW(MSPTasks[[#Headers],[ID]])))))</f>
        <v/>
      </c>
      <c r="O168" s="130" t="str">
        <f aca="false">IF(IFERROR(INDEX(tsk_Name,(ROW()-ROW(MSPTasks[[#Headers],[ID]])))="",TRUE()),"",INDEX(tsk_PlanStart,(ROW()-ROW(MSPTasks[[#Headers],[ID]]))))</f>
        <v/>
      </c>
      <c r="P168" s="130" t="str">
        <f aca="false">IF(IFERROR(INDEX(tsk_Name,(ROW()-ROW(MSPTasks[[#Headers],[ID]])))="",TRUE()),"",INDEX(tsk_PlanFinish,(ROW()-ROW(MSPTasks[[#Headers],[ID]]))))</f>
        <v/>
      </c>
      <c r="Q168" s="24" t="str">
        <f aca="false">IF(IFERROR(INDEX(tsk_Name,(ROW()-ROW(MSPTasks[[#Headers],[ID]])))="",TRUE()),"",IF(INDEX(tsk_BaseDuration,(ROW()-ROW(MSPTasks[[#Headers],[ID]])))="","",N(INDEX(tsk_BaseDuration,(ROW()-ROW(MSPTasks[[#Headers],[ID]]))))&amp;"d"))</f>
        <v/>
      </c>
      <c r="R168" s="24" t="str">
        <f aca="false">IF(IFERROR(INDEX(tsk_Name,(ROW()-ROW(MSPTasks[[#Headers],[ID]])))="",TRUE()),"",IF(INDEX(tsk_BaseWork,(ROW()-ROW(MSPTasks[[#Headers],[ID]])))="","",N(INDEX(tsk_BaseWork,(ROW()-ROW(MSPTasks[[#Headers],[ID]]))))&amp;"h"))</f>
        <v/>
      </c>
      <c r="S168" s="24" t="str">
        <f aca="false">IF(IFERROR(INDEX(tsk_Name,(ROW()-ROW(MSPTasks[[#Headers],[ID]])))="",TRUE()),"",IF(INDEX(tsk_BaseCost,(ROW()-ROW(MSPTasks[[#Headers],[ID]])))="","",N(INDEX(tsk_BaseCost,(ROW()-ROW(MSPTasks[[#Headers],[ID]]))))))</f>
        <v/>
      </c>
      <c r="T168" s="24" t="str">
        <f aca="false">IF(IFERROR(INDEX(tsk_Name,(ROW()-ROW(MSPTasks[[#Headers],[ID]])))="",TRUE()),"",IF(INDEX(tsk_IsSummary,(ROW()-ROW(MSPTasks[[#Headers],[ID]]))),"",IF(N(INDEX(tsk_ActCostInput,(ROW()-ROW(MSPTasks[[#Headers],[ID]]))))=0,"",INDEX(tsk_ActCostInput,(ROW()-ROW(MSPTasks[[#Headers],[ID]]))))))</f>
        <v/>
      </c>
      <c r="U168" s="24" t="str">
        <f aca="false">IF(IFERROR(INDEX(tsk_Name,(ROW()-ROW(MSPTasks[[#Headers],[ID]])))="",TRUE()),"",IF(INDEX(tsk_IsSummary,(ROW()-ROW(MSPTasks[[#Headers],[ID]]))),"",IF(AND(INDEX(tsk_Mode,(ROW()-ROW(MSPTasks[[#Headers],[ID]])))&lt;&gt;"Manual",N(INDEX(tsk_Constraint,(ROW()-ROW(MSPTasks[[#Headers],[ID]]))))&gt;0),"Start No Earlier Than","As Soon As Possible")))</f>
        <v/>
      </c>
      <c r="V168" s="130" t="str">
        <f aca="false">IF(IFERROR(INDEX(tsk_Name,(ROW()-ROW(MSPTasks[[#Headers],[ID]])))="",TRUE()),"",IF(OR(INDEX(tsk_IsSummary,(ROW()-ROW(MSPTasks[[#Headers],[ID]]))),INDEX(tsk_Mode,(ROW()-ROW(MSPTasks[[#Headers],[ID]])))="Manual"),"",IF(N(INDEX(tsk_Constraint,(ROW()-ROW(MSPTasks[[#Headers],[ID]]))))=0,"",INDEX(tsk_Constraint,(ROW()-ROW(MSPTasks[[#Headers],[ID]]))))))</f>
        <v/>
      </c>
      <c r="W168" s="130" t="str">
        <f aca="false">IF(IFERROR(INDEX(tsk_Name,(ROW()-ROW(MSPTasks[[#Headers],[ID]])))="",TRUE()),"",IF(N(INDEX(tsk_Deadline,(ROW()-ROW(MSPTasks[[#Headers],[ID]]))))=0,"",INDEX(tsk_Deadline,(ROW()-ROW(MSPTasks[[#Headers],[ID]])))))</f>
        <v/>
      </c>
      <c r="X168" s="24" t="str">
        <f aca="false">IF(IFERROR(INDEX(tsk_Name,(ROW()-ROW(MSPTasks[[#Headers],[ID]])))="",TRUE()),"",IF(INDEX(tsk_IsSummary,(ROW()-ROW(MSPTasks[[#Headers],[ID]]))),"",INDEX(tsk_Sprint,(ROW()-ROW(MSPTasks[[#Headers],[ID]])))&amp;""))</f>
        <v/>
      </c>
      <c r="Y168" s="24" t="str">
        <f aca="false">IF(IFERROR(INDEX(tsk_Name,(ROW()-ROW(MSPTasks[[#Headers],[ID]])))="",TRUE()),"",IF(INDEX(tsk_IsSummary,(ROW()-ROW(MSPTasks[[#Headers],[ID]]))),"",IF(N(INDEX(tsk_StoryPoints,(ROW()-ROW(MSPTasks[[#Headers],[ID]]))))=0,"",INDEX(tsk_StoryPoints,(ROW()-ROW(MSPTasks[[#Headers],[ID]]))))))</f>
        <v/>
      </c>
      <c r="Z168" s="24" t="str">
        <f aca="false">IF(IFERROR(INDEX(tsk_Name,(ROW()-ROW(MSPTasks[[#Headers],[ID]])))="",TRUE()),"",INDEX(tsk_Notes,(ROW()-ROW(MSPTasks[[#Headers],[ID]])))&amp;"")</f>
        <v/>
      </c>
    </row>
    <row r="169" customFormat="false" ht="15" hidden="false" customHeight="false" outlineLevel="0" collapsed="false">
      <c r="A169" s="24" t="str">
        <f aca="false">IF(IFERROR(INDEX(tsk_Name,(ROW()-ROW(MSPTasks[[#Headers],[ID]])))="",TRUE()),"",INDEX(tsk_ID,(ROW()-ROW(MSPTasks[[#Headers],[ID]]))))</f>
        <v/>
      </c>
      <c r="B169" s="24" t="str">
        <f aca="false">IF(IFERROR(INDEX(tsk_Name,(ROW()-ROW(MSPTasks[[#Headers],[ID]])))="",TRUE()),"",INDEX(tsk_UID,(ROW()-ROW(MSPTasks[[#Headers],[ID]]))))</f>
        <v/>
      </c>
      <c r="C169" s="24" t="str">
        <f aca="false">IF(IFERROR(INDEX(tsk_Name,(ROW()-ROW(MSPTasks[[#Headers],[ID]])))="",TRUE()),"",INDEX(tsk_Name,(ROW()-ROW(MSPTasks[[#Headers],[ID]]))))</f>
        <v/>
      </c>
      <c r="D169" s="24" t="str">
        <f aca="false">IF(IFERROR(INDEX(tsk_Name,(ROW()-ROW(MSPTasks[[#Headers],[ID]])))="",TRUE()),"",INDEX(tsk_Level,(ROW()-ROW(MSPTasks[[#Headers],[ID]]))))</f>
        <v/>
      </c>
      <c r="E169" s="24" t="str">
        <f aca="false">IF(IFERROR(INDEX(tsk_Name,(ROW()-ROW(MSPTasks[[#Headers],[ID]])))="",TRUE()),"",IF(INDEX(tsk_Mode,(ROW()-ROW(MSPTasks[[#Headers],[ID]])))="Manual","Manually Scheduled","Auto Scheduled"))</f>
        <v/>
      </c>
      <c r="F169" s="24" t="str">
        <f aca="false">IF(IFERROR(INDEX(tsk_Name,(ROW()-ROW(MSPTasks[[#Headers],[ID]])))="",TRUE()),"",IF(INDEX(tsk_IsSummary,(ROW()-ROW(MSPTasks[[#Headers],[ID]]))),"",N(INDEX(tsk_Duration,(ROW()-ROW(MSPTasks[[#Headers],[ID]]))))&amp;"d"))</f>
        <v/>
      </c>
      <c r="G169" s="130" t="str">
        <f aca="false">IF(IFERROR(INDEX(tsk_Name,(ROW()-ROW(MSPTasks[[#Headers],[ID]])))="",TRUE()),"",INDEX(tsk_FcStart,(ROW()-ROW(MSPTasks[[#Headers],[ID]]))))</f>
        <v/>
      </c>
      <c r="H169" s="130" t="str">
        <f aca="false">IF(IFERROR(INDEX(tsk_Name,(ROW()-ROW(MSPTasks[[#Headers],[ID]])))="",TRUE()),"",INDEX(tsk_FcFinish,(ROW()-ROW(MSPTasks[[#Headers],[ID]]))))</f>
        <v/>
      </c>
      <c r="I169" s="24" t="str">
        <f aca="false">IF(IFERROR(INDEX(tsk_Name,(ROW()-ROW(MSPTasks[[#Headers],[ID]])))="",TRUE()),"",IF(INDEX(tsk_IsSummary,(ROW()-ROW(MSPTasks[[#Headers],[ID]]))),"",INDEX(tsk_Predecessors,(ROW()-ROW(MSPTasks[[#Headers],[ID]])))))</f>
        <v/>
      </c>
      <c r="J169" s="24" t="str">
        <f aca="false">IF(IFERROR(INDEX(tsk_Name,(ROW()-ROW(MSPTasks[[#Headers],[ID]])))="",TRUE()),"",IF(INDEX(tsk_IsSummary,(ROW()-ROW(MSPTasks[[#Headers],[ID]]))),"",INDEX(tsk_UIDPredecessors,(ROW()-ROW(MSPTasks[[#Headers],[ID]])))))</f>
        <v/>
      </c>
      <c r="K1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9" s="24" t="str">
        <f aca="false">IF(IFERROR(INDEX(tsk_Name,(ROW()-ROW(MSPTasks[[#Headers],[ID]])))="",TRUE()),"",IF(INDEX(tsk_IsSummary,(ROW()-ROW(MSPTasks[[#Headers],[ID]]))),"",ROUND(INDEX(tsk_Progress,(ROW()-ROW(MSPTasks[[#Headers],[ID]])))*100,0)))</f>
        <v/>
      </c>
      <c r="M169" s="130" t="str">
        <f aca="false">IF(IFERROR(INDEX(tsk_Name,(ROW()-ROW(MSPTasks[[#Headers],[ID]])))="",TRUE()),"",IF(N(INDEX(tsk_ActStart,(ROW()-ROW(MSPTasks[[#Headers],[ID]]))))=0,"",INDEX(tsk_ActStart,(ROW()-ROW(MSPTasks[[#Headers],[ID]])))))</f>
        <v/>
      </c>
      <c r="N169" s="130" t="str">
        <f aca="false">IF(IFERROR(INDEX(tsk_Name,(ROW()-ROW(MSPTasks[[#Headers],[ID]])))="",TRUE()),"",IF(N(INDEX(tsk_ActFinish,(ROW()-ROW(MSPTasks[[#Headers],[ID]]))))=0,"",INDEX(tsk_ActFinish,(ROW()-ROW(MSPTasks[[#Headers],[ID]])))))</f>
        <v/>
      </c>
      <c r="O169" s="130" t="str">
        <f aca="false">IF(IFERROR(INDEX(tsk_Name,(ROW()-ROW(MSPTasks[[#Headers],[ID]])))="",TRUE()),"",INDEX(tsk_PlanStart,(ROW()-ROW(MSPTasks[[#Headers],[ID]]))))</f>
        <v/>
      </c>
      <c r="P169" s="130" t="str">
        <f aca="false">IF(IFERROR(INDEX(tsk_Name,(ROW()-ROW(MSPTasks[[#Headers],[ID]])))="",TRUE()),"",INDEX(tsk_PlanFinish,(ROW()-ROW(MSPTasks[[#Headers],[ID]]))))</f>
        <v/>
      </c>
      <c r="Q169" s="24" t="str">
        <f aca="false">IF(IFERROR(INDEX(tsk_Name,(ROW()-ROW(MSPTasks[[#Headers],[ID]])))="",TRUE()),"",IF(INDEX(tsk_BaseDuration,(ROW()-ROW(MSPTasks[[#Headers],[ID]])))="","",N(INDEX(tsk_BaseDuration,(ROW()-ROW(MSPTasks[[#Headers],[ID]]))))&amp;"d"))</f>
        <v/>
      </c>
      <c r="R169" s="24" t="str">
        <f aca="false">IF(IFERROR(INDEX(tsk_Name,(ROW()-ROW(MSPTasks[[#Headers],[ID]])))="",TRUE()),"",IF(INDEX(tsk_BaseWork,(ROW()-ROW(MSPTasks[[#Headers],[ID]])))="","",N(INDEX(tsk_BaseWork,(ROW()-ROW(MSPTasks[[#Headers],[ID]]))))&amp;"h"))</f>
        <v/>
      </c>
      <c r="S169" s="24" t="str">
        <f aca="false">IF(IFERROR(INDEX(tsk_Name,(ROW()-ROW(MSPTasks[[#Headers],[ID]])))="",TRUE()),"",IF(INDEX(tsk_BaseCost,(ROW()-ROW(MSPTasks[[#Headers],[ID]])))="","",N(INDEX(tsk_BaseCost,(ROW()-ROW(MSPTasks[[#Headers],[ID]]))))))</f>
        <v/>
      </c>
      <c r="T169" s="24" t="str">
        <f aca="false">IF(IFERROR(INDEX(tsk_Name,(ROW()-ROW(MSPTasks[[#Headers],[ID]])))="",TRUE()),"",IF(INDEX(tsk_IsSummary,(ROW()-ROW(MSPTasks[[#Headers],[ID]]))),"",IF(N(INDEX(tsk_ActCostInput,(ROW()-ROW(MSPTasks[[#Headers],[ID]]))))=0,"",INDEX(tsk_ActCostInput,(ROW()-ROW(MSPTasks[[#Headers],[ID]]))))))</f>
        <v/>
      </c>
      <c r="U169" s="24" t="str">
        <f aca="false">IF(IFERROR(INDEX(tsk_Name,(ROW()-ROW(MSPTasks[[#Headers],[ID]])))="",TRUE()),"",IF(INDEX(tsk_IsSummary,(ROW()-ROW(MSPTasks[[#Headers],[ID]]))),"",IF(AND(INDEX(tsk_Mode,(ROW()-ROW(MSPTasks[[#Headers],[ID]])))&lt;&gt;"Manual",N(INDEX(tsk_Constraint,(ROW()-ROW(MSPTasks[[#Headers],[ID]]))))&gt;0),"Start No Earlier Than","As Soon As Possible")))</f>
        <v/>
      </c>
      <c r="V169" s="130" t="str">
        <f aca="false">IF(IFERROR(INDEX(tsk_Name,(ROW()-ROW(MSPTasks[[#Headers],[ID]])))="",TRUE()),"",IF(OR(INDEX(tsk_IsSummary,(ROW()-ROW(MSPTasks[[#Headers],[ID]]))),INDEX(tsk_Mode,(ROW()-ROW(MSPTasks[[#Headers],[ID]])))="Manual"),"",IF(N(INDEX(tsk_Constraint,(ROW()-ROW(MSPTasks[[#Headers],[ID]]))))=0,"",INDEX(tsk_Constraint,(ROW()-ROW(MSPTasks[[#Headers],[ID]]))))))</f>
        <v/>
      </c>
      <c r="W169" s="130" t="str">
        <f aca="false">IF(IFERROR(INDEX(tsk_Name,(ROW()-ROW(MSPTasks[[#Headers],[ID]])))="",TRUE()),"",IF(N(INDEX(tsk_Deadline,(ROW()-ROW(MSPTasks[[#Headers],[ID]]))))=0,"",INDEX(tsk_Deadline,(ROW()-ROW(MSPTasks[[#Headers],[ID]])))))</f>
        <v/>
      </c>
      <c r="X169" s="24" t="str">
        <f aca="false">IF(IFERROR(INDEX(tsk_Name,(ROW()-ROW(MSPTasks[[#Headers],[ID]])))="",TRUE()),"",IF(INDEX(tsk_IsSummary,(ROW()-ROW(MSPTasks[[#Headers],[ID]]))),"",INDEX(tsk_Sprint,(ROW()-ROW(MSPTasks[[#Headers],[ID]])))&amp;""))</f>
        <v/>
      </c>
      <c r="Y169" s="24" t="str">
        <f aca="false">IF(IFERROR(INDEX(tsk_Name,(ROW()-ROW(MSPTasks[[#Headers],[ID]])))="",TRUE()),"",IF(INDEX(tsk_IsSummary,(ROW()-ROW(MSPTasks[[#Headers],[ID]]))),"",IF(N(INDEX(tsk_StoryPoints,(ROW()-ROW(MSPTasks[[#Headers],[ID]]))))=0,"",INDEX(tsk_StoryPoints,(ROW()-ROW(MSPTasks[[#Headers],[ID]]))))))</f>
        <v/>
      </c>
      <c r="Z169" s="24" t="str">
        <f aca="false">IF(IFERROR(INDEX(tsk_Name,(ROW()-ROW(MSPTasks[[#Headers],[ID]])))="",TRUE()),"",INDEX(tsk_Notes,(ROW()-ROW(MSPTasks[[#Headers],[ID]])))&amp;"")</f>
        <v/>
      </c>
    </row>
    <row r="170" customFormat="false" ht="15" hidden="false" customHeight="false" outlineLevel="0" collapsed="false">
      <c r="A170" s="24" t="str">
        <f aca="false">IF(IFERROR(INDEX(tsk_Name,(ROW()-ROW(MSPTasks[[#Headers],[ID]])))="",TRUE()),"",INDEX(tsk_ID,(ROW()-ROW(MSPTasks[[#Headers],[ID]]))))</f>
        <v/>
      </c>
      <c r="B170" s="24" t="str">
        <f aca="false">IF(IFERROR(INDEX(tsk_Name,(ROW()-ROW(MSPTasks[[#Headers],[ID]])))="",TRUE()),"",INDEX(tsk_UID,(ROW()-ROW(MSPTasks[[#Headers],[ID]]))))</f>
        <v/>
      </c>
      <c r="C170" s="24" t="str">
        <f aca="false">IF(IFERROR(INDEX(tsk_Name,(ROW()-ROW(MSPTasks[[#Headers],[ID]])))="",TRUE()),"",INDEX(tsk_Name,(ROW()-ROW(MSPTasks[[#Headers],[ID]]))))</f>
        <v/>
      </c>
      <c r="D170" s="24" t="str">
        <f aca="false">IF(IFERROR(INDEX(tsk_Name,(ROW()-ROW(MSPTasks[[#Headers],[ID]])))="",TRUE()),"",INDEX(tsk_Level,(ROW()-ROW(MSPTasks[[#Headers],[ID]]))))</f>
        <v/>
      </c>
      <c r="E170" s="24" t="str">
        <f aca="false">IF(IFERROR(INDEX(tsk_Name,(ROW()-ROW(MSPTasks[[#Headers],[ID]])))="",TRUE()),"",IF(INDEX(tsk_Mode,(ROW()-ROW(MSPTasks[[#Headers],[ID]])))="Manual","Manually Scheduled","Auto Scheduled"))</f>
        <v/>
      </c>
      <c r="F170" s="24" t="str">
        <f aca="false">IF(IFERROR(INDEX(tsk_Name,(ROW()-ROW(MSPTasks[[#Headers],[ID]])))="",TRUE()),"",IF(INDEX(tsk_IsSummary,(ROW()-ROW(MSPTasks[[#Headers],[ID]]))),"",N(INDEX(tsk_Duration,(ROW()-ROW(MSPTasks[[#Headers],[ID]]))))&amp;"d"))</f>
        <v/>
      </c>
      <c r="G170" s="130" t="str">
        <f aca="false">IF(IFERROR(INDEX(tsk_Name,(ROW()-ROW(MSPTasks[[#Headers],[ID]])))="",TRUE()),"",INDEX(tsk_FcStart,(ROW()-ROW(MSPTasks[[#Headers],[ID]]))))</f>
        <v/>
      </c>
      <c r="H170" s="130" t="str">
        <f aca="false">IF(IFERROR(INDEX(tsk_Name,(ROW()-ROW(MSPTasks[[#Headers],[ID]])))="",TRUE()),"",INDEX(tsk_FcFinish,(ROW()-ROW(MSPTasks[[#Headers],[ID]]))))</f>
        <v/>
      </c>
      <c r="I170" s="24" t="str">
        <f aca="false">IF(IFERROR(INDEX(tsk_Name,(ROW()-ROW(MSPTasks[[#Headers],[ID]])))="",TRUE()),"",IF(INDEX(tsk_IsSummary,(ROW()-ROW(MSPTasks[[#Headers],[ID]]))),"",INDEX(tsk_Predecessors,(ROW()-ROW(MSPTasks[[#Headers],[ID]])))))</f>
        <v/>
      </c>
      <c r="J170" s="24" t="str">
        <f aca="false">IF(IFERROR(INDEX(tsk_Name,(ROW()-ROW(MSPTasks[[#Headers],[ID]])))="",TRUE()),"",IF(INDEX(tsk_IsSummary,(ROW()-ROW(MSPTasks[[#Headers],[ID]]))),"",INDEX(tsk_UIDPredecessors,(ROW()-ROW(MSPTasks[[#Headers],[ID]])))))</f>
        <v/>
      </c>
      <c r="K1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0" s="24" t="str">
        <f aca="false">IF(IFERROR(INDEX(tsk_Name,(ROW()-ROW(MSPTasks[[#Headers],[ID]])))="",TRUE()),"",IF(INDEX(tsk_IsSummary,(ROW()-ROW(MSPTasks[[#Headers],[ID]]))),"",ROUND(INDEX(tsk_Progress,(ROW()-ROW(MSPTasks[[#Headers],[ID]])))*100,0)))</f>
        <v/>
      </c>
      <c r="M170" s="130" t="str">
        <f aca="false">IF(IFERROR(INDEX(tsk_Name,(ROW()-ROW(MSPTasks[[#Headers],[ID]])))="",TRUE()),"",IF(N(INDEX(tsk_ActStart,(ROW()-ROW(MSPTasks[[#Headers],[ID]]))))=0,"",INDEX(tsk_ActStart,(ROW()-ROW(MSPTasks[[#Headers],[ID]])))))</f>
        <v/>
      </c>
      <c r="N170" s="130" t="str">
        <f aca="false">IF(IFERROR(INDEX(tsk_Name,(ROW()-ROW(MSPTasks[[#Headers],[ID]])))="",TRUE()),"",IF(N(INDEX(tsk_ActFinish,(ROW()-ROW(MSPTasks[[#Headers],[ID]]))))=0,"",INDEX(tsk_ActFinish,(ROW()-ROW(MSPTasks[[#Headers],[ID]])))))</f>
        <v/>
      </c>
      <c r="O170" s="130" t="str">
        <f aca="false">IF(IFERROR(INDEX(tsk_Name,(ROW()-ROW(MSPTasks[[#Headers],[ID]])))="",TRUE()),"",INDEX(tsk_PlanStart,(ROW()-ROW(MSPTasks[[#Headers],[ID]]))))</f>
        <v/>
      </c>
      <c r="P170" s="130" t="str">
        <f aca="false">IF(IFERROR(INDEX(tsk_Name,(ROW()-ROW(MSPTasks[[#Headers],[ID]])))="",TRUE()),"",INDEX(tsk_PlanFinish,(ROW()-ROW(MSPTasks[[#Headers],[ID]]))))</f>
        <v/>
      </c>
      <c r="Q170" s="24" t="str">
        <f aca="false">IF(IFERROR(INDEX(tsk_Name,(ROW()-ROW(MSPTasks[[#Headers],[ID]])))="",TRUE()),"",IF(INDEX(tsk_BaseDuration,(ROW()-ROW(MSPTasks[[#Headers],[ID]])))="","",N(INDEX(tsk_BaseDuration,(ROW()-ROW(MSPTasks[[#Headers],[ID]]))))&amp;"d"))</f>
        <v/>
      </c>
      <c r="R170" s="24" t="str">
        <f aca="false">IF(IFERROR(INDEX(tsk_Name,(ROW()-ROW(MSPTasks[[#Headers],[ID]])))="",TRUE()),"",IF(INDEX(tsk_BaseWork,(ROW()-ROW(MSPTasks[[#Headers],[ID]])))="","",N(INDEX(tsk_BaseWork,(ROW()-ROW(MSPTasks[[#Headers],[ID]]))))&amp;"h"))</f>
        <v/>
      </c>
      <c r="S170" s="24" t="str">
        <f aca="false">IF(IFERROR(INDEX(tsk_Name,(ROW()-ROW(MSPTasks[[#Headers],[ID]])))="",TRUE()),"",IF(INDEX(tsk_BaseCost,(ROW()-ROW(MSPTasks[[#Headers],[ID]])))="","",N(INDEX(tsk_BaseCost,(ROW()-ROW(MSPTasks[[#Headers],[ID]]))))))</f>
        <v/>
      </c>
      <c r="T170" s="24" t="str">
        <f aca="false">IF(IFERROR(INDEX(tsk_Name,(ROW()-ROW(MSPTasks[[#Headers],[ID]])))="",TRUE()),"",IF(INDEX(tsk_IsSummary,(ROW()-ROW(MSPTasks[[#Headers],[ID]]))),"",IF(N(INDEX(tsk_ActCostInput,(ROW()-ROW(MSPTasks[[#Headers],[ID]]))))=0,"",INDEX(tsk_ActCostInput,(ROW()-ROW(MSPTasks[[#Headers],[ID]]))))))</f>
        <v/>
      </c>
      <c r="U170" s="24" t="str">
        <f aca="false">IF(IFERROR(INDEX(tsk_Name,(ROW()-ROW(MSPTasks[[#Headers],[ID]])))="",TRUE()),"",IF(INDEX(tsk_IsSummary,(ROW()-ROW(MSPTasks[[#Headers],[ID]]))),"",IF(AND(INDEX(tsk_Mode,(ROW()-ROW(MSPTasks[[#Headers],[ID]])))&lt;&gt;"Manual",N(INDEX(tsk_Constraint,(ROW()-ROW(MSPTasks[[#Headers],[ID]]))))&gt;0),"Start No Earlier Than","As Soon As Possible")))</f>
        <v/>
      </c>
      <c r="V170" s="130" t="str">
        <f aca="false">IF(IFERROR(INDEX(tsk_Name,(ROW()-ROW(MSPTasks[[#Headers],[ID]])))="",TRUE()),"",IF(OR(INDEX(tsk_IsSummary,(ROW()-ROW(MSPTasks[[#Headers],[ID]]))),INDEX(tsk_Mode,(ROW()-ROW(MSPTasks[[#Headers],[ID]])))="Manual"),"",IF(N(INDEX(tsk_Constraint,(ROW()-ROW(MSPTasks[[#Headers],[ID]]))))=0,"",INDEX(tsk_Constraint,(ROW()-ROW(MSPTasks[[#Headers],[ID]]))))))</f>
        <v/>
      </c>
      <c r="W170" s="130" t="str">
        <f aca="false">IF(IFERROR(INDEX(tsk_Name,(ROW()-ROW(MSPTasks[[#Headers],[ID]])))="",TRUE()),"",IF(N(INDEX(tsk_Deadline,(ROW()-ROW(MSPTasks[[#Headers],[ID]]))))=0,"",INDEX(tsk_Deadline,(ROW()-ROW(MSPTasks[[#Headers],[ID]])))))</f>
        <v/>
      </c>
      <c r="X170" s="24" t="str">
        <f aca="false">IF(IFERROR(INDEX(tsk_Name,(ROW()-ROW(MSPTasks[[#Headers],[ID]])))="",TRUE()),"",IF(INDEX(tsk_IsSummary,(ROW()-ROW(MSPTasks[[#Headers],[ID]]))),"",INDEX(tsk_Sprint,(ROW()-ROW(MSPTasks[[#Headers],[ID]])))&amp;""))</f>
        <v/>
      </c>
      <c r="Y170" s="24" t="str">
        <f aca="false">IF(IFERROR(INDEX(tsk_Name,(ROW()-ROW(MSPTasks[[#Headers],[ID]])))="",TRUE()),"",IF(INDEX(tsk_IsSummary,(ROW()-ROW(MSPTasks[[#Headers],[ID]]))),"",IF(N(INDEX(tsk_StoryPoints,(ROW()-ROW(MSPTasks[[#Headers],[ID]]))))=0,"",INDEX(tsk_StoryPoints,(ROW()-ROW(MSPTasks[[#Headers],[ID]]))))))</f>
        <v/>
      </c>
      <c r="Z170" s="24" t="str">
        <f aca="false">IF(IFERROR(INDEX(tsk_Name,(ROW()-ROW(MSPTasks[[#Headers],[ID]])))="",TRUE()),"",INDEX(tsk_Notes,(ROW()-ROW(MSPTasks[[#Headers],[ID]])))&amp;"")</f>
        <v/>
      </c>
    </row>
    <row r="171" customFormat="false" ht="15" hidden="false" customHeight="false" outlineLevel="0" collapsed="false">
      <c r="A171" s="24" t="str">
        <f aca="false">IF(IFERROR(INDEX(tsk_Name,(ROW()-ROW(MSPTasks[[#Headers],[ID]])))="",TRUE()),"",INDEX(tsk_ID,(ROW()-ROW(MSPTasks[[#Headers],[ID]]))))</f>
        <v/>
      </c>
      <c r="B171" s="24" t="str">
        <f aca="false">IF(IFERROR(INDEX(tsk_Name,(ROW()-ROW(MSPTasks[[#Headers],[ID]])))="",TRUE()),"",INDEX(tsk_UID,(ROW()-ROW(MSPTasks[[#Headers],[ID]]))))</f>
        <v/>
      </c>
      <c r="C171" s="24" t="str">
        <f aca="false">IF(IFERROR(INDEX(tsk_Name,(ROW()-ROW(MSPTasks[[#Headers],[ID]])))="",TRUE()),"",INDEX(tsk_Name,(ROW()-ROW(MSPTasks[[#Headers],[ID]]))))</f>
        <v/>
      </c>
      <c r="D171" s="24" t="str">
        <f aca="false">IF(IFERROR(INDEX(tsk_Name,(ROW()-ROW(MSPTasks[[#Headers],[ID]])))="",TRUE()),"",INDEX(tsk_Level,(ROW()-ROW(MSPTasks[[#Headers],[ID]]))))</f>
        <v/>
      </c>
      <c r="E171" s="24" t="str">
        <f aca="false">IF(IFERROR(INDEX(tsk_Name,(ROW()-ROW(MSPTasks[[#Headers],[ID]])))="",TRUE()),"",IF(INDEX(tsk_Mode,(ROW()-ROW(MSPTasks[[#Headers],[ID]])))="Manual","Manually Scheduled","Auto Scheduled"))</f>
        <v/>
      </c>
      <c r="F171" s="24" t="str">
        <f aca="false">IF(IFERROR(INDEX(tsk_Name,(ROW()-ROW(MSPTasks[[#Headers],[ID]])))="",TRUE()),"",IF(INDEX(tsk_IsSummary,(ROW()-ROW(MSPTasks[[#Headers],[ID]]))),"",N(INDEX(tsk_Duration,(ROW()-ROW(MSPTasks[[#Headers],[ID]]))))&amp;"d"))</f>
        <v/>
      </c>
      <c r="G171" s="130" t="str">
        <f aca="false">IF(IFERROR(INDEX(tsk_Name,(ROW()-ROW(MSPTasks[[#Headers],[ID]])))="",TRUE()),"",INDEX(tsk_FcStart,(ROW()-ROW(MSPTasks[[#Headers],[ID]]))))</f>
        <v/>
      </c>
      <c r="H171" s="130" t="str">
        <f aca="false">IF(IFERROR(INDEX(tsk_Name,(ROW()-ROW(MSPTasks[[#Headers],[ID]])))="",TRUE()),"",INDEX(tsk_FcFinish,(ROW()-ROW(MSPTasks[[#Headers],[ID]]))))</f>
        <v/>
      </c>
      <c r="I171" s="24" t="str">
        <f aca="false">IF(IFERROR(INDEX(tsk_Name,(ROW()-ROW(MSPTasks[[#Headers],[ID]])))="",TRUE()),"",IF(INDEX(tsk_IsSummary,(ROW()-ROW(MSPTasks[[#Headers],[ID]]))),"",INDEX(tsk_Predecessors,(ROW()-ROW(MSPTasks[[#Headers],[ID]])))))</f>
        <v/>
      </c>
      <c r="J171" s="24" t="str">
        <f aca="false">IF(IFERROR(INDEX(tsk_Name,(ROW()-ROW(MSPTasks[[#Headers],[ID]])))="",TRUE()),"",IF(INDEX(tsk_IsSummary,(ROW()-ROW(MSPTasks[[#Headers],[ID]]))),"",INDEX(tsk_UIDPredecessors,(ROW()-ROW(MSPTasks[[#Headers],[ID]])))))</f>
        <v/>
      </c>
      <c r="K1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1" s="24" t="str">
        <f aca="false">IF(IFERROR(INDEX(tsk_Name,(ROW()-ROW(MSPTasks[[#Headers],[ID]])))="",TRUE()),"",IF(INDEX(tsk_IsSummary,(ROW()-ROW(MSPTasks[[#Headers],[ID]]))),"",ROUND(INDEX(tsk_Progress,(ROW()-ROW(MSPTasks[[#Headers],[ID]])))*100,0)))</f>
        <v/>
      </c>
      <c r="M171" s="130" t="str">
        <f aca="false">IF(IFERROR(INDEX(tsk_Name,(ROW()-ROW(MSPTasks[[#Headers],[ID]])))="",TRUE()),"",IF(N(INDEX(tsk_ActStart,(ROW()-ROW(MSPTasks[[#Headers],[ID]]))))=0,"",INDEX(tsk_ActStart,(ROW()-ROW(MSPTasks[[#Headers],[ID]])))))</f>
        <v/>
      </c>
      <c r="N171" s="130" t="str">
        <f aca="false">IF(IFERROR(INDEX(tsk_Name,(ROW()-ROW(MSPTasks[[#Headers],[ID]])))="",TRUE()),"",IF(N(INDEX(tsk_ActFinish,(ROW()-ROW(MSPTasks[[#Headers],[ID]]))))=0,"",INDEX(tsk_ActFinish,(ROW()-ROW(MSPTasks[[#Headers],[ID]])))))</f>
        <v/>
      </c>
      <c r="O171" s="130" t="str">
        <f aca="false">IF(IFERROR(INDEX(tsk_Name,(ROW()-ROW(MSPTasks[[#Headers],[ID]])))="",TRUE()),"",INDEX(tsk_PlanStart,(ROW()-ROW(MSPTasks[[#Headers],[ID]]))))</f>
        <v/>
      </c>
      <c r="P171" s="130" t="str">
        <f aca="false">IF(IFERROR(INDEX(tsk_Name,(ROW()-ROW(MSPTasks[[#Headers],[ID]])))="",TRUE()),"",INDEX(tsk_PlanFinish,(ROW()-ROW(MSPTasks[[#Headers],[ID]]))))</f>
        <v/>
      </c>
      <c r="Q171" s="24" t="str">
        <f aca="false">IF(IFERROR(INDEX(tsk_Name,(ROW()-ROW(MSPTasks[[#Headers],[ID]])))="",TRUE()),"",IF(INDEX(tsk_BaseDuration,(ROW()-ROW(MSPTasks[[#Headers],[ID]])))="","",N(INDEX(tsk_BaseDuration,(ROW()-ROW(MSPTasks[[#Headers],[ID]]))))&amp;"d"))</f>
        <v/>
      </c>
      <c r="R171" s="24" t="str">
        <f aca="false">IF(IFERROR(INDEX(tsk_Name,(ROW()-ROW(MSPTasks[[#Headers],[ID]])))="",TRUE()),"",IF(INDEX(tsk_BaseWork,(ROW()-ROW(MSPTasks[[#Headers],[ID]])))="","",N(INDEX(tsk_BaseWork,(ROW()-ROW(MSPTasks[[#Headers],[ID]]))))&amp;"h"))</f>
        <v/>
      </c>
      <c r="S171" s="24" t="str">
        <f aca="false">IF(IFERROR(INDEX(tsk_Name,(ROW()-ROW(MSPTasks[[#Headers],[ID]])))="",TRUE()),"",IF(INDEX(tsk_BaseCost,(ROW()-ROW(MSPTasks[[#Headers],[ID]])))="","",N(INDEX(tsk_BaseCost,(ROW()-ROW(MSPTasks[[#Headers],[ID]]))))))</f>
        <v/>
      </c>
      <c r="T171" s="24" t="str">
        <f aca="false">IF(IFERROR(INDEX(tsk_Name,(ROW()-ROW(MSPTasks[[#Headers],[ID]])))="",TRUE()),"",IF(INDEX(tsk_IsSummary,(ROW()-ROW(MSPTasks[[#Headers],[ID]]))),"",IF(N(INDEX(tsk_ActCostInput,(ROW()-ROW(MSPTasks[[#Headers],[ID]]))))=0,"",INDEX(tsk_ActCostInput,(ROW()-ROW(MSPTasks[[#Headers],[ID]]))))))</f>
        <v/>
      </c>
      <c r="U171" s="24" t="str">
        <f aca="false">IF(IFERROR(INDEX(tsk_Name,(ROW()-ROW(MSPTasks[[#Headers],[ID]])))="",TRUE()),"",IF(INDEX(tsk_IsSummary,(ROW()-ROW(MSPTasks[[#Headers],[ID]]))),"",IF(AND(INDEX(tsk_Mode,(ROW()-ROW(MSPTasks[[#Headers],[ID]])))&lt;&gt;"Manual",N(INDEX(tsk_Constraint,(ROW()-ROW(MSPTasks[[#Headers],[ID]]))))&gt;0),"Start No Earlier Than","As Soon As Possible")))</f>
        <v/>
      </c>
      <c r="V171" s="130" t="str">
        <f aca="false">IF(IFERROR(INDEX(tsk_Name,(ROW()-ROW(MSPTasks[[#Headers],[ID]])))="",TRUE()),"",IF(OR(INDEX(tsk_IsSummary,(ROW()-ROW(MSPTasks[[#Headers],[ID]]))),INDEX(tsk_Mode,(ROW()-ROW(MSPTasks[[#Headers],[ID]])))="Manual"),"",IF(N(INDEX(tsk_Constraint,(ROW()-ROW(MSPTasks[[#Headers],[ID]]))))=0,"",INDEX(tsk_Constraint,(ROW()-ROW(MSPTasks[[#Headers],[ID]]))))))</f>
        <v/>
      </c>
      <c r="W171" s="130" t="str">
        <f aca="false">IF(IFERROR(INDEX(tsk_Name,(ROW()-ROW(MSPTasks[[#Headers],[ID]])))="",TRUE()),"",IF(N(INDEX(tsk_Deadline,(ROW()-ROW(MSPTasks[[#Headers],[ID]]))))=0,"",INDEX(tsk_Deadline,(ROW()-ROW(MSPTasks[[#Headers],[ID]])))))</f>
        <v/>
      </c>
      <c r="X171" s="24" t="str">
        <f aca="false">IF(IFERROR(INDEX(tsk_Name,(ROW()-ROW(MSPTasks[[#Headers],[ID]])))="",TRUE()),"",IF(INDEX(tsk_IsSummary,(ROW()-ROW(MSPTasks[[#Headers],[ID]]))),"",INDEX(tsk_Sprint,(ROW()-ROW(MSPTasks[[#Headers],[ID]])))&amp;""))</f>
        <v/>
      </c>
      <c r="Y171" s="24" t="str">
        <f aca="false">IF(IFERROR(INDEX(tsk_Name,(ROW()-ROW(MSPTasks[[#Headers],[ID]])))="",TRUE()),"",IF(INDEX(tsk_IsSummary,(ROW()-ROW(MSPTasks[[#Headers],[ID]]))),"",IF(N(INDEX(tsk_StoryPoints,(ROW()-ROW(MSPTasks[[#Headers],[ID]]))))=0,"",INDEX(tsk_StoryPoints,(ROW()-ROW(MSPTasks[[#Headers],[ID]]))))))</f>
        <v/>
      </c>
      <c r="Z171" s="24" t="str">
        <f aca="false">IF(IFERROR(INDEX(tsk_Name,(ROW()-ROW(MSPTasks[[#Headers],[ID]])))="",TRUE()),"",INDEX(tsk_Notes,(ROW()-ROW(MSPTasks[[#Headers],[ID]])))&amp;"")</f>
        <v/>
      </c>
    </row>
    <row r="172" customFormat="false" ht="15" hidden="false" customHeight="false" outlineLevel="0" collapsed="false">
      <c r="A172" s="24" t="str">
        <f aca="false">IF(IFERROR(INDEX(tsk_Name,(ROW()-ROW(MSPTasks[[#Headers],[ID]])))="",TRUE()),"",INDEX(tsk_ID,(ROW()-ROW(MSPTasks[[#Headers],[ID]]))))</f>
        <v/>
      </c>
      <c r="B172" s="24" t="str">
        <f aca="false">IF(IFERROR(INDEX(tsk_Name,(ROW()-ROW(MSPTasks[[#Headers],[ID]])))="",TRUE()),"",INDEX(tsk_UID,(ROW()-ROW(MSPTasks[[#Headers],[ID]]))))</f>
        <v/>
      </c>
      <c r="C172" s="24" t="str">
        <f aca="false">IF(IFERROR(INDEX(tsk_Name,(ROW()-ROW(MSPTasks[[#Headers],[ID]])))="",TRUE()),"",INDEX(tsk_Name,(ROW()-ROW(MSPTasks[[#Headers],[ID]]))))</f>
        <v/>
      </c>
      <c r="D172" s="24" t="str">
        <f aca="false">IF(IFERROR(INDEX(tsk_Name,(ROW()-ROW(MSPTasks[[#Headers],[ID]])))="",TRUE()),"",INDEX(tsk_Level,(ROW()-ROW(MSPTasks[[#Headers],[ID]]))))</f>
        <v/>
      </c>
      <c r="E172" s="24" t="str">
        <f aca="false">IF(IFERROR(INDEX(tsk_Name,(ROW()-ROW(MSPTasks[[#Headers],[ID]])))="",TRUE()),"",IF(INDEX(tsk_Mode,(ROW()-ROW(MSPTasks[[#Headers],[ID]])))="Manual","Manually Scheduled","Auto Scheduled"))</f>
        <v/>
      </c>
      <c r="F172" s="24" t="str">
        <f aca="false">IF(IFERROR(INDEX(tsk_Name,(ROW()-ROW(MSPTasks[[#Headers],[ID]])))="",TRUE()),"",IF(INDEX(tsk_IsSummary,(ROW()-ROW(MSPTasks[[#Headers],[ID]]))),"",N(INDEX(tsk_Duration,(ROW()-ROW(MSPTasks[[#Headers],[ID]]))))&amp;"d"))</f>
        <v/>
      </c>
      <c r="G172" s="130" t="str">
        <f aca="false">IF(IFERROR(INDEX(tsk_Name,(ROW()-ROW(MSPTasks[[#Headers],[ID]])))="",TRUE()),"",INDEX(tsk_FcStart,(ROW()-ROW(MSPTasks[[#Headers],[ID]]))))</f>
        <v/>
      </c>
      <c r="H172" s="130" t="str">
        <f aca="false">IF(IFERROR(INDEX(tsk_Name,(ROW()-ROW(MSPTasks[[#Headers],[ID]])))="",TRUE()),"",INDEX(tsk_FcFinish,(ROW()-ROW(MSPTasks[[#Headers],[ID]]))))</f>
        <v/>
      </c>
      <c r="I172" s="24" t="str">
        <f aca="false">IF(IFERROR(INDEX(tsk_Name,(ROW()-ROW(MSPTasks[[#Headers],[ID]])))="",TRUE()),"",IF(INDEX(tsk_IsSummary,(ROW()-ROW(MSPTasks[[#Headers],[ID]]))),"",INDEX(tsk_Predecessors,(ROW()-ROW(MSPTasks[[#Headers],[ID]])))))</f>
        <v/>
      </c>
      <c r="J172" s="24" t="str">
        <f aca="false">IF(IFERROR(INDEX(tsk_Name,(ROW()-ROW(MSPTasks[[#Headers],[ID]])))="",TRUE()),"",IF(INDEX(tsk_IsSummary,(ROW()-ROW(MSPTasks[[#Headers],[ID]]))),"",INDEX(tsk_UIDPredecessors,(ROW()-ROW(MSPTasks[[#Headers],[ID]])))))</f>
        <v/>
      </c>
      <c r="K1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2" s="24" t="str">
        <f aca="false">IF(IFERROR(INDEX(tsk_Name,(ROW()-ROW(MSPTasks[[#Headers],[ID]])))="",TRUE()),"",IF(INDEX(tsk_IsSummary,(ROW()-ROW(MSPTasks[[#Headers],[ID]]))),"",ROUND(INDEX(tsk_Progress,(ROW()-ROW(MSPTasks[[#Headers],[ID]])))*100,0)))</f>
        <v/>
      </c>
      <c r="M172" s="130" t="str">
        <f aca="false">IF(IFERROR(INDEX(tsk_Name,(ROW()-ROW(MSPTasks[[#Headers],[ID]])))="",TRUE()),"",IF(N(INDEX(tsk_ActStart,(ROW()-ROW(MSPTasks[[#Headers],[ID]]))))=0,"",INDEX(tsk_ActStart,(ROW()-ROW(MSPTasks[[#Headers],[ID]])))))</f>
        <v/>
      </c>
      <c r="N172" s="130" t="str">
        <f aca="false">IF(IFERROR(INDEX(tsk_Name,(ROW()-ROW(MSPTasks[[#Headers],[ID]])))="",TRUE()),"",IF(N(INDEX(tsk_ActFinish,(ROW()-ROW(MSPTasks[[#Headers],[ID]]))))=0,"",INDEX(tsk_ActFinish,(ROW()-ROW(MSPTasks[[#Headers],[ID]])))))</f>
        <v/>
      </c>
      <c r="O172" s="130" t="str">
        <f aca="false">IF(IFERROR(INDEX(tsk_Name,(ROW()-ROW(MSPTasks[[#Headers],[ID]])))="",TRUE()),"",INDEX(tsk_PlanStart,(ROW()-ROW(MSPTasks[[#Headers],[ID]]))))</f>
        <v/>
      </c>
      <c r="P172" s="130" t="str">
        <f aca="false">IF(IFERROR(INDEX(tsk_Name,(ROW()-ROW(MSPTasks[[#Headers],[ID]])))="",TRUE()),"",INDEX(tsk_PlanFinish,(ROW()-ROW(MSPTasks[[#Headers],[ID]]))))</f>
        <v/>
      </c>
      <c r="Q172" s="24" t="str">
        <f aca="false">IF(IFERROR(INDEX(tsk_Name,(ROW()-ROW(MSPTasks[[#Headers],[ID]])))="",TRUE()),"",IF(INDEX(tsk_BaseDuration,(ROW()-ROW(MSPTasks[[#Headers],[ID]])))="","",N(INDEX(tsk_BaseDuration,(ROW()-ROW(MSPTasks[[#Headers],[ID]]))))&amp;"d"))</f>
        <v/>
      </c>
      <c r="R172" s="24" t="str">
        <f aca="false">IF(IFERROR(INDEX(tsk_Name,(ROW()-ROW(MSPTasks[[#Headers],[ID]])))="",TRUE()),"",IF(INDEX(tsk_BaseWork,(ROW()-ROW(MSPTasks[[#Headers],[ID]])))="","",N(INDEX(tsk_BaseWork,(ROW()-ROW(MSPTasks[[#Headers],[ID]]))))&amp;"h"))</f>
        <v/>
      </c>
      <c r="S172" s="24" t="str">
        <f aca="false">IF(IFERROR(INDEX(tsk_Name,(ROW()-ROW(MSPTasks[[#Headers],[ID]])))="",TRUE()),"",IF(INDEX(tsk_BaseCost,(ROW()-ROW(MSPTasks[[#Headers],[ID]])))="","",N(INDEX(tsk_BaseCost,(ROW()-ROW(MSPTasks[[#Headers],[ID]]))))))</f>
        <v/>
      </c>
      <c r="T172" s="24" t="str">
        <f aca="false">IF(IFERROR(INDEX(tsk_Name,(ROW()-ROW(MSPTasks[[#Headers],[ID]])))="",TRUE()),"",IF(INDEX(tsk_IsSummary,(ROW()-ROW(MSPTasks[[#Headers],[ID]]))),"",IF(N(INDEX(tsk_ActCostInput,(ROW()-ROW(MSPTasks[[#Headers],[ID]]))))=0,"",INDEX(tsk_ActCostInput,(ROW()-ROW(MSPTasks[[#Headers],[ID]]))))))</f>
        <v/>
      </c>
      <c r="U172" s="24" t="str">
        <f aca="false">IF(IFERROR(INDEX(tsk_Name,(ROW()-ROW(MSPTasks[[#Headers],[ID]])))="",TRUE()),"",IF(INDEX(tsk_IsSummary,(ROW()-ROW(MSPTasks[[#Headers],[ID]]))),"",IF(AND(INDEX(tsk_Mode,(ROW()-ROW(MSPTasks[[#Headers],[ID]])))&lt;&gt;"Manual",N(INDEX(tsk_Constraint,(ROW()-ROW(MSPTasks[[#Headers],[ID]]))))&gt;0),"Start No Earlier Than","As Soon As Possible")))</f>
        <v/>
      </c>
      <c r="V172" s="130" t="str">
        <f aca="false">IF(IFERROR(INDEX(tsk_Name,(ROW()-ROW(MSPTasks[[#Headers],[ID]])))="",TRUE()),"",IF(OR(INDEX(tsk_IsSummary,(ROW()-ROW(MSPTasks[[#Headers],[ID]]))),INDEX(tsk_Mode,(ROW()-ROW(MSPTasks[[#Headers],[ID]])))="Manual"),"",IF(N(INDEX(tsk_Constraint,(ROW()-ROW(MSPTasks[[#Headers],[ID]]))))=0,"",INDEX(tsk_Constraint,(ROW()-ROW(MSPTasks[[#Headers],[ID]]))))))</f>
        <v/>
      </c>
      <c r="W172" s="130" t="str">
        <f aca="false">IF(IFERROR(INDEX(tsk_Name,(ROW()-ROW(MSPTasks[[#Headers],[ID]])))="",TRUE()),"",IF(N(INDEX(tsk_Deadline,(ROW()-ROW(MSPTasks[[#Headers],[ID]]))))=0,"",INDEX(tsk_Deadline,(ROW()-ROW(MSPTasks[[#Headers],[ID]])))))</f>
        <v/>
      </c>
      <c r="X172" s="24" t="str">
        <f aca="false">IF(IFERROR(INDEX(tsk_Name,(ROW()-ROW(MSPTasks[[#Headers],[ID]])))="",TRUE()),"",IF(INDEX(tsk_IsSummary,(ROW()-ROW(MSPTasks[[#Headers],[ID]]))),"",INDEX(tsk_Sprint,(ROW()-ROW(MSPTasks[[#Headers],[ID]])))&amp;""))</f>
        <v/>
      </c>
      <c r="Y172" s="24" t="str">
        <f aca="false">IF(IFERROR(INDEX(tsk_Name,(ROW()-ROW(MSPTasks[[#Headers],[ID]])))="",TRUE()),"",IF(INDEX(tsk_IsSummary,(ROW()-ROW(MSPTasks[[#Headers],[ID]]))),"",IF(N(INDEX(tsk_StoryPoints,(ROW()-ROW(MSPTasks[[#Headers],[ID]]))))=0,"",INDEX(tsk_StoryPoints,(ROW()-ROW(MSPTasks[[#Headers],[ID]]))))))</f>
        <v/>
      </c>
      <c r="Z172" s="24" t="str">
        <f aca="false">IF(IFERROR(INDEX(tsk_Name,(ROW()-ROW(MSPTasks[[#Headers],[ID]])))="",TRUE()),"",INDEX(tsk_Notes,(ROW()-ROW(MSPTasks[[#Headers],[ID]])))&amp;"")</f>
        <v/>
      </c>
    </row>
    <row r="173" customFormat="false" ht="15" hidden="false" customHeight="false" outlineLevel="0" collapsed="false">
      <c r="A173" s="24" t="str">
        <f aca="false">IF(IFERROR(INDEX(tsk_Name,(ROW()-ROW(MSPTasks[[#Headers],[ID]])))="",TRUE()),"",INDEX(tsk_ID,(ROW()-ROW(MSPTasks[[#Headers],[ID]]))))</f>
        <v/>
      </c>
      <c r="B173" s="24" t="str">
        <f aca="false">IF(IFERROR(INDEX(tsk_Name,(ROW()-ROW(MSPTasks[[#Headers],[ID]])))="",TRUE()),"",INDEX(tsk_UID,(ROW()-ROW(MSPTasks[[#Headers],[ID]]))))</f>
        <v/>
      </c>
      <c r="C173" s="24" t="str">
        <f aca="false">IF(IFERROR(INDEX(tsk_Name,(ROW()-ROW(MSPTasks[[#Headers],[ID]])))="",TRUE()),"",INDEX(tsk_Name,(ROW()-ROW(MSPTasks[[#Headers],[ID]]))))</f>
        <v/>
      </c>
      <c r="D173" s="24" t="str">
        <f aca="false">IF(IFERROR(INDEX(tsk_Name,(ROW()-ROW(MSPTasks[[#Headers],[ID]])))="",TRUE()),"",INDEX(tsk_Level,(ROW()-ROW(MSPTasks[[#Headers],[ID]]))))</f>
        <v/>
      </c>
      <c r="E173" s="24" t="str">
        <f aca="false">IF(IFERROR(INDEX(tsk_Name,(ROW()-ROW(MSPTasks[[#Headers],[ID]])))="",TRUE()),"",IF(INDEX(tsk_Mode,(ROW()-ROW(MSPTasks[[#Headers],[ID]])))="Manual","Manually Scheduled","Auto Scheduled"))</f>
        <v/>
      </c>
      <c r="F173" s="24" t="str">
        <f aca="false">IF(IFERROR(INDEX(tsk_Name,(ROW()-ROW(MSPTasks[[#Headers],[ID]])))="",TRUE()),"",IF(INDEX(tsk_IsSummary,(ROW()-ROW(MSPTasks[[#Headers],[ID]]))),"",N(INDEX(tsk_Duration,(ROW()-ROW(MSPTasks[[#Headers],[ID]]))))&amp;"d"))</f>
        <v/>
      </c>
      <c r="G173" s="130" t="str">
        <f aca="false">IF(IFERROR(INDEX(tsk_Name,(ROW()-ROW(MSPTasks[[#Headers],[ID]])))="",TRUE()),"",INDEX(tsk_FcStart,(ROW()-ROW(MSPTasks[[#Headers],[ID]]))))</f>
        <v/>
      </c>
      <c r="H173" s="130" t="str">
        <f aca="false">IF(IFERROR(INDEX(tsk_Name,(ROW()-ROW(MSPTasks[[#Headers],[ID]])))="",TRUE()),"",INDEX(tsk_FcFinish,(ROW()-ROW(MSPTasks[[#Headers],[ID]]))))</f>
        <v/>
      </c>
      <c r="I173" s="24" t="str">
        <f aca="false">IF(IFERROR(INDEX(tsk_Name,(ROW()-ROW(MSPTasks[[#Headers],[ID]])))="",TRUE()),"",IF(INDEX(tsk_IsSummary,(ROW()-ROW(MSPTasks[[#Headers],[ID]]))),"",INDEX(tsk_Predecessors,(ROW()-ROW(MSPTasks[[#Headers],[ID]])))))</f>
        <v/>
      </c>
      <c r="J173" s="24" t="str">
        <f aca="false">IF(IFERROR(INDEX(tsk_Name,(ROW()-ROW(MSPTasks[[#Headers],[ID]])))="",TRUE()),"",IF(INDEX(tsk_IsSummary,(ROW()-ROW(MSPTasks[[#Headers],[ID]]))),"",INDEX(tsk_UIDPredecessors,(ROW()-ROW(MSPTasks[[#Headers],[ID]])))))</f>
        <v/>
      </c>
      <c r="K1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3" s="24" t="str">
        <f aca="false">IF(IFERROR(INDEX(tsk_Name,(ROW()-ROW(MSPTasks[[#Headers],[ID]])))="",TRUE()),"",IF(INDEX(tsk_IsSummary,(ROW()-ROW(MSPTasks[[#Headers],[ID]]))),"",ROUND(INDEX(tsk_Progress,(ROW()-ROW(MSPTasks[[#Headers],[ID]])))*100,0)))</f>
        <v/>
      </c>
      <c r="M173" s="130" t="str">
        <f aca="false">IF(IFERROR(INDEX(tsk_Name,(ROW()-ROW(MSPTasks[[#Headers],[ID]])))="",TRUE()),"",IF(N(INDEX(tsk_ActStart,(ROW()-ROW(MSPTasks[[#Headers],[ID]]))))=0,"",INDEX(tsk_ActStart,(ROW()-ROW(MSPTasks[[#Headers],[ID]])))))</f>
        <v/>
      </c>
      <c r="N173" s="130" t="str">
        <f aca="false">IF(IFERROR(INDEX(tsk_Name,(ROW()-ROW(MSPTasks[[#Headers],[ID]])))="",TRUE()),"",IF(N(INDEX(tsk_ActFinish,(ROW()-ROW(MSPTasks[[#Headers],[ID]]))))=0,"",INDEX(tsk_ActFinish,(ROW()-ROW(MSPTasks[[#Headers],[ID]])))))</f>
        <v/>
      </c>
      <c r="O173" s="130" t="str">
        <f aca="false">IF(IFERROR(INDEX(tsk_Name,(ROW()-ROW(MSPTasks[[#Headers],[ID]])))="",TRUE()),"",INDEX(tsk_PlanStart,(ROW()-ROW(MSPTasks[[#Headers],[ID]]))))</f>
        <v/>
      </c>
      <c r="P173" s="130" t="str">
        <f aca="false">IF(IFERROR(INDEX(tsk_Name,(ROW()-ROW(MSPTasks[[#Headers],[ID]])))="",TRUE()),"",INDEX(tsk_PlanFinish,(ROW()-ROW(MSPTasks[[#Headers],[ID]]))))</f>
        <v/>
      </c>
      <c r="Q173" s="24" t="str">
        <f aca="false">IF(IFERROR(INDEX(tsk_Name,(ROW()-ROW(MSPTasks[[#Headers],[ID]])))="",TRUE()),"",IF(INDEX(tsk_BaseDuration,(ROW()-ROW(MSPTasks[[#Headers],[ID]])))="","",N(INDEX(tsk_BaseDuration,(ROW()-ROW(MSPTasks[[#Headers],[ID]]))))&amp;"d"))</f>
        <v/>
      </c>
      <c r="R173" s="24" t="str">
        <f aca="false">IF(IFERROR(INDEX(tsk_Name,(ROW()-ROW(MSPTasks[[#Headers],[ID]])))="",TRUE()),"",IF(INDEX(tsk_BaseWork,(ROW()-ROW(MSPTasks[[#Headers],[ID]])))="","",N(INDEX(tsk_BaseWork,(ROW()-ROW(MSPTasks[[#Headers],[ID]]))))&amp;"h"))</f>
        <v/>
      </c>
      <c r="S173" s="24" t="str">
        <f aca="false">IF(IFERROR(INDEX(tsk_Name,(ROW()-ROW(MSPTasks[[#Headers],[ID]])))="",TRUE()),"",IF(INDEX(tsk_BaseCost,(ROW()-ROW(MSPTasks[[#Headers],[ID]])))="","",N(INDEX(tsk_BaseCost,(ROW()-ROW(MSPTasks[[#Headers],[ID]]))))))</f>
        <v/>
      </c>
      <c r="T173" s="24" t="str">
        <f aca="false">IF(IFERROR(INDEX(tsk_Name,(ROW()-ROW(MSPTasks[[#Headers],[ID]])))="",TRUE()),"",IF(INDEX(tsk_IsSummary,(ROW()-ROW(MSPTasks[[#Headers],[ID]]))),"",IF(N(INDEX(tsk_ActCostInput,(ROW()-ROW(MSPTasks[[#Headers],[ID]]))))=0,"",INDEX(tsk_ActCostInput,(ROW()-ROW(MSPTasks[[#Headers],[ID]]))))))</f>
        <v/>
      </c>
      <c r="U173" s="24" t="str">
        <f aca="false">IF(IFERROR(INDEX(tsk_Name,(ROW()-ROW(MSPTasks[[#Headers],[ID]])))="",TRUE()),"",IF(INDEX(tsk_IsSummary,(ROW()-ROW(MSPTasks[[#Headers],[ID]]))),"",IF(AND(INDEX(tsk_Mode,(ROW()-ROW(MSPTasks[[#Headers],[ID]])))&lt;&gt;"Manual",N(INDEX(tsk_Constraint,(ROW()-ROW(MSPTasks[[#Headers],[ID]]))))&gt;0),"Start No Earlier Than","As Soon As Possible")))</f>
        <v/>
      </c>
      <c r="V173" s="130" t="str">
        <f aca="false">IF(IFERROR(INDEX(tsk_Name,(ROW()-ROW(MSPTasks[[#Headers],[ID]])))="",TRUE()),"",IF(OR(INDEX(tsk_IsSummary,(ROW()-ROW(MSPTasks[[#Headers],[ID]]))),INDEX(tsk_Mode,(ROW()-ROW(MSPTasks[[#Headers],[ID]])))="Manual"),"",IF(N(INDEX(tsk_Constraint,(ROW()-ROW(MSPTasks[[#Headers],[ID]]))))=0,"",INDEX(tsk_Constraint,(ROW()-ROW(MSPTasks[[#Headers],[ID]]))))))</f>
        <v/>
      </c>
      <c r="W173" s="130" t="str">
        <f aca="false">IF(IFERROR(INDEX(tsk_Name,(ROW()-ROW(MSPTasks[[#Headers],[ID]])))="",TRUE()),"",IF(N(INDEX(tsk_Deadline,(ROW()-ROW(MSPTasks[[#Headers],[ID]]))))=0,"",INDEX(tsk_Deadline,(ROW()-ROW(MSPTasks[[#Headers],[ID]])))))</f>
        <v/>
      </c>
      <c r="X173" s="24" t="str">
        <f aca="false">IF(IFERROR(INDEX(tsk_Name,(ROW()-ROW(MSPTasks[[#Headers],[ID]])))="",TRUE()),"",IF(INDEX(tsk_IsSummary,(ROW()-ROW(MSPTasks[[#Headers],[ID]]))),"",INDEX(tsk_Sprint,(ROW()-ROW(MSPTasks[[#Headers],[ID]])))&amp;""))</f>
        <v/>
      </c>
      <c r="Y173" s="24" t="str">
        <f aca="false">IF(IFERROR(INDEX(tsk_Name,(ROW()-ROW(MSPTasks[[#Headers],[ID]])))="",TRUE()),"",IF(INDEX(tsk_IsSummary,(ROW()-ROW(MSPTasks[[#Headers],[ID]]))),"",IF(N(INDEX(tsk_StoryPoints,(ROW()-ROW(MSPTasks[[#Headers],[ID]]))))=0,"",INDEX(tsk_StoryPoints,(ROW()-ROW(MSPTasks[[#Headers],[ID]]))))))</f>
        <v/>
      </c>
      <c r="Z173" s="24" t="str">
        <f aca="false">IF(IFERROR(INDEX(tsk_Name,(ROW()-ROW(MSPTasks[[#Headers],[ID]])))="",TRUE()),"",INDEX(tsk_Notes,(ROW()-ROW(MSPTasks[[#Headers],[ID]])))&amp;"")</f>
        <v/>
      </c>
    </row>
    <row r="174" customFormat="false" ht="15" hidden="false" customHeight="false" outlineLevel="0" collapsed="false">
      <c r="A174" s="24" t="str">
        <f aca="false">IF(IFERROR(INDEX(tsk_Name,(ROW()-ROW(MSPTasks[[#Headers],[ID]])))="",TRUE()),"",INDEX(tsk_ID,(ROW()-ROW(MSPTasks[[#Headers],[ID]]))))</f>
        <v/>
      </c>
      <c r="B174" s="24" t="str">
        <f aca="false">IF(IFERROR(INDEX(tsk_Name,(ROW()-ROW(MSPTasks[[#Headers],[ID]])))="",TRUE()),"",INDEX(tsk_UID,(ROW()-ROW(MSPTasks[[#Headers],[ID]]))))</f>
        <v/>
      </c>
      <c r="C174" s="24" t="str">
        <f aca="false">IF(IFERROR(INDEX(tsk_Name,(ROW()-ROW(MSPTasks[[#Headers],[ID]])))="",TRUE()),"",INDEX(tsk_Name,(ROW()-ROW(MSPTasks[[#Headers],[ID]]))))</f>
        <v/>
      </c>
      <c r="D174" s="24" t="str">
        <f aca="false">IF(IFERROR(INDEX(tsk_Name,(ROW()-ROW(MSPTasks[[#Headers],[ID]])))="",TRUE()),"",INDEX(tsk_Level,(ROW()-ROW(MSPTasks[[#Headers],[ID]]))))</f>
        <v/>
      </c>
      <c r="E174" s="24" t="str">
        <f aca="false">IF(IFERROR(INDEX(tsk_Name,(ROW()-ROW(MSPTasks[[#Headers],[ID]])))="",TRUE()),"",IF(INDEX(tsk_Mode,(ROW()-ROW(MSPTasks[[#Headers],[ID]])))="Manual","Manually Scheduled","Auto Scheduled"))</f>
        <v/>
      </c>
      <c r="F174" s="24" t="str">
        <f aca="false">IF(IFERROR(INDEX(tsk_Name,(ROW()-ROW(MSPTasks[[#Headers],[ID]])))="",TRUE()),"",IF(INDEX(tsk_IsSummary,(ROW()-ROW(MSPTasks[[#Headers],[ID]]))),"",N(INDEX(tsk_Duration,(ROW()-ROW(MSPTasks[[#Headers],[ID]]))))&amp;"d"))</f>
        <v/>
      </c>
      <c r="G174" s="130" t="str">
        <f aca="false">IF(IFERROR(INDEX(tsk_Name,(ROW()-ROW(MSPTasks[[#Headers],[ID]])))="",TRUE()),"",INDEX(tsk_FcStart,(ROW()-ROW(MSPTasks[[#Headers],[ID]]))))</f>
        <v/>
      </c>
      <c r="H174" s="130" t="str">
        <f aca="false">IF(IFERROR(INDEX(tsk_Name,(ROW()-ROW(MSPTasks[[#Headers],[ID]])))="",TRUE()),"",INDEX(tsk_FcFinish,(ROW()-ROW(MSPTasks[[#Headers],[ID]]))))</f>
        <v/>
      </c>
      <c r="I174" s="24" t="str">
        <f aca="false">IF(IFERROR(INDEX(tsk_Name,(ROW()-ROW(MSPTasks[[#Headers],[ID]])))="",TRUE()),"",IF(INDEX(tsk_IsSummary,(ROW()-ROW(MSPTasks[[#Headers],[ID]]))),"",INDEX(tsk_Predecessors,(ROW()-ROW(MSPTasks[[#Headers],[ID]])))))</f>
        <v/>
      </c>
      <c r="J174" s="24" t="str">
        <f aca="false">IF(IFERROR(INDEX(tsk_Name,(ROW()-ROW(MSPTasks[[#Headers],[ID]])))="",TRUE()),"",IF(INDEX(tsk_IsSummary,(ROW()-ROW(MSPTasks[[#Headers],[ID]]))),"",INDEX(tsk_UIDPredecessors,(ROW()-ROW(MSPTasks[[#Headers],[ID]])))))</f>
        <v/>
      </c>
      <c r="K1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4" s="24" t="str">
        <f aca="false">IF(IFERROR(INDEX(tsk_Name,(ROW()-ROW(MSPTasks[[#Headers],[ID]])))="",TRUE()),"",IF(INDEX(tsk_IsSummary,(ROW()-ROW(MSPTasks[[#Headers],[ID]]))),"",ROUND(INDEX(tsk_Progress,(ROW()-ROW(MSPTasks[[#Headers],[ID]])))*100,0)))</f>
        <v/>
      </c>
      <c r="M174" s="130" t="str">
        <f aca="false">IF(IFERROR(INDEX(tsk_Name,(ROW()-ROW(MSPTasks[[#Headers],[ID]])))="",TRUE()),"",IF(N(INDEX(tsk_ActStart,(ROW()-ROW(MSPTasks[[#Headers],[ID]]))))=0,"",INDEX(tsk_ActStart,(ROW()-ROW(MSPTasks[[#Headers],[ID]])))))</f>
        <v/>
      </c>
      <c r="N174" s="130" t="str">
        <f aca="false">IF(IFERROR(INDEX(tsk_Name,(ROW()-ROW(MSPTasks[[#Headers],[ID]])))="",TRUE()),"",IF(N(INDEX(tsk_ActFinish,(ROW()-ROW(MSPTasks[[#Headers],[ID]]))))=0,"",INDEX(tsk_ActFinish,(ROW()-ROW(MSPTasks[[#Headers],[ID]])))))</f>
        <v/>
      </c>
      <c r="O174" s="130" t="str">
        <f aca="false">IF(IFERROR(INDEX(tsk_Name,(ROW()-ROW(MSPTasks[[#Headers],[ID]])))="",TRUE()),"",INDEX(tsk_PlanStart,(ROW()-ROW(MSPTasks[[#Headers],[ID]]))))</f>
        <v/>
      </c>
      <c r="P174" s="130" t="str">
        <f aca="false">IF(IFERROR(INDEX(tsk_Name,(ROW()-ROW(MSPTasks[[#Headers],[ID]])))="",TRUE()),"",INDEX(tsk_PlanFinish,(ROW()-ROW(MSPTasks[[#Headers],[ID]]))))</f>
        <v/>
      </c>
      <c r="Q174" s="24" t="str">
        <f aca="false">IF(IFERROR(INDEX(tsk_Name,(ROW()-ROW(MSPTasks[[#Headers],[ID]])))="",TRUE()),"",IF(INDEX(tsk_BaseDuration,(ROW()-ROW(MSPTasks[[#Headers],[ID]])))="","",N(INDEX(tsk_BaseDuration,(ROW()-ROW(MSPTasks[[#Headers],[ID]]))))&amp;"d"))</f>
        <v/>
      </c>
      <c r="R174" s="24" t="str">
        <f aca="false">IF(IFERROR(INDEX(tsk_Name,(ROW()-ROW(MSPTasks[[#Headers],[ID]])))="",TRUE()),"",IF(INDEX(tsk_BaseWork,(ROW()-ROW(MSPTasks[[#Headers],[ID]])))="","",N(INDEX(tsk_BaseWork,(ROW()-ROW(MSPTasks[[#Headers],[ID]]))))&amp;"h"))</f>
        <v/>
      </c>
      <c r="S174" s="24" t="str">
        <f aca="false">IF(IFERROR(INDEX(tsk_Name,(ROW()-ROW(MSPTasks[[#Headers],[ID]])))="",TRUE()),"",IF(INDEX(tsk_BaseCost,(ROW()-ROW(MSPTasks[[#Headers],[ID]])))="","",N(INDEX(tsk_BaseCost,(ROW()-ROW(MSPTasks[[#Headers],[ID]]))))))</f>
        <v/>
      </c>
      <c r="T174" s="24" t="str">
        <f aca="false">IF(IFERROR(INDEX(tsk_Name,(ROW()-ROW(MSPTasks[[#Headers],[ID]])))="",TRUE()),"",IF(INDEX(tsk_IsSummary,(ROW()-ROW(MSPTasks[[#Headers],[ID]]))),"",IF(N(INDEX(tsk_ActCostInput,(ROW()-ROW(MSPTasks[[#Headers],[ID]]))))=0,"",INDEX(tsk_ActCostInput,(ROW()-ROW(MSPTasks[[#Headers],[ID]]))))))</f>
        <v/>
      </c>
      <c r="U174" s="24" t="str">
        <f aca="false">IF(IFERROR(INDEX(tsk_Name,(ROW()-ROW(MSPTasks[[#Headers],[ID]])))="",TRUE()),"",IF(INDEX(tsk_IsSummary,(ROW()-ROW(MSPTasks[[#Headers],[ID]]))),"",IF(AND(INDEX(tsk_Mode,(ROW()-ROW(MSPTasks[[#Headers],[ID]])))&lt;&gt;"Manual",N(INDEX(tsk_Constraint,(ROW()-ROW(MSPTasks[[#Headers],[ID]]))))&gt;0),"Start No Earlier Than","As Soon As Possible")))</f>
        <v/>
      </c>
      <c r="V174" s="130" t="str">
        <f aca="false">IF(IFERROR(INDEX(tsk_Name,(ROW()-ROW(MSPTasks[[#Headers],[ID]])))="",TRUE()),"",IF(OR(INDEX(tsk_IsSummary,(ROW()-ROW(MSPTasks[[#Headers],[ID]]))),INDEX(tsk_Mode,(ROW()-ROW(MSPTasks[[#Headers],[ID]])))="Manual"),"",IF(N(INDEX(tsk_Constraint,(ROW()-ROW(MSPTasks[[#Headers],[ID]]))))=0,"",INDEX(tsk_Constraint,(ROW()-ROW(MSPTasks[[#Headers],[ID]]))))))</f>
        <v/>
      </c>
      <c r="W174" s="130" t="str">
        <f aca="false">IF(IFERROR(INDEX(tsk_Name,(ROW()-ROW(MSPTasks[[#Headers],[ID]])))="",TRUE()),"",IF(N(INDEX(tsk_Deadline,(ROW()-ROW(MSPTasks[[#Headers],[ID]]))))=0,"",INDEX(tsk_Deadline,(ROW()-ROW(MSPTasks[[#Headers],[ID]])))))</f>
        <v/>
      </c>
      <c r="X174" s="24" t="str">
        <f aca="false">IF(IFERROR(INDEX(tsk_Name,(ROW()-ROW(MSPTasks[[#Headers],[ID]])))="",TRUE()),"",IF(INDEX(tsk_IsSummary,(ROW()-ROW(MSPTasks[[#Headers],[ID]]))),"",INDEX(tsk_Sprint,(ROW()-ROW(MSPTasks[[#Headers],[ID]])))&amp;""))</f>
        <v/>
      </c>
      <c r="Y174" s="24" t="str">
        <f aca="false">IF(IFERROR(INDEX(tsk_Name,(ROW()-ROW(MSPTasks[[#Headers],[ID]])))="",TRUE()),"",IF(INDEX(tsk_IsSummary,(ROW()-ROW(MSPTasks[[#Headers],[ID]]))),"",IF(N(INDEX(tsk_StoryPoints,(ROW()-ROW(MSPTasks[[#Headers],[ID]]))))=0,"",INDEX(tsk_StoryPoints,(ROW()-ROW(MSPTasks[[#Headers],[ID]]))))))</f>
        <v/>
      </c>
      <c r="Z174" s="24" t="str">
        <f aca="false">IF(IFERROR(INDEX(tsk_Name,(ROW()-ROW(MSPTasks[[#Headers],[ID]])))="",TRUE()),"",INDEX(tsk_Notes,(ROW()-ROW(MSPTasks[[#Headers],[ID]])))&amp;"")</f>
        <v/>
      </c>
    </row>
    <row r="175" customFormat="false" ht="15" hidden="false" customHeight="false" outlineLevel="0" collapsed="false">
      <c r="A175" s="24" t="str">
        <f aca="false">IF(IFERROR(INDEX(tsk_Name,(ROW()-ROW(MSPTasks[[#Headers],[ID]])))="",TRUE()),"",INDEX(tsk_ID,(ROW()-ROW(MSPTasks[[#Headers],[ID]]))))</f>
        <v/>
      </c>
      <c r="B175" s="24" t="str">
        <f aca="false">IF(IFERROR(INDEX(tsk_Name,(ROW()-ROW(MSPTasks[[#Headers],[ID]])))="",TRUE()),"",INDEX(tsk_UID,(ROW()-ROW(MSPTasks[[#Headers],[ID]]))))</f>
        <v/>
      </c>
      <c r="C175" s="24" t="str">
        <f aca="false">IF(IFERROR(INDEX(tsk_Name,(ROW()-ROW(MSPTasks[[#Headers],[ID]])))="",TRUE()),"",INDEX(tsk_Name,(ROW()-ROW(MSPTasks[[#Headers],[ID]]))))</f>
        <v/>
      </c>
      <c r="D175" s="24" t="str">
        <f aca="false">IF(IFERROR(INDEX(tsk_Name,(ROW()-ROW(MSPTasks[[#Headers],[ID]])))="",TRUE()),"",INDEX(tsk_Level,(ROW()-ROW(MSPTasks[[#Headers],[ID]]))))</f>
        <v/>
      </c>
      <c r="E175" s="24" t="str">
        <f aca="false">IF(IFERROR(INDEX(tsk_Name,(ROW()-ROW(MSPTasks[[#Headers],[ID]])))="",TRUE()),"",IF(INDEX(tsk_Mode,(ROW()-ROW(MSPTasks[[#Headers],[ID]])))="Manual","Manually Scheduled","Auto Scheduled"))</f>
        <v/>
      </c>
      <c r="F175" s="24" t="str">
        <f aca="false">IF(IFERROR(INDEX(tsk_Name,(ROW()-ROW(MSPTasks[[#Headers],[ID]])))="",TRUE()),"",IF(INDEX(tsk_IsSummary,(ROW()-ROW(MSPTasks[[#Headers],[ID]]))),"",N(INDEX(tsk_Duration,(ROW()-ROW(MSPTasks[[#Headers],[ID]]))))&amp;"d"))</f>
        <v/>
      </c>
      <c r="G175" s="130" t="str">
        <f aca="false">IF(IFERROR(INDEX(tsk_Name,(ROW()-ROW(MSPTasks[[#Headers],[ID]])))="",TRUE()),"",INDEX(tsk_FcStart,(ROW()-ROW(MSPTasks[[#Headers],[ID]]))))</f>
        <v/>
      </c>
      <c r="H175" s="130" t="str">
        <f aca="false">IF(IFERROR(INDEX(tsk_Name,(ROW()-ROW(MSPTasks[[#Headers],[ID]])))="",TRUE()),"",INDEX(tsk_FcFinish,(ROW()-ROW(MSPTasks[[#Headers],[ID]]))))</f>
        <v/>
      </c>
      <c r="I175" s="24" t="str">
        <f aca="false">IF(IFERROR(INDEX(tsk_Name,(ROW()-ROW(MSPTasks[[#Headers],[ID]])))="",TRUE()),"",IF(INDEX(tsk_IsSummary,(ROW()-ROW(MSPTasks[[#Headers],[ID]]))),"",INDEX(tsk_Predecessors,(ROW()-ROW(MSPTasks[[#Headers],[ID]])))))</f>
        <v/>
      </c>
      <c r="J175" s="24" t="str">
        <f aca="false">IF(IFERROR(INDEX(tsk_Name,(ROW()-ROW(MSPTasks[[#Headers],[ID]])))="",TRUE()),"",IF(INDEX(tsk_IsSummary,(ROW()-ROW(MSPTasks[[#Headers],[ID]]))),"",INDEX(tsk_UIDPredecessors,(ROW()-ROW(MSPTasks[[#Headers],[ID]])))))</f>
        <v/>
      </c>
      <c r="K1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5" s="24" t="str">
        <f aca="false">IF(IFERROR(INDEX(tsk_Name,(ROW()-ROW(MSPTasks[[#Headers],[ID]])))="",TRUE()),"",IF(INDEX(tsk_IsSummary,(ROW()-ROW(MSPTasks[[#Headers],[ID]]))),"",ROUND(INDEX(tsk_Progress,(ROW()-ROW(MSPTasks[[#Headers],[ID]])))*100,0)))</f>
        <v/>
      </c>
      <c r="M175" s="130" t="str">
        <f aca="false">IF(IFERROR(INDEX(tsk_Name,(ROW()-ROW(MSPTasks[[#Headers],[ID]])))="",TRUE()),"",IF(N(INDEX(tsk_ActStart,(ROW()-ROW(MSPTasks[[#Headers],[ID]]))))=0,"",INDEX(tsk_ActStart,(ROW()-ROW(MSPTasks[[#Headers],[ID]])))))</f>
        <v/>
      </c>
      <c r="N175" s="130" t="str">
        <f aca="false">IF(IFERROR(INDEX(tsk_Name,(ROW()-ROW(MSPTasks[[#Headers],[ID]])))="",TRUE()),"",IF(N(INDEX(tsk_ActFinish,(ROW()-ROW(MSPTasks[[#Headers],[ID]]))))=0,"",INDEX(tsk_ActFinish,(ROW()-ROW(MSPTasks[[#Headers],[ID]])))))</f>
        <v/>
      </c>
      <c r="O175" s="130" t="str">
        <f aca="false">IF(IFERROR(INDEX(tsk_Name,(ROW()-ROW(MSPTasks[[#Headers],[ID]])))="",TRUE()),"",INDEX(tsk_PlanStart,(ROW()-ROW(MSPTasks[[#Headers],[ID]]))))</f>
        <v/>
      </c>
      <c r="P175" s="130" t="str">
        <f aca="false">IF(IFERROR(INDEX(tsk_Name,(ROW()-ROW(MSPTasks[[#Headers],[ID]])))="",TRUE()),"",INDEX(tsk_PlanFinish,(ROW()-ROW(MSPTasks[[#Headers],[ID]]))))</f>
        <v/>
      </c>
      <c r="Q175" s="24" t="str">
        <f aca="false">IF(IFERROR(INDEX(tsk_Name,(ROW()-ROW(MSPTasks[[#Headers],[ID]])))="",TRUE()),"",IF(INDEX(tsk_BaseDuration,(ROW()-ROW(MSPTasks[[#Headers],[ID]])))="","",N(INDEX(tsk_BaseDuration,(ROW()-ROW(MSPTasks[[#Headers],[ID]]))))&amp;"d"))</f>
        <v/>
      </c>
      <c r="R175" s="24" t="str">
        <f aca="false">IF(IFERROR(INDEX(tsk_Name,(ROW()-ROW(MSPTasks[[#Headers],[ID]])))="",TRUE()),"",IF(INDEX(tsk_BaseWork,(ROW()-ROW(MSPTasks[[#Headers],[ID]])))="","",N(INDEX(tsk_BaseWork,(ROW()-ROW(MSPTasks[[#Headers],[ID]]))))&amp;"h"))</f>
        <v/>
      </c>
      <c r="S175" s="24" t="str">
        <f aca="false">IF(IFERROR(INDEX(tsk_Name,(ROW()-ROW(MSPTasks[[#Headers],[ID]])))="",TRUE()),"",IF(INDEX(tsk_BaseCost,(ROW()-ROW(MSPTasks[[#Headers],[ID]])))="","",N(INDEX(tsk_BaseCost,(ROW()-ROW(MSPTasks[[#Headers],[ID]]))))))</f>
        <v/>
      </c>
      <c r="T175" s="24" t="str">
        <f aca="false">IF(IFERROR(INDEX(tsk_Name,(ROW()-ROW(MSPTasks[[#Headers],[ID]])))="",TRUE()),"",IF(INDEX(tsk_IsSummary,(ROW()-ROW(MSPTasks[[#Headers],[ID]]))),"",IF(N(INDEX(tsk_ActCostInput,(ROW()-ROW(MSPTasks[[#Headers],[ID]]))))=0,"",INDEX(tsk_ActCostInput,(ROW()-ROW(MSPTasks[[#Headers],[ID]]))))))</f>
        <v/>
      </c>
      <c r="U175" s="24" t="str">
        <f aca="false">IF(IFERROR(INDEX(tsk_Name,(ROW()-ROW(MSPTasks[[#Headers],[ID]])))="",TRUE()),"",IF(INDEX(tsk_IsSummary,(ROW()-ROW(MSPTasks[[#Headers],[ID]]))),"",IF(AND(INDEX(tsk_Mode,(ROW()-ROW(MSPTasks[[#Headers],[ID]])))&lt;&gt;"Manual",N(INDEX(tsk_Constraint,(ROW()-ROW(MSPTasks[[#Headers],[ID]]))))&gt;0),"Start No Earlier Than","As Soon As Possible")))</f>
        <v/>
      </c>
      <c r="V175" s="130" t="str">
        <f aca="false">IF(IFERROR(INDEX(tsk_Name,(ROW()-ROW(MSPTasks[[#Headers],[ID]])))="",TRUE()),"",IF(OR(INDEX(tsk_IsSummary,(ROW()-ROW(MSPTasks[[#Headers],[ID]]))),INDEX(tsk_Mode,(ROW()-ROW(MSPTasks[[#Headers],[ID]])))="Manual"),"",IF(N(INDEX(tsk_Constraint,(ROW()-ROW(MSPTasks[[#Headers],[ID]]))))=0,"",INDEX(tsk_Constraint,(ROW()-ROW(MSPTasks[[#Headers],[ID]]))))))</f>
        <v/>
      </c>
      <c r="W175" s="130" t="str">
        <f aca="false">IF(IFERROR(INDEX(tsk_Name,(ROW()-ROW(MSPTasks[[#Headers],[ID]])))="",TRUE()),"",IF(N(INDEX(tsk_Deadline,(ROW()-ROW(MSPTasks[[#Headers],[ID]]))))=0,"",INDEX(tsk_Deadline,(ROW()-ROW(MSPTasks[[#Headers],[ID]])))))</f>
        <v/>
      </c>
      <c r="X175" s="24" t="str">
        <f aca="false">IF(IFERROR(INDEX(tsk_Name,(ROW()-ROW(MSPTasks[[#Headers],[ID]])))="",TRUE()),"",IF(INDEX(tsk_IsSummary,(ROW()-ROW(MSPTasks[[#Headers],[ID]]))),"",INDEX(tsk_Sprint,(ROW()-ROW(MSPTasks[[#Headers],[ID]])))&amp;""))</f>
        <v/>
      </c>
      <c r="Y175" s="24" t="str">
        <f aca="false">IF(IFERROR(INDEX(tsk_Name,(ROW()-ROW(MSPTasks[[#Headers],[ID]])))="",TRUE()),"",IF(INDEX(tsk_IsSummary,(ROW()-ROW(MSPTasks[[#Headers],[ID]]))),"",IF(N(INDEX(tsk_StoryPoints,(ROW()-ROW(MSPTasks[[#Headers],[ID]]))))=0,"",INDEX(tsk_StoryPoints,(ROW()-ROW(MSPTasks[[#Headers],[ID]]))))))</f>
        <v/>
      </c>
      <c r="Z175" s="24" t="str">
        <f aca="false">IF(IFERROR(INDEX(tsk_Name,(ROW()-ROW(MSPTasks[[#Headers],[ID]])))="",TRUE()),"",INDEX(tsk_Notes,(ROW()-ROW(MSPTasks[[#Headers],[ID]])))&amp;"")</f>
        <v/>
      </c>
    </row>
    <row r="176" customFormat="false" ht="15" hidden="false" customHeight="false" outlineLevel="0" collapsed="false">
      <c r="A176" s="24" t="str">
        <f aca="false">IF(IFERROR(INDEX(tsk_Name,(ROW()-ROW(MSPTasks[[#Headers],[ID]])))="",TRUE()),"",INDEX(tsk_ID,(ROW()-ROW(MSPTasks[[#Headers],[ID]]))))</f>
        <v/>
      </c>
      <c r="B176" s="24" t="str">
        <f aca="false">IF(IFERROR(INDEX(tsk_Name,(ROW()-ROW(MSPTasks[[#Headers],[ID]])))="",TRUE()),"",INDEX(tsk_UID,(ROW()-ROW(MSPTasks[[#Headers],[ID]]))))</f>
        <v/>
      </c>
      <c r="C176" s="24" t="str">
        <f aca="false">IF(IFERROR(INDEX(tsk_Name,(ROW()-ROW(MSPTasks[[#Headers],[ID]])))="",TRUE()),"",INDEX(tsk_Name,(ROW()-ROW(MSPTasks[[#Headers],[ID]]))))</f>
        <v/>
      </c>
      <c r="D176" s="24" t="str">
        <f aca="false">IF(IFERROR(INDEX(tsk_Name,(ROW()-ROW(MSPTasks[[#Headers],[ID]])))="",TRUE()),"",INDEX(tsk_Level,(ROW()-ROW(MSPTasks[[#Headers],[ID]]))))</f>
        <v/>
      </c>
      <c r="E176" s="24" t="str">
        <f aca="false">IF(IFERROR(INDEX(tsk_Name,(ROW()-ROW(MSPTasks[[#Headers],[ID]])))="",TRUE()),"",IF(INDEX(tsk_Mode,(ROW()-ROW(MSPTasks[[#Headers],[ID]])))="Manual","Manually Scheduled","Auto Scheduled"))</f>
        <v/>
      </c>
      <c r="F176" s="24" t="str">
        <f aca="false">IF(IFERROR(INDEX(tsk_Name,(ROW()-ROW(MSPTasks[[#Headers],[ID]])))="",TRUE()),"",IF(INDEX(tsk_IsSummary,(ROW()-ROW(MSPTasks[[#Headers],[ID]]))),"",N(INDEX(tsk_Duration,(ROW()-ROW(MSPTasks[[#Headers],[ID]]))))&amp;"d"))</f>
        <v/>
      </c>
      <c r="G176" s="130" t="str">
        <f aca="false">IF(IFERROR(INDEX(tsk_Name,(ROW()-ROW(MSPTasks[[#Headers],[ID]])))="",TRUE()),"",INDEX(tsk_FcStart,(ROW()-ROW(MSPTasks[[#Headers],[ID]]))))</f>
        <v/>
      </c>
      <c r="H176" s="130" t="str">
        <f aca="false">IF(IFERROR(INDEX(tsk_Name,(ROW()-ROW(MSPTasks[[#Headers],[ID]])))="",TRUE()),"",INDEX(tsk_FcFinish,(ROW()-ROW(MSPTasks[[#Headers],[ID]]))))</f>
        <v/>
      </c>
      <c r="I176" s="24" t="str">
        <f aca="false">IF(IFERROR(INDEX(tsk_Name,(ROW()-ROW(MSPTasks[[#Headers],[ID]])))="",TRUE()),"",IF(INDEX(tsk_IsSummary,(ROW()-ROW(MSPTasks[[#Headers],[ID]]))),"",INDEX(tsk_Predecessors,(ROW()-ROW(MSPTasks[[#Headers],[ID]])))))</f>
        <v/>
      </c>
      <c r="J176" s="24" t="str">
        <f aca="false">IF(IFERROR(INDEX(tsk_Name,(ROW()-ROW(MSPTasks[[#Headers],[ID]])))="",TRUE()),"",IF(INDEX(tsk_IsSummary,(ROW()-ROW(MSPTasks[[#Headers],[ID]]))),"",INDEX(tsk_UIDPredecessors,(ROW()-ROW(MSPTasks[[#Headers],[ID]])))))</f>
        <v/>
      </c>
      <c r="K1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6" s="24" t="str">
        <f aca="false">IF(IFERROR(INDEX(tsk_Name,(ROW()-ROW(MSPTasks[[#Headers],[ID]])))="",TRUE()),"",IF(INDEX(tsk_IsSummary,(ROW()-ROW(MSPTasks[[#Headers],[ID]]))),"",ROUND(INDEX(tsk_Progress,(ROW()-ROW(MSPTasks[[#Headers],[ID]])))*100,0)))</f>
        <v/>
      </c>
      <c r="M176" s="130" t="str">
        <f aca="false">IF(IFERROR(INDEX(tsk_Name,(ROW()-ROW(MSPTasks[[#Headers],[ID]])))="",TRUE()),"",IF(N(INDEX(tsk_ActStart,(ROW()-ROW(MSPTasks[[#Headers],[ID]]))))=0,"",INDEX(tsk_ActStart,(ROW()-ROW(MSPTasks[[#Headers],[ID]])))))</f>
        <v/>
      </c>
      <c r="N176" s="130" t="str">
        <f aca="false">IF(IFERROR(INDEX(tsk_Name,(ROW()-ROW(MSPTasks[[#Headers],[ID]])))="",TRUE()),"",IF(N(INDEX(tsk_ActFinish,(ROW()-ROW(MSPTasks[[#Headers],[ID]]))))=0,"",INDEX(tsk_ActFinish,(ROW()-ROW(MSPTasks[[#Headers],[ID]])))))</f>
        <v/>
      </c>
      <c r="O176" s="130" t="str">
        <f aca="false">IF(IFERROR(INDEX(tsk_Name,(ROW()-ROW(MSPTasks[[#Headers],[ID]])))="",TRUE()),"",INDEX(tsk_PlanStart,(ROW()-ROW(MSPTasks[[#Headers],[ID]]))))</f>
        <v/>
      </c>
      <c r="P176" s="130" t="str">
        <f aca="false">IF(IFERROR(INDEX(tsk_Name,(ROW()-ROW(MSPTasks[[#Headers],[ID]])))="",TRUE()),"",INDEX(tsk_PlanFinish,(ROW()-ROW(MSPTasks[[#Headers],[ID]]))))</f>
        <v/>
      </c>
      <c r="Q176" s="24" t="str">
        <f aca="false">IF(IFERROR(INDEX(tsk_Name,(ROW()-ROW(MSPTasks[[#Headers],[ID]])))="",TRUE()),"",IF(INDEX(tsk_BaseDuration,(ROW()-ROW(MSPTasks[[#Headers],[ID]])))="","",N(INDEX(tsk_BaseDuration,(ROW()-ROW(MSPTasks[[#Headers],[ID]]))))&amp;"d"))</f>
        <v/>
      </c>
      <c r="R176" s="24" t="str">
        <f aca="false">IF(IFERROR(INDEX(tsk_Name,(ROW()-ROW(MSPTasks[[#Headers],[ID]])))="",TRUE()),"",IF(INDEX(tsk_BaseWork,(ROW()-ROW(MSPTasks[[#Headers],[ID]])))="","",N(INDEX(tsk_BaseWork,(ROW()-ROW(MSPTasks[[#Headers],[ID]]))))&amp;"h"))</f>
        <v/>
      </c>
      <c r="S176" s="24" t="str">
        <f aca="false">IF(IFERROR(INDEX(tsk_Name,(ROW()-ROW(MSPTasks[[#Headers],[ID]])))="",TRUE()),"",IF(INDEX(tsk_BaseCost,(ROW()-ROW(MSPTasks[[#Headers],[ID]])))="","",N(INDEX(tsk_BaseCost,(ROW()-ROW(MSPTasks[[#Headers],[ID]]))))))</f>
        <v/>
      </c>
      <c r="T176" s="24" t="str">
        <f aca="false">IF(IFERROR(INDEX(tsk_Name,(ROW()-ROW(MSPTasks[[#Headers],[ID]])))="",TRUE()),"",IF(INDEX(tsk_IsSummary,(ROW()-ROW(MSPTasks[[#Headers],[ID]]))),"",IF(N(INDEX(tsk_ActCostInput,(ROW()-ROW(MSPTasks[[#Headers],[ID]]))))=0,"",INDEX(tsk_ActCostInput,(ROW()-ROW(MSPTasks[[#Headers],[ID]]))))))</f>
        <v/>
      </c>
      <c r="U176" s="24" t="str">
        <f aca="false">IF(IFERROR(INDEX(tsk_Name,(ROW()-ROW(MSPTasks[[#Headers],[ID]])))="",TRUE()),"",IF(INDEX(tsk_IsSummary,(ROW()-ROW(MSPTasks[[#Headers],[ID]]))),"",IF(AND(INDEX(tsk_Mode,(ROW()-ROW(MSPTasks[[#Headers],[ID]])))&lt;&gt;"Manual",N(INDEX(tsk_Constraint,(ROW()-ROW(MSPTasks[[#Headers],[ID]]))))&gt;0),"Start No Earlier Than","As Soon As Possible")))</f>
        <v/>
      </c>
      <c r="V176" s="130" t="str">
        <f aca="false">IF(IFERROR(INDEX(tsk_Name,(ROW()-ROW(MSPTasks[[#Headers],[ID]])))="",TRUE()),"",IF(OR(INDEX(tsk_IsSummary,(ROW()-ROW(MSPTasks[[#Headers],[ID]]))),INDEX(tsk_Mode,(ROW()-ROW(MSPTasks[[#Headers],[ID]])))="Manual"),"",IF(N(INDEX(tsk_Constraint,(ROW()-ROW(MSPTasks[[#Headers],[ID]]))))=0,"",INDEX(tsk_Constraint,(ROW()-ROW(MSPTasks[[#Headers],[ID]]))))))</f>
        <v/>
      </c>
      <c r="W176" s="130" t="str">
        <f aca="false">IF(IFERROR(INDEX(tsk_Name,(ROW()-ROW(MSPTasks[[#Headers],[ID]])))="",TRUE()),"",IF(N(INDEX(tsk_Deadline,(ROW()-ROW(MSPTasks[[#Headers],[ID]]))))=0,"",INDEX(tsk_Deadline,(ROW()-ROW(MSPTasks[[#Headers],[ID]])))))</f>
        <v/>
      </c>
      <c r="X176" s="24" t="str">
        <f aca="false">IF(IFERROR(INDEX(tsk_Name,(ROW()-ROW(MSPTasks[[#Headers],[ID]])))="",TRUE()),"",IF(INDEX(tsk_IsSummary,(ROW()-ROW(MSPTasks[[#Headers],[ID]]))),"",INDEX(tsk_Sprint,(ROW()-ROW(MSPTasks[[#Headers],[ID]])))&amp;""))</f>
        <v/>
      </c>
      <c r="Y176" s="24" t="str">
        <f aca="false">IF(IFERROR(INDEX(tsk_Name,(ROW()-ROW(MSPTasks[[#Headers],[ID]])))="",TRUE()),"",IF(INDEX(tsk_IsSummary,(ROW()-ROW(MSPTasks[[#Headers],[ID]]))),"",IF(N(INDEX(tsk_StoryPoints,(ROW()-ROW(MSPTasks[[#Headers],[ID]]))))=0,"",INDEX(tsk_StoryPoints,(ROW()-ROW(MSPTasks[[#Headers],[ID]]))))))</f>
        <v/>
      </c>
      <c r="Z176" s="24" t="str">
        <f aca="false">IF(IFERROR(INDEX(tsk_Name,(ROW()-ROW(MSPTasks[[#Headers],[ID]])))="",TRUE()),"",INDEX(tsk_Notes,(ROW()-ROW(MSPTasks[[#Headers],[ID]])))&amp;"")</f>
        <v/>
      </c>
    </row>
    <row r="177" customFormat="false" ht="15" hidden="false" customHeight="false" outlineLevel="0" collapsed="false">
      <c r="A177" s="24" t="str">
        <f aca="false">IF(IFERROR(INDEX(tsk_Name,(ROW()-ROW(MSPTasks[[#Headers],[ID]])))="",TRUE()),"",INDEX(tsk_ID,(ROW()-ROW(MSPTasks[[#Headers],[ID]]))))</f>
        <v/>
      </c>
      <c r="B177" s="24" t="str">
        <f aca="false">IF(IFERROR(INDEX(tsk_Name,(ROW()-ROW(MSPTasks[[#Headers],[ID]])))="",TRUE()),"",INDEX(tsk_UID,(ROW()-ROW(MSPTasks[[#Headers],[ID]]))))</f>
        <v/>
      </c>
      <c r="C177" s="24" t="str">
        <f aca="false">IF(IFERROR(INDEX(tsk_Name,(ROW()-ROW(MSPTasks[[#Headers],[ID]])))="",TRUE()),"",INDEX(tsk_Name,(ROW()-ROW(MSPTasks[[#Headers],[ID]]))))</f>
        <v/>
      </c>
      <c r="D177" s="24" t="str">
        <f aca="false">IF(IFERROR(INDEX(tsk_Name,(ROW()-ROW(MSPTasks[[#Headers],[ID]])))="",TRUE()),"",INDEX(tsk_Level,(ROW()-ROW(MSPTasks[[#Headers],[ID]]))))</f>
        <v/>
      </c>
      <c r="E177" s="24" t="str">
        <f aca="false">IF(IFERROR(INDEX(tsk_Name,(ROW()-ROW(MSPTasks[[#Headers],[ID]])))="",TRUE()),"",IF(INDEX(tsk_Mode,(ROW()-ROW(MSPTasks[[#Headers],[ID]])))="Manual","Manually Scheduled","Auto Scheduled"))</f>
        <v/>
      </c>
      <c r="F177" s="24" t="str">
        <f aca="false">IF(IFERROR(INDEX(tsk_Name,(ROW()-ROW(MSPTasks[[#Headers],[ID]])))="",TRUE()),"",IF(INDEX(tsk_IsSummary,(ROW()-ROW(MSPTasks[[#Headers],[ID]]))),"",N(INDEX(tsk_Duration,(ROW()-ROW(MSPTasks[[#Headers],[ID]]))))&amp;"d"))</f>
        <v/>
      </c>
      <c r="G177" s="130" t="str">
        <f aca="false">IF(IFERROR(INDEX(tsk_Name,(ROW()-ROW(MSPTasks[[#Headers],[ID]])))="",TRUE()),"",INDEX(tsk_FcStart,(ROW()-ROW(MSPTasks[[#Headers],[ID]]))))</f>
        <v/>
      </c>
      <c r="H177" s="130" t="str">
        <f aca="false">IF(IFERROR(INDEX(tsk_Name,(ROW()-ROW(MSPTasks[[#Headers],[ID]])))="",TRUE()),"",INDEX(tsk_FcFinish,(ROW()-ROW(MSPTasks[[#Headers],[ID]]))))</f>
        <v/>
      </c>
      <c r="I177" s="24" t="str">
        <f aca="false">IF(IFERROR(INDEX(tsk_Name,(ROW()-ROW(MSPTasks[[#Headers],[ID]])))="",TRUE()),"",IF(INDEX(tsk_IsSummary,(ROW()-ROW(MSPTasks[[#Headers],[ID]]))),"",INDEX(tsk_Predecessors,(ROW()-ROW(MSPTasks[[#Headers],[ID]])))))</f>
        <v/>
      </c>
      <c r="J177" s="24" t="str">
        <f aca="false">IF(IFERROR(INDEX(tsk_Name,(ROW()-ROW(MSPTasks[[#Headers],[ID]])))="",TRUE()),"",IF(INDEX(tsk_IsSummary,(ROW()-ROW(MSPTasks[[#Headers],[ID]]))),"",INDEX(tsk_UIDPredecessors,(ROW()-ROW(MSPTasks[[#Headers],[ID]])))))</f>
        <v/>
      </c>
      <c r="K1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7" s="24" t="str">
        <f aca="false">IF(IFERROR(INDEX(tsk_Name,(ROW()-ROW(MSPTasks[[#Headers],[ID]])))="",TRUE()),"",IF(INDEX(tsk_IsSummary,(ROW()-ROW(MSPTasks[[#Headers],[ID]]))),"",ROUND(INDEX(tsk_Progress,(ROW()-ROW(MSPTasks[[#Headers],[ID]])))*100,0)))</f>
        <v/>
      </c>
      <c r="M177" s="130" t="str">
        <f aca="false">IF(IFERROR(INDEX(tsk_Name,(ROW()-ROW(MSPTasks[[#Headers],[ID]])))="",TRUE()),"",IF(N(INDEX(tsk_ActStart,(ROW()-ROW(MSPTasks[[#Headers],[ID]]))))=0,"",INDEX(tsk_ActStart,(ROW()-ROW(MSPTasks[[#Headers],[ID]])))))</f>
        <v/>
      </c>
      <c r="N177" s="130" t="str">
        <f aca="false">IF(IFERROR(INDEX(tsk_Name,(ROW()-ROW(MSPTasks[[#Headers],[ID]])))="",TRUE()),"",IF(N(INDEX(tsk_ActFinish,(ROW()-ROW(MSPTasks[[#Headers],[ID]]))))=0,"",INDEX(tsk_ActFinish,(ROW()-ROW(MSPTasks[[#Headers],[ID]])))))</f>
        <v/>
      </c>
      <c r="O177" s="130" t="str">
        <f aca="false">IF(IFERROR(INDEX(tsk_Name,(ROW()-ROW(MSPTasks[[#Headers],[ID]])))="",TRUE()),"",INDEX(tsk_PlanStart,(ROW()-ROW(MSPTasks[[#Headers],[ID]]))))</f>
        <v/>
      </c>
      <c r="P177" s="130" t="str">
        <f aca="false">IF(IFERROR(INDEX(tsk_Name,(ROW()-ROW(MSPTasks[[#Headers],[ID]])))="",TRUE()),"",INDEX(tsk_PlanFinish,(ROW()-ROW(MSPTasks[[#Headers],[ID]]))))</f>
        <v/>
      </c>
      <c r="Q177" s="24" t="str">
        <f aca="false">IF(IFERROR(INDEX(tsk_Name,(ROW()-ROW(MSPTasks[[#Headers],[ID]])))="",TRUE()),"",IF(INDEX(tsk_BaseDuration,(ROW()-ROW(MSPTasks[[#Headers],[ID]])))="","",N(INDEX(tsk_BaseDuration,(ROW()-ROW(MSPTasks[[#Headers],[ID]]))))&amp;"d"))</f>
        <v/>
      </c>
      <c r="R177" s="24" t="str">
        <f aca="false">IF(IFERROR(INDEX(tsk_Name,(ROW()-ROW(MSPTasks[[#Headers],[ID]])))="",TRUE()),"",IF(INDEX(tsk_BaseWork,(ROW()-ROW(MSPTasks[[#Headers],[ID]])))="","",N(INDEX(tsk_BaseWork,(ROW()-ROW(MSPTasks[[#Headers],[ID]]))))&amp;"h"))</f>
        <v/>
      </c>
      <c r="S177" s="24" t="str">
        <f aca="false">IF(IFERROR(INDEX(tsk_Name,(ROW()-ROW(MSPTasks[[#Headers],[ID]])))="",TRUE()),"",IF(INDEX(tsk_BaseCost,(ROW()-ROW(MSPTasks[[#Headers],[ID]])))="","",N(INDEX(tsk_BaseCost,(ROW()-ROW(MSPTasks[[#Headers],[ID]]))))))</f>
        <v/>
      </c>
      <c r="T177" s="24" t="str">
        <f aca="false">IF(IFERROR(INDEX(tsk_Name,(ROW()-ROW(MSPTasks[[#Headers],[ID]])))="",TRUE()),"",IF(INDEX(tsk_IsSummary,(ROW()-ROW(MSPTasks[[#Headers],[ID]]))),"",IF(N(INDEX(tsk_ActCostInput,(ROW()-ROW(MSPTasks[[#Headers],[ID]]))))=0,"",INDEX(tsk_ActCostInput,(ROW()-ROW(MSPTasks[[#Headers],[ID]]))))))</f>
        <v/>
      </c>
      <c r="U177" s="24" t="str">
        <f aca="false">IF(IFERROR(INDEX(tsk_Name,(ROW()-ROW(MSPTasks[[#Headers],[ID]])))="",TRUE()),"",IF(INDEX(tsk_IsSummary,(ROW()-ROW(MSPTasks[[#Headers],[ID]]))),"",IF(AND(INDEX(tsk_Mode,(ROW()-ROW(MSPTasks[[#Headers],[ID]])))&lt;&gt;"Manual",N(INDEX(tsk_Constraint,(ROW()-ROW(MSPTasks[[#Headers],[ID]]))))&gt;0),"Start No Earlier Than","As Soon As Possible")))</f>
        <v/>
      </c>
      <c r="V177" s="130" t="str">
        <f aca="false">IF(IFERROR(INDEX(tsk_Name,(ROW()-ROW(MSPTasks[[#Headers],[ID]])))="",TRUE()),"",IF(OR(INDEX(tsk_IsSummary,(ROW()-ROW(MSPTasks[[#Headers],[ID]]))),INDEX(tsk_Mode,(ROW()-ROW(MSPTasks[[#Headers],[ID]])))="Manual"),"",IF(N(INDEX(tsk_Constraint,(ROW()-ROW(MSPTasks[[#Headers],[ID]]))))=0,"",INDEX(tsk_Constraint,(ROW()-ROW(MSPTasks[[#Headers],[ID]]))))))</f>
        <v/>
      </c>
      <c r="W177" s="130" t="str">
        <f aca="false">IF(IFERROR(INDEX(tsk_Name,(ROW()-ROW(MSPTasks[[#Headers],[ID]])))="",TRUE()),"",IF(N(INDEX(tsk_Deadline,(ROW()-ROW(MSPTasks[[#Headers],[ID]]))))=0,"",INDEX(tsk_Deadline,(ROW()-ROW(MSPTasks[[#Headers],[ID]])))))</f>
        <v/>
      </c>
      <c r="X177" s="24" t="str">
        <f aca="false">IF(IFERROR(INDEX(tsk_Name,(ROW()-ROW(MSPTasks[[#Headers],[ID]])))="",TRUE()),"",IF(INDEX(tsk_IsSummary,(ROW()-ROW(MSPTasks[[#Headers],[ID]]))),"",INDEX(tsk_Sprint,(ROW()-ROW(MSPTasks[[#Headers],[ID]])))&amp;""))</f>
        <v/>
      </c>
      <c r="Y177" s="24" t="str">
        <f aca="false">IF(IFERROR(INDEX(tsk_Name,(ROW()-ROW(MSPTasks[[#Headers],[ID]])))="",TRUE()),"",IF(INDEX(tsk_IsSummary,(ROW()-ROW(MSPTasks[[#Headers],[ID]]))),"",IF(N(INDEX(tsk_StoryPoints,(ROW()-ROW(MSPTasks[[#Headers],[ID]]))))=0,"",INDEX(tsk_StoryPoints,(ROW()-ROW(MSPTasks[[#Headers],[ID]]))))))</f>
        <v/>
      </c>
      <c r="Z177" s="24" t="str">
        <f aca="false">IF(IFERROR(INDEX(tsk_Name,(ROW()-ROW(MSPTasks[[#Headers],[ID]])))="",TRUE()),"",INDEX(tsk_Notes,(ROW()-ROW(MSPTasks[[#Headers],[ID]])))&amp;"")</f>
        <v/>
      </c>
    </row>
    <row r="178" customFormat="false" ht="15" hidden="false" customHeight="false" outlineLevel="0" collapsed="false">
      <c r="A178" s="24" t="str">
        <f aca="false">IF(IFERROR(INDEX(tsk_Name,(ROW()-ROW(MSPTasks[[#Headers],[ID]])))="",TRUE()),"",INDEX(tsk_ID,(ROW()-ROW(MSPTasks[[#Headers],[ID]]))))</f>
        <v/>
      </c>
      <c r="B178" s="24" t="str">
        <f aca="false">IF(IFERROR(INDEX(tsk_Name,(ROW()-ROW(MSPTasks[[#Headers],[ID]])))="",TRUE()),"",INDEX(tsk_UID,(ROW()-ROW(MSPTasks[[#Headers],[ID]]))))</f>
        <v/>
      </c>
      <c r="C178" s="24" t="str">
        <f aca="false">IF(IFERROR(INDEX(tsk_Name,(ROW()-ROW(MSPTasks[[#Headers],[ID]])))="",TRUE()),"",INDEX(tsk_Name,(ROW()-ROW(MSPTasks[[#Headers],[ID]]))))</f>
        <v/>
      </c>
      <c r="D178" s="24" t="str">
        <f aca="false">IF(IFERROR(INDEX(tsk_Name,(ROW()-ROW(MSPTasks[[#Headers],[ID]])))="",TRUE()),"",INDEX(tsk_Level,(ROW()-ROW(MSPTasks[[#Headers],[ID]]))))</f>
        <v/>
      </c>
      <c r="E178" s="24" t="str">
        <f aca="false">IF(IFERROR(INDEX(tsk_Name,(ROW()-ROW(MSPTasks[[#Headers],[ID]])))="",TRUE()),"",IF(INDEX(tsk_Mode,(ROW()-ROW(MSPTasks[[#Headers],[ID]])))="Manual","Manually Scheduled","Auto Scheduled"))</f>
        <v/>
      </c>
      <c r="F178" s="24" t="str">
        <f aca="false">IF(IFERROR(INDEX(tsk_Name,(ROW()-ROW(MSPTasks[[#Headers],[ID]])))="",TRUE()),"",IF(INDEX(tsk_IsSummary,(ROW()-ROW(MSPTasks[[#Headers],[ID]]))),"",N(INDEX(tsk_Duration,(ROW()-ROW(MSPTasks[[#Headers],[ID]]))))&amp;"d"))</f>
        <v/>
      </c>
      <c r="G178" s="130" t="str">
        <f aca="false">IF(IFERROR(INDEX(tsk_Name,(ROW()-ROW(MSPTasks[[#Headers],[ID]])))="",TRUE()),"",INDEX(tsk_FcStart,(ROW()-ROW(MSPTasks[[#Headers],[ID]]))))</f>
        <v/>
      </c>
      <c r="H178" s="130" t="str">
        <f aca="false">IF(IFERROR(INDEX(tsk_Name,(ROW()-ROW(MSPTasks[[#Headers],[ID]])))="",TRUE()),"",INDEX(tsk_FcFinish,(ROW()-ROW(MSPTasks[[#Headers],[ID]]))))</f>
        <v/>
      </c>
      <c r="I178" s="24" t="str">
        <f aca="false">IF(IFERROR(INDEX(tsk_Name,(ROW()-ROW(MSPTasks[[#Headers],[ID]])))="",TRUE()),"",IF(INDEX(tsk_IsSummary,(ROW()-ROW(MSPTasks[[#Headers],[ID]]))),"",INDEX(tsk_Predecessors,(ROW()-ROW(MSPTasks[[#Headers],[ID]])))))</f>
        <v/>
      </c>
      <c r="J178" s="24" t="str">
        <f aca="false">IF(IFERROR(INDEX(tsk_Name,(ROW()-ROW(MSPTasks[[#Headers],[ID]])))="",TRUE()),"",IF(INDEX(tsk_IsSummary,(ROW()-ROW(MSPTasks[[#Headers],[ID]]))),"",INDEX(tsk_UIDPredecessors,(ROW()-ROW(MSPTasks[[#Headers],[ID]])))))</f>
        <v/>
      </c>
      <c r="K1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8" s="24" t="str">
        <f aca="false">IF(IFERROR(INDEX(tsk_Name,(ROW()-ROW(MSPTasks[[#Headers],[ID]])))="",TRUE()),"",IF(INDEX(tsk_IsSummary,(ROW()-ROW(MSPTasks[[#Headers],[ID]]))),"",ROUND(INDEX(tsk_Progress,(ROW()-ROW(MSPTasks[[#Headers],[ID]])))*100,0)))</f>
        <v/>
      </c>
      <c r="M178" s="130" t="str">
        <f aca="false">IF(IFERROR(INDEX(tsk_Name,(ROW()-ROW(MSPTasks[[#Headers],[ID]])))="",TRUE()),"",IF(N(INDEX(tsk_ActStart,(ROW()-ROW(MSPTasks[[#Headers],[ID]]))))=0,"",INDEX(tsk_ActStart,(ROW()-ROW(MSPTasks[[#Headers],[ID]])))))</f>
        <v/>
      </c>
      <c r="N178" s="130" t="str">
        <f aca="false">IF(IFERROR(INDEX(tsk_Name,(ROW()-ROW(MSPTasks[[#Headers],[ID]])))="",TRUE()),"",IF(N(INDEX(tsk_ActFinish,(ROW()-ROW(MSPTasks[[#Headers],[ID]]))))=0,"",INDEX(tsk_ActFinish,(ROW()-ROW(MSPTasks[[#Headers],[ID]])))))</f>
        <v/>
      </c>
      <c r="O178" s="130" t="str">
        <f aca="false">IF(IFERROR(INDEX(tsk_Name,(ROW()-ROW(MSPTasks[[#Headers],[ID]])))="",TRUE()),"",INDEX(tsk_PlanStart,(ROW()-ROW(MSPTasks[[#Headers],[ID]]))))</f>
        <v/>
      </c>
      <c r="P178" s="130" t="str">
        <f aca="false">IF(IFERROR(INDEX(tsk_Name,(ROW()-ROW(MSPTasks[[#Headers],[ID]])))="",TRUE()),"",INDEX(tsk_PlanFinish,(ROW()-ROW(MSPTasks[[#Headers],[ID]]))))</f>
        <v/>
      </c>
      <c r="Q178" s="24" t="str">
        <f aca="false">IF(IFERROR(INDEX(tsk_Name,(ROW()-ROW(MSPTasks[[#Headers],[ID]])))="",TRUE()),"",IF(INDEX(tsk_BaseDuration,(ROW()-ROW(MSPTasks[[#Headers],[ID]])))="","",N(INDEX(tsk_BaseDuration,(ROW()-ROW(MSPTasks[[#Headers],[ID]]))))&amp;"d"))</f>
        <v/>
      </c>
      <c r="R178" s="24" t="str">
        <f aca="false">IF(IFERROR(INDEX(tsk_Name,(ROW()-ROW(MSPTasks[[#Headers],[ID]])))="",TRUE()),"",IF(INDEX(tsk_BaseWork,(ROW()-ROW(MSPTasks[[#Headers],[ID]])))="","",N(INDEX(tsk_BaseWork,(ROW()-ROW(MSPTasks[[#Headers],[ID]]))))&amp;"h"))</f>
        <v/>
      </c>
      <c r="S178" s="24" t="str">
        <f aca="false">IF(IFERROR(INDEX(tsk_Name,(ROW()-ROW(MSPTasks[[#Headers],[ID]])))="",TRUE()),"",IF(INDEX(tsk_BaseCost,(ROW()-ROW(MSPTasks[[#Headers],[ID]])))="","",N(INDEX(tsk_BaseCost,(ROW()-ROW(MSPTasks[[#Headers],[ID]]))))))</f>
        <v/>
      </c>
      <c r="T178" s="24" t="str">
        <f aca="false">IF(IFERROR(INDEX(tsk_Name,(ROW()-ROW(MSPTasks[[#Headers],[ID]])))="",TRUE()),"",IF(INDEX(tsk_IsSummary,(ROW()-ROW(MSPTasks[[#Headers],[ID]]))),"",IF(N(INDEX(tsk_ActCostInput,(ROW()-ROW(MSPTasks[[#Headers],[ID]]))))=0,"",INDEX(tsk_ActCostInput,(ROW()-ROW(MSPTasks[[#Headers],[ID]]))))))</f>
        <v/>
      </c>
      <c r="U178" s="24" t="str">
        <f aca="false">IF(IFERROR(INDEX(tsk_Name,(ROW()-ROW(MSPTasks[[#Headers],[ID]])))="",TRUE()),"",IF(INDEX(tsk_IsSummary,(ROW()-ROW(MSPTasks[[#Headers],[ID]]))),"",IF(AND(INDEX(tsk_Mode,(ROW()-ROW(MSPTasks[[#Headers],[ID]])))&lt;&gt;"Manual",N(INDEX(tsk_Constraint,(ROW()-ROW(MSPTasks[[#Headers],[ID]]))))&gt;0),"Start No Earlier Than","As Soon As Possible")))</f>
        <v/>
      </c>
      <c r="V178" s="130" t="str">
        <f aca="false">IF(IFERROR(INDEX(tsk_Name,(ROW()-ROW(MSPTasks[[#Headers],[ID]])))="",TRUE()),"",IF(OR(INDEX(tsk_IsSummary,(ROW()-ROW(MSPTasks[[#Headers],[ID]]))),INDEX(tsk_Mode,(ROW()-ROW(MSPTasks[[#Headers],[ID]])))="Manual"),"",IF(N(INDEX(tsk_Constraint,(ROW()-ROW(MSPTasks[[#Headers],[ID]]))))=0,"",INDEX(tsk_Constraint,(ROW()-ROW(MSPTasks[[#Headers],[ID]]))))))</f>
        <v/>
      </c>
      <c r="W178" s="130" t="str">
        <f aca="false">IF(IFERROR(INDEX(tsk_Name,(ROW()-ROW(MSPTasks[[#Headers],[ID]])))="",TRUE()),"",IF(N(INDEX(tsk_Deadline,(ROW()-ROW(MSPTasks[[#Headers],[ID]]))))=0,"",INDEX(tsk_Deadline,(ROW()-ROW(MSPTasks[[#Headers],[ID]])))))</f>
        <v/>
      </c>
      <c r="X178" s="24" t="str">
        <f aca="false">IF(IFERROR(INDEX(tsk_Name,(ROW()-ROW(MSPTasks[[#Headers],[ID]])))="",TRUE()),"",IF(INDEX(tsk_IsSummary,(ROW()-ROW(MSPTasks[[#Headers],[ID]]))),"",INDEX(tsk_Sprint,(ROW()-ROW(MSPTasks[[#Headers],[ID]])))&amp;""))</f>
        <v/>
      </c>
      <c r="Y178" s="24" t="str">
        <f aca="false">IF(IFERROR(INDEX(tsk_Name,(ROW()-ROW(MSPTasks[[#Headers],[ID]])))="",TRUE()),"",IF(INDEX(tsk_IsSummary,(ROW()-ROW(MSPTasks[[#Headers],[ID]]))),"",IF(N(INDEX(tsk_StoryPoints,(ROW()-ROW(MSPTasks[[#Headers],[ID]]))))=0,"",INDEX(tsk_StoryPoints,(ROW()-ROW(MSPTasks[[#Headers],[ID]]))))))</f>
        <v/>
      </c>
      <c r="Z178" s="24" t="str">
        <f aca="false">IF(IFERROR(INDEX(tsk_Name,(ROW()-ROW(MSPTasks[[#Headers],[ID]])))="",TRUE()),"",INDEX(tsk_Notes,(ROW()-ROW(MSPTasks[[#Headers],[ID]])))&amp;"")</f>
        <v/>
      </c>
    </row>
    <row r="179" customFormat="false" ht="15" hidden="false" customHeight="false" outlineLevel="0" collapsed="false">
      <c r="A179" s="24" t="str">
        <f aca="false">IF(IFERROR(INDEX(tsk_Name,(ROW()-ROW(MSPTasks[[#Headers],[ID]])))="",TRUE()),"",INDEX(tsk_ID,(ROW()-ROW(MSPTasks[[#Headers],[ID]]))))</f>
        <v/>
      </c>
      <c r="B179" s="24" t="str">
        <f aca="false">IF(IFERROR(INDEX(tsk_Name,(ROW()-ROW(MSPTasks[[#Headers],[ID]])))="",TRUE()),"",INDEX(tsk_UID,(ROW()-ROW(MSPTasks[[#Headers],[ID]]))))</f>
        <v/>
      </c>
      <c r="C179" s="24" t="str">
        <f aca="false">IF(IFERROR(INDEX(tsk_Name,(ROW()-ROW(MSPTasks[[#Headers],[ID]])))="",TRUE()),"",INDEX(tsk_Name,(ROW()-ROW(MSPTasks[[#Headers],[ID]]))))</f>
        <v/>
      </c>
      <c r="D179" s="24" t="str">
        <f aca="false">IF(IFERROR(INDEX(tsk_Name,(ROW()-ROW(MSPTasks[[#Headers],[ID]])))="",TRUE()),"",INDEX(tsk_Level,(ROW()-ROW(MSPTasks[[#Headers],[ID]]))))</f>
        <v/>
      </c>
      <c r="E179" s="24" t="str">
        <f aca="false">IF(IFERROR(INDEX(tsk_Name,(ROW()-ROW(MSPTasks[[#Headers],[ID]])))="",TRUE()),"",IF(INDEX(tsk_Mode,(ROW()-ROW(MSPTasks[[#Headers],[ID]])))="Manual","Manually Scheduled","Auto Scheduled"))</f>
        <v/>
      </c>
      <c r="F179" s="24" t="str">
        <f aca="false">IF(IFERROR(INDEX(tsk_Name,(ROW()-ROW(MSPTasks[[#Headers],[ID]])))="",TRUE()),"",IF(INDEX(tsk_IsSummary,(ROW()-ROW(MSPTasks[[#Headers],[ID]]))),"",N(INDEX(tsk_Duration,(ROW()-ROW(MSPTasks[[#Headers],[ID]]))))&amp;"d"))</f>
        <v/>
      </c>
      <c r="G179" s="130" t="str">
        <f aca="false">IF(IFERROR(INDEX(tsk_Name,(ROW()-ROW(MSPTasks[[#Headers],[ID]])))="",TRUE()),"",INDEX(tsk_FcStart,(ROW()-ROW(MSPTasks[[#Headers],[ID]]))))</f>
        <v/>
      </c>
      <c r="H179" s="130" t="str">
        <f aca="false">IF(IFERROR(INDEX(tsk_Name,(ROW()-ROW(MSPTasks[[#Headers],[ID]])))="",TRUE()),"",INDEX(tsk_FcFinish,(ROW()-ROW(MSPTasks[[#Headers],[ID]]))))</f>
        <v/>
      </c>
      <c r="I179" s="24" t="str">
        <f aca="false">IF(IFERROR(INDEX(tsk_Name,(ROW()-ROW(MSPTasks[[#Headers],[ID]])))="",TRUE()),"",IF(INDEX(tsk_IsSummary,(ROW()-ROW(MSPTasks[[#Headers],[ID]]))),"",INDEX(tsk_Predecessors,(ROW()-ROW(MSPTasks[[#Headers],[ID]])))))</f>
        <v/>
      </c>
      <c r="J179" s="24" t="str">
        <f aca="false">IF(IFERROR(INDEX(tsk_Name,(ROW()-ROW(MSPTasks[[#Headers],[ID]])))="",TRUE()),"",IF(INDEX(tsk_IsSummary,(ROW()-ROW(MSPTasks[[#Headers],[ID]]))),"",INDEX(tsk_UIDPredecessors,(ROW()-ROW(MSPTasks[[#Headers],[ID]])))))</f>
        <v/>
      </c>
      <c r="K1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9" s="24" t="str">
        <f aca="false">IF(IFERROR(INDEX(tsk_Name,(ROW()-ROW(MSPTasks[[#Headers],[ID]])))="",TRUE()),"",IF(INDEX(tsk_IsSummary,(ROW()-ROW(MSPTasks[[#Headers],[ID]]))),"",ROUND(INDEX(tsk_Progress,(ROW()-ROW(MSPTasks[[#Headers],[ID]])))*100,0)))</f>
        <v/>
      </c>
      <c r="M179" s="130" t="str">
        <f aca="false">IF(IFERROR(INDEX(tsk_Name,(ROW()-ROW(MSPTasks[[#Headers],[ID]])))="",TRUE()),"",IF(N(INDEX(tsk_ActStart,(ROW()-ROW(MSPTasks[[#Headers],[ID]]))))=0,"",INDEX(tsk_ActStart,(ROW()-ROW(MSPTasks[[#Headers],[ID]])))))</f>
        <v/>
      </c>
      <c r="N179" s="130" t="str">
        <f aca="false">IF(IFERROR(INDEX(tsk_Name,(ROW()-ROW(MSPTasks[[#Headers],[ID]])))="",TRUE()),"",IF(N(INDEX(tsk_ActFinish,(ROW()-ROW(MSPTasks[[#Headers],[ID]]))))=0,"",INDEX(tsk_ActFinish,(ROW()-ROW(MSPTasks[[#Headers],[ID]])))))</f>
        <v/>
      </c>
      <c r="O179" s="130" t="str">
        <f aca="false">IF(IFERROR(INDEX(tsk_Name,(ROW()-ROW(MSPTasks[[#Headers],[ID]])))="",TRUE()),"",INDEX(tsk_PlanStart,(ROW()-ROW(MSPTasks[[#Headers],[ID]]))))</f>
        <v/>
      </c>
      <c r="P179" s="130" t="str">
        <f aca="false">IF(IFERROR(INDEX(tsk_Name,(ROW()-ROW(MSPTasks[[#Headers],[ID]])))="",TRUE()),"",INDEX(tsk_PlanFinish,(ROW()-ROW(MSPTasks[[#Headers],[ID]]))))</f>
        <v/>
      </c>
      <c r="Q179" s="24" t="str">
        <f aca="false">IF(IFERROR(INDEX(tsk_Name,(ROW()-ROW(MSPTasks[[#Headers],[ID]])))="",TRUE()),"",IF(INDEX(tsk_BaseDuration,(ROW()-ROW(MSPTasks[[#Headers],[ID]])))="","",N(INDEX(tsk_BaseDuration,(ROW()-ROW(MSPTasks[[#Headers],[ID]]))))&amp;"d"))</f>
        <v/>
      </c>
      <c r="R179" s="24" t="str">
        <f aca="false">IF(IFERROR(INDEX(tsk_Name,(ROW()-ROW(MSPTasks[[#Headers],[ID]])))="",TRUE()),"",IF(INDEX(tsk_BaseWork,(ROW()-ROW(MSPTasks[[#Headers],[ID]])))="","",N(INDEX(tsk_BaseWork,(ROW()-ROW(MSPTasks[[#Headers],[ID]]))))&amp;"h"))</f>
        <v/>
      </c>
      <c r="S179" s="24" t="str">
        <f aca="false">IF(IFERROR(INDEX(tsk_Name,(ROW()-ROW(MSPTasks[[#Headers],[ID]])))="",TRUE()),"",IF(INDEX(tsk_BaseCost,(ROW()-ROW(MSPTasks[[#Headers],[ID]])))="","",N(INDEX(tsk_BaseCost,(ROW()-ROW(MSPTasks[[#Headers],[ID]]))))))</f>
        <v/>
      </c>
      <c r="T179" s="24" t="str">
        <f aca="false">IF(IFERROR(INDEX(tsk_Name,(ROW()-ROW(MSPTasks[[#Headers],[ID]])))="",TRUE()),"",IF(INDEX(tsk_IsSummary,(ROW()-ROW(MSPTasks[[#Headers],[ID]]))),"",IF(N(INDEX(tsk_ActCostInput,(ROW()-ROW(MSPTasks[[#Headers],[ID]]))))=0,"",INDEX(tsk_ActCostInput,(ROW()-ROW(MSPTasks[[#Headers],[ID]]))))))</f>
        <v/>
      </c>
      <c r="U179" s="24" t="str">
        <f aca="false">IF(IFERROR(INDEX(tsk_Name,(ROW()-ROW(MSPTasks[[#Headers],[ID]])))="",TRUE()),"",IF(INDEX(tsk_IsSummary,(ROW()-ROW(MSPTasks[[#Headers],[ID]]))),"",IF(AND(INDEX(tsk_Mode,(ROW()-ROW(MSPTasks[[#Headers],[ID]])))&lt;&gt;"Manual",N(INDEX(tsk_Constraint,(ROW()-ROW(MSPTasks[[#Headers],[ID]]))))&gt;0),"Start No Earlier Than","As Soon As Possible")))</f>
        <v/>
      </c>
      <c r="V179" s="130" t="str">
        <f aca="false">IF(IFERROR(INDEX(tsk_Name,(ROW()-ROW(MSPTasks[[#Headers],[ID]])))="",TRUE()),"",IF(OR(INDEX(tsk_IsSummary,(ROW()-ROW(MSPTasks[[#Headers],[ID]]))),INDEX(tsk_Mode,(ROW()-ROW(MSPTasks[[#Headers],[ID]])))="Manual"),"",IF(N(INDEX(tsk_Constraint,(ROW()-ROW(MSPTasks[[#Headers],[ID]]))))=0,"",INDEX(tsk_Constraint,(ROW()-ROW(MSPTasks[[#Headers],[ID]]))))))</f>
        <v/>
      </c>
      <c r="W179" s="130" t="str">
        <f aca="false">IF(IFERROR(INDEX(tsk_Name,(ROW()-ROW(MSPTasks[[#Headers],[ID]])))="",TRUE()),"",IF(N(INDEX(tsk_Deadline,(ROW()-ROW(MSPTasks[[#Headers],[ID]]))))=0,"",INDEX(tsk_Deadline,(ROW()-ROW(MSPTasks[[#Headers],[ID]])))))</f>
        <v/>
      </c>
      <c r="X179" s="24" t="str">
        <f aca="false">IF(IFERROR(INDEX(tsk_Name,(ROW()-ROW(MSPTasks[[#Headers],[ID]])))="",TRUE()),"",IF(INDEX(tsk_IsSummary,(ROW()-ROW(MSPTasks[[#Headers],[ID]]))),"",INDEX(tsk_Sprint,(ROW()-ROW(MSPTasks[[#Headers],[ID]])))&amp;""))</f>
        <v/>
      </c>
      <c r="Y179" s="24" t="str">
        <f aca="false">IF(IFERROR(INDEX(tsk_Name,(ROW()-ROW(MSPTasks[[#Headers],[ID]])))="",TRUE()),"",IF(INDEX(tsk_IsSummary,(ROW()-ROW(MSPTasks[[#Headers],[ID]]))),"",IF(N(INDEX(tsk_StoryPoints,(ROW()-ROW(MSPTasks[[#Headers],[ID]]))))=0,"",INDEX(tsk_StoryPoints,(ROW()-ROW(MSPTasks[[#Headers],[ID]]))))))</f>
        <v/>
      </c>
      <c r="Z179" s="24" t="str">
        <f aca="false">IF(IFERROR(INDEX(tsk_Name,(ROW()-ROW(MSPTasks[[#Headers],[ID]])))="",TRUE()),"",INDEX(tsk_Notes,(ROW()-ROW(MSPTasks[[#Headers],[ID]])))&amp;"")</f>
        <v/>
      </c>
    </row>
    <row r="180" customFormat="false" ht="15" hidden="false" customHeight="false" outlineLevel="0" collapsed="false">
      <c r="A180" s="24" t="str">
        <f aca="false">IF(IFERROR(INDEX(tsk_Name,(ROW()-ROW(MSPTasks[[#Headers],[ID]])))="",TRUE()),"",INDEX(tsk_ID,(ROW()-ROW(MSPTasks[[#Headers],[ID]]))))</f>
        <v/>
      </c>
      <c r="B180" s="24" t="str">
        <f aca="false">IF(IFERROR(INDEX(tsk_Name,(ROW()-ROW(MSPTasks[[#Headers],[ID]])))="",TRUE()),"",INDEX(tsk_UID,(ROW()-ROW(MSPTasks[[#Headers],[ID]]))))</f>
        <v/>
      </c>
      <c r="C180" s="24" t="str">
        <f aca="false">IF(IFERROR(INDEX(tsk_Name,(ROW()-ROW(MSPTasks[[#Headers],[ID]])))="",TRUE()),"",INDEX(tsk_Name,(ROW()-ROW(MSPTasks[[#Headers],[ID]]))))</f>
        <v/>
      </c>
      <c r="D180" s="24" t="str">
        <f aca="false">IF(IFERROR(INDEX(tsk_Name,(ROW()-ROW(MSPTasks[[#Headers],[ID]])))="",TRUE()),"",INDEX(tsk_Level,(ROW()-ROW(MSPTasks[[#Headers],[ID]]))))</f>
        <v/>
      </c>
      <c r="E180" s="24" t="str">
        <f aca="false">IF(IFERROR(INDEX(tsk_Name,(ROW()-ROW(MSPTasks[[#Headers],[ID]])))="",TRUE()),"",IF(INDEX(tsk_Mode,(ROW()-ROW(MSPTasks[[#Headers],[ID]])))="Manual","Manually Scheduled","Auto Scheduled"))</f>
        <v/>
      </c>
      <c r="F180" s="24" t="str">
        <f aca="false">IF(IFERROR(INDEX(tsk_Name,(ROW()-ROW(MSPTasks[[#Headers],[ID]])))="",TRUE()),"",IF(INDEX(tsk_IsSummary,(ROW()-ROW(MSPTasks[[#Headers],[ID]]))),"",N(INDEX(tsk_Duration,(ROW()-ROW(MSPTasks[[#Headers],[ID]]))))&amp;"d"))</f>
        <v/>
      </c>
      <c r="G180" s="130" t="str">
        <f aca="false">IF(IFERROR(INDEX(tsk_Name,(ROW()-ROW(MSPTasks[[#Headers],[ID]])))="",TRUE()),"",INDEX(tsk_FcStart,(ROW()-ROW(MSPTasks[[#Headers],[ID]]))))</f>
        <v/>
      </c>
      <c r="H180" s="130" t="str">
        <f aca="false">IF(IFERROR(INDEX(tsk_Name,(ROW()-ROW(MSPTasks[[#Headers],[ID]])))="",TRUE()),"",INDEX(tsk_FcFinish,(ROW()-ROW(MSPTasks[[#Headers],[ID]]))))</f>
        <v/>
      </c>
      <c r="I180" s="24" t="str">
        <f aca="false">IF(IFERROR(INDEX(tsk_Name,(ROW()-ROW(MSPTasks[[#Headers],[ID]])))="",TRUE()),"",IF(INDEX(tsk_IsSummary,(ROW()-ROW(MSPTasks[[#Headers],[ID]]))),"",INDEX(tsk_Predecessors,(ROW()-ROW(MSPTasks[[#Headers],[ID]])))))</f>
        <v/>
      </c>
      <c r="J180" s="24" t="str">
        <f aca="false">IF(IFERROR(INDEX(tsk_Name,(ROW()-ROW(MSPTasks[[#Headers],[ID]])))="",TRUE()),"",IF(INDEX(tsk_IsSummary,(ROW()-ROW(MSPTasks[[#Headers],[ID]]))),"",INDEX(tsk_UIDPredecessors,(ROW()-ROW(MSPTasks[[#Headers],[ID]])))))</f>
        <v/>
      </c>
      <c r="K1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0" s="24" t="str">
        <f aca="false">IF(IFERROR(INDEX(tsk_Name,(ROW()-ROW(MSPTasks[[#Headers],[ID]])))="",TRUE()),"",IF(INDEX(tsk_IsSummary,(ROW()-ROW(MSPTasks[[#Headers],[ID]]))),"",ROUND(INDEX(tsk_Progress,(ROW()-ROW(MSPTasks[[#Headers],[ID]])))*100,0)))</f>
        <v/>
      </c>
      <c r="M180" s="130" t="str">
        <f aca="false">IF(IFERROR(INDEX(tsk_Name,(ROW()-ROW(MSPTasks[[#Headers],[ID]])))="",TRUE()),"",IF(N(INDEX(tsk_ActStart,(ROW()-ROW(MSPTasks[[#Headers],[ID]]))))=0,"",INDEX(tsk_ActStart,(ROW()-ROW(MSPTasks[[#Headers],[ID]])))))</f>
        <v/>
      </c>
      <c r="N180" s="130" t="str">
        <f aca="false">IF(IFERROR(INDEX(tsk_Name,(ROW()-ROW(MSPTasks[[#Headers],[ID]])))="",TRUE()),"",IF(N(INDEX(tsk_ActFinish,(ROW()-ROW(MSPTasks[[#Headers],[ID]]))))=0,"",INDEX(tsk_ActFinish,(ROW()-ROW(MSPTasks[[#Headers],[ID]])))))</f>
        <v/>
      </c>
      <c r="O180" s="130" t="str">
        <f aca="false">IF(IFERROR(INDEX(tsk_Name,(ROW()-ROW(MSPTasks[[#Headers],[ID]])))="",TRUE()),"",INDEX(tsk_PlanStart,(ROW()-ROW(MSPTasks[[#Headers],[ID]]))))</f>
        <v/>
      </c>
      <c r="P180" s="130" t="str">
        <f aca="false">IF(IFERROR(INDEX(tsk_Name,(ROW()-ROW(MSPTasks[[#Headers],[ID]])))="",TRUE()),"",INDEX(tsk_PlanFinish,(ROW()-ROW(MSPTasks[[#Headers],[ID]]))))</f>
        <v/>
      </c>
      <c r="Q180" s="24" t="str">
        <f aca="false">IF(IFERROR(INDEX(tsk_Name,(ROW()-ROW(MSPTasks[[#Headers],[ID]])))="",TRUE()),"",IF(INDEX(tsk_BaseDuration,(ROW()-ROW(MSPTasks[[#Headers],[ID]])))="","",N(INDEX(tsk_BaseDuration,(ROW()-ROW(MSPTasks[[#Headers],[ID]]))))&amp;"d"))</f>
        <v/>
      </c>
      <c r="R180" s="24" t="str">
        <f aca="false">IF(IFERROR(INDEX(tsk_Name,(ROW()-ROW(MSPTasks[[#Headers],[ID]])))="",TRUE()),"",IF(INDEX(tsk_BaseWork,(ROW()-ROW(MSPTasks[[#Headers],[ID]])))="","",N(INDEX(tsk_BaseWork,(ROW()-ROW(MSPTasks[[#Headers],[ID]]))))&amp;"h"))</f>
        <v/>
      </c>
      <c r="S180" s="24" t="str">
        <f aca="false">IF(IFERROR(INDEX(tsk_Name,(ROW()-ROW(MSPTasks[[#Headers],[ID]])))="",TRUE()),"",IF(INDEX(tsk_BaseCost,(ROW()-ROW(MSPTasks[[#Headers],[ID]])))="","",N(INDEX(tsk_BaseCost,(ROW()-ROW(MSPTasks[[#Headers],[ID]]))))))</f>
        <v/>
      </c>
      <c r="T180" s="24" t="str">
        <f aca="false">IF(IFERROR(INDEX(tsk_Name,(ROW()-ROW(MSPTasks[[#Headers],[ID]])))="",TRUE()),"",IF(INDEX(tsk_IsSummary,(ROW()-ROW(MSPTasks[[#Headers],[ID]]))),"",IF(N(INDEX(tsk_ActCostInput,(ROW()-ROW(MSPTasks[[#Headers],[ID]]))))=0,"",INDEX(tsk_ActCostInput,(ROW()-ROW(MSPTasks[[#Headers],[ID]]))))))</f>
        <v/>
      </c>
      <c r="U180" s="24" t="str">
        <f aca="false">IF(IFERROR(INDEX(tsk_Name,(ROW()-ROW(MSPTasks[[#Headers],[ID]])))="",TRUE()),"",IF(INDEX(tsk_IsSummary,(ROW()-ROW(MSPTasks[[#Headers],[ID]]))),"",IF(AND(INDEX(tsk_Mode,(ROW()-ROW(MSPTasks[[#Headers],[ID]])))&lt;&gt;"Manual",N(INDEX(tsk_Constraint,(ROW()-ROW(MSPTasks[[#Headers],[ID]]))))&gt;0),"Start No Earlier Than","As Soon As Possible")))</f>
        <v/>
      </c>
      <c r="V180" s="130" t="str">
        <f aca="false">IF(IFERROR(INDEX(tsk_Name,(ROW()-ROW(MSPTasks[[#Headers],[ID]])))="",TRUE()),"",IF(OR(INDEX(tsk_IsSummary,(ROW()-ROW(MSPTasks[[#Headers],[ID]]))),INDEX(tsk_Mode,(ROW()-ROW(MSPTasks[[#Headers],[ID]])))="Manual"),"",IF(N(INDEX(tsk_Constraint,(ROW()-ROW(MSPTasks[[#Headers],[ID]]))))=0,"",INDEX(tsk_Constraint,(ROW()-ROW(MSPTasks[[#Headers],[ID]]))))))</f>
        <v/>
      </c>
      <c r="W180" s="130" t="str">
        <f aca="false">IF(IFERROR(INDEX(tsk_Name,(ROW()-ROW(MSPTasks[[#Headers],[ID]])))="",TRUE()),"",IF(N(INDEX(tsk_Deadline,(ROW()-ROW(MSPTasks[[#Headers],[ID]]))))=0,"",INDEX(tsk_Deadline,(ROW()-ROW(MSPTasks[[#Headers],[ID]])))))</f>
        <v/>
      </c>
      <c r="X180" s="24" t="str">
        <f aca="false">IF(IFERROR(INDEX(tsk_Name,(ROW()-ROW(MSPTasks[[#Headers],[ID]])))="",TRUE()),"",IF(INDEX(tsk_IsSummary,(ROW()-ROW(MSPTasks[[#Headers],[ID]]))),"",INDEX(tsk_Sprint,(ROW()-ROW(MSPTasks[[#Headers],[ID]])))&amp;""))</f>
        <v/>
      </c>
      <c r="Y180" s="24" t="str">
        <f aca="false">IF(IFERROR(INDEX(tsk_Name,(ROW()-ROW(MSPTasks[[#Headers],[ID]])))="",TRUE()),"",IF(INDEX(tsk_IsSummary,(ROW()-ROW(MSPTasks[[#Headers],[ID]]))),"",IF(N(INDEX(tsk_StoryPoints,(ROW()-ROW(MSPTasks[[#Headers],[ID]]))))=0,"",INDEX(tsk_StoryPoints,(ROW()-ROW(MSPTasks[[#Headers],[ID]]))))))</f>
        <v/>
      </c>
      <c r="Z180" s="24" t="str">
        <f aca="false">IF(IFERROR(INDEX(tsk_Name,(ROW()-ROW(MSPTasks[[#Headers],[ID]])))="",TRUE()),"",INDEX(tsk_Notes,(ROW()-ROW(MSPTasks[[#Headers],[ID]])))&amp;"")</f>
        <v/>
      </c>
    </row>
    <row r="181" customFormat="false" ht="15" hidden="false" customHeight="false" outlineLevel="0" collapsed="false">
      <c r="A181" s="24" t="str">
        <f aca="false">IF(IFERROR(INDEX(tsk_Name,(ROW()-ROW(MSPTasks[[#Headers],[ID]])))="",TRUE()),"",INDEX(tsk_ID,(ROW()-ROW(MSPTasks[[#Headers],[ID]]))))</f>
        <v/>
      </c>
      <c r="B181" s="24" t="str">
        <f aca="false">IF(IFERROR(INDEX(tsk_Name,(ROW()-ROW(MSPTasks[[#Headers],[ID]])))="",TRUE()),"",INDEX(tsk_UID,(ROW()-ROW(MSPTasks[[#Headers],[ID]]))))</f>
        <v/>
      </c>
      <c r="C181" s="24" t="str">
        <f aca="false">IF(IFERROR(INDEX(tsk_Name,(ROW()-ROW(MSPTasks[[#Headers],[ID]])))="",TRUE()),"",INDEX(tsk_Name,(ROW()-ROW(MSPTasks[[#Headers],[ID]]))))</f>
        <v/>
      </c>
      <c r="D181" s="24" t="str">
        <f aca="false">IF(IFERROR(INDEX(tsk_Name,(ROW()-ROW(MSPTasks[[#Headers],[ID]])))="",TRUE()),"",INDEX(tsk_Level,(ROW()-ROW(MSPTasks[[#Headers],[ID]]))))</f>
        <v/>
      </c>
      <c r="E181" s="24" t="str">
        <f aca="false">IF(IFERROR(INDEX(tsk_Name,(ROW()-ROW(MSPTasks[[#Headers],[ID]])))="",TRUE()),"",IF(INDEX(tsk_Mode,(ROW()-ROW(MSPTasks[[#Headers],[ID]])))="Manual","Manually Scheduled","Auto Scheduled"))</f>
        <v/>
      </c>
      <c r="F181" s="24" t="str">
        <f aca="false">IF(IFERROR(INDEX(tsk_Name,(ROW()-ROW(MSPTasks[[#Headers],[ID]])))="",TRUE()),"",IF(INDEX(tsk_IsSummary,(ROW()-ROW(MSPTasks[[#Headers],[ID]]))),"",N(INDEX(tsk_Duration,(ROW()-ROW(MSPTasks[[#Headers],[ID]]))))&amp;"d"))</f>
        <v/>
      </c>
      <c r="G181" s="130" t="str">
        <f aca="false">IF(IFERROR(INDEX(tsk_Name,(ROW()-ROW(MSPTasks[[#Headers],[ID]])))="",TRUE()),"",INDEX(tsk_FcStart,(ROW()-ROW(MSPTasks[[#Headers],[ID]]))))</f>
        <v/>
      </c>
      <c r="H181" s="130" t="str">
        <f aca="false">IF(IFERROR(INDEX(tsk_Name,(ROW()-ROW(MSPTasks[[#Headers],[ID]])))="",TRUE()),"",INDEX(tsk_FcFinish,(ROW()-ROW(MSPTasks[[#Headers],[ID]]))))</f>
        <v/>
      </c>
      <c r="I181" s="24" t="str">
        <f aca="false">IF(IFERROR(INDEX(tsk_Name,(ROW()-ROW(MSPTasks[[#Headers],[ID]])))="",TRUE()),"",IF(INDEX(tsk_IsSummary,(ROW()-ROW(MSPTasks[[#Headers],[ID]]))),"",INDEX(tsk_Predecessors,(ROW()-ROW(MSPTasks[[#Headers],[ID]])))))</f>
        <v/>
      </c>
      <c r="J181" s="24" t="str">
        <f aca="false">IF(IFERROR(INDEX(tsk_Name,(ROW()-ROW(MSPTasks[[#Headers],[ID]])))="",TRUE()),"",IF(INDEX(tsk_IsSummary,(ROW()-ROW(MSPTasks[[#Headers],[ID]]))),"",INDEX(tsk_UIDPredecessors,(ROW()-ROW(MSPTasks[[#Headers],[ID]])))))</f>
        <v/>
      </c>
      <c r="K1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1" s="24" t="str">
        <f aca="false">IF(IFERROR(INDEX(tsk_Name,(ROW()-ROW(MSPTasks[[#Headers],[ID]])))="",TRUE()),"",IF(INDEX(tsk_IsSummary,(ROW()-ROW(MSPTasks[[#Headers],[ID]]))),"",ROUND(INDEX(tsk_Progress,(ROW()-ROW(MSPTasks[[#Headers],[ID]])))*100,0)))</f>
        <v/>
      </c>
      <c r="M181" s="130" t="str">
        <f aca="false">IF(IFERROR(INDEX(tsk_Name,(ROW()-ROW(MSPTasks[[#Headers],[ID]])))="",TRUE()),"",IF(N(INDEX(tsk_ActStart,(ROW()-ROW(MSPTasks[[#Headers],[ID]]))))=0,"",INDEX(tsk_ActStart,(ROW()-ROW(MSPTasks[[#Headers],[ID]])))))</f>
        <v/>
      </c>
      <c r="N181" s="130" t="str">
        <f aca="false">IF(IFERROR(INDEX(tsk_Name,(ROW()-ROW(MSPTasks[[#Headers],[ID]])))="",TRUE()),"",IF(N(INDEX(tsk_ActFinish,(ROW()-ROW(MSPTasks[[#Headers],[ID]]))))=0,"",INDEX(tsk_ActFinish,(ROW()-ROW(MSPTasks[[#Headers],[ID]])))))</f>
        <v/>
      </c>
      <c r="O181" s="130" t="str">
        <f aca="false">IF(IFERROR(INDEX(tsk_Name,(ROW()-ROW(MSPTasks[[#Headers],[ID]])))="",TRUE()),"",INDEX(tsk_PlanStart,(ROW()-ROW(MSPTasks[[#Headers],[ID]]))))</f>
        <v/>
      </c>
      <c r="P181" s="130" t="str">
        <f aca="false">IF(IFERROR(INDEX(tsk_Name,(ROW()-ROW(MSPTasks[[#Headers],[ID]])))="",TRUE()),"",INDEX(tsk_PlanFinish,(ROW()-ROW(MSPTasks[[#Headers],[ID]]))))</f>
        <v/>
      </c>
      <c r="Q181" s="24" t="str">
        <f aca="false">IF(IFERROR(INDEX(tsk_Name,(ROW()-ROW(MSPTasks[[#Headers],[ID]])))="",TRUE()),"",IF(INDEX(tsk_BaseDuration,(ROW()-ROW(MSPTasks[[#Headers],[ID]])))="","",N(INDEX(tsk_BaseDuration,(ROW()-ROW(MSPTasks[[#Headers],[ID]]))))&amp;"d"))</f>
        <v/>
      </c>
      <c r="R181" s="24" t="str">
        <f aca="false">IF(IFERROR(INDEX(tsk_Name,(ROW()-ROW(MSPTasks[[#Headers],[ID]])))="",TRUE()),"",IF(INDEX(tsk_BaseWork,(ROW()-ROW(MSPTasks[[#Headers],[ID]])))="","",N(INDEX(tsk_BaseWork,(ROW()-ROW(MSPTasks[[#Headers],[ID]]))))&amp;"h"))</f>
        <v/>
      </c>
      <c r="S181" s="24" t="str">
        <f aca="false">IF(IFERROR(INDEX(tsk_Name,(ROW()-ROW(MSPTasks[[#Headers],[ID]])))="",TRUE()),"",IF(INDEX(tsk_BaseCost,(ROW()-ROW(MSPTasks[[#Headers],[ID]])))="","",N(INDEX(tsk_BaseCost,(ROW()-ROW(MSPTasks[[#Headers],[ID]]))))))</f>
        <v/>
      </c>
      <c r="T181" s="24" t="str">
        <f aca="false">IF(IFERROR(INDEX(tsk_Name,(ROW()-ROW(MSPTasks[[#Headers],[ID]])))="",TRUE()),"",IF(INDEX(tsk_IsSummary,(ROW()-ROW(MSPTasks[[#Headers],[ID]]))),"",IF(N(INDEX(tsk_ActCostInput,(ROW()-ROW(MSPTasks[[#Headers],[ID]]))))=0,"",INDEX(tsk_ActCostInput,(ROW()-ROW(MSPTasks[[#Headers],[ID]]))))))</f>
        <v/>
      </c>
      <c r="U181" s="24" t="str">
        <f aca="false">IF(IFERROR(INDEX(tsk_Name,(ROW()-ROW(MSPTasks[[#Headers],[ID]])))="",TRUE()),"",IF(INDEX(tsk_IsSummary,(ROW()-ROW(MSPTasks[[#Headers],[ID]]))),"",IF(AND(INDEX(tsk_Mode,(ROW()-ROW(MSPTasks[[#Headers],[ID]])))&lt;&gt;"Manual",N(INDEX(tsk_Constraint,(ROW()-ROW(MSPTasks[[#Headers],[ID]]))))&gt;0),"Start No Earlier Than","As Soon As Possible")))</f>
        <v/>
      </c>
      <c r="V181" s="130" t="str">
        <f aca="false">IF(IFERROR(INDEX(tsk_Name,(ROW()-ROW(MSPTasks[[#Headers],[ID]])))="",TRUE()),"",IF(OR(INDEX(tsk_IsSummary,(ROW()-ROW(MSPTasks[[#Headers],[ID]]))),INDEX(tsk_Mode,(ROW()-ROW(MSPTasks[[#Headers],[ID]])))="Manual"),"",IF(N(INDEX(tsk_Constraint,(ROW()-ROW(MSPTasks[[#Headers],[ID]]))))=0,"",INDEX(tsk_Constraint,(ROW()-ROW(MSPTasks[[#Headers],[ID]]))))))</f>
        <v/>
      </c>
      <c r="W181" s="130" t="str">
        <f aca="false">IF(IFERROR(INDEX(tsk_Name,(ROW()-ROW(MSPTasks[[#Headers],[ID]])))="",TRUE()),"",IF(N(INDEX(tsk_Deadline,(ROW()-ROW(MSPTasks[[#Headers],[ID]]))))=0,"",INDEX(tsk_Deadline,(ROW()-ROW(MSPTasks[[#Headers],[ID]])))))</f>
        <v/>
      </c>
      <c r="X181" s="24" t="str">
        <f aca="false">IF(IFERROR(INDEX(tsk_Name,(ROW()-ROW(MSPTasks[[#Headers],[ID]])))="",TRUE()),"",IF(INDEX(tsk_IsSummary,(ROW()-ROW(MSPTasks[[#Headers],[ID]]))),"",INDEX(tsk_Sprint,(ROW()-ROW(MSPTasks[[#Headers],[ID]])))&amp;""))</f>
        <v/>
      </c>
      <c r="Y181" s="24" t="str">
        <f aca="false">IF(IFERROR(INDEX(tsk_Name,(ROW()-ROW(MSPTasks[[#Headers],[ID]])))="",TRUE()),"",IF(INDEX(tsk_IsSummary,(ROW()-ROW(MSPTasks[[#Headers],[ID]]))),"",IF(N(INDEX(tsk_StoryPoints,(ROW()-ROW(MSPTasks[[#Headers],[ID]]))))=0,"",INDEX(tsk_StoryPoints,(ROW()-ROW(MSPTasks[[#Headers],[ID]]))))))</f>
        <v/>
      </c>
      <c r="Z181" s="24" t="str">
        <f aca="false">IF(IFERROR(INDEX(tsk_Name,(ROW()-ROW(MSPTasks[[#Headers],[ID]])))="",TRUE()),"",INDEX(tsk_Notes,(ROW()-ROW(MSPTasks[[#Headers],[ID]])))&amp;"")</f>
        <v/>
      </c>
    </row>
    <row r="182" customFormat="false" ht="15" hidden="false" customHeight="false" outlineLevel="0" collapsed="false">
      <c r="A182" s="24" t="str">
        <f aca="false">IF(IFERROR(INDEX(tsk_Name,(ROW()-ROW(MSPTasks[[#Headers],[ID]])))="",TRUE()),"",INDEX(tsk_ID,(ROW()-ROW(MSPTasks[[#Headers],[ID]]))))</f>
        <v/>
      </c>
      <c r="B182" s="24" t="str">
        <f aca="false">IF(IFERROR(INDEX(tsk_Name,(ROW()-ROW(MSPTasks[[#Headers],[ID]])))="",TRUE()),"",INDEX(tsk_UID,(ROW()-ROW(MSPTasks[[#Headers],[ID]]))))</f>
        <v/>
      </c>
      <c r="C182" s="24" t="str">
        <f aca="false">IF(IFERROR(INDEX(tsk_Name,(ROW()-ROW(MSPTasks[[#Headers],[ID]])))="",TRUE()),"",INDEX(tsk_Name,(ROW()-ROW(MSPTasks[[#Headers],[ID]]))))</f>
        <v/>
      </c>
      <c r="D182" s="24" t="str">
        <f aca="false">IF(IFERROR(INDEX(tsk_Name,(ROW()-ROW(MSPTasks[[#Headers],[ID]])))="",TRUE()),"",INDEX(tsk_Level,(ROW()-ROW(MSPTasks[[#Headers],[ID]]))))</f>
        <v/>
      </c>
      <c r="E182" s="24" t="str">
        <f aca="false">IF(IFERROR(INDEX(tsk_Name,(ROW()-ROW(MSPTasks[[#Headers],[ID]])))="",TRUE()),"",IF(INDEX(tsk_Mode,(ROW()-ROW(MSPTasks[[#Headers],[ID]])))="Manual","Manually Scheduled","Auto Scheduled"))</f>
        <v/>
      </c>
      <c r="F182" s="24" t="str">
        <f aca="false">IF(IFERROR(INDEX(tsk_Name,(ROW()-ROW(MSPTasks[[#Headers],[ID]])))="",TRUE()),"",IF(INDEX(tsk_IsSummary,(ROW()-ROW(MSPTasks[[#Headers],[ID]]))),"",N(INDEX(tsk_Duration,(ROW()-ROW(MSPTasks[[#Headers],[ID]]))))&amp;"d"))</f>
        <v/>
      </c>
      <c r="G182" s="130" t="str">
        <f aca="false">IF(IFERROR(INDEX(tsk_Name,(ROW()-ROW(MSPTasks[[#Headers],[ID]])))="",TRUE()),"",INDEX(tsk_FcStart,(ROW()-ROW(MSPTasks[[#Headers],[ID]]))))</f>
        <v/>
      </c>
      <c r="H182" s="130" t="str">
        <f aca="false">IF(IFERROR(INDEX(tsk_Name,(ROW()-ROW(MSPTasks[[#Headers],[ID]])))="",TRUE()),"",INDEX(tsk_FcFinish,(ROW()-ROW(MSPTasks[[#Headers],[ID]]))))</f>
        <v/>
      </c>
      <c r="I182" s="24" t="str">
        <f aca="false">IF(IFERROR(INDEX(tsk_Name,(ROW()-ROW(MSPTasks[[#Headers],[ID]])))="",TRUE()),"",IF(INDEX(tsk_IsSummary,(ROW()-ROW(MSPTasks[[#Headers],[ID]]))),"",INDEX(tsk_Predecessors,(ROW()-ROW(MSPTasks[[#Headers],[ID]])))))</f>
        <v/>
      </c>
      <c r="J182" s="24" t="str">
        <f aca="false">IF(IFERROR(INDEX(tsk_Name,(ROW()-ROW(MSPTasks[[#Headers],[ID]])))="",TRUE()),"",IF(INDEX(tsk_IsSummary,(ROW()-ROW(MSPTasks[[#Headers],[ID]]))),"",INDEX(tsk_UIDPredecessors,(ROW()-ROW(MSPTasks[[#Headers],[ID]])))))</f>
        <v/>
      </c>
      <c r="K1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2" s="24" t="str">
        <f aca="false">IF(IFERROR(INDEX(tsk_Name,(ROW()-ROW(MSPTasks[[#Headers],[ID]])))="",TRUE()),"",IF(INDEX(tsk_IsSummary,(ROW()-ROW(MSPTasks[[#Headers],[ID]]))),"",ROUND(INDEX(tsk_Progress,(ROW()-ROW(MSPTasks[[#Headers],[ID]])))*100,0)))</f>
        <v/>
      </c>
      <c r="M182" s="130" t="str">
        <f aca="false">IF(IFERROR(INDEX(tsk_Name,(ROW()-ROW(MSPTasks[[#Headers],[ID]])))="",TRUE()),"",IF(N(INDEX(tsk_ActStart,(ROW()-ROW(MSPTasks[[#Headers],[ID]]))))=0,"",INDEX(tsk_ActStart,(ROW()-ROW(MSPTasks[[#Headers],[ID]])))))</f>
        <v/>
      </c>
      <c r="N182" s="130" t="str">
        <f aca="false">IF(IFERROR(INDEX(tsk_Name,(ROW()-ROW(MSPTasks[[#Headers],[ID]])))="",TRUE()),"",IF(N(INDEX(tsk_ActFinish,(ROW()-ROW(MSPTasks[[#Headers],[ID]]))))=0,"",INDEX(tsk_ActFinish,(ROW()-ROW(MSPTasks[[#Headers],[ID]])))))</f>
        <v/>
      </c>
      <c r="O182" s="130" t="str">
        <f aca="false">IF(IFERROR(INDEX(tsk_Name,(ROW()-ROW(MSPTasks[[#Headers],[ID]])))="",TRUE()),"",INDEX(tsk_PlanStart,(ROW()-ROW(MSPTasks[[#Headers],[ID]]))))</f>
        <v/>
      </c>
      <c r="P182" s="130" t="str">
        <f aca="false">IF(IFERROR(INDEX(tsk_Name,(ROW()-ROW(MSPTasks[[#Headers],[ID]])))="",TRUE()),"",INDEX(tsk_PlanFinish,(ROW()-ROW(MSPTasks[[#Headers],[ID]]))))</f>
        <v/>
      </c>
      <c r="Q182" s="24" t="str">
        <f aca="false">IF(IFERROR(INDEX(tsk_Name,(ROW()-ROW(MSPTasks[[#Headers],[ID]])))="",TRUE()),"",IF(INDEX(tsk_BaseDuration,(ROW()-ROW(MSPTasks[[#Headers],[ID]])))="","",N(INDEX(tsk_BaseDuration,(ROW()-ROW(MSPTasks[[#Headers],[ID]]))))&amp;"d"))</f>
        <v/>
      </c>
      <c r="R182" s="24" t="str">
        <f aca="false">IF(IFERROR(INDEX(tsk_Name,(ROW()-ROW(MSPTasks[[#Headers],[ID]])))="",TRUE()),"",IF(INDEX(tsk_BaseWork,(ROW()-ROW(MSPTasks[[#Headers],[ID]])))="","",N(INDEX(tsk_BaseWork,(ROW()-ROW(MSPTasks[[#Headers],[ID]]))))&amp;"h"))</f>
        <v/>
      </c>
      <c r="S182" s="24" t="str">
        <f aca="false">IF(IFERROR(INDEX(tsk_Name,(ROW()-ROW(MSPTasks[[#Headers],[ID]])))="",TRUE()),"",IF(INDEX(tsk_BaseCost,(ROW()-ROW(MSPTasks[[#Headers],[ID]])))="","",N(INDEX(tsk_BaseCost,(ROW()-ROW(MSPTasks[[#Headers],[ID]]))))))</f>
        <v/>
      </c>
      <c r="T182" s="24" t="str">
        <f aca="false">IF(IFERROR(INDEX(tsk_Name,(ROW()-ROW(MSPTasks[[#Headers],[ID]])))="",TRUE()),"",IF(INDEX(tsk_IsSummary,(ROW()-ROW(MSPTasks[[#Headers],[ID]]))),"",IF(N(INDEX(tsk_ActCostInput,(ROW()-ROW(MSPTasks[[#Headers],[ID]]))))=0,"",INDEX(tsk_ActCostInput,(ROW()-ROW(MSPTasks[[#Headers],[ID]]))))))</f>
        <v/>
      </c>
      <c r="U182" s="24" t="str">
        <f aca="false">IF(IFERROR(INDEX(tsk_Name,(ROW()-ROW(MSPTasks[[#Headers],[ID]])))="",TRUE()),"",IF(INDEX(tsk_IsSummary,(ROW()-ROW(MSPTasks[[#Headers],[ID]]))),"",IF(AND(INDEX(tsk_Mode,(ROW()-ROW(MSPTasks[[#Headers],[ID]])))&lt;&gt;"Manual",N(INDEX(tsk_Constraint,(ROW()-ROW(MSPTasks[[#Headers],[ID]]))))&gt;0),"Start No Earlier Than","As Soon As Possible")))</f>
        <v/>
      </c>
      <c r="V182" s="130" t="str">
        <f aca="false">IF(IFERROR(INDEX(tsk_Name,(ROW()-ROW(MSPTasks[[#Headers],[ID]])))="",TRUE()),"",IF(OR(INDEX(tsk_IsSummary,(ROW()-ROW(MSPTasks[[#Headers],[ID]]))),INDEX(tsk_Mode,(ROW()-ROW(MSPTasks[[#Headers],[ID]])))="Manual"),"",IF(N(INDEX(tsk_Constraint,(ROW()-ROW(MSPTasks[[#Headers],[ID]]))))=0,"",INDEX(tsk_Constraint,(ROW()-ROW(MSPTasks[[#Headers],[ID]]))))))</f>
        <v/>
      </c>
      <c r="W182" s="130" t="str">
        <f aca="false">IF(IFERROR(INDEX(tsk_Name,(ROW()-ROW(MSPTasks[[#Headers],[ID]])))="",TRUE()),"",IF(N(INDEX(tsk_Deadline,(ROW()-ROW(MSPTasks[[#Headers],[ID]]))))=0,"",INDEX(tsk_Deadline,(ROW()-ROW(MSPTasks[[#Headers],[ID]])))))</f>
        <v/>
      </c>
      <c r="X182" s="24" t="str">
        <f aca="false">IF(IFERROR(INDEX(tsk_Name,(ROW()-ROW(MSPTasks[[#Headers],[ID]])))="",TRUE()),"",IF(INDEX(tsk_IsSummary,(ROW()-ROW(MSPTasks[[#Headers],[ID]]))),"",INDEX(tsk_Sprint,(ROW()-ROW(MSPTasks[[#Headers],[ID]])))&amp;""))</f>
        <v/>
      </c>
      <c r="Y182" s="24" t="str">
        <f aca="false">IF(IFERROR(INDEX(tsk_Name,(ROW()-ROW(MSPTasks[[#Headers],[ID]])))="",TRUE()),"",IF(INDEX(tsk_IsSummary,(ROW()-ROW(MSPTasks[[#Headers],[ID]]))),"",IF(N(INDEX(tsk_StoryPoints,(ROW()-ROW(MSPTasks[[#Headers],[ID]]))))=0,"",INDEX(tsk_StoryPoints,(ROW()-ROW(MSPTasks[[#Headers],[ID]]))))))</f>
        <v/>
      </c>
      <c r="Z182" s="24" t="str">
        <f aca="false">IF(IFERROR(INDEX(tsk_Name,(ROW()-ROW(MSPTasks[[#Headers],[ID]])))="",TRUE()),"",INDEX(tsk_Notes,(ROW()-ROW(MSPTasks[[#Headers],[ID]])))&amp;"")</f>
        <v/>
      </c>
    </row>
    <row r="183" customFormat="false" ht="15" hidden="false" customHeight="false" outlineLevel="0" collapsed="false">
      <c r="A183" s="24" t="str">
        <f aca="false">IF(IFERROR(INDEX(tsk_Name,(ROW()-ROW(MSPTasks[[#Headers],[ID]])))="",TRUE()),"",INDEX(tsk_ID,(ROW()-ROW(MSPTasks[[#Headers],[ID]]))))</f>
        <v/>
      </c>
      <c r="B183" s="24" t="str">
        <f aca="false">IF(IFERROR(INDEX(tsk_Name,(ROW()-ROW(MSPTasks[[#Headers],[ID]])))="",TRUE()),"",INDEX(tsk_UID,(ROW()-ROW(MSPTasks[[#Headers],[ID]]))))</f>
        <v/>
      </c>
      <c r="C183" s="24" t="str">
        <f aca="false">IF(IFERROR(INDEX(tsk_Name,(ROW()-ROW(MSPTasks[[#Headers],[ID]])))="",TRUE()),"",INDEX(tsk_Name,(ROW()-ROW(MSPTasks[[#Headers],[ID]]))))</f>
        <v/>
      </c>
      <c r="D183" s="24" t="str">
        <f aca="false">IF(IFERROR(INDEX(tsk_Name,(ROW()-ROW(MSPTasks[[#Headers],[ID]])))="",TRUE()),"",INDEX(tsk_Level,(ROW()-ROW(MSPTasks[[#Headers],[ID]]))))</f>
        <v/>
      </c>
      <c r="E183" s="24" t="str">
        <f aca="false">IF(IFERROR(INDEX(tsk_Name,(ROW()-ROW(MSPTasks[[#Headers],[ID]])))="",TRUE()),"",IF(INDEX(tsk_Mode,(ROW()-ROW(MSPTasks[[#Headers],[ID]])))="Manual","Manually Scheduled","Auto Scheduled"))</f>
        <v/>
      </c>
      <c r="F183" s="24" t="str">
        <f aca="false">IF(IFERROR(INDEX(tsk_Name,(ROW()-ROW(MSPTasks[[#Headers],[ID]])))="",TRUE()),"",IF(INDEX(tsk_IsSummary,(ROW()-ROW(MSPTasks[[#Headers],[ID]]))),"",N(INDEX(tsk_Duration,(ROW()-ROW(MSPTasks[[#Headers],[ID]]))))&amp;"d"))</f>
        <v/>
      </c>
      <c r="G183" s="130" t="str">
        <f aca="false">IF(IFERROR(INDEX(tsk_Name,(ROW()-ROW(MSPTasks[[#Headers],[ID]])))="",TRUE()),"",INDEX(tsk_FcStart,(ROW()-ROW(MSPTasks[[#Headers],[ID]]))))</f>
        <v/>
      </c>
      <c r="H183" s="130" t="str">
        <f aca="false">IF(IFERROR(INDEX(tsk_Name,(ROW()-ROW(MSPTasks[[#Headers],[ID]])))="",TRUE()),"",INDEX(tsk_FcFinish,(ROW()-ROW(MSPTasks[[#Headers],[ID]]))))</f>
        <v/>
      </c>
      <c r="I183" s="24" t="str">
        <f aca="false">IF(IFERROR(INDEX(tsk_Name,(ROW()-ROW(MSPTasks[[#Headers],[ID]])))="",TRUE()),"",IF(INDEX(tsk_IsSummary,(ROW()-ROW(MSPTasks[[#Headers],[ID]]))),"",INDEX(tsk_Predecessors,(ROW()-ROW(MSPTasks[[#Headers],[ID]])))))</f>
        <v/>
      </c>
      <c r="J183" s="24" t="str">
        <f aca="false">IF(IFERROR(INDEX(tsk_Name,(ROW()-ROW(MSPTasks[[#Headers],[ID]])))="",TRUE()),"",IF(INDEX(tsk_IsSummary,(ROW()-ROW(MSPTasks[[#Headers],[ID]]))),"",INDEX(tsk_UIDPredecessors,(ROW()-ROW(MSPTasks[[#Headers],[ID]])))))</f>
        <v/>
      </c>
      <c r="K1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3" s="24" t="str">
        <f aca="false">IF(IFERROR(INDEX(tsk_Name,(ROW()-ROW(MSPTasks[[#Headers],[ID]])))="",TRUE()),"",IF(INDEX(tsk_IsSummary,(ROW()-ROW(MSPTasks[[#Headers],[ID]]))),"",ROUND(INDEX(tsk_Progress,(ROW()-ROW(MSPTasks[[#Headers],[ID]])))*100,0)))</f>
        <v/>
      </c>
      <c r="M183" s="130" t="str">
        <f aca="false">IF(IFERROR(INDEX(tsk_Name,(ROW()-ROW(MSPTasks[[#Headers],[ID]])))="",TRUE()),"",IF(N(INDEX(tsk_ActStart,(ROW()-ROW(MSPTasks[[#Headers],[ID]]))))=0,"",INDEX(tsk_ActStart,(ROW()-ROW(MSPTasks[[#Headers],[ID]])))))</f>
        <v/>
      </c>
      <c r="N183" s="130" t="str">
        <f aca="false">IF(IFERROR(INDEX(tsk_Name,(ROW()-ROW(MSPTasks[[#Headers],[ID]])))="",TRUE()),"",IF(N(INDEX(tsk_ActFinish,(ROW()-ROW(MSPTasks[[#Headers],[ID]]))))=0,"",INDEX(tsk_ActFinish,(ROW()-ROW(MSPTasks[[#Headers],[ID]])))))</f>
        <v/>
      </c>
      <c r="O183" s="130" t="str">
        <f aca="false">IF(IFERROR(INDEX(tsk_Name,(ROW()-ROW(MSPTasks[[#Headers],[ID]])))="",TRUE()),"",INDEX(tsk_PlanStart,(ROW()-ROW(MSPTasks[[#Headers],[ID]]))))</f>
        <v/>
      </c>
      <c r="P183" s="130" t="str">
        <f aca="false">IF(IFERROR(INDEX(tsk_Name,(ROW()-ROW(MSPTasks[[#Headers],[ID]])))="",TRUE()),"",INDEX(tsk_PlanFinish,(ROW()-ROW(MSPTasks[[#Headers],[ID]]))))</f>
        <v/>
      </c>
      <c r="Q183" s="24" t="str">
        <f aca="false">IF(IFERROR(INDEX(tsk_Name,(ROW()-ROW(MSPTasks[[#Headers],[ID]])))="",TRUE()),"",IF(INDEX(tsk_BaseDuration,(ROW()-ROW(MSPTasks[[#Headers],[ID]])))="","",N(INDEX(tsk_BaseDuration,(ROW()-ROW(MSPTasks[[#Headers],[ID]]))))&amp;"d"))</f>
        <v/>
      </c>
      <c r="R183" s="24" t="str">
        <f aca="false">IF(IFERROR(INDEX(tsk_Name,(ROW()-ROW(MSPTasks[[#Headers],[ID]])))="",TRUE()),"",IF(INDEX(tsk_BaseWork,(ROW()-ROW(MSPTasks[[#Headers],[ID]])))="","",N(INDEX(tsk_BaseWork,(ROW()-ROW(MSPTasks[[#Headers],[ID]]))))&amp;"h"))</f>
        <v/>
      </c>
      <c r="S183" s="24" t="str">
        <f aca="false">IF(IFERROR(INDEX(tsk_Name,(ROW()-ROW(MSPTasks[[#Headers],[ID]])))="",TRUE()),"",IF(INDEX(tsk_BaseCost,(ROW()-ROW(MSPTasks[[#Headers],[ID]])))="","",N(INDEX(tsk_BaseCost,(ROW()-ROW(MSPTasks[[#Headers],[ID]]))))))</f>
        <v/>
      </c>
      <c r="T183" s="24" t="str">
        <f aca="false">IF(IFERROR(INDEX(tsk_Name,(ROW()-ROW(MSPTasks[[#Headers],[ID]])))="",TRUE()),"",IF(INDEX(tsk_IsSummary,(ROW()-ROW(MSPTasks[[#Headers],[ID]]))),"",IF(N(INDEX(tsk_ActCostInput,(ROW()-ROW(MSPTasks[[#Headers],[ID]]))))=0,"",INDEX(tsk_ActCostInput,(ROW()-ROW(MSPTasks[[#Headers],[ID]]))))))</f>
        <v/>
      </c>
      <c r="U183" s="24" t="str">
        <f aca="false">IF(IFERROR(INDEX(tsk_Name,(ROW()-ROW(MSPTasks[[#Headers],[ID]])))="",TRUE()),"",IF(INDEX(tsk_IsSummary,(ROW()-ROW(MSPTasks[[#Headers],[ID]]))),"",IF(AND(INDEX(tsk_Mode,(ROW()-ROW(MSPTasks[[#Headers],[ID]])))&lt;&gt;"Manual",N(INDEX(tsk_Constraint,(ROW()-ROW(MSPTasks[[#Headers],[ID]]))))&gt;0),"Start No Earlier Than","As Soon As Possible")))</f>
        <v/>
      </c>
      <c r="V183" s="130" t="str">
        <f aca="false">IF(IFERROR(INDEX(tsk_Name,(ROW()-ROW(MSPTasks[[#Headers],[ID]])))="",TRUE()),"",IF(OR(INDEX(tsk_IsSummary,(ROW()-ROW(MSPTasks[[#Headers],[ID]]))),INDEX(tsk_Mode,(ROW()-ROW(MSPTasks[[#Headers],[ID]])))="Manual"),"",IF(N(INDEX(tsk_Constraint,(ROW()-ROW(MSPTasks[[#Headers],[ID]]))))=0,"",INDEX(tsk_Constraint,(ROW()-ROW(MSPTasks[[#Headers],[ID]]))))))</f>
        <v/>
      </c>
      <c r="W183" s="130" t="str">
        <f aca="false">IF(IFERROR(INDEX(tsk_Name,(ROW()-ROW(MSPTasks[[#Headers],[ID]])))="",TRUE()),"",IF(N(INDEX(tsk_Deadline,(ROW()-ROW(MSPTasks[[#Headers],[ID]]))))=0,"",INDEX(tsk_Deadline,(ROW()-ROW(MSPTasks[[#Headers],[ID]])))))</f>
        <v/>
      </c>
      <c r="X183" s="24" t="str">
        <f aca="false">IF(IFERROR(INDEX(tsk_Name,(ROW()-ROW(MSPTasks[[#Headers],[ID]])))="",TRUE()),"",IF(INDEX(tsk_IsSummary,(ROW()-ROW(MSPTasks[[#Headers],[ID]]))),"",INDEX(tsk_Sprint,(ROW()-ROW(MSPTasks[[#Headers],[ID]])))&amp;""))</f>
        <v/>
      </c>
      <c r="Y183" s="24" t="str">
        <f aca="false">IF(IFERROR(INDEX(tsk_Name,(ROW()-ROW(MSPTasks[[#Headers],[ID]])))="",TRUE()),"",IF(INDEX(tsk_IsSummary,(ROW()-ROW(MSPTasks[[#Headers],[ID]]))),"",IF(N(INDEX(tsk_StoryPoints,(ROW()-ROW(MSPTasks[[#Headers],[ID]]))))=0,"",INDEX(tsk_StoryPoints,(ROW()-ROW(MSPTasks[[#Headers],[ID]]))))))</f>
        <v/>
      </c>
      <c r="Z183" s="24" t="str">
        <f aca="false">IF(IFERROR(INDEX(tsk_Name,(ROW()-ROW(MSPTasks[[#Headers],[ID]])))="",TRUE()),"",INDEX(tsk_Notes,(ROW()-ROW(MSPTasks[[#Headers],[ID]])))&amp;"")</f>
        <v/>
      </c>
    </row>
    <row r="184" customFormat="false" ht="15" hidden="false" customHeight="false" outlineLevel="0" collapsed="false">
      <c r="A184" s="24" t="str">
        <f aca="false">IF(IFERROR(INDEX(tsk_Name,(ROW()-ROW(MSPTasks[[#Headers],[ID]])))="",TRUE()),"",INDEX(tsk_ID,(ROW()-ROW(MSPTasks[[#Headers],[ID]]))))</f>
        <v/>
      </c>
      <c r="B184" s="24" t="str">
        <f aca="false">IF(IFERROR(INDEX(tsk_Name,(ROW()-ROW(MSPTasks[[#Headers],[ID]])))="",TRUE()),"",INDEX(tsk_UID,(ROW()-ROW(MSPTasks[[#Headers],[ID]]))))</f>
        <v/>
      </c>
      <c r="C184" s="24" t="str">
        <f aca="false">IF(IFERROR(INDEX(tsk_Name,(ROW()-ROW(MSPTasks[[#Headers],[ID]])))="",TRUE()),"",INDEX(tsk_Name,(ROW()-ROW(MSPTasks[[#Headers],[ID]]))))</f>
        <v/>
      </c>
      <c r="D184" s="24" t="str">
        <f aca="false">IF(IFERROR(INDEX(tsk_Name,(ROW()-ROW(MSPTasks[[#Headers],[ID]])))="",TRUE()),"",INDEX(tsk_Level,(ROW()-ROW(MSPTasks[[#Headers],[ID]]))))</f>
        <v/>
      </c>
      <c r="E184" s="24" t="str">
        <f aca="false">IF(IFERROR(INDEX(tsk_Name,(ROW()-ROW(MSPTasks[[#Headers],[ID]])))="",TRUE()),"",IF(INDEX(tsk_Mode,(ROW()-ROW(MSPTasks[[#Headers],[ID]])))="Manual","Manually Scheduled","Auto Scheduled"))</f>
        <v/>
      </c>
      <c r="F184" s="24" t="str">
        <f aca="false">IF(IFERROR(INDEX(tsk_Name,(ROW()-ROW(MSPTasks[[#Headers],[ID]])))="",TRUE()),"",IF(INDEX(tsk_IsSummary,(ROW()-ROW(MSPTasks[[#Headers],[ID]]))),"",N(INDEX(tsk_Duration,(ROW()-ROW(MSPTasks[[#Headers],[ID]]))))&amp;"d"))</f>
        <v/>
      </c>
      <c r="G184" s="130" t="str">
        <f aca="false">IF(IFERROR(INDEX(tsk_Name,(ROW()-ROW(MSPTasks[[#Headers],[ID]])))="",TRUE()),"",INDEX(tsk_FcStart,(ROW()-ROW(MSPTasks[[#Headers],[ID]]))))</f>
        <v/>
      </c>
      <c r="H184" s="130" t="str">
        <f aca="false">IF(IFERROR(INDEX(tsk_Name,(ROW()-ROW(MSPTasks[[#Headers],[ID]])))="",TRUE()),"",INDEX(tsk_FcFinish,(ROW()-ROW(MSPTasks[[#Headers],[ID]]))))</f>
        <v/>
      </c>
      <c r="I184" s="24" t="str">
        <f aca="false">IF(IFERROR(INDEX(tsk_Name,(ROW()-ROW(MSPTasks[[#Headers],[ID]])))="",TRUE()),"",IF(INDEX(tsk_IsSummary,(ROW()-ROW(MSPTasks[[#Headers],[ID]]))),"",INDEX(tsk_Predecessors,(ROW()-ROW(MSPTasks[[#Headers],[ID]])))))</f>
        <v/>
      </c>
      <c r="J184" s="24" t="str">
        <f aca="false">IF(IFERROR(INDEX(tsk_Name,(ROW()-ROW(MSPTasks[[#Headers],[ID]])))="",TRUE()),"",IF(INDEX(tsk_IsSummary,(ROW()-ROW(MSPTasks[[#Headers],[ID]]))),"",INDEX(tsk_UIDPredecessors,(ROW()-ROW(MSPTasks[[#Headers],[ID]])))))</f>
        <v/>
      </c>
      <c r="K1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4" s="24" t="str">
        <f aca="false">IF(IFERROR(INDEX(tsk_Name,(ROW()-ROW(MSPTasks[[#Headers],[ID]])))="",TRUE()),"",IF(INDEX(tsk_IsSummary,(ROW()-ROW(MSPTasks[[#Headers],[ID]]))),"",ROUND(INDEX(tsk_Progress,(ROW()-ROW(MSPTasks[[#Headers],[ID]])))*100,0)))</f>
        <v/>
      </c>
      <c r="M184" s="130" t="str">
        <f aca="false">IF(IFERROR(INDEX(tsk_Name,(ROW()-ROW(MSPTasks[[#Headers],[ID]])))="",TRUE()),"",IF(N(INDEX(tsk_ActStart,(ROW()-ROW(MSPTasks[[#Headers],[ID]]))))=0,"",INDEX(tsk_ActStart,(ROW()-ROW(MSPTasks[[#Headers],[ID]])))))</f>
        <v/>
      </c>
      <c r="N184" s="130" t="str">
        <f aca="false">IF(IFERROR(INDEX(tsk_Name,(ROW()-ROW(MSPTasks[[#Headers],[ID]])))="",TRUE()),"",IF(N(INDEX(tsk_ActFinish,(ROW()-ROW(MSPTasks[[#Headers],[ID]]))))=0,"",INDEX(tsk_ActFinish,(ROW()-ROW(MSPTasks[[#Headers],[ID]])))))</f>
        <v/>
      </c>
      <c r="O184" s="130" t="str">
        <f aca="false">IF(IFERROR(INDEX(tsk_Name,(ROW()-ROW(MSPTasks[[#Headers],[ID]])))="",TRUE()),"",INDEX(tsk_PlanStart,(ROW()-ROW(MSPTasks[[#Headers],[ID]]))))</f>
        <v/>
      </c>
      <c r="P184" s="130" t="str">
        <f aca="false">IF(IFERROR(INDEX(tsk_Name,(ROW()-ROW(MSPTasks[[#Headers],[ID]])))="",TRUE()),"",INDEX(tsk_PlanFinish,(ROW()-ROW(MSPTasks[[#Headers],[ID]]))))</f>
        <v/>
      </c>
      <c r="Q184" s="24" t="str">
        <f aca="false">IF(IFERROR(INDEX(tsk_Name,(ROW()-ROW(MSPTasks[[#Headers],[ID]])))="",TRUE()),"",IF(INDEX(tsk_BaseDuration,(ROW()-ROW(MSPTasks[[#Headers],[ID]])))="","",N(INDEX(tsk_BaseDuration,(ROW()-ROW(MSPTasks[[#Headers],[ID]]))))&amp;"d"))</f>
        <v/>
      </c>
      <c r="R184" s="24" t="str">
        <f aca="false">IF(IFERROR(INDEX(tsk_Name,(ROW()-ROW(MSPTasks[[#Headers],[ID]])))="",TRUE()),"",IF(INDEX(tsk_BaseWork,(ROW()-ROW(MSPTasks[[#Headers],[ID]])))="","",N(INDEX(tsk_BaseWork,(ROW()-ROW(MSPTasks[[#Headers],[ID]]))))&amp;"h"))</f>
        <v/>
      </c>
      <c r="S184" s="24" t="str">
        <f aca="false">IF(IFERROR(INDEX(tsk_Name,(ROW()-ROW(MSPTasks[[#Headers],[ID]])))="",TRUE()),"",IF(INDEX(tsk_BaseCost,(ROW()-ROW(MSPTasks[[#Headers],[ID]])))="","",N(INDEX(tsk_BaseCost,(ROW()-ROW(MSPTasks[[#Headers],[ID]]))))))</f>
        <v/>
      </c>
      <c r="T184" s="24" t="str">
        <f aca="false">IF(IFERROR(INDEX(tsk_Name,(ROW()-ROW(MSPTasks[[#Headers],[ID]])))="",TRUE()),"",IF(INDEX(tsk_IsSummary,(ROW()-ROW(MSPTasks[[#Headers],[ID]]))),"",IF(N(INDEX(tsk_ActCostInput,(ROW()-ROW(MSPTasks[[#Headers],[ID]]))))=0,"",INDEX(tsk_ActCostInput,(ROW()-ROW(MSPTasks[[#Headers],[ID]]))))))</f>
        <v/>
      </c>
      <c r="U184" s="24" t="str">
        <f aca="false">IF(IFERROR(INDEX(tsk_Name,(ROW()-ROW(MSPTasks[[#Headers],[ID]])))="",TRUE()),"",IF(INDEX(tsk_IsSummary,(ROW()-ROW(MSPTasks[[#Headers],[ID]]))),"",IF(AND(INDEX(tsk_Mode,(ROW()-ROW(MSPTasks[[#Headers],[ID]])))&lt;&gt;"Manual",N(INDEX(tsk_Constraint,(ROW()-ROW(MSPTasks[[#Headers],[ID]]))))&gt;0),"Start No Earlier Than","As Soon As Possible")))</f>
        <v/>
      </c>
      <c r="V184" s="130" t="str">
        <f aca="false">IF(IFERROR(INDEX(tsk_Name,(ROW()-ROW(MSPTasks[[#Headers],[ID]])))="",TRUE()),"",IF(OR(INDEX(tsk_IsSummary,(ROW()-ROW(MSPTasks[[#Headers],[ID]]))),INDEX(tsk_Mode,(ROW()-ROW(MSPTasks[[#Headers],[ID]])))="Manual"),"",IF(N(INDEX(tsk_Constraint,(ROW()-ROW(MSPTasks[[#Headers],[ID]]))))=0,"",INDEX(tsk_Constraint,(ROW()-ROW(MSPTasks[[#Headers],[ID]]))))))</f>
        <v/>
      </c>
      <c r="W184" s="130" t="str">
        <f aca="false">IF(IFERROR(INDEX(tsk_Name,(ROW()-ROW(MSPTasks[[#Headers],[ID]])))="",TRUE()),"",IF(N(INDEX(tsk_Deadline,(ROW()-ROW(MSPTasks[[#Headers],[ID]]))))=0,"",INDEX(tsk_Deadline,(ROW()-ROW(MSPTasks[[#Headers],[ID]])))))</f>
        <v/>
      </c>
      <c r="X184" s="24" t="str">
        <f aca="false">IF(IFERROR(INDEX(tsk_Name,(ROW()-ROW(MSPTasks[[#Headers],[ID]])))="",TRUE()),"",IF(INDEX(tsk_IsSummary,(ROW()-ROW(MSPTasks[[#Headers],[ID]]))),"",INDEX(tsk_Sprint,(ROW()-ROW(MSPTasks[[#Headers],[ID]])))&amp;""))</f>
        <v/>
      </c>
      <c r="Y184" s="24" t="str">
        <f aca="false">IF(IFERROR(INDEX(tsk_Name,(ROW()-ROW(MSPTasks[[#Headers],[ID]])))="",TRUE()),"",IF(INDEX(tsk_IsSummary,(ROW()-ROW(MSPTasks[[#Headers],[ID]]))),"",IF(N(INDEX(tsk_StoryPoints,(ROW()-ROW(MSPTasks[[#Headers],[ID]]))))=0,"",INDEX(tsk_StoryPoints,(ROW()-ROW(MSPTasks[[#Headers],[ID]]))))))</f>
        <v/>
      </c>
      <c r="Z184" s="24" t="str">
        <f aca="false">IF(IFERROR(INDEX(tsk_Name,(ROW()-ROW(MSPTasks[[#Headers],[ID]])))="",TRUE()),"",INDEX(tsk_Notes,(ROW()-ROW(MSPTasks[[#Headers],[ID]])))&amp;"")</f>
        <v/>
      </c>
    </row>
    <row r="185" customFormat="false" ht="15" hidden="false" customHeight="false" outlineLevel="0" collapsed="false">
      <c r="A185" s="24" t="str">
        <f aca="false">IF(IFERROR(INDEX(tsk_Name,(ROW()-ROW(MSPTasks[[#Headers],[ID]])))="",TRUE()),"",INDEX(tsk_ID,(ROW()-ROW(MSPTasks[[#Headers],[ID]]))))</f>
        <v/>
      </c>
      <c r="B185" s="24" t="str">
        <f aca="false">IF(IFERROR(INDEX(tsk_Name,(ROW()-ROW(MSPTasks[[#Headers],[ID]])))="",TRUE()),"",INDEX(tsk_UID,(ROW()-ROW(MSPTasks[[#Headers],[ID]]))))</f>
        <v/>
      </c>
      <c r="C185" s="24" t="str">
        <f aca="false">IF(IFERROR(INDEX(tsk_Name,(ROW()-ROW(MSPTasks[[#Headers],[ID]])))="",TRUE()),"",INDEX(tsk_Name,(ROW()-ROW(MSPTasks[[#Headers],[ID]]))))</f>
        <v/>
      </c>
      <c r="D185" s="24" t="str">
        <f aca="false">IF(IFERROR(INDEX(tsk_Name,(ROW()-ROW(MSPTasks[[#Headers],[ID]])))="",TRUE()),"",INDEX(tsk_Level,(ROW()-ROW(MSPTasks[[#Headers],[ID]]))))</f>
        <v/>
      </c>
      <c r="E185" s="24" t="str">
        <f aca="false">IF(IFERROR(INDEX(tsk_Name,(ROW()-ROW(MSPTasks[[#Headers],[ID]])))="",TRUE()),"",IF(INDEX(tsk_Mode,(ROW()-ROW(MSPTasks[[#Headers],[ID]])))="Manual","Manually Scheduled","Auto Scheduled"))</f>
        <v/>
      </c>
      <c r="F185" s="24" t="str">
        <f aca="false">IF(IFERROR(INDEX(tsk_Name,(ROW()-ROW(MSPTasks[[#Headers],[ID]])))="",TRUE()),"",IF(INDEX(tsk_IsSummary,(ROW()-ROW(MSPTasks[[#Headers],[ID]]))),"",N(INDEX(tsk_Duration,(ROW()-ROW(MSPTasks[[#Headers],[ID]]))))&amp;"d"))</f>
        <v/>
      </c>
      <c r="G185" s="130" t="str">
        <f aca="false">IF(IFERROR(INDEX(tsk_Name,(ROW()-ROW(MSPTasks[[#Headers],[ID]])))="",TRUE()),"",INDEX(tsk_FcStart,(ROW()-ROW(MSPTasks[[#Headers],[ID]]))))</f>
        <v/>
      </c>
      <c r="H185" s="130" t="str">
        <f aca="false">IF(IFERROR(INDEX(tsk_Name,(ROW()-ROW(MSPTasks[[#Headers],[ID]])))="",TRUE()),"",INDEX(tsk_FcFinish,(ROW()-ROW(MSPTasks[[#Headers],[ID]]))))</f>
        <v/>
      </c>
      <c r="I185" s="24" t="str">
        <f aca="false">IF(IFERROR(INDEX(tsk_Name,(ROW()-ROW(MSPTasks[[#Headers],[ID]])))="",TRUE()),"",IF(INDEX(tsk_IsSummary,(ROW()-ROW(MSPTasks[[#Headers],[ID]]))),"",INDEX(tsk_Predecessors,(ROW()-ROW(MSPTasks[[#Headers],[ID]])))))</f>
        <v/>
      </c>
      <c r="J185" s="24" t="str">
        <f aca="false">IF(IFERROR(INDEX(tsk_Name,(ROW()-ROW(MSPTasks[[#Headers],[ID]])))="",TRUE()),"",IF(INDEX(tsk_IsSummary,(ROW()-ROW(MSPTasks[[#Headers],[ID]]))),"",INDEX(tsk_UIDPredecessors,(ROW()-ROW(MSPTasks[[#Headers],[ID]])))))</f>
        <v/>
      </c>
      <c r="K1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5" s="24" t="str">
        <f aca="false">IF(IFERROR(INDEX(tsk_Name,(ROW()-ROW(MSPTasks[[#Headers],[ID]])))="",TRUE()),"",IF(INDEX(tsk_IsSummary,(ROW()-ROW(MSPTasks[[#Headers],[ID]]))),"",ROUND(INDEX(tsk_Progress,(ROW()-ROW(MSPTasks[[#Headers],[ID]])))*100,0)))</f>
        <v/>
      </c>
      <c r="M185" s="130" t="str">
        <f aca="false">IF(IFERROR(INDEX(tsk_Name,(ROW()-ROW(MSPTasks[[#Headers],[ID]])))="",TRUE()),"",IF(N(INDEX(tsk_ActStart,(ROW()-ROW(MSPTasks[[#Headers],[ID]]))))=0,"",INDEX(tsk_ActStart,(ROW()-ROW(MSPTasks[[#Headers],[ID]])))))</f>
        <v/>
      </c>
      <c r="N185" s="130" t="str">
        <f aca="false">IF(IFERROR(INDEX(tsk_Name,(ROW()-ROW(MSPTasks[[#Headers],[ID]])))="",TRUE()),"",IF(N(INDEX(tsk_ActFinish,(ROW()-ROW(MSPTasks[[#Headers],[ID]]))))=0,"",INDEX(tsk_ActFinish,(ROW()-ROW(MSPTasks[[#Headers],[ID]])))))</f>
        <v/>
      </c>
      <c r="O185" s="130" t="str">
        <f aca="false">IF(IFERROR(INDEX(tsk_Name,(ROW()-ROW(MSPTasks[[#Headers],[ID]])))="",TRUE()),"",INDEX(tsk_PlanStart,(ROW()-ROW(MSPTasks[[#Headers],[ID]]))))</f>
        <v/>
      </c>
      <c r="P185" s="130" t="str">
        <f aca="false">IF(IFERROR(INDEX(tsk_Name,(ROW()-ROW(MSPTasks[[#Headers],[ID]])))="",TRUE()),"",INDEX(tsk_PlanFinish,(ROW()-ROW(MSPTasks[[#Headers],[ID]]))))</f>
        <v/>
      </c>
      <c r="Q185" s="24" t="str">
        <f aca="false">IF(IFERROR(INDEX(tsk_Name,(ROW()-ROW(MSPTasks[[#Headers],[ID]])))="",TRUE()),"",IF(INDEX(tsk_BaseDuration,(ROW()-ROW(MSPTasks[[#Headers],[ID]])))="","",N(INDEX(tsk_BaseDuration,(ROW()-ROW(MSPTasks[[#Headers],[ID]]))))&amp;"d"))</f>
        <v/>
      </c>
      <c r="R185" s="24" t="str">
        <f aca="false">IF(IFERROR(INDEX(tsk_Name,(ROW()-ROW(MSPTasks[[#Headers],[ID]])))="",TRUE()),"",IF(INDEX(tsk_BaseWork,(ROW()-ROW(MSPTasks[[#Headers],[ID]])))="","",N(INDEX(tsk_BaseWork,(ROW()-ROW(MSPTasks[[#Headers],[ID]]))))&amp;"h"))</f>
        <v/>
      </c>
      <c r="S185" s="24" t="str">
        <f aca="false">IF(IFERROR(INDEX(tsk_Name,(ROW()-ROW(MSPTasks[[#Headers],[ID]])))="",TRUE()),"",IF(INDEX(tsk_BaseCost,(ROW()-ROW(MSPTasks[[#Headers],[ID]])))="","",N(INDEX(tsk_BaseCost,(ROW()-ROW(MSPTasks[[#Headers],[ID]]))))))</f>
        <v/>
      </c>
      <c r="T185" s="24" t="str">
        <f aca="false">IF(IFERROR(INDEX(tsk_Name,(ROW()-ROW(MSPTasks[[#Headers],[ID]])))="",TRUE()),"",IF(INDEX(tsk_IsSummary,(ROW()-ROW(MSPTasks[[#Headers],[ID]]))),"",IF(N(INDEX(tsk_ActCostInput,(ROW()-ROW(MSPTasks[[#Headers],[ID]]))))=0,"",INDEX(tsk_ActCostInput,(ROW()-ROW(MSPTasks[[#Headers],[ID]]))))))</f>
        <v/>
      </c>
      <c r="U185" s="24" t="str">
        <f aca="false">IF(IFERROR(INDEX(tsk_Name,(ROW()-ROW(MSPTasks[[#Headers],[ID]])))="",TRUE()),"",IF(INDEX(tsk_IsSummary,(ROW()-ROW(MSPTasks[[#Headers],[ID]]))),"",IF(AND(INDEX(tsk_Mode,(ROW()-ROW(MSPTasks[[#Headers],[ID]])))&lt;&gt;"Manual",N(INDEX(tsk_Constraint,(ROW()-ROW(MSPTasks[[#Headers],[ID]]))))&gt;0),"Start No Earlier Than","As Soon As Possible")))</f>
        <v/>
      </c>
      <c r="V185" s="130" t="str">
        <f aca="false">IF(IFERROR(INDEX(tsk_Name,(ROW()-ROW(MSPTasks[[#Headers],[ID]])))="",TRUE()),"",IF(OR(INDEX(tsk_IsSummary,(ROW()-ROW(MSPTasks[[#Headers],[ID]]))),INDEX(tsk_Mode,(ROW()-ROW(MSPTasks[[#Headers],[ID]])))="Manual"),"",IF(N(INDEX(tsk_Constraint,(ROW()-ROW(MSPTasks[[#Headers],[ID]]))))=0,"",INDEX(tsk_Constraint,(ROW()-ROW(MSPTasks[[#Headers],[ID]]))))))</f>
        <v/>
      </c>
      <c r="W185" s="130" t="str">
        <f aca="false">IF(IFERROR(INDEX(tsk_Name,(ROW()-ROW(MSPTasks[[#Headers],[ID]])))="",TRUE()),"",IF(N(INDEX(tsk_Deadline,(ROW()-ROW(MSPTasks[[#Headers],[ID]]))))=0,"",INDEX(tsk_Deadline,(ROW()-ROW(MSPTasks[[#Headers],[ID]])))))</f>
        <v/>
      </c>
      <c r="X185" s="24" t="str">
        <f aca="false">IF(IFERROR(INDEX(tsk_Name,(ROW()-ROW(MSPTasks[[#Headers],[ID]])))="",TRUE()),"",IF(INDEX(tsk_IsSummary,(ROW()-ROW(MSPTasks[[#Headers],[ID]]))),"",INDEX(tsk_Sprint,(ROW()-ROW(MSPTasks[[#Headers],[ID]])))&amp;""))</f>
        <v/>
      </c>
      <c r="Y185" s="24" t="str">
        <f aca="false">IF(IFERROR(INDEX(tsk_Name,(ROW()-ROW(MSPTasks[[#Headers],[ID]])))="",TRUE()),"",IF(INDEX(tsk_IsSummary,(ROW()-ROW(MSPTasks[[#Headers],[ID]]))),"",IF(N(INDEX(tsk_StoryPoints,(ROW()-ROW(MSPTasks[[#Headers],[ID]]))))=0,"",INDEX(tsk_StoryPoints,(ROW()-ROW(MSPTasks[[#Headers],[ID]]))))))</f>
        <v/>
      </c>
      <c r="Z185" s="24" t="str">
        <f aca="false">IF(IFERROR(INDEX(tsk_Name,(ROW()-ROW(MSPTasks[[#Headers],[ID]])))="",TRUE()),"",INDEX(tsk_Notes,(ROW()-ROW(MSPTasks[[#Headers],[ID]])))&amp;"")</f>
        <v/>
      </c>
    </row>
    <row r="186" customFormat="false" ht="15" hidden="false" customHeight="false" outlineLevel="0" collapsed="false">
      <c r="A186" s="24" t="str">
        <f aca="false">IF(IFERROR(INDEX(tsk_Name,(ROW()-ROW(MSPTasks[[#Headers],[ID]])))="",TRUE()),"",INDEX(tsk_ID,(ROW()-ROW(MSPTasks[[#Headers],[ID]]))))</f>
        <v/>
      </c>
      <c r="B186" s="24" t="str">
        <f aca="false">IF(IFERROR(INDEX(tsk_Name,(ROW()-ROW(MSPTasks[[#Headers],[ID]])))="",TRUE()),"",INDEX(tsk_UID,(ROW()-ROW(MSPTasks[[#Headers],[ID]]))))</f>
        <v/>
      </c>
      <c r="C186" s="24" t="str">
        <f aca="false">IF(IFERROR(INDEX(tsk_Name,(ROW()-ROW(MSPTasks[[#Headers],[ID]])))="",TRUE()),"",INDEX(tsk_Name,(ROW()-ROW(MSPTasks[[#Headers],[ID]]))))</f>
        <v/>
      </c>
      <c r="D186" s="24" t="str">
        <f aca="false">IF(IFERROR(INDEX(tsk_Name,(ROW()-ROW(MSPTasks[[#Headers],[ID]])))="",TRUE()),"",INDEX(tsk_Level,(ROW()-ROW(MSPTasks[[#Headers],[ID]]))))</f>
        <v/>
      </c>
      <c r="E186" s="24" t="str">
        <f aca="false">IF(IFERROR(INDEX(tsk_Name,(ROW()-ROW(MSPTasks[[#Headers],[ID]])))="",TRUE()),"",IF(INDEX(tsk_Mode,(ROW()-ROW(MSPTasks[[#Headers],[ID]])))="Manual","Manually Scheduled","Auto Scheduled"))</f>
        <v/>
      </c>
      <c r="F186" s="24" t="str">
        <f aca="false">IF(IFERROR(INDEX(tsk_Name,(ROW()-ROW(MSPTasks[[#Headers],[ID]])))="",TRUE()),"",IF(INDEX(tsk_IsSummary,(ROW()-ROW(MSPTasks[[#Headers],[ID]]))),"",N(INDEX(tsk_Duration,(ROW()-ROW(MSPTasks[[#Headers],[ID]]))))&amp;"d"))</f>
        <v/>
      </c>
      <c r="G186" s="130" t="str">
        <f aca="false">IF(IFERROR(INDEX(tsk_Name,(ROW()-ROW(MSPTasks[[#Headers],[ID]])))="",TRUE()),"",INDEX(tsk_FcStart,(ROW()-ROW(MSPTasks[[#Headers],[ID]]))))</f>
        <v/>
      </c>
      <c r="H186" s="130" t="str">
        <f aca="false">IF(IFERROR(INDEX(tsk_Name,(ROW()-ROW(MSPTasks[[#Headers],[ID]])))="",TRUE()),"",INDEX(tsk_FcFinish,(ROW()-ROW(MSPTasks[[#Headers],[ID]]))))</f>
        <v/>
      </c>
      <c r="I186" s="24" t="str">
        <f aca="false">IF(IFERROR(INDEX(tsk_Name,(ROW()-ROW(MSPTasks[[#Headers],[ID]])))="",TRUE()),"",IF(INDEX(tsk_IsSummary,(ROW()-ROW(MSPTasks[[#Headers],[ID]]))),"",INDEX(tsk_Predecessors,(ROW()-ROW(MSPTasks[[#Headers],[ID]])))))</f>
        <v/>
      </c>
      <c r="J186" s="24" t="str">
        <f aca="false">IF(IFERROR(INDEX(tsk_Name,(ROW()-ROW(MSPTasks[[#Headers],[ID]])))="",TRUE()),"",IF(INDEX(tsk_IsSummary,(ROW()-ROW(MSPTasks[[#Headers],[ID]]))),"",INDEX(tsk_UIDPredecessors,(ROW()-ROW(MSPTasks[[#Headers],[ID]])))))</f>
        <v/>
      </c>
      <c r="K1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6" s="24" t="str">
        <f aca="false">IF(IFERROR(INDEX(tsk_Name,(ROW()-ROW(MSPTasks[[#Headers],[ID]])))="",TRUE()),"",IF(INDEX(tsk_IsSummary,(ROW()-ROW(MSPTasks[[#Headers],[ID]]))),"",ROUND(INDEX(tsk_Progress,(ROW()-ROW(MSPTasks[[#Headers],[ID]])))*100,0)))</f>
        <v/>
      </c>
      <c r="M186" s="130" t="str">
        <f aca="false">IF(IFERROR(INDEX(tsk_Name,(ROW()-ROW(MSPTasks[[#Headers],[ID]])))="",TRUE()),"",IF(N(INDEX(tsk_ActStart,(ROW()-ROW(MSPTasks[[#Headers],[ID]]))))=0,"",INDEX(tsk_ActStart,(ROW()-ROW(MSPTasks[[#Headers],[ID]])))))</f>
        <v/>
      </c>
      <c r="N186" s="130" t="str">
        <f aca="false">IF(IFERROR(INDEX(tsk_Name,(ROW()-ROW(MSPTasks[[#Headers],[ID]])))="",TRUE()),"",IF(N(INDEX(tsk_ActFinish,(ROW()-ROW(MSPTasks[[#Headers],[ID]]))))=0,"",INDEX(tsk_ActFinish,(ROW()-ROW(MSPTasks[[#Headers],[ID]])))))</f>
        <v/>
      </c>
      <c r="O186" s="130" t="str">
        <f aca="false">IF(IFERROR(INDEX(tsk_Name,(ROW()-ROW(MSPTasks[[#Headers],[ID]])))="",TRUE()),"",INDEX(tsk_PlanStart,(ROW()-ROW(MSPTasks[[#Headers],[ID]]))))</f>
        <v/>
      </c>
      <c r="P186" s="130" t="str">
        <f aca="false">IF(IFERROR(INDEX(tsk_Name,(ROW()-ROW(MSPTasks[[#Headers],[ID]])))="",TRUE()),"",INDEX(tsk_PlanFinish,(ROW()-ROW(MSPTasks[[#Headers],[ID]]))))</f>
        <v/>
      </c>
      <c r="Q186" s="24" t="str">
        <f aca="false">IF(IFERROR(INDEX(tsk_Name,(ROW()-ROW(MSPTasks[[#Headers],[ID]])))="",TRUE()),"",IF(INDEX(tsk_BaseDuration,(ROW()-ROW(MSPTasks[[#Headers],[ID]])))="","",N(INDEX(tsk_BaseDuration,(ROW()-ROW(MSPTasks[[#Headers],[ID]]))))&amp;"d"))</f>
        <v/>
      </c>
      <c r="R186" s="24" t="str">
        <f aca="false">IF(IFERROR(INDEX(tsk_Name,(ROW()-ROW(MSPTasks[[#Headers],[ID]])))="",TRUE()),"",IF(INDEX(tsk_BaseWork,(ROW()-ROW(MSPTasks[[#Headers],[ID]])))="","",N(INDEX(tsk_BaseWork,(ROW()-ROW(MSPTasks[[#Headers],[ID]]))))&amp;"h"))</f>
        <v/>
      </c>
      <c r="S186" s="24" t="str">
        <f aca="false">IF(IFERROR(INDEX(tsk_Name,(ROW()-ROW(MSPTasks[[#Headers],[ID]])))="",TRUE()),"",IF(INDEX(tsk_BaseCost,(ROW()-ROW(MSPTasks[[#Headers],[ID]])))="","",N(INDEX(tsk_BaseCost,(ROW()-ROW(MSPTasks[[#Headers],[ID]]))))))</f>
        <v/>
      </c>
      <c r="T186" s="24" t="str">
        <f aca="false">IF(IFERROR(INDEX(tsk_Name,(ROW()-ROW(MSPTasks[[#Headers],[ID]])))="",TRUE()),"",IF(INDEX(tsk_IsSummary,(ROW()-ROW(MSPTasks[[#Headers],[ID]]))),"",IF(N(INDEX(tsk_ActCostInput,(ROW()-ROW(MSPTasks[[#Headers],[ID]]))))=0,"",INDEX(tsk_ActCostInput,(ROW()-ROW(MSPTasks[[#Headers],[ID]]))))))</f>
        <v/>
      </c>
      <c r="U186" s="24" t="str">
        <f aca="false">IF(IFERROR(INDEX(tsk_Name,(ROW()-ROW(MSPTasks[[#Headers],[ID]])))="",TRUE()),"",IF(INDEX(tsk_IsSummary,(ROW()-ROW(MSPTasks[[#Headers],[ID]]))),"",IF(AND(INDEX(tsk_Mode,(ROW()-ROW(MSPTasks[[#Headers],[ID]])))&lt;&gt;"Manual",N(INDEX(tsk_Constraint,(ROW()-ROW(MSPTasks[[#Headers],[ID]]))))&gt;0),"Start No Earlier Than","As Soon As Possible")))</f>
        <v/>
      </c>
      <c r="V186" s="130" t="str">
        <f aca="false">IF(IFERROR(INDEX(tsk_Name,(ROW()-ROW(MSPTasks[[#Headers],[ID]])))="",TRUE()),"",IF(OR(INDEX(tsk_IsSummary,(ROW()-ROW(MSPTasks[[#Headers],[ID]]))),INDEX(tsk_Mode,(ROW()-ROW(MSPTasks[[#Headers],[ID]])))="Manual"),"",IF(N(INDEX(tsk_Constraint,(ROW()-ROW(MSPTasks[[#Headers],[ID]]))))=0,"",INDEX(tsk_Constraint,(ROW()-ROW(MSPTasks[[#Headers],[ID]]))))))</f>
        <v/>
      </c>
      <c r="W186" s="130" t="str">
        <f aca="false">IF(IFERROR(INDEX(tsk_Name,(ROW()-ROW(MSPTasks[[#Headers],[ID]])))="",TRUE()),"",IF(N(INDEX(tsk_Deadline,(ROW()-ROW(MSPTasks[[#Headers],[ID]]))))=0,"",INDEX(tsk_Deadline,(ROW()-ROW(MSPTasks[[#Headers],[ID]])))))</f>
        <v/>
      </c>
      <c r="X186" s="24" t="str">
        <f aca="false">IF(IFERROR(INDEX(tsk_Name,(ROW()-ROW(MSPTasks[[#Headers],[ID]])))="",TRUE()),"",IF(INDEX(tsk_IsSummary,(ROW()-ROW(MSPTasks[[#Headers],[ID]]))),"",INDEX(tsk_Sprint,(ROW()-ROW(MSPTasks[[#Headers],[ID]])))&amp;""))</f>
        <v/>
      </c>
      <c r="Y186" s="24" t="str">
        <f aca="false">IF(IFERROR(INDEX(tsk_Name,(ROW()-ROW(MSPTasks[[#Headers],[ID]])))="",TRUE()),"",IF(INDEX(tsk_IsSummary,(ROW()-ROW(MSPTasks[[#Headers],[ID]]))),"",IF(N(INDEX(tsk_StoryPoints,(ROW()-ROW(MSPTasks[[#Headers],[ID]]))))=0,"",INDEX(tsk_StoryPoints,(ROW()-ROW(MSPTasks[[#Headers],[ID]]))))))</f>
        <v/>
      </c>
      <c r="Z186" s="24" t="str">
        <f aca="false">IF(IFERROR(INDEX(tsk_Name,(ROW()-ROW(MSPTasks[[#Headers],[ID]])))="",TRUE()),"",INDEX(tsk_Notes,(ROW()-ROW(MSPTasks[[#Headers],[ID]])))&amp;"")</f>
        <v/>
      </c>
    </row>
    <row r="187" customFormat="false" ht="15" hidden="false" customHeight="false" outlineLevel="0" collapsed="false">
      <c r="A187" s="24" t="str">
        <f aca="false">IF(IFERROR(INDEX(tsk_Name,(ROW()-ROW(MSPTasks[[#Headers],[ID]])))="",TRUE()),"",INDEX(tsk_ID,(ROW()-ROW(MSPTasks[[#Headers],[ID]]))))</f>
        <v/>
      </c>
      <c r="B187" s="24" t="str">
        <f aca="false">IF(IFERROR(INDEX(tsk_Name,(ROW()-ROW(MSPTasks[[#Headers],[ID]])))="",TRUE()),"",INDEX(tsk_UID,(ROW()-ROW(MSPTasks[[#Headers],[ID]]))))</f>
        <v/>
      </c>
      <c r="C187" s="24" t="str">
        <f aca="false">IF(IFERROR(INDEX(tsk_Name,(ROW()-ROW(MSPTasks[[#Headers],[ID]])))="",TRUE()),"",INDEX(tsk_Name,(ROW()-ROW(MSPTasks[[#Headers],[ID]]))))</f>
        <v/>
      </c>
      <c r="D187" s="24" t="str">
        <f aca="false">IF(IFERROR(INDEX(tsk_Name,(ROW()-ROW(MSPTasks[[#Headers],[ID]])))="",TRUE()),"",INDEX(tsk_Level,(ROW()-ROW(MSPTasks[[#Headers],[ID]]))))</f>
        <v/>
      </c>
      <c r="E187" s="24" t="str">
        <f aca="false">IF(IFERROR(INDEX(tsk_Name,(ROW()-ROW(MSPTasks[[#Headers],[ID]])))="",TRUE()),"",IF(INDEX(tsk_Mode,(ROW()-ROW(MSPTasks[[#Headers],[ID]])))="Manual","Manually Scheduled","Auto Scheduled"))</f>
        <v/>
      </c>
      <c r="F187" s="24" t="str">
        <f aca="false">IF(IFERROR(INDEX(tsk_Name,(ROW()-ROW(MSPTasks[[#Headers],[ID]])))="",TRUE()),"",IF(INDEX(tsk_IsSummary,(ROW()-ROW(MSPTasks[[#Headers],[ID]]))),"",N(INDEX(tsk_Duration,(ROW()-ROW(MSPTasks[[#Headers],[ID]]))))&amp;"d"))</f>
        <v/>
      </c>
      <c r="G187" s="130" t="str">
        <f aca="false">IF(IFERROR(INDEX(tsk_Name,(ROW()-ROW(MSPTasks[[#Headers],[ID]])))="",TRUE()),"",INDEX(tsk_FcStart,(ROW()-ROW(MSPTasks[[#Headers],[ID]]))))</f>
        <v/>
      </c>
      <c r="H187" s="130" t="str">
        <f aca="false">IF(IFERROR(INDEX(tsk_Name,(ROW()-ROW(MSPTasks[[#Headers],[ID]])))="",TRUE()),"",INDEX(tsk_FcFinish,(ROW()-ROW(MSPTasks[[#Headers],[ID]]))))</f>
        <v/>
      </c>
      <c r="I187" s="24" t="str">
        <f aca="false">IF(IFERROR(INDEX(tsk_Name,(ROW()-ROW(MSPTasks[[#Headers],[ID]])))="",TRUE()),"",IF(INDEX(tsk_IsSummary,(ROW()-ROW(MSPTasks[[#Headers],[ID]]))),"",INDEX(tsk_Predecessors,(ROW()-ROW(MSPTasks[[#Headers],[ID]])))))</f>
        <v/>
      </c>
      <c r="J187" s="24" t="str">
        <f aca="false">IF(IFERROR(INDEX(tsk_Name,(ROW()-ROW(MSPTasks[[#Headers],[ID]])))="",TRUE()),"",IF(INDEX(tsk_IsSummary,(ROW()-ROW(MSPTasks[[#Headers],[ID]]))),"",INDEX(tsk_UIDPredecessors,(ROW()-ROW(MSPTasks[[#Headers],[ID]])))))</f>
        <v/>
      </c>
      <c r="K1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7" s="24" t="str">
        <f aca="false">IF(IFERROR(INDEX(tsk_Name,(ROW()-ROW(MSPTasks[[#Headers],[ID]])))="",TRUE()),"",IF(INDEX(tsk_IsSummary,(ROW()-ROW(MSPTasks[[#Headers],[ID]]))),"",ROUND(INDEX(tsk_Progress,(ROW()-ROW(MSPTasks[[#Headers],[ID]])))*100,0)))</f>
        <v/>
      </c>
      <c r="M187" s="130" t="str">
        <f aca="false">IF(IFERROR(INDEX(tsk_Name,(ROW()-ROW(MSPTasks[[#Headers],[ID]])))="",TRUE()),"",IF(N(INDEX(tsk_ActStart,(ROW()-ROW(MSPTasks[[#Headers],[ID]]))))=0,"",INDEX(tsk_ActStart,(ROW()-ROW(MSPTasks[[#Headers],[ID]])))))</f>
        <v/>
      </c>
      <c r="N187" s="130" t="str">
        <f aca="false">IF(IFERROR(INDEX(tsk_Name,(ROW()-ROW(MSPTasks[[#Headers],[ID]])))="",TRUE()),"",IF(N(INDEX(tsk_ActFinish,(ROW()-ROW(MSPTasks[[#Headers],[ID]]))))=0,"",INDEX(tsk_ActFinish,(ROW()-ROW(MSPTasks[[#Headers],[ID]])))))</f>
        <v/>
      </c>
      <c r="O187" s="130" t="str">
        <f aca="false">IF(IFERROR(INDEX(tsk_Name,(ROW()-ROW(MSPTasks[[#Headers],[ID]])))="",TRUE()),"",INDEX(tsk_PlanStart,(ROW()-ROW(MSPTasks[[#Headers],[ID]]))))</f>
        <v/>
      </c>
      <c r="P187" s="130" t="str">
        <f aca="false">IF(IFERROR(INDEX(tsk_Name,(ROW()-ROW(MSPTasks[[#Headers],[ID]])))="",TRUE()),"",INDEX(tsk_PlanFinish,(ROW()-ROW(MSPTasks[[#Headers],[ID]]))))</f>
        <v/>
      </c>
      <c r="Q187" s="24" t="str">
        <f aca="false">IF(IFERROR(INDEX(tsk_Name,(ROW()-ROW(MSPTasks[[#Headers],[ID]])))="",TRUE()),"",IF(INDEX(tsk_BaseDuration,(ROW()-ROW(MSPTasks[[#Headers],[ID]])))="","",N(INDEX(tsk_BaseDuration,(ROW()-ROW(MSPTasks[[#Headers],[ID]]))))&amp;"d"))</f>
        <v/>
      </c>
      <c r="R187" s="24" t="str">
        <f aca="false">IF(IFERROR(INDEX(tsk_Name,(ROW()-ROW(MSPTasks[[#Headers],[ID]])))="",TRUE()),"",IF(INDEX(tsk_BaseWork,(ROW()-ROW(MSPTasks[[#Headers],[ID]])))="","",N(INDEX(tsk_BaseWork,(ROW()-ROW(MSPTasks[[#Headers],[ID]]))))&amp;"h"))</f>
        <v/>
      </c>
      <c r="S187" s="24" t="str">
        <f aca="false">IF(IFERROR(INDEX(tsk_Name,(ROW()-ROW(MSPTasks[[#Headers],[ID]])))="",TRUE()),"",IF(INDEX(tsk_BaseCost,(ROW()-ROW(MSPTasks[[#Headers],[ID]])))="","",N(INDEX(tsk_BaseCost,(ROW()-ROW(MSPTasks[[#Headers],[ID]]))))))</f>
        <v/>
      </c>
      <c r="T187" s="24" t="str">
        <f aca="false">IF(IFERROR(INDEX(tsk_Name,(ROW()-ROW(MSPTasks[[#Headers],[ID]])))="",TRUE()),"",IF(INDEX(tsk_IsSummary,(ROW()-ROW(MSPTasks[[#Headers],[ID]]))),"",IF(N(INDEX(tsk_ActCostInput,(ROW()-ROW(MSPTasks[[#Headers],[ID]]))))=0,"",INDEX(tsk_ActCostInput,(ROW()-ROW(MSPTasks[[#Headers],[ID]]))))))</f>
        <v/>
      </c>
      <c r="U187" s="24" t="str">
        <f aca="false">IF(IFERROR(INDEX(tsk_Name,(ROW()-ROW(MSPTasks[[#Headers],[ID]])))="",TRUE()),"",IF(INDEX(tsk_IsSummary,(ROW()-ROW(MSPTasks[[#Headers],[ID]]))),"",IF(AND(INDEX(tsk_Mode,(ROW()-ROW(MSPTasks[[#Headers],[ID]])))&lt;&gt;"Manual",N(INDEX(tsk_Constraint,(ROW()-ROW(MSPTasks[[#Headers],[ID]]))))&gt;0),"Start No Earlier Than","As Soon As Possible")))</f>
        <v/>
      </c>
      <c r="V187" s="130" t="str">
        <f aca="false">IF(IFERROR(INDEX(tsk_Name,(ROW()-ROW(MSPTasks[[#Headers],[ID]])))="",TRUE()),"",IF(OR(INDEX(tsk_IsSummary,(ROW()-ROW(MSPTasks[[#Headers],[ID]]))),INDEX(tsk_Mode,(ROW()-ROW(MSPTasks[[#Headers],[ID]])))="Manual"),"",IF(N(INDEX(tsk_Constraint,(ROW()-ROW(MSPTasks[[#Headers],[ID]]))))=0,"",INDEX(tsk_Constraint,(ROW()-ROW(MSPTasks[[#Headers],[ID]]))))))</f>
        <v/>
      </c>
      <c r="W187" s="130" t="str">
        <f aca="false">IF(IFERROR(INDEX(tsk_Name,(ROW()-ROW(MSPTasks[[#Headers],[ID]])))="",TRUE()),"",IF(N(INDEX(tsk_Deadline,(ROW()-ROW(MSPTasks[[#Headers],[ID]]))))=0,"",INDEX(tsk_Deadline,(ROW()-ROW(MSPTasks[[#Headers],[ID]])))))</f>
        <v/>
      </c>
      <c r="X187" s="24" t="str">
        <f aca="false">IF(IFERROR(INDEX(tsk_Name,(ROW()-ROW(MSPTasks[[#Headers],[ID]])))="",TRUE()),"",IF(INDEX(tsk_IsSummary,(ROW()-ROW(MSPTasks[[#Headers],[ID]]))),"",INDEX(tsk_Sprint,(ROW()-ROW(MSPTasks[[#Headers],[ID]])))&amp;""))</f>
        <v/>
      </c>
      <c r="Y187" s="24" t="str">
        <f aca="false">IF(IFERROR(INDEX(tsk_Name,(ROW()-ROW(MSPTasks[[#Headers],[ID]])))="",TRUE()),"",IF(INDEX(tsk_IsSummary,(ROW()-ROW(MSPTasks[[#Headers],[ID]]))),"",IF(N(INDEX(tsk_StoryPoints,(ROW()-ROW(MSPTasks[[#Headers],[ID]]))))=0,"",INDEX(tsk_StoryPoints,(ROW()-ROW(MSPTasks[[#Headers],[ID]]))))))</f>
        <v/>
      </c>
      <c r="Z187" s="24" t="str">
        <f aca="false">IF(IFERROR(INDEX(tsk_Name,(ROW()-ROW(MSPTasks[[#Headers],[ID]])))="",TRUE()),"",INDEX(tsk_Notes,(ROW()-ROW(MSPTasks[[#Headers],[ID]])))&amp;"")</f>
        <v/>
      </c>
    </row>
    <row r="188" customFormat="false" ht="15" hidden="false" customHeight="false" outlineLevel="0" collapsed="false">
      <c r="A188" s="24" t="str">
        <f aca="false">IF(IFERROR(INDEX(tsk_Name,(ROW()-ROW(MSPTasks[[#Headers],[ID]])))="",TRUE()),"",INDEX(tsk_ID,(ROW()-ROW(MSPTasks[[#Headers],[ID]]))))</f>
        <v/>
      </c>
      <c r="B188" s="24" t="str">
        <f aca="false">IF(IFERROR(INDEX(tsk_Name,(ROW()-ROW(MSPTasks[[#Headers],[ID]])))="",TRUE()),"",INDEX(tsk_UID,(ROW()-ROW(MSPTasks[[#Headers],[ID]]))))</f>
        <v/>
      </c>
      <c r="C188" s="24" t="str">
        <f aca="false">IF(IFERROR(INDEX(tsk_Name,(ROW()-ROW(MSPTasks[[#Headers],[ID]])))="",TRUE()),"",INDEX(tsk_Name,(ROW()-ROW(MSPTasks[[#Headers],[ID]]))))</f>
        <v/>
      </c>
      <c r="D188" s="24" t="str">
        <f aca="false">IF(IFERROR(INDEX(tsk_Name,(ROW()-ROW(MSPTasks[[#Headers],[ID]])))="",TRUE()),"",INDEX(tsk_Level,(ROW()-ROW(MSPTasks[[#Headers],[ID]]))))</f>
        <v/>
      </c>
      <c r="E188" s="24" t="str">
        <f aca="false">IF(IFERROR(INDEX(tsk_Name,(ROW()-ROW(MSPTasks[[#Headers],[ID]])))="",TRUE()),"",IF(INDEX(tsk_Mode,(ROW()-ROW(MSPTasks[[#Headers],[ID]])))="Manual","Manually Scheduled","Auto Scheduled"))</f>
        <v/>
      </c>
      <c r="F188" s="24" t="str">
        <f aca="false">IF(IFERROR(INDEX(tsk_Name,(ROW()-ROW(MSPTasks[[#Headers],[ID]])))="",TRUE()),"",IF(INDEX(tsk_IsSummary,(ROW()-ROW(MSPTasks[[#Headers],[ID]]))),"",N(INDEX(tsk_Duration,(ROW()-ROW(MSPTasks[[#Headers],[ID]]))))&amp;"d"))</f>
        <v/>
      </c>
      <c r="G188" s="130" t="str">
        <f aca="false">IF(IFERROR(INDEX(tsk_Name,(ROW()-ROW(MSPTasks[[#Headers],[ID]])))="",TRUE()),"",INDEX(tsk_FcStart,(ROW()-ROW(MSPTasks[[#Headers],[ID]]))))</f>
        <v/>
      </c>
      <c r="H188" s="130" t="str">
        <f aca="false">IF(IFERROR(INDEX(tsk_Name,(ROW()-ROW(MSPTasks[[#Headers],[ID]])))="",TRUE()),"",INDEX(tsk_FcFinish,(ROW()-ROW(MSPTasks[[#Headers],[ID]]))))</f>
        <v/>
      </c>
      <c r="I188" s="24" t="str">
        <f aca="false">IF(IFERROR(INDEX(tsk_Name,(ROW()-ROW(MSPTasks[[#Headers],[ID]])))="",TRUE()),"",IF(INDEX(tsk_IsSummary,(ROW()-ROW(MSPTasks[[#Headers],[ID]]))),"",INDEX(tsk_Predecessors,(ROW()-ROW(MSPTasks[[#Headers],[ID]])))))</f>
        <v/>
      </c>
      <c r="J188" s="24" t="str">
        <f aca="false">IF(IFERROR(INDEX(tsk_Name,(ROW()-ROW(MSPTasks[[#Headers],[ID]])))="",TRUE()),"",IF(INDEX(tsk_IsSummary,(ROW()-ROW(MSPTasks[[#Headers],[ID]]))),"",INDEX(tsk_UIDPredecessors,(ROW()-ROW(MSPTasks[[#Headers],[ID]])))))</f>
        <v/>
      </c>
      <c r="K1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8" s="24" t="str">
        <f aca="false">IF(IFERROR(INDEX(tsk_Name,(ROW()-ROW(MSPTasks[[#Headers],[ID]])))="",TRUE()),"",IF(INDEX(tsk_IsSummary,(ROW()-ROW(MSPTasks[[#Headers],[ID]]))),"",ROUND(INDEX(tsk_Progress,(ROW()-ROW(MSPTasks[[#Headers],[ID]])))*100,0)))</f>
        <v/>
      </c>
      <c r="M188" s="130" t="str">
        <f aca="false">IF(IFERROR(INDEX(tsk_Name,(ROW()-ROW(MSPTasks[[#Headers],[ID]])))="",TRUE()),"",IF(N(INDEX(tsk_ActStart,(ROW()-ROW(MSPTasks[[#Headers],[ID]]))))=0,"",INDEX(tsk_ActStart,(ROW()-ROW(MSPTasks[[#Headers],[ID]])))))</f>
        <v/>
      </c>
      <c r="N188" s="130" t="str">
        <f aca="false">IF(IFERROR(INDEX(tsk_Name,(ROW()-ROW(MSPTasks[[#Headers],[ID]])))="",TRUE()),"",IF(N(INDEX(tsk_ActFinish,(ROW()-ROW(MSPTasks[[#Headers],[ID]]))))=0,"",INDEX(tsk_ActFinish,(ROW()-ROW(MSPTasks[[#Headers],[ID]])))))</f>
        <v/>
      </c>
      <c r="O188" s="130" t="str">
        <f aca="false">IF(IFERROR(INDEX(tsk_Name,(ROW()-ROW(MSPTasks[[#Headers],[ID]])))="",TRUE()),"",INDEX(tsk_PlanStart,(ROW()-ROW(MSPTasks[[#Headers],[ID]]))))</f>
        <v/>
      </c>
      <c r="P188" s="130" t="str">
        <f aca="false">IF(IFERROR(INDEX(tsk_Name,(ROW()-ROW(MSPTasks[[#Headers],[ID]])))="",TRUE()),"",INDEX(tsk_PlanFinish,(ROW()-ROW(MSPTasks[[#Headers],[ID]]))))</f>
        <v/>
      </c>
      <c r="Q188" s="24" t="str">
        <f aca="false">IF(IFERROR(INDEX(tsk_Name,(ROW()-ROW(MSPTasks[[#Headers],[ID]])))="",TRUE()),"",IF(INDEX(tsk_BaseDuration,(ROW()-ROW(MSPTasks[[#Headers],[ID]])))="","",N(INDEX(tsk_BaseDuration,(ROW()-ROW(MSPTasks[[#Headers],[ID]]))))&amp;"d"))</f>
        <v/>
      </c>
      <c r="R188" s="24" t="str">
        <f aca="false">IF(IFERROR(INDEX(tsk_Name,(ROW()-ROW(MSPTasks[[#Headers],[ID]])))="",TRUE()),"",IF(INDEX(tsk_BaseWork,(ROW()-ROW(MSPTasks[[#Headers],[ID]])))="","",N(INDEX(tsk_BaseWork,(ROW()-ROW(MSPTasks[[#Headers],[ID]]))))&amp;"h"))</f>
        <v/>
      </c>
      <c r="S188" s="24" t="str">
        <f aca="false">IF(IFERROR(INDEX(tsk_Name,(ROW()-ROW(MSPTasks[[#Headers],[ID]])))="",TRUE()),"",IF(INDEX(tsk_BaseCost,(ROW()-ROW(MSPTasks[[#Headers],[ID]])))="","",N(INDEX(tsk_BaseCost,(ROW()-ROW(MSPTasks[[#Headers],[ID]]))))))</f>
        <v/>
      </c>
      <c r="T188" s="24" t="str">
        <f aca="false">IF(IFERROR(INDEX(tsk_Name,(ROW()-ROW(MSPTasks[[#Headers],[ID]])))="",TRUE()),"",IF(INDEX(tsk_IsSummary,(ROW()-ROW(MSPTasks[[#Headers],[ID]]))),"",IF(N(INDEX(tsk_ActCostInput,(ROW()-ROW(MSPTasks[[#Headers],[ID]]))))=0,"",INDEX(tsk_ActCostInput,(ROW()-ROW(MSPTasks[[#Headers],[ID]]))))))</f>
        <v/>
      </c>
      <c r="U188" s="24" t="str">
        <f aca="false">IF(IFERROR(INDEX(tsk_Name,(ROW()-ROW(MSPTasks[[#Headers],[ID]])))="",TRUE()),"",IF(INDEX(tsk_IsSummary,(ROW()-ROW(MSPTasks[[#Headers],[ID]]))),"",IF(AND(INDEX(tsk_Mode,(ROW()-ROW(MSPTasks[[#Headers],[ID]])))&lt;&gt;"Manual",N(INDEX(tsk_Constraint,(ROW()-ROW(MSPTasks[[#Headers],[ID]]))))&gt;0),"Start No Earlier Than","As Soon As Possible")))</f>
        <v/>
      </c>
      <c r="V188" s="130" t="str">
        <f aca="false">IF(IFERROR(INDEX(tsk_Name,(ROW()-ROW(MSPTasks[[#Headers],[ID]])))="",TRUE()),"",IF(OR(INDEX(tsk_IsSummary,(ROW()-ROW(MSPTasks[[#Headers],[ID]]))),INDEX(tsk_Mode,(ROW()-ROW(MSPTasks[[#Headers],[ID]])))="Manual"),"",IF(N(INDEX(tsk_Constraint,(ROW()-ROW(MSPTasks[[#Headers],[ID]]))))=0,"",INDEX(tsk_Constraint,(ROW()-ROW(MSPTasks[[#Headers],[ID]]))))))</f>
        <v/>
      </c>
      <c r="W188" s="130" t="str">
        <f aca="false">IF(IFERROR(INDEX(tsk_Name,(ROW()-ROW(MSPTasks[[#Headers],[ID]])))="",TRUE()),"",IF(N(INDEX(tsk_Deadline,(ROW()-ROW(MSPTasks[[#Headers],[ID]]))))=0,"",INDEX(tsk_Deadline,(ROW()-ROW(MSPTasks[[#Headers],[ID]])))))</f>
        <v/>
      </c>
      <c r="X188" s="24" t="str">
        <f aca="false">IF(IFERROR(INDEX(tsk_Name,(ROW()-ROW(MSPTasks[[#Headers],[ID]])))="",TRUE()),"",IF(INDEX(tsk_IsSummary,(ROW()-ROW(MSPTasks[[#Headers],[ID]]))),"",INDEX(tsk_Sprint,(ROW()-ROW(MSPTasks[[#Headers],[ID]])))&amp;""))</f>
        <v/>
      </c>
      <c r="Y188" s="24" t="str">
        <f aca="false">IF(IFERROR(INDEX(tsk_Name,(ROW()-ROW(MSPTasks[[#Headers],[ID]])))="",TRUE()),"",IF(INDEX(tsk_IsSummary,(ROW()-ROW(MSPTasks[[#Headers],[ID]]))),"",IF(N(INDEX(tsk_StoryPoints,(ROW()-ROW(MSPTasks[[#Headers],[ID]]))))=0,"",INDEX(tsk_StoryPoints,(ROW()-ROW(MSPTasks[[#Headers],[ID]]))))))</f>
        <v/>
      </c>
      <c r="Z188" s="24" t="str">
        <f aca="false">IF(IFERROR(INDEX(tsk_Name,(ROW()-ROW(MSPTasks[[#Headers],[ID]])))="",TRUE()),"",INDEX(tsk_Notes,(ROW()-ROW(MSPTasks[[#Headers],[ID]])))&amp;"")</f>
        <v/>
      </c>
    </row>
    <row r="189" customFormat="false" ht="15" hidden="false" customHeight="false" outlineLevel="0" collapsed="false">
      <c r="A189" s="24" t="str">
        <f aca="false">IF(IFERROR(INDEX(tsk_Name,(ROW()-ROW(MSPTasks[[#Headers],[ID]])))="",TRUE()),"",INDEX(tsk_ID,(ROW()-ROW(MSPTasks[[#Headers],[ID]]))))</f>
        <v/>
      </c>
      <c r="B189" s="24" t="str">
        <f aca="false">IF(IFERROR(INDEX(tsk_Name,(ROW()-ROW(MSPTasks[[#Headers],[ID]])))="",TRUE()),"",INDEX(tsk_UID,(ROW()-ROW(MSPTasks[[#Headers],[ID]]))))</f>
        <v/>
      </c>
      <c r="C189" s="24" t="str">
        <f aca="false">IF(IFERROR(INDEX(tsk_Name,(ROW()-ROW(MSPTasks[[#Headers],[ID]])))="",TRUE()),"",INDEX(tsk_Name,(ROW()-ROW(MSPTasks[[#Headers],[ID]]))))</f>
        <v/>
      </c>
      <c r="D189" s="24" t="str">
        <f aca="false">IF(IFERROR(INDEX(tsk_Name,(ROW()-ROW(MSPTasks[[#Headers],[ID]])))="",TRUE()),"",INDEX(tsk_Level,(ROW()-ROW(MSPTasks[[#Headers],[ID]]))))</f>
        <v/>
      </c>
      <c r="E189" s="24" t="str">
        <f aca="false">IF(IFERROR(INDEX(tsk_Name,(ROW()-ROW(MSPTasks[[#Headers],[ID]])))="",TRUE()),"",IF(INDEX(tsk_Mode,(ROW()-ROW(MSPTasks[[#Headers],[ID]])))="Manual","Manually Scheduled","Auto Scheduled"))</f>
        <v/>
      </c>
      <c r="F189" s="24" t="str">
        <f aca="false">IF(IFERROR(INDEX(tsk_Name,(ROW()-ROW(MSPTasks[[#Headers],[ID]])))="",TRUE()),"",IF(INDEX(tsk_IsSummary,(ROW()-ROW(MSPTasks[[#Headers],[ID]]))),"",N(INDEX(tsk_Duration,(ROW()-ROW(MSPTasks[[#Headers],[ID]]))))&amp;"d"))</f>
        <v/>
      </c>
      <c r="G189" s="130" t="str">
        <f aca="false">IF(IFERROR(INDEX(tsk_Name,(ROW()-ROW(MSPTasks[[#Headers],[ID]])))="",TRUE()),"",INDEX(tsk_FcStart,(ROW()-ROW(MSPTasks[[#Headers],[ID]]))))</f>
        <v/>
      </c>
      <c r="H189" s="130" t="str">
        <f aca="false">IF(IFERROR(INDEX(tsk_Name,(ROW()-ROW(MSPTasks[[#Headers],[ID]])))="",TRUE()),"",INDEX(tsk_FcFinish,(ROW()-ROW(MSPTasks[[#Headers],[ID]]))))</f>
        <v/>
      </c>
      <c r="I189" s="24" t="str">
        <f aca="false">IF(IFERROR(INDEX(tsk_Name,(ROW()-ROW(MSPTasks[[#Headers],[ID]])))="",TRUE()),"",IF(INDEX(tsk_IsSummary,(ROW()-ROW(MSPTasks[[#Headers],[ID]]))),"",INDEX(tsk_Predecessors,(ROW()-ROW(MSPTasks[[#Headers],[ID]])))))</f>
        <v/>
      </c>
      <c r="J189" s="24" t="str">
        <f aca="false">IF(IFERROR(INDEX(tsk_Name,(ROW()-ROW(MSPTasks[[#Headers],[ID]])))="",TRUE()),"",IF(INDEX(tsk_IsSummary,(ROW()-ROW(MSPTasks[[#Headers],[ID]]))),"",INDEX(tsk_UIDPredecessors,(ROW()-ROW(MSPTasks[[#Headers],[ID]])))))</f>
        <v/>
      </c>
      <c r="K1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9" s="24" t="str">
        <f aca="false">IF(IFERROR(INDEX(tsk_Name,(ROW()-ROW(MSPTasks[[#Headers],[ID]])))="",TRUE()),"",IF(INDEX(tsk_IsSummary,(ROW()-ROW(MSPTasks[[#Headers],[ID]]))),"",ROUND(INDEX(tsk_Progress,(ROW()-ROW(MSPTasks[[#Headers],[ID]])))*100,0)))</f>
        <v/>
      </c>
      <c r="M189" s="130" t="str">
        <f aca="false">IF(IFERROR(INDEX(tsk_Name,(ROW()-ROW(MSPTasks[[#Headers],[ID]])))="",TRUE()),"",IF(N(INDEX(tsk_ActStart,(ROW()-ROW(MSPTasks[[#Headers],[ID]]))))=0,"",INDEX(tsk_ActStart,(ROW()-ROW(MSPTasks[[#Headers],[ID]])))))</f>
        <v/>
      </c>
      <c r="N189" s="130" t="str">
        <f aca="false">IF(IFERROR(INDEX(tsk_Name,(ROW()-ROW(MSPTasks[[#Headers],[ID]])))="",TRUE()),"",IF(N(INDEX(tsk_ActFinish,(ROW()-ROW(MSPTasks[[#Headers],[ID]]))))=0,"",INDEX(tsk_ActFinish,(ROW()-ROW(MSPTasks[[#Headers],[ID]])))))</f>
        <v/>
      </c>
      <c r="O189" s="130" t="str">
        <f aca="false">IF(IFERROR(INDEX(tsk_Name,(ROW()-ROW(MSPTasks[[#Headers],[ID]])))="",TRUE()),"",INDEX(tsk_PlanStart,(ROW()-ROW(MSPTasks[[#Headers],[ID]]))))</f>
        <v/>
      </c>
      <c r="P189" s="130" t="str">
        <f aca="false">IF(IFERROR(INDEX(tsk_Name,(ROW()-ROW(MSPTasks[[#Headers],[ID]])))="",TRUE()),"",INDEX(tsk_PlanFinish,(ROW()-ROW(MSPTasks[[#Headers],[ID]]))))</f>
        <v/>
      </c>
      <c r="Q189" s="24" t="str">
        <f aca="false">IF(IFERROR(INDEX(tsk_Name,(ROW()-ROW(MSPTasks[[#Headers],[ID]])))="",TRUE()),"",IF(INDEX(tsk_BaseDuration,(ROW()-ROW(MSPTasks[[#Headers],[ID]])))="","",N(INDEX(tsk_BaseDuration,(ROW()-ROW(MSPTasks[[#Headers],[ID]]))))&amp;"d"))</f>
        <v/>
      </c>
      <c r="R189" s="24" t="str">
        <f aca="false">IF(IFERROR(INDEX(tsk_Name,(ROW()-ROW(MSPTasks[[#Headers],[ID]])))="",TRUE()),"",IF(INDEX(tsk_BaseWork,(ROW()-ROW(MSPTasks[[#Headers],[ID]])))="","",N(INDEX(tsk_BaseWork,(ROW()-ROW(MSPTasks[[#Headers],[ID]]))))&amp;"h"))</f>
        <v/>
      </c>
      <c r="S189" s="24" t="str">
        <f aca="false">IF(IFERROR(INDEX(tsk_Name,(ROW()-ROW(MSPTasks[[#Headers],[ID]])))="",TRUE()),"",IF(INDEX(tsk_BaseCost,(ROW()-ROW(MSPTasks[[#Headers],[ID]])))="","",N(INDEX(tsk_BaseCost,(ROW()-ROW(MSPTasks[[#Headers],[ID]]))))))</f>
        <v/>
      </c>
      <c r="T189" s="24" t="str">
        <f aca="false">IF(IFERROR(INDEX(tsk_Name,(ROW()-ROW(MSPTasks[[#Headers],[ID]])))="",TRUE()),"",IF(INDEX(tsk_IsSummary,(ROW()-ROW(MSPTasks[[#Headers],[ID]]))),"",IF(N(INDEX(tsk_ActCostInput,(ROW()-ROW(MSPTasks[[#Headers],[ID]]))))=0,"",INDEX(tsk_ActCostInput,(ROW()-ROW(MSPTasks[[#Headers],[ID]]))))))</f>
        <v/>
      </c>
      <c r="U189" s="24" t="str">
        <f aca="false">IF(IFERROR(INDEX(tsk_Name,(ROW()-ROW(MSPTasks[[#Headers],[ID]])))="",TRUE()),"",IF(INDEX(tsk_IsSummary,(ROW()-ROW(MSPTasks[[#Headers],[ID]]))),"",IF(AND(INDEX(tsk_Mode,(ROW()-ROW(MSPTasks[[#Headers],[ID]])))&lt;&gt;"Manual",N(INDEX(tsk_Constraint,(ROW()-ROW(MSPTasks[[#Headers],[ID]]))))&gt;0),"Start No Earlier Than","As Soon As Possible")))</f>
        <v/>
      </c>
      <c r="V189" s="130" t="str">
        <f aca="false">IF(IFERROR(INDEX(tsk_Name,(ROW()-ROW(MSPTasks[[#Headers],[ID]])))="",TRUE()),"",IF(OR(INDEX(tsk_IsSummary,(ROW()-ROW(MSPTasks[[#Headers],[ID]]))),INDEX(tsk_Mode,(ROW()-ROW(MSPTasks[[#Headers],[ID]])))="Manual"),"",IF(N(INDEX(tsk_Constraint,(ROW()-ROW(MSPTasks[[#Headers],[ID]]))))=0,"",INDEX(tsk_Constraint,(ROW()-ROW(MSPTasks[[#Headers],[ID]]))))))</f>
        <v/>
      </c>
      <c r="W189" s="130" t="str">
        <f aca="false">IF(IFERROR(INDEX(tsk_Name,(ROW()-ROW(MSPTasks[[#Headers],[ID]])))="",TRUE()),"",IF(N(INDEX(tsk_Deadline,(ROW()-ROW(MSPTasks[[#Headers],[ID]]))))=0,"",INDEX(tsk_Deadline,(ROW()-ROW(MSPTasks[[#Headers],[ID]])))))</f>
        <v/>
      </c>
      <c r="X189" s="24" t="str">
        <f aca="false">IF(IFERROR(INDEX(tsk_Name,(ROW()-ROW(MSPTasks[[#Headers],[ID]])))="",TRUE()),"",IF(INDEX(tsk_IsSummary,(ROW()-ROW(MSPTasks[[#Headers],[ID]]))),"",INDEX(tsk_Sprint,(ROW()-ROW(MSPTasks[[#Headers],[ID]])))&amp;""))</f>
        <v/>
      </c>
      <c r="Y189" s="24" t="str">
        <f aca="false">IF(IFERROR(INDEX(tsk_Name,(ROW()-ROW(MSPTasks[[#Headers],[ID]])))="",TRUE()),"",IF(INDEX(tsk_IsSummary,(ROW()-ROW(MSPTasks[[#Headers],[ID]]))),"",IF(N(INDEX(tsk_StoryPoints,(ROW()-ROW(MSPTasks[[#Headers],[ID]]))))=0,"",INDEX(tsk_StoryPoints,(ROW()-ROW(MSPTasks[[#Headers],[ID]]))))))</f>
        <v/>
      </c>
      <c r="Z189" s="24" t="str">
        <f aca="false">IF(IFERROR(INDEX(tsk_Name,(ROW()-ROW(MSPTasks[[#Headers],[ID]])))="",TRUE()),"",INDEX(tsk_Notes,(ROW()-ROW(MSPTasks[[#Headers],[ID]])))&amp;"")</f>
        <v/>
      </c>
    </row>
    <row r="190" customFormat="false" ht="15" hidden="false" customHeight="false" outlineLevel="0" collapsed="false">
      <c r="A190" s="24" t="str">
        <f aca="false">IF(IFERROR(INDEX(tsk_Name,(ROW()-ROW(MSPTasks[[#Headers],[ID]])))="",TRUE()),"",INDEX(tsk_ID,(ROW()-ROW(MSPTasks[[#Headers],[ID]]))))</f>
        <v/>
      </c>
      <c r="B190" s="24" t="str">
        <f aca="false">IF(IFERROR(INDEX(tsk_Name,(ROW()-ROW(MSPTasks[[#Headers],[ID]])))="",TRUE()),"",INDEX(tsk_UID,(ROW()-ROW(MSPTasks[[#Headers],[ID]]))))</f>
        <v/>
      </c>
      <c r="C190" s="24" t="str">
        <f aca="false">IF(IFERROR(INDEX(tsk_Name,(ROW()-ROW(MSPTasks[[#Headers],[ID]])))="",TRUE()),"",INDEX(tsk_Name,(ROW()-ROW(MSPTasks[[#Headers],[ID]]))))</f>
        <v/>
      </c>
      <c r="D190" s="24" t="str">
        <f aca="false">IF(IFERROR(INDEX(tsk_Name,(ROW()-ROW(MSPTasks[[#Headers],[ID]])))="",TRUE()),"",INDEX(tsk_Level,(ROW()-ROW(MSPTasks[[#Headers],[ID]]))))</f>
        <v/>
      </c>
      <c r="E190" s="24" t="str">
        <f aca="false">IF(IFERROR(INDEX(tsk_Name,(ROW()-ROW(MSPTasks[[#Headers],[ID]])))="",TRUE()),"",IF(INDEX(tsk_Mode,(ROW()-ROW(MSPTasks[[#Headers],[ID]])))="Manual","Manually Scheduled","Auto Scheduled"))</f>
        <v/>
      </c>
      <c r="F190" s="24" t="str">
        <f aca="false">IF(IFERROR(INDEX(tsk_Name,(ROW()-ROW(MSPTasks[[#Headers],[ID]])))="",TRUE()),"",IF(INDEX(tsk_IsSummary,(ROW()-ROW(MSPTasks[[#Headers],[ID]]))),"",N(INDEX(tsk_Duration,(ROW()-ROW(MSPTasks[[#Headers],[ID]]))))&amp;"d"))</f>
        <v/>
      </c>
      <c r="G190" s="130" t="str">
        <f aca="false">IF(IFERROR(INDEX(tsk_Name,(ROW()-ROW(MSPTasks[[#Headers],[ID]])))="",TRUE()),"",INDEX(tsk_FcStart,(ROW()-ROW(MSPTasks[[#Headers],[ID]]))))</f>
        <v/>
      </c>
      <c r="H190" s="130" t="str">
        <f aca="false">IF(IFERROR(INDEX(tsk_Name,(ROW()-ROW(MSPTasks[[#Headers],[ID]])))="",TRUE()),"",INDEX(tsk_FcFinish,(ROW()-ROW(MSPTasks[[#Headers],[ID]]))))</f>
        <v/>
      </c>
      <c r="I190" s="24" t="str">
        <f aca="false">IF(IFERROR(INDEX(tsk_Name,(ROW()-ROW(MSPTasks[[#Headers],[ID]])))="",TRUE()),"",IF(INDEX(tsk_IsSummary,(ROW()-ROW(MSPTasks[[#Headers],[ID]]))),"",INDEX(tsk_Predecessors,(ROW()-ROW(MSPTasks[[#Headers],[ID]])))))</f>
        <v/>
      </c>
      <c r="J190" s="24" t="str">
        <f aca="false">IF(IFERROR(INDEX(tsk_Name,(ROW()-ROW(MSPTasks[[#Headers],[ID]])))="",TRUE()),"",IF(INDEX(tsk_IsSummary,(ROW()-ROW(MSPTasks[[#Headers],[ID]]))),"",INDEX(tsk_UIDPredecessors,(ROW()-ROW(MSPTasks[[#Headers],[ID]])))))</f>
        <v/>
      </c>
      <c r="K1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0" s="24" t="str">
        <f aca="false">IF(IFERROR(INDEX(tsk_Name,(ROW()-ROW(MSPTasks[[#Headers],[ID]])))="",TRUE()),"",IF(INDEX(tsk_IsSummary,(ROW()-ROW(MSPTasks[[#Headers],[ID]]))),"",ROUND(INDEX(tsk_Progress,(ROW()-ROW(MSPTasks[[#Headers],[ID]])))*100,0)))</f>
        <v/>
      </c>
      <c r="M190" s="130" t="str">
        <f aca="false">IF(IFERROR(INDEX(tsk_Name,(ROW()-ROW(MSPTasks[[#Headers],[ID]])))="",TRUE()),"",IF(N(INDEX(tsk_ActStart,(ROW()-ROW(MSPTasks[[#Headers],[ID]]))))=0,"",INDEX(tsk_ActStart,(ROW()-ROW(MSPTasks[[#Headers],[ID]])))))</f>
        <v/>
      </c>
      <c r="N190" s="130" t="str">
        <f aca="false">IF(IFERROR(INDEX(tsk_Name,(ROW()-ROW(MSPTasks[[#Headers],[ID]])))="",TRUE()),"",IF(N(INDEX(tsk_ActFinish,(ROW()-ROW(MSPTasks[[#Headers],[ID]]))))=0,"",INDEX(tsk_ActFinish,(ROW()-ROW(MSPTasks[[#Headers],[ID]])))))</f>
        <v/>
      </c>
      <c r="O190" s="130" t="str">
        <f aca="false">IF(IFERROR(INDEX(tsk_Name,(ROW()-ROW(MSPTasks[[#Headers],[ID]])))="",TRUE()),"",INDEX(tsk_PlanStart,(ROW()-ROW(MSPTasks[[#Headers],[ID]]))))</f>
        <v/>
      </c>
      <c r="P190" s="130" t="str">
        <f aca="false">IF(IFERROR(INDEX(tsk_Name,(ROW()-ROW(MSPTasks[[#Headers],[ID]])))="",TRUE()),"",INDEX(tsk_PlanFinish,(ROW()-ROW(MSPTasks[[#Headers],[ID]]))))</f>
        <v/>
      </c>
      <c r="Q190" s="24" t="str">
        <f aca="false">IF(IFERROR(INDEX(tsk_Name,(ROW()-ROW(MSPTasks[[#Headers],[ID]])))="",TRUE()),"",IF(INDEX(tsk_BaseDuration,(ROW()-ROW(MSPTasks[[#Headers],[ID]])))="","",N(INDEX(tsk_BaseDuration,(ROW()-ROW(MSPTasks[[#Headers],[ID]]))))&amp;"d"))</f>
        <v/>
      </c>
      <c r="R190" s="24" t="str">
        <f aca="false">IF(IFERROR(INDEX(tsk_Name,(ROW()-ROW(MSPTasks[[#Headers],[ID]])))="",TRUE()),"",IF(INDEX(tsk_BaseWork,(ROW()-ROW(MSPTasks[[#Headers],[ID]])))="","",N(INDEX(tsk_BaseWork,(ROW()-ROW(MSPTasks[[#Headers],[ID]]))))&amp;"h"))</f>
        <v/>
      </c>
      <c r="S190" s="24" t="str">
        <f aca="false">IF(IFERROR(INDEX(tsk_Name,(ROW()-ROW(MSPTasks[[#Headers],[ID]])))="",TRUE()),"",IF(INDEX(tsk_BaseCost,(ROW()-ROW(MSPTasks[[#Headers],[ID]])))="","",N(INDEX(tsk_BaseCost,(ROW()-ROW(MSPTasks[[#Headers],[ID]]))))))</f>
        <v/>
      </c>
      <c r="T190" s="24" t="str">
        <f aca="false">IF(IFERROR(INDEX(tsk_Name,(ROW()-ROW(MSPTasks[[#Headers],[ID]])))="",TRUE()),"",IF(INDEX(tsk_IsSummary,(ROW()-ROW(MSPTasks[[#Headers],[ID]]))),"",IF(N(INDEX(tsk_ActCostInput,(ROW()-ROW(MSPTasks[[#Headers],[ID]]))))=0,"",INDEX(tsk_ActCostInput,(ROW()-ROW(MSPTasks[[#Headers],[ID]]))))))</f>
        <v/>
      </c>
      <c r="U190" s="24" t="str">
        <f aca="false">IF(IFERROR(INDEX(tsk_Name,(ROW()-ROW(MSPTasks[[#Headers],[ID]])))="",TRUE()),"",IF(INDEX(tsk_IsSummary,(ROW()-ROW(MSPTasks[[#Headers],[ID]]))),"",IF(AND(INDEX(tsk_Mode,(ROW()-ROW(MSPTasks[[#Headers],[ID]])))&lt;&gt;"Manual",N(INDEX(tsk_Constraint,(ROW()-ROW(MSPTasks[[#Headers],[ID]]))))&gt;0),"Start No Earlier Than","As Soon As Possible")))</f>
        <v/>
      </c>
      <c r="V190" s="130" t="str">
        <f aca="false">IF(IFERROR(INDEX(tsk_Name,(ROW()-ROW(MSPTasks[[#Headers],[ID]])))="",TRUE()),"",IF(OR(INDEX(tsk_IsSummary,(ROW()-ROW(MSPTasks[[#Headers],[ID]]))),INDEX(tsk_Mode,(ROW()-ROW(MSPTasks[[#Headers],[ID]])))="Manual"),"",IF(N(INDEX(tsk_Constraint,(ROW()-ROW(MSPTasks[[#Headers],[ID]]))))=0,"",INDEX(tsk_Constraint,(ROW()-ROW(MSPTasks[[#Headers],[ID]]))))))</f>
        <v/>
      </c>
      <c r="W190" s="130" t="str">
        <f aca="false">IF(IFERROR(INDEX(tsk_Name,(ROW()-ROW(MSPTasks[[#Headers],[ID]])))="",TRUE()),"",IF(N(INDEX(tsk_Deadline,(ROW()-ROW(MSPTasks[[#Headers],[ID]]))))=0,"",INDEX(tsk_Deadline,(ROW()-ROW(MSPTasks[[#Headers],[ID]])))))</f>
        <v/>
      </c>
      <c r="X190" s="24" t="str">
        <f aca="false">IF(IFERROR(INDEX(tsk_Name,(ROW()-ROW(MSPTasks[[#Headers],[ID]])))="",TRUE()),"",IF(INDEX(tsk_IsSummary,(ROW()-ROW(MSPTasks[[#Headers],[ID]]))),"",INDEX(tsk_Sprint,(ROW()-ROW(MSPTasks[[#Headers],[ID]])))&amp;""))</f>
        <v/>
      </c>
      <c r="Y190" s="24" t="str">
        <f aca="false">IF(IFERROR(INDEX(tsk_Name,(ROW()-ROW(MSPTasks[[#Headers],[ID]])))="",TRUE()),"",IF(INDEX(tsk_IsSummary,(ROW()-ROW(MSPTasks[[#Headers],[ID]]))),"",IF(N(INDEX(tsk_StoryPoints,(ROW()-ROW(MSPTasks[[#Headers],[ID]]))))=0,"",INDEX(tsk_StoryPoints,(ROW()-ROW(MSPTasks[[#Headers],[ID]]))))))</f>
        <v/>
      </c>
      <c r="Z190" s="24" t="str">
        <f aca="false">IF(IFERROR(INDEX(tsk_Name,(ROW()-ROW(MSPTasks[[#Headers],[ID]])))="",TRUE()),"",INDEX(tsk_Notes,(ROW()-ROW(MSPTasks[[#Headers],[ID]])))&amp;"")</f>
        <v/>
      </c>
    </row>
    <row r="191" customFormat="false" ht="15" hidden="false" customHeight="false" outlineLevel="0" collapsed="false">
      <c r="A191" s="24" t="str">
        <f aca="false">IF(IFERROR(INDEX(tsk_Name,(ROW()-ROW(MSPTasks[[#Headers],[ID]])))="",TRUE()),"",INDEX(tsk_ID,(ROW()-ROW(MSPTasks[[#Headers],[ID]]))))</f>
        <v/>
      </c>
      <c r="B191" s="24" t="str">
        <f aca="false">IF(IFERROR(INDEX(tsk_Name,(ROW()-ROW(MSPTasks[[#Headers],[ID]])))="",TRUE()),"",INDEX(tsk_UID,(ROW()-ROW(MSPTasks[[#Headers],[ID]]))))</f>
        <v/>
      </c>
      <c r="C191" s="24" t="str">
        <f aca="false">IF(IFERROR(INDEX(tsk_Name,(ROW()-ROW(MSPTasks[[#Headers],[ID]])))="",TRUE()),"",INDEX(tsk_Name,(ROW()-ROW(MSPTasks[[#Headers],[ID]]))))</f>
        <v/>
      </c>
      <c r="D191" s="24" t="str">
        <f aca="false">IF(IFERROR(INDEX(tsk_Name,(ROW()-ROW(MSPTasks[[#Headers],[ID]])))="",TRUE()),"",INDEX(tsk_Level,(ROW()-ROW(MSPTasks[[#Headers],[ID]]))))</f>
        <v/>
      </c>
      <c r="E191" s="24" t="str">
        <f aca="false">IF(IFERROR(INDEX(tsk_Name,(ROW()-ROW(MSPTasks[[#Headers],[ID]])))="",TRUE()),"",IF(INDEX(tsk_Mode,(ROW()-ROW(MSPTasks[[#Headers],[ID]])))="Manual","Manually Scheduled","Auto Scheduled"))</f>
        <v/>
      </c>
      <c r="F191" s="24" t="str">
        <f aca="false">IF(IFERROR(INDEX(tsk_Name,(ROW()-ROW(MSPTasks[[#Headers],[ID]])))="",TRUE()),"",IF(INDEX(tsk_IsSummary,(ROW()-ROW(MSPTasks[[#Headers],[ID]]))),"",N(INDEX(tsk_Duration,(ROW()-ROW(MSPTasks[[#Headers],[ID]]))))&amp;"d"))</f>
        <v/>
      </c>
      <c r="G191" s="130" t="str">
        <f aca="false">IF(IFERROR(INDEX(tsk_Name,(ROW()-ROW(MSPTasks[[#Headers],[ID]])))="",TRUE()),"",INDEX(tsk_FcStart,(ROW()-ROW(MSPTasks[[#Headers],[ID]]))))</f>
        <v/>
      </c>
      <c r="H191" s="130" t="str">
        <f aca="false">IF(IFERROR(INDEX(tsk_Name,(ROW()-ROW(MSPTasks[[#Headers],[ID]])))="",TRUE()),"",INDEX(tsk_FcFinish,(ROW()-ROW(MSPTasks[[#Headers],[ID]]))))</f>
        <v/>
      </c>
      <c r="I191" s="24" t="str">
        <f aca="false">IF(IFERROR(INDEX(tsk_Name,(ROW()-ROW(MSPTasks[[#Headers],[ID]])))="",TRUE()),"",IF(INDEX(tsk_IsSummary,(ROW()-ROW(MSPTasks[[#Headers],[ID]]))),"",INDEX(tsk_Predecessors,(ROW()-ROW(MSPTasks[[#Headers],[ID]])))))</f>
        <v/>
      </c>
      <c r="J191" s="24" t="str">
        <f aca="false">IF(IFERROR(INDEX(tsk_Name,(ROW()-ROW(MSPTasks[[#Headers],[ID]])))="",TRUE()),"",IF(INDEX(tsk_IsSummary,(ROW()-ROW(MSPTasks[[#Headers],[ID]]))),"",INDEX(tsk_UIDPredecessors,(ROW()-ROW(MSPTasks[[#Headers],[ID]])))))</f>
        <v/>
      </c>
      <c r="K1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1" s="24" t="str">
        <f aca="false">IF(IFERROR(INDEX(tsk_Name,(ROW()-ROW(MSPTasks[[#Headers],[ID]])))="",TRUE()),"",IF(INDEX(tsk_IsSummary,(ROW()-ROW(MSPTasks[[#Headers],[ID]]))),"",ROUND(INDEX(tsk_Progress,(ROW()-ROW(MSPTasks[[#Headers],[ID]])))*100,0)))</f>
        <v/>
      </c>
      <c r="M191" s="130" t="str">
        <f aca="false">IF(IFERROR(INDEX(tsk_Name,(ROW()-ROW(MSPTasks[[#Headers],[ID]])))="",TRUE()),"",IF(N(INDEX(tsk_ActStart,(ROW()-ROW(MSPTasks[[#Headers],[ID]]))))=0,"",INDEX(tsk_ActStart,(ROW()-ROW(MSPTasks[[#Headers],[ID]])))))</f>
        <v/>
      </c>
      <c r="N191" s="130" t="str">
        <f aca="false">IF(IFERROR(INDEX(tsk_Name,(ROW()-ROW(MSPTasks[[#Headers],[ID]])))="",TRUE()),"",IF(N(INDEX(tsk_ActFinish,(ROW()-ROW(MSPTasks[[#Headers],[ID]]))))=0,"",INDEX(tsk_ActFinish,(ROW()-ROW(MSPTasks[[#Headers],[ID]])))))</f>
        <v/>
      </c>
      <c r="O191" s="130" t="str">
        <f aca="false">IF(IFERROR(INDEX(tsk_Name,(ROW()-ROW(MSPTasks[[#Headers],[ID]])))="",TRUE()),"",INDEX(tsk_PlanStart,(ROW()-ROW(MSPTasks[[#Headers],[ID]]))))</f>
        <v/>
      </c>
      <c r="P191" s="130" t="str">
        <f aca="false">IF(IFERROR(INDEX(tsk_Name,(ROW()-ROW(MSPTasks[[#Headers],[ID]])))="",TRUE()),"",INDEX(tsk_PlanFinish,(ROW()-ROW(MSPTasks[[#Headers],[ID]]))))</f>
        <v/>
      </c>
      <c r="Q191" s="24" t="str">
        <f aca="false">IF(IFERROR(INDEX(tsk_Name,(ROW()-ROW(MSPTasks[[#Headers],[ID]])))="",TRUE()),"",IF(INDEX(tsk_BaseDuration,(ROW()-ROW(MSPTasks[[#Headers],[ID]])))="","",N(INDEX(tsk_BaseDuration,(ROW()-ROW(MSPTasks[[#Headers],[ID]]))))&amp;"d"))</f>
        <v/>
      </c>
      <c r="R191" s="24" t="str">
        <f aca="false">IF(IFERROR(INDEX(tsk_Name,(ROW()-ROW(MSPTasks[[#Headers],[ID]])))="",TRUE()),"",IF(INDEX(tsk_BaseWork,(ROW()-ROW(MSPTasks[[#Headers],[ID]])))="","",N(INDEX(tsk_BaseWork,(ROW()-ROW(MSPTasks[[#Headers],[ID]]))))&amp;"h"))</f>
        <v/>
      </c>
      <c r="S191" s="24" t="str">
        <f aca="false">IF(IFERROR(INDEX(tsk_Name,(ROW()-ROW(MSPTasks[[#Headers],[ID]])))="",TRUE()),"",IF(INDEX(tsk_BaseCost,(ROW()-ROW(MSPTasks[[#Headers],[ID]])))="","",N(INDEX(tsk_BaseCost,(ROW()-ROW(MSPTasks[[#Headers],[ID]]))))))</f>
        <v/>
      </c>
      <c r="T191" s="24" t="str">
        <f aca="false">IF(IFERROR(INDEX(tsk_Name,(ROW()-ROW(MSPTasks[[#Headers],[ID]])))="",TRUE()),"",IF(INDEX(tsk_IsSummary,(ROW()-ROW(MSPTasks[[#Headers],[ID]]))),"",IF(N(INDEX(tsk_ActCostInput,(ROW()-ROW(MSPTasks[[#Headers],[ID]]))))=0,"",INDEX(tsk_ActCostInput,(ROW()-ROW(MSPTasks[[#Headers],[ID]]))))))</f>
        <v/>
      </c>
      <c r="U191" s="24" t="str">
        <f aca="false">IF(IFERROR(INDEX(tsk_Name,(ROW()-ROW(MSPTasks[[#Headers],[ID]])))="",TRUE()),"",IF(INDEX(tsk_IsSummary,(ROW()-ROW(MSPTasks[[#Headers],[ID]]))),"",IF(AND(INDEX(tsk_Mode,(ROW()-ROW(MSPTasks[[#Headers],[ID]])))&lt;&gt;"Manual",N(INDEX(tsk_Constraint,(ROW()-ROW(MSPTasks[[#Headers],[ID]]))))&gt;0),"Start No Earlier Than","As Soon As Possible")))</f>
        <v/>
      </c>
      <c r="V191" s="130" t="str">
        <f aca="false">IF(IFERROR(INDEX(tsk_Name,(ROW()-ROW(MSPTasks[[#Headers],[ID]])))="",TRUE()),"",IF(OR(INDEX(tsk_IsSummary,(ROW()-ROW(MSPTasks[[#Headers],[ID]]))),INDEX(tsk_Mode,(ROW()-ROW(MSPTasks[[#Headers],[ID]])))="Manual"),"",IF(N(INDEX(tsk_Constraint,(ROW()-ROW(MSPTasks[[#Headers],[ID]]))))=0,"",INDEX(tsk_Constraint,(ROW()-ROW(MSPTasks[[#Headers],[ID]]))))))</f>
        <v/>
      </c>
      <c r="W191" s="130" t="str">
        <f aca="false">IF(IFERROR(INDEX(tsk_Name,(ROW()-ROW(MSPTasks[[#Headers],[ID]])))="",TRUE()),"",IF(N(INDEX(tsk_Deadline,(ROW()-ROW(MSPTasks[[#Headers],[ID]]))))=0,"",INDEX(tsk_Deadline,(ROW()-ROW(MSPTasks[[#Headers],[ID]])))))</f>
        <v/>
      </c>
      <c r="X191" s="24" t="str">
        <f aca="false">IF(IFERROR(INDEX(tsk_Name,(ROW()-ROW(MSPTasks[[#Headers],[ID]])))="",TRUE()),"",IF(INDEX(tsk_IsSummary,(ROW()-ROW(MSPTasks[[#Headers],[ID]]))),"",INDEX(tsk_Sprint,(ROW()-ROW(MSPTasks[[#Headers],[ID]])))&amp;""))</f>
        <v/>
      </c>
      <c r="Y191" s="24" t="str">
        <f aca="false">IF(IFERROR(INDEX(tsk_Name,(ROW()-ROW(MSPTasks[[#Headers],[ID]])))="",TRUE()),"",IF(INDEX(tsk_IsSummary,(ROW()-ROW(MSPTasks[[#Headers],[ID]]))),"",IF(N(INDEX(tsk_StoryPoints,(ROW()-ROW(MSPTasks[[#Headers],[ID]]))))=0,"",INDEX(tsk_StoryPoints,(ROW()-ROW(MSPTasks[[#Headers],[ID]]))))))</f>
        <v/>
      </c>
      <c r="Z191" s="24" t="str">
        <f aca="false">IF(IFERROR(INDEX(tsk_Name,(ROW()-ROW(MSPTasks[[#Headers],[ID]])))="",TRUE()),"",INDEX(tsk_Notes,(ROW()-ROW(MSPTasks[[#Headers],[ID]])))&amp;"")</f>
        <v/>
      </c>
    </row>
    <row r="192" customFormat="false" ht="15" hidden="false" customHeight="false" outlineLevel="0" collapsed="false">
      <c r="A192" s="24" t="str">
        <f aca="false">IF(IFERROR(INDEX(tsk_Name,(ROW()-ROW(MSPTasks[[#Headers],[ID]])))="",TRUE()),"",INDEX(tsk_ID,(ROW()-ROW(MSPTasks[[#Headers],[ID]]))))</f>
        <v/>
      </c>
      <c r="B192" s="24" t="str">
        <f aca="false">IF(IFERROR(INDEX(tsk_Name,(ROW()-ROW(MSPTasks[[#Headers],[ID]])))="",TRUE()),"",INDEX(tsk_UID,(ROW()-ROW(MSPTasks[[#Headers],[ID]]))))</f>
        <v/>
      </c>
      <c r="C192" s="24" t="str">
        <f aca="false">IF(IFERROR(INDEX(tsk_Name,(ROW()-ROW(MSPTasks[[#Headers],[ID]])))="",TRUE()),"",INDEX(tsk_Name,(ROW()-ROW(MSPTasks[[#Headers],[ID]]))))</f>
        <v/>
      </c>
      <c r="D192" s="24" t="str">
        <f aca="false">IF(IFERROR(INDEX(tsk_Name,(ROW()-ROW(MSPTasks[[#Headers],[ID]])))="",TRUE()),"",INDEX(tsk_Level,(ROW()-ROW(MSPTasks[[#Headers],[ID]]))))</f>
        <v/>
      </c>
      <c r="E192" s="24" t="str">
        <f aca="false">IF(IFERROR(INDEX(tsk_Name,(ROW()-ROW(MSPTasks[[#Headers],[ID]])))="",TRUE()),"",IF(INDEX(tsk_Mode,(ROW()-ROW(MSPTasks[[#Headers],[ID]])))="Manual","Manually Scheduled","Auto Scheduled"))</f>
        <v/>
      </c>
      <c r="F192" s="24" t="str">
        <f aca="false">IF(IFERROR(INDEX(tsk_Name,(ROW()-ROW(MSPTasks[[#Headers],[ID]])))="",TRUE()),"",IF(INDEX(tsk_IsSummary,(ROW()-ROW(MSPTasks[[#Headers],[ID]]))),"",N(INDEX(tsk_Duration,(ROW()-ROW(MSPTasks[[#Headers],[ID]]))))&amp;"d"))</f>
        <v/>
      </c>
      <c r="G192" s="130" t="str">
        <f aca="false">IF(IFERROR(INDEX(tsk_Name,(ROW()-ROW(MSPTasks[[#Headers],[ID]])))="",TRUE()),"",INDEX(tsk_FcStart,(ROW()-ROW(MSPTasks[[#Headers],[ID]]))))</f>
        <v/>
      </c>
      <c r="H192" s="130" t="str">
        <f aca="false">IF(IFERROR(INDEX(tsk_Name,(ROW()-ROW(MSPTasks[[#Headers],[ID]])))="",TRUE()),"",INDEX(tsk_FcFinish,(ROW()-ROW(MSPTasks[[#Headers],[ID]]))))</f>
        <v/>
      </c>
      <c r="I192" s="24" t="str">
        <f aca="false">IF(IFERROR(INDEX(tsk_Name,(ROW()-ROW(MSPTasks[[#Headers],[ID]])))="",TRUE()),"",IF(INDEX(tsk_IsSummary,(ROW()-ROW(MSPTasks[[#Headers],[ID]]))),"",INDEX(tsk_Predecessors,(ROW()-ROW(MSPTasks[[#Headers],[ID]])))))</f>
        <v/>
      </c>
      <c r="J192" s="24" t="str">
        <f aca="false">IF(IFERROR(INDEX(tsk_Name,(ROW()-ROW(MSPTasks[[#Headers],[ID]])))="",TRUE()),"",IF(INDEX(tsk_IsSummary,(ROW()-ROW(MSPTasks[[#Headers],[ID]]))),"",INDEX(tsk_UIDPredecessors,(ROW()-ROW(MSPTasks[[#Headers],[ID]])))))</f>
        <v/>
      </c>
      <c r="K1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2" s="24" t="str">
        <f aca="false">IF(IFERROR(INDEX(tsk_Name,(ROW()-ROW(MSPTasks[[#Headers],[ID]])))="",TRUE()),"",IF(INDEX(tsk_IsSummary,(ROW()-ROW(MSPTasks[[#Headers],[ID]]))),"",ROUND(INDEX(tsk_Progress,(ROW()-ROW(MSPTasks[[#Headers],[ID]])))*100,0)))</f>
        <v/>
      </c>
      <c r="M192" s="130" t="str">
        <f aca="false">IF(IFERROR(INDEX(tsk_Name,(ROW()-ROW(MSPTasks[[#Headers],[ID]])))="",TRUE()),"",IF(N(INDEX(tsk_ActStart,(ROW()-ROW(MSPTasks[[#Headers],[ID]]))))=0,"",INDEX(tsk_ActStart,(ROW()-ROW(MSPTasks[[#Headers],[ID]])))))</f>
        <v/>
      </c>
      <c r="N192" s="130" t="str">
        <f aca="false">IF(IFERROR(INDEX(tsk_Name,(ROW()-ROW(MSPTasks[[#Headers],[ID]])))="",TRUE()),"",IF(N(INDEX(tsk_ActFinish,(ROW()-ROW(MSPTasks[[#Headers],[ID]]))))=0,"",INDEX(tsk_ActFinish,(ROW()-ROW(MSPTasks[[#Headers],[ID]])))))</f>
        <v/>
      </c>
      <c r="O192" s="130" t="str">
        <f aca="false">IF(IFERROR(INDEX(tsk_Name,(ROW()-ROW(MSPTasks[[#Headers],[ID]])))="",TRUE()),"",INDEX(tsk_PlanStart,(ROW()-ROW(MSPTasks[[#Headers],[ID]]))))</f>
        <v/>
      </c>
      <c r="P192" s="130" t="str">
        <f aca="false">IF(IFERROR(INDEX(tsk_Name,(ROW()-ROW(MSPTasks[[#Headers],[ID]])))="",TRUE()),"",INDEX(tsk_PlanFinish,(ROW()-ROW(MSPTasks[[#Headers],[ID]]))))</f>
        <v/>
      </c>
      <c r="Q192" s="24" t="str">
        <f aca="false">IF(IFERROR(INDEX(tsk_Name,(ROW()-ROW(MSPTasks[[#Headers],[ID]])))="",TRUE()),"",IF(INDEX(tsk_BaseDuration,(ROW()-ROW(MSPTasks[[#Headers],[ID]])))="","",N(INDEX(tsk_BaseDuration,(ROW()-ROW(MSPTasks[[#Headers],[ID]]))))&amp;"d"))</f>
        <v/>
      </c>
      <c r="R192" s="24" t="str">
        <f aca="false">IF(IFERROR(INDEX(tsk_Name,(ROW()-ROW(MSPTasks[[#Headers],[ID]])))="",TRUE()),"",IF(INDEX(tsk_BaseWork,(ROW()-ROW(MSPTasks[[#Headers],[ID]])))="","",N(INDEX(tsk_BaseWork,(ROW()-ROW(MSPTasks[[#Headers],[ID]]))))&amp;"h"))</f>
        <v/>
      </c>
      <c r="S192" s="24" t="str">
        <f aca="false">IF(IFERROR(INDEX(tsk_Name,(ROW()-ROW(MSPTasks[[#Headers],[ID]])))="",TRUE()),"",IF(INDEX(tsk_BaseCost,(ROW()-ROW(MSPTasks[[#Headers],[ID]])))="","",N(INDEX(tsk_BaseCost,(ROW()-ROW(MSPTasks[[#Headers],[ID]]))))))</f>
        <v/>
      </c>
      <c r="T192" s="24" t="str">
        <f aca="false">IF(IFERROR(INDEX(tsk_Name,(ROW()-ROW(MSPTasks[[#Headers],[ID]])))="",TRUE()),"",IF(INDEX(tsk_IsSummary,(ROW()-ROW(MSPTasks[[#Headers],[ID]]))),"",IF(N(INDEX(tsk_ActCostInput,(ROW()-ROW(MSPTasks[[#Headers],[ID]]))))=0,"",INDEX(tsk_ActCostInput,(ROW()-ROW(MSPTasks[[#Headers],[ID]]))))))</f>
        <v/>
      </c>
      <c r="U192" s="24" t="str">
        <f aca="false">IF(IFERROR(INDEX(tsk_Name,(ROW()-ROW(MSPTasks[[#Headers],[ID]])))="",TRUE()),"",IF(INDEX(tsk_IsSummary,(ROW()-ROW(MSPTasks[[#Headers],[ID]]))),"",IF(AND(INDEX(tsk_Mode,(ROW()-ROW(MSPTasks[[#Headers],[ID]])))&lt;&gt;"Manual",N(INDEX(tsk_Constraint,(ROW()-ROW(MSPTasks[[#Headers],[ID]]))))&gt;0),"Start No Earlier Than","As Soon As Possible")))</f>
        <v/>
      </c>
      <c r="V192" s="130" t="str">
        <f aca="false">IF(IFERROR(INDEX(tsk_Name,(ROW()-ROW(MSPTasks[[#Headers],[ID]])))="",TRUE()),"",IF(OR(INDEX(tsk_IsSummary,(ROW()-ROW(MSPTasks[[#Headers],[ID]]))),INDEX(tsk_Mode,(ROW()-ROW(MSPTasks[[#Headers],[ID]])))="Manual"),"",IF(N(INDEX(tsk_Constraint,(ROW()-ROW(MSPTasks[[#Headers],[ID]]))))=0,"",INDEX(tsk_Constraint,(ROW()-ROW(MSPTasks[[#Headers],[ID]]))))))</f>
        <v/>
      </c>
      <c r="W192" s="130" t="str">
        <f aca="false">IF(IFERROR(INDEX(tsk_Name,(ROW()-ROW(MSPTasks[[#Headers],[ID]])))="",TRUE()),"",IF(N(INDEX(tsk_Deadline,(ROW()-ROW(MSPTasks[[#Headers],[ID]]))))=0,"",INDEX(tsk_Deadline,(ROW()-ROW(MSPTasks[[#Headers],[ID]])))))</f>
        <v/>
      </c>
      <c r="X192" s="24" t="str">
        <f aca="false">IF(IFERROR(INDEX(tsk_Name,(ROW()-ROW(MSPTasks[[#Headers],[ID]])))="",TRUE()),"",IF(INDEX(tsk_IsSummary,(ROW()-ROW(MSPTasks[[#Headers],[ID]]))),"",INDEX(tsk_Sprint,(ROW()-ROW(MSPTasks[[#Headers],[ID]])))&amp;""))</f>
        <v/>
      </c>
      <c r="Y192" s="24" t="str">
        <f aca="false">IF(IFERROR(INDEX(tsk_Name,(ROW()-ROW(MSPTasks[[#Headers],[ID]])))="",TRUE()),"",IF(INDEX(tsk_IsSummary,(ROW()-ROW(MSPTasks[[#Headers],[ID]]))),"",IF(N(INDEX(tsk_StoryPoints,(ROW()-ROW(MSPTasks[[#Headers],[ID]]))))=0,"",INDEX(tsk_StoryPoints,(ROW()-ROW(MSPTasks[[#Headers],[ID]]))))))</f>
        <v/>
      </c>
      <c r="Z192" s="24" t="str">
        <f aca="false">IF(IFERROR(INDEX(tsk_Name,(ROW()-ROW(MSPTasks[[#Headers],[ID]])))="",TRUE()),"",INDEX(tsk_Notes,(ROW()-ROW(MSPTasks[[#Headers],[ID]])))&amp;"")</f>
        <v/>
      </c>
    </row>
    <row r="193" customFormat="false" ht="15" hidden="false" customHeight="false" outlineLevel="0" collapsed="false">
      <c r="A193" s="24" t="str">
        <f aca="false">IF(IFERROR(INDEX(tsk_Name,(ROW()-ROW(MSPTasks[[#Headers],[ID]])))="",TRUE()),"",INDEX(tsk_ID,(ROW()-ROW(MSPTasks[[#Headers],[ID]]))))</f>
        <v/>
      </c>
      <c r="B193" s="24" t="str">
        <f aca="false">IF(IFERROR(INDEX(tsk_Name,(ROW()-ROW(MSPTasks[[#Headers],[ID]])))="",TRUE()),"",INDEX(tsk_UID,(ROW()-ROW(MSPTasks[[#Headers],[ID]]))))</f>
        <v/>
      </c>
      <c r="C193" s="24" t="str">
        <f aca="false">IF(IFERROR(INDEX(tsk_Name,(ROW()-ROW(MSPTasks[[#Headers],[ID]])))="",TRUE()),"",INDEX(tsk_Name,(ROW()-ROW(MSPTasks[[#Headers],[ID]]))))</f>
        <v/>
      </c>
      <c r="D193" s="24" t="str">
        <f aca="false">IF(IFERROR(INDEX(tsk_Name,(ROW()-ROW(MSPTasks[[#Headers],[ID]])))="",TRUE()),"",INDEX(tsk_Level,(ROW()-ROW(MSPTasks[[#Headers],[ID]]))))</f>
        <v/>
      </c>
      <c r="E193" s="24" t="str">
        <f aca="false">IF(IFERROR(INDEX(tsk_Name,(ROW()-ROW(MSPTasks[[#Headers],[ID]])))="",TRUE()),"",IF(INDEX(tsk_Mode,(ROW()-ROW(MSPTasks[[#Headers],[ID]])))="Manual","Manually Scheduled","Auto Scheduled"))</f>
        <v/>
      </c>
      <c r="F193" s="24" t="str">
        <f aca="false">IF(IFERROR(INDEX(tsk_Name,(ROW()-ROW(MSPTasks[[#Headers],[ID]])))="",TRUE()),"",IF(INDEX(tsk_IsSummary,(ROW()-ROW(MSPTasks[[#Headers],[ID]]))),"",N(INDEX(tsk_Duration,(ROW()-ROW(MSPTasks[[#Headers],[ID]]))))&amp;"d"))</f>
        <v/>
      </c>
      <c r="G193" s="130" t="str">
        <f aca="false">IF(IFERROR(INDEX(tsk_Name,(ROW()-ROW(MSPTasks[[#Headers],[ID]])))="",TRUE()),"",INDEX(tsk_FcStart,(ROW()-ROW(MSPTasks[[#Headers],[ID]]))))</f>
        <v/>
      </c>
      <c r="H193" s="130" t="str">
        <f aca="false">IF(IFERROR(INDEX(tsk_Name,(ROW()-ROW(MSPTasks[[#Headers],[ID]])))="",TRUE()),"",INDEX(tsk_FcFinish,(ROW()-ROW(MSPTasks[[#Headers],[ID]]))))</f>
        <v/>
      </c>
      <c r="I193" s="24" t="str">
        <f aca="false">IF(IFERROR(INDEX(tsk_Name,(ROW()-ROW(MSPTasks[[#Headers],[ID]])))="",TRUE()),"",IF(INDEX(tsk_IsSummary,(ROW()-ROW(MSPTasks[[#Headers],[ID]]))),"",INDEX(tsk_Predecessors,(ROW()-ROW(MSPTasks[[#Headers],[ID]])))))</f>
        <v/>
      </c>
      <c r="J193" s="24" t="str">
        <f aca="false">IF(IFERROR(INDEX(tsk_Name,(ROW()-ROW(MSPTasks[[#Headers],[ID]])))="",TRUE()),"",IF(INDEX(tsk_IsSummary,(ROW()-ROW(MSPTasks[[#Headers],[ID]]))),"",INDEX(tsk_UIDPredecessors,(ROW()-ROW(MSPTasks[[#Headers],[ID]])))))</f>
        <v/>
      </c>
      <c r="K1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3" s="24" t="str">
        <f aca="false">IF(IFERROR(INDEX(tsk_Name,(ROW()-ROW(MSPTasks[[#Headers],[ID]])))="",TRUE()),"",IF(INDEX(tsk_IsSummary,(ROW()-ROW(MSPTasks[[#Headers],[ID]]))),"",ROUND(INDEX(tsk_Progress,(ROW()-ROW(MSPTasks[[#Headers],[ID]])))*100,0)))</f>
        <v/>
      </c>
      <c r="M193" s="130" t="str">
        <f aca="false">IF(IFERROR(INDEX(tsk_Name,(ROW()-ROW(MSPTasks[[#Headers],[ID]])))="",TRUE()),"",IF(N(INDEX(tsk_ActStart,(ROW()-ROW(MSPTasks[[#Headers],[ID]]))))=0,"",INDEX(tsk_ActStart,(ROW()-ROW(MSPTasks[[#Headers],[ID]])))))</f>
        <v/>
      </c>
      <c r="N193" s="130" t="str">
        <f aca="false">IF(IFERROR(INDEX(tsk_Name,(ROW()-ROW(MSPTasks[[#Headers],[ID]])))="",TRUE()),"",IF(N(INDEX(tsk_ActFinish,(ROW()-ROW(MSPTasks[[#Headers],[ID]]))))=0,"",INDEX(tsk_ActFinish,(ROW()-ROW(MSPTasks[[#Headers],[ID]])))))</f>
        <v/>
      </c>
      <c r="O193" s="130" t="str">
        <f aca="false">IF(IFERROR(INDEX(tsk_Name,(ROW()-ROW(MSPTasks[[#Headers],[ID]])))="",TRUE()),"",INDEX(tsk_PlanStart,(ROW()-ROW(MSPTasks[[#Headers],[ID]]))))</f>
        <v/>
      </c>
      <c r="P193" s="130" t="str">
        <f aca="false">IF(IFERROR(INDEX(tsk_Name,(ROW()-ROW(MSPTasks[[#Headers],[ID]])))="",TRUE()),"",INDEX(tsk_PlanFinish,(ROW()-ROW(MSPTasks[[#Headers],[ID]]))))</f>
        <v/>
      </c>
      <c r="Q193" s="24" t="str">
        <f aca="false">IF(IFERROR(INDEX(tsk_Name,(ROW()-ROW(MSPTasks[[#Headers],[ID]])))="",TRUE()),"",IF(INDEX(tsk_BaseDuration,(ROW()-ROW(MSPTasks[[#Headers],[ID]])))="","",N(INDEX(tsk_BaseDuration,(ROW()-ROW(MSPTasks[[#Headers],[ID]]))))&amp;"d"))</f>
        <v/>
      </c>
      <c r="R193" s="24" t="str">
        <f aca="false">IF(IFERROR(INDEX(tsk_Name,(ROW()-ROW(MSPTasks[[#Headers],[ID]])))="",TRUE()),"",IF(INDEX(tsk_BaseWork,(ROW()-ROW(MSPTasks[[#Headers],[ID]])))="","",N(INDEX(tsk_BaseWork,(ROW()-ROW(MSPTasks[[#Headers],[ID]]))))&amp;"h"))</f>
        <v/>
      </c>
      <c r="S193" s="24" t="str">
        <f aca="false">IF(IFERROR(INDEX(tsk_Name,(ROW()-ROW(MSPTasks[[#Headers],[ID]])))="",TRUE()),"",IF(INDEX(tsk_BaseCost,(ROW()-ROW(MSPTasks[[#Headers],[ID]])))="","",N(INDEX(tsk_BaseCost,(ROW()-ROW(MSPTasks[[#Headers],[ID]]))))))</f>
        <v/>
      </c>
      <c r="T193" s="24" t="str">
        <f aca="false">IF(IFERROR(INDEX(tsk_Name,(ROW()-ROW(MSPTasks[[#Headers],[ID]])))="",TRUE()),"",IF(INDEX(tsk_IsSummary,(ROW()-ROW(MSPTasks[[#Headers],[ID]]))),"",IF(N(INDEX(tsk_ActCostInput,(ROW()-ROW(MSPTasks[[#Headers],[ID]]))))=0,"",INDEX(tsk_ActCostInput,(ROW()-ROW(MSPTasks[[#Headers],[ID]]))))))</f>
        <v/>
      </c>
      <c r="U193" s="24" t="str">
        <f aca="false">IF(IFERROR(INDEX(tsk_Name,(ROW()-ROW(MSPTasks[[#Headers],[ID]])))="",TRUE()),"",IF(INDEX(tsk_IsSummary,(ROW()-ROW(MSPTasks[[#Headers],[ID]]))),"",IF(AND(INDEX(tsk_Mode,(ROW()-ROW(MSPTasks[[#Headers],[ID]])))&lt;&gt;"Manual",N(INDEX(tsk_Constraint,(ROW()-ROW(MSPTasks[[#Headers],[ID]]))))&gt;0),"Start No Earlier Than","As Soon As Possible")))</f>
        <v/>
      </c>
      <c r="V193" s="130" t="str">
        <f aca="false">IF(IFERROR(INDEX(tsk_Name,(ROW()-ROW(MSPTasks[[#Headers],[ID]])))="",TRUE()),"",IF(OR(INDEX(tsk_IsSummary,(ROW()-ROW(MSPTasks[[#Headers],[ID]]))),INDEX(tsk_Mode,(ROW()-ROW(MSPTasks[[#Headers],[ID]])))="Manual"),"",IF(N(INDEX(tsk_Constraint,(ROW()-ROW(MSPTasks[[#Headers],[ID]]))))=0,"",INDEX(tsk_Constraint,(ROW()-ROW(MSPTasks[[#Headers],[ID]]))))))</f>
        <v/>
      </c>
      <c r="W193" s="130" t="str">
        <f aca="false">IF(IFERROR(INDEX(tsk_Name,(ROW()-ROW(MSPTasks[[#Headers],[ID]])))="",TRUE()),"",IF(N(INDEX(tsk_Deadline,(ROW()-ROW(MSPTasks[[#Headers],[ID]]))))=0,"",INDEX(tsk_Deadline,(ROW()-ROW(MSPTasks[[#Headers],[ID]])))))</f>
        <v/>
      </c>
      <c r="X193" s="24" t="str">
        <f aca="false">IF(IFERROR(INDEX(tsk_Name,(ROW()-ROW(MSPTasks[[#Headers],[ID]])))="",TRUE()),"",IF(INDEX(tsk_IsSummary,(ROW()-ROW(MSPTasks[[#Headers],[ID]]))),"",INDEX(tsk_Sprint,(ROW()-ROW(MSPTasks[[#Headers],[ID]])))&amp;""))</f>
        <v/>
      </c>
      <c r="Y193" s="24" t="str">
        <f aca="false">IF(IFERROR(INDEX(tsk_Name,(ROW()-ROW(MSPTasks[[#Headers],[ID]])))="",TRUE()),"",IF(INDEX(tsk_IsSummary,(ROW()-ROW(MSPTasks[[#Headers],[ID]]))),"",IF(N(INDEX(tsk_StoryPoints,(ROW()-ROW(MSPTasks[[#Headers],[ID]]))))=0,"",INDEX(tsk_StoryPoints,(ROW()-ROW(MSPTasks[[#Headers],[ID]]))))))</f>
        <v/>
      </c>
      <c r="Z193" s="24" t="str">
        <f aca="false">IF(IFERROR(INDEX(tsk_Name,(ROW()-ROW(MSPTasks[[#Headers],[ID]])))="",TRUE()),"",INDEX(tsk_Notes,(ROW()-ROW(MSPTasks[[#Headers],[ID]])))&amp;"")</f>
        <v/>
      </c>
    </row>
    <row r="194" customFormat="false" ht="15" hidden="false" customHeight="false" outlineLevel="0" collapsed="false">
      <c r="A194" s="24" t="str">
        <f aca="false">IF(IFERROR(INDEX(tsk_Name,(ROW()-ROW(MSPTasks[[#Headers],[ID]])))="",TRUE()),"",INDEX(tsk_ID,(ROW()-ROW(MSPTasks[[#Headers],[ID]]))))</f>
        <v/>
      </c>
      <c r="B194" s="24" t="str">
        <f aca="false">IF(IFERROR(INDEX(tsk_Name,(ROW()-ROW(MSPTasks[[#Headers],[ID]])))="",TRUE()),"",INDEX(tsk_UID,(ROW()-ROW(MSPTasks[[#Headers],[ID]]))))</f>
        <v/>
      </c>
      <c r="C194" s="24" t="str">
        <f aca="false">IF(IFERROR(INDEX(tsk_Name,(ROW()-ROW(MSPTasks[[#Headers],[ID]])))="",TRUE()),"",INDEX(tsk_Name,(ROW()-ROW(MSPTasks[[#Headers],[ID]]))))</f>
        <v/>
      </c>
      <c r="D194" s="24" t="str">
        <f aca="false">IF(IFERROR(INDEX(tsk_Name,(ROW()-ROW(MSPTasks[[#Headers],[ID]])))="",TRUE()),"",INDEX(tsk_Level,(ROW()-ROW(MSPTasks[[#Headers],[ID]]))))</f>
        <v/>
      </c>
      <c r="E194" s="24" t="str">
        <f aca="false">IF(IFERROR(INDEX(tsk_Name,(ROW()-ROW(MSPTasks[[#Headers],[ID]])))="",TRUE()),"",IF(INDEX(tsk_Mode,(ROW()-ROW(MSPTasks[[#Headers],[ID]])))="Manual","Manually Scheduled","Auto Scheduled"))</f>
        <v/>
      </c>
      <c r="F194" s="24" t="str">
        <f aca="false">IF(IFERROR(INDEX(tsk_Name,(ROW()-ROW(MSPTasks[[#Headers],[ID]])))="",TRUE()),"",IF(INDEX(tsk_IsSummary,(ROW()-ROW(MSPTasks[[#Headers],[ID]]))),"",N(INDEX(tsk_Duration,(ROW()-ROW(MSPTasks[[#Headers],[ID]]))))&amp;"d"))</f>
        <v/>
      </c>
      <c r="G194" s="130" t="str">
        <f aca="false">IF(IFERROR(INDEX(tsk_Name,(ROW()-ROW(MSPTasks[[#Headers],[ID]])))="",TRUE()),"",INDEX(tsk_FcStart,(ROW()-ROW(MSPTasks[[#Headers],[ID]]))))</f>
        <v/>
      </c>
      <c r="H194" s="130" t="str">
        <f aca="false">IF(IFERROR(INDEX(tsk_Name,(ROW()-ROW(MSPTasks[[#Headers],[ID]])))="",TRUE()),"",INDEX(tsk_FcFinish,(ROW()-ROW(MSPTasks[[#Headers],[ID]]))))</f>
        <v/>
      </c>
      <c r="I194" s="24" t="str">
        <f aca="false">IF(IFERROR(INDEX(tsk_Name,(ROW()-ROW(MSPTasks[[#Headers],[ID]])))="",TRUE()),"",IF(INDEX(tsk_IsSummary,(ROW()-ROW(MSPTasks[[#Headers],[ID]]))),"",INDEX(tsk_Predecessors,(ROW()-ROW(MSPTasks[[#Headers],[ID]])))))</f>
        <v/>
      </c>
      <c r="J194" s="24" t="str">
        <f aca="false">IF(IFERROR(INDEX(tsk_Name,(ROW()-ROW(MSPTasks[[#Headers],[ID]])))="",TRUE()),"",IF(INDEX(tsk_IsSummary,(ROW()-ROW(MSPTasks[[#Headers],[ID]]))),"",INDEX(tsk_UIDPredecessors,(ROW()-ROW(MSPTasks[[#Headers],[ID]])))))</f>
        <v/>
      </c>
      <c r="K1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4" s="24" t="str">
        <f aca="false">IF(IFERROR(INDEX(tsk_Name,(ROW()-ROW(MSPTasks[[#Headers],[ID]])))="",TRUE()),"",IF(INDEX(tsk_IsSummary,(ROW()-ROW(MSPTasks[[#Headers],[ID]]))),"",ROUND(INDEX(tsk_Progress,(ROW()-ROW(MSPTasks[[#Headers],[ID]])))*100,0)))</f>
        <v/>
      </c>
      <c r="M194" s="130" t="str">
        <f aca="false">IF(IFERROR(INDEX(tsk_Name,(ROW()-ROW(MSPTasks[[#Headers],[ID]])))="",TRUE()),"",IF(N(INDEX(tsk_ActStart,(ROW()-ROW(MSPTasks[[#Headers],[ID]]))))=0,"",INDEX(tsk_ActStart,(ROW()-ROW(MSPTasks[[#Headers],[ID]])))))</f>
        <v/>
      </c>
      <c r="N194" s="130" t="str">
        <f aca="false">IF(IFERROR(INDEX(tsk_Name,(ROW()-ROW(MSPTasks[[#Headers],[ID]])))="",TRUE()),"",IF(N(INDEX(tsk_ActFinish,(ROW()-ROW(MSPTasks[[#Headers],[ID]]))))=0,"",INDEX(tsk_ActFinish,(ROW()-ROW(MSPTasks[[#Headers],[ID]])))))</f>
        <v/>
      </c>
      <c r="O194" s="130" t="str">
        <f aca="false">IF(IFERROR(INDEX(tsk_Name,(ROW()-ROW(MSPTasks[[#Headers],[ID]])))="",TRUE()),"",INDEX(tsk_PlanStart,(ROW()-ROW(MSPTasks[[#Headers],[ID]]))))</f>
        <v/>
      </c>
      <c r="P194" s="130" t="str">
        <f aca="false">IF(IFERROR(INDEX(tsk_Name,(ROW()-ROW(MSPTasks[[#Headers],[ID]])))="",TRUE()),"",INDEX(tsk_PlanFinish,(ROW()-ROW(MSPTasks[[#Headers],[ID]]))))</f>
        <v/>
      </c>
      <c r="Q194" s="24" t="str">
        <f aca="false">IF(IFERROR(INDEX(tsk_Name,(ROW()-ROW(MSPTasks[[#Headers],[ID]])))="",TRUE()),"",IF(INDEX(tsk_BaseDuration,(ROW()-ROW(MSPTasks[[#Headers],[ID]])))="","",N(INDEX(tsk_BaseDuration,(ROW()-ROW(MSPTasks[[#Headers],[ID]]))))&amp;"d"))</f>
        <v/>
      </c>
      <c r="R194" s="24" t="str">
        <f aca="false">IF(IFERROR(INDEX(tsk_Name,(ROW()-ROW(MSPTasks[[#Headers],[ID]])))="",TRUE()),"",IF(INDEX(tsk_BaseWork,(ROW()-ROW(MSPTasks[[#Headers],[ID]])))="","",N(INDEX(tsk_BaseWork,(ROW()-ROW(MSPTasks[[#Headers],[ID]]))))&amp;"h"))</f>
        <v/>
      </c>
      <c r="S194" s="24" t="str">
        <f aca="false">IF(IFERROR(INDEX(tsk_Name,(ROW()-ROW(MSPTasks[[#Headers],[ID]])))="",TRUE()),"",IF(INDEX(tsk_BaseCost,(ROW()-ROW(MSPTasks[[#Headers],[ID]])))="","",N(INDEX(tsk_BaseCost,(ROW()-ROW(MSPTasks[[#Headers],[ID]]))))))</f>
        <v/>
      </c>
      <c r="T194" s="24" t="str">
        <f aca="false">IF(IFERROR(INDEX(tsk_Name,(ROW()-ROW(MSPTasks[[#Headers],[ID]])))="",TRUE()),"",IF(INDEX(tsk_IsSummary,(ROW()-ROW(MSPTasks[[#Headers],[ID]]))),"",IF(N(INDEX(tsk_ActCostInput,(ROW()-ROW(MSPTasks[[#Headers],[ID]]))))=0,"",INDEX(tsk_ActCostInput,(ROW()-ROW(MSPTasks[[#Headers],[ID]]))))))</f>
        <v/>
      </c>
      <c r="U194" s="24" t="str">
        <f aca="false">IF(IFERROR(INDEX(tsk_Name,(ROW()-ROW(MSPTasks[[#Headers],[ID]])))="",TRUE()),"",IF(INDEX(tsk_IsSummary,(ROW()-ROW(MSPTasks[[#Headers],[ID]]))),"",IF(AND(INDEX(tsk_Mode,(ROW()-ROW(MSPTasks[[#Headers],[ID]])))&lt;&gt;"Manual",N(INDEX(tsk_Constraint,(ROW()-ROW(MSPTasks[[#Headers],[ID]]))))&gt;0),"Start No Earlier Than","As Soon As Possible")))</f>
        <v/>
      </c>
      <c r="V194" s="130" t="str">
        <f aca="false">IF(IFERROR(INDEX(tsk_Name,(ROW()-ROW(MSPTasks[[#Headers],[ID]])))="",TRUE()),"",IF(OR(INDEX(tsk_IsSummary,(ROW()-ROW(MSPTasks[[#Headers],[ID]]))),INDEX(tsk_Mode,(ROW()-ROW(MSPTasks[[#Headers],[ID]])))="Manual"),"",IF(N(INDEX(tsk_Constraint,(ROW()-ROW(MSPTasks[[#Headers],[ID]]))))=0,"",INDEX(tsk_Constraint,(ROW()-ROW(MSPTasks[[#Headers],[ID]]))))))</f>
        <v/>
      </c>
      <c r="W194" s="130" t="str">
        <f aca="false">IF(IFERROR(INDEX(tsk_Name,(ROW()-ROW(MSPTasks[[#Headers],[ID]])))="",TRUE()),"",IF(N(INDEX(tsk_Deadline,(ROW()-ROW(MSPTasks[[#Headers],[ID]]))))=0,"",INDEX(tsk_Deadline,(ROW()-ROW(MSPTasks[[#Headers],[ID]])))))</f>
        <v/>
      </c>
      <c r="X194" s="24" t="str">
        <f aca="false">IF(IFERROR(INDEX(tsk_Name,(ROW()-ROW(MSPTasks[[#Headers],[ID]])))="",TRUE()),"",IF(INDEX(tsk_IsSummary,(ROW()-ROW(MSPTasks[[#Headers],[ID]]))),"",INDEX(tsk_Sprint,(ROW()-ROW(MSPTasks[[#Headers],[ID]])))&amp;""))</f>
        <v/>
      </c>
      <c r="Y194" s="24" t="str">
        <f aca="false">IF(IFERROR(INDEX(tsk_Name,(ROW()-ROW(MSPTasks[[#Headers],[ID]])))="",TRUE()),"",IF(INDEX(tsk_IsSummary,(ROW()-ROW(MSPTasks[[#Headers],[ID]]))),"",IF(N(INDEX(tsk_StoryPoints,(ROW()-ROW(MSPTasks[[#Headers],[ID]]))))=0,"",INDEX(tsk_StoryPoints,(ROW()-ROW(MSPTasks[[#Headers],[ID]]))))))</f>
        <v/>
      </c>
      <c r="Z194" s="24" t="str">
        <f aca="false">IF(IFERROR(INDEX(tsk_Name,(ROW()-ROW(MSPTasks[[#Headers],[ID]])))="",TRUE()),"",INDEX(tsk_Notes,(ROW()-ROW(MSPTasks[[#Headers],[ID]])))&amp;"")</f>
        <v/>
      </c>
    </row>
    <row r="195" customFormat="false" ht="15" hidden="false" customHeight="false" outlineLevel="0" collapsed="false">
      <c r="A195" s="24" t="str">
        <f aca="false">IF(IFERROR(INDEX(tsk_Name,(ROW()-ROW(MSPTasks[[#Headers],[ID]])))="",TRUE()),"",INDEX(tsk_ID,(ROW()-ROW(MSPTasks[[#Headers],[ID]]))))</f>
        <v/>
      </c>
      <c r="B195" s="24" t="str">
        <f aca="false">IF(IFERROR(INDEX(tsk_Name,(ROW()-ROW(MSPTasks[[#Headers],[ID]])))="",TRUE()),"",INDEX(tsk_UID,(ROW()-ROW(MSPTasks[[#Headers],[ID]]))))</f>
        <v/>
      </c>
      <c r="C195" s="24" t="str">
        <f aca="false">IF(IFERROR(INDEX(tsk_Name,(ROW()-ROW(MSPTasks[[#Headers],[ID]])))="",TRUE()),"",INDEX(tsk_Name,(ROW()-ROW(MSPTasks[[#Headers],[ID]]))))</f>
        <v/>
      </c>
      <c r="D195" s="24" t="str">
        <f aca="false">IF(IFERROR(INDEX(tsk_Name,(ROW()-ROW(MSPTasks[[#Headers],[ID]])))="",TRUE()),"",INDEX(tsk_Level,(ROW()-ROW(MSPTasks[[#Headers],[ID]]))))</f>
        <v/>
      </c>
      <c r="E195" s="24" t="str">
        <f aca="false">IF(IFERROR(INDEX(tsk_Name,(ROW()-ROW(MSPTasks[[#Headers],[ID]])))="",TRUE()),"",IF(INDEX(tsk_Mode,(ROW()-ROW(MSPTasks[[#Headers],[ID]])))="Manual","Manually Scheduled","Auto Scheduled"))</f>
        <v/>
      </c>
      <c r="F195" s="24" t="str">
        <f aca="false">IF(IFERROR(INDEX(tsk_Name,(ROW()-ROW(MSPTasks[[#Headers],[ID]])))="",TRUE()),"",IF(INDEX(tsk_IsSummary,(ROW()-ROW(MSPTasks[[#Headers],[ID]]))),"",N(INDEX(tsk_Duration,(ROW()-ROW(MSPTasks[[#Headers],[ID]]))))&amp;"d"))</f>
        <v/>
      </c>
      <c r="G195" s="130" t="str">
        <f aca="false">IF(IFERROR(INDEX(tsk_Name,(ROW()-ROW(MSPTasks[[#Headers],[ID]])))="",TRUE()),"",INDEX(tsk_FcStart,(ROW()-ROW(MSPTasks[[#Headers],[ID]]))))</f>
        <v/>
      </c>
      <c r="H195" s="130" t="str">
        <f aca="false">IF(IFERROR(INDEX(tsk_Name,(ROW()-ROW(MSPTasks[[#Headers],[ID]])))="",TRUE()),"",INDEX(tsk_FcFinish,(ROW()-ROW(MSPTasks[[#Headers],[ID]]))))</f>
        <v/>
      </c>
      <c r="I195" s="24" t="str">
        <f aca="false">IF(IFERROR(INDEX(tsk_Name,(ROW()-ROW(MSPTasks[[#Headers],[ID]])))="",TRUE()),"",IF(INDEX(tsk_IsSummary,(ROW()-ROW(MSPTasks[[#Headers],[ID]]))),"",INDEX(tsk_Predecessors,(ROW()-ROW(MSPTasks[[#Headers],[ID]])))))</f>
        <v/>
      </c>
      <c r="J195" s="24" t="str">
        <f aca="false">IF(IFERROR(INDEX(tsk_Name,(ROW()-ROW(MSPTasks[[#Headers],[ID]])))="",TRUE()),"",IF(INDEX(tsk_IsSummary,(ROW()-ROW(MSPTasks[[#Headers],[ID]]))),"",INDEX(tsk_UIDPredecessors,(ROW()-ROW(MSPTasks[[#Headers],[ID]])))))</f>
        <v/>
      </c>
      <c r="K1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5" s="24" t="str">
        <f aca="false">IF(IFERROR(INDEX(tsk_Name,(ROW()-ROW(MSPTasks[[#Headers],[ID]])))="",TRUE()),"",IF(INDEX(tsk_IsSummary,(ROW()-ROW(MSPTasks[[#Headers],[ID]]))),"",ROUND(INDEX(tsk_Progress,(ROW()-ROW(MSPTasks[[#Headers],[ID]])))*100,0)))</f>
        <v/>
      </c>
      <c r="M195" s="130" t="str">
        <f aca="false">IF(IFERROR(INDEX(tsk_Name,(ROW()-ROW(MSPTasks[[#Headers],[ID]])))="",TRUE()),"",IF(N(INDEX(tsk_ActStart,(ROW()-ROW(MSPTasks[[#Headers],[ID]]))))=0,"",INDEX(tsk_ActStart,(ROW()-ROW(MSPTasks[[#Headers],[ID]])))))</f>
        <v/>
      </c>
      <c r="N195" s="130" t="str">
        <f aca="false">IF(IFERROR(INDEX(tsk_Name,(ROW()-ROW(MSPTasks[[#Headers],[ID]])))="",TRUE()),"",IF(N(INDEX(tsk_ActFinish,(ROW()-ROW(MSPTasks[[#Headers],[ID]]))))=0,"",INDEX(tsk_ActFinish,(ROW()-ROW(MSPTasks[[#Headers],[ID]])))))</f>
        <v/>
      </c>
      <c r="O195" s="130" t="str">
        <f aca="false">IF(IFERROR(INDEX(tsk_Name,(ROW()-ROW(MSPTasks[[#Headers],[ID]])))="",TRUE()),"",INDEX(tsk_PlanStart,(ROW()-ROW(MSPTasks[[#Headers],[ID]]))))</f>
        <v/>
      </c>
      <c r="P195" s="130" t="str">
        <f aca="false">IF(IFERROR(INDEX(tsk_Name,(ROW()-ROW(MSPTasks[[#Headers],[ID]])))="",TRUE()),"",INDEX(tsk_PlanFinish,(ROW()-ROW(MSPTasks[[#Headers],[ID]]))))</f>
        <v/>
      </c>
      <c r="Q195" s="24" t="str">
        <f aca="false">IF(IFERROR(INDEX(tsk_Name,(ROW()-ROW(MSPTasks[[#Headers],[ID]])))="",TRUE()),"",IF(INDEX(tsk_BaseDuration,(ROW()-ROW(MSPTasks[[#Headers],[ID]])))="","",N(INDEX(tsk_BaseDuration,(ROW()-ROW(MSPTasks[[#Headers],[ID]]))))&amp;"d"))</f>
        <v/>
      </c>
      <c r="R195" s="24" t="str">
        <f aca="false">IF(IFERROR(INDEX(tsk_Name,(ROW()-ROW(MSPTasks[[#Headers],[ID]])))="",TRUE()),"",IF(INDEX(tsk_BaseWork,(ROW()-ROW(MSPTasks[[#Headers],[ID]])))="","",N(INDEX(tsk_BaseWork,(ROW()-ROW(MSPTasks[[#Headers],[ID]]))))&amp;"h"))</f>
        <v/>
      </c>
      <c r="S195" s="24" t="str">
        <f aca="false">IF(IFERROR(INDEX(tsk_Name,(ROW()-ROW(MSPTasks[[#Headers],[ID]])))="",TRUE()),"",IF(INDEX(tsk_BaseCost,(ROW()-ROW(MSPTasks[[#Headers],[ID]])))="","",N(INDEX(tsk_BaseCost,(ROW()-ROW(MSPTasks[[#Headers],[ID]]))))))</f>
        <v/>
      </c>
      <c r="T195" s="24" t="str">
        <f aca="false">IF(IFERROR(INDEX(tsk_Name,(ROW()-ROW(MSPTasks[[#Headers],[ID]])))="",TRUE()),"",IF(INDEX(tsk_IsSummary,(ROW()-ROW(MSPTasks[[#Headers],[ID]]))),"",IF(N(INDEX(tsk_ActCostInput,(ROW()-ROW(MSPTasks[[#Headers],[ID]]))))=0,"",INDEX(tsk_ActCostInput,(ROW()-ROW(MSPTasks[[#Headers],[ID]]))))))</f>
        <v/>
      </c>
      <c r="U195" s="24" t="str">
        <f aca="false">IF(IFERROR(INDEX(tsk_Name,(ROW()-ROW(MSPTasks[[#Headers],[ID]])))="",TRUE()),"",IF(INDEX(tsk_IsSummary,(ROW()-ROW(MSPTasks[[#Headers],[ID]]))),"",IF(AND(INDEX(tsk_Mode,(ROW()-ROW(MSPTasks[[#Headers],[ID]])))&lt;&gt;"Manual",N(INDEX(tsk_Constraint,(ROW()-ROW(MSPTasks[[#Headers],[ID]]))))&gt;0),"Start No Earlier Than","As Soon As Possible")))</f>
        <v/>
      </c>
      <c r="V195" s="130" t="str">
        <f aca="false">IF(IFERROR(INDEX(tsk_Name,(ROW()-ROW(MSPTasks[[#Headers],[ID]])))="",TRUE()),"",IF(OR(INDEX(tsk_IsSummary,(ROW()-ROW(MSPTasks[[#Headers],[ID]]))),INDEX(tsk_Mode,(ROW()-ROW(MSPTasks[[#Headers],[ID]])))="Manual"),"",IF(N(INDEX(tsk_Constraint,(ROW()-ROW(MSPTasks[[#Headers],[ID]]))))=0,"",INDEX(tsk_Constraint,(ROW()-ROW(MSPTasks[[#Headers],[ID]]))))))</f>
        <v/>
      </c>
      <c r="W195" s="130" t="str">
        <f aca="false">IF(IFERROR(INDEX(tsk_Name,(ROW()-ROW(MSPTasks[[#Headers],[ID]])))="",TRUE()),"",IF(N(INDEX(tsk_Deadline,(ROW()-ROW(MSPTasks[[#Headers],[ID]]))))=0,"",INDEX(tsk_Deadline,(ROW()-ROW(MSPTasks[[#Headers],[ID]])))))</f>
        <v/>
      </c>
      <c r="X195" s="24" t="str">
        <f aca="false">IF(IFERROR(INDEX(tsk_Name,(ROW()-ROW(MSPTasks[[#Headers],[ID]])))="",TRUE()),"",IF(INDEX(tsk_IsSummary,(ROW()-ROW(MSPTasks[[#Headers],[ID]]))),"",INDEX(tsk_Sprint,(ROW()-ROW(MSPTasks[[#Headers],[ID]])))&amp;""))</f>
        <v/>
      </c>
      <c r="Y195" s="24" t="str">
        <f aca="false">IF(IFERROR(INDEX(tsk_Name,(ROW()-ROW(MSPTasks[[#Headers],[ID]])))="",TRUE()),"",IF(INDEX(tsk_IsSummary,(ROW()-ROW(MSPTasks[[#Headers],[ID]]))),"",IF(N(INDEX(tsk_StoryPoints,(ROW()-ROW(MSPTasks[[#Headers],[ID]]))))=0,"",INDEX(tsk_StoryPoints,(ROW()-ROW(MSPTasks[[#Headers],[ID]]))))))</f>
        <v/>
      </c>
      <c r="Z195" s="24" t="str">
        <f aca="false">IF(IFERROR(INDEX(tsk_Name,(ROW()-ROW(MSPTasks[[#Headers],[ID]])))="",TRUE()),"",INDEX(tsk_Notes,(ROW()-ROW(MSPTasks[[#Headers],[ID]])))&amp;"")</f>
        <v/>
      </c>
    </row>
    <row r="196" customFormat="false" ht="15" hidden="false" customHeight="false" outlineLevel="0" collapsed="false">
      <c r="A196" s="24" t="str">
        <f aca="false">IF(IFERROR(INDEX(tsk_Name,(ROW()-ROW(MSPTasks[[#Headers],[ID]])))="",TRUE()),"",INDEX(tsk_ID,(ROW()-ROW(MSPTasks[[#Headers],[ID]]))))</f>
        <v/>
      </c>
      <c r="B196" s="24" t="str">
        <f aca="false">IF(IFERROR(INDEX(tsk_Name,(ROW()-ROW(MSPTasks[[#Headers],[ID]])))="",TRUE()),"",INDEX(tsk_UID,(ROW()-ROW(MSPTasks[[#Headers],[ID]]))))</f>
        <v/>
      </c>
      <c r="C196" s="24" t="str">
        <f aca="false">IF(IFERROR(INDEX(tsk_Name,(ROW()-ROW(MSPTasks[[#Headers],[ID]])))="",TRUE()),"",INDEX(tsk_Name,(ROW()-ROW(MSPTasks[[#Headers],[ID]]))))</f>
        <v/>
      </c>
      <c r="D196" s="24" t="str">
        <f aca="false">IF(IFERROR(INDEX(tsk_Name,(ROW()-ROW(MSPTasks[[#Headers],[ID]])))="",TRUE()),"",INDEX(tsk_Level,(ROW()-ROW(MSPTasks[[#Headers],[ID]]))))</f>
        <v/>
      </c>
      <c r="E196" s="24" t="str">
        <f aca="false">IF(IFERROR(INDEX(tsk_Name,(ROW()-ROW(MSPTasks[[#Headers],[ID]])))="",TRUE()),"",IF(INDEX(tsk_Mode,(ROW()-ROW(MSPTasks[[#Headers],[ID]])))="Manual","Manually Scheduled","Auto Scheduled"))</f>
        <v/>
      </c>
      <c r="F196" s="24" t="str">
        <f aca="false">IF(IFERROR(INDEX(tsk_Name,(ROW()-ROW(MSPTasks[[#Headers],[ID]])))="",TRUE()),"",IF(INDEX(tsk_IsSummary,(ROW()-ROW(MSPTasks[[#Headers],[ID]]))),"",N(INDEX(tsk_Duration,(ROW()-ROW(MSPTasks[[#Headers],[ID]]))))&amp;"d"))</f>
        <v/>
      </c>
      <c r="G196" s="130" t="str">
        <f aca="false">IF(IFERROR(INDEX(tsk_Name,(ROW()-ROW(MSPTasks[[#Headers],[ID]])))="",TRUE()),"",INDEX(tsk_FcStart,(ROW()-ROW(MSPTasks[[#Headers],[ID]]))))</f>
        <v/>
      </c>
      <c r="H196" s="130" t="str">
        <f aca="false">IF(IFERROR(INDEX(tsk_Name,(ROW()-ROW(MSPTasks[[#Headers],[ID]])))="",TRUE()),"",INDEX(tsk_FcFinish,(ROW()-ROW(MSPTasks[[#Headers],[ID]]))))</f>
        <v/>
      </c>
      <c r="I196" s="24" t="str">
        <f aca="false">IF(IFERROR(INDEX(tsk_Name,(ROW()-ROW(MSPTasks[[#Headers],[ID]])))="",TRUE()),"",IF(INDEX(tsk_IsSummary,(ROW()-ROW(MSPTasks[[#Headers],[ID]]))),"",INDEX(tsk_Predecessors,(ROW()-ROW(MSPTasks[[#Headers],[ID]])))))</f>
        <v/>
      </c>
      <c r="J196" s="24" t="str">
        <f aca="false">IF(IFERROR(INDEX(tsk_Name,(ROW()-ROW(MSPTasks[[#Headers],[ID]])))="",TRUE()),"",IF(INDEX(tsk_IsSummary,(ROW()-ROW(MSPTasks[[#Headers],[ID]]))),"",INDEX(tsk_UIDPredecessors,(ROW()-ROW(MSPTasks[[#Headers],[ID]])))))</f>
        <v/>
      </c>
      <c r="K1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6" s="24" t="str">
        <f aca="false">IF(IFERROR(INDEX(tsk_Name,(ROW()-ROW(MSPTasks[[#Headers],[ID]])))="",TRUE()),"",IF(INDEX(tsk_IsSummary,(ROW()-ROW(MSPTasks[[#Headers],[ID]]))),"",ROUND(INDEX(tsk_Progress,(ROW()-ROW(MSPTasks[[#Headers],[ID]])))*100,0)))</f>
        <v/>
      </c>
      <c r="M196" s="130" t="str">
        <f aca="false">IF(IFERROR(INDEX(tsk_Name,(ROW()-ROW(MSPTasks[[#Headers],[ID]])))="",TRUE()),"",IF(N(INDEX(tsk_ActStart,(ROW()-ROW(MSPTasks[[#Headers],[ID]]))))=0,"",INDEX(tsk_ActStart,(ROW()-ROW(MSPTasks[[#Headers],[ID]])))))</f>
        <v/>
      </c>
      <c r="N196" s="130" t="str">
        <f aca="false">IF(IFERROR(INDEX(tsk_Name,(ROW()-ROW(MSPTasks[[#Headers],[ID]])))="",TRUE()),"",IF(N(INDEX(tsk_ActFinish,(ROW()-ROW(MSPTasks[[#Headers],[ID]]))))=0,"",INDEX(tsk_ActFinish,(ROW()-ROW(MSPTasks[[#Headers],[ID]])))))</f>
        <v/>
      </c>
      <c r="O196" s="130" t="str">
        <f aca="false">IF(IFERROR(INDEX(tsk_Name,(ROW()-ROW(MSPTasks[[#Headers],[ID]])))="",TRUE()),"",INDEX(tsk_PlanStart,(ROW()-ROW(MSPTasks[[#Headers],[ID]]))))</f>
        <v/>
      </c>
      <c r="P196" s="130" t="str">
        <f aca="false">IF(IFERROR(INDEX(tsk_Name,(ROW()-ROW(MSPTasks[[#Headers],[ID]])))="",TRUE()),"",INDEX(tsk_PlanFinish,(ROW()-ROW(MSPTasks[[#Headers],[ID]]))))</f>
        <v/>
      </c>
      <c r="Q196" s="24" t="str">
        <f aca="false">IF(IFERROR(INDEX(tsk_Name,(ROW()-ROW(MSPTasks[[#Headers],[ID]])))="",TRUE()),"",IF(INDEX(tsk_BaseDuration,(ROW()-ROW(MSPTasks[[#Headers],[ID]])))="","",N(INDEX(tsk_BaseDuration,(ROW()-ROW(MSPTasks[[#Headers],[ID]]))))&amp;"d"))</f>
        <v/>
      </c>
      <c r="R196" s="24" t="str">
        <f aca="false">IF(IFERROR(INDEX(tsk_Name,(ROW()-ROW(MSPTasks[[#Headers],[ID]])))="",TRUE()),"",IF(INDEX(tsk_BaseWork,(ROW()-ROW(MSPTasks[[#Headers],[ID]])))="","",N(INDEX(tsk_BaseWork,(ROW()-ROW(MSPTasks[[#Headers],[ID]]))))&amp;"h"))</f>
        <v/>
      </c>
      <c r="S196" s="24" t="str">
        <f aca="false">IF(IFERROR(INDEX(tsk_Name,(ROW()-ROW(MSPTasks[[#Headers],[ID]])))="",TRUE()),"",IF(INDEX(tsk_BaseCost,(ROW()-ROW(MSPTasks[[#Headers],[ID]])))="","",N(INDEX(tsk_BaseCost,(ROW()-ROW(MSPTasks[[#Headers],[ID]]))))))</f>
        <v/>
      </c>
      <c r="T196" s="24" t="str">
        <f aca="false">IF(IFERROR(INDEX(tsk_Name,(ROW()-ROW(MSPTasks[[#Headers],[ID]])))="",TRUE()),"",IF(INDEX(tsk_IsSummary,(ROW()-ROW(MSPTasks[[#Headers],[ID]]))),"",IF(N(INDEX(tsk_ActCostInput,(ROW()-ROW(MSPTasks[[#Headers],[ID]]))))=0,"",INDEX(tsk_ActCostInput,(ROW()-ROW(MSPTasks[[#Headers],[ID]]))))))</f>
        <v/>
      </c>
      <c r="U196" s="24" t="str">
        <f aca="false">IF(IFERROR(INDEX(tsk_Name,(ROW()-ROW(MSPTasks[[#Headers],[ID]])))="",TRUE()),"",IF(INDEX(tsk_IsSummary,(ROW()-ROW(MSPTasks[[#Headers],[ID]]))),"",IF(AND(INDEX(tsk_Mode,(ROW()-ROW(MSPTasks[[#Headers],[ID]])))&lt;&gt;"Manual",N(INDEX(tsk_Constraint,(ROW()-ROW(MSPTasks[[#Headers],[ID]]))))&gt;0),"Start No Earlier Than","As Soon As Possible")))</f>
        <v/>
      </c>
      <c r="V196" s="130" t="str">
        <f aca="false">IF(IFERROR(INDEX(tsk_Name,(ROW()-ROW(MSPTasks[[#Headers],[ID]])))="",TRUE()),"",IF(OR(INDEX(tsk_IsSummary,(ROW()-ROW(MSPTasks[[#Headers],[ID]]))),INDEX(tsk_Mode,(ROW()-ROW(MSPTasks[[#Headers],[ID]])))="Manual"),"",IF(N(INDEX(tsk_Constraint,(ROW()-ROW(MSPTasks[[#Headers],[ID]]))))=0,"",INDEX(tsk_Constraint,(ROW()-ROW(MSPTasks[[#Headers],[ID]]))))))</f>
        <v/>
      </c>
      <c r="W196" s="130" t="str">
        <f aca="false">IF(IFERROR(INDEX(tsk_Name,(ROW()-ROW(MSPTasks[[#Headers],[ID]])))="",TRUE()),"",IF(N(INDEX(tsk_Deadline,(ROW()-ROW(MSPTasks[[#Headers],[ID]]))))=0,"",INDEX(tsk_Deadline,(ROW()-ROW(MSPTasks[[#Headers],[ID]])))))</f>
        <v/>
      </c>
      <c r="X196" s="24" t="str">
        <f aca="false">IF(IFERROR(INDEX(tsk_Name,(ROW()-ROW(MSPTasks[[#Headers],[ID]])))="",TRUE()),"",IF(INDEX(tsk_IsSummary,(ROW()-ROW(MSPTasks[[#Headers],[ID]]))),"",INDEX(tsk_Sprint,(ROW()-ROW(MSPTasks[[#Headers],[ID]])))&amp;""))</f>
        <v/>
      </c>
      <c r="Y196" s="24" t="str">
        <f aca="false">IF(IFERROR(INDEX(tsk_Name,(ROW()-ROW(MSPTasks[[#Headers],[ID]])))="",TRUE()),"",IF(INDEX(tsk_IsSummary,(ROW()-ROW(MSPTasks[[#Headers],[ID]]))),"",IF(N(INDEX(tsk_StoryPoints,(ROW()-ROW(MSPTasks[[#Headers],[ID]]))))=0,"",INDEX(tsk_StoryPoints,(ROW()-ROW(MSPTasks[[#Headers],[ID]]))))))</f>
        <v/>
      </c>
      <c r="Z196" s="24" t="str">
        <f aca="false">IF(IFERROR(INDEX(tsk_Name,(ROW()-ROW(MSPTasks[[#Headers],[ID]])))="",TRUE()),"",INDEX(tsk_Notes,(ROW()-ROW(MSPTasks[[#Headers],[ID]])))&amp;"")</f>
        <v/>
      </c>
    </row>
    <row r="197" customFormat="false" ht="15" hidden="false" customHeight="false" outlineLevel="0" collapsed="false">
      <c r="A197" s="24" t="str">
        <f aca="false">IF(IFERROR(INDEX(tsk_Name,(ROW()-ROW(MSPTasks[[#Headers],[ID]])))="",TRUE()),"",INDEX(tsk_ID,(ROW()-ROW(MSPTasks[[#Headers],[ID]]))))</f>
        <v/>
      </c>
      <c r="B197" s="24" t="str">
        <f aca="false">IF(IFERROR(INDEX(tsk_Name,(ROW()-ROW(MSPTasks[[#Headers],[ID]])))="",TRUE()),"",INDEX(tsk_UID,(ROW()-ROW(MSPTasks[[#Headers],[ID]]))))</f>
        <v/>
      </c>
      <c r="C197" s="24" t="str">
        <f aca="false">IF(IFERROR(INDEX(tsk_Name,(ROW()-ROW(MSPTasks[[#Headers],[ID]])))="",TRUE()),"",INDEX(tsk_Name,(ROW()-ROW(MSPTasks[[#Headers],[ID]]))))</f>
        <v/>
      </c>
      <c r="D197" s="24" t="str">
        <f aca="false">IF(IFERROR(INDEX(tsk_Name,(ROW()-ROW(MSPTasks[[#Headers],[ID]])))="",TRUE()),"",INDEX(tsk_Level,(ROW()-ROW(MSPTasks[[#Headers],[ID]]))))</f>
        <v/>
      </c>
      <c r="E197" s="24" t="str">
        <f aca="false">IF(IFERROR(INDEX(tsk_Name,(ROW()-ROW(MSPTasks[[#Headers],[ID]])))="",TRUE()),"",IF(INDEX(tsk_Mode,(ROW()-ROW(MSPTasks[[#Headers],[ID]])))="Manual","Manually Scheduled","Auto Scheduled"))</f>
        <v/>
      </c>
      <c r="F197" s="24" t="str">
        <f aca="false">IF(IFERROR(INDEX(tsk_Name,(ROW()-ROW(MSPTasks[[#Headers],[ID]])))="",TRUE()),"",IF(INDEX(tsk_IsSummary,(ROW()-ROW(MSPTasks[[#Headers],[ID]]))),"",N(INDEX(tsk_Duration,(ROW()-ROW(MSPTasks[[#Headers],[ID]]))))&amp;"d"))</f>
        <v/>
      </c>
      <c r="G197" s="130" t="str">
        <f aca="false">IF(IFERROR(INDEX(tsk_Name,(ROW()-ROW(MSPTasks[[#Headers],[ID]])))="",TRUE()),"",INDEX(tsk_FcStart,(ROW()-ROW(MSPTasks[[#Headers],[ID]]))))</f>
        <v/>
      </c>
      <c r="H197" s="130" t="str">
        <f aca="false">IF(IFERROR(INDEX(tsk_Name,(ROW()-ROW(MSPTasks[[#Headers],[ID]])))="",TRUE()),"",INDEX(tsk_FcFinish,(ROW()-ROW(MSPTasks[[#Headers],[ID]]))))</f>
        <v/>
      </c>
      <c r="I197" s="24" t="str">
        <f aca="false">IF(IFERROR(INDEX(tsk_Name,(ROW()-ROW(MSPTasks[[#Headers],[ID]])))="",TRUE()),"",IF(INDEX(tsk_IsSummary,(ROW()-ROW(MSPTasks[[#Headers],[ID]]))),"",INDEX(tsk_Predecessors,(ROW()-ROW(MSPTasks[[#Headers],[ID]])))))</f>
        <v/>
      </c>
      <c r="J197" s="24" t="str">
        <f aca="false">IF(IFERROR(INDEX(tsk_Name,(ROW()-ROW(MSPTasks[[#Headers],[ID]])))="",TRUE()),"",IF(INDEX(tsk_IsSummary,(ROW()-ROW(MSPTasks[[#Headers],[ID]]))),"",INDEX(tsk_UIDPredecessors,(ROW()-ROW(MSPTasks[[#Headers],[ID]])))))</f>
        <v/>
      </c>
      <c r="K1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7" s="24" t="str">
        <f aca="false">IF(IFERROR(INDEX(tsk_Name,(ROW()-ROW(MSPTasks[[#Headers],[ID]])))="",TRUE()),"",IF(INDEX(tsk_IsSummary,(ROW()-ROW(MSPTasks[[#Headers],[ID]]))),"",ROUND(INDEX(tsk_Progress,(ROW()-ROW(MSPTasks[[#Headers],[ID]])))*100,0)))</f>
        <v/>
      </c>
      <c r="M197" s="130" t="str">
        <f aca="false">IF(IFERROR(INDEX(tsk_Name,(ROW()-ROW(MSPTasks[[#Headers],[ID]])))="",TRUE()),"",IF(N(INDEX(tsk_ActStart,(ROW()-ROW(MSPTasks[[#Headers],[ID]]))))=0,"",INDEX(tsk_ActStart,(ROW()-ROW(MSPTasks[[#Headers],[ID]])))))</f>
        <v/>
      </c>
      <c r="N197" s="130" t="str">
        <f aca="false">IF(IFERROR(INDEX(tsk_Name,(ROW()-ROW(MSPTasks[[#Headers],[ID]])))="",TRUE()),"",IF(N(INDEX(tsk_ActFinish,(ROW()-ROW(MSPTasks[[#Headers],[ID]]))))=0,"",INDEX(tsk_ActFinish,(ROW()-ROW(MSPTasks[[#Headers],[ID]])))))</f>
        <v/>
      </c>
      <c r="O197" s="130" t="str">
        <f aca="false">IF(IFERROR(INDEX(tsk_Name,(ROW()-ROW(MSPTasks[[#Headers],[ID]])))="",TRUE()),"",INDEX(tsk_PlanStart,(ROW()-ROW(MSPTasks[[#Headers],[ID]]))))</f>
        <v/>
      </c>
      <c r="P197" s="130" t="str">
        <f aca="false">IF(IFERROR(INDEX(tsk_Name,(ROW()-ROW(MSPTasks[[#Headers],[ID]])))="",TRUE()),"",INDEX(tsk_PlanFinish,(ROW()-ROW(MSPTasks[[#Headers],[ID]]))))</f>
        <v/>
      </c>
      <c r="Q197" s="24" t="str">
        <f aca="false">IF(IFERROR(INDEX(tsk_Name,(ROW()-ROW(MSPTasks[[#Headers],[ID]])))="",TRUE()),"",IF(INDEX(tsk_BaseDuration,(ROW()-ROW(MSPTasks[[#Headers],[ID]])))="","",N(INDEX(tsk_BaseDuration,(ROW()-ROW(MSPTasks[[#Headers],[ID]]))))&amp;"d"))</f>
        <v/>
      </c>
      <c r="R197" s="24" t="str">
        <f aca="false">IF(IFERROR(INDEX(tsk_Name,(ROW()-ROW(MSPTasks[[#Headers],[ID]])))="",TRUE()),"",IF(INDEX(tsk_BaseWork,(ROW()-ROW(MSPTasks[[#Headers],[ID]])))="","",N(INDEX(tsk_BaseWork,(ROW()-ROW(MSPTasks[[#Headers],[ID]]))))&amp;"h"))</f>
        <v/>
      </c>
      <c r="S197" s="24" t="str">
        <f aca="false">IF(IFERROR(INDEX(tsk_Name,(ROW()-ROW(MSPTasks[[#Headers],[ID]])))="",TRUE()),"",IF(INDEX(tsk_BaseCost,(ROW()-ROW(MSPTasks[[#Headers],[ID]])))="","",N(INDEX(tsk_BaseCost,(ROW()-ROW(MSPTasks[[#Headers],[ID]]))))))</f>
        <v/>
      </c>
      <c r="T197" s="24" t="str">
        <f aca="false">IF(IFERROR(INDEX(tsk_Name,(ROW()-ROW(MSPTasks[[#Headers],[ID]])))="",TRUE()),"",IF(INDEX(tsk_IsSummary,(ROW()-ROW(MSPTasks[[#Headers],[ID]]))),"",IF(N(INDEX(tsk_ActCostInput,(ROW()-ROW(MSPTasks[[#Headers],[ID]]))))=0,"",INDEX(tsk_ActCostInput,(ROW()-ROW(MSPTasks[[#Headers],[ID]]))))))</f>
        <v/>
      </c>
      <c r="U197" s="24" t="str">
        <f aca="false">IF(IFERROR(INDEX(tsk_Name,(ROW()-ROW(MSPTasks[[#Headers],[ID]])))="",TRUE()),"",IF(INDEX(tsk_IsSummary,(ROW()-ROW(MSPTasks[[#Headers],[ID]]))),"",IF(AND(INDEX(tsk_Mode,(ROW()-ROW(MSPTasks[[#Headers],[ID]])))&lt;&gt;"Manual",N(INDEX(tsk_Constraint,(ROW()-ROW(MSPTasks[[#Headers],[ID]]))))&gt;0),"Start No Earlier Than","As Soon As Possible")))</f>
        <v/>
      </c>
      <c r="V197" s="130" t="str">
        <f aca="false">IF(IFERROR(INDEX(tsk_Name,(ROW()-ROW(MSPTasks[[#Headers],[ID]])))="",TRUE()),"",IF(OR(INDEX(tsk_IsSummary,(ROW()-ROW(MSPTasks[[#Headers],[ID]]))),INDEX(tsk_Mode,(ROW()-ROW(MSPTasks[[#Headers],[ID]])))="Manual"),"",IF(N(INDEX(tsk_Constraint,(ROW()-ROW(MSPTasks[[#Headers],[ID]]))))=0,"",INDEX(tsk_Constraint,(ROW()-ROW(MSPTasks[[#Headers],[ID]]))))))</f>
        <v/>
      </c>
      <c r="W197" s="130" t="str">
        <f aca="false">IF(IFERROR(INDEX(tsk_Name,(ROW()-ROW(MSPTasks[[#Headers],[ID]])))="",TRUE()),"",IF(N(INDEX(tsk_Deadline,(ROW()-ROW(MSPTasks[[#Headers],[ID]]))))=0,"",INDEX(tsk_Deadline,(ROW()-ROW(MSPTasks[[#Headers],[ID]])))))</f>
        <v/>
      </c>
      <c r="X197" s="24" t="str">
        <f aca="false">IF(IFERROR(INDEX(tsk_Name,(ROW()-ROW(MSPTasks[[#Headers],[ID]])))="",TRUE()),"",IF(INDEX(tsk_IsSummary,(ROW()-ROW(MSPTasks[[#Headers],[ID]]))),"",INDEX(tsk_Sprint,(ROW()-ROW(MSPTasks[[#Headers],[ID]])))&amp;""))</f>
        <v/>
      </c>
      <c r="Y197" s="24" t="str">
        <f aca="false">IF(IFERROR(INDEX(tsk_Name,(ROW()-ROW(MSPTasks[[#Headers],[ID]])))="",TRUE()),"",IF(INDEX(tsk_IsSummary,(ROW()-ROW(MSPTasks[[#Headers],[ID]]))),"",IF(N(INDEX(tsk_StoryPoints,(ROW()-ROW(MSPTasks[[#Headers],[ID]]))))=0,"",INDEX(tsk_StoryPoints,(ROW()-ROW(MSPTasks[[#Headers],[ID]]))))))</f>
        <v/>
      </c>
      <c r="Z197" s="24" t="str">
        <f aca="false">IF(IFERROR(INDEX(tsk_Name,(ROW()-ROW(MSPTasks[[#Headers],[ID]])))="",TRUE()),"",INDEX(tsk_Notes,(ROW()-ROW(MSPTasks[[#Headers],[ID]])))&amp;"")</f>
        <v/>
      </c>
    </row>
    <row r="198" customFormat="false" ht="15" hidden="false" customHeight="false" outlineLevel="0" collapsed="false">
      <c r="A198" s="24" t="str">
        <f aca="false">IF(IFERROR(INDEX(tsk_Name,(ROW()-ROW(MSPTasks[[#Headers],[ID]])))="",TRUE()),"",INDEX(tsk_ID,(ROW()-ROW(MSPTasks[[#Headers],[ID]]))))</f>
        <v/>
      </c>
      <c r="B198" s="24" t="str">
        <f aca="false">IF(IFERROR(INDEX(tsk_Name,(ROW()-ROW(MSPTasks[[#Headers],[ID]])))="",TRUE()),"",INDEX(tsk_UID,(ROW()-ROW(MSPTasks[[#Headers],[ID]]))))</f>
        <v/>
      </c>
      <c r="C198" s="24" t="str">
        <f aca="false">IF(IFERROR(INDEX(tsk_Name,(ROW()-ROW(MSPTasks[[#Headers],[ID]])))="",TRUE()),"",INDEX(tsk_Name,(ROW()-ROW(MSPTasks[[#Headers],[ID]]))))</f>
        <v/>
      </c>
      <c r="D198" s="24" t="str">
        <f aca="false">IF(IFERROR(INDEX(tsk_Name,(ROW()-ROW(MSPTasks[[#Headers],[ID]])))="",TRUE()),"",INDEX(tsk_Level,(ROW()-ROW(MSPTasks[[#Headers],[ID]]))))</f>
        <v/>
      </c>
      <c r="E198" s="24" t="str">
        <f aca="false">IF(IFERROR(INDEX(tsk_Name,(ROW()-ROW(MSPTasks[[#Headers],[ID]])))="",TRUE()),"",IF(INDEX(tsk_Mode,(ROW()-ROW(MSPTasks[[#Headers],[ID]])))="Manual","Manually Scheduled","Auto Scheduled"))</f>
        <v/>
      </c>
      <c r="F198" s="24" t="str">
        <f aca="false">IF(IFERROR(INDEX(tsk_Name,(ROW()-ROW(MSPTasks[[#Headers],[ID]])))="",TRUE()),"",IF(INDEX(tsk_IsSummary,(ROW()-ROW(MSPTasks[[#Headers],[ID]]))),"",N(INDEX(tsk_Duration,(ROW()-ROW(MSPTasks[[#Headers],[ID]]))))&amp;"d"))</f>
        <v/>
      </c>
      <c r="G198" s="130" t="str">
        <f aca="false">IF(IFERROR(INDEX(tsk_Name,(ROW()-ROW(MSPTasks[[#Headers],[ID]])))="",TRUE()),"",INDEX(tsk_FcStart,(ROW()-ROW(MSPTasks[[#Headers],[ID]]))))</f>
        <v/>
      </c>
      <c r="H198" s="130" t="str">
        <f aca="false">IF(IFERROR(INDEX(tsk_Name,(ROW()-ROW(MSPTasks[[#Headers],[ID]])))="",TRUE()),"",INDEX(tsk_FcFinish,(ROW()-ROW(MSPTasks[[#Headers],[ID]]))))</f>
        <v/>
      </c>
      <c r="I198" s="24" t="str">
        <f aca="false">IF(IFERROR(INDEX(tsk_Name,(ROW()-ROW(MSPTasks[[#Headers],[ID]])))="",TRUE()),"",IF(INDEX(tsk_IsSummary,(ROW()-ROW(MSPTasks[[#Headers],[ID]]))),"",INDEX(tsk_Predecessors,(ROW()-ROW(MSPTasks[[#Headers],[ID]])))))</f>
        <v/>
      </c>
      <c r="J198" s="24" t="str">
        <f aca="false">IF(IFERROR(INDEX(tsk_Name,(ROW()-ROW(MSPTasks[[#Headers],[ID]])))="",TRUE()),"",IF(INDEX(tsk_IsSummary,(ROW()-ROW(MSPTasks[[#Headers],[ID]]))),"",INDEX(tsk_UIDPredecessors,(ROW()-ROW(MSPTasks[[#Headers],[ID]])))))</f>
        <v/>
      </c>
      <c r="K1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8" s="24" t="str">
        <f aca="false">IF(IFERROR(INDEX(tsk_Name,(ROW()-ROW(MSPTasks[[#Headers],[ID]])))="",TRUE()),"",IF(INDEX(tsk_IsSummary,(ROW()-ROW(MSPTasks[[#Headers],[ID]]))),"",ROUND(INDEX(tsk_Progress,(ROW()-ROW(MSPTasks[[#Headers],[ID]])))*100,0)))</f>
        <v/>
      </c>
      <c r="M198" s="130" t="str">
        <f aca="false">IF(IFERROR(INDEX(tsk_Name,(ROW()-ROW(MSPTasks[[#Headers],[ID]])))="",TRUE()),"",IF(N(INDEX(tsk_ActStart,(ROW()-ROW(MSPTasks[[#Headers],[ID]]))))=0,"",INDEX(tsk_ActStart,(ROW()-ROW(MSPTasks[[#Headers],[ID]])))))</f>
        <v/>
      </c>
      <c r="N198" s="130" t="str">
        <f aca="false">IF(IFERROR(INDEX(tsk_Name,(ROW()-ROW(MSPTasks[[#Headers],[ID]])))="",TRUE()),"",IF(N(INDEX(tsk_ActFinish,(ROW()-ROW(MSPTasks[[#Headers],[ID]]))))=0,"",INDEX(tsk_ActFinish,(ROW()-ROW(MSPTasks[[#Headers],[ID]])))))</f>
        <v/>
      </c>
      <c r="O198" s="130" t="str">
        <f aca="false">IF(IFERROR(INDEX(tsk_Name,(ROW()-ROW(MSPTasks[[#Headers],[ID]])))="",TRUE()),"",INDEX(tsk_PlanStart,(ROW()-ROW(MSPTasks[[#Headers],[ID]]))))</f>
        <v/>
      </c>
      <c r="P198" s="130" t="str">
        <f aca="false">IF(IFERROR(INDEX(tsk_Name,(ROW()-ROW(MSPTasks[[#Headers],[ID]])))="",TRUE()),"",INDEX(tsk_PlanFinish,(ROW()-ROW(MSPTasks[[#Headers],[ID]]))))</f>
        <v/>
      </c>
      <c r="Q198" s="24" t="str">
        <f aca="false">IF(IFERROR(INDEX(tsk_Name,(ROW()-ROW(MSPTasks[[#Headers],[ID]])))="",TRUE()),"",IF(INDEX(tsk_BaseDuration,(ROW()-ROW(MSPTasks[[#Headers],[ID]])))="","",N(INDEX(tsk_BaseDuration,(ROW()-ROW(MSPTasks[[#Headers],[ID]]))))&amp;"d"))</f>
        <v/>
      </c>
      <c r="R198" s="24" t="str">
        <f aca="false">IF(IFERROR(INDEX(tsk_Name,(ROW()-ROW(MSPTasks[[#Headers],[ID]])))="",TRUE()),"",IF(INDEX(tsk_BaseWork,(ROW()-ROW(MSPTasks[[#Headers],[ID]])))="","",N(INDEX(tsk_BaseWork,(ROW()-ROW(MSPTasks[[#Headers],[ID]]))))&amp;"h"))</f>
        <v/>
      </c>
      <c r="S198" s="24" t="str">
        <f aca="false">IF(IFERROR(INDEX(tsk_Name,(ROW()-ROW(MSPTasks[[#Headers],[ID]])))="",TRUE()),"",IF(INDEX(tsk_BaseCost,(ROW()-ROW(MSPTasks[[#Headers],[ID]])))="","",N(INDEX(tsk_BaseCost,(ROW()-ROW(MSPTasks[[#Headers],[ID]]))))))</f>
        <v/>
      </c>
      <c r="T198" s="24" t="str">
        <f aca="false">IF(IFERROR(INDEX(tsk_Name,(ROW()-ROW(MSPTasks[[#Headers],[ID]])))="",TRUE()),"",IF(INDEX(tsk_IsSummary,(ROW()-ROW(MSPTasks[[#Headers],[ID]]))),"",IF(N(INDEX(tsk_ActCostInput,(ROW()-ROW(MSPTasks[[#Headers],[ID]]))))=0,"",INDEX(tsk_ActCostInput,(ROW()-ROW(MSPTasks[[#Headers],[ID]]))))))</f>
        <v/>
      </c>
      <c r="U198" s="24" t="str">
        <f aca="false">IF(IFERROR(INDEX(tsk_Name,(ROW()-ROW(MSPTasks[[#Headers],[ID]])))="",TRUE()),"",IF(INDEX(tsk_IsSummary,(ROW()-ROW(MSPTasks[[#Headers],[ID]]))),"",IF(AND(INDEX(tsk_Mode,(ROW()-ROW(MSPTasks[[#Headers],[ID]])))&lt;&gt;"Manual",N(INDEX(tsk_Constraint,(ROW()-ROW(MSPTasks[[#Headers],[ID]]))))&gt;0),"Start No Earlier Than","As Soon As Possible")))</f>
        <v/>
      </c>
      <c r="V198" s="130" t="str">
        <f aca="false">IF(IFERROR(INDEX(tsk_Name,(ROW()-ROW(MSPTasks[[#Headers],[ID]])))="",TRUE()),"",IF(OR(INDEX(tsk_IsSummary,(ROW()-ROW(MSPTasks[[#Headers],[ID]]))),INDEX(tsk_Mode,(ROW()-ROW(MSPTasks[[#Headers],[ID]])))="Manual"),"",IF(N(INDEX(tsk_Constraint,(ROW()-ROW(MSPTasks[[#Headers],[ID]]))))=0,"",INDEX(tsk_Constraint,(ROW()-ROW(MSPTasks[[#Headers],[ID]]))))))</f>
        <v/>
      </c>
      <c r="W198" s="130" t="str">
        <f aca="false">IF(IFERROR(INDEX(tsk_Name,(ROW()-ROW(MSPTasks[[#Headers],[ID]])))="",TRUE()),"",IF(N(INDEX(tsk_Deadline,(ROW()-ROW(MSPTasks[[#Headers],[ID]]))))=0,"",INDEX(tsk_Deadline,(ROW()-ROW(MSPTasks[[#Headers],[ID]])))))</f>
        <v/>
      </c>
      <c r="X198" s="24" t="str">
        <f aca="false">IF(IFERROR(INDEX(tsk_Name,(ROW()-ROW(MSPTasks[[#Headers],[ID]])))="",TRUE()),"",IF(INDEX(tsk_IsSummary,(ROW()-ROW(MSPTasks[[#Headers],[ID]]))),"",INDEX(tsk_Sprint,(ROW()-ROW(MSPTasks[[#Headers],[ID]])))&amp;""))</f>
        <v/>
      </c>
      <c r="Y198" s="24" t="str">
        <f aca="false">IF(IFERROR(INDEX(tsk_Name,(ROW()-ROW(MSPTasks[[#Headers],[ID]])))="",TRUE()),"",IF(INDEX(tsk_IsSummary,(ROW()-ROW(MSPTasks[[#Headers],[ID]]))),"",IF(N(INDEX(tsk_StoryPoints,(ROW()-ROW(MSPTasks[[#Headers],[ID]]))))=0,"",INDEX(tsk_StoryPoints,(ROW()-ROW(MSPTasks[[#Headers],[ID]]))))))</f>
        <v/>
      </c>
      <c r="Z198" s="24" t="str">
        <f aca="false">IF(IFERROR(INDEX(tsk_Name,(ROW()-ROW(MSPTasks[[#Headers],[ID]])))="",TRUE()),"",INDEX(tsk_Notes,(ROW()-ROW(MSPTasks[[#Headers],[ID]])))&amp;"")</f>
        <v/>
      </c>
    </row>
    <row r="199" customFormat="false" ht="15" hidden="false" customHeight="false" outlineLevel="0" collapsed="false">
      <c r="A199" s="24" t="str">
        <f aca="false">IF(IFERROR(INDEX(tsk_Name,(ROW()-ROW(MSPTasks[[#Headers],[ID]])))="",TRUE()),"",INDEX(tsk_ID,(ROW()-ROW(MSPTasks[[#Headers],[ID]]))))</f>
        <v/>
      </c>
      <c r="B199" s="24" t="str">
        <f aca="false">IF(IFERROR(INDEX(tsk_Name,(ROW()-ROW(MSPTasks[[#Headers],[ID]])))="",TRUE()),"",INDEX(tsk_UID,(ROW()-ROW(MSPTasks[[#Headers],[ID]]))))</f>
        <v/>
      </c>
      <c r="C199" s="24" t="str">
        <f aca="false">IF(IFERROR(INDEX(tsk_Name,(ROW()-ROW(MSPTasks[[#Headers],[ID]])))="",TRUE()),"",INDEX(tsk_Name,(ROW()-ROW(MSPTasks[[#Headers],[ID]]))))</f>
        <v/>
      </c>
      <c r="D199" s="24" t="str">
        <f aca="false">IF(IFERROR(INDEX(tsk_Name,(ROW()-ROW(MSPTasks[[#Headers],[ID]])))="",TRUE()),"",INDEX(tsk_Level,(ROW()-ROW(MSPTasks[[#Headers],[ID]]))))</f>
        <v/>
      </c>
      <c r="E199" s="24" t="str">
        <f aca="false">IF(IFERROR(INDEX(tsk_Name,(ROW()-ROW(MSPTasks[[#Headers],[ID]])))="",TRUE()),"",IF(INDEX(tsk_Mode,(ROW()-ROW(MSPTasks[[#Headers],[ID]])))="Manual","Manually Scheduled","Auto Scheduled"))</f>
        <v/>
      </c>
      <c r="F199" s="24" t="str">
        <f aca="false">IF(IFERROR(INDEX(tsk_Name,(ROW()-ROW(MSPTasks[[#Headers],[ID]])))="",TRUE()),"",IF(INDEX(tsk_IsSummary,(ROW()-ROW(MSPTasks[[#Headers],[ID]]))),"",N(INDEX(tsk_Duration,(ROW()-ROW(MSPTasks[[#Headers],[ID]]))))&amp;"d"))</f>
        <v/>
      </c>
      <c r="G199" s="130" t="str">
        <f aca="false">IF(IFERROR(INDEX(tsk_Name,(ROW()-ROW(MSPTasks[[#Headers],[ID]])))="",TRUE()),"",INDEX(tsk_FcStart,(ROW()-ROW(MSPTasks[[#Headers],[ID]]))))</f>
        <v/>
      </c>
      <c r="H199" s="130" t="str">
        <f aca="false">IF(IFERROR(INDEX(tsk_Name,(ROW()-ROW(MSPTasks[[#Headers],[ID]])))="",TRUE()),"",INDEX(tsk_FcFinish,(ROW()-ROW(MSPTasks[[#Headers],[ID]]))))</f>
        <v/>
      </c>
      <c r="I199" s="24" t="str">
        <f aca="false">IF(IFERROR(INDEX(tsk_Name,(ROW()-ROW(MSPTasks[[#Headers],[ID]])))="",TRUE()),"",IF(INDEX(tsk_IsSummary,(ROW()-ROW(MSPTasks[[#Headers],[ID]]))),"",INDEX(tsk_Predecessors,(ROW()-ROW(MSPTasks[[#Headers],[ID]])))))</f>
        <v/>
      </c>
      <c r="J199" s="24" t="str">
        <f aca="false">IF(IFERROR(INDEX(tsk_Name,(ROW()-ROW(MSPTasks[[#Headers],[ID]])))="",TRUE()),"",IF(INDEX(tsk_IsSummary,(ROW()-ROW(MSPTasks[[#Headers],[ID]]))),"",INDEX(tsk_UIDPredecessors,(ROW()-ROW(MSPTasks[[#Headers],[ID]])))))</f>
        <v/>
      </c>
      <c r="K1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9" s="24" t="str">
        <f aca="false">IF(IFERROR(INDEX(tsk_Name,(ROW()-ROW(MSPTasks[[#Headers],[ID]])))="",TRUE()),"",IF(INDEX(tsk_IsSummary,(ROW()-ROW(MSPTasks[[#Headers],[ID]]))),"",ROUND(INDEX(tsk_Progress,(ROW()-ROW(MSPTasks[[#Headers],[ID]])))*100,0)))</f>
        <v/>
      </c>
      <c r="M199" s="130" t="str">
        <f aca="false">IF(IFERROR(INDEX(tsk_Name,(ROW()-ROW(MSPTasks[[#Headers],[ID]])))="",TRUE()),"",IF(N(INDEX(tsk_ActStart,(ROW()-ROW(MSPTasks[[#Headers],[ID]]))))=0,"",INDEX(tsk_ActStart,(ROW()-ROW(MSPTasks[[#Headers],[ID]])))))</f>
        <v/>
      </c>
      <c r="N199" s="130" t="str">
        <f aca="false">IF(IFERROR(INDEX(tsk_Name,(ROW()-ROW(MSPTasks[[#Headers],[ID]])))="",TRUE()),"",IF(N(INDEX(tsk_ActFinish,(ROW()-ROW(MSPTasks[[#Headers],[ID]]))))=0,"",INDEX(tsk_ActFinish,(ROW()-ROW(MSPTasks[[#Headers],[ID]])))))</f>
        <v/>
      </c>
      <c r="O199" s="130" t="str">
        <f aca="false">IF(IFERROR(INDEX(tsk_Name,(ROW()-ROW(MSPTasks[[#Headers],[ID]])))="",TRUE()),"",INDEX(tsk_PlanStart,(ROW()-ROW(MSPTasks[[#Headers],[ID]]))))</f>
        <v/>
      </c>
      <c r="P199" s="130" t="str">
        <f aca="false">IF(IFERROR(INDEX(tsk_Name,(ROW()-ROW(MSPTasks[[#Headers],[ID]])))="",TRUE()),"",INDEX(tsk_PlanFinish,(ROW()-ROW(MSPTasks[[#Headers],[ID]]))))</f>
        <v/>
      </c>
      <c r="Q199" s="24" t="str">
        <f aca="false">IF(IFERROR(INDEX(tsk_Name,(ROW()-ROW(MSPTasks[[#Headers],[ID]])))="",TRUE()),"",IF(INDEX(tsk_BaseDuration,(ROW()-ROW(MSPTasks[[#Headers],[ID]])))="","",N(INDEX(tsk_BaseDuration,(ROW()-ROW(MSPTasks[[#Headers],[ID]]))))&amp;"d"))</f>
        <v/>
      </c>
      <c r="R199" s="24" t="str">
        <f aca="false">IF(IFERROR(INDEX(tsk_Name,(ROW()-ROW(MSPTasks[[#Headers],[ID]])))="",TRUE()),"",IF(INDEX(tsk_BaseWork,(ROW()-ROW(MSPTasks[[#Headers],[ID]])))="","",N(INDEX(tsk_BaseWork,(ROW()-ROW(MSPTasks[[#Headers],[ID]]))))&amp;"h"))</f>
        <v/>
      </c>
      <c r="S199" s="24" t="str">
        <f aca="false">IF(IFERROR(INDEX(tsk_Name,(ROW()-ROW(MSPTasks[[#Headers],[ID]])))="",TRUE()),"",IF(INDEX(tsk_BaseCost,(ROW()-ROW(MSPTasks[[#Headers],[ID]])))="","",N(INDEX(tsk_BaseCost,(ROW()-ROW(MSPTasks[[#Headers],[ID]]))))))</f>
        <v/>
      </c>
      <c r="T199" s="24" t="str">
        <f aca="false">IF(IFERROR(INDEX(tsk_Name,(ROW()-ROW(MSPTasks[[#Headers],[ID]])))="",TRUE()),"",IF(INDEX(tsk_IsSummary,(ROW()-ROW(MSPTasks[[#Headers],[ID]]))),"",IF(N(INDEX(tsk_ActCostInput,(ROW()-ROW(MSPTasks[[#Headers],[ID]]))))=0,"",INDEX(tsk_ActCostInput,(ROW()-ROW(MSPTasks[[#Headers],[ID]]))))))</f>
        <v/>
      </c>
      <c r="U199" s="24" t="str">
        <f aca="false">IF(IFERROR(INDEX(tsk_Name,(ROW()-ROW(MSPTasks[[#Headers],[ID]])))="",TRUE()),"",IF(INDEX(tsk_IsSummary,(ROW()-ROW(MSPTasks[[#Headers],[ID]]))),"",IF(AND(INDEX(tsk_Mode,(ROW()-ROW(MSPTasks[[#Headers],[ID]])))&lt;&gt;"Manual",N(INDEX(tsk_Constraint,(ROW()-ROW(MSPTasks[[#Headers],[ID]]))))&gt;0),"Start No Earlier Than","As Soon As Possible")))</f>
        <v/>
      </c>
      <c r="V199" s="130" t="str">
        <f aca="false">IF(IFERROR(INDEX(tsk_Name,(ROW()-ROW(MSPTasks[[#Headers],[ID]])))="",TRUE()),"",IF(OR(INDEX(tsk_IsSummary,(ROW()-ROW(MSPTasks[[#Headers],[ID]]))),INDEX(tsk_Mode,(ROW()-ROW(MSPTasks[[#Headers],[ID]])))="Manual"),"",IF(N(INDEX(tsk_Constraint,(ROW()-ROW(MSPTasks[[#Headers],[ID]]))))=0,"",INDEX(tsk_Constraint,(ROW()-ROW(MSPTasks[[#Headers],[ID]]))))))</f>
        <v/>
      </c>
      <c r="W199" s="130" t="str">
        <f aca="false">IF(IFERROR(INDEX(tsk_Name,(ROW()-ROW(MSPTasks[[#Headers],[ID]])))="",TRUE()),"",IF(N(INDEX(tsk_Deadline,(ROW()-ROW(MSPTasks[[#Headers],[ID]]))))=0,"",INDEX(tsk_Deadline,(ROW()-ROW(MSPTasks[[#Headers],[ID]])))))</f>
        <v/>
      </c>
      <c r="X199" s="24" t="str">
        <f aca="false">IF(IFERROR(INDEX(tsk_Name,(ROW()-ROW(MSPTasks[[#Headers],[ID]])))="",TRUE()),"",IF(INDEX(tsk_IsSummary,(ROW()-ROW(MSPTasks[[#Headers],[ID]]))),"",INDEX(tsk_Sprint,(ROW()-ROW(MSPTasks[[#Headers],[ID]])))&amp;""))</f>
        <v/>
      </c>
      <c r="Y199" s="24" t="str">
        <f aca="false">IF(IFERROR(INDEX(tsk_Name,(ROW()-ROW(MSPTasks[[#Headers],[ID]])))="",TRUE()),"",IF(INDEX(tsk_IsSummary,(ROW()-ROW(MSPTasks[[#Headers],[ID]]))),"",IF(N(INDEX(tsk_StoryPoints,(ROW()-ROW(MSPTasks[[#Headers],[ID]]))))=0,"",INDEX(tsk_StoryPoints,(ROW()-ROW(MSPTasks[[#Headers],[ID]]))))))</f>
        <v/>
      </c>
      <c r="Z199" s="24" t="str">
        <f aca="false">IF(IFERROR(INDEX(tsk_Name,(ROW()-ROW(MSPTasks[[#Headers],[ID]])))="",TRUE()),"",INDEX(tsk_Notes,(ROW()-ROW(MSPTasks[[#Headers],[ID]])))&amp;"")</f>
        <v/>
      </c>
    </row>
    <row r="200" customFormat="false" ht="15" hidden="false" customHeight="false" outlineLevel="0" collapsed="false">
      <c r="A200" s="24" t="str">
        <f aca="false">IF(IFERROR(INDEX(tsk_Name,(ROW()-ROW(MSPTasks[[#Headers],[ID]])))="",TRUE()),"",INDEX(tsk_ID,(ROW()-ROW(MSPTasks[[#Headers],[ID]]))))</f>
        <v/>
      </c>
      <c r="B200" s="24" t="str">
        <f aca="false">IF(IFERROR(INDEX(tsk_Name,(ROW()-ROW(MSPTasks[[#Headers],[ID]])))="",TRUE()),"",INDEX(tsk_UID,(ROW()-ROW(MSPTasks[[#Headers],[ID]]))))</f>
        <v/>
      </c>
      <c r="C200" s="24" t="str">
        <f aca="false">IF(IFERROR(INDEX(tsk_Name,(ROW()-ROW(MSPTasks[[#Headers],[ID]])))="",TRUE()),"",INDEX(tsk_Name,(ROW()-ROW(MSPTasks[[#Headers],[ID]]))))</f>
        <v/>
      </c>
      <c r="D200" s="24" t="str">
        <f aca="false">IF(IFERROR(INDEX(tsk_Name,(ROW()-ROW(MSPTasks[[#Headers],[ID]])))="",TRUE()),"",INDEX(tsk_Level,(ROW()-ROW(MSPTasks[[#Headers],[ID]]))))</f>
        <v/>
      </c>
      <c r="E200" s="24" t="str">
        <f aca="false">IF(IFERROR(INDEX(tsk_Name,(ROW()-ROW(MSPTasks[[#Headers],[ID]])))="",TRUE()),"",IF(INDEX(tsk_Mode,(ROW()-ROW(MSPTasks[[#Headers],[ID]])))="Manual","Manually Scheduled","Auto Scheduled"))</f>
        <v/>
      </c>
      <c r="F200" s="24" t="str">
        <f aca="false">IF(IFERROR(INDEX(tsk_Name,(ROW()-ROW(MSPTasks[[#Headers],[ID]])))="",TRUE()),"",IF(INDEX(tsk_IsSummary,(ROW()-ROW(MSPTasks[[#Headers],[ID]]))),"",N(INDEX(tsk_Duration,(ROW()-ROW(MSPTasks[[#Headers],[ID]]))))&amp;"d"))</f>
        <v/>
      </c>
      <c r="G200" s="130" t="str">
        <f aca="false">IF(IFERROR(INDEX(tsk_Name,(ROW()-ROW(MSPTasks[[#Headers],[ID]])))="",TRUE()),"",INDEX(tsk_FcStart,(ROW()-ROW(MSPTasks[[#Headers],[ID]]))))</f>
        <v/>
      </c>
      <c r="H200" s="130" t="str">
        <f aca="false">IF(IFERROR(INDEX(tsk_Name,(ROW()-ROW(MSPTasks[[#Headers],[ID]])))="",TRUE()),"",INDEX(tsk_FcFinish,(ROW()-ROW(MSPTasks[[#Headers],[ID]]))))</f>
        <v/>
      </c>
      <c r="I200" s="24" t="str">
        <f aca="false">IF(IFERROR(INDEX(tsk_Name,(ROW()-ROW(MSPTasks[[#Headers],[ID]])))="",TRUE()),"",IF(INDEX(tsk_IsSummary,(ROW()-ROW(MSPTasks[[#Headers],[ID]]))),"",INDEX(tsk_Predecessors,(ROW()-ROW(MSPTasks[[#Headers],[ID]])))))</f>
        <v/>
      </c>
      <c r="J200" s="24" t="str">
        <f aca="false">IF(IFERROR(INDEX(tsk_Name,(ROW()-ROW(MSPTasks[[#Headers],[ID]])))="",TRUE()),"",IF(INDEX(tsk_IsSummary,(ROW()-ROW(MSPTasks[[#Headers],[ID]]))),"",INDEX(tsk_UIDPredecessors,(ROW()-ROW(MSPTasks[[#Headers],[ID]])))))</f>
        <v/>
      </c>
      <c r="K2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0" s="24" t="str">
        <f aca="false">IF(IFERROR(INDEX(tsk_Name,(ROW()-ROW(MSPTasks[[#Headers],[ID]])))="",TRUE()),"",IF(INDEX(tsk_IsSummary,(ROW()-ROW(MSPTasks[[#Headers],[ID]]))),"",ROUND(INDEX(tsk_Progress,(ROW()-ROW(MSPTasks[[#Headers],[ID]])))*100,0)))</f>
        <v/>
      </c>
      <c r="M200" s="130" t="str">
        <f aca="false">IF(IFERROR(INDEX(tsk_Name,(ROW()-ROW(MSPTasks[[#Headers],[ID]])))="",TRUE()),"",IF(N(INDEX(tsk_ActStart,(ROW()-ROW(MSPTasks[[#Headers],[ID]]))))=0,"",INDEX(tsk_ActStart,(ROW()-ROW(MSPTasks[[#Headers],[ID]])))))</f>
        <v/>
      </c>
      <c r="N200" s="130" t="str">
        <f aca="false">IF(IFERROR(INDEX(tsk_Name,(ROW()-ROW(MSPTasks[[#Headers],[ID]])))="",TRUE()),"",IF(N(INDEX(tsk_ActFinish,(ROW()-ROW(MSPTasks[[#Headers],[ID]]))))=0,"",INDEX(tsk_ActFinish,(ROW()-ROW(MSPTasks[[#Headers],[ID]])))))</f>
        <v/>
      </c>
      <c r="O200" s="130" t="str">
        <f aca="false">IF(IFERROR(INDEX(tsk_Name,(ROW()-ROW(MSPTasks[[#Headers],[ID]])))="",TRUE()),"",INDEX(tsk_PlanStart,(ROW()-ROW(MSPTasks[[#Headers],[ID]]))))</f>
        <v/>
      </c>
      <c r="P200" s="130" t="str">
        <f aca="false">IF(IFERROR(INDEX(tsk_Name,(ROW()-ROW(MSPTasks[[#Headers],[ID]])))="",TRUE()),"",INDEX(tsk_PlanFinish,(ROW()-ROW(MSPTasks[[#Headers],[ID]]))))</f>
        <v/>
      </c>
      <c r="Q200" s="24" t="str">
        <f aca="false">IF(IFERROR(INDEX(tsk_Name,(ROW()-ROW(MSPTasks[[#Headers],[ID]])))="",TRUE()),"",IF(INDEX(tsk_BaseDuration,(ROW()-ROW(MSPTasks[[#Headers],[ID]])))="","",N(INDEX(tsk_BaseDuration,(ROW()-ROW(MSPTasks[[#Headers],[ID]]))))&amp;"d"))</f>
        <v/>
      </c>
      <c r="R200" s="24" t="str">
        <f aca="false">IF(IFERROR(INDEX(tsk_Name,(ROW()-ROW(MSPTasks[[#Headers],[ID]])))="",TRUE()),"",IF(INDEX(tsk_BaseWork,(ROW()-ROW(MSPTasks[[#Headers],[ID]])))="","",N(INDEX(tsk_BaseWork,(ROW()-ROW(MSPTasks[[#Headers],[ID]]))))&amp;"h"))</f>
        <v/>
      </c>
      <c r="S200" s="24" t="str">
        <f aca="false">IF(IFERROR(INDEX(tsk_Name,(ROW()-ROW(MSPTasks[[#Headers],[ID]])))="",TRUE()),"",IF(INDEX(tsk_BaseCost,(ROW()-ROW(MSPTasks[[#Headers],[ID]])))="","",N(INDEX(tsk_BaseCost,(ROW()-ROW(MSPTasks[[#Headers],[ID]]))))))</f>
        <v/>
      </c>
      <c r="T200" s="24" t="str">
        <f aca="false">IF(IFERROR(INDEX(tsk_Name,(ROW()-ROW(MSPTasks[[#Headers],[ID]])))="",TRUE()),"",IF(INDEX(tsk_IsSummary,(ROW()-ROW(MSPTasks[[#Headers],[ID]]))),"",IF(N(INDEX(tsk_ActCostInput,(ROW()-ROW(MSPTasks[[#Headers],[ID]]))))=0,"",INDEX(tsk_ActCostInput,(ROW()-ROW(MSPTasks[[#Headers],[ID]]))))))</f>
        <v/>
      </c>
      <c r="U200" s="24" t="str">
        <f aca="false">IF(IFERROR(INDEX(tsk_Name,(ROW()-ROW(MSPTasks[[#Headers],[ID]])))="",TRUE()),"",IF(INDEX(tsk_IsSummary,(ROW()-ROW(MSPTasks[[#Headers],[ID]]))),"",IF(AND(INDEX(tsk_Mode,(ROW()-ROW(MSPTasks[[#Headers],[ID]])))&lt;&gt;"Manual",N(INDEX(tsk_Constraint,(ROW()-ROW(MSPTasks[[#Headers],[ID]]))))&gt;0),"Start No Earlier Than","As Soon As Possible")))</f>
        <v/>
      </c>
      <c r="V200" s="130" t="str">
        <f aca="false">IF(IFERROR(INDEX(tsk_Name,(ROW()-ROW(MSPTasks[[#Headers],[ID]])))="",TRUE()),"",IF(OR(INDEX(tsk_IsSummary,(ROW()-ROW(MSPTasks[[#Headers],[ID]]))),INDEX(tsk_Mode,(ROW()-ROW(MSPTasks[[#Headers],[ID]])))="Manual"),"",IF(N(INDEX(tsk_Constraint,(ROW()-ROW(MSPTasks[[#Headers],[ID]]))))=0,"",INDEX(tsk_Constraint,(ROW()-ROW(MSPTasks[[#Headers],[ID]]))))))</f>
        <v/>
      </c>
      <c r="W200" s="130" t="str">
        <f aca="false">IF(IFERROR(INDEX(tsk_Name,(ROW()-ROW(MSPTasks[[#Headers],[ID]])))="",TRUE()),"",IF(N(INDEX(tsk_Deadline,(ROW()-ROW(MSPTasks[[#Headers],[ID]]))))=0,"",INDEX(tsk_Deadline,(ROW()-ROW(MSPTasks[[#Headers],[ID]])))))</f>
        <v/>
      </c>
      <c r="X200" s="24" t="str">
        <f aca="false">IF(IFERROR(INDEX(tsk_Name,(ROW()-ROW(MSPTasks[[#Headers],[ID]])))="",TRUE()),"",IF(INDEX(tsk_IsSummary,(ROW()-ROW(MSPTasks[[#Headers],[ID]]))),"",INDEX(tsk_Sprint,(ROW()-ROW(MSPTasks[[#Headers],[ID]])))&amp;""))</f>
        <v/>
      </c>
      <c r="Y200" s="24" t="str">
        <f aca="false">IF(IFERROR(INDEX(tsk_Name,(ROW()-ROW(MSPTasks[[#Headers],[ID]])))="",TRUE()),"",IF(INDEX(tsk_IsSummary,(ROW()-ROW(MSPTasks[[#Headers],[ID]]))),"",IF(N(INDEX(tsk_StoryPoints,(ROW()-ROW(MSPTasks[[#Headers],[ID]]))))=0,"",INDEX(tsk_StoryPoints,(ROW()-ROW(MSPTasks[[#Headers],[ID]]))))))</f>
        <v/>
      </c>
      <c r="Z200" s="24" t="str">
        <f aca="false">IF(IFERROR(INDEX(tsk_Name,(ROW()-ROW(MSPTasks[[#Headers],[ID]])))="",TRUE()),"",INDEX(tsk_Notes,(ROW()-ROW(MSPTasks[[#Headers],[ID]])))&amp;"")</f>
        <v/>
      </c>
    </row>
    <row r="201" customFormat="false" ht="15" hidden="false" customHeight="false" outlineLevel="0" collapsed="false">
      <c r="A201" s="24" t="str">
        <f aca="false">IF(IFERROR(INDEX(tsk_Name,(ROW()-ROW(MSPTasks[[#Headers],[ID]])))="",TRUE()),"",INDEX(tsk_ID,(ROW()-ROW(MSPTasks[[#Headers],[ID]]))))</f>
        <v/>
      </c>
      <c r="B201" s="24" t="str">
        <f aca="false">IF(IFERROR(INDEX(tsk_Name,(ROW()-ROW(MSPTasks[[#Headers],[ID]])))="",TRUE()),"",INDEX(tsk_UID,(ROW()-ROW(MSPTasks[[#Headers],[ID]]))))</f>
        <v/>
      </c>
      <c r="C201" s="24" t="str">
        <f aca="false">IF(IFERROR(INDEX(tsk_Name,(ROW()-ROW(MSPTasks[[#Headers],[ID]])))="",TRUE()),"",INDEX(tsk_Name,(ROW()-ROW(MSPTasks[[#Headers],[ID]]))))</f>
        <v/>
      </c>
      <c r="D201" s="24" t="str">
        <f aca="false">IF(IFERROR(INDEX(tsk_Name,(ROW()-ROW(MSPTasks[[#Headers],[ID]])))="",TRUE()),"",INDEX(tsk_Level,(ROW()-ROW(MSPTasks[[#Headers],[ID]]))))</f>
        <v/>
      </c>
      <c r="E201" s="24" t="str">
        <f aca="false">IF(IFERROR(INDEX(tsk_Name,(ROW()-ROW(MSPTasks[[#Headers],[ID]])))="",TRUE()),"",IF(INDEX(tsk_Mode,(ROW()-ROW(MSPTasks[[#Headers],[ID]])))="Manual","Manually Scheduled","Auto Scheduled"))</f>
        <v/>
      </c>
      <c r="F201" s="24" t="str">
        <f aca="false">IF(IFERROR(INDEX(tsk_Name,(ROW()-ROW(MSPTasks[[#Headers],[ID]])))="",TRUE()),"",IF(INDEX(tsk_IsSummary,(ROW()-ROW(MSPTasks[[#Headers],[ID]]))),"",N(INDEX(tsk_Duration,(ROW()-ROW(MSPTasks[[#Headers],[ID]]))))&amp;"d"))</f>
        <v/>
      </c>
      <c r="G201" s="130" t="str">
        <f aca="false">IF(IFERROR(INDEX(tsk_Name,(ROW()-ROW(MSPTasks[[#Headers],[ID]])))="",TRUE()),"",INDEX(tsk_FcStart,(ROW()-ROW(MSPTasks[[#Headers],[ID]]))))</f>
        <v/>
      </c>
      <c r="H201" s="130" t="str">
        <f aca="false">IF(IFERROR(INDEX(tsk_Name,(ROW()-ROW(MSPTasks[[#Headers],[ID]])))="",TRUE()),"",INDEX(tsk_FcFinish,(ROW()-ROW(MSPTasks[[#Headers],[ID]]))))</f>
        <v/>
      </c>
      <c r="I201" s="24" t="str">
        <f aca="false">IF(IFERROR(INDEX(tsk_Name,(ROW()-ROW(MSPTasks[[#Headers],[ID]])))="",TRUE()),"",IF(INDEX(tsk_IsSummary,(ROW()-ROW(MSPTasks[[#Headers],[ID]]))),"",INDEX(tsk_Predecessors,(ROW()-ROW(MSPTasks[[#Headers],[ID]])))))</f>
        <v/>
      </c>
      <c r="J201" s="24" t="str">
        <f aca="false">IF(IFERROR(INDEX(tsk_Name,(ROW()-ROW(MSPTasks[[#Headers],[ID]])))="",TRUE()),"",IF(INDEX(tsk_IsSummary,(ROW()-ROW(MSPTasks[[#Headers],[ID]]))),"",INDEX(tsk_UIDPredecessors,(ROW()-ROW(MSPTasks[[#Headers],[ID]])))))</f>
        <v/>
      </c>
      <c r="K2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1" s="24" t="str">
        <f aca="false">IF(IFERROR(INDEX(tsk_Name,(ROW()-ROW(MSPTasks[[#Headers],[ID]])))="",TRUE()),"",IF(INDEX(tsk_IsSummary,(ROW()-ROW(MSPTasks[[#Headers],[ID]]))),"",ROUND(INDEX(tsk_Progress,(ROW()-ROW(MSPTasks[[#Headers],[ID]])))*100,0)))</f>
        <v/>
      </c>
      <c r="M201" s="130" t="str">
        <f aca="false">IF(IFERROR(INDEX(tsk_Name,(ROW()-ROW(MSPTasks[[#Headers],[ID]])))="",TRUE()),"",IF(N(INDEX(tsk_ActStart,(ROW()-ROW(MSPTasks[[#Headers],[ID]]))))=0,"",INDEX(tsk_ActStart,(ROW()-ROW(MSPTasks[[#Headers],[ID]])))))</f>
        <v/>
      </c>
      <c r="N201" s="130" t="str">
        <f aca="false">IF(IFERROR(INDEX(tsk_Name,(ROW()-ROW(MSPTasks[[#Headers],[ID]])))="",TRUE()),"",IF(N(INDEX(tsk_ActFinish,(ROW()-ROW(MSPTasks[[#Headers],[ID]]))))=0,"",INDEX(tsk_ActFinish,(ROW()-ROW(MSPTasks[[#Headers],[ID]])))))</f>
        <v/>
      </c>
      <c r="O201" s="130" t="str">
        <f aca="false">IF(IFERROR(INDEX(tsk_Name,(ROW()-ROW(MSPTasks[[#Headers],[ID]])))="",TRUE()),"",INDEX(tsk_PlanStart,(ROW()-ROW(MSPTasks[[#Headers],[ID]]))))</f>
        <v/>
      </c>
      <c r="P201" s="130" t="str">
        <f aca="false">IF(IFERROR(INDEX(tsk_Name,(ROW()-ROW(MSPTasks[[#Headers],[ID]])))="",TRUE()),"",INDEX(tsk_PlanFinish,(ROW()-ROW(MSPTasks[[#Headers],[ID]]))))</f>
        <v/>
      </c>
      <c r="Q201" s="24" t="str">
        <f aca="false">IF(IFERROR(INDEX(tsk_Name,(ROW()-ROW(MSPTasks[[#Headers],[ID]])))="",TRUE()),"",IF(INDEX(tsk_BaseDuration,(ROW()-ROW(MSPTasks[[#Headers],[ID]])))="","",N(INDEX(tsk_BaseDuration,(ROW()-ROW(MSPTasks[[#Headers],[ID]]))))&amp;"d"))</f>
        <v/>
      </c>
      <c r="R201" s="24" t="str">
        <f aca="false">IF(IFERROR(INDEX(tsk_Name,(ROW()-ROW(MSPTasks[[#Headers],[ID]])))="",TRUE()),"",IF(INDEX(tsk_BaseWork,(ROW()-ROW(MSPTasks[[#Headers],[ID]])))="","",N(INDEX(tsk_BaseWork,(ROW()-ROW(MSPTasks[[#Headers],[ID]]))))&amp;"h"))</f>
        <v/>
      </c>
      <c r="S201" s="24" t="str">
        <f aca="false">IF(IFERROR(INDEX(tsk_Name,(ROW()-ROW(MSPTasks[[#Headers],[ID]])))="",TRUE()),"",IF(INDEX(tsk_BaseCost,(ROW()-ROW(MSPTasks[[#Headers],[ID]])))="","",N(INDEX(tsk_BaseCost,(ROW()-ROW(MSPTasks[[#Headers],[ID]]))))))</f>
        <v/>
      </c>
      <c r="T201" s="24" t="str">
        <f aca="false">IF(IFERROR(INDEX(tsk_Name,(ROW()-ROW(MSPTasks[[#Headers],[ID]])))="",TRUE()),"",IF(INDEX(tsk_IsSummary,(ROW()-ROW(MSPTasks[[#Headers],[ID]]))),"",IF(N(INDEX(tsk_ActCostInput,(ROW()-ROW(MSPTasks[[#Headers],[ID]]))))=0,"",INDEX(tsk_ActCostInput,(ROW()-ROW(MSPTasks[[#Headers],[ID]]))))))</f>
        <v/>
      </c>
      <c r="U201" s="24" t="str">
        <f aca="false">IF(IFERROR(INDEX(tsk_Name,(ROW()-ROW(MSPTasks[[#Headers],[ID]])))="",TRUE()),"",IF(INDEX(tsk_IsSummary,(ROW()-ROW(MSPTasks[[#Headers],[ID]]))),"",IF(AND(INDEX(tsk_Mode,(ROW()-ROW(MSPTasks[[#Headers],[ID]])))&lt;&gt;"Manual",N(INDEX(tsk_Constraint,(ROW()-ROW(MSPTasks[[#Headers],[ID]]))))&gt;0),"Start No Earlier Than","As Soon As Possible")))</f>
        <v/>
      </c>
      <c r="V201" s="130" t="str">
        <f aca="false">IF(IFERROR(INDEX(tsk_Name,(ROW()-ROW(MSPTasks[[#Headers],[ID]])))="",TRUE()),"",IF(OR(INDEX(tsk_IsSummary,(ROW()-ROW(MSPTasks[[#Headers],[ID]]))),INDEX(tsk_Mode,(ROW()-ROW(MSPTasks[[#Headers],[ID]])))="Manual"),"",IF(N(INDEX(tsk_Constraint,(ROW()-ROW(MSPTasks[[#Headers],[ID]]))))=0,"",INDEX(tsk_Constraint,(ROW()-ROW(MSPTasks[[#Headers],[ID]]))))))</f>
        <v/>
      </c>
      <c r="W201" s="130" t="str">
        <f aca="false">IF(IFERROR(INDEX(tsk_Name,(ROW()-ROW(MSPTasks[[#Headers],[ID]])))="",TRUE()),"",IF(N(INDEX(tsk_Deadline,(ROW()-ROW(MSPTasks[[#Headers],[ID]]))))=0,"",INDEX(tsk_Deadline,(ROW()-ROW(MSPTasks[[#Headers],[ID]])))))</f>
        <v/>
      </c>
      <c r="X201" s="24" t="str">
        <f aca="false">IF(IFERROR(INDEX(tsk_Name,(ROW()-ROW(MSPTasks[[#Headers],[ID]])))="",TRUE()),"",IF(INDEX(tsk_IsSummary,(ROW()-ROW(MSPTasks[[#Headers],[ID]]))),"",INDEX(tsk_Sprint,(ROW()-ROW(MSPTasks[[#Headers],[ID]])))&amp;""))</f>
        <v/>
      </c>
      <c r="Y201" s="24" t="str">
        <f aca="false">IF(IFERROR(INDEX(tsk_Name,(ROW()-ROW(MSPTasks[[#Headers],[ID]])))="",TRUE()),"",IF(INDEX(tsk_IsSummary,(ROW()-ROW(MSPTasks[[#Headers],[ID]]))),"",IF(N(INDEX(tsk_StoryPoints,(ROW()-ROW(MSPTasks[[#Headers],[ID]]))))=0,"",INDEX(tsk_StoryPoints,(ROW()-ROW(MSPTasks[[#Headers],[ID]]))))))</f>
        <v/>
      </c>
      <c r="Z201" s="24" t="str">
        <f aca="false">IF(IFERROR(INDEX(tsk_Name,(ROW()-ROW(MSPTasks[[#Headers],[ID]])))="",TRUE()),"",INDEX(tsk_Notes,(ROW()-ROW(MSPTasks[[#Headers],[ID]])))&amp;"")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20"/>
    <col collapsed="false" customWidth="true" hidden="false" outlineLevel="0" max="5" min="4" style="0" width="10"/>
    <col collapsed="false" customWidth="true" hidden="false" outlineLevel="0" max="6" min="6" style="0" width="12"/>
    <col collapsed="false" customWidth="true" hidden="false" outlineLevel="0" max="7" min="7" style="0" width="26"/>
  </cols>
  <sheetData>
    <row r="1" customFormat="false" ht="23.85" hidden="false" customHeight="false" outlineLevel="0" collapsed="false">
      <c r="A1" s="9" t="s">
        <v>773</v>
      </c>
      <c r="B1" s="9" t="s">
        <v>665</v>
      </c>
      <c r="C1" s="9" t="s">
        <v>666</v>
      </c>
      <c r="D1" s="9" t="s">
        <v>273</v>
      </c>
      <c r="E1" s="9" t="s">
        <v>229</v>
      </c>
      <c r="F1" s="9" t="s">
        <v>783</v>
      </c>
      <c r="G1" s="9" t="s">
        <v>784</v>
      </c>
    </row>
    <row r="2" customFormat="false" ht="15" hidden="false" customHeight="false" outlineLevel="0" collapsed="false">
      <c r="A2" s="24" t="str">
        <f aca="false">IF(IFERROR(INDEX(res_Name,(ROW()-ROW(MSPResources[[#Headers],[Name]])))="",TRUE()),"",INDEX(res_Name,(ROW()-ROW(MSPResources[[#Headers],[Name]])))&amp;"")</f>
        <v>Priya Sharma</v>
      </c>
      <c r="B2" s="24" t="str">
        <f aca="false">IF(IFERROR(INDEX(res_Name,(ROW()-ROW(MSPResources[[#Headers],[Name]])))="",TRUE()),"",INDEX(res_Initials,(ROW()-ROW(MSPResources[[#Headers],[Name]])))&amp;"")</f>
        <v>PS</v>
      </c>
      <c r="C2" s="24" t="str">
        <f aca="false">IF(IFERROR(INDEX(res_Name,(ROW()-ROW(MSPResources[[#Headers],[Name]])))="",TRUE()),"",INDEX(res_Group,(ROW()-ROW(MSPResources[[#Headers],[Name]])))&amp;"")</f>
        <v>Project Manager</v>
      </c>
      <c r="D2" s="24" t="str">
        <f aca="false">IF(IFERROR(INDEX(res_Name,(ROW()-ROW(MSPResources[[#Headers],[Name]])))="",TRUE()),"",INDEX(res_Type,(ROW()-ROW(MSPResources[[#Headers],[Name]])))&amp;"")</f>
        <v>Work</v>
      </c>
      <c r="E2" s="24" t="str">
        <f aca="false">IF(IFERROR(INDEX(res_Name,(ROW()-ROW(MSPResources[[#Headers],[Name]])))="",TRUE()),"",ROUND(INDEX(res_MaxUnits,(ROW()-ROW(MSPResources[[#Headers],[Name]])))*100,0)&amp;"%")</f>
        <v>50%</v>
      </c>
      <c r="F2" s="24" t="str">
        <f aca="false">IF(IFERROR(INDEX(res_Name,(ROW()-ROW(MSPResources[[#Headers],[Name]])))="",TRUE()),"",INDEX(res_Rate,(ROW()-ROW(MSPResources[[#Headers],[Name]])))&amp;"/h")</f>
        <v>95/h</v>
      </c>
      <c r="G2" s="24" t="str">
        <f aca="false">IF(IFERROR(INDEX(res_Name,(ROW()-ROW(MSPResources[[#Headers],[Name]])))="",TRUE()),"",INDEX(res_Email,(ROW()-ROW(MSPResources[[#Headers],[Name]])))&amp;"")</f>
        <v>priya@example.com</v>
      </c>
    </row>
    <row r="3" customFormat="false" ht="15" hidden="false" customHeight="false" outlineLevel="0" collapsed="false">
      <c r="A3" s="24" t="str">
        <f aca="false">IF(IFERROR(INDEX(res_Name,(ROW()-ROW(MSPResources[[#Headers],[Name]])))="",TRUE()),"",INDEX(res_Name,(ROW()-ROW(MSPResources[[#Headers],[Name]])))&amp;"")</f>
        <v>Morgan Patel</v>
      </c>
      <c r="B3" s="24" t="str">
        <f aca="false">IF(IFERROR(INDEX(res_Name,(ROW()-ROW(MSPResources[[#Headers],[Name]])))="",TRUE()),"",INDEX(res_Initials,(ROW()-ROW(MSPResources[[#Headers],[Name]])))&amp;"")</f>
        <v>MP</v>
      </c>
      <c r="C3" s="24" t="str">
        <f aca="false">IF(IFERROR(INDEX(res_Name,(ROW()-ROW(MSPResources[[#Headers],[Name]])))="",TRUE()),"",INDEX(res_Group,(ROW()-ROW(MSPResources[[#Headers],[Name]])))&amp;"")</f>
        <v>Business Analyst</v>
      </c>
      <c r="D3" s="24" t="str">
        <f aca="false">IF(IFERROR(INDEX(res_Name,(ROW()-ROW(MSPResources[[#Headers],[Name]])))="",TRUE()),"",INDEX(res_Type,(ROW()-ROW(MSPResources[[#Headers],[Name]])))&amp;"")</f>
        <v>Work</v>
      </c>
      <c r="E3" s="24" t="str">
        <f aca="false">IF(IFERROR(INDEX(res_Name,(ROW()-ROW(MSPResources[[#Headers],[Name]])))="",TRUE()),"",ROUND(INDEX(res_MaxUnits,(ROW()-ROW(MSPResources[[#Headers],[Name]])))*100,0)&amp;"%")</f>
        <v>100%</v>
      </c>
      <c r="F3" s="24" t="str">
        <f aca="false">IF(IFERROR(INDEX(res_Name,(ROW()-ROW(MSPResources[[#Headers],[Name]])))="",TRUE()),"",INDEX(res_Rate,(ROW()-ROW(MSPResources[[#Headers],[Name]])))&amp;"/h")</f>
        <v>70/h</v>
      </c>
      <c r="G3" s="24" t="str">
        <f aca="false">IF(IFERROR(INDEX(res_Name,(ROW()-ROW(MSPResources[[#Headers],[Name]])))="",TRUE()),"",INDEX(res_Email,(ROW()-ROW(MSPResources[[#Headers],[Name]])))&amp;"")</f>
        <v>morgan@example.com</v>
      </c>
    </row>
    <row r="4" customFormat="false" ht="15" hidden="false" customHeight="false" outlineLevel="0" collapsed="false">
      <c r="A4" s="24" t="str">
        <f aca="false">IF(IFERROR(INDEX(res_Name,(ROW()-ROW(MSPResources[[#Headers],[Name]])))="",TRUE()),"",INDEX(res_Name,(ROW()-ROW(MSPResources[[#Headers],[Name]])))&amp;"")</f>
        <v>Alex Chen</v>
      </c>
      <c r="B4" s="24" t="str">
        <f aca="false">IF(IFERROR(INDEX(res_Name,(ROW()-ROW(MSPResources[[#Headers],[Name]])))="",TRUE()),"",INDEX(res_Initials,(ROW()-ROW(MSPResources[[#Headers],[Name]])))&amp;"")</f>
        <v>AC</v>
      </c>
      <c r="C4" s="24" t="str">
        <f aca="false">IF(IFERROR(INDEX(res_Name,(ROW()-ROW(MSPResources[[#Headers],[Name]])))="",TRUE()),"",INDEX(res_Group,(ROW()-ROW(MSPResources[[#Headers],[Name]])))&amp;"")</f>
        <v>Solution Architect</v>
      </c>
      <c r="D4" s="24" t="str">
        <f aca="false">IF(IFERROR(INDEX(res_Name,(ROW()-ROW(MSPResources[[#Headers],[Name]])))="",TRUE()),"",INDEX(res_Type,(ROW()-ROW(MSPResources[[#Headers],[Name]])))&amp;"")</f>
        <v>Work</v>
      </c>
      <c r="E4" s="24" t="str">
        <f aca="false">IF(IFERROR(INDEX(res_Name,(ROW()-ROW(MSPResources[[#Headers],[Name]])))="",TRUE()),"",ROUND(INDEX(res_MaxUnits,(ROW()-ROW(MSPResources[[#Headers],[Name]])))*100,0)&amp;"%")</f>
        <v>50%</v>
      </c>
      <c r="F4" s="24" t="str">
        <f aca="false">IF(IFERROR(INDEX(res_Name,(ROW()-ROW(MSPResources[[#Headers],[Name]])))="",TRUE()),"",INDEX(res_Rate,(ROW()-ROW(MSPResources[[#Headers],[Name]])))&amp;"/h")</f>
        <v>110/h</v>
      </c>
      <c r="G4" s="24" t="str">
        <f aca="false">IF(IFERROR(INDEX(res_Name,(ROW()-ROW(MSPResources[[#Headers],[Name]])))="",TRUE()),"",INDEX(res_Email,(ROW()-ROW(MSPResources[[#Headers],[Name]])))&amp;"")</f>
        <v>alex@example.com</v>
      </c>
    </row>
    <row r="5" customFormat="false" ht="15" hidden="false" customHeight="false" outlineLevel="0" collapsed="false">
      <c r="A5" s="24" t="str">
        <f aca="false">IF(IFERROR(INDEX(res_Name,(ROW()-ROW(MSPResources[[#Headers],[Name]])))="",TRUE()),"",INDEX(res_Name,(ROW()-ROW(MSPResources[[#Headers],[Name]])))&amp;"")</f>
        <v>Casey Kim</v>
      </c>
      <c r="B5" s="24" t="str">
        <f aca="false">IF(IFERROR(INDEX(res_Name,(ROW()-ROW(MSPResources[[#Headers],[Name]])))="",TRUE()),"",INDEX(res_Initials,(ROW()-ROW(MSPResources[[#Headers],[Name]])))&amp;"")</f>
        <v>CK</v>
      </c>
      <c r="C5" s="24" t="str">
        <f aca="false">IF(IFERROR(INDEX(res_Name,(ROW()-ROW(MSPResources[[#Headers],[Name]])))="",TRUE()),"",INDEX(res_Group,(ROW()-ROW(MSPResources[[#Headers],[Name]])))&amp;"")</f>
        <v>UX Designer</v>
      </c>
      <c r="D5" s="24" t="str">
        <f aca="false">IF(IFERROR(INDEX(res_Name,(ROW()-ROW(MSPResources[[#Headers],[Name]])))="",TRUE()),"",INDEX(res_Type,(ROW()-ROW(MSPResources[[#Headers],[Name]])))&amp;"")</f>
        <v>Work</v>
      </c>
      <c r="E5" s="24" t="str">
        <f aca="false">IF(IFERROR(INDEX(res_Name,(ROW()-ROW(MSPResources[[#Headers],[Name]])))="",TRUE()),"",ROUND(INDEX(res_MaxUnits,(ROW()-ROW(MSPResources[[#Headers],[Name]])))*100,0)&amp;"%")</f>
        <v>100%</v>
      </c>
      <c r="F5" s="24" t="str">
        <f aca="false">IF(IFERROR(INDEX(res_Name,(ROW()-ROW(MSPResources[[#Headers],[Name]])))="",TRUE()),"",INDEX(res_Rate,(ROW()-ROW(MSPResources[[#Headers],[Name]])))&amp;"/h")</f>
        <v>75/h</v>
      </c>
      <c r="G5" s="24" t="str">
        <f aca="false">IF(IFERROR(INDEX(res_Name,(ROW()-ROW(MSPResources[[#Headers],[Name]])))="",TRUE()),"",INDEX(res_Email,(ROW()-ROW(MSPResources[[#Headers],[Name]])))&amp;"")</f>
        <v>casey@example.com</v>
      </c>
    </row>
    <row r="6" customFormat="false" ht="15" hidden="false" customHeight="false" outlineLevel="0" collapsed="false">
      <c r="A6" s="24" t="str">
        <f aca="false">IF(IFERROR(INDEX(res_Name,(ROW()-ROW(MSPResources[[#Headers],[Name]])))="",TRUE()),"",INDEX(res_Name,(ROW()-ROW(MSPResources[[#Headers],[Name]])))&amp;"")</f>
        <v>Jordan Lee</v>
      </c>
      <c r="B6" s="24" t="str">
        <f aca="false">IF(IFERROR(INDEX(res_Name,(ROW()-ROW(MSPResources[[#Headers],[Name]])))="",TRUE()),"",INDEX(res_Initials,(ROW()-ROW(MSPResources[[#Headers],[Name]])))&amp;"")</f>
        <v>JL</v>
      </c>
      <c r="C6" s="24" t="str">
        <f aca="false">IF(IFERROR(INDEX(res_Name,(ROW()-ROW(MSPResources[[#Headers],[Name]])))="",TRUE()),"",INDEX(res_Group,(ROW()-ROW(MSPResources[[#Headers],[Name]])))&amp;"")</f>
        <v>Backend Developer</v>
      </c>
      <c r="D6" s="24" t="str">
        <f aca="false">IF(IFERROR(INDEX(res_Name,(ROW()-ROW(MSPResources[[#Headers],[Name]])))="",TRUE()),"",INDEX(res_Type,(ROW()-ROW(MSPResources[[#Headers],[Name]])))&amp;"")</f>
        <v>Work</v>
      </c>
      <c r="E6" s="24" t="str">
        <f aca="false">IF(IFERROR(INDEX(res_Name,(ROW()-ROW(MSPResources[[#Headers],[Name]])))="",TRUE()),"",ROUND(INDEX(res_MaxUnits,(ROW()-ROW(MSPResources[[#Headers],[Name]])))*100,0)&amp;"%")</f>
        <v>100%</v>
      </c>
      <c r="F6" s="24" t="str">
        <f aca="false">IF(IFERROR(INDEX(res_Name,(ROW()-ROW(MSPResources[[#Headers],[Name]])))="",TRUE()),"",INDEX(res_Rate,(ROW()-ROW(MSPResources[[#Headers],[Name]])))&amp;"/h")</f>
        <v>85/h</v>
      </c>
      <c r="G6" s="24" t="str">
        <f aca="false">IF(IFERROR(INDEX(res_Name,(ROW()-ROW(MSPResources[[#Headers],[Name]])))="",TRUE()),"",INDEX(res_Email,(ROW()-ROW(MSPResources[[#Headers],[Name]])))&amp;"")</f>
        <v>jordan@example.com</v>
      </c>
    </row>
    <row r="7" customFormat="false" ht="15" hidden="false" customHeight="false" outlineLevel="0" collapsed="false">
      <c r="A7" s="24" t="str">
        <f aca="false">IF(IFERROR(INDEX(res_Name,(ROW()-ROW(MSPResources[[#Headers],[Name]])))="",TRUE()),"",INDEX(res_Name,(ROW()-ROW(MSPResources[[#Headers],[Name]])))&amp;"")</f>
        <v>Sam Rivera</v>
      </c>
      <c r="B7" s="24" t="str">
        <f aca="false">IF(IFERROR(INDEX(res_Name,(ROW()-ROW(MSPResources[[#Headers],[Name]])))="",TRUE()),"",INDEX(res_Initials,(ROW()-ROW(MSPResources[[#Headers],[Name]])))&amp;"")</f>
        <v>SR</v>
      </c>
      <c r="C7" s="24" t="str">
        <f aca="false">IF(IFERROR(INDEX(res_Name,(ROW()-ROW(MSPResources[[#Headers],[Name]])))="",TRUE()),"",INDEX(res_Group,(ROW()-ROW(MSPResources[[#Headers],[Name]])))&amp;"")</f>
        <v>Frontend Developer</v>
      </c>
      <c r="D7" s="24" t="str">
        <f aca="false">IF(IFERROR(INDEX(res_Name,(ROW()-ROW(MSPResources[[#Headers],[Name]])))="",TRUE()),"",INDEX(res_Type,(ROW()-ROW(MSPResources[[#Headers],[Name]])))&amp;"")</f>
        <v>Work</v>
      </c>
      <c r="E7" s="24" t="str">
        <f aca="false">IF(IFERROR(INDEX(res_Name,(ROW()-ROW(MSPResources[[#Headers],[Name]])))="",TRUE()),"",ROUND(INDEX(res_MaxUnits,(ROW()-ROW(MSPResources[[#Headers],[Name]])))*100,0)&amp;"%")</f>
        <v>100%</v>
      </c>
      <c r="F7" s="24" t="str">
        <f aca="false">IF(IFERROR(INDEX(res_Name,(ROW()-ROW(MSPResources[[#Headers],[Name]])))="",TRUE()),"",INDEX(res_Rate,(ROW()-ROW(MSPResources[[#Headers],[Name]])))&amp;"/h")</f>
        <v>80/h</v>
      </c>
      <c r="G7" s="24" t="str">
        <f aca="false">IF(IFERROR(INDEX(res_Name,(ROW()-ROW(MSPResources[[#Headers],[Name]])))="",TRUE()),"",INDEX(res_Email,(ROW()-ROW(MSPResources[[#Headers],[Name]])))&amp;"")</f>
        <v>sam@example.com</v>
      </c>
    </row>
    <row r="8" customFormat="false" ht="15" hidden="false" customHeight="false" outlineLevel="0" collapsed="false">
      <c r="A8" s="24" t="str">
        <f aca="false">IF(IFERROR(INDEX(res_Name,(ROW()-ROW(MSPResources[[#Headers],[Name]])))="",TRUE()),"",INDEX(res_Name,(ROW()-ROW(MSPResources[[#Headers],[Name]])))&amp;"")</f>
        <v>Taylor Morgan</v>
      </c>
      <c r="B8" s="24" t="str">
        <f aca="false">IF(IFERROR(INDEX(res_Name,(ROW()-ROW(MSPResources[[#Headers],[Name]])))="",TRUE()),"",INDEX(res_Initials,(ROW()-ROW(MSPResources[[#Headers],[Name]])))&amp;"")</f>
        <v>TM</v>
      </c>
      <c r="C8" s="24" t="str">
        <f aca="false">IF(IFERROR(INDEX(res_Name,(ROW()-ROW(MSPResources[[#Headers],[Name]])))="",TRUE()),"",INDEX(res_Group,(ROW()-ROW(MSPResources[[#Headers],[Name]])))&amp;"")</f>
        <v>QA Engineer</v>
      </c>
      <c r="D8" s="24" t="str">
        <f aca="false">IF(IFERROR(INDEX(res_Name,(ROW()-ROW(MSPResources[[#Headers],[Name]])))="",TRUE()),"",INDEX(res_Type,(ROW()-ROW(MSPResources[[#Headers],[Name]])))&amp;"")</f>
        <v>Work</v>
      </c>
      <c r="E8" s="24" t="str">
        <f aca="false">IF(IFERROR(INDEX(res_Name,(ROW()-ROW(MSPResources[[#Headers],[Name]])))="",TRUE()),"",ROUND(INDEX(res_MaxUnits,(ROW()-ROW(MSPResources[[#Headers],[Name]])))*100,0)&amp;"%")</f>
        <v>100%</v>
      </c>
      <c r="F8" s="24" t="str">
        <f aca="false">IF(IFERROR(INDEX(res_Name,(ROW()-ROW(MSPResources[[#Headers],[Name]])))="",TRUE()),"",INDEX(res_Rate,(ROW()-ROW(MSPResources[[#Headers],[Name]])))&amp;"/h")</f>
        <v>65/h</v>
      </c>
      <c r="G8" s="24" t="str">
        <f aca="false">IF(IFERROR(INDEX(res_Name,(ROW()-ROW(MSPResources[[#Headers],[Name]])))="",TRUE()),"",INDEX(res_Email,(ROW()-ROW(MSPResources[[#Headers],[Name]])))&amp;"")</f>
        <v>taylor@example.com</v>
      </c>
    </row>
    <row r="9" customFormat="false" ht="15" hidden="false" customHeight="false" outlineLevel="0" collapsed="false">
      <c r="A9" s="24" t="str">
        <f aca="false">IF(IFERROR(INDEX(res_Name,(ROW()-ROW(MSPResources[[#Headers],[Name]])))="",TRUE()),"",INDEX(res_Name,(ROW()-ROW(MSPResources[[#Headers],[Name]])))&amp;"")</f>
        <v/>
      </c>
      <c r="B9" s="24" t="str">
        <f aca="false">IF(IFERROR(INDEX(res_Name,(ROW()-ROW(MSPResources[[#Headers],[Name]])))="",TRUE()),"",INDEX(res_Initials,(ROW()-ROW(MSPResources[[#Headers],[Name]])))&amp;"")</f>
        <v/>
      </c>
      <c r="C9" s="24" t="str">
        <f aca="false">IF(IFERROR(INDEX(res_Name,(ROW()-ROW(MSPResources[[#Headers],[Name]])))="",TRUE()),"",INDEX(res_Group,(ROW()-ROW(MSPResources[[#Headers],[Name]])))&amp;"")</f>
        <v/>
      </c>
      <c r="D9" s="24" t="str">
        <f aca="false">IF(IFERROR(INDEX(res_Name,(ROW()-ROW(MSPResources[[#Headers],[Name]])))="",TRUE()),"",INDEX(res_Type,(ROW()-ROW(MSPResources[[#Headers],[Name]])))&amp;"")</f>
        <v/>
      </c>
      <c r="E9" s="24" t="str">
        <f aca="false">IF(IFERROR(INDEX(res_Name,(ROW()-ROW(MSPResources[[#Headers],[Name]])))="",TRUE()),"",ROUND(INDEX(res_MaxUnits,(ROW()-ROW(MSPResources[[#Headers],[Name]])))*100,0)&amp;"%")</f>
        <v/>
      </c>
      <c r="F9" s="24" t="str">
        <f aca="false">IF(IFERROR(INDEX(res_Name,(ROW()-ROW(MSPResources[[#Headers],[Name]])))="",TRUE()),"",INDEX(res_Rate,(ROW()-ROW(MSPResources[[#Headers],[Name]])))&amp;"/h")</f>
        <v/>
      </c>
      <c r="G9" s="24" t="str">
        <f aca="false">IF(IFERROR(INDEX(res_Name,(ROW()-ROW(MSPResources[[#Headers],[Name]])))="",TRUE()),"",INDEX(res_Email,(ROW()-ROW(MSPResources[[#Headers],[Name]])))&amp;"")</f>
        <v/>
      </c>
    </row>
    <row r="10" customFormat="false" ht="15" hidden="false" customHeight="false" outlineLevel="0" collapsed="false">
      <c r="A10" s="24" t="str">
        <f aca="false">IF(IFERROR(INDEX(res_Name,(ROW()-ROW(MSPResources[[#Headers],[Name]])))="",TRUE()),"",INDEX(res_Name,(ROW()-ROW(MSPResources[[#Headers],[Name]])))&amp;"")</f>
        <v/>
      </c>
      <c r="B10" s="24" t="str">
        <f aca="false">IF(IFERROR(INDEX(res_Name,(ROW()-ROW(MSPResources[[#Headers],[Name]])))="",TRUE()),"",INDEX(res_Initials,(ROW()-ROW(MSPResources[[#Headers],[Name]])))&amp;"")</f>
        <v/>
      </c>
      <c r="C10" s="24" t="str">
        <f aca="false">IF(IFERROR(INDEX(res_Name,(ROW()-ROW(MSPResources[[#Headers],[Name]])))="",TRUE()),"",INDEX(res_Group,(ROW()-ROW(MSPResources[[#Headers],[Name]])))&amp;"")</f>
        <v/>
      </c>
      <c r="D10" s="24" t="str">
        <f aca="false">IF(IFERROR(INDEX(res_Name,(ROW()-ROW(MSPResources[[#Headers],[Name]])))="",TRUE()),"",INDEX(res_Type,(ROW()-ROW(MSPResources[[#Headers],[Name]])))&amp;"")</f>
        <v/>
      </c>
      <c r="E10" s="24" t="str">
        <f aca="false">IF(IFERROR(INDEX(res_Name,(ROW()-ROW(MSPResources[[#Headers],[Name]])))="",TRUE()),"",ROUND(INDEX(res_MaxUnits,(ROW()-ROW(MSPResources[[#Headers],[Name]])))*100,0)&amp;"%")</f>
        <v/>
      </c>
      <c r="F10" s="24" t="str">
        <f aca="false">IF(IFERROR(INDEX(res_Name,(ROW()-ROW(MSPResources[[#Headers],[Name]])))="",TRUE()),"",INDEX(res_Rate,(ROW()-ROW(MSPResources[[#Headers],[Name]])))&amp;"/h")</f>
        <v/>
      </c>
      <c r="G10" s="24" t="str">
        <f aca="false">IF(IFERROR(INDEX(res_Name,(ROW()-ROW(MSPResources[[#Headers],[Name]])))="",TRUE()),"",INDEX(res_Email,(ROW()-ROW(MSPResources[[#Headers],[Name]])))&amp;"")</f>
        <v/>
      </c>
    </row>
    <row r="11" customFormat="false" ht="15" hidden="false" customHeight="false" outlineLevel="0" collapsed="false">
      <c r="A11" s="24" t="str">
        <f aca="false">IF(IFERROR(INDEX(res_Name,(ROW()-ROW(MSPResources[[#Headers],[Name]])))="",TRUE()),"",INDEX(res_Name,(ROW()-ROW(MSPResources[[#Headers],[Name]])))&amp;"")</f>
        <v/>
      </c>
      <c r="B11" s="24" t="str">
        <f aca="false">IF(IFERROR(INDEX(res_Name,(ROW()-ROW(MSPResources[[#Headers],[Name]])))="",TRUE()),"",INDEX(res_Initials,(ROW()-ROW(MSPResources[[#Headers],[Name]])))&amp;"")</f>
        <v/>
      </c>
      <c r="C11" s="24" t="str">
        <f aca="false">IF(IFERROR(INDEX(res_Name,(ROW()-ROW(MSPResources[[#Headers],[Name]])))="",TRUE()),"",INDEX(res_Group,(ROW()-ROW(MSPResources[[#Headers],[Name]])))&amp;"")</f>
        <v/>
      </c>
      <c r="D11" s="24" t="str">
        <f aca="false">IF(IFERROR(INDEX(res_Name,(ROW()-ROW(MSPResources[[#Headers],[Name]])))="",TRUE()),"",INDEX(res_Type,(ROW()-ROW(MSPResources[[#Headers],[Name]])))&amp;"")</f>
        <v/>
      </c>
      <c r="E11" s="24" t="str">
        <f aca="false">IF(IFERROR(INDEX(res_Name,(ROW()-ROW(MSPResources[[#Headers],[Name]])))="",TRUE()),"",ROUND(INDEX(res_MaxUnits,(ROW()-ROW(MSPResources[[#Headers],[Name]])))*100,0)&amp;"%")</f>
        <v/>
      </c>
      <c r="F11" s="24" t="str">
        <f aca="false">IF(IFERROR(INDEX(res_Name,(ROW()-ROW(MSPResources[[#Headers],[Name]])))="",TRUE()),"",INDEX(res_Rate,(ROW()-ROW(MSPResources[[#Headers],[Name]])))&amp;"/h")</f>
        <v/>
      </c>
      <c r="G11" s="24" t="str">
        <f aca="false">IF(IFERROR(INDEX(res_Name,(ROW()-ROW(MSPResources[[#Headers],[Name]])))="",TRUE()),"",INDEX(res_Email,(ROW()-ROW(MSPResources[[#Headers],[Name]])))&amp;"")</f>
        <v/>
      </c>
    </row>
    <row r="12" customFormat="false" ht="15" hidden="false" customHeight="false" outlineLevel="0" collapsed="false">
      <c r="A12" s="24" t="str">
        <f aca="false">IF(IFERROR(INDEX(res_Name,(ROW()-ROW(MSPResources[[#Headers],[Name]])))="",TRUE()),"",INDEX(res_Name,(ROW()-ROW(MSPResources[[#Headers],[Name]])))&amp;"")</f>
        <v/>
      </c>
      <c r="B12" s="24" t="str">
        <f aca="false">IF(IFERROR(INDEX(res_Name,(ROW()-ROW(MSPResources[[#Headers],[Name]])))="",TRUE()),"",INDEX(res_Initials,(ROW()-ROW(MSPResources[[#Headers],[Name]])))&amp;"")</f>
        <v/>
      </c>
      <c r="C12" s="24" t="str">
        <f aca="false">IF(IFERROR(INDEX(res_Name,(ROW()-ROW(MSPResources[[#Headers],[Name]])))="",TRUE()),"",INDEX(res_Group,(ROW()-ROW(MSPResources[[#Headers],[Name]])))&amp;"")</f>
        <v/>
      </c>
      <c r="D12" s="24" t="str">
        <f aca="false">IF(IFERROR(INDEX(res_Name,(ROW()-ROW(MSPResources[[#Headers],[Name]])))="",TRUE()),"",INDEX(res_Type,(ROW()-ROW(MSPResources[[#Headers],[Name]])))&amp;"")</f>
        <v/>
      </c>
      <c r="E12" s="24" t="str">
        <f aca="false">IF(IFERROR(INDEX(res_Name,(ROW()-ROW(MSPResources[[#Headers],[Name]])))="",TRUE()),"",ROUND(INDEX(res_MaxUnits,(ROW()-ROW(MSPResources[[#Headers],[Name]])))*100,0)&amp;"%")</f>
        <v/>
      </c>
      <c r="F12" s="24" t="str">
        <f aca="false">IF(IFERROR(INDEX(res_Name,(ROW()-ROW(MSPResources[[#Headers],[Name]])))="",TRUE()),"",INDEX(res_Rate,(ROW()-ROW(MSPResources[[#Headers],[Name]])))&amp;"/h")</f>
        <v/>
      </c>
      <c r="G12" s="24" t="str">
        <f aca="false">IF(IFERROR(INDEX(res_Name,(ROW()-ROW(MSPResources[[#Headers],[Name]])))="",TRUE()),"",INDEX(res_Email,(ROW()-ROW(MSPResources[[#Headers],[Name]])))&amp;"")</f>
        <v/>
      </c>
    </row>
    <row r="13" customFormat="false" ht="15" hidden="false" customHeight="false" outlineLevel="0" collapsed="false">
      <c r="A13" s="24" t="str">
        <f aca="false">IF(IFERROR(INDEX(res_Name,(ROW()-ROW(MSPResources[[#Headers],[Name]])))="",TRUE()),"",INDEX(res_Name,(ROW()-ROW(MSPResources[[#Headers],[Name]])))&amp;"")</f>
        <v/>
      </c>
      <c r="B13" s="24" t="str">
        <f aca="false">IF(IFERROR(INDEX(res_Name,(ROW()-ROW(MSPResources[[#Headers],[Name]])))="",TRUE()),"",INDEX(res_Initials,(ROW()-ROW(MSPResources[[#Headers],[Name]])))&amp;"")</f>
        <v/>
      </c>
      <c r="C13" s="24" t="str">
        <f aca="false">IF(IFERROR(INDEX(res_Name,(ROW()-ROW(MSPResources[[#Headers],[Name]])))="",TRUE()),"",INDEX(res_Group,(ROW()-ROW(MSPResources[[#Headers],[Name]])))&amp;"")</f>
        <v/>
      </c>
      <c r="D13" s="24" t="str">
        <f aca="false">IF(IFERROR(INDEX(res_Name,(ROW()-ROW(MSPResources[[#Headers],[Name]])))="",TRUE()),"",INDEX(res_Type,(ROW()-ROW(MSPResources[[#Headers],[Name]])))&amp;"")</f>
        <v/>
      </c>
      <c r="E13" s="24" t="str">
        <f aca="false">IF(IFERROR(INDEX(res_Name,(ROW()-ROW(MSPResources[[#Headers],[Name]])))="",TRUE()),"",ROUND(INDEX(res_MaxUnits,(ROW()-ROW(MSPResources[[#Headers],[Name]])))*100,0)&amp;"%")</f>
        <v/>
      </c>
      <c r="F13" s="24" t="str">
        <f aca="false">IF(IFERROR(INDEX(res_Name,(ROW()-ROW(MSPResources[[#Headers],[Name]])))="",TRUE()),"",INDEX(res_Rate,(ROW()-ROW(MSPResources[[#Headers],[Name]])))&amp;"/h")</f>
        <v/>
      </c>
      <c r="G13" s="24" t="str">
        <f aca="false">IF(IFERROR(INDEX(res_Name,(ROW()-ROW(MSPResources[[#Headers],[Name]])))="",TRUE()),"",INDEX(res_Email,(ROW()-ROW(MSPResources[[#Headers],[Name]])))&amp;"")</f>
        <v/>
      </c>
    </row>
    <row r="14" customFormat="false" ht="15" hidden="false" customHeight="false" outlineLevel="0" collapsed="false">
      <c r="A14" s="24" t="str">
        <f aca="false">IF(IFERROR(INDEX(res_Name,(ROW()-ROW(MSPResources[[#Headers],[Name]])))="",TRUE()),"",INDEX(res_Name,(ROW()-ROW(MSPResources[[#Headers],[Name]])))&amp;"")</f>
        <v/>
      </c>
      <c r="B14" s="24" t="str">
        <f aca="false">IF(IFERROR(INDEX(res_Name,(ROW()-ROW(MSPResources[[#Headers],[Name]])))="",TRUE()),"",INDEX(res_Initials,(ROW()-ROW(MSPResources[[#Headers],[Name]])))&amp;"")</f>
        <v/>
      </c>
      <c r="C14" s="24" t="str">
        <f aca="false">IF(IFERROR(INDEX(res_Name,(ROW()-ROW(MSPResources[[#Headers],[Name]])))="",TRUE()),"",INDEX(res_Group,(ROW()-ROW(MSPResources[[#Headers],[Name]])))&amp;"")</f>
        <v/>
      </c>
      <c r="D14" s="24" t="str">
        <f aca="false">IF(IFERROR(INDEX(res_Name,(ROW()-ROW(MSPResources[[#Headers],[Name]])))="",TRUE()),"",INDEX(res_Type,(ROW()-ROW(MSPResources[[#Headers],[Name]])))&amp;"")</f>
        <v/>
      </c>
      <c r="E14" s="24" t="str">
        <f aca="false">IF(IFERROR(INDEX(res_Name,(ROW()-ROW(MSPResources[[#Headers],[Name]])))="",TRUE()),"",ROUND(INDEX(res_MaxUnits,(ROW()-ROW(MSPResources[[#Headers],[Name]])))*100,0)&amp;"%")</f>
        <v/>
      </c>
      <c r="F14" s="24" t="str">
        <f aca="false">IF(IFERROR(INDEX(res_Name,(ROW()-ROW(MSPResources[[#Headers],[Name]])))="",TRUE()),"",INDEX(res_Rate,(ROW()-ROW(MSPResources[[#Headers],[Name]])))&amp;"/h")</f>
        <v/>
      </c>
      <c r="G14" s="24" t="str">
        <f aca="false">IF(IFERROR(INDEX(res_Name,(ROW()-ROW(MSPResources[[#Headers],[Name]])))="",TRUE()),"",INDEX(res_Email,(ROW()-ROW(MSPResources[[#Headers],[Name]])))&amp;"")</f>
        <v/>
      </c>
    </row>
    <row r="15" customFormat="false" ht="15" hidden="false" customHeight="false" outlineLevel="0" collapsed="false">
      <c r="A15" s="24" t="str">
        <f aca="false">IF(IFERROR(INDEX(res_Name,(ROW()-ROW(MSPResources[[#Headers],[Name]])))="",TRUE()),"",INDEX(res_Name,(ROW()-ROW(MSPResources[[#Headers],[Name]])))&amp;"")</f>
        <v/>
      </c>
      <c r="B15" s="24" t="str">
        <f aca="false">IF(IFERROR(INDEX(res_Name,(ROW()-ROW(MSPResources[[#Headers],[Name]])))="",TRUE()),"",INDEX(res_Initials,(ROW()-ROW(MSPResources[[#Headers],[Name]])))&amp;"")</f>
        <v/>
      </c>
      <c r="C15" s="24" t="str">
        <f aca="false">IF(IFERROR(INDEX(res_Name,(ROW()-ROW(MSPResources[[#Headers],[Name]])))="",TRUE()),"",INDEX(res_Group,(ROW()-ROW(MSPResources[[#Headers],[Name]])))&amp;"")</f>
        <v/>
      </c>
      <c r="D15" s="24" t="str">
        <f aca="false">IF(IFERROR(INDEX(res_Name,(ROW()-ROW(MSPResources[[#Headers],[Name]])))="",TRUE()),"",INDEX(res_Type,(ROW()-ROW(MSPResources[[#Headers],[Name]])))&amp;"")</f>
        <v/>
      </c>
      <c r="E15" s="24" t="str">
        <f aca="false">IF(IFERROR(INDEX(res_Name,(ROW()-ROW(MSPResources[[#Headers],[Name]])))="",TRUE()),"",ROUND(INDEX(res_MaxUnits,(ROW()-ROW(MSPResources[[#Headers],[Name]])))*100,0)&amp;"%")</f>
        <v/>
      </c>
      <c r="F15" s="24" t="str">
        <f aca="false">IF(IFERROR(INDEX(res_Name,(ROW()-ROW(MSPResources[[#Headers],[Name]])))="",TRUE()),"",INDEX(res_Rate,(ROW()-ROW(MSPResources[[#Headers],[Name]])))&amp;"/h")</f>
        <v/>
      </c>
      <c r="G15" s="24" t="str">
        <f aca="false">IF(IFERROR(INDEX(res_Name,(ROW()-ROW(MSPResources[[#Headers],[Name]])))="",TRUE()),"",INDEX(res_Email,(ROW()-ROW(MSPResources[[#Headers],[Name]])))&amp;"")</f>
        <v/>
      </c>
    </row>
    <row r="16" customFormat="false" ht="15" hidden="false" customHeight="false" outlineLevel="0" collapsed="false">
      <c r="A16" s="24" t="str">
        <f aca="false">IF(IFERROR(INDEX(res_Name,(ROW()-ROW(MSPResources[[#Headers],[Name]])))="",TRUE()),"",INDEX(res_Name,(ROW()-ROW(MSPResources[[#Headers],[Name]])))&amp;"")</f>
        <v/>
      </c>
      <c r="B16" s="24" t="str">
        <f aca="false">IF(IFERROR(INDEX(res_Name,(ROW()-ROW(MSPResources[[#Headers],[Name]])))="",TRUE()),"",INDEX(res_Initials,(ROW()-ROW(MSPResources[[#Headers],[Name]])))&amp;"")</f>
        <v/>
      </c>
      <c r="C16" s="24" t="str">
        <f aca="false">IF(IFERROR(INDEX(res_Name,(ROW()-ROW(MSPResources[[#Headers],[Name]])))="",TRUE()),"",INDEX(res_Group,(ROW()-ROW(MSPResources[[#Headers],[Name]])))&amp;"")</f>
        <v/>
      </c>
      <c r="D16" s="24" t="str">
        <f aca="false">IF(IFERROR(INDEX(res_Name,(ROW()-ROW(MSPResources[[#Headers],[Name]])))="",TRUE()),"",INDEX(res_Type,(ROW()-ROW(MSPResources[[#Headers],[Name]])))&amp;"")</f>
        <v/>
      </c>
      <c r="E16" s="24" t="str">
        <f aca="false">IF(IFERROR(INDEX(res_Name,(ROW()-ROW(MSPResources[[#Headers],[Name]])))="",TRUE()),"",ROUND(INDEX(res_MaxUnits,(ROW()-ROW(MSPResources[[#Headers],[Name]])))*100,0)&amp;"%")</f>
        <v/>
      </c>
      <c r="F16" s="24" t="str">
        <f aca="false">IF(IFERROR(INDEX(res_Name,(ROW()-ROW(MSPResources[[#Headers],[Name]])))="",TRUE()),"",INDEX(res_Rate,(ROW()-ROW(MSPResources[[#Headers],[Name]])))&amp;"/h")</f>
        <v/>
      </c>
      <c r="G16" s="24" t="str">
        <f aca="false">IF(IFERROR(INDEX(res_Name,(ROW()-ROW(MSPResources[[#Headers],[Name]])))="",TRUE()),"",INDEX(res_Email,(ROW()-ROW(MSPResources[[#Headers],[Name]])))&amp;"")</f>
        <v/>
      </c>
    </row>
    <row r="17" customFormat="false" ht="15" hidden="false" customHeight="false" outlineLevel="0" collapsed="false">
      <c r="A17" s="24" t="str">
        <f aca="false">IF(IFERROR(INDEX(res_Name,(ROW()-ROW(MSPResources[[#Headers],[Name]])))="",TRUE()),"",INDEX(res_Name,(ROW()-ROW(MSPResources[[#Headers],[Name]])))&amp;"")</f>
        <v/>
      </c>
      <c r="B17" s="24" t="str">
        <f aca="false">IF(IFERROR(INDEX(res_Name,(ROW()-ROW(MSPResources[[#Headers],[Name]])))="",TRUE()),"",INDEX(res_Initials,(ROW()-ROW(MSPResources[[#Headers],[Name]])))&amp;"")</f>
        <v/>
      </c>
      <c r="C17" s="24" t="str">
        <f aca="false">IF(IFERROR(INDEX(res_Name,(ROW()-ROW(MSPResources[[#Headers],[Name]])))="",TRUE()),"",INDEX(res_Group,(ROW()-ROW(MSPResources[[#Headers],[Name]])))&amp;"")</f>
        <v/>
      </c>
      <c r="D17" s="24" t="str">
        <f aca="false">IF(IFERROR(INDEX(res_Name,(ROW()-ROW(MSPResources[[#Headers],[Name]])))="",TRUE()),"",INDEX(res_Type,(ROW()-ROW(MSPResources[[#Headers],[Name]])))&amp;"")</f>
        <v/>
      </c>
      <c r="E17" s="24" t="str">
        <f aca="false">IF(IFERROR(INDEX(res_Name,(ROW()-ROW(MSPResources[[#Headers],[Name]])))="",TRUE()),"",ROUND(INDEX(res_MaxUnits,(ROW()-ROW(MSPResources[[#Headers],[Name]])))*100,0)&amp;"%")</f>
        <v/>
      </c>
      <c r="F17" s="24" t="str">
        <f aca="false">IF(IFERROR(INDEX(res_Name,(ROW()-ROW(MSPResources[[#Headers],[Name]])))="",TRUE()),"",INDEX(res_Rate,(ROW()-ROW(MSPResources[[#Headers],[Name]])))&amp;"/h")</f>
        <v/>
      </c>
      <c r="G17" s="24" t="str">
        <f aca="false">IF(IFERROR(INDEX(res_Name,(ROW()-ROW(MSPResources[[#Headers],[Name]])))="",TRUE()),"",INDEX(res_Email,(ROW()-ROW(MSPResources[[#Headers],[Name]])))&amp;"")</f>
        <v/>
      </c>
    </row>
    <row r="18" customFormat="false" ht="15" hidden="false" customHeight="false" outlineLevel="0" collapsed="false">
      <c r="A18" s="24" t="str">
        <f aca="false">IF(IFERROR(INDEX(res_Name,(ROW()-ROW(MSPResources[[#Headers],[Name]])))="",TRUE()),"",INDEX(res_Name,(ROW()-ROW(MSPResources[[#Headers],[Name]])))&amp;"")</f>
        <v/>
      </c>
      <c r="B18" s="24" t="str">
        <f aca="false">IF(IFERROR(INDEX(res_Name,(ROW()-ROW(MSPResources[[#Headers],[Name]])))="",TRUE()),"",INDEX(res_Initials,(ROW()-ROW(MSPResources[[#Headers],[Name]])))&amp;"")</f>
        <v/>
      </c>
      <c r="C18" s="24" t="str">
        <f aca="false">IF(IFERROR(INDEX(res_Name,(ROW()-ROW(MSPResources[[#Headers],[Name]])))="",TRUE()),"",INDEX(res_Group,(ROW()-ROW(MSPResources[[#Headers],[Name]])))&amp;"")</f>
        <v/>
      </c>
      <c r="D18" s="24" t="str">
        <f aca="false">IF(IFERROR(INDEX(res_Name,(ROW()-ROW(MSPResources[[#Headers],[Name]])))="",TRUE()),"",INDEX(res_Type,(ROW()-ROW(MSPResources[[#Headers],[Name]])))&amp;"")</f>
        <v/>
      </c>
      <c r="E18" s="24" t="str">
        <f aca="false">IF(IFERROR(INDEX(res_Name,(ROW()-ROW(MSPResources[[#Headers],[Name]])))="",TRUE()),"",ROUND(INDEX(res_MaxUnits,(ROW()-ROW(MSPResources[[#Headers],[Name]])))*100,0)&amp;"%")</f>
        <v/>
      </c>
      <c r="F18" s="24" t="str">
        <f aca="false">IF(IFERROR(INDEX(res_Name,(ROW()-ROW(MSPResources[[#Headers],[Name]])))="",TRUE()),"",INDEX(res_Rate,(ROW()-ROW(MSPResources[[#Headers],[Name]])))&amp;"/h")</f>
        <v/>
      </c>
      <c r="G18" s="24" t="str">
        <f aca="false">IF(IFERROR(INDEX(res_Name,(ROW()-ROW(MSPResources[[#Headers],[Name]])))="",TRUE()),"",INDEX(res_Email,(ROW()-ROW(MSPResources[[#Headers],[Name]])))&amp;"")</f>
        <v/>
      </c>
    </row>
    <row r="19" customFormat="false" ht="15" hidden="false" customHeight="false" outlineLevel="0" collapsed="false">
      <c r="A19" s="24" t="str">
        <f aca="false">IF(IFERROR(INDEX(res_Name,(ROW()-ROW(MSPResources[[#Headers],[Name]])))="",TRUE()),"",INDEX(res_Name,(ROW()-ROW(MSPResources[[#Headers],[Name]])))&amp;"")</f>
        <v/>
      </c>
      <c r="B19" s="24" t="str">
        <f aca="false">IF(IFERROR(INDEX(res_Name,(ROW()-ROW(MSPResources[[#Headers],[Name]])))="",TRUE()),"",INDEX(res_Initials,(ROW()-ROW(MSPResources[[#Headers],[Name]])))&amp;"")</f>
        <v/>
      </c>
      <c r="C19" s="24" t="str">
        <f aca="false">IF(IFERROR(INDEX(res_Name,(ROW()-ROW(MSPResources[[#Headers],[Name]])))="",TRUE()),"",INDEX(res_Group,(ROW()-ROW(MSPResources[[#Headers],[Name]])))&amp;"")</f>
        <v/>
      </c>
      <c r="D19" s="24" t="str">
        <f aca="false">IF(IFERROR(INDEX(res_Name,(ROW()-ROW(MSPResources[[#Headers],[Name]])))="",TRUE()),"",INDEX(res_Type,(ROW()-ROW(MSPResources[[#Headers],[Name]])))&amp;"")</f>
        <v/>
      </c>
      <c r="E19" s="24" t="str">
        <f aca="false">IF(IFERROR(INDEX(res_Name,(ROW()-ROW(MSPResources[[#Headers],[Name]])))="",TRUE()),"",ROUND(INDEX(res_MaxUnits,(ROW()-ROW(MSPResources[[#Headers],[Name]])))*100,0)&amp;"%")</f>
        <v/>
      </c>
      <c r="F19" s="24" t="str">
        <f aca="false">IF(IFERROR(INDEX(res_Name,(ROW()-ROW(MSPResources[[#Headers],[Name]])))="",TRUE()),"",INDEX(res_Rate,(ROW()-ROW(MSPResources[[#Headers],[Name]])))&amp;"/h")</f>
        <v/>
      </c>
      <c r="G19" s="24" t="str">
        <f aca="false">IF(IFERROR(INDEX(res_Name,(ROW()-ROW(MSPResources[[#Headers],[Name]])))="",TRUE()),"",INDEX(res_Email,(ROW()-ROW(MSPResources[[#Headers],[Name]])))&amp;"")</f>
        <v/>
      </c>
    </row>
    <row r="20" customFormat="false" ht="15" hidden="false" customHeight="false" outlineLevel="0" collapsed="false">
      <c r="A20" s="24" t="str">
        <f aca="false">IF(IFERROR(INDEX(res_Name,(ROW()-ROW(MSPResources[[#Headers],[Name]])))="",TRUE()),"",INDEX(res_Name,(ROW()-ROW(MSPResources[[#Headers],[Name]])))&amp;"")</f>
        <v/>
      </c>
      <c r="B20" s="24" t="str">
        <f aca="false">IF(IFERROR(INDEX(res_Name,(ROW()-ROW(MSPResources[[#Headers],[Name]])))="",TRUE()),"",INDEX(res_Initials,(ROW()-ROW(MSPResources[[#Headers],[Name]])))&amp;"")</f>
        <v/>
      </c>
      <c r="C20" s="24" t="str">
        <f aca="false">IF(IFERROR(INDEX(res_Name,(ROW()-ROW(MSPResources[[#Headers],[Name]])))="",TRUE()),"",INDEX(res_Group,(ROW()-ROW(MSPResources[[#Headers],[Name]])))&amp;"")</f>
        <v/>
      </c>
      <c r="D20" s="24" t="str">
        <f aca="false">IF(IFERROR(INDEX(res_Name,(ROW()-ROW(MSPResources[[#Headers],[Name]])))="",TRUE()),"",INDEX(res_Type,(ROW()-ROW(MSPResources[[#Headers],[Name]])))&amp;"")</f>
        <v/>
      </c>
      <c r="E20" s="24" t="str">
        <f aca="false">IF(IFERROR(INDEX(res_Name,(ROW()-ROW(MSPResources[[#Headers],[Name]])))="",TRUE()),"",ROUND(INDEX(res_MaxUnits,(ROW()-ROW(MSPResources[[#Headers],[Name]])))*100,0)&amp;"%")</f>
        <v/>
      </c>
      <c r="F20" s="24" t="str">
        <f aca="false">IF(IFERROR(INDEX(res_Name,(ROW()-ROW(MSPResources[[#Headers],[Name]])))="",TRUE()),"",INDEX(res_Rate,(ROW()-ROW(MSPResources[[#Headers],[Name]])))&amp;"/h")</f>
        <v/>
      </c>
      <c r="G20" s="24" t="str">
        <f aca="false">IF(IFERROR(INDEX(res_Name,(ROW()-ROW(MSPResources[[#Headers],[Name]])))="",TRUE()),"",INDEX(res_Email,(ROW()-ROW(MSPResources[[#Headers],[Name]])))&amp;"")</f>
        <v/>
      </c>
    </row>
    <row r="21" customFormat="false" ht="15" hidden="false" customHeight="false" outlineLevel="0" collapsed="false">
      <c r="A21" s="24" t="str">
        <f aca="false">IF(IFERROR(INDEX(res_Name,(ROW()-ROW(MSPResources[[#Headers],[Name]])))="",TRUE()),"",INDEX(res_Name,(ROW()-ROW(MSPResources[[#Headers],[Name]])))&amp;"")</f>
        <v/>
      </c>
      <c r="B21" s="24" t="str">
        <f aca="false">IF(IFERROR(INDEX(res_Name,(ROW()-ROW(MSPResources[[#Headers],[Name]])))="",TRUE()),"",INDEX(res_Initials,(ROW()-ROW(MSPResources[[#Headers],[Name]])))&amp;"")</f>
        <v/>
      </c>
      <c r="C21" s="24" t="str">
        <f aca="false">IF(IFERROR(INDEX(res_Name,(ROW()-ROW(MSPResources[[#Headers],[Name]])))="",TRUE()),"",INDEX(res_Group,(ROW()-ROW(MSPResources[[#Headers],[Name]])))&amp;"")</f>
        <v/>
      </c>
      <c r="D21" s="24" t="str">
        <f aca="false">IF(IFERROR(INDEX(res_Name,(ROW()-ROW(MSPResources[[#Headers],[Name]])))="",TRUE()),"",INDEX(res_Type,(ROW()-ROW(MSPResources[[#Headers],[Name]])))&amp;"")</f>
        <v/>
      </c>
      <c r="E21" s="24" t="str">
        <f aca="false">IF(IFERROR(INDEX(res_Name,(ROW()-ROW(MSPResources[[#Headers],[Name]])))="",TRUE()),"",ROUND(INDEX(res_MaxUnits,(ROW()-ROW(MSPResources[[#Headers],[Name]])))*100,0)&amp;"%")</f>
        <v/>
      </c>
      <c r="F21" s="24" t="str">
        <f aca="false">IF(IFERROR(INDEX(res_Name,(ROW()-ROW(MSPResources[[#Headers],[Name]])))="",TRUE()),"",INDEX(res_Rate,(ROW()-ROW(MSPResources[[#Headers],[Name]])))&amp;"/h")</f>
        <v/>
      </c>
      <c r="G21" s="24" t="str">
        <f aca="false">IF(IFERROR(INDEX(res_Name,(ROW()-ROW(MSPResources[[#Headers],[Name]])))="",TRUE()),"",INDEX(res_Email,(ROW()-ROW(MSPResources[[#Headers],[Name]])))&amp;"")</f>
        <v/>
      </c>
    </row>
    <row r="22" customFormat="false" ht="15" hidden="false" customHeight="false" outlineLevel="0" collapsed="false">
      <c r="A22" s="24" t="str">
        <f aca="false">IF(IFERROR(INDEX(res_Name,(ROW()-ROW(MSPResources[[#Headers],[Name]])))="",TRUE()),"",INDEX(res_Name,(ROW()-ROW(MSPResources[[#Headers],[Name]])))&amp;"")</f>
        <v/>
      </c>
      <c r="B22" s="24" t="str">
        <f aca="false">IF(IFERROR(INDEX(res_Name,(ROW()-ROW(MSPResources[[#Headers],[Name]])))="",TRUE()),"",INDEX(res_Initials,(ROW()-ROW(MSPResources[[#Headers],[Name]])))&amp;"")</f>
        <v/>
      </c>
      <c r="C22" s="24" t="str">
        <f aca="false">IF(IFERROR(INDEX(res_Name,(ROW()-ROW(MSPResources[[#Headers],[Name]])))="",TRUE()),"",INDEX(res_Group,(ROW()-ROW(MSPResources[[#Headers],[Name]])))&amp;"")</f>
        <v/>
      </c>
      <c r="D22" s="24" t="str">
        <f aca="false">IF(IFERROR(INDEX(res_Name,(ROW()-ROW(MSPResources[[#Headers],[Name]])))="",TRUE()),"",INDEX(res_Type,(ROW()-ROW(MSPResources[[#Headers],[Name]])))&amp;"")</f>
        <v/>
      </c>
      <c r="E22" s="24" t="str">
        <f aca="false">IF(IFERROR(INDEX(res_Name,(ROW()-ROW(MSPResources[[#Headers],[Name]])))="",TRUE()),"",ROUND(INDEX(res_MaxUnits,(ROW()-ROW(MSPResources[[#Headers],[Name]])))*100,0)&amp;"%")</f>
        <v/>
      </c>
      <c r="F22" s="24" t="str">
        <f aca="false">IF(IFERROR(INDEX(res_Name,(ROW()-ROW(MSPResources[[#Headers],[Name]])))="",TRUE()),"",INDEX(res_Rate,(ROW()-ROW(MSPResources[[#Headers],[Name]])))&amp;"/h")</f>
        <v/>
      </c>
      <c r="G22" s="24" t="str">
        <f aca="false">IF(IFERROR(INDEX(res_Name,(ROW()-ROW(MSPResources[[#Headers],[Name]])))="",TRUE()),"",INDEX(res_Email,(ROW()-ROW(MSPResources[[#Headers],[Name]])))&amp;"")</f>
        <v/>
      </c>
    </row>
    <row r="23" customFormat="false" ht="15" hidden="false" customHeight="false" outlineLevel="0" collapsed="false">
      <c r="A23" s="24" t="str">
        <f aca="false">IF(IFERROR(INDEX(res_Name,(ROW()-ROW(MSPResources[[#Headers],[Name]])))="",TRUE()),"",INDEX(res_Name,(ROW()-ROW(MSPResources[[#Headers],[Name]])))&amp;"")</f>
        <v/>
      </c>
      <c r="B23" s="24" t="str">
        <f aca="false">IF(IFERROR(INDEX(res_Name,(ROW()-ROW(MSPResources[[#Headers],[Name]])))="",TRUE()),"",INDEX(res_Initials,(ROW()-ROW(MSPResources[[#Headers],[Name]])))&amp;"")</f>
        <v/>
      </c>
      <c r="C23" s="24" t="str">
        <f aca="false">IF(IFERROR(INDEX(res_Name,(ROW()-ROW(MSPResources[[#Headers],[Name]])))="",TRUE()),"",INDEX(res_Group,(ROW()-ROW(MSPResources[[#Headers],[Name]])))&amp;"")</f>
        <v/>
      </c>
      <c r="D23" s="24" t="str">
        <f aca="false">IF(IFERROR(INDEX(res_Name,(ROW()-ROW(MSPResources[[#Headers],[Name]])))="",TRUE()),"",INDEX(res_Type,(ROW()-ROW(MSPResources[[#Headers],[Name]])))&amp;"")</f>
        <v/>
      </c>
      <c r="E23" s="24" t="str">
        <f aca="false">IF(IFERROR(INDEX(res_Name,(ROW()-ROW(MSPResources[[#Headers],[Name]])))="",TRUE()),"",ROUND(INDEX(res_MaxUnits,(ROW()-ROW(MSPResources[[#Headers],[Name]])))*100,0)&amp;"%")</f>
        <v/>
      </c>
      <c r="F23" s="24" t="str">
        <f aca="false">IF(IFERROR(INDEX(res_Name,(ROW()-ROW(MSPResources[[#Headers],[Name]])))="",TRUE()),"",INDEX(res_Rate,(ROW()-ROW(MSPResources[[#Headers],[Name]])))&amp;"/h")</f>
        <v/>
      </c>
      <c r="G23" s="24" t="str">
        <f aca="false">IF(IFERROR(INDEX(res_Name,(ROW()-ROW(MSPResources[[#Headers],[Name]])))="",TRUE()),"",INDEX(res_Email,(ROW()-ROW(MSPResources[[#Headers],[Name]])))&amp;"")</f>
        <v/>
      </c>
    </row>
    <row r="24" customFormat="false" ht="15" hidden="false" customHeight="false" outlineLevel="0" collapsed="false">
      <c r="A24" s="24" t="str">
        <f aca="false">IF(IFERROR(INDEX(res_Name,(ROW()-ROW(MSPResources[[#Headers],[Name]])))="",TRUE()),"",INDEX(res_Name,(ROW()-ROW(MSPResources[[#Headers],[Name]])))&amp;"")</f>
        <v/>
      </c>
      <c r="B24" s="24" t="str">
        <f aca="false">IF(IFERROR(INDEX(res_Name,(ROW()-ROW(MSPResources[[#Headers],[Name]])))="",TRUE()),"",INDEX(res_Initials,(ROW()-ROW(MSPResources[[#Headers],[Name]])))&amp;"")</f>
        <v/>
      </c>
      <c r="C24" s="24" t="str">
        <f aca="false">IF(IFERROR(INDEX(res_Name,(ROW()-ROW(MSPResources[[#Headers],[Name]])))="",TRUE()),"",INDEX(res_Group,(ROW()-ROW(MSPResources[[#Headers],[Name]])))&amp;"")</f>
        <v/>
      </c>
      <c r="D24" s="24" t="str">
        <f aca="false">IF(IFERROR(INDEX(res_Name,(ROW()-ROW(MSPResources[[#Headers],[Name]])))="",TRUE()),"",INDEX(res_Type,(ROW()-ROW(MSPResources[[#Headers],[Name]])))&amp;"")</f>
        <v/>
      </c>
      <c r="E24" s="24" t="str">
        <f aca="false">IF(IFERROR(INDEX(res_Name,(ROW()-ROW(MSPResources[[#Headers],[Name]])))="",TRUE()),"",ROUND(INDEX(res_MaxUnits,(ROW()-ROW(MSPResources[[#Headers],[Name]])))*100,0)&amp;"%")</f>
        <v/>
      </c>
      <c r="F24" s="24" t="str">
        <f aca="false">IF(IFERROR(INDEX(res_Name,(ROW()-ROW(MSPResources[[#Headers],[Name]])))="",TRUE()),"",INDEX(res_Rate,(ROW()-ROW(MSPResources[[#Headers],[Name]])))&amp;"/h")</f>
        <v/>
      </c>
      <c r="G24" s="24" t="str">
        <f aca="false">IF(IFERROR(INDEX(res_Name,(ROW()-ROW(MSPResources[[#Headers],[Name]])))="",TRUE()),"",INDEX(res_Email,(ROW()-ROW(MSPResources[[#Headers],[Name]])))&amp;"")</f>
        <v/>
      </c>
    </row>
    <row r="25" customFormat="false" ht="15" hidden="false" customHeight="false" outlineLevel="0" collapsed="false">
      <c r="A25" s="24" t="str">
        <f aca="false">IF(IFERROR(INDEX(res_Name,(ROW()-ROW(MSPResources[[#Headers],[Name]])))="",TRUE()),"",INDEX(res_Name,(ROW()-ROW(MSPResources[[#Headers],[Name]])))&amp;"")</f>
        <v/>
      </c>
      <c r="B25" s="24" t="str">
        <f aca="false">IF(IFERROR(INDEX(res_Name,(ROW()-ROW(MSPResources[[#Headers],[Name]])))="",TRUE()),"",INDEX(res_Initials,(ROW()-ROW(MSPResources[[#Headers],[Name]])))&amp;"")</f>
        <v/>
      </c>
      <c r="C25" s="24" t="str">
        <f aca="false">IF(IFERROR(INDEX(res_Name,(ROW()-ROW(MSPResources[[#Headers],[Name]])))="",TRUE()),"",INDEX(res_Group,(ROW()-ROW(MSPResources[[#Headers],[Name]])))&amp;"")</f>
        <v/>
      </c>
      <c r="D25" s="24" t="str">
        <f aca="false">IF(IFERROR(INDEX(res_Name,(ROW()-ROW(MSPResources[[#Headers],[Name]])))="",TRUE()),"",INDEX(res_Type,(ROW()-ROW(MSPResources[[#Headers],[Name]])))&amp;"")</f>
        <v/>
      </c>
      <c r="E25" s="24" t="str">
        <f aca="false">IF(IFERROR(INDEX(res_Name,(ROW()-ROW(MSPResources[[#Headers],[Name]])))="",TRUE()),"",ROUND(INDEX(res_MaxUnits,(ROW()-ROW(MSPResources[[#Headers],[Name]])))*100,0)&amp;"%")</f>
        <v/>
      </c>
      <c r="F25" s="24" t="str">
        <f aca="false">IF(IFERROR(INDEX(res_Name,(ROW()-ROW(MSPResources[[#Headers],[Name]])))="",TRUE()),"",INDEX(res_Rate,(ROW()-ROW(MSPResources[[#Headers],[Name]])))&amp;"/h")</f>
        <v/>
      </c>
      <c r="G25" s="24" t="str">
        <f aca="false">IF(IFERROR(INDEX(res_Name,(ROW()-ROW(MSPResources[[#Headers],[Name]])))="",TRUE()),"",INDEX(res_Email,(ROW()-ROW(MSPResources[[#Headers],[Name]])))&amp;"")</f>
        <v/>
      </c>
    </row>
    <row r="26" customFormat="false" ht="15" hidden="false" customHeight="false" outlineLevel="0" collapsed="false">
      <c r="A26" s="24" t="str">
        <f aca="false">IF(IFERROR(INDEX(res_Name,(ROW()-ROW(MSPResources[[#Headers],[Name]])))="",TRUE()),"",INDEX(res_Name,(ROW()-ROW(MSPResources[[#Headers],[Name]])))&amp;"")</f>
        <v/>
      </c>
      <c r="B26" s="24" t="str">
        <f aca="false">IF(IFERROR(INDEX(res_Name,(ROW()-ROW(MSPResources[[#Headers],[Name]])))="",TRUE()),"",INDEX(res_Initials,(ROW()-ROW(MSPResources[[#Headers],[Name]])))&amp;"")</f>
        <v/>
      </c>
      <c r="C26" s="24" t="str">
        <f aca="false">IF(IFERROR(INDEX(res_Name,(ROW()-ROW(MSPResources[[#Headers],[Name]])))="",TRUE()),"",INDEX(res_Group,(ROW()-ROW(MSPResources[[#Headers],[Name]])))&amp;"")</f>
        <v/>
      </c>
      <c r="D26" s="24" t="str">
        <f aca="false">IF(IFERROR(INDEX(res_Name,(ROW()-ROW(MSPResources[[#Headers],[Name]])))="",TRUE()),"",INDEX(res_Type,(ROW()-ROW(MSPResources[[#Headers],[Name]])))&amp;"")</f>
        <v/>
      </c>
      <c r="E26" s="24" t="str">
        <f aca="false">IF(IFERROR(INDEX(res_Name,(ROW()-ROW(MSPResources[[#Headers],[Name]])))="",TRUE()),"",ROUND(INDEX(res_MaxUnits,(ROW()-ROW(MSPResources[[#Headers],[Name]])))*100,0)&amp;"%")</f>
        <v/>
      </c>
      <c r="F26" s="24" t="str">
        <f aca="false">IF(IFERROR(INDEX(res_Name,(ROW()-ROW(MSPResources[[#Headers],[Name]])))="",TRUE()),"",INDEX(res_Rate,(ROW()-ROW(MSPResources[[#Headers],[Name]])))&amp;"/h")</f>
        <v/>
      </c>
      <c r="G26" s="24" t="str">
        <f aca="false">IF(IFERROR(INDEX(res_Name,(ROW()-ROW(MSPResources[[#Headers],[Name]])))="",TRUE()),"",INDEX(res_Email,(ROW()-ROW(MSPResources[[#Headers],[Name]])))&amp;"")</f>
        <v/>
      </c>
    </row>
    <row r="27" customFormat="false" ht="15" hidden="false" customHeight="false" outlineLevel="0" collapsed="false">
      <c r="A27" s="24" t="str">
        <f aca="false">IF(IFERROR(INDEX(res_Name,(ROW()-ROW(MSPResources[[#Headers],[Name]])))="",TRUE()),"",INDEX(res_Name,(ROW()-ROW(MSPResources[[#Headers],[Name]])))&amp;"")</f>
        <v/>
      </c>
      <c r="B27" s="24" t="str">
        <f aca="false">IF(IFERROR(INDEX(res_Name,(ROW()-ROW(MSPResources[[#Headers],[Name]])))="",TRUE()),"",INDEX(res_Initials,(ROW()-ROW(MSPResources[[#Headers],[Name]])))&amp;"")</f>
        <v/>
      </c>
      <c r="C27" s="24" t="str">
        <f aca="false">IF(IFERROR(INDEX(res_Name,(ROW()-ROW(MSPResources[[#Headers],[Name]])))="",TRUE()),"",INDEX(res_Group,(ROW()-ROW(MSPResources[[#Headers],[Name]])))&amp;"")</f>
        <v/>
      </c>
      <c r="D27" s="24" t="str">
        <f aca="false">IF(IFERROR(INDEX(res_Name,(ROW()-ROW(MSPResources[[#Headers],[Name]])))="",TRUE()),"",INDEX(res_Type,(ROW()-ROW(MSPResources[[#Headers],[Name]])))&amp;"")</f>
        <v/>
      </c>
      <c r="E27" s="24" t="str">
        <f aca="false">IF(IFERROR(INDEX(res_Name,(ROW()-ROW(MSPResources[[#Headers],[Name]])))="",TRUE()),"",ROUND(INDEX(res_MaxUnits,(ROW()-ROW(MSPResources[[#Headers],[Name]])))*100,0)&amp;"%")</f>
        <v/>
      </c>
      <c r="F27" s="24" t="str">
        <f aca="false">IF(IFERROR(INDEX(res_Name,(ROW()-ROW(MSPResources[[#Headers],[Name]])))="",TRUE()),"",INDEX(res_Rate,(ROW()-ROW(MSPResources[[#Headers],[Name]])))&amp;"/h")</f>
        <v/>
      </c>
      <c r="G27" s="24" t="str">
        <f aca="false">IF(IFERROR(INDEX(res_Name,(ROW()-ROW(MSPResources[[#Headers],[Name]])))="",TRUE()),"",INDEX(res_Email,(ROW()-ROW(MSPResources[[#Headers],[Name]])))&amp;"")</f>
        <v/>
      </c>
    </row>
    <row r="28" customFormat="false" ht="15" hidden="false" customHeight="false" outlineLevel="0" collapsed="false">
      <c r="A28" s="24" t="str">
        <f aca="false">IF(IFERROR(INDEX(res_Name,(ROW()-ROW(MSPResources[[#Headers],[Name]])))="",TRUE()),"",INDEX(res_Name,(ROW()-ROW(MSPResources[[#Headers],[Name]])))&amp;"")</f>
        <v/>
      </c>
      <c r="B28" s="24" t="str">
        <f aca="false">IF(IFERROR(INDEX(res_Name,(ROW()-ROW(MSPResources[[#Headers],[Name]])))="",TRUE()),"",INDEX(res_Initials,(ROW()-ROW(MSPResources[[#Headers],[Name]])))&amp;"")</f>
        <v/>
      </c>
      <c r="C28" s="24" t="str">
        <f aca="false">IF(IFERROR(INDEX(res_Name,(ROW()-ROW(MSPResources[[#Headers],[Name]])))="",TRUE()),"",INDEX(res_Group,(ROW()-ROW(MSPResources[[#Headers],[Name]])))&amp;"")</f>
        <v/>
      </c>
      <c r="D28" s="24" t="str">
        <f aca="false">IF(IFERROR(INDEX(res_Name,(ROW()-ROW(MSPResources[[#Headers],[Name]])))="",TRUE()),"",INDEX(res_Type,(ROW()-ROW(MSPResources[[#Headers],[Name]])))&amp;"")</f>
        <v/>
      </c>
      <c r="E28" s="24" t="str">
        <f aca="false">IF(IFERROR(INDEX(res_Name,(ROW()-ROW(MSPResources[[#Headers],[Name]])))="",TRUE()),"",ROUND(INDEX(res_MaxUnits,(ROW()-ROW(MSPResources[[#Headers],[Name]])))*100,0)&amp;"%")</f>
        <v/>
      </c>
      <c r="F28" s="24" t="str">
        <f aca="false">IF(IFERROR(INDEX(res_Name,(ROW()-ROW(MSPResources[[#Headers],[Name]])))="",TRUE()),"",INDEX(res_Rate,(ROW()-ROW(MSPResources[[#Headers],[Name]])))&amp;"/h")</f>
        <v/>
      </c>
      <c r="G28" s="24" t="str">
        <f aca="false">IF(IFERROR(INDEX(res_Name,(ROW()-ROW(MSPResources[[#Headers],[Name]])))="",TRUE()),"",INDEX(res_Email,(ROW()-ROW(MSPResources[[#Headers],[Name]])))&amp;"")</f>
        <v/>
      </c>
    </row>
    <row r="29" customFormat="false" ht="15" hidden="false" customHeight="false" outlineLevel="0" collapsed="false">
      <c r="A29" s="24" t="str">
        <f aca="false">IF(IFERROR(INDEX(res_Name,(ROW()-ROW(MSPResources[[#Headers],[Name]])))="",TRUE()),"",INDEX(res_Name,(ROW()-ROW(MSPResources[[#Headers],[Name]])))&amp;"")</f>
        <v/>
      </c>
      <c r="B29" s="24" t="str">
        <f aca="false">IF(IFERROR(INDEX(res_Name,(ROW()-ROW(MSPResources[[#Headers],[Name]])))="",TRUE()),"",INDEX(res_Initials,(ROW()-ROW(MSPResources[[#Headers],[Name]])))&amp;"")</f>
        <v/>
      </c>
      <c r="C29" s="24" t="str">
        <f aca="false">IF(IFERROR(INDEX(res_Name,(ROW()-ROW(MSPResources[[#Headers],[Name]])))="",TRUE()),"",INDEX(res_Group,(ROW()-ROW(MSPResources[[#Headers],[Name]])))&amp;"")</f>
        <v/>
      </c>
      <c r="D29" s="24" t="str">
        <f aca="false">IF(IFERROR(INDEX(res_Name,(ROW()-ROW(MSPResources[[#Headers],[Name]])))="",TRUE()),"",INDEX(res_Type,(ROW()-ROW(MSPResources[[#Headers],[Name]])))&amp;"")</f>
        <v/>
      </c>
      <c r="E29" s="24" t="str">
        <f aca="false">IF(IFERROR(INDEX(res_Name,(ROW()-ROW(MSPResources[[#Headers],[Name]])))="",TRUE()),"",ROUND(INDEX(res_MaxUnits,(ROW()-ROW(MSPResources[[#Headers],[Name]])))*100,0)&amp;"%")</f>
        <v/>
      </c>
      <c r="F29" s="24" t="str">
        <f aca="false">IF(IFERROR(INDEX(res_Name,(ROW()-ROW(MSPResources[[#Headers],[Name]])))="",TRUE()),"",INDEX(res_Rate,(ROW()-ROW(MSPResources[[#Headers],[Name]])))&amp;"/h")</f>
        <v/>
      </c>
      <c r="G29" s="24" t="str">
        <f aca="false">IF(IFERROR(INDEX(res_Name,(ROW()-ROW(MSPResources[[#Headers],[Name]])))="",TRUE()),"",INDEX(res_Email,(ROW()-ROW(MSPResources[[#Headers],[Name]])))&amp;"")</f>
        <v/>
      </c>
    </row>
    <row r="30" customFormat="false" ht="15" hidden="false" customHeight="false" outlineLevel="0" collapsed="false">
      <c r="A30" s="24" t="str">
        <f aca="false">IF(IFERROR(INDEX(res_Name,(ROW()-ROW(MSPResources[[#Headers],[Name]])))="",TRUE()),"",INDEX(res_Name,(ROW()-ROW(MSPResources[[#Headers],[Name]])))&amp;"")</f>
        <v/>
      </c>
      <c r="B30" s="24" t="str">
        <f aca="false">IF(IFERROR(INDEX(res_Name,(ROW()-ROW(MSPResources[[#Headers],[Name]])))="",TRUE()),"",INDEX(res_Initials,(ROW()-ROW(MSPResources[[#Headers],[Name]])))&amp;"")</f>
        <v/>
      </c>
      <c r="C30" s="24" t="str">
        <f aca="false">IF(IFERROR(INDEX(res_Name,(ROW()-ROW(MSPResources[[#Headers],[Name]])))="",TRUE()),"",INDEX(res_Group,(ROW()-ROW(MSPResources[[#Headers],[Name]])))&amp;"")</f>
        <v/>
      </c>
      <c r="D30" s="24" t="str">
        <f aca="false">IF(IFERROR(INDEX(res_Name,(ROW()-ROW(MSPResources[[#Headers],[Name]])))="",TRUE()),"",INDEX(res_Type,(ROW()-ROW(MSPResources[[#Headers],[Name]])))&amp;"")</f>
        <v/>
      </c>
      <c r="E30" s="24" t="str">
        <f aca="false">IF(IFERROR(INDEX(res_Name,(ROW()-ROW(MSPResources[[#Headers],[Name]])))="",TRUE()),"",ROUND(INDEX(res_MaxUnits,(ROW()-ROW(MSPResources[[#Headers],[Name]])))*100,0)&amp;"%")</f>
        <v/>
      </c>
      <c r="F30" s="24" t="str">
        <f aca="false">IF(IFERROR(INDEX(res_Name,(ROW()-ROW(MSPResources[[#Headers],[Name]])))="",TRUE()),"",INDEX(res_Rate,(ROW()-ROW(MSPResources[[#Headers],[Name]])))&amp;"/h")</f>
        <v/>
      </c>
      <c r="G30" s="24" t="str">
        <f aca="false">IF(IFERROR(INDEX(res_Name,(ROW()-ROW(MSPResources[[#Headers],[Name]])))="",TRUE()),"",INDEX(res_Email,(ROW()-ROW(MSPResources[[#Headers],[Name]])))&amp;"")</f>
        <v/>
      </c>
    </row>
    <row r="31" customFormat="false" ht="15" hidden="false" customHeight="false" outlineLevel="0" collapsed="false">
      <c r="A31" s="24" t="str">
        <f aca="false">IF(IFERROR(INDEX(res_Name,(ROW()-ROW(MSPResources[[#Headers],[Name]])))="",TRUE()),"",INDEX(res_Name,(ROW()-ROW(MSPResources[[#Headers],[Name]])))&amp;"")</f>
        <v/>
      </c>
      <c r="B31" s="24" t="str">
        <f aca="false">IF(IFERROR(INDEX(res_Name,(ROW()-ROW(MSPResources[[#Headers],[Name]])))="",TRUE()),"",INDEX(res_Initials,(ROW()-ROW(MSPResources[[#Headers],[Name]])))&amp;"")</f>
        <v/>
      </c>
      <c r="C31" s="24" t="str">
        <f aca="false">IF(IFERROR(INDEX(res_Name,(ROW()-ROW(MSPResources[[#Headers],[Name]])))="",TRUE()),"",INDEX(res_Group,(ROW()-ROW(MSPResources[[#Headers],[Name]])))&amp;"")</f>
        <v/>
      </c>
      <c r="D31" s="24" t="str">
        <f aca="false">IF(IFERROR(INDEX(res_Name,(ROW()-ROW(MSPResources[[#Headers],[Name]])))="",TRUE()),"",INDEX(res_Type,(ROW()-ROW(MSPResources[[#Headers],[Name]])))&amp;"")</f>
        <v/>
      </c>
      <c r="E31" s="24" t="str">
        <f aca="false">IF(IFERROR(INDEX(res_Name,(ROW()-ROW(MSPResources[[#Headers],[Name]])))="",TRUE()),"",ROUND(INDEX(res_MaxUnits,(ROW()-ROW(MSPResources[[#Headers],[Name]])))*100,0)&amp;"%")</f>
        <v/>
      </c>
      <c r="F31" s="24" t="str">
        <f aca="false">IF(IFERROR(INDEX(res_Name,(ROW()-ROW(MSPResources[[#Headers],[Name]])))="",TRUE()),"",INDEX(res_Rate,(ROW()-ROW(MSPResources[[#Headers],[Name]])))&amp;"/h")</f>
        <v/>
      </c>
      <c r="G31" s="24" t="str">
        <f aca="false">IF(IFERROR(INDEX(res_Name,(ROW()-ROW(MSPResources[[#Headers],[Name]])))="",TRUE()),"",INDEX(res_Email,(ROW()-ROW(MSPResources[[#Headers],[Name]])))&amp;"")</f>
        <v/>
      </c>
    </row>
    <row r="32" customFormat="false" ht="15" hidden="false" customHeight="false" outlineLevel="0" collapsed="false">
      <c r="A32" s="24" t="str">
        <f aca="false">IF(IFERROR(INDEX(res_Name,(ROW()-ROW(MSPResources[[#Headers],[Name]])))="",TRUE()),"",INDEX(res_Name,(ROW()-ROW(MSPResources[[#Headers],[Name]])))&amp;"")</f>
        <v/>
      </c>
      <c r="B32" s="24" t="str">
        <f aca="false">IF(IFERROR(INDEX(res_Name,(ROW()-ROW(MSPResources[[#Headers],[Name]])))="",TRUE()),"",INDEX(res_Initials,(ROW()-ROW(MSPResources[[#Headers],[Name]])))&amp;"")</f>
        <v/>
      </c>
      <c r="C32" s="24" t="str">
        <f aca="false">IF(IFERROR(INDEX(res_Name,(ROW()-ROW(MSPResources[[#Headers],[Name]])))="",TRUE()),"",INDEX(res_Group,(ROW()-ROW(MSPResources[[#Headers],[Name]])))&amp;"")</f>
        <v/>
      </c>
      <c r="D32" s="24" t="str">
        <f aca="false">IF(IFERROR(INDEX(res_Name,(ROW()-ROW(MSPResources[[#Headers],[Name]])))="",TRUE()),"",INDEX(res_Type,(ROW()-ROW(MSPResources[[#Headers],[Name]])))&amp;"")</f>
        <v/>
      </c>
      <c r="E32" s="24" t="str">
        <f aca="false">IF(IFERROR(INDEX(res_Name,(ROW()-ROW(MSPResources[[#Headers],[Name]])))="",TRUE()),"",ROUND(INDEX(res_MaxUnits,(ROW()-ROW(MSPResources[[#Headers],[Name]])))*100,0)&amp;"%")</f>
        <v/>
      </c>
      <c r="F32" s="24" t="str">
        <f aca="false">IF(IFERROR(INDEX(res_Name,(ROW()-ROW(MSPResources[[#Headers],[Name]])))="",TRUE()),"",INDEX(res_Rate,(ROW()-ROW(MSPResources[[#Headers],[Name]])))&amp;"/h")</f>
        <v/>
      </c>
      <c r="G32" s="24" t="str">
        <f aca="false">IF(IFERROR(INDEX(res_Name,(ROW()-ROW(MSPResources[[#Headers],[Name]])))="",TRUE()),"",INDEX(res_Email,(ROW()-ROW(MSPResources[[#Headers],[Name]])))&amp;"")</f>
        <v/>
      </c>
    </row>
    <row r="33" customFormat="false" ht="15" hidden="false" customHeight="false" outlineLevel="0" collapsed="false">
      <c r="A33" s="24" t="str">
        <f aca="false">IF(IFERROR(INDEX(res_Name,(ROW()-ROW(MSPResources[[#Headers],[Name]])))="",TRUE()),"",INDEX(res_Name,(ROW()-ROW(MSPResources[[#Headers],[Name]])))&amp;"")</f>
        <v/>
      </c>
      <c r="B33" s="24" t="str">
        <f aca="false">IF(IFERROR(INDEX(res_Name,(ROW()-ROW(MSPResources[[#Headers],[Name]])))="",TRUE()),"",INDEX(res_Initials,(ROW()-ROW(MSPResources[[#Headers],[Name]])))&amp;"")</f>
        <v/>
      </c>
      <c r="C33" s="24" t="str">
        <f aca="false">IF(IFERROR(INDEX(res_Name,(ROW()-ROW(MSPResources[[#Headers],[Name]])))="",TRUE()),"",INDEX(res_Group,(ROW()-ROW(MSPResources[[#Headers],[Name]])))&amp;"")</f>
        <v/>
      </c>
      <c r="D33" s="24" t="str">
        <f aca="false">IF(IFERROR(INDEX(res_Name,(ROW()-ROW(MSPResources[[#Headers],[Name]])))="",TRUE()),"",INDEX(res_Type,(ROW()-ROW(MSPResources[[#Headers],[Name]])))&amp;"")</f>
        <v/>
      </c>
      <c r="E33" s="24" t="str">
        <f aca="false">IF(IFERROR(INDEX(res_Name,(ROW()-ROW(MSPResources[[#Headers],[Name]])))="",TRUE()),"",ROUND(INDEX(res_MaxUnits,(ROW()-ROW(MSPResources[[#Headers],[Name]])))*100,0)&amp;"%")</f>
        <v/>
      </c>
      <c r="F33" s="24" t="str">
        <f aca="false">IF(IFERROR(INDEX(res_Name,(ROW()-ROW(MSPResources[[#Headers],[Name]])))="",TRUE()),"",INDEX(res_Rate,(ROW()-ROW(MSPResources[[#Headers],[Name]])))&amp;"/h")</f>
        <v/>
      </c>
      <c r="G33" s="24" t="str">
        <f aca="false">IF(IFERROR(INDEX(res_Name,(ROW()-ROW(MSPResources[[#Headers],[Name]])))="",TRUE()),"",INDEX(res_Email,(ROW()-ROW(MSPResources[[#Headers],[Name]])))&amp;"")</f>
        <v/>
      </c>
    </row>
    <row r="34" customFormat="false" ht="15" hidden="false" customHeight="false" outlineLevel="0" collapsed="false">
      <c r="A34" s="24" t="str">
        <f aca="false">IF(IFERROR(INDEX(res_Name,(ROW()-ROW(MSPResources[[#Headers],[Name]])))="",TRUE()),"",INDEX(res_Name,(ROW()-ROW(MSPResources[[#Headers],[Name]])))&amp;"")</f>
        <v/>
      </c>
      <c r="B34" s="24" t="str">
        <f aca="false">IF(IFERROR(INDEX(res_Name,(ROW()-ROW(MSPResources[[#Headers],[Name]])))="",TRUE()),"",INDEX(res_Initials,(ROW()-ROW(MSPResources[[#Headers],[Name]])))&amp;"")</f>
        <v/>
      </c>
      <c r="C34" s="24" t="str">
        <f aca="false">IF(IFERROR(INDEX(res_Name,(ROW()-ROW(MSPResources[[#Headers],[Name]])))="",TRUE()),"",INDEX(res_Group,(ROW()-ROW(MSPResources[[#Headers],[Name]])))&amp;"")</f>
        <v/>
      </c>
      <c r="D34" s="24" t="str">
        <f aca="false">IF(IFERROR(INDEX(res_Name,(ROW()-ROW(MSPResources[[#Headers],[Name]])))="",TRUE()),"",INDEX(res_Type,(ROW()-ROW(MSPResources[[#Headers],[Name]])))&amp;"")</f>
        <v/>
      </c>
      <c r="E34" s="24" t="str">
        <f aca="false">IF(IFERROR(INDEX(res_Name,(ROW()-ROW(MSPResources[[#Headers],[Name]])))="",TRUE()),"",ROUND(INDEX(res_MaxUnits,(ROW()-ROW(MSPResources[[#Headers],[Name]])))*100,0)&amp;"%")</f>
        <v/>
      </c>
      <c r="F34" s="24" t="str">
        <f aca="false">IF(IFERROR(INDEX(res_Name,(ROW()-ROW(MSPResources[[#Headers],[Name]])))="",TRUE()),"",INDEX(res_Rate,(ROW()-ROW(MSPResources[[#Headers],[Name]])))&amp;"/h")</f>
        <v/>
      </c>
      <c r="G34" s="24" t="str">
        <f aca="false">IF(IFERROR(INDEX(res_Name,(ROW()-ROW(MSPResources[[#Headers],[Name]])))="",TRUE()),"",INDEX(res_Email,(ROW()-ROW(MSPResources[[#Headers],[Name]])))&amp;"")</f>
        <v/>
      </c>
    </row>
    <row r="35" customFormat="false" ht="15" hidden="false" customHeight="false" outlineLevel="0" collapsed="false">
      <c r="A35" s="24" t="str">
        <f aca="false">IF(IFERROR(INDEX(res_Name,(ROW()-ROW(MSPResources[[#Headers],[Name]])))="",TRUE()),"",INDEX(res_Name,(ROW()-ROW(MSPResources[[#Headers],[Name]])))&amp;"")</f>
        <v/>
      </c>
      <c r="B35" s="24" t="str">
        <f aca="false">IF(IFERROR(INDEX(res_Name,(ROW()-ROW(MSPResources[[#Headers],[Name]])))="",TRUE()),"",INDEX(res_Initials,(ROW()-ROW(MSPResources[[#Headers],[Name]])))&amp;"")</f>
        <v/>
      </c>
      <c r="C35" s="24" t="str">
        <f aca="false">IF(IFERROR(INDEX(res_Name,(ROW()-ROW(MSPResources[[#Headers],[Name]])))="",TRUE()),"",INDEX(res_Group,(ROW()-ROW(MSPResources[[#Headers],[Name]])))&amp;"")</f>
        <v/>
      </c>
      <c r="D35" s="24" t="str">
        <f aca="false">IF(IFERROR(INDEX(res_Name,(ROW()-ROW(MSPResources[[#Headers],[Name]])))="",TRUE()),"",INDEX(res_Type,(ROW()-ROW(MSPResources[[#Headers],[Name]])))&amp;"")</f>
        <v/>
      </c>
      <c r="E35" s="24" t="str">
        <f aca="false">IF(IFERROR(INDEX(res_Name,(ROW()-ROW(MSPResources[[#Headers],[Name]])))="",TRUE()),"",ROUND(INDEX(res_MaxUnits,(ROW()-ROW(MSPResources[[#Headers],[Name]])))*100,0)&amp;"%")</f>
        <v/>
      </c>
      <c r="F35" s="24" t="str">
        <f aca="false">IF(IFERROR(INDEX(res_Name,(ROW()-ROW(MSPResources[[#Headers],[Name]])))="",TRUE()),"",INDEX(res_Rate,(ROW()-ROW(MSPResources[[#Headers],[Name]])))&amp;"/h")</f>
        <v/>
      </c>
      <c r="G35" s="24" t="str">
        <f aca="false">IF(IFERROR(INDEX(res_Name,(ROW()-ROW(MSPResources[[#Headers],[Name]])))="",TRUE()),"",INDEX(res_Email,(ROW()-ROW(MSPResources[[#Headers],[Name]])))&amp;"")</f>
        <v/>
      </c>
    </row>
    <row r="36" customFormat="false" ht="15" hidden="false" customHeight="false" outlineLevel="0" collapsed="false">
      <c r="A36" s="24" t="str">
        <f aca="false">IF(IFERROR(INDEX(res_Name,(ROW()-ROW(MSPResources[[#Headers],[Name]])))="",TRUE()),"",INDEX(res_Name,(ROW()-ROW(MSPResources[[#Headers],[Name]])))&amp;"")</f>
        <v/>
      </c>
      <c r="B36" s="24" t="str">
        <f aca="false">IF(IFERROR(INDEX(res_Name,(ROW()-ROW(MSPResources[[#Headers],[Name]])))="",TRUE()),"",INDEX(res_Initials,(ROW()-ROW(MSPResources[[#Headers],[Name]])))&amp;"")</f>
        <v/>
      </c>
      <c r="C36" s="24" t="str">
        <f aca="false">IF(IFERROR(INDEX(res_Name,(ROW()-ROW(MSPResources[[#Headers],[Name]])))="",TRUE()),"",INDEX(res_Group,(ROW()-ROW(MSPResources[[#Headers],[Name]])))&amp;"")</f>
        <v/>
      </c>
      <c r="D36" s="24" t="str">
        <f aca="false">IF(IFERROR(INDEX(res_Name,(ROW()-ROW(MSPResources[[#Headers],[Name]])))="",TRUE()),"",INDEX(res_Type,(ROW()-ROW(MSPResources[[#Headers],[Name]])))&amp;"")</f>
        <v/>
      </c>
      <c r="E36" s="24" t="str">
        <f aca="false">IF(IFERROR(INDEX(res_Name,(ROW()-ROW(MSPResources[[#Headers],[Name]])))="",TRUE()),"",ROUND(INDEX(res_MaxUnits,(ROW()-ROW(MSPResources[[#Headers],[Name]])))*100,0)&amp;"%")</f>
        <v/>
      </c>
      <c r="F36" s="24" t="str">
        <f aca="false">IF(IFERROR(INDEX(res_Name,(ROW()-ROW(MSPResources[[#Headers],[Name]])))="",TRUE()),"",INDEX(res_Rate,(ROW()-ROW(MSPResources[[#Headers],[Name]])))&amp;"/h")</f>
        <v/>
      </c>
      <c r="G36" s="24" t="str">
        <f aca="false">IF(IFERROR(INDEX(res_Name,(ROW()-ROW(MSPResources[[#Headers],[Name]])))="",TRUE()),"",INDEX(res_Email,(ROW()-ROW(MSPResources[[#Headers],[Name]])))&amp;"")</f>
        <v/>
      </c>
    </row>
    <row r="37" customFormat="false" ht="15" hidden="false" customHeight="false" outlineLevel="0" collapsed="false">
      <c r="A37" s="24" t="str">
        <f aca="false">IF(IFERROR(INDEX(res_Name,(ROW()-ROW(MSPResources[[#Headers],[Name]])))="",TRUE()),"",INDEX(res_Name,(ROW()-ROW(MSPResources[[#Headers],[Name]])))&amp;"")</f>
        <v/>
      </c>
      <c r="B37" s="24" t="str">
        <f aca="false">IF(IFERROR(INDEX(res_Name,(ROW()-ROW(MSPResources[[#Headers],[Name]])))="",TRUE()),"",INDEX(res_Initials,(ROW()-ROW(MSPResources[[#Headers],[Name]])))&amp;"")</f>
        <v/>
      </c>
      <c r="C37" s="24" t="str">
        <f aca="false">IF(IFERROR(INDEX(res_Name,(ROW()-ROW(MSPResources[[#Headers],[Name]])))="",TRUE()),"",INDEX(res_Group,(ROW()-ROW(MSPResources[[#Headers],[Name]])))&amp;"")</f>
        <v/>
      </c>
      <c r="D37" s="24" t="str">
        <f aca="false">IF(IFERROR(INDEX(res_Name,(ROW()-ROW(MSPResources[[#Headers],[Name]])))="",TRUE()),"",INDEX(res_Type,(ROW()-ROW(MSPResources[[#Headers],[Name]])))&amp;"")</f>
        <v/>
      </c>
      <c r="E37" s="24" t="str">
        <f aca="false">IF(IFERROR(INDEX(res_Name,(ROW()-ROW(MSPResources[[#Headers],[Name]])))="",TRUE()),"",ROUND(INDEX(res_MaxUnits,(ROW()-ROW(MSPResources[[#Headers],[Name]])))*100,0)&amp;"%")</f>
        <v/>
      </c>
      <c r="F37" s="24" t="str">
        <f aca="false">IF(IFERROR(INDEX(res_Name,(ROW()-ROW(MSPResources[[#Headers],[Name]])))="",TRUE()),"",INDEX(res_Rate,(ROW()-ROW(MSPResources[[#Headers],[Name]])))&amp;"/h")</f>
        <v/>
      </c>
      <c r="G37" s="24" t="str">
        <f aca="false">IF(IFERROR(INDEX(res_Name,(ROW()-ROW(MSPResources[[#Headers],[Name]])))="",TRUE()),"",INDEX(res_Email,(ROW()-ROW(MSPResources[[#Headers],[Name]])))&amp;"")</f>
        <v/>
      </c>
    </row>
    <row r="38" customFormat="false" ht="15" hidden="false" customHeight="false" outlineLevel="0" collapsed="false">
      <c r="A38" s="24" t="str">
        <f aca="false">IF(IFERROR(INDEX(res_Name,(ROW()-ROW(MSPResources[[#Headers],[Name]])))="",TRUE()),"",INDEX(res_Name,(ROW()-ROW(MSPResources[[#Headers],[Name]])))&amp;"")</f>
        <v/>
      </c>
      <c r="B38" s="24" t="str">
        <f aca="false">IF(IFERROR(INDEX(res_Name,(ROW()-ROW(MSPResources[[#Headers],[Name]])))="",TRUE()),"",INDEX(res_Initials,(ROW()-ROW(MSPResources[[#Headers],[Name]])))&amp;"")</f>
        <v/>
      </c>
      <c r="C38" s="24" t="str">
        <f aca="false">IF(IFERROR(INDEX(res_Name,(ROW()-ROW(MSPResources[[#Headers],[Name]])))="",TRUE()),"",INDEX(res_Group,(ROW()-ROW(MSPResources[[#Headers],[Name]])))&amp;"")</f>
        <v/>
      </c>
      <c r="D38" s="24" t="str">
        <f aca="false">IF(IFERROR(INDEX(res_Name,(ROW()-ROW(MSPResources[[#Headers],[Name]])))="",TRUE()),"",INDEX(res_Type,(ROW()-ROW(MSPResources[[#Headers],[Name]])))&amp;"")</f>
        <v/>
      </c>
      <c r="E38" s="24" t="str">
        <f aca="false">IF(IFERROR(INDEX(res_Name,(ROW()-ROW(MSPResources[[#Headers],[Name]])))="",TRUE()),"",ROUND(INDEX(res_MaxUnits,(ROW()-ROW(MSPResources[[#Headers],[Name]])))*100,0)&amp;"%")</f>
        <v/>
      </c>
      <c r="F38" s="24" t="str">
        <f aca="false">IF(IFERROR(INDEX(res_Name,(ROW()-ROW(MSPResources[[#Headers],[Name]])))="",TRUE()),"",INDEX(res_Rate,(ROW()-ROW(MSPResources[[#Headers],[Name]])))&amp;"/h")</f>
        <v/>
      </c>
      <c r="G38" s="24" t="str">
        <f aca="false">IF(IFERROR(INDEX(res_Name,(ROW()-ROW(MSPResources[[#Headers],[Name]])))="",TRUE()),"",INDEX(res_Email,(ROW()-ROW(MSPResources[[#Headers],[Name]])))&amp;"")</f>
        <v/>
      </c>
    </row>
    <row r="39" customFormat="false" ht="15" hidden="false" customHeight="false" outlineLevel="0" collapsed="false">
      <c r="A39" s="24" t="str">
        <f aca="false">IF(IFERROR(INDEX(res_Name,(ROW()-ROW(MSPResources[[#Headers],[Name]])))="",TRUE()),"",INDEX(res_Name,(ROW()-ROW(MSPResources[[#Headers],[Name]])))&amp;"")</f>
        <v/>
      </c>
      <c r="B39" s="24" t="str">
        <f aca="false">IF(IFERROR(INDEX(res_Name,(ROW()-ROW(MSPResources[[#Headers],[Name]])))="",TRUE()),"",INDEX(res_Initials,(ROW()-ROW(MSPResources[[#Headers],[Name]])))&amp;"")</f>
        <v/>
      </c>
      <c r="C39" s="24" t="str">
        <f aca="false">IF(IFERROR(INDEX(res_Name,(ROW()-ROW(MSPResources[[#Headers],[Name]])))="",TRUE()),"",INDEX(res_Group,(ROW()-ROW(MSPResources[[#Headers],[Name]])))&amp;"")</f>
        <v/>
      </c>
      <c r="D39" s="24" t="str">
        <f aca="false">IF(IFERROR(INDEX(res_Name,(ROW()-ROW(MSPResources[[#Headers],[Name]])))="",TRUE()),"",INDEX(res_Type,(ROW()-ROW(MSPResources[[#Headers],[Name]])))&amp;"")</f>
        <v/>
      </c>
      <c r="E39" s="24" t="str">
        <f aca="false">IF(IFERROR(INDEX(res_Name,(ROW()-ROW(MSPResources[[#Headers],[Name]])))="",TRUE()),"",ROUND(INDEX(res_MaxUnits,(ROW()-ROW(MSPResources[[#Headers],[Name]])))*100,0)&amp;"%")</f>
        <v/>
      </c>
      <c r="F39" s="24" t="str">
        <f aca="false">IF(IFERROR(INDEX(res_Name,(ROW()-ROW(MSPResources[[#Headers],[Name]])))="",TRUE()),"",INDEX(res_Rate,(ROW()-ROW(MSPResources[[#Headers],[Name]])))&amp;"/h")</f>
        <v/>
      </c>
      <c r="G39" s="24" t="str">
        <f aca="false">IF(IFERROR(INDEX(res_Name,(ROW()-ROW(MSPResources[[#Headers],[Name]])))="",TRUE()),"",INDEX(res_Email,(ROW()-ROW(MSPResources[[#Headers],[Name]])))&amp;"")</f>
        <v/>
      </c>
    </row>
    <row r="40" customFormat="false" ht="15" hidden="false" customHeight="false" outlineLevel="0" collapsed="false">
      <c r="A40" s="24" t="str">
        <f aca="false">IF(IFERROR(INDEX(res_Name,(ROW()-ROW(MSPResources[[#Headers],[Name]])))="",TRUE()),"",INDEX(res_Name,(ROW()-ROW(MSPResources[[#Headers],[Name]])))&amp;"")</f>
        <v/>
      </c>
      <c r="B40" s="24" t="str">
        <f aca="false">IF(IFERROR(INDEX(res_Name,(ROW()-ROW(MSPResources[[#Headers],[Name]])))="",TRUE()),"",INDEX(res_Initials,(ROW()-ROW(MSPResources[[#Headers],[Name]])))&amp;"")</f>
        <v/>
      </c>
      <c r="C40" s="24" t="str">
        <f aca="false">IF(IFERROR(INDEX(res_Name,(ROW()-ROW(MSPResources[[#Headers],[Name]])))="",TRUE()),"",INDEX(res_Group,(ROW()-ROW(MSPResources[[#Headers],[Name]])))&amp;"")</f>
        <v/>
      </c>
      <c r="D40" s="24" t="str">
        <f aca="false">IF(IFERROR(INDEX(res_Name,(ROW()-ROW(MSPResources[[#Headers],[Name]])))="",TRUE()),"",INDEX(res_Type,(ROW()-ROW(MSPResources[[#Headers],[Name]])))&amp;"")</f>
        <v/>
      </c>
      <c r="E40" s="24" t="str">
        <f aca="false">IF(IFERROR(INDEX(res_Name,(ROW()-ROW(MSPResources[[#Headers],[Name]])))="",TRUE()),"",ROUND(INDEX(res_MaxUnits,(ROW()-ROW(MSPResources[[#Headers],[Name]])))*100,0)&amp;"%")</f>
        <v/>
      </c>
      <c r="F40" s="24" t="str">
        <f aca="false">IF(IFERROR(INDEX(res_Name,(ROW()-ROW(MSPResources[[#Headers],[Name]])))="",TRUE()),"",INDEX(res_Rate,(ROW()-ROW(MSPResources[[#Headers],[Name]])))&amp;"/h")</f>
        <v/>
      </c>
      <c r="G40" s="24" t="str">
        <f aca="false">IF(IFERROR(INDEX(res_Name,(ROW()-ROW(MSPResources[[#Headers],[Name]])))="",TRUE()),"",INDEX(res_Email,(ROW()-ROW(MSPResources[[#Headers],[Name]])))&amp;"")</f>
        <v/>
      </c>
    </row>
    <row r="41" customFormat="false" ht="15" hidden="false" customHeight="false" outlineLevel="0" collapsed="false">
      <c r="A41" s="24" t="str">
        <f aca="false">IF(IFERROR(INDEX(res_Name,(ROW()-ROW(MSPResources[[#Headers],[Name]])))="",TRUE()),"",INDEX(res_Name,(ROW()-ROW(MSPResources[[#Headers],[Name]])))&amp;"")</f>
        <v/>
      </c>
      <c r="B41" s="24" t="str">
        <f aca="false">IF(IFERROR(INDEX(res_Name,(ROW()-ROW(MSPResources[[#Headers],[Name]])))="",TRUE()),"",INDEX(res_Initials,(ROW()-ROW(MSPResources[[#Headers],[Name]])))&amp;"")</f>
        <v/>
      </c>
      <c r="C41" s="24" t="str">
        <f aca="false">IF(IFERROR(INDEX(res_Name,(ROW()-ROW(MSPResources[[#Headers],[Name]])))="",TRUE()),"",INDEX(res_Group,(ROW()-ROW(MSPResources[[#Headers],[Name]])))&amp;"")</f>
        <v/>
      </c>
      <c r="D41" s="24" t="str">
        <f aca="false">IF(IFERROR(INDEX(res_Name,(ROW()-ROW(MSPResources[[#Headers],[Name]])))="",TRUE()),"",INDEX(res_Type,(ROW()-ROW(MSPResources[[#Headers],[Name]])))&amp;"")</f>
        <v/>
      </c>
      <c r="E41" s="24" t="str">
        <f aca="false">IF(IFERROR(INDEX(res_Name,(ROW()-ROW(MSPResources[[#Headers],[Name]])))="",TRUE()),"",ROUND(INDEX(res_MaxUnits,(ROW()-ROW(MSPResources[[#Headers],[Name]])))*100,0)&amp;"%")</f>
        <v/>
      </c>
      <c r="F41" s="24" t="str">
        <f aca="false">IF(IFERROR(INDEX(res_Name,(ROW()-ROW(MSPResources[[#Headers],[Name]])))="",TRUE()),"",INDEX(res_Rate,(ROW()-ROW(MSPResources[[#Headers],[Name]])))&amp;"/h")</f>
        <v/>
      </c>
      <c r="G41" s="24" t="str">
        <f aca="false">IF(IFERROR(INDEX(res_Name,(ROW()-ROW(MSPResources[[#Headers],[Name]])))="",TRUE()),"",INDEX(res_Email,(ROW()-ROW(MSPResources[[#Headers],[Name]])))&amp;"")</f>
        <v/>
      </c>
    </row>
    <row r="42" customFormat="false" ht="15" hidden="false" customHeight="false" outlineLevel="0" collapsed="false">
      <c r="A42" s="24" t="str">
        <f aca="false">IF(IFERROR(INDEX(res_Name,(ROW()-ROW(MSPResources[[#Headers],[Name]])))="",TRUE()),"",INDEX(res_Name,(ROW()-ROW(MSPResources[[#Headers],[Name]])))&amp;"")</f>
        <v/>
      </c>
      <c r="B42" s="24" t="str">
        <f aca="false">IF(IFERROR(INDEX(res_Name,(ROW()-ROW(MSPResources[[#Headers],[Name]])))="",TRUE()),"",INDEX(res_Initials,(ROW()-ROW(MSPResources[[#Headers],[Name]])))&amp;"")</f>
        <v/>
      </c>
      <c r="C42" s="24" t="str">
        <f aca="false">IF(IFERROR(INDEX(res_Name,(ROW()-ROW(MSPResources[[#Headers],[Name]])))="",TRUE()),"",INDEX(res_Group,(ROW()-ROW(MSPResources[[#Headers],[Name]])))&amp;"")</f>
        <v/>
      </c>
      <c r="D42" s="24" t="str">
        <f aca="false">IF(IFERROR(INDEX(res_Name,(ROW()-ROW(MSPResources[[#Headers],[Name]])))="",TRUE()),"",INDEX(res_Type,(ROW()-ROW(MSPResources[[#Headers],[Name]])))&amp;"")</f>
        <v/>
      </c>
      <c r="E42" s="24" t="str">
        <f aca="false">IF(IFERROR(INDEX(res_Name,(ROW()-ROW(MSPResources[[#Headers],[Name]])))="",TRUE()),"",ROUND(INDEX(res_MaxUnits,(ROW()-ROW(MSPResources[[#Headers],[Name]])))*100,0)&amp;"%")</f>
        <v/>
      </c>
      <c r="F42" s="24" t="str">
        <f aca="false">IF(IFERROR(INDEX(res_Name,(ROW()-ROW(MSPResources[[#Headers],[Name]])))="",TRUE()),"",INDEX(res_Rate,(ROW()-ROW(MSPResources[[#Headers],[Name]])))&amp;"/h")</f>
        <v/>
      </c>
      <c r="G42" s="24" t="str">
        <f aca="false">IF(IFERROR(INDEX(res_Name,(ROW()-ROW(MSPResources[[#Headers],[Name]])))="",TRUE()),"",INDEX(res_Email,(ROW()-ROW(MSPResources[[#Headers],[Name]])))&amp;"")</f>
        <v/>
      </c>
    </row>
    <row r="43" customFormat="false" ht="15" hidden="false" customHeight="false" outlineLevel="0" collapsed="false">
      <c r="A43" s="24" t="str">
        <f aca="false">IF(IFERROR(INDEX(res_Name,(ROW()-ROW(MSPResources[[#Headers],[Name]])))="",TRUE()),"",INDEX(res_Name,(ROW()-ROW(MSPResources[[#Headers],[Name]])))&amp;"")</f>
        <v/>
      </c>
      <c r="B43" s="24" t="str">
        <f aca="false">IF(IFERROR(INDEX(res_Name,(ROW()-ROW(MSPResources[[#Headers],[Name]])))="",TRUE()),"",INDEX(res_Initials,(ROW()-ROW(MSPResources[[#Headers],[Name]])))&amp;"")</f>
        <v/>
      </c>
      <c r="C43" s="24" t="str">
        <f aca="false">IF(IFERROR(INDEX(res_Name,(ROW()-ROW(MSPResources[[#Headers],[Name]])))="",TRUE()),"",INDEX(res_Group,(ROW()-ROW(MSPResources[[#Headers],[Name]])))&amp;"")</f>
        <v/>
      </c>
      <c r="D43" s="24" t="str">
        <f aca="false">IF(IFERROR(INDEX(res_Name,(ROW()-ROW(MSPResources[[#Headers],[Name]])))="",TRUE()),"",INDEX(res_Type,(ROW()-ROW(MSPResources[[#Headers],[Name]])))&amp;"")</f>
        <v/>
      </c>
      <c r="E43" s="24" t="str">
        <f aca="false">IF(IFERROR(INDEX(res_Name,(ROW()-ROW(MSPResources[[#Headers],[Name]])))="",TRUE()),"",ROUND(INDEX(res_MaxUnits,(ROW()-ROW(MSPResources[[#Headers],[Name]])))*100,0)&amp;"%")</f>
        <v/>
      </c>
      <c r="F43" s="24" t="str">
        <f aca="false">IF(IFERROR(INDEX(res_Name,(ROW()-ROW(MSPResources[[#Headers],[Name]])))="",TRUE()),"",INDEX(res_Rate,(ROW()-ROW(MSPResources[[#Headers],[Name]])))&amp;"/h")</f>
        <v/>
      </c>
      <c r="G43" s="24" t="str">
        <f aca="false">IF(IFERROR(INDEX(res_Name,(ROW()-ROW(MSPResources[[#Headers],[Name]])))="",TRUE()),"",INDEX(res_Email,(ROW()-ROW(MSPResources[[#Headers],[Name]])))&amp;"")</f>
        <v/>
      </c>
    </row>
    <row r="44" customFormat="false" ht="15" hidden="false" customHeight="false" outlineLevel="0" collapsed="false">
      <c r="A44" s="24" t="str">
        <f aca="false">IF(IFERROR(INDEX(res_Name,(ROW()-ROW(MSPResources[[#Headers],[Name]])))="",TRUE()),"",INDEX(res_Name,(ROW()-ROW(MSPResources[[#Headers],[Name]])))&amp;"")</f>
        <v/>
      </c>
      <c r="B44" s="24" t="str">
        <f aca="false">IF(IFERROR(INDEX(res_Name,(ROW()-ROW(MSPResources[[#Headers],[Name]])))="",TRUE()),"",INDEX(res_Initials,(ROW()-ROW(MSPResources[[#Headers],[Name]])))&amp;"")</f>
        <v/>
      </c>
      <c r="C44" s="24" t="str">
        <f aca="false">IF(IFERROR(INDEX(res_Name,(ROW()-ROW(MSPResources[[#Headers],[Name]])))="",TRUE()),"",INDEX(res_Group,(ROW()-ROW(MSPResources[[#Headers],[Name]])))&amp;"")</f>
        <v/>
      </c>
      <c r="D44" s="24" t="str">
        <f aca="false">IF(IFERROR(INDEX(res_Name,(ROW()-ROW(MSPResources[[#Headers],[Name]])))="",TRUE()),"",INDEX(res_Type,(ROW()-ROW(MSPResources[[#Headers],[Name]])))&amp;"")</f>
        <v/>
      </c>
      <c r="E44" s="24" t="str">
        <f aca="false">IF(IFERROR(INDEX(res_Name,(ROW()-ROW(MSPResources[[#Headers],[Name]])))="",TRUE()),"",ROUND(INDEX(res_MaxUnits,(ROW()-ROW(MSPResources[[#Headers],[Name]])))*100,0)&amp;"%")</f>
        <v/>
      </c>
      <c r="F44" s="24" t="str">
        <f aca="false">IF(IFERROR(INDEX(res_Name,(ROW()-ROW(MSPResources[[#Headers],[Name]])))="",TRUE()),"",INDEX(res_Rate,(ROW()-ROW(MSPResources[[#Headers],[Name]])))&amp;"/h")</f>
        <v/>
      </c>
      <c r="G44" s="24" t="str">
        <f aca="false">IF(IFERROR(INDEX(res_Name,(ROW()-ROW(MSPResources[[#Headers],[Name]])))="",TRUE()),"",INDEX(res_Email,(ROW()-ROW(MSPResources[[#Headers],[Name]])))&amp;"")</f>
        <v/>
      </c>
    </row>
    <row r="45" customFormat="false" ht="15" hidden="false" customHeight="false" outlineLevel="0" collapsed="false">
      <c r="A45" s="24" t="str">
        <f aca="false">IF(IFERROR(INDEX(res_Name,(ROW()-ROW(MSPResources[[#Headers],[Name]])))="",TRUE()),"",INDEX(res_Name,(ROW()-ROW(MSPResources[[#Headers],[Name]])))&amp;"")</f>
        <v/>
      </c>
      <c r="B45" s="24" t="str">
        <f aca="false">IF(IFERROR(INDEX(res_Name,(ROW()-ROW(MSPResources[[#Headers],[Name]])))="",TRUE()),"",INDEX(res_Initials,(ROW()-ROW(MSPResources[[#Headers],[Name]])))&amp;"")</f>
        <v/>
      </c>
      <c r="C45" s="24" t="str">
        <f aca="false">IF(IFERROR(INDEX(res_Name,(ROW()-ROW(MSPResources[[#Headers],[Name]])))="",TRUE()),"",INDEX(res_Group,(ROW()-ROW(MSPResources[[#Headers],[Name]])))&amp;"")</f>
        <v/>
      </c>
      <c r="D45" s="24" t="str">
        <f aca="false">IF(IFERROR(INDEX(res_Name,(ROW()-ROW(MSPResources[[#Headers],[Name]])))="",TRUE()),"",INDEX(res_Type,(ROW()-ROW(MSPResources[[#Headers],[Name]])))&amp;"")</f>
        <v/>
      </c>
      <c r="E45" s="24" t="str">
        <f aca="false">IF(IFERROR(INDEX(res_Name,(ROW()-ROW(MSPResources[[#Headers],[Name]])))="",TRUE()),"",ROUND(INDEX(res_MaxUnits,(ROW()-ROW(MSPResources[[#Headers],[Name]])))*100,0)&amp;"%")</f>
        <v/>
      </c>
      <c r="F45" s="24" t="str">
        <f aca="false">IF(IFERROR(INDEX(res_Name,(ROW()-ROW(MSPResources[[#Headers],[Name]])))="",TRUE()),"",INDEX(res_Rate,(ROW()-ROW(MSPResources[[#Headers],[Name]])))&amp;"/h")</f>
        <v/>
      </c>
      <c r="G45" s="24" t="str">
        <f aca="false">IF(IFERROR(INDEX(res_Name,(ROW()-ROW(MSPResources[[#Headers],[Name]])))="",TRUE()),"",INDEX(res_Email,(ROW()-ROW(MSPResources[[#Headers],[Name]])))&amp;"")</f>
        <v/>
      </c>
    </row>
    <row r="46" customFormat="false" ht="15" hidden="false" customHeight="false" outlineLevel="0" collapsed="false">
      <c r="A46" s="24" t="str">
        <f aca="false">IF(IFERROR(INDEX(res_Name,(ROW()-ROW(MSPResources[[#Headers],[Name]])))="",TRUE()),"",INDEX(res_Name,(ROW()-ROW(MSPResources[[#Headers],[Name]])))&amp;"")</f>
        <v/>
      </c>
      <c r="B46" s="24" t="str">
        <f aca="false">IF(IFERROR(INDEX(res_Name,(ROW()-ROW(MSPResources[[#Headers],[Name]])))="",TRUE()),"",INDEX(res_Initials,(ROW()-ROW(MSPResources[[#Headers],[Name]])))&amp;"")</f>
        <v/>
      </c>
      <c r="C46" s="24" t="str">
        <f aca="false">IF(IFERROR(INDEX(res_Name,(ROW()-ROW(MSPResources[[#Headers],[Name]])))="",TRUE()),"",INDEX(res_Group,(ROW()-ROW(MSPResources[[#Headers],[Name]])))&amp;"")</f>
        <v/>
      </c>
      <c r="D46" s="24" t="str">
        <f aca="false">IF(IFERROR(INDEX(res_Name,(ROW()-ROW(MSPResources[[#Headers],[Name]])))="",TRUE()),"",INDEX(res_Type,(ROW()-ROW(MSPResources[[#Headers],[Name]])))&amp;"")</f>
        <v/>
      </c>
      <c r="E46" s="24" t="str">
        <f aca="false">IF(IFERROR(INDEX(res_Name,(ROW()-ROW(MSPResources[[#Headers],[Name]])))="",TRUE()),"",ROUND(INDEX(res_MaxUnits,(ROW()-ROW(MSPResources[[#Headers],[Name]])))*100,0)&amp;"%")</f>
        <v/>
      </c>
      <c r="F46" s="24" t="str">
        <f aca="false">IF(IFERROR(INDEX(res_Name,(ROW()-ROW(MSPResources[[#Headers],[Name]])))="",TRUE()),"",INDEX(res_Rate,(ROW()-ROW(MSPResources[[#Headers],[Name]])))&amp;"/h")</f>
        <v/>
      </c>
      <c r="G46" s="24" t="str">
        <f aca="false">IF(IFERROR(INDEX(res_Name,(ROW()-ROW(MSPResources[[#Headers],[Name]])))="",TRUE()),"",INDEX(res_Email,(ROW()-ROW(MSPResources[[#Headers],[Name]])))&amp;"")</f>
        <v/>
      </c>
    </row>
    <row r="47" customFormat="false" ht="15" hidden="false" customHeight="false" outlineLevel="0" collapsed="false">
      <c r="A47" s="24" t="str">
        <f aca="false">IF(IFERROR(INDEX(res_Name,(ROW()-ROW(MSPResources[[#Headers],[Name]])))="",TRUE()),"",INDEX(res_Name,(ROW()-ROW(MSPResources[[#Headers],[Name]])))&amp;"")</f>
        <v/>
      </c>
      <c r="B47" s="24" t="str">
        <f aca="false">IF(IFERROR(INDEX(res_Name,(ROW()-ROW(MSPResources[[#Headers],[Name]])))="",TRUE()),"",INDEX(res_Initials,(ROW()-ROW(MSPResources[[#Headers],[Name]])))&amp;"")</f>
        <v/>
      </c>
      <c r="C47" s="24" t="str">
        <f aca="false">IF(IFERROR(INDEX(res_Name,(ROW()-ROW(MSPResources[[#Headers],[Name]])))="",TRUE()),"",INDEX(res_Group,(ROW()-ROW(MSPResources[[#Headers],[Name]])))&amp;"")</f>
        <v/>
      </c>
      <c r="D47" s="24" t="str">
        <f aca="false">IF(IFERROR(INDEX(res_Name,(ROW()-ROW(MSPResources[[#Headers],[Name]])))="",TRUE()),"",INDEX(res_Type,(ROW()-ROW(MSPResources[[#Headers],[Name]])))&amp;"")</f>
        <v/>
      </c>
      <c r="E47" s="24" t="str">
        <f aca="false">IF(IFERROR(INDEX(res_Name,(ROW()-ROW(MSPResources[[#Headers],[Name]])))="",TRUE()),"",ROUND(INDEX(res_MaxUnits,(ROW()-ROW(MSPResources[[#Headers],[Name]])))*100,0)&amp;"%")</f>
        <v/>
      </c>
      <c r="F47" s="24" t="str">
        <f aca="false">IF(IFERROR(INDEX(res_Name,(ROW()-ROW(MSPResources[[#Headers],[Name]])))="",TRUE()),"",INDEX(res_Rate,(ROW()-ROW(MSPResources[[#Headers],[Name]])))&amp;"/h")</f>
        <v/>
      </c>
      <c r="G47" s="24" t="str">
        <f aca="false">IF(IFERROR(INDEX(res_Name,(ROW()-ROW(MSPResources[[#Headers],[Name]])))="",TRUE()),"",INDEX(res_Email,(ROW()-ROW(MSPResources[[#Headers],[Name]])))&amp;"")</f>
        <v/>
      </c>
    </row>
    <row r="48" customFormat="false" ht="15" hidden="false" customHeight="false" outlineLevel="0" collapsed="false">
      <c r="A48" s="24" t="str">
        <f aca="false">IF(IFERROR(INDEX(res_Name,(ROW()-ROW(MSPResources[[#Headers],[Name]])))="",TRUE()),"",INDEX(res_Name,(ROW()-ROW(MSPResources[[#Headers],[Name]])))&amp;"")</f>
        <v/>
      </c>
      <c r="B48" s="24" t="str">
        <f aca="false">IF(IFERROR(INDEX(res_Name,(ROW()-ROW(MSPResources[[#Headers],[Name]])))="",TRUE()),"",INDEX(res_Initials,(ROW()-ROW(MSPResources[[#Headers],[Name]])))&amp;"")</f>
        <v/>
      </c>
      <c r="C48" s="24" t="str">
        <f aca="false">IF(IFERROR(INDEX(res_Name,(ROW()-ROW(MSPResources[[#Headers],[Name]])))="",TRUE()),"",INDEX(res_Group,(ROW()-ROW(MSPResources[[#Headers],[Name]])))&amp;"")</f>
        <v/>
      </c>
      <c r="D48" s="24" t="str">
        <f aca="false">IF(IFERROR(INDEX(res_Name,(ROW()-ROW(MSPResources[[#Headers],[Name]])))="",TRUE()),"",INDEX(res_Type,(ROW()-ROW(MSPResources[[#Headers],[Name]])))&amp;"")</f>
        <v/>
      </c>
      <c r="E48" s="24" t="str">
        <f aca="false">IF(IFERROR(INDEX(res_Name,(ROW()-ROW(MSPResources[[#Headers],[Name]])))="",TRUE()),"",ROUND(INDEX(res_MaxUnits,(ROW()-ROW(MSPResources[[#Headers],[Name]])))*100,0)&amp;"%")</f>
        <v/>
      </c>
      <c r="F48" s="24" t="str">
        <f aca="false">IF(IFERROR(INDEX(res_Name,(ROW()-ROW(MSPResources[[#Headers],[Name]])))="",TRUE()),"",INDEX(res_Rate,(ROW()-ROW(MSPResources[[#Headers],[Name]])))&amp;"/h")</f>
        <v/>
      </c>
      <c r="G48" s="24" t="str">
        <f aca="false">IF(IFERROR(INDEX(res_Name,(ROW()-ROW(MSPResources[[#Headers],[Name]])))="",TRUE()),"",INDEX(res_Email,(ROW()-ROW(MSPResources[[#Headers],[Name]])))&amp;"")</f>
        <v/>
      </c>
    </row>
    <row r="49" customFormat="false" ht="15" hidden="false" customHeight="false" outlineLevel="0" collapsed="false">
      <c r="A49" s="24" t="str">
        <f aca="false">IF(IFERROR(INDEX(res_Name,(ROW()-ROW(MSPResources[[#Headers],[Name]])))="",TRUE()),"",INDEX(res_Name,(ROW()-ROW(MSPResources[[#Headers],[Name]])))&amp;"")</f>
        <v/>
      </c>
      <c r="B49" s="24" t="str">
        <f aca="false">IF(IFERROR(INDEX(res_Name,(ROW()-ROW(MSPResources[[#Headers],[Name]])))="",TRUE()),"",INDEX(res_Initials,(ROW()-ROW(MSPResources[[#Headers],[Name]])))&amp;"")</f>
        <v/>
      </c>
      <c r="C49" s="24" t="str">
        <f aca="false">IF(IFERROR(INDEX(res_Name,(ROW()-ROW(MSPResources[[#Headers],[Name]])))="",TRUE()),"",INDEX(res_Group,(ROW()-ROW(MSPResources[[#Headers],[Name]])))&amp;"")</f>
        <v/>
      </c>
      <c r="D49" s="24" t="str">
        <f aca="false">IF(IFERROR(INDEX(res_Name,(ROW()-ROW(MSPResources[[#Headers],[Name]])))="",TRUE()),"",INDEX(res_Type,(ROW()-ROW(MSPResources[[#Headers],[Name]])))&amp;"")</f>
        <v/>
      </c>
      <c r="E49" s="24" t="str">
        <f aca="false">IF(IFERROR(INDEX(res_Name,(ROW()-ROW(MSPResources[[#Headers],[Name]])))="",TRUE()),"",ROUND(INDEX(res_MaxUnits,(ROW()-ROW(MSPResources[[#Headers],[Name]])))*100,0)&amp;"%")</f>
        <v/>
      </c>
      <c r="F49" s="24" t="str">
        <f aca="false">IF(IFERROR(INDEX(res_Name,(ROW()-ROW(MSPResources[[#Headers],[Name]])))="",TRUE()),"",INDEX(res_Rate,(ROW()-ROW(MSPResources[[#Headers],[Name]])))&amp;"/h")</f>
        <v/>
      </c>
      <c r="G49" s="24" t="str">
        <f aca="false">IF(IFERROR(INDEX(res_Name,(ROW()-ROW(MSPResources[[#Headers],[Name]])))="",TRUE()),"",INDEX(res_Email,(ROW()-ROW(MSPResources[[#Headers],[Name]])))&amp;"")</f>
        <v/>
      </c>
    </row>
    <row r="50" customFormat="false" ht="15" hidden="false" customHeight="false" outlineLevel="0" collapsed="false">
      <c r="A50" s="24" t="str">
        <f aca="false">IF(IFERROR(INDEX(res_Name,(ROW()-ROW(MSPResources[[#Headers],[Name]])))="",TRUE()),"",INDEX(res_Name,(ROW()-ROW(MSPResources[[#Headers],[Name]])))&amp;"")</f>
        <v/>
      </c>
      <c r="B50" s="24" t="str">
        <f aca="false">IF(IFERROR(INDEX(res_Name,(ROW()-ROW(MSPResources[[#Headers],[Name]])))="",TRUE()),"",INDEX(res_Initials,(ROW()-ROW(MSPResources[[#Headers],[Name]])))&amp;"")</f>
        <v/>
      </c>
      <c r="C50" s="24" t="str">
        <f aca="false">IF(IFERROR(INDEX(res_Name,(ROW()-ROW(MSPResources[[#Headers],[Name]])))="",TRUE()),"",INDEX(res_Group,(ROW()-ROW(MSPResources[[#Headers],[Name]])))&amp;"")</f>
        <v/>
      </c>
      <c r="D50" s="24" t="str">
        <f aca="false">IF(IFERROR(INDEX(res_Name,(ROW()-ROW(MSPResources[[#Headers],[Name]])))="",TRUE()),"",INDEX(res_Type,(ROW()-ROW(MSPResources[[#Headers],[Name]])))&amp;"")</f>
        <v/>
      </c>
      <c r="E50" s="24" t="str">
        <f aca="false">IF(IFERROR(INDEX(res_Name,(ROW()-ROW(MSPResources[[#Headers],[Name]])))="",TRUE()),"",ROUND(INDEX(res_MaxUnits,(ROW()-ROW(MSPResources[[#Headers],[Name]])))*100,0)&amp;"%")</f>
        <v/>
      </c>
      <c r="F50" s="24" t="str">
        <f aca="false">IF(IFERROR(INDEX(res_Name,(ROW()-ROW(MSPResources[[#Headers],[Name]])))="",TRUE()),"",INDEX(res_Rate,(ROW()-ROW(MSPResources[[#Headers],[Name]])))&amp;"/h")</f>
        <v/>
      </c>
      <c r="G50" s="24" t="str">
        <f aca="false">IF(IFERROR(INDEX(res_Name,(ROW()-ROW(MSPResources[[#Headers],[Name]])))="",TRUE()),"",INDEX(res_Email,(ROW()-ROW(MSPResources[[#Headers],[Name]])))&amp;"")</f>
        <v/>
      </c>
    </row>
    <row r="51" customFormat="false" ht="15" hidden="false" customHeight="false" outlineLevel="0" collapsed="false">
      <c r="A51" s="24" t="str">
        <f aca="false">IF(IFERROR(INDEX(res_Name,(ROW()-ROW(MSPResources[[#Headers],[Name]])))="",TRUE()),"",INDEX(res_Name,(ROW()-ROW(MSPResources[[#Headers],[Name]])))&amp;"")</f>
        <v/>
      </c>
      <c r="B51" s="24" t="str">
        <f aca="false">IF(IFERROR(INDEX(res_Name,(ROW()-ROW(MSPResources[[#Headers],[Name]])))="",TRUE()),"",INDEX(res_Initials,(ROW()-ROW(MSPResources[[#Headers],[Name]])))&amp;"")</f>
        <v/>
      </c>
      <c r="C51" s="24" t="str">
        <f aca="false">IF(IFERROR(INDEX(res_Name,(ROW()-ROW(MSPResources[[#Headers],[Name]])))="",TRUE()),"",INDEX(res_Group,(ROW()-ROW(MSPResources[[#Headers],[Name]])))&amp;"")</f>
        <v/>
      </c>
      <c r="D51" s="24" t="str">
        <f aca="false">IF(IFERROR(INDEX(res_Name,(ROW()-ROW(MSPResources[[#Headers],[Name]])))="",TRUE()),"",INDEX(res_Type,(ROW()-ROW(MSPResources[[#Headers],[Name]])))&amp;"")</f>
        <v/>
      </c>
      <c r="E51" s="24" t="str">
        <f aca="false">IF(IFERROR(INDEX(res_Name,(ROW()-ROW(MSPResources[[#Headers],[Name]])))="",TRUE()),"",ROUND(INDEX(res_MaxUnits,(ROW()-ROW(MSPResources[[#Headers],[Name]])))*100,0)&amp;"%")</f>
        <v/>
      </c>
      <c r="F51" s="24" t="str">
        <f aca="false">IF(IFERROR(INDEX(res_Name,(ROW()-ROW(MSPResources[[#Headers],[Name]])))="",TRUE()),"",INDEX(res_Rate,(ROW()-ROW(MSPResources[[#Headers],[Name]])))&amp;"/h")</f>
        <v/>
      </c>
      <c r="G51" s="24" t="str">
        <f aca="false">IF(IFERROR(INDEX(res_Name,(ROW()-ROW(MSPResources[[#Headers],[Name]])))="",TRUE()),"",INDEX(res_Email,(ROW()-ROW(MSPResources[[#Headers],[Name]])))&amp;"")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S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s>
  <sheetData>
    <row r="1" customFormat="false" ht="23.85" hidden="false" customHeight="false" outlineLevel="0" collapsed="false">
      <c r="A1" s="27" t="s">
        <v>785</v>
      </c>
      <c r="C1" s="27" t="s">
        <v>775</v>
      </c>
      <c r="E1" s="27" t="s">
        <v>786</v>
      </c>
      <c r="G1" s="27" t="s">
        <v>787</v>
      </c>
      <c r="I1" s="27" t="s">
        <v>788</v>
      </c>
      <c r="K1" s="27" t="s">
        <v>131</v>
      </c>
      <c r="M1" s="27" t="s">
        <v>789</v>
      </c>
      <c r="O1" s="27" t="s">
        <v>790</v>
      </c>
      <c r="Q1" s="27" t="s">
        <v>791</v>
      </c>
      <c r="S1" s="27" t="s">
        <v>792</v>
      </c>
    </row>
    <row r="2" customFormat="false" ht="15" hidden="false" customHeight="false" outlineLevel="0" collapsed="false">
      <c r="A2" s="30" t="s">
        <v>600</v>
      </c>
      <c r="C2" s="30" t="s">
        <v>595</v>
      </c>
      <c r="E2" s="30" t="s">
        <v>386</v>
      </c>
      <c r="G2" s="30" t="s">
        <v>231</v>
      </c>
      <c r="I2" s="30" t="n">
        <v>1</v>
      </c>
      <c r="K2" s="30" t="s">
        <v>359</v>
      </c>
      <c r="M2" s="30" t="s">
        <v>284</v>
      </c>
      <c r="O2" s="30" t="s">
        <v>287</v>
      </c>
      <c r="Q2" s="30" t="s">
        <v>328</v>
      </c>
      <c r="S2" s="30" t="s">
        <v>793</v>
      </c>
    </row>
    <row r="3" customFormat="false" ht="15" hidden="false" customHeight="false" outlineLevel="0" collapsed="false">
      <c r="A3" s="30" t="s">
        <v>606</v>
      </c>
      <c r="C3" s="30" t="s">
        <v>639</v>
      </c>
      <c r="E3" s="30" t="s">
        <v>407</v>
      </c>
      <c r="G3" s="30" t="s">
        <v>794</v>
      </c>
      <c r="I3" s="30" t="n">
        <v>7</v>
      </c>
      <c r="K3" s="30" t="s">
        <v>360</v>
      </c>
      <c r="M3" s="30" t="s">
        <v>298</v>
      </c>
      <c r="O3" s="30" t="s">
        <v>100</v>
      </c>
      <c r="Q3" s="30" t="s">
        <v>322</v>
      </c>
      <c r="S3" s="30" t="s">
        <v>341</v>
      </c>
    </row>
    <row r="4" customFormat="false" ht="15" hidden="false" customHeight="false" outlineLevel="0" collapsed="false">
      <c r="A4" s="30" t="s">
        <v>623</v>
      </c>
      <c r="G4" s="30" t="s">
        <v>234</v>
      </c>
      <c r="K4" s="30" t="s">
        <v>795</v>
      </c>
      <c r="M4" s="30" t="s">
        <v>293</v>
      </c>
      <c r="O4" s="30" t="s">
        <v>308</v>
      </c>
      <c r="Q4" s="30" t="s">
        <v>345</v>
      </c>
      <c r="S4" s="30" t="s">
        <v>322</v>
      </c>
    </row>
    <row r="5" customFormat="false" ht="15" hidden="false" customHeight="false" outlineLevel="0" collapsed="false">
      <c r="A5" s="30" t="s">
        <v>796</v>
      </c>
      <c r="M5" s="30" t="s">
        <v>302</v>
      </c>
      <c r="Q5" s="30" t="s">
        <v>797</v>
      </c>
      <c r="S5" s="30" t="s">
        <v>345</v>
      </c>
    </row>
    <row r="6" customFormat="false" ht="15" hidden="false" customHeight="false" outlineLevel="0" collapsed="false">
      <c r="S6" s="30" t="s">
        <v>798</v>
      </c>
    </row>
    <row r="8" customFormat="false" ht="15" hidden="false" customHeight="false" outlineLevel="0" collapsed="false">
      <c r="A8" s="8" t="s">
        <v>799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2026-10-26T17:29:33Z</dcterms:created>
  <dc:creator>openpyxl</dc:creator>
  <dc:description/>
  <dc:language>en-US</dc:language>
  <cp:lastModifiedBy/>
  <dcterms:modified xsi:type="dcterms:W3CDTF">2026-10-26T17:29:35Z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